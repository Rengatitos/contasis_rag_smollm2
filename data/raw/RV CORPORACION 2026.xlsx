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OIga\Documents\RUTH\5. CORPORACION ARAUCO\2026\CONTABILIDAD\07. Julio 2026\"/>
    </mc:Choice>
  </mc:AlternateContent>
  <xr:revisionPtr revIDLastSave="0" documentId="13_ncr:1_{B541DBCC-568F-46B8-A4DE-7430C38287E7}" xr6:coauthVersionLast="47" xr6:coauthVersionMax="47" xr10:uidLastSave="{00000000-0000-0000-0000-000000000000}"/>
  <bookViews>
    <workbookView xWindow="-120" yWindow="-120" windowWidth="20730" windowHeight="11160" tabRatio="807" activeTab="6" xr2:uid="{00000000-000D-0000-FFFF-FFFF00000000}"/>
  </bookViews>
  <sheets>
    <sheet name="ENERO" sheetId="73" r:id="rId1"/>
    <sheet name="FEBRERO" sheetId="79" r:id="rId2"/>
    <sheet name="MARZO" sheetId="80" r:id="rId3"/>
    <sheet name="ABRIL" sheetId="82" r:id="rId4"/>
    <sheet name="MAYO" sheetId="83" r:id="rId5"/>
    <sheet name="JUNIO" sheetId="84" r:id="rId6"/>
    <sheet name="JULIO" sheetId="86" r:id="rId7"/>
  </sheets>
  <definedNames>
    <definedName name="_xlnm._FilterDatabase" localSheetId="3" hidden="1">ABRIL!$A$5:$AW$124</definedName>
    <definedName name="_xlnm._FilterDatabase" localSheetId="0" hidden="1">ENERO!$A$5:$AW$96</definedName>
    <definedName name="_xlnm._FilterDatabase" localSheetId="1" hidden="1">FEBRERO!$A$5:$AW$118</definedName>
    <definedName name="_xlnm._FilterDatabase" localSheetId="6" hidden="1">JULIO!$A$3:$AW$186</definedName>
    <definedName name="_xlnm._FilterDatabase" localSheetId="5" hidden="1">JUNIO!$A$5:$AW$133</definedName>
    <definedName name="_xlnm._FilterDatabase" localSheetId="2" hidden="1">MARZO!$A$5:$AW$111</definedName>
    <definedName name="_xlnm._FilterDatabase" localSheetId="4" hidden="1">MAYO!$A$5:$AW$111</definedName>
    <definedName name="_xlnm.Print_Area" localSheetId="3">ABRIL!$A$1:$AP$144</definedName>
    <definedName name="_xlnm.Print_Area" localSheetId="0">ENERO!$A$1:$AP$147</definedName>
    <definedName name="_xlnm.Print_Area" localSheetId="1">FEBRERO!$A$1:$AP$156</definedName>
    <definedName name="_xlnm.Print_Area" localSheetId="6">JULIO!$A$1:$AP$14</definedName>
    <definedName name="_xlnm.Print_Area" localSheetId="5">JUNIO!$A$1:$AP$133</definedName>
    <definedName name="_xlnm.Print_Area" localSheetId="2">MARZO!$A$1:$AP$142</definedName>
    <definedName name="_xlnm.Print_Area" localSheetId="4">MAYO!$A$1:$AP$134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86" i="86" l="1"/>
  <c r="O186" i="86" l="1"/>
  <c r="N186" i="86"/>
  <c r="J186" i="86"/>
  <c r="P186" i="86" l="1"/>
  <c r="X106" i="84" l="1"/>
  <c r="K168" i="84" l="1"/>
  <c r="P149" i="84" l="1"/>
  <c r="P151" i="84"/>
  <c r="P146" i="84"/>
  <c r="P145" i="84"/>
  <c r="X143" i="84"/>
  <c r="X142" i="84"/>
  <c r="X140" i="84"/>
  <c r="X139" i="84"/>
  <c r="X138" i="84"/>
  <c r="X137" i="84"/>
  <c r="X135" i="84"/>
  <c r="P143" i="84"/>
  <c r="P142" i="84"/>
  <c r="P141" i="84"/>
  <c r="P140" i="84"/>
  <c r="P139" i="84"/>
  <c r="P138" i="84"/>
  <c r="P137" i="84"/>
  <c r="P136" i="84"/>
  <c r="P135" i="84"/>
  <c r="X133" i="84"/>
  <c r="X132" i="84"/>
  <c r="X131" i="84"/>
  <c r="X130" i="84"/>
  <c r="X128" i="84"/>
  <c r="X127" i="84"/>
  <c r="X126" i="84"/>
  <c r="X125" i="84"/>
  <c r="X124" i="84"/>
  <c r="X123" i="84"/>
  <c r="X121" i="84"/>
  <c r="X120" i="84"/>
  <c r="X119" i="84"/>
  <c r="X118" i="84"/>
  <c r="X117" i="84"/>
  <c r="X116" i="84"/>
  <c r="X115" i="84"/>
  <c r="X114" i="84"/>
  <c r="X113" i="84"/>
  <c r="X112" i="84"/>
  <c r="X111" i="84"/>
  <c r="X110" i="84"/>
  <c r="X109" i="84"/>
  <c r="X108" i="84"/>
  <c r="X107" i="84"/>
  <c r="X105" i="84"/>
  <c r="X104" i="84"/>
  <c r="X103" i="84"/>
  <c r="X101" i="84"/>
  <c r="X100" i="84"/>
  <c r="X99" i="84"/>
  <c r="X98" i="84"/>
  <c r="X97" i="84"/>
  <c r="X96" i="84"/>
  <c r="X95" i="84"/>
  <c r="X94" i="84"/>
  <c r="X93" i="84"/>
  <c r="X92" i="84"/>
  <c r="X91" i="84"/>
  <c r="X90" i="84"/>
  <c r="X89" i="84"/>
  <c r="X88" i="84"/>
  <c r="X87" i="84"/>
  <c r="X86" i="84"/>
  <c r="X85" i="84"/>
  <c r="X84" i="84"/>
  <c r="X83" i="84"/>
  <c r="X82" i="84"/>
  <c r="X81" i="84"/>
  <c r="X80" i="84"/>
  <c r="X79" i="84"/>
  <c r="X78" i="84"/>
  <c r="X77" i="84"/>
  <c r="X76" i="84"/>
  <c r="X74" i="84"/>
  <c r="X73" i="84"/>
  <c r="X72" i="84"/>
  <c r="X71" i="84"/>
  <c r="X70" i="84"/>
  <c r="X69" i="84"/>
  <c r="X68" i="84"/>
  <c r="X67" i="84"/>
  <c r="X66" i="84"/>
  <c r="X65" i="84"/>
  <c r="X64" i="84"/>
  <c r="X63" i="84"/>
  <c r="X62" i="84"/>
  <c r="X61" i="84"/>
  <c r="X60" i="84"/>
  <c r="X59" i="84"/>
  <c r="X58" i="84"/>
  <c r="X57" i="84"/>
  <c r="X56" i="84"/>
  <c r="X55" i="84"/>
  <c r="X54" i="84"/>
  <c r="X53" i="84"/>
  <c r="X52" i="84"/>
  <c r="X51" i="84"/>
  <c r="X50" i="84"/>
  <c r="X49" i="84"/>
  <c r="X48" i="84"/>
  <c r="X47" i="84"/>
  <c r="X46" i="84"/>
  <c r="X45" i="84"/>
  <c r="X44" i="84"/>
  <c r="X43" i="84"/>
  <c r="X42" i="84"/>
  <c r="X41" i="84"/>
  <c r="X40" i="84"/>
  <c r="X39" i="84"/>
  <c r="X38" i="84"/>
  <c r="X37" i="84"/>
  <c r="X36" i="84"/>
  <c r="X35" i="84"/>
  <c r="X34" i="84"/>
  <c r="X33" i="84"/>
  <c r="X32" i="84"/>
  <c r="X31" i="84"/>
  <c r="X30" i="84"/>
  <c r="X29" i="84"/>
  <c r="X28" i="84"/>
  <c r="X27" i="84"/>
  <c r="X26" i="84"/>
  <c r="X24" i="84"/>
  <c r="X23" i="84"/>
  <c r="X21" i="84"/>
  <c r="X20" i="84"/>
  <c r="X19" i="84"/>
  <c r="X18" i="84"/>
  <c r="X17" i="84"/>
  <c r="X15" i="84"/>
  <c r="X13" i="84"/>
  <c r="X12" i="84"/>
  <c r="X11" i="84"/>
  <c r="X10" i="84"/>
  <c r="X9" i="84"/>
  <c r="X8" i="84"/>
  <c r="X7" i="84"/>
  <c r="X6" i="84"/>
  <c r="P7" i="84"/>
  <c r="P8" i="84"/>
  <c r="P9" i="84"/>
  <c r="P10" i="84"/>
  <c r="P11" i="84"/>
  <c r="P12" i="84"/>
  <c r="P13" i="84"/>
  <c r="P14" i="84"/>
  <c r="P15" i="84"/>
  <c r="P16" i="84"/>
  <c r="P17" i="84"/>
  <c r="P18" i="84"/>
  <c r="P19" i="84"/>
  <c r="P20" i="84"/>
  <c r="P21" i="84"/>
  <c r="P22" i="84"/>
  <c r="P23" i="84"/>
  <c r="P24" i="84"/>
  <c r="P25" i="84"/>
  <c r="P26" i="84"/>
  <c r="P27" i="84"/>
  <c r="P28" i="84"/>
  <c r="P29" i="84"/>
  <c r="P30" i="84"/>
  <c r="P31" i="84"/>
  <c r="P32" i="84"/>
  <c r="P33" i="84"/>
  <c r="P34" i="84"/>
  <c r="P35" i="84"/>
  <c r="P36" i="84"/>
  <c r="P37" i="84"/>
  <c r="P38" i="84"/>
  <c r="P39" i="84"/>
  <c r="P40" i="84"/>
  <c r="P41" i="84"/>
  <c r="P42" i="84"/>
  <c r="P43" i="84"/>
  <c r="P44" i="84"/>
  <c r="P45" i="84"/>
  <c r="P46" i="84"/>
  <c r="P47" i="84"/>
  <c r="P48" i="84"/>
  <c r="P49" i="84"/>
  <c r="P50" i="84"/>
  <c r="P51" i="84"/>
  <c r="P52" i="84"/>
  <c r="P53" i="84"/>
  <c r="P54" i="84"/>
  <c r="P55" i="84"/>
  <c r="P56" i="84"/>
  <c r="P57" i="84"/>
  <c r="P58" i="84"/>
  <c r="P59" i="84"/>
  <c r="P60" i="84"/>
  <c r="P61" i="84"/>
  <c r="P62" i="84"/>
  <c r="P63" i="84"/>
  <c r="P64" i="84"/>
  <c r="P65" i="84"/>
  <c r="P66" i="84"/>
  <c r="P67" i="84"/>
  <c r="P68" i="84"/>
  <c r="P69" i="84"/>
  <c r="P70" i="84"/>
  <c r="P71" i="84"/>
  <c r="P72" i="84"/>
  <c r="P73" i="84"/>
  <c r="P74" i="84"/>
  <c r="P75" i="84"/>
  <c r="P76" i="84"/>
  <c r="P77" i="84"/>
  <c r="P78" i="84"/>
  <c r="P79" i="84"/>
  <c r="P80" i="84"/>
  <c r="P81" i="84"/>
  <c r="P82" i="84"/>
  <c r="P83" i="84"/>
  <c r="P84" i="84"/>
  <c r="P85" i="84"/>
  <c r="P86" i="84"/>
  <c r="P87" i="84"/>
  <c r="P88" i="84"/>
  <c r="P89" i="84"/>
  <c r="P90" i="84"/>
  <c r="P91" i="84"/>
  <c r="P92" i="84"/>
  <c r="P93" i="84"/>
  <c r="P94" i="84"/>
  <c r="P95" i="84"/>
  <c r="P96" i="84"/>
  <c r="P97" i="84"/>
  <c r="P98" i="84"/>
  <c r="P99" i="84"/>
  <c r="P100" i="84"/>
  <c r="P101" i="84"/>
  <c r="P102" i="84"/>
  <c r="P103" i="84"/>
  <c r="P104" i="84"/>
  <c r="P105" i="84"/>
  <c r="P106" i="84"/>
  <c r="P107" i="84"/>
  <c r="P108" i="84"/>
  <c r="P109" i="84"/>
  <c r="P110" i="84"/>
  <c r="P111" i="84"/>
  <c r="P112" i="84"/>
  <c r="P113" i="84"/>
  <c r="P114" i="84"/>
  <c r="P115" i="84"/>
  <c r="P116" i="84"/>
  <c r="P117" i="84"/>
  <c r="P118" i="84"/>
  <c r="P119" i="84"/>
  <c r="P120" i="84"/>
  <c r="P121" i="84"/>
  <c r="P122" i="84"/>
  <c r="P123" i="84"/>
  <c r="P124" i="84"/>
  <c r="P125" i="84"/>
  <c r="P126" i="84"/>
  <c r="P127" i="84"/>
  <c r="P128" i="84"/>
  <c r="P129" i="84"/>
  <c r="P130" i="84"/>
  <c r="P131" i="84"/>
  <c r="P132" i="84"/>
  <c r="P133" i="84"/>
  <c r="P6" i="84"/>
  <c r="O168" i="84" l="1"/>
  <c r="N168" i="84"/>
  <c r="J168" i="84"/>
  <c r="P167" i="84"/>
  <c r="P166" i="84"/>
  <c r="P165" i="84"/>
  <c r="P164" i="84"/>
  <c r="P163" i="84"/>
  <c r="P162" i="84"/>
  <c r="P161" i="84"/>
  <c r="P160" i="84"/>
  <c r="P159" i="84"/>
  <c r="P158" i="84"/>
  <c r="P157" i="84"/>
  <c r="P156" i="84"/>
  <c r="P155" i="84"/>
  <c r="P154" i="84"/>
  <c r="P153" i="84"/>
  <c r="P152" i="84"/>
  <c r="P148" i="84"/>
  <c r="P168" i="84" l="1"/>
  <c r="P215" i="83"/>
  <c r="P214" i="83"/>
  <c r="P213" i="83"/>
  <c r="P212" i="83"/>
  <c r="P211" i="83"/>
  <c r="P210" i="83"/>
  <c r="P209" i="83"/>
  <c r="P208" i="83"/>
  <c r="P207" i="83"/>
  <c r="P206" i="83"/>
  <c r="P205" i="83"/>
  <c r="P204" i="83"/>
  <c r="P203" i="83"/>
  <c r="P202" i="83"/>
  <c r="P201" i="83"/>
  <c r="P200" i="83"/>
  <c r="P199" i="83"/>
  <c r="P198" i="83"/>
  <c r="P148" i="83"/>
  <c r="P147" i="83"/>
  <c r="P146" i="83"/>
  <c r="P145" i="83"/>
  <c r="P144" i="83"/>
  <c r="P143" i="83"/>
  <c r="P142" i="83"/>
  <c r="P141" i="83"/>
  <c r="P140" i="83"/>
  <c r="P139" i="83"/>
  <c r="P138" i="83"/>
  <c r="P137" i="83"/>
  <c r="P136" i="83"/>
  <c r="P135" i="83"/>
  <c r="P134" i="83"/>
  <c r="P133" i="83"/>
  <c r="P132" i="83"/>
  <c r="P131" i="83"/>
  <c r="P130" i="83"/>
  <c r="P129" i="83"/>
  <c r="P128" i="83"/>
  <c r="P127" i="83"/>
  <c r="P126" i="83"/>
  <c r="P125" i="83"/>
  <c r="P124" i="83"/>
  <c r="P123" i="83"/>
  <c r="P122" i="83"/>
  <c r="P121" i="83"/>
  <c r="P120" i="83"/>
  <c r="P119" i="83"/>
  <c r="P118" i="83"/>
  <c r="P117" i="83"/>
  <c r="P116" i="83"/>
  <c r="P115" i="83"/>
  <c r="P114" i="83"/>
  <c r="P113" i="83"/>
  <c r="P112" i="83"/>
  <c r="P111" i="83"/>
  <c r="P110" i="83"/>
  <c r="P109" i="83"/>
  <c r="P108" i="83"/>
  <c r="P107" i="83"/>
  <c r="P106" i="83"/>
  <c r="P105" i="83"/>
  <c r="P104" i="83"/>
  <c r="P103" i="83"/>
  <c r="P102" i="83"/>
  <c r="P101" i="83"/>
  <c r="P100" i="83"/>
  <c r="P99" i="83"/>
  <c r="P98" i="83"/>
  <c r="P97" i="83"/>
  <c r="P96" i="83"/>
  <c r="P95" i="83"/>
  <c r="P94" i="83"/>
  <c r="P93" i="83"/>
  <c r="P92" i="83"/>
  <c r="P91" i="83"/>
  <c r="P90" i="83"/>
  <c r="P89" i="83"/>
  <c r="P88" i="83"/>
  <c r="P87" i="83"/>
  <c r="P86" i="83"/>
  <c r="P85" i="83"/>
  <c r="P84" i="83"/>
  <c r="P83" i="83"/>
  <c r="P82" i="83"/>
  <c r="P81" i="83"/>
  <c r="P80" i="83"/>
  <c r="P79" i="83"/>
  <c r="P78" i="83"/>
  <c r="P77" i="83"/>
  <c r="P76" i="83"/>
  <c r="P75" i="83"/>
  <c r="P74" i="83"/>
  <c r="P73" i="83"/>
  <c r="P72" i="83"/>
  <c r="P71" i="83"/>
  <c r="P70" i="83"/>
  <c r="P69" i="83"/>
  <c r="P68" i="83"/>
  <c r="P67" i="83"/>
  <c r="P66" i="83"/>
  <c r="P65" i="83"/>
  <c r="P64" i="83"/>
  <c r="P63" i="83"/>
  <c r="P62" i="83"/>
  <c r="P61" i="83"/>
  <c r="P60" i="83"/>
  <c r="P59" i="83"/>
  <c r="P58" i="83"/>
  <c r="P57" i="83"/>
  <c r="P56" i="83"/>
  <c r="P55" i="83"/>
  <c r="P54" i="83"/>
  <c r="P53" i="83"/>
  <c r="P52" i="83"/>
  <c r="P51" i="83"/>
  <c r="P50" i="83"/>
  <c r="P49" i="83"/>
  <c r="P48" i="83"/>
  <c r="P47" i="83"/>
  <c r="P46" i="83"/>
  <c r="P45" i="83"/>
  <c r="P44" i="83"/>
  <c r="P43" i="83"/>
  <c r="P42" i="83"/>
  <c r="P41" i="83"/>
  <c r="P40" i="83"/>
  <c r="P39" i="83"/>
  <c r="P38" i="83"/>
  <c r="P37" i="83"/>
  <c r="P36" i="83"/>
  <c r="P35" i="83"/>
  <c r="P34" i="83"/>
  <c r="P33" i="83"/>
  <c r="P32" i="83"/>
  <c r="P31" i="83"/>
  <c r="P30" i="83"/>
  <c r="P29" i="83"/>
  <c r="P28" i="83"/>
  <c r="P27" i="83"/>
  <c r="P26" i="83"/>
  <c r="P25" i="83"/>
  <c r="P24" i="83"/>
  <c r="P23" i="83"/>
  <c r="P22" i="83"/>
  <c r="P21" i="83"/>
  <c r="P20" i="83"/>
  <c r="P19" i="83"/>
  <c r="P18" i="83"/>
  <c r="P17" i="83"/>
  <c r="P16" i="83"/>
  <c r="P15" i="83"/>
  <c r="P14" i="83"/>
  <c r="P13" i="83"/>
  <c r="P12" i="83"/>
  <c r="P11" i="83"/>
  <c r="P10" i="83"/>
  <c r="P9" i="83"/>
  <c r="P8" i="83"/>
  <c r="P7" i="83"/>
  <c r="O216" i="83" l="1"/>
  <c r="N216" i="83"/>
  <c r="K216" i="83"/>
  <c r="J216" i="83"/>
  <c r="P197" i="83"/>
  <c r="P196" i="83"/>
  <c r="P195" i="83"/>
  <c r="P194" i="83"/>
  <c r="P193" i="83"/>
  <c r="P192" i="83"/>
  <c r="P191" i="83"/>
  <c r="P190" i="83"/>
  <c r="P189" i="83"/>
  <c r="P188" i="83"/>
  <c r="P187" i="83"/>
  <c r="P186" i="83"/>
  <c r="P185" i="83"/>
  <c r="P184" i="83"/>
  <c r="P182" i="83"/>
  <c r="P180" i="83"/>
  <c r="P167" i="83"/>
  <c r="P166" i="83"/>
  <c r="P165" i="83"/>
  <c r="P164" i="83"/>
  <c r="P163" i="83"/>
  <c r="P162" i="83"/>
  <c r="P161" i="83"/>
  <c r="P6" i="83"/>
  <c r="P216" i="83" l="1"/>
  <c r="P137" i="82" l="1"/>
  <c r="P136" i="82"/>
  <c r="P135" i="82"/>
  <c r="P139" i="82"/>
  <c r="P138" i="82"/>
  <c r="P134" i="82"/>
  <c r="P111" i="82"/>
  <c r="P110" i="82"/>
  <c r="P109" i="82"/>
  <c r="P108" i="82"/>
  <c r="P107" i="82"/>
  <c r="P106" i="82"/>
  <c r="P105" i="82"/>
  <c r="P104" i="82"/>
  <c r="P103" i="82"/>
  <c r="P102" i="82"/>
  <c r="P101" i="82"/>
  <c r="P100" i="82"/>
  <c r="P99" i="82"/>
  <c r="P98" i="82"/>
  <c r="P97" i="82"/>
  <c r="P96" i="82"/>
  <c r="P95" i="82"/>
  <c r="O144" i="82"/>
  <c r="N144" i="82"/>
  <c r="K144" i="82"/>
  <c r="J144" i="82"/>
  <c r="P143" i="82"/>
  <c r="P141" i="82"/>
  <c r="P132" i="82"/>
  <c r="P131" i="82"/>
  <c r="P130" i="82"/>
  <c r="P129" i="82"/>
  <c r="P128" i="82"/>
  <c r="P127" i="82"/>
  <c r="P126" i="82"/>
  <c r="P124" i="82"/>
  <c r="P123" i="82"/>
  <c r="P122" i="82"/>
  <c r="P121" i="82"/>
  <c r="P120" i="82"/>
  <c r="P119" i="82"/>
  <c r="P118" i="82"/>
  <c r="P117" i="82"/>
  <c r="P116" i="82"/>
  <c r="P115" i="82"/>
  <c r="P114" i="82"/>
  <c r="P113" i="82"/>
  <c r="P112" i="82"/>
  <c r="P94" i="82"/>
  <c r="P93" i="82"/>
  <c r="P92" i="82"/>
  <c r="P91" i="82"/>
  <c r="P90" i="82"/>
  <c r="P89" i="82"/>
  <c r="P88" i="82"/>
  <c r="P87" i="82"/>
  <c r="P86" i="82"/>
  <c r="P85" i="82"/>
  <c r="P84" i="82"/>
  <c r="P83" i="82"/>
  <c r="P82" i="82"/>
  <c r="P81" i="82"/>
  <c r="P80" i="82"/>
  <c r="P79" i="82"/>
  <c r="P78" i="82"/>
  <c r="P77" i="82"/>
  <c r="P76" i="82"/>
  <c r="P75" i="82"/>
  <c r="P74" i="82"/>
  <c r="P73" i="82"/>
  <c r="P72" i="82"/>
  <c r="P71" i="82"/>
  <c r="P70" i="82"/>
  <c r="P69" i="82"/>
  <c r="P68" i="82"/>
  <c r="P67" i="82"/>
  <c r="P66" i="82"/>
  <c r="P65" i="82"/>
  <c r="P64" i="82"/>
  <c r="P63" i="82"/>
  <c r="P62" i="82"/>
  <c r="P61" i="82"/>
  <c r="P60" i="82"/>
  <c r="P59" i="82"/>
  <c r="P58" i="82"/>
  <c r="P57" i="82"/>
  <c r="P56" i="82"/>
  <c r="P55" i="82"/>
  <c r="P54" i="82"/>
  <c r="P53" i="82"/>
  <c r="P52" i="82"/>
  <c r="P51" i="82"/>
  <c r="P50" i="82"/>
  <c r="P49" i="82"/>
  <c r="P48" i="82"/>
  <c r="P47" i="82"/>
  <c r="P46" i="82"/>
  <c r="P45" i="82"/>
  <c r="P44" i="82"/>
  <c r="P43" i="82"/>
  <c r="P42" i="82"/>
  <c r="P41" i="82"/>
  <c r="P40" i="82"/>
  <c r="P39" i="82"/>
  <c r="P38" i="82"/>
  <c r="P37" i="82"/>
  <c r="P36" i="82"/>
  <c r="P35" i="82"/>
  <c r="P34" i="82"/>
  <c r="P33" i="82"/>
  <c r="P32" i="82"/>
  <c r="P31" i="82"/>
  <c r="P30" i="82"/>
  <c r="P29" i="82"/>
  <c r="P28" i="82"/>
  <c r="P27" i="82"/>
  <c r="P26" i="82"/>
  <c r="P25" i="82"/>
  <c r="P24" i="82"/>
  <c r="P23" i="82"/>
  <c r="P22" i="82"/>
  <c r="P21" i="82"/>
  <c r="P20" i="82"/>
  <c r="P19" i="82"/>
  <c r="P18" i="82"/>
  <c r="P17" i="82"/>
  <c r="P16" i="82"/>
  <c r="P15" i="82"/>
  <c r="P14" i="82"/>
  <c r="P13" i="82"/>
  <c r="P12" i="82"/>
  <c r="P11" i="82"/>
  <c r="P10" i="82"/>
  <c r="P9" i="82"/>
  <c r="P8" i="82"/>
  <c r="P7" i="82"/>
  <c r="P6" i="82"/>
  <c r="P144" i="82" l="1"/>
  <c r="K142" i="80"/>
  <c r="P116" i="80" l="1"/>
  <c r="P115" i="80"/>
  <c r="P114" i="80"/>
  <c r="O142" i="80"/>
  <c r="N142" i="80"/>
  <c r="J142" i="80"/>
  <c r="P141" i="80"/>
  <c r="P140" i="80"/>
  <c r="P139" i="80"/>
  <c r="P138" i="80"/>
  <c r="P137" i="80"/>
  <c r="P136" i="80"/>
  <c r="P135" i="80"/>
  <c r="P134" i="80"/>
  <c r="P133" i="80"/>
  <c r="P132" i="80"/>
  <c r="P131" i="80"/>
  <c r="P130" i="80"/>
  <c r="P129" i="80"/>
  <c r="P128" i="80"/>
  <c r="P127" i="80"/>
  <c r="P126" i="80"/>
  <c r="P125" i="80"/>
  <c r="P123" i="80"/>
  <c r="P121" i="80"/>
  <c r="P119" i="80"/>
  <c r="P118" i="80"/>
  <c r="P117" i="80"/>
  <c r="P113" i="80"/>
  <c r="P111" i="80"/>
  <c r="P110" i="80"/>
  <c r="P109" i="80"/>
  <c r="P108" i="80"/>
  <c r="P107" i="80"/>
  <c r="P106" i="80"/>
  <c r="P105" i="80"/>
  <c r="P104" i="80"/>
  <c r="P103" i="80"/>
  <c r="P102" i="80"/>
  <c r="P101" i="80"/>
  <c r="P100" i="80"/>
  <c r="P99" i="80"/>
  <c r="P98" i="80"/>
  <c r="P97" i="80"/>
  <c r="P96" i="80"/>
  <c r="P95" i="80"/>
  <c r="P94" i="80"/>
  <c r="P93" i="80"/>
  <c r="P92" i="80"/>
  <c r="P91" i="80"/>
  <c r="P90" i="80"/>
  <c r="P89" i="80"/>
  <c r="P88" i="80"/>
  <c r="P87" i="80"/>
  <c r="P86" i="80"/>
  <c r="P85" i="80"/>
  <c r="P84" i="80"/>
  <c r="P83" i="80"/>
  <c r="P82" i="80"/>
  <c r="P81" i="80"/>
  <c r="P80" i="80"/>
  <c r="P79" i="80"/>
  <c r="P78" i="80"/>
  <c r="P77" i="80"/>
  <c r="P76" i="80"/>
  <c r="P75" i="80"/>
  <c r="P74" i="80"/>
  <c r="P73" i="80"/>
  <c r="P72" i="80"/>
  <c r="P71" i="80"/>
  <c r="P70" i="80"/>
  <c r="P69" i="80"/>
  <c r="P68" i="80"/>
  <c r="P67" i="80"/>
  <c r="P66" i="80"/>
  <c r="P65" i="80"/>
  <c r="P64" i="80"/>
  <c r="P63" i="80"/>
  <c r="P62" i="80"/>
  <c r="P61" i="80"/>
  <c r="P60" i="80"/>
  <c r="P59" i="80"/>
  <c r="P58" i="80"/>
  <c r="P57" i="80"/>
  <c r="P56" i="80"/>
  <c r="P55" i="80"/>
  <c r="P54" i="80"/>
  <c r="P53" i="80"/>
  <c r="P52" i="80"/>
  <c r="P51" i="80"/>
  <c r="P50" i="80"/>
  <c r="P49" i="80"/>
  <c r="P48" i="80"/>
  <c r="P47" i="80"/>
  <c r="P46" i="80"/>
  <c r="P45" i="80"/>
  <c r="P44" i="80"/>
  <c r="P43" i="80"/>
  <c r="P42" i="80"/>
  <c r="P41" i="80"/>
  <c r="P40" i="80"/>
  <c r="P39" i="80"/>
  <c r="P38" i="80"/>
  <c r="P37" i="80"/>
  <c r="P36" i="80"/>
  <c r="P35" i="80"/>
  <c r="P34" i="80"/>
  <c r="P33" i="80"/>
  <c r="P32" i="80"/>
  <c r="P31" i="80"/>
  <c r="P30" i="80"/>
  <c r="P29" i="80"/>
  <c r="P28" i="80"/>
  <c r="P27" i="80"/>
  <c r="P26" i="80"/>
  <c r="P25" i="80"/>
  <c r="P24" i="80"/>
  <c r="P23" i="80"/>
  <c r="P22" i="80"/>
  <c r="P21" i="80"/>
  <c r="P20" i="80"/>
  <c r="P19" i="80"/>
  <c r="P18" i="80"/>
  <c r="P17" i="80"/>
  <c r="P16" i="80"/>
  <c r="P15" i="80"/>
  <c r="P14" i="80"/>
  <c r="P13" i="80"/>
  <c r="P12" i="80"/>
  <c r="P11" i="80"/>
  <c r="P10" i="80"/>
  <c r="P9" i="80"/>
  <c r="P8" i="80"/>
  <c r="P7" i="80"/>
  <c r="P6" i="80"/>
  <c r="P142" i="80" l="1"/>
  <c r="K156" i="79"/>
  <c r="P35" i="79"/>
  <c r="P34" i="79"/>
  <c r="P33" i="79"/>
  <c r="P32" i="79"/>
  <c r="P31" i="79"/>
  <c r="P30" i="79"/>
  <c r="P29" i="79"/>
  <c r="P28" i="79"/>
  <c r="P27" i="79"/>
  <c r="P26" i="79"/>
  <c r="P25" i="79"/>
  <c r="P24" i="79"/>
  <c r="P23" i="79"/>
  <c r="P22" i="79"/>
  <c r="P21" i="79"/>
  <c r="P20" i="79"/>
  <c r="P19" i="79"/>
  <c r="P18" i="79"/>
  <c r="P17" i="79"/>
  <c r="P16" i="79"/>
  <c r="P15" i="79"/>
  <c r="P14" i="79"/>
  <c r="P13" i="79"/>
  <c r="P12" i="79"/>
  <c r="P11" i="79"/>
  <c r="P10" i="79"/>
  <c r="P9" i="79"/>
  <c r="P8" i="79"/>
  <c r="P7" i="79"/>
  <c r="P6" i="79"/>
  <c r="P118" i="79" l="1"/>
  <c r="P117" i="79"/>
  <c r="O156" i="79"/>
  <c r="N156" i="79"/>
  <c r="J156" i="79"/>
  <c r="P155" i="79"/>
  <c r="P154" i="79"/>
  <c r="P153" i="79"/>
  <c r="P152" i="79"/>
  <c r="P151" i="79"/>
  <c r="P150" i="79"/>
  <c r="P149" i="79"/>
  <c r="P148" i="79"/>
  <c r="P147" i="79"/>
  <c r="P146" i="79"/>
  <c r="P145" i="79"/>
  <c r="P144" i="79"/>
  <c r="P143" i="79"/>
  <c r="P142" i="79"/>
  <c r="P141" i="79"/>
  <c r="P140" i="79"/>
  <c r="P139" i="79"/>
  <c r="P138" i="79"/>
  <c r="P137" i="79"/>
  <c r="P136" i="79"/>
  <c r="P135" i="79"/>
  <c r="P134" i="79"/>
  <c r="P133" i="79"/>
  <c r="P132" i="79"/>
  <c r="P131" i="79"/>
  <c r="P130" i="79"/>
  <c r="P129" i="79"/>
  <c r="P127" i="79"/>
  <c r="P125" i="79"/>
  <c r="P123" i="79"/>
  <c r="P122" i="79"/>
  <c r="P121" i="79"/>
  <c r="P120" i="79"/>
  <c r="P116" i="79"/>
  <c r="P115" i="79"/>
  <c r="P114" i="79"/>
  <c r="P113" i="79"/>
  <c r="P112" i="79"/>
  <c r="P111" i="79"/>
  <c r="P110" i="79"/>
  <c r="P109" i="79"/>
  <c r="P108" i="79"/>
  <c r="P107" i="79"/>
  <c r="P106" i="79"/>
  <c r="P105" i="79"/>
  <c r="P104" i="79"/>
  <c r="P103" i="79"/>
  <c r="P102" i="79"/>
  <c r="P101" i="79"/>
  <c r="P100" i="79"/>
  <c r="P99" i="79"/>
  <c r="P98" i="79"/>
  <c r="P97" i="79"/>
  <c r="P96" i="79"/>
  <c r="P95" i="79"/>
  <c r="P94" i="79"/>
  <c r="P93" i="79"/>
  <c r="P92" i="79"/>
  <c r="P91" i="79"/>
  <c r="P90" i="79"/>
  <c r="P89" i="79"/>
  <c r="P88" i="79"/>
  <c r="P87" i="79"/>
  <c r="P86" i="79"/>
  <c r="P85" i="79"/>
  <c r="P84" i="79"/>
  <c r="P83" i="79"/>
  <c r="P82" i="79"/>
  <c r="P81" i="79"/>
  <c r="P80" i="79"/>
  <c r="P79" i="79"/>
  <c r="P78" i="79"/>
  <c r="P77" i="79"/>
  <c r="P76" i="79"/>
  <c r="P75" i="79"/>
  <c r="P74" i="79"/>
  <c r="P73" i="79"/>
  <c r="P72" i="79"/>
  <c r="P71" i="79"/>
  <c r="P70" i="79"/>
  <c r="P69" i="79"/>
  <c r="P68" i="79"/>
  <c r="P67" i="79"/>
  <c r="P66" i="79"/>
  <c r="P65" i="79"/>
  <c r="P64" i="79"/>
  <c r="P63" i="79"/>
  <c r="P62" i="79"/>
  <c r="P61" i="79"/>
  <c r="P60" i="79"/>
  <c r="P59" i="79"/>
  <c r="P58" i="79"/>
  <c r="P57" i="79"/>
  <c r="P56" i="79"/>
  <c r="P55" i="79"/>
  <c r="P54" i="79"/>
  <c r="P53" i="79"/>
  <c r="P52" i="79"/>
  <c r="P51" i="79"/>
  <c r="P50" i="79"/>
  <c r="P49" i="79"/>
  <c r="P48" i="79"/>
  <c r="P47" i="79"/>
  <c r="P46" i="79"/>
  <c r="P45" i="79"/>
  <c r="P44" i="79"/>
  <c r="P43" i="79"/>
  <c r="P42" i="79"/>
  <c r="P41" i="79"/>
  <c r="P40" i="79"/>
  <c r="P39" i="79"/>
  <c r="P38" i="79"/>
  <c r="P37" i="79"/>
  <c r="P36" i="79"/>
  <c r="P156" i="79" l="1"/>
  <c r="P143" i="73"/>
  <c r="P125" i="73" l="1"/>
  <c r="P124" i="73"/>
  <c r="P123" i="73"/>
  <c r="P122" i="73"/>
  <c r="P121" i="73"/>
  <c r="P120" i="73"/>
  <c r="P119" i="73"/>
  <c r="P118" i="73"/>
  <c r="P117" i="73"/>
  <c r="P116" i="73"/>
  <c r="P115" i="73"/>
  <c r="P108" i="73"/>
  <c r="P101" i="73"/>
  <c r="P100" i="73"/>
  <c r="P99" i="73"/>
  <c r="P98" i="73"/>
  <c r="P103" i="73"/>
  <c r="P102" i="73"/>
  <c r="P141" i="73" l="1"/>
  <c r="P142" i="73"/>
  <c r="P144" i="73"/>
  <c r="P145" i="73"/>
  <c r="P146" i="73"/>
  <c r="K147" i="73"/>
  <c r="P38" i="73" l="1"/>
  <c r="P37" i="73"/>
  <c r="P36" i="73"/>
  <c r="P35" i="73"/>
  <c r="P34" i="73"/>
  <c r="P33" i="73"/>
  <c r="P32" i="73"/>
  <c r="P31" i="73"/>
  <c r="P30" i="73"/>
  <c r="P29" i="73"/>
  <c r="P28" i="73"/>
  <c r="P27" i="73"/>
  <c r="P26" i="73"/>
  <c r="P25" i="73"/>
  <c r="P24" i="73"/>
  <c r="P23" i="73"/>
  <c r="P22" i="73"/>
  <c r="P21" i="73"/>
  <c r="P20" i="73"/>
  <c r="P19" i="73"/>
  <c r="P18" i="73"/>
  <c r="P17" i="73"/>
  <c r="P16" i="73"/>
  <c r="P15" i="73"/>
  <c r="P14" i="73"/>
  <c r="P13" i="73"/>
  <c r="P12" i="73"/>
  <c r="P11" i="73"/>
  <c r="P10" i="73"/>
  <c r="P9" i="73"/>
  <c r="P111" i="73"/>
  <c r="P109" i="73"/>
  <c r="O147" i="73"/>
  <c r="N147" i="73"/>
  <c r="J147" i="73"/>
  <c r="P140" i="73"/>
  <c r="P139" i="73"/>
  <c r="P138" i="73"/>
  <c r="P137" i="73"/>
  <c r="P136" i="73"/>
  <c r="P135" i="73"/>
  <c r="P134" i="73"/>
  <c r="P133" i="73"/>
  <c r="P132" i="73"/>
  <c r="P131" i="73"/>
  <c r="P130" i="73"/>
  <c r="P129" i="73"/>
  <c r="P128" i="73"/>
  <c r="P127" i="73"/>
  <c r="P126" i="73"/>
  <c r="P114" i="73"/>
  <c r="P113" i="73"/>
  <c r="P107" i="73"/>
  <c r="P105" i="73"/>
  <c r="P104" i="73"/>
  <c r="P96" i="73"/>
  <c r="P95" i="73"/>
  <c r="P94" i="73"/>
  <c r="P93" i="73"/>
  <c r="P92" i="73"/>
  <c r="P91" i="73"/>
  <c r="P90" i="73"/>
  <c r="P89" i="73"/>
  <c r="P88" i="73"/>
  <c r="P87" i="73"/>
  <c r="P86" i="73"/>
  <c r="P85" i="73"/>
  <c r="P84" i="73"/>
  <c r="P83" i="73"/>
  <c r="P82" i="73"/>
  <c r="P81" i="73"/>
  <c r="P80" i="73"/>
  <c r="P79" i="73"/>
  <c r="P78" i="73"/>
  <c r="P77" i="73"/>
  <c r="P76" i="73"/>
  <c r="P75" i="73"/>
  <c r="P74" i="73"/>
  <c r="P73" i="73"/>
  <c r="P72" i="73"/>
  <c r="P71" i="73"/>
  <c r="P70" i="73"/>
  <c r="P69" i="73"/>
  <c r="P68" i="73"/>
  <c r="P67" i="73"/>
  <c r="P66" i="73"/>
  <c r="P65" i="73"/>
  <c r="P64" i="73"/>
  <c r="P63" i="73"/>
  <c r="P62" i="73"/>
  <c r="P61" i="73"/>
  <c r="P60" i="73"/>
  <c r="P59" i="73"/>
  <c r="P58" i="73"/>
  <c r="P57" i="73"/>
  <c r="P56" i="73"/>
  <c r="P55" i="73"/>
  <c r="P54" i="73"/>
  <c r="P53" i="73"/>
  <c r="P52" i="73"/>
  <c r="P51" i="73"/>
  <c r="P50" i="73"/>
  <c r="P49" i="73"/>
  <c r="P48" i="73"/>
  <c r="P47" i="73"/>
  <c r="P46" i="73"/>
  <c r="P45" i="73"/>
  <c r="P44" i="73"/>
  <c r="P43" i="73"/>
  <c r="P42" i="73"/>
  <c r="P41" i="73"/>
  <c r="P40" i="73"/>
  <c r="P39" i="73"/>
  <c r="P8" i="73"/>
  <c r="P7" i="73"/>
  <c r="P6" i="73"/>
  <c r="P147" i="7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3" authorId="0" shapeId="0" xr:uid="{00000000-0006-0000-0000-000001000000}">
      <text>
        <r>
          <rPr>
            <b/>
            <sz val="9"/>
            <color indexed="81"/>
            <rFont val="Tahoma"/>
            <family val="2"/>
          </rPr>
          <t>NewContaSis:
SOLES (S)
DOLARES AMERICANOS (D)</t>
        </r>
      </text>
    </comment>
    <comment ref="W3" authorId="0" shapeId="0" xr:uid="{00000000-0006-0000-0000-000002000000}">
      <text>
        <r>
          <rPr>
            <b/>
            <sz val="9"/>
            <color indexed="81"/>
            <rFont val="Tahoma"/>
            <family val="2"/>
          </rPr>
          <t>NewContaSis:
Este dato debe estar presente en todas los documentos cuya moneda sea dolares americanos</t>
        </r>
      </text>
    </comment>
    <comment ref="Y3" authorId="0" shapeId="0" xr:uid="{00000000-0006-0000-0000-000003000000}">
      <text>
        <r>
          <rPr>
            <b/>
            <sz val="9"/>
            <color indexed="81"/>
            <rFont val="Tahoma"/>
            <family val="2"/>
          </rPr>
          <t>NewContaSis:
Contado (CON)
Crédito (CRE)</t>
        </r>
      </text>
    </comment>
    <comment ref="AE3" authorId="0" shapeId="0" xr:uid="{00000000-0006-0000-0000-000004000000}">
      <text>
        <r>
          <rPr>
            <b/>
            <sz val="9"/>
            <color indexed="81"/>
            <rFont val="Tahoma"/>
            <family val="2"/>
          </rPr>
          <t>NewContaSis:
Regimen Especial
1   DETRACCION
2   PERCEPCION
3   RETENCION</t>
        </r>
      </text>
    </comment>
    <comment ref="AF3" authorId="0" shapeId="0" xr:uid="{00000000-0006-0000-0000-000005000000}">
      <text>
        <r>
          <rPr>
            <b/>
            <sz val="9"/>
            <color indexed="81"/>
            <rFont val="Tahoma"/>
            <family val="2"/>
          </rPr>
          <t>NewContaSis:
Porcentaje regimen especial</t>
        </r>
      </text>
    </comment>
    <comment ref="AG3" authorId="0" shapeId="0" xr:uid="{00000000-0006-0000-0000-000006000000}">
      <text>
        <r>
          <rPr>
            <b/>
            <sz val="9"/>
            <color indexed="81"/>
            <rFont val="Tahoma"/>
            <family val="2"/>
          </rPr>
          <t>NewContaSis:
Importe regimen especial</t>
        </r>
      </text>
    </comment>
    <comment ref="AH3" authorId="0" shapeId="0" xr:uid="{00000000-0006-0000-0000-000007000000}">
      <text>
        <r>
          <rPr>
            <b/>
            <sz val="9"/>
            <color indexed="81"/>
            <rFont val="Tahoma"/>
            <family val="2"/>
          </rPr>
          <t>NewContaSis:
Serie documento regimen especial</t>
        </r>
      </text>
    </comment>
    <comment ref="AI3" authorId="0" shapeId="0" xr:uid="{00000000-0006-0000-0000-000008000000}">
      <text>
        <r>
          <rPr>
            <b/>
            <sz val="9"/>
            <color indexed="81"/>
            <rFont val="Tahoma"/>
            <family val="2"/>
          </rPr>
          <t>NewContaSis:
Número documento regimen especial</t>
        </r>
      </text>
    </comment>
    <comment ref="AJ3" authorId="0" shapeId="0" xr:uid="{00000000-0006-0000-0000-000009000000}">
      <text>
        <r>
          <rPr>
            <b/>
            <sz val="9"/>
            <color indexed="81"/>
            <rFont val="Tahoma"/>
            <family val="2"/>
          </rPr>
          <t>NewContaSis:
Fecha documento regimen especial</t>
        </r>
      </text>
    </comment>
    <comment ref="AL3" authorId="0" shapeId="0" xr:uid="{00000000-0006-0000-0000-00000A000000}">
      <text>
        <r>
          <rPr>
            <b/>
            <sz val="9"/>
            <color indexed="81"/>
            <rFont val="Tahoma"/>
            <family val="2"/>
          </rPr>
          <t>NewContaSis:
Porcentaje I.G.V.
Ejemplo :    18.00</t>
        </r>
      </text>
    </comment>
    <comment ref="AM3" authorId="0" shapeId="0" xr:uid="{00000000-0006-0000-0000-00000B000000}">
      <text>
        <r>
          <rPr>
            <b/>
            <sz val="9"/>
            <color indexed="81"/>
            <rFont val="Tahoma"/>
            <family val="2"/>
          </rPr>
          <t>NewContaSis:
Glosa</t>
        </r>
      </text>
    </comment>
    <comment ref="AN3" authorId="0" shapeId="0" xr:uid="{00000000-0006-0000-0000-00000C00000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3" authorId="0" shapeId="0" xr:uid="{00000000-0006-0000-0000-00000D000000}">
      <text>
        <r>
          <rPr>
            <b/>
            <sz val="9"/>
            <color indexed="81"/>
            <rFont val="Tahoma"/>
            <family val="2"/>
          </rPr>
          <t>NewContaSis:
1: Si está Dentro
2: Si está Fuera</t>
        </r>
      </text>
    </comment>
    <comment ref="AP3" authorId="0" shapeId="0" xr:uid="{00000000-0006-0000-0000-00000E000000}">
      <text>
        <r>
          <rPr>
            <b/>
            <sz val="9"/>
            <color indexed="81"/>
            <rFont val="Tahoma"/>
            <family val="2"/>
          </rPr>
          <t>NewContaSis:
Importe para cálculo de Régimen Especial</t>
        </r>
      </text>
    </comment>
    <comment ref="H4" authorId="0" shapeId="0" xr:uid="{00000000-0006-0000-0000-00000F000000}">
      <text>
        <r>
          <rPr>
            <b/>
            <sz val="9"/>
            <color indexed="81"/>
            <rFont val="Tahoma"/>
            <family val="2"/>
          </rPr>
          <t>NewContaSis:
Modo de ingreso: 
Para Razón Social
Ejem: INDUSTRIAS PERUANAS S.A.
Para apellidos y nombres separados por comas
PATERNO,MATERNO,NOMBRE1,NOMBRE2
Ejem: PEREZ,SOSA,JUAN,LUIS</t>
        </r>
      </text>
    </comment>
    <comment ref="C5" authorId="0" shapeId="0" xr:uid="{00000000-0006-0000-0000-000010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5" authorId="0" shapeId="0" xr:uid="{00000000-0006-0000-0000-000011000000}">
      <text>
        <r>
          <rPr>
            <b/>
            <sz val="9"/>
            <color indexed="81"/>
            <rFont val="Tahoma"/>
            <family val="2"/>
          </rPr>
          <t>NewContaSis:
N° Serie o N° Serie de la maquina registradora.</t>
        </r>
      </text>
    </comment>
    <comment ref="F5" authorId="0" shapeId="0" xr:uid="{00000000-0006-0000-0000-000012000000}">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5" authorId="0" shapeId="0" xr:uid="{00000000-0006-0000-0000-000013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3" authorId="0" shapeId="0" xr:uid="{00000000-0006-0000-0100-000001000000}">
      <text>
        <r>
          <rPr>
            <b/>
            <sz val="9"/>
            <color indexed="81"/>
            <rFont val="Tahoma"/>
            <family val="2"/>
          </rPr>
          <t>NewContaSis:
SOLES (S)
DOLARES AMERICANOS (D)</t>
        </r>
      </text>
    </comment>
    <comment ref="W3" authorId="0" shapeId="0" xr:uid="{00000000-0006-0000-0100-000002000000}">
      <text>
        <r>
          <rPr>
            <b/>
            <sz val="9"/>
            <color indexed="81"/>
            <rFont val="Tahoma"/>
            <family val="2"/>
          </rPr>
          <t>NewContaSis:
Este dato debe estar presente en todas los documentos cuya moneda sea dolares americanos</t>
        </r>
      </text>
    </comment>
    <comment ref="Y3" authorId="0" shapeId="0" xr:uid="{00000000-0006-0000-0100-000003000000}">
      <text>
        <r>
          <rPr>
            <b/>
            <sz val="9"/>
            <color indexed="81"/>
            <rFont val="Tahoma"/>
            <family val="2"/>
          </rPr>
          <t>NewContaSis:
Contado (CON)
Crédito (CRE)</t>
        </r>
      </text>
    </comment>
    <comment ref="AE3" authorId="0" shapeId="0" xr:uid="{00000000-0006-0000-0100-000004000000}">
      <text>
        <r>
          <rPr>
            <b/>
            <sz val="9"/>
            <color indexed="81"/>
            <rFont val="Tahoma"/>
            <family val="2"/>
          </rPr>
          <t>NewContaSis:
Regimen Especial
1   DETRACCION
2   PERCEPCION
3   RETENCION</t>
        </r>
      </text>
    </comment>
    <comment ref="AF3" authorId="0" shapeId="0" xr:uid="{00000000-0006-0000-0100-000005000000}">
      <text>
        <r>
          <rPr>
            <b/>
            <sz val="9"/>
            <color indexed="81"/>
            <rFont val="Tahoma"/>
            <family val="2"/>
          </rPr>
          <t>NewContaSis:
Porcentaje regimen especial</t>
        </r>
      </text>
    </comment>
    <comment ref="AG3" authorId="0" shapeId="0" xr:uid="{00000000-0006-0000-0100-000006000000}">
      <text>
        <r>
          <rPr>
            <b/>
            <sz val="9"/>
            <color indexed="81"/>
            <rFont val="Tahoma"/>
            <family val="2"/>
          </rPr>
          <t>NewContaSis:
Importe regimen especial</t>
        </r>
      </text>
    </comment>
    <comment ref="AH3" authorId="0" shapeId="0" xr:uid="{00000000-0006-0000-0100-000007000000}">
      <text>
        <r>
          <rPr>
            <b/>
            <sz val="9"/>
            <color indexed="81"/>
            <rFont val="Tahoma"/>
            <family val="2"/>
          </rPr>
          <t>NewContaSis:
Serie documento regimen especial</t>
        </r>
      </text>
    </comment>
    <comment ref="AI3" authorId="0" shapeId="0" xr:uid="{00000000-0006-0000-0100-000008000000}">
      <text>
        <r>
          <rPr>
            <b/>
            <sz val="9"/>
            <color indexed="81"/>
            <rFont val="Tahoma"/>
            <family val="2"/>
          </rPr>
          <t>NewContaSis:
Número documento regimen especial</t>
        </r>
      </text>
    </comment>
    <comment ref="AJ3" authorId="0" shapeId="0" xr:uid="{00000000-0006-0000-0100-000009000000}">
      <text>
        <r>
          <rPr>
            <b/>
            <sz val="9"/>
            <color indexed="81"/>
            <rFont val="Tahoma"/>
            <family val="2"/>
          </rPr>
          <t>NewContaSis:
Fecha documento regimen especial</t>
        </r>
      </text>
    </comment>
    <comment ref="AL3" authorId="0" shapeId="0" xr:uid="{00000000-0006-0000-0100-00000A000000}">
      <text>
        <r>
          <rPr>
            <b/>
            <sz val="9"/>
            <color indexed="81"/>
            <rFont val="Tahoma"/>
            <family val="2"/>
          </rPr>
          <t>NewContaSis:
Porcentaje I.G.V.
Ejemplo :    18.00</t>
        </r>
      </text>
    </comment>
    <comment ref="AM3" authorId="0" shapeId="0" xr:uid="{00000000-0006-0000-0100-00000B000000}">
      <text>
        <r>
          <rPr>
            <b/>
            <sz val="9"/>
            <color indexed="81"/>
            <rFont val="Tahoma"/>
            <family val="2"/>
          </rPr>
          <t>NewContaSis:
Glosa</t>
        </r>
      </text>
    </comment>
    <comment ref="AN3" authorId="0" shapeId="0" xr:uid="{00000000-0006-0000-0100-00000C00000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3" authorId="0" shapeId="0" xr:uid="{00000000-0006-0000-0100-00000D000000}">
      <text>
        <r>
          <rPr>
            <b/>
            <sz val="9"/>
            <color indexed="81"/>
            <rFont val="Tahoma"/>
            <family val="2"/>
          </rPr>
          <t>NewContaSis:
1: Si está Dentro
2: Si está Fuera</t>
        </r>
      </text>
    </comment>
    <comment ref="AP3" authorId="0" shapeId="0" xr:uid="{00000000-0006-0000-0100-00000E000000}">
      <text>
        <r>
          <rPr>
            <b/>
            <sz val="9"/>
            <color indexed="81"/>
            <rFont val="Tahoma"/>
            <family val="2"/>
          </rPr>
          <t>NewContaSis:
Importe para cálculo de Régimen Especial</t>
        </r>
      </text>
    </comment>
    <comment ref="H4" authorId="0" shapeId="0" xr:uid="{00000000-0006-0000-0100-00000F000000}">
      <text>
        <r>
          <rPr>
            <b/>
            <sz val="9"/>
            <color indexed="81"/>
            <rFont val="Tahoma"/>
            <family val="2"/>
          </rPr>
          <t>NewContaSis:
Modo de ingreso: 
Para Razón Social
Ejem: INDUSTRIAS PERUANAS S.A.
Para apellidos y nombres separados por comas
PATERNO,MATERNO,NOMBRE1,NOMBRE2
Ejem: PEREZ,SOSA,JUAN,LUIS</t>
        </r>
      </text>
    </comment>
    <comment ref="C5" authorId="0" shapeId="0" xr:uid="{00000000-0006-0000-0100-000010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5" authorId="0" shapeId="0" xr:uid="{00000000-0006-0000-0100-000011000000}">
      <text>
        <r>
          <rPr>
            <b/>
            <sz val="9"/>
            <color indexed="81"/>
            <rFont val="Tahoma"/>
            <family val="2"/>
          </rPr>
          <t>NewContaSis:
N° Serie o N° Serie de la maquina registradora.</t>
        </r>
      </text>
    </comment>
    <comment ref="F5" authorId="0" shapeId="0" xr:uid="{00000000-0006-0000-0100-000012000000}">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5" authorId="0" shapeId="0" xr:uid="{00000000-0006-0000-0100-000013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3" authorId="0" shapeId="0" xr:uid="{00000000-0006-0000-0200-000001000000}">
      <text>
        <r>
          <rPr>
            <b/>
            <sz val="9"/>
            <color indexed="81"/>
            <rFont val="Tahoma"/>
            <family val="2"/>
          </rPr>
          <t>NewContaSis:
SOLES (S)
DOLARES AMERICANOS (D)</t>
        </r>
      </text>
    </comment>
    <comment ref="W3" authorId="0" shapeId="0" xr:uid="{00000000-0006-0000-0200-000002000000}">
      <text>
        <r>
          <rPr>
            <b/>
            <sz val="9"/>
            <color indexed="81"/>
            <rFont val="Tahoma"/>
            <family val="2"/>
          </rPr>
          <t>NewContaSis:
Este dato debe estar presente en todas los documentos cuya moneda sea dolares americanos</t>
        </r>
      </text>
    </comment>
    <comment ref="Y3" authorId="0" shapeId="0" xr:uid="{00000000-0006-0000-0200-000003000000}">
      <text>
        <r>
          <rPr>
            <b/>
            <sz val="9"/>
            <color indexed="81"/>
            <rFont val="Tahoma"/>
            <family val="2"/>
          </rPr>
          <t>NewContaSis:
Contado (CON)
Crédito (CRE)</t>
        </r>
      </text>
    </comment>
    <comment ref="AE3" authorId="0" shapeId="0" xr:uid="{00000000-0006-0000-0200-000004000000}">
      <text>
        <r>
          <rPr>
            <b/>
            <sz val="9"/>
            <color indexed="81"/>
            <rFont val="Tahoma"/>
            <family val="2"/>
          </rPr>
          <t>NewContaSis:
Regimen Especial
1   DETRACCION
2   PERCEPCION
3   RETENCION</t>
        </r>
      </text>
    </comment>
    <comment ref="AF3" authorId="0" shapeId="0" xr:uid="{00000000-0006-0000-0200-000005000000}">
      <text>
        <r>
          <rPr>
            <b/>
            <sz val="9"/>
            <color indexed="81"/>
            <rFont val="Tahoma"/>
            <family val="2"/>
          </rPr>
          <t>NewContaSis:
Porcentaje regimen especial</t>
        </r>
      </text>
    </comment>
    <comment ref="AG3" authorId="0" shapeId="0" xr:uid="{00000000-0006-0000-0200-000006000000}">
      <text>
        <r>
          <rPr>
            <b/>
            <sz val="9"/>
            <color indexed="81"/>
            <rFont val="Tahoma"/>
            <family val="2"/>
          </rPr>
          <t>NewContaSis:
Importe regimen especial</t>
        </r>
      </text>
    </comment>
    <comment ref="AH3" authorId="0" shapeId="0" xr:uid="{00000000-0006-0000-0200-000007000000}">
      <text>
        <r>
          <rPr>
            <b/>
            <sz val="9"/>
            <color indexed="81"/>
            <rFont val="Tahoma"/>
            <family val="2"/>
          </rPr>
          <t>NewContaSis:
Serie documento regimen especial</t>
        </r>
      </text>
    </comment>
    <comment ref="AI3" authorId="0" shapeId="0" xr:uid="{00000000-0006-0000-0200-000008000000}">
      <text>
        <r>
          <rPr>
            <b/>
            <sz val="9"/>
            <color indexed="81"/>
            <rFont val="Tahoma"/>
            <family val="2"/>
          </rPr>
          <t>NewContaSis:
Número documento regimen especial</t>
        </r>
      </text>
    </comment>
    <comment ref="AJ3" authorId="0" shapeId="0" xr:uid="{00000000-0006-0000-0200-000009000000}">
      <text>
        <r>
          <rPr>
            <b/>
            <sz val="9"/>
            <color indexed="81"/>
            <rFont val="Tahoma"/>
            <family val="2"/>
          </rPr>
          <t>NewContaSis:
Fecha documento regimen especial</t>
        </r>
      </text>
    </comment>
    <comment ref="AL3" authorId="0" shapeId="0" xr:uid="{00000000-0006-0000-0200-00000A000000}">
      <text>
        <r>
          <rPr>
            <b/>
            <sz val="9"/>
            <color indexed="81"/>
            <rFont val="Tahoma"/>
            <family val="2"/>
          </rPr>
          <t>NewContaSis:
Porcentaje I.G.V.
Ejemplo :    18.00</t>
        </r>
      </text>
    </comment>
    <comment ref="AM3" authorId="0" shapeId="0" xr:uid="{00000000-0006-0000-0200-00000B000000}">
      <text>
        <r>
          <rPr>
            <b/>
            <sz val="9"/>
            <color indexed="81"/>
            <rFont val="Tahoma"/>
            <family val="2"/>
          </rPr>
          <t>NewContaSis:
Glosa</t>
        </r>
      </text>
    </comment>
    <comment ref="AN3" authorId="0" shapeId="0" xr:uid="{00000000-0006-0000-0200-00000C00000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3" authorId="0" shapeId="0" xr:uid="{00000000-0006-0000-0200-00000D000000}">
      <text>
        <r>
          <rPr>
            <b/>
            <sz val="9"/>
            <color indexed="81"/>
            <rFont val="Tahoma"/>
            <family val="2"/>
          </rPr>
          <t>NewContaSis:
1: Si está Dentro
2: Si está Fuera</t>
        </r>
      </text>
    </comment>
    <comment ref="AP3" authorId="0" shapeId="0" xr:uid="{00000000-0006-0000-0200-00000E000000}">
      <text>
        <r>
          <rPr>
            <b/>
            <sz val="9"/>
            <color indexed="81"/>
            <rFont val="Tahoma"/>
            <family val="2"/>
          </rPr>
          <t>NewContaSis:
Importe para cálculo de Régimen Especial</t>
        </r>
      </text>
    </comment>
    <comment ref="H4" authorId="0" shapeId="0" xr:uid="{00000000-0006-0000-0200-00000F000000}">
      <text>
        <r>
          <rPr>
            <b/>
            <sz val="9"/>
            <color indexed="81"/>
            <rFont val="Tahoma"/>
            <family val="2"/>
          </rPr>
          <t>NewContaSis:
Modo de ingreso: 
Para Razón Social
Ejem: INDUSTRIAS PERUANAS S.A.
Para apellidos y nombres separados por comas
PATERNO,MATERNO,NOMBRE1,NOMBRE2
Ejem: PEREZ,SOSA,JUAN,LUIS</t>
        </r>
      </text>
    </comment>
    <comment ref="C5" authorId="0" shapeId="0" xr:uid="{00000000-0006-0000-0200-000010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5" authorId="0" shapeId="0" xr:uid="{00000000-0006-0000-0200-000011000000}">
      <text>
        <r>
          <rPr>
            <b/>
            <sz val="9"/>
            <color indexed="81"/>
            <rFont val="Tahoma"/>
            <family val="2"/>
          </rPr>
          <t>NewContaSis:
N° Serie o N° Serie de la maquina registradora.</t>
        </r>
      </text>
    </comment>
    <comment ref="F5" authorId="0" shapeId="0" xr:uid="{00000000-0006-0000-0200-000012000000}">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5" authorId="0" shapeId="0" xr:uid="{00000000-0006-0000-0200-000013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3" authorId="0" shapeId="0" xr:uid="{00000000-0006-0000-0300-000001000000}">
      <text>
        <r>
          <rPr>
            <b/>
            <sz val="9"/>
            <color indexed="81"/>
            <rFont val="Tahoma"/>
            <family val="2"/>
          </rPr>
          <t>NewContaSis:
SOLES (S)
DOLARES AMERICANOS (D)</t>
        </r>
      </text>
    </comment>
    <comment ref="W3" authorId="0" shapeId="0" xr:uid="{00000000-0006-0000-0300-000002000000}">
      <text>
        <r>
          <rPr>
            <b/>
            <sz val="9"/>
            <color indexed="81"/>
            <rFont val="Tahoma"/>
            <family val="2"/>
          </rPr>
          <t>NewContaSis:
Este dato debe estar presente en todas los documentos cuya moneda sea dolares americanos</t>
        </r>
      </text>
    </comment>
    <comment ref="Y3" authorId="0" shapeId="0" xr:uid="{00000000-0006-0000-0300-000003000000}">
      <text>
        <r>
          <rPr>
            <b/>
            <sz val="9"/>
            <color indexed="81"/>
            <rFont val="Tahoma"/>
            <family val="2"/>
          </rPr>
          <t>NewContaSis:
Contado (CON)
Crédito (CRE)</t>
        </r>
      </text>
    </comment>
    <comment ref="AE3" authorId="0" shapeId="0" xr:uid="{00000000-0006-0000-0300-000004000000}">
      <text>
        <r>
          <rPr>
            <b/>
            <sz val="9"/>
            <color indexed="81"/>
            <rFont val="Tahoma"/>
            <family val="2"/>
          </rPr>
          <t>NewContaSis:
Regimen Especial
1   DETRACCION
2   PERCEPCION
3   RETENCION</t>
        </r>
      </text>
    </comment>
    <comment ref="AF3" authorId="0" shapeId="0" xr:uid="{00000000-0006-0000-0300-000005000000}">
      <text>
        <r>
          <rPr>
            <b/>
            <sz val="9"/>
            <color indexed="81"/>
            <rFont val="Tahoma"/>
            <family val="2"/>
          </rPr>
          <t>NewContaSis:
Porcentaje regimen especial</t>
        </r>
      </text>
    </comment>
    <comment ref="AG3" authorId="0" shapeId="0" xr:uid="{00000000-0006-0000-0300-000006000000}">
      <text>
        <r>
          <rPr>
            <b/>
            <sz val="9"/>
            <color indexed="81"/>
            <rFont val="Tahoma"/>
            <family val="2"/>
          </rPr>
          <t>NewContaSis:
Importe regimen especial</t>
        </r>
      </text>
    </comment>
    <comment ref="AH3" authorId="0" shapeId="0" xr:uid="{00000000-0006-0000-0300-000007000000}">
      <text>
        <r>
          <rPr>
            <b/>
            <sz val="9"/>
            <color indexed="81"/>
            <rFont val="Tahoma"/>
            <family val="2"/>
          </rPr>
          <t>NewContaSis:
Serie documento regimen especial</t>
        </r>
      </text>
    </comment>
    <comment ref="AI3" authorId="0" shapeId="0" xr:uid="{00000000-0006-0000-0300-000008000000}">
      <text>
        <r>
          <rPr>
            <b/>
            <sz val="9"/>
            <color indexed="81"/>
            <rFont val="Tahoma"/>
            <family val="2"/>
          </rPr>
          <t>NewContaSis:
Número documento regimen especial</t>
        </r>
      </text>
    </comment>
    <comment ref="AJ3" authorId="0" shapeId="0" xr:uid="{00000000-0006-0000-0300-000009000000}">
      <text>
        <r>
          <rPr>
            <b/>
            <sz val="9"/>
            <color indexed="81"/>
            <rFont val="Tahoma"/>
            <family val="2"/>
          </rPr>
          <t>NewContaSis:
Fecha documento regimen especial</t>
        </r>
      </text>
    </comment>
    <comment ref="AL3" authorId="0" shapeId="0" xr:uid="{00000000-0006-0000-0300-00000A000000}">
      <text>
        <r>
          <rPr>
            <b/>
            <sz val="9"/>
            <color indexed="81"/>
            <rFont val="Tahoma"/>
            <family val="2"/>
          </rPr>
          <t>NewContaSis:
Porcentaje I.G.V.
Ejemplo :    18.00</t>
        </r>
      </text>
    </comment>
    <comment ref="AM3" authorId="0" shapeId="0" xr:uid="{00000000-0006-0000-0300-00000B000000}">
      <text>
        <r>
          <rPr>
            <b/>
            <sz val="9"/>
            <color indexed="81"/>
            <rFont val="Tahoma"/>
            <family val="2"/>
          </rPr>
          <t>NewContaSis:
Glosa</t>
        </r>
      </text>
    </comment>
    <comment ref="AN3" authorId="0" shapeId="0" xr:uid="{00000000-0006-0000-0300-00000C00000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3" authorId="0" shapeId="0" xr:uid="{00000000-0006-0000-0300-00000D000000}">
      <text>
        <r>
          <rPr>
            <b/>
            <sz val="9"/>
            <color indexed="81"/>
            <rFont val="Tahoma"/>
            <family val="2"/>
          </rPr>
          <t>NewContaSis:
1: Si está Dentro
2: Si está Fuera</t>
        </r>
      </text>
    </comment>
    <comment ref="AP3" authorId="0" shapeId="0" xr:uid="{00000000-0006-0000-0300-00000E000000}">
      <text>
        <r>
          <rPr>
            <b/>
            <sz val="9"/>
            <color indexed="81"/>
            <rFont val="Tahoma"/>
            <family val="2"/>
          </rPr>
          <t>NewContaSis:
Importe para cálculo de Régimen Especial</t>
        </r>
      </text>
    </comment>
    <comment ref="H4" authorId="0" shapeId="0" xr:uid="{00000000-0006-0000-0300-00000F000000}">
      <text>
        <r>
          <rPr>
            <b/>
            <sz val="9"/>
            <color indexed="81"/>
            <rFont val="Tahoma"/>
            <family val="2"/>
          </rPr>
          <t>NewContaSis:
Modo de ingreso: 
Para Razón Social
Ejem: INDUSTRIAS PERUANAS S.A.
Para apellidos y nombres separados por comas
PATERNO,MATERNO,NOMBRE1,NOMBRE2
Ejem: PEREZ,SOSA,JUAN,LUIS</t>
        </r>
      </text>
    </comment>
    <comment ref="C5" authorId="0" shapeId="0" xr:uid="{00000000-0006-0000-0300-000010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5" authorId="0" shapeId="0" xr:uid="{00000000-0006-0000-0300-000011000000}">
      <text>
        <r>
          <rPr>
            <b/>
            <sz val="9"/>
            <color indexed="81"/>
            <rFont val="Tahoma"/>
            <family val="2"/>
          </rPr>
          <t>NewContaSis:
N° Serie o N° Serie de la maquina registradora.</t>
        </r>
      </text>
    </comment>
    <comment ref="F5" authorId="0" shapeId="0" xr:uid="{00000000-0006-0000-0300-000012000000}">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5" authorId="0" shapeId="0" xr:uid="{00000000-0006-0000-0300-000013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3" authorId="0" shapeId="0" xr:uid="{00000000-0006-0000-0400-000001000000}">
      <text>
        <r>
          <rPr>
            <b/>
            <sz val="9"/>
            <color indexed="81"/>
            <rFont val="Tahoma"/>
            <family val="2"/>
          </rPr>
          <t>NewContaSis:
SOLES (S)
DOLARES AMERICANOS (D)</t>
        </r>
      </text>
    </comment>
    <comment ref="W3" authorId="0" shapeId="0" xr:uid="{00000000-0006-0000-0400-000002000000}">
      <text>
        <r>
          <rPr>
            <b/>
            <sz val="9"/>
            <color indexed="81"/>
            <rFont val="Tahoma"/>
            <family val="2"/>
          </rPr>
          <t>NewContaSis:
Este dato debe estar presente en todas los documentos cuya moneda sea dolares americanos</t>
        </r>
      </text>
    </comment>
    <comment ref="Y3" authorId="0" shapeId="0" xr:uid="{00000000-0006-0000-0400-000003000000}">
      <text>
        <r>
          <rPr>
            <b/>
            <sz val="9"/>
            <color indexed="81"/>
            <rFont val="Tahoma"/>
            <family val="2"/>
          </rPr>
          <t>NewContaSis:
Contado (CON)
Crédito (CRE)</t>
        </r>
      </text>
    </comment>
    <comment ref="AE3" authorId="0" shapeId="0" xr:uid="{00000000-0006-0000-0400-000004000000}">
      <text>
        <r>
          <rPr>
            <b/>
            <sz val="9"/>
            <color indexed="81"/>
            <rFont val="Tahoma"/>
            <family val="2"/>
          </rPr>
          <t>NewContaSis:
Regimen Especial
1   DETRACCION
2   PERCEPCION
3   RETENCION</t>
        </r>
      </text>
    </comment>
    <comment ref="AF3" authorId="0" shapeId="0" xr:uid="{00000000-0006-0000-0400-000005000000}">
      <text>
        <r>
          <rPr>
            <b/>
            <sz val="9"/>
            <color indexed="81"/>
            <rFont val="Tahoma"/>
            <family val="2"/>
          </rPr>
          <t>NewContaSis:
Porcentaje regimen especial</t>
        </r>
      </text>
    </comment>
    <comment ref="AG3" authorId="0" shapeId="0" xr:uid="{00000000-0006-0000-0400-000006000000}">
      <text>
        <r>
          <rPr>
            <b/>
            <sz val="9"/>
            <color indexed="81"/>
            <rFont val="Tahoma"/>
            <family val="2"/>
          </rPr>
          <t>NewContaSis:
Importe regimen especial</t>
        </r>
      </text>
    </comment>
    <comment ref="AH3" authorId="0" shapeId="0" xr:uid="{00000000-0006-0000-0400-000007000000}">
      <text>
        <r>
          <rPr>
            <b/>
            <sz val="9"/>
            <color indexed="81"/>
            <rFont val="Tahoma"/>
            <family val="2"/>
          </rPr>
          <t>NewContaSis:
Serie documento regimen especial</t>
        </r>
      </text>
    </comment>
    <comment ref="AI3" authorId="0" shapeId="0" xr:uid="{00000000-0006-0000-0400-000008000000}">
      <text>
        <r>
          <rPr>
            <b/>
            <sz val="9"/>
            <color indexed="81"/>
            <rFont val="Tahoma"/>
            <family val="2"/>
          </rPr>
          <t>NewContaSis:
Número documento regimen especial</t>
        </r>
      </text>
    </comment>
    <comment ref="AJ3" authorId="0" shapeId="0" xr:uid="{00000000-0006-0000-0400-000009000000}">
      <text>
        <r>
          <rPr>
            <b/>
            <sz val="9"/>
            <color indexed="81"/>
            <rFont val="Tahoma"/>
            <family val="2"/>
          </rPr>
          <t>NewContaSis:
Fecha documento regimen especial</t>
        </r>
      </text>
    </comment>
    <comment ref="AL3" authorId="0" shapeId="0" xr:uid="{00000000-0006-0000-0400-00000A000000}">
      <text>
        <r>
          <rPr>
            <b/>
            <sz val="9"/>
            <color indexed="81"/>
            <rFont val="Tahoma"/>
            <family val="2"/>
          </rPr>
          <t>NewContaSis:
Porcentaje I.G.V.
Ejemplo :    18.00</t>
        </r>
      </text>
    </comment>
    <comment ref="AM3" authorId="0" shapeId="0" xr:uid="{00000000-0006-0000-0400-00000B000000}">
      <text>
        <r>
          <rPr>
            <b/>
            <sz val="9"/>
            <color indexed="81"/>
            <rFont val="Tahoma"/>
            <family val="2"/>
          </rPr>
          <t>NewContaSis:
Glosa</t>
        </r>
      </text>
    </comment>
    <comment ref="AN3" authorId="0" shapeId="0" xr:uid="{00000000-0006-0000-0400-00000C00000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3" authorId="0" shapeId="0" xr:uid="{00000000-0006-0000-0400-00000D000000}">
      <text>
        <r>
          <rPr>
            <b/>
            <sz val="9"/>
            <color indexed="81"/>
            <rFont val="Tahoma"/>
            <family val="2"/>
          </rPr>
          <t>NewContaSis:
1: Si está Dentro
2: Si está Fuera</t>
        </r>
      </text>
    </comment>
    <comment ref="AP3" authorId="0" shapeId="0" xr:uid="{00000000-0006-0000-0400-00000E000000}">
      <text>
        <r>
          <rPr>
            <b/>
            <sz val="9"/>
            <color indexed="81"/>
            <rFont val="Tahoma"/>
            <family val="2"/>
          </rPr>
          <t>NewContaSis:
Importe para cálculo de Régimen Especial</t>
        </r>
      </text>
    </comment>
    <comment ref="H4" authorId="0" shapeId="0" xr:uid="{00000000-0006-0000-0400-00000F000000}">
      <text>
        <r>
          <rPr>
            <b/>
            <sz val="9"/>
            <color indexed="81"/>
            <rFont val="Tahoma"/>
            <family val="2"/>
          </rPr>
          <t>NewContaSis:
Modo de ingreso: 
Para Razón Social
Ejem: INDUSTRIAS PERUANAS S.A.
Para apellidos y nombres separados por comas
PATERNO,MATERNO,NOMBRE1,NOMBRE2
Ejem: PEREZ,SOSA,JUAN,LUIS</t>
        </r>
      </text>
    </comment>
    <comment ref="C5" authorId="0" shapeId="0" xr:uid="{00000000-0006-0000-0400-000010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5" authorId="0" shapeId="0" xr:uid="{00000000-0006-0000-0400-000011000000}">
      <text>
        <r>
          <rPr>
            <b/>
            <sz val="9"/>
            <color indexed="81"/>
            <rFont val="Tahoma"/>
            <family val="2"/>
          </rPr>
          <t>NewContaSis:
N° Serie o N° Serie de la maquina registradora.</t>
        </r>
      </text>
    </comment>
    <comment ref="F5" authorId="0" shapeId="0" xr:uid="{00000000-0006-0000-0400-000012000000}">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5" authorId="0" shapeId="0" xr:uid="{00000000-0006-0000-0400-000013000000}">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3" authorId="0" shapeId="0" xr:uid="{DACBE03B-CBAC-4D40-8B35-D8031F85C142}">
      <text>
        <r>
          <rPr>
            <b/>
            <sz val="9"/>
            <color indexed="81"/>
            <rFont val="Tahoma"/>
            <family val="2"/>
          </rPr>
          <t>NewContaSis:
SOLES (S)
DOLARES AMERICANOS (D)</t>
        </r>
      </text>
    </comment>
    <comment ref="W3" authorId="0" shapeId="0" xr:uid="{D206322A-01FF-491C-931B-109C9D0F3EAD}">
      <text>
        <r>
          <rPr>
            <b/>
            <sz val="9"/>
            <color indexed="81"/>
            <rFont val="Tahoma"/>
            <family val="2"/>
          </rPr>
          <t>NewContaSis:
Este dato debe estar presente en todas los documentos cuya moneda sea dolares americanos</t>
        </r>
      </text>
    </comment>
    <comment ref="Y3" authorId="0" shapeId="0" xr:uid="{E45ED6EB-EC51-4B80-AFF4-5DC81E5CDAA5}">
      <text>
        <r>
          <rPr>
            <b/>
            <sz val="9"/>
            <color indexed="81"/>
            <rFont val="Tahoma"/>
            <family val="2"/>
          </rPr>
          <t>NewContaSis:
Contado (CON)
Crédito (CRE)</t>
        </r>
      </text>
    </comment>
    <comment ref="AE3" authorId="0" shapeId="0" xr:uid="{25E2A8C2-EA5A-436F-AB77-6B2A0879DAEE}">
      <text>
        <r>
          <rPr>
            <b/>
            <sz val="9"/>
            <color indexed="81"/>
            <rFont val="Tahoma"/>
            <family val="2"/>
          </rPr>
          <t>NewContaSis:
Regimen Especial
1   DETRACCION
2   PERCEPCION
3   RETENCION</t>
        </r>
      </text>
    </comment>
    <comment ref="AF3" authorId="0" shapeId="0" xr:uid="{AB6BB4BE-7FB4-4171-8E8B-6743F6533F0B}">
      <text>
        <r>
          <rPr>
            <b/>
            <sz val="9"/>
            <color indexed="81"/>
            <rFont val="Tahoma"/>
            <family val="2"/>
          </rPr>
          <t>NewContaSis:
Porcentaje regimen especial</t>
        </r>
      </text>
    </comment>
    <comment ref="AG3" authorId="0" shapeId="0" xr:uid="{487AB79D-3A58-45E8-95BD-BD39CE4BB8B7}">
      <text>
        <r>
          <rPr>
            <b/>
            <sz val="9"/>
            <color indexed="81"/>
            <rFont val="Tahoma"/>
            <family val="2"/>
          </rPr>
          <t>NewContaSis:
Importe regimen especial</t>
        </r>
      </text>
    </comment>
    <comment ref="AH3" authorId="0" shapeId="0" xr:uid="{CF90C5BC-CA5A-4A78-871A-C79B8CF75CCA}">
      <text>
        <r>
          <rPr>
            <b/>
            <sz val="9"/>
            <color indexed="81"/>
            <rFont val="Tahoma"/>
            <family val="2"/>
          </rPr>
          <t>NewContaSis:
Serie documento regimen especial</t>
        </r>
      </text>
    </comment>
    <comment ref="AI3" authorId="0" shapeId="0" xr:uid="{45AFBA21-4236-4910-9661-7B420B97DA0E}">
      <text>
        <r>
          <rPr>
            <b/>
            <sz val="9"/>
            <color indexed="81"/>
            <rFont val="Tahoma"/>
            <family val="2"/>
          </rPr>
          <t>NewContaSis:
Número documento regimen especial</t>
        </r>
      </text>
    </comment>
    <comment ref="AJ3" authorId="0" shapeId="0" xr:uid="{AAFB58C3-2FFC-4BD9-806A-C046DF791D05}">
      <text>
        <r>
          <rPr>
            <b/>
            <sz val="9"/>
            <color indexed="81"/>
            <rFont val="Tahoma"/>
            <family val="2"/>
          </rPr>
          <t>NewContaSis:
Fecha documento regimen especial</t>
        </r>
      </text>
    </comment>
    <comment ref="AL3" authorId="0" shapeId="0" xr:uid="{2AACC1A5-D456-4ADC-B946-9896D863C7AA}">
      <text>
        <r>
          <rPr>
            <b/>
            <sz val="9"/>
            <color indexed="81"/>
            <rFont val="Tahoma"/>
            <family val="2"/>
          </rPr>
          <t>NewContaSis:
Porcentaje I.G.V.
Ejemplo :    18.00</t>
        </r>
      </text>
    </comment>
    <comment ref="AM3" authorId="0" shapeId="0" xr:uid="{5A1D8F65-22AD-4DEA-ACED-A1843E15B852}">
      <text>
        <r>
          <rPr>
            <b/>
            <sz val="9"/>
            <color indexed="81"/>
            <rFont val="Tahoma"/>
            <family val="2"/>
          </rPr>
          <t>NewContaSis:
Glosa</t>
        </r>
      </text>
    </comment>
    <comment ref="AN3" authorId="0" shapeId="0" xr:uid="{C4BBE21C-381D-4C91-BB21-DBAA469DD0D2}">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3" authorId="0" shapeId="0" xr:uid="{5713FD2A-E22F-4899-831E-5F73E7A4DBEE}">
      <text>
        <r>
          <rPr>
            <b/>
            <sz val="9"/>
            <color indexed="81"/>
            <rFont val="Tahoma"/>
            <family val="2"/>
          </rPr>
          <t>NewContaSis:
1: Si está Dentro
2: Si está Fuera</t>
        </r>
      </text>
    </comment>
    <comment ref="AP3" authorId="0" shapeId="0" xr:uid="{952D22D7-A610-4A6C-BCFE-858FB66608EF}">
      <text>
        <r>
          <rPr>
            <b/>
            <sz val="9"/>
            <color indexed="81"/>
            <rFont val="Tahoma"/>
            <family val="2"/>
          </rPr>
          <t>NewContaSis:
Importe para cálculo de Régimen Especial</t>
        </r>
      </text>
    </comment>
    <comment ref="H4" authorId="0" shapeId="0" xr:uid="{63F35607-AAA9-44AD-A713-91692CBBE89E}">
      <text>
        <r>
          <rPr>
            <b/>
            <sz val="9"/>
            <color indexed="81"/>
            <rFont val="Tahoma"/>
            <family val="2"/>
          </rPr>
          <t>NewContaSis:
Modo de ingreso: 
Para Razón Social
Ejem: INDUSTRIAS PERUANAS S.A.
Para apellidos y nombres separados por comas
PATERNO,MATERNO,NOMBRE1,NOMBRE2
Ejem: PEREZ,SOSA,JUAN,LUIS</t>
        </r>
      </text>
    </comment>
    <comment ref="C5" authorId="0" shapeId="0" xr:uid="{8BDF268E-25E0-47ED-930D-A040D8ECF435}">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5" authorId="0" shapeId="0" xr:uid="{674AD178-9927-4B3B-8F42-D190B58BA7BC}">
      <text>
        <r>
          <rPr>
            <b/>
            <sz val="9"/>
            <color indexed="81"/>
            <rFont val="Tahoma"/>
            <family val="2"/>
          </rPr>
          <t>NewContaSis:
N° Serie o N° Serie de la maquina registradora.</t>
        </r>
      </text>
    </comment>
    <comment ref="F5" authorId="0" shapeId="0" xr:uid="{EB26ED9E-2643-4681-93AF-FD7BF201B784}">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5" authorId="0" shapeId="0" xr:uid="{E1361323-1D3C-4B75-8574-3AE5B43658D5}">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V1" authorId="0" shapeId="0" xr:uid="{7EAFE433-07D2-45CC-AFD1-7741C93FDB23}">
      <text>
        <r>
          <rPr>
            <b/>
            <sz val="9"/>
            <color indexed="81"/>
            <rFont val="Tahoma"/>
            <family val="2"/>
          </rPr>
          <t>NewContaSis:
SOLES (S)
DOLARES AMERICANOS (D)</t>
        </r>
      </text>
    </comment>
    <comment ref="W1" authorId="0" shapeId="0" xr:uid="{5F9F3E37-0941-461E-98E3-3515349B812C}">
      <text>
        <r>
          <rPr>
            <b/>
            <sz val="9"/>
            <color indexed="81"/>
            <rFont val="Tahoma"/>
            <family val="2"/>
          </rPr>
          <t>NewContaSis:
Este dato debe estar presente en todas los documentos cuya moneda sea dolares americanos</t>
        </r>
      </text>
    </comment>
    <comment ref="Y1" authorId="0" shapeId="0" xr:uid="{3C75964A-711D-4189-A617-42C1AB457C1F}">
      <text>
        <r>
          <rPr>
            <b/>
            <sz val="9"/>
            <color indexed="81"/>
            <rFont val="Tahoma"/>
            <family val="2"/>
          </rPr>
          <t>NewContaSis:
Contado (CON)
Crédito (CRE)</t>
        </r>
      </text>
    </comment>
    <comment ref="AE1" authorId="0" shapeId="0" xr:uid="{D16B40DE-9017-4454-A0F0-5FFD38E35412}">
      <text>
        <r>
          <rPr>
            <b/>
            <sz val="9"/>
            <color indexed="81"/>
            <rFont val="Tahoma"/>
            <family val="2"/>
          </rPr>
          <t>NewContaSis:
Regimen Especial
1   DETRACCION
2   PERCEPCION
3   RETENCION</t>
        </r>
      </text>
    </comment>
    <comment ref="AF1" authorId="0" shapeId="0" xr:uid="{75361457-71C7-427D-ADA8-9B6C5DC3141D}">
      <text>
        <r>
          <rPr>
            <b/>
            <sz val="9"/>
            <color indexed="81"/>
            <rFont val="Tahoma"/>
            <family val="2"/>
          </rPr>
          <t>NewContaSis:
Porcentaje regimen especial</t>
        </r>
      </text>
    </comment>
    <comment ref="AG1" authorId="0" shapeId="0" xr:uid="{D7E5581B-C611-4464-B336-1CD3480683B2}">
      <text>
        <r>
          <rPr>
            <b/>
            <sz val="9"/>
            <color indexed="81"/>
            <rFont val="Tahoma"/>
            <family val="2"/>
          </rPr>
          <t>NewContaSis:
Importe regimen especial</t>
        </r>
      </text>
    </comment>
    <comment ref="AH1" authorId="0" shapeId="0" xr:uid="{C709407A-95FE-42DD-A593-900F89580B77}">
      <text>
        <r>
          <rPr>
            <b/>
            <sz val="9"/>
            <color indexed="81"/>
            <rFont val="Tahoma"/>
            <family val="2"/>
          </rPr>
          <t>NewContaSis:
Serie documento regimen especial</t>
        </r>
      </text>
    </comment>
    <comment ref="AI1" authorId="0" shapeId="0" xr:uid="{822DFA5D-6911-4ECB-9F61-8A2BD75C9306}">
      <text>
        <r>
          <rPr>
            <b/>
            <sz val="9"/>
            <color indexed="81"/>
            <rFont val="Tahoma"/>
            <family val="2"/>
          </rPr>
          <t>NewContaSis:
Número documento regimen especial</t>
        </r>
      </text>
    </comment>
    <comment ref="AJ1" authorId="0" shapeId="0" xr:uid="{AF91F349-861A-4817-A12D-AD190C3C4DF5}">
      <text>
        <r>
          <rPr>
            <b/>
            <sz val="9"/>
            <color indexed="81"/>
            <rFont val="Tahoma"/>
            <family val="2"/>
          </rPr>
          <t>NewContaSis:
Fecha documento regimen especial</t>
        </r>
      </text>
    </comment>
    <comment ref="AL1" authorId="0" shapeId="0" xr:uid="{94500FD5-638C-425E-8DFF-F95BFE1C636A}">
      <text>
        <r>
          <rPr>
            <b/>
            <sz val="9"/>
            <color indexed="81"/>
            <rFont val="Tahoma"/>
            <family val="2"/>
          </rPr>
          <t>NewContaSis:
Porcentaje I.G.V.
Ejemplo :    18.00</t>
        </r>
      </text>
    </comment>
    <comment ref="AM1" authorId="0" shapeId="0" xr:uid="{E0DE90C2-EE9A-4B41-9B85-3EE7C30E8C49}">
      <text>
        <r>
          <rPr>
            <b/>
            <sz val="9"/>
            <color indexed="81"/>
            <rFont val="Tahoma"/>
            <family val="2"/>
          </rPr>
          <t>NewContaSis:
Glosa</t>
        </r>
      </text>
    </comment>
    <comment ref="AN1" authorId="0" shapeId="0" xr:uid="{7B0AED46-78B2-440B-938C-3F6603C2A910}">
      <text>
        <r>
          <rPr>
            <b/>
            <sz val="9"/>
            <color indexed="81"/>
            <rFont val="Tahoma"/>
            <family val="2"/>
          </rPr>
          <t xml:space="preserve">NewContaSis:
Tipo de Medio de Pago
001  DEPOSITO EN CUENTA
002  GIRO
003  TRANSFERENCIA DE FONDOS
004  ORDEN DE PAGO
005  TARJETA DE DÉBITO
006  TARJETA DE CRÉDITO
007  CHEQUES "NO NEGOCIABLE" "INTRANSFERIBLE" "NO A LA ORDEN" U OTRA EQUIVALENTE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1" authorId="0" shapeId="0" xr:uid="{C695C34B-43E6-47FA-9013-88477C80D4E5}">
      <text>
        <r>
          <rPr>
            <b/>
            <sz val="9"/>
            <color indexed="81"/>
            <rFont val="Tahoma"/>
            <family val="2"/>
          </rPr>
          <t>NewContaSis:
1: Si está Dentro
2: Si está Fuera</t>
        </r>
      </text>
    </comment>
    <comment ref="AP1" authorId="0" shapeId="0" xr:uid="{AF334429-00B1-463E-AE42-76311B22E501}">
      <text>
        <r>
          <rPr>
            <b/>
            <sz val="9"/>
            <color indexed="81"/>
            <rFont val="Tahoma"/>
            <family val="2"/>
          </rPr>
          <t>NewContaSis:
Importe para cálculo de Régimen Especial</t>
        </r>
      </text>
    </comment>
    <comment ref="H2" authorId="0" shapeId="0" xr:uid="{EAA021C3-C007-47A5-9CDB-2C01BD93970A}">
      <text>
        <r>
          <rPr>
            <b/>
            <sz val="9"/>
            <color indexed="81"/>
            <rFont val="Tahoma"/>
            <family val="2"/>
          </rPr>
          <t>NewContaSis:
Modo de ingreso: 
Para Razón Social
Ejem: INDUSTRIAS PERUANAS S.A.
Para apellidos y nombres separados por comas
PATERNO,MATERNO,NOMBRE1,NOMBRE2
Ejem: PEREZ,SOSA,JUAN,LUIS</t>
        </r>
      </text>
    </comment>
    <comment ref="C3" authorId="0" shapeId="0" xr:uid="{5A450075-5331-4771-9A46-CB1F05D0EAC8}">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3" authorId="0" shapeId="0" xr:uid="{829662E0-3E5D-4550-9984-9FC037F00A85}">
      <text>
        <r>
          <rPr>
            <b/>
            <sz val="9"/>
            <color indexed="81"/>
            <rFont val="Tahoma"/>
            <family val="2"/>
          </rPr>
          <t>NewContaSis:
N° Serie o N° Serie de la maquina registradora.</t>
        </r>
      </text>
    </comment>
    <comment ref="F3" authorId="0" shapeId="0" xr:uid="{67A61D8F-AC9C-4EA9-88C6-568190744CE7}">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S3" authorId="0" shapeId="0" xr:uid="{DC445D94-22B2-4179-B505-A2191DF507A7}">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List>
</comments>
</file>

<file path=xl/sharedStrings.xml><?xml version="1.0" encoding="utf-8"?>
<sst xmlns="http://schemas.openxmlformats.org/spreadsheetml/2006/main" count="11426" uniqueCount="910">
  <si>
    <t>FECHA DE EMISION DEL COMPROBANTE DE PAGO O DOCUMENTO</t>
  </si>
  <si>
    <t>FECHA DE VENCIMIENTO O FECHA DE PAGO</t>
  </si>
  <si>
    <t>COMPROBANTE DE PAGO O DOCUMENTO</t>
  </si>
  <si>
    <t>TIPO</t>
  </si>
  <si>
    <t>N° SERIE/N° SERIE MAQ REGIS</t>
  </si>
  <si>
    <t>NUMERO</t>
  </si>
  <si>
    <t>INFORMACION DEL CLIENTE</t>
  </si>
  <si>
    <t>DOCUMENTO IDENTIDAD</t>
  </si>
  <si>
    <t>APELLIDOS Y NOMBRES, DENOMINACION O RAZON SOCIAL</t>
  </si>
  <si>
    <t>VALOR FACTURADO DE LA EXPORTACION</t>
  </si>
  <si>
    <t>BASE IMPONIBLE DE LA OPERACION GRAVADA</t>
  </si>
  <si>
    <t>IMPORTE TOTAL DE LA OPERACION EXONERADA O INAFECTA</t>
  </si>
  <si>
    <t>EXONERADA</t>
  </si>
  <si>
    <t>INAFECTA</t>
  </si>
  <si>
    <t>ISC</t>
  </si>
  <si>
    <t>IGV Y/O IPM</t>
  </si>
  <si>
    <t>OTROS TRIBUTOS Y CARGOS QUE NO FORMAN PARTE DE LA BASE IMPONIBLE</t>
  </si>
  <si>
    <t>IMPORTE TOTAL DEL COMPROBANTE DE PAGO</t>
  </si>
  <si>
    <t>TIPO DE CAMBIO</t>
  </si>
  <si>
    <t>REFERENCIA DEL COMPROBANTE DE PAGO O DOCUMENTO ORIGINAL QUE SE MODIFICA</t>
  </si>
  <si>
    <t>FECHA</t>
  </si>
  <si>
    <t>SERIE</t>
  </si>
  <si>
    <t>N° COMPROBANTE PAGO O DOCUMENTO</t>
  </si>
  <si>
    <t>MONEDA</t>
  </si>
  <si>
    <t>EQUIVALENTE EN DOLARES AMERICANOS</t>
  </si>
  <si>
    <t>FECHA VENCIMIENTO</t>
  </si>
  <si>
    <t>CONDICION CONTADO/CREDITO</t>
  </si>
  <si>
    <t>CODIGO CENTRO DE COSTOS</t>
  </si>
  <si>
    <t>CODIGO CENTRO DE COSTOS 2</t>
  </si>
  <si>
    <t>CUENTA CONTABLE BASE IMPONIBLE</t>
  </si>
  <si>
    <t>CUENTA CONTABLE OTROS TRIBUTOS Y CARGOS</t>
  </si>
  <si>
    <t>CUENTA CONTABLE TOTAL</t>
  </si>
  <si>
    <t>REGIMEN ESPECIAL</t>
  </si>
  <si>
    <t>PORCENTAJE REGIMEN ESPECIAL</t>
  </si>
  <si>
    <t>IMPORTE REGIMEN ESPECIAL</t>
  </si>
  <si>
    <t>SERIE DOCUMENTO REGIMEN ESPECIAL</t>
  </si>
  <si>
    <t>NUMERO DOCUMENTO REGIMEN ESPECIAL</t>
  </si>
  <si>
    <t>FECHA DOCUMENTO REGIMEN ESPECIAL</t>
  </si>
  <si>
    <t>CODIGO PRESUPUESTO</t>
  </si>
  <si>
    <t>PORCENTAJE I.G.V.</t>
  </si>
  <si>
    <t>GLOSA</t>
  </si>
  <si>
    <t>MEDIO DE PAGO</t>
  </si>
  <si>
    <t>CONDICIÓN DE PERCEPCIÓN</t>
  </si>
  <si>
    <t>IMPORTE PARA CALCULO RÉGIMEN ESPECIAL</t>
  </si>
  <si>
    <t>FORMATO REGISTRO DE VENTAS  - NewContaSis</t>
  </si>
  <si>
    <t>01</t>
  </si>
  <si>
    <t>6</t>
  </si>
  <si>
    <t>S</t>
  </si>
  <si>
    <t>1212</t>
  </si>
  <si>
    <t>70121</t>
  </si>
  <si>
    <t>VENTA LOCAL DE MERCADERIAS</t>
  </si>
  <si>
    <t>009</t>
  </si>
  <si>
    <t>03</t>
  </si>
  <si>
    <t>00B001</t>
  </si>
  <si>
    <t>1</t>
  </si>
  <si>
    <t>00F001</t>
  </si>
  <si>
    <t>07</t>
  </si>
  <si>
    <t>ANULACION DE LA OPERACIÓN</t>
  </si>
  <si>
    <t>08</t>
  </si>
  <si>
    <t>PAGO DE INTERES</t>
  </si>
  <si>
    <t xml:space="preserve">1 </t>
  </si>
  <si>
    <t>CON</t>
  </si>
  <si>
    <t>5714</t>
  </si>
  <si>
    <t>CRE</t>
  </si>
  <si>
    <t>TRANSFERENCIA GRATUITA</t>
  </si>
  <si>
    <t>6083</t>
  </si>
  <si>
    <t>7598</t>
  </si>
  <si>
    <t>6095</t>
  </si>
  <si>
    <t>6179</t>
  </si>
  <si>
    <t>6196</t>
  </si>
  <si>
    <t>6229</t>
  </si>
  <si>
    <t>ALEJANDRINA QUINTANILLA HUAMAN</t>
  </si>
  <si>
    <t>ERLIN ESPIRITU LINO</t>
  </si>
  <si>
    <t>SUCY LUZMILA AVILA GOMEZ</t>
  </si>
  <si>
    <t>MIGUEL ANGEL HUZCO PUENTE</t>
  </si>
  <si>
    <t>MIGUEL EDUARDO GUTARRA HUAMANI</t>
  </si>
  <si>
    <t>OSCAR SOTO FLORES</t>
  </si>
  <si>
    <t>TANIA ALVA AGREDA MORALES</t>
  </si>
  <si>
    <t>F001</t>
  </si>
  <si>
    <t>B001</t>
  </si>
  <si>
    <t>6192</t>
  </si>
  <si>
    <t>6388</t>
  </si>
  <si>
    <t>6480</t>
  </si>
  <si>
    <t>6520</t>
  </si>
  <si>
    <t>6537</t>
  </si>
  <si>
    <t>6511</t>
  </si>
  <si>
    <t>CORPORATION'S ERICK E.I.R.L</t>
  </si>
  <si>
    <t>ASTORAY MAYTA BETZY KAREN</t>
  </si>
  <si>
    <t>ORELLANA MUNIVE JUAN CARLOS</t>
  </si>
  <si>
    <t>MARTINEZ ROMERO JUANITO GOYO</t>
  </si>
  <si>
    <t>LENNIN FREDDY GARCIA HUAYTA</t>
  </si>
  <si>
    <t>LUIS ANTONIO CAMARENA RICSE</t>
  </si>
  <si>
    <t>ELSA ELVA ROJAS GARCIA</t>
  </si>
  <si>
    <t>ISAAC MITCHAEL VEGA RAMIREZ</t>
  </si>
  <si>
    <t>RICHAR ALFREDO ENRIQUE PAITAMPOMA</t>
  </si>
  <si>
    <t>EMANUEL PALACIOS LUJAN</t>
  </si>
  <si>
    <t>JUANITO GOYO MARTINEZ ROMERO</t>
  </si>
  <si>
    <t>6631</t>
  </si>
  <si>
    <t>6540</t>
  </si>
  <si>
    <t>6663</t>
  </si>
  <si>
    <t>42087809</t>
  </si>
  <si>
    <t>BENITO JOSE BRAVO OSORES</t>
  </si>
  <si>
    <t>73245271</t>
  </si>
  <si>
    <t>LIZ KELY ROJAS PAUCARCAJA</t>
  </si>
  <si>
    <t>48701641</t>
  </si>
  <si>
    <t>BENHUR ANTONIO OSCO CASIMIRO</t>
  </si>
  <si>
    <t>45247510</t>
  </si>
  <si>
    <t>JORGE ENRIQUEZ CASTILLO</t>
  </si>
  <si>
    <t>45031440</t>
  </si>
  <si>
    <t>HONORIO CASTILLON URRUTIA</t>
  </si>
  <si>
    <t>20584238</t>
  </si>
  <si>
    <t>REMIGIO LUJAN GONZALON</t>
  </si>
  <si>
    <t>71132493</t>
  </si>
  <si>
    <t>JORGE ELIAS ALARCON VILLANO</t>
  </si>
  <si>
    <t>20983399</t>
  </si>
  <si>
    <t>ROBERTO EVERARDO PAUCAR CERRON</t>
  </si>
  <si>
    <t>48302116</t>
  </si>
  <si>
    <t>KAROL MATOS ROJAS</t>
  </si>
  <si>
    <t>41770114</t>
  </si>
  <si>
    <t>CARI RUTH OROSCO PERALTA</t>
  </si>
  <si>
    <t>74423277</t>
  </si>
  <si>
    <t>ANITA YUMIRA RAMOS BERNARDINO</t>
  </si>
  <si>
    <t>77292731</t>
  </si>
  <si>
    <t>GELIN SAYNA MARCAS CHAHUAYLACC</t>
  </si>
  <si>
    <t>19864367</t>
  </si>
  <si>
    <t>BETZABETH ELVA ROJAS BAQUERIZO</t>
  </si>
  <si>
    <t>46038076</t>
  </si>
  <si>
    <t>JOHANA MIREYA PIÐAS OROYA</t>
  </si>
  <si>
    <t>75271367</t>
  </si>
  <si>
    <t>JADE DULCE FLORES DE LA CRUZ</t>
  </si>
  <si>
    <t>74235900</t>
  </si>
  <si>
    <t>ARACELI TATIANA CAMPOSANO ORTIZ</t>
  </si>
  <si>
    <t>76469914</t>
  </si>
  <si>
    <t>FREDY ALBERTO MALDONADO YARANGA</t>
  </si>
  <si>
    <t>72610963</t>
  </si>
  <si>
    <t>YOSELIN MERLY CUELLAR MALLQUI</t>
  </si>
  <si>
    <t>20998157</t>
  </si>
  <si>
    <t>GABINA DOMINGA CANO NOYA</t>
  </si>
  <si>
    <t>48426433</t>
  </si>
  <si>
    <t>ERIKA CHUMBES APOLINARIO</t>
  </si>
  <si>
    <t>60010791</t>
  </si>
  <si>
    <t>SHIRLEY LESLY RIBBECK FLORES</t>
  </si>
  <si>
    <t>21006641</t>
  </si>
  <si>
    <t>EDGAR SAENZ CENTENO</t>
  </si>
  <si>
    <t>70350120</t>
  </si>
  <si>
    <t>SARITA ESTHER SURICHAQUI CORDERO</t>
  </si>
  <si>
    <t>61055733</t>
  </si>
  <si>
    <t>ENRIQUE RUBEN DE LA CRUZ LAURA</t>
  </si>
  <si>
    <t>71506175</t>
  </si>
  <si>
    <t>BLADIMIR MANTARI FLORES</t>
  </si>
  <si>
    <t>41144872</t>
  </si>
  <si>
    <t>EDDY CARINA NINANYA YAURIVILCA</t>
  </si>
  <si>
    <t>45020050</t>
  </si>
  <si>
    <t>HAYDEE CAMPEAN VASQUEZ</t>
  </si>
  <si>
    <t>74077857</t>
  </si>
  <si>
    <t>JORYIMA MILANDA ALMONACID NOYA</t>
  </si>
  <si>
    <t>74853368</t>
  </si>
  <si>
    <t>THALIA ROSA CAINICELA QUISPE</t>
  </si>
  <si>
    <t>60342262</t>
  </si>
  <si>
    <t>AXEL BRENER SALAZAR ROMERO</t>
  </si>
  <si>
    <t>47658861</t>
  </si>
  <si>
    <t>NADINE NAVARRO CHAVEZ</t>
  </si>
  <si>
    <t>71219059</t>
  </si>
  <si>
    <t>MARIO EDUARDO BELLIDO SILVA</t>
  </si>
  <si>
    <t>47242198</t>
  </si>
  <si>
    <t>JEANNETT MILAGROS VENTURA FLORES</t>
  </si>
  <si>
    <t>44507309</t>
  </si>
  <si>
    <t>ANA JESSICA MAUCAYLLE TORRES</t>
  </si>
  <si>
    <t>61302235</t>
  </si>
  <si>
    <t>ANDERSON ALAN GARCIA CONDORI</t>
  </si>
  <si>
    <t>73667960</t>
  </si>
  <si>
    <t>ROSARIO MAVI MALDONADO BONIFACIO</t>
  </si>
  <si>
    <t>75873065</t>
  </si>
  <si>
    <t>73141042</t>
  </si>
  <si>
    <t>DARLIN ARIANA SINACAY ESPINOZA</t>
  </si>
  <si>
    <t>74967417</t>
  </si>
  <si>
    <t>DANIELA ASTO CARRION</t>
  </si>
  <si>
    <t>45733056</t>
  </si>
  <si>
    <t>JULIO CESAR CAMPOS DE LA CRUZ</t>
  </si>
  <si>
    <t>40476143</t>
  </si>
  <si>
    <t>46811244</t>
  </si>
  <si>
    <t>SERAFINA LEYTE SEDANO</t>
  </si>
  <si>
    <t>74164844</t>
  </si>
  <si>
    <t>ESTEBAN DELIO VELIZ DE LA CRUZ</t>
  </si>
  <si>
    <t>75279935</t>
  </si>
  <si>
    <t>GINA KATERIN CUTIMANCO PORTILLO</t>
  </si>
  <si>
    <t>74403870</t>
  </si>
  <si>
    <t>ALDAYR QUINTANA CASANDRO</t>
  </si>
  <si>
    <t>45944775</t>
  </si>
  <si>
    <t>70041970</t>
  </si>
  <si>
    <t>MERLY MILAGROS ARAUCO MEDRANO</t>
  </si>
  <si>
    <t>41795209</t>
  </si>
  <si>
    <t>GUILLERMO ROMEL TERREROS MARIANO</t>
  </si>
  <si>
    <t>74773559</t>
  </si>
  <si>
    <t>AXEL BRUNNER CABRERA ALVINO</t>
  </si>
  <si>
    <t>76205279</t>
  </si>
  <si>
    <t>DAVID NEHEMIAS GAMARRA DE LA CRUZ</t>
  </si>
  <si>
    <t>42839732</t>
  </si>
  <si>
    <t>OMAR CORONEL HUAMANCHAQUI</t>
  </si>
  <si>
    <t>41935649</t>
  </si>
  <si>
    <t>ROSSIO FLOR FLORES PAHUACHO</t>
  </si>
  <si>
    <t>61590067</t>
  </si>
  <si>
    <t>FLORENCIO MUNGUI ZACARIAS</t>
  </si>
  <si>
    <t>47842568</t>
  </si>
  <si>
    <t>GRECIA LIZBETH FLORES GARCIA</t>
  </si>
  <si>
    <t>46741077</t>
  </si>
  <si>
    <t>NELLY ROCIO LAGUNA GARCILAZO</t>
  </si>
  <si>
    <t>70468701</t>
  </si>
  <si>
    <t>CESI VANESSA ORTIZ HINOSTROZA</t>
  </si>
  <si>
    <t>74125993</t>
  </si>
  <si>
    <t>ISAAC ROMULO LLANCO CAYSAHUANA</t>
  </si>
  <si>
    <t>44519652</t>
  </si>
  <si>
    <t>RAQUEL MAYTA ORTIZ</t>
  </si>
  <si>
    <t>45227343</t>
  </si>
  <si>
    <t>NAHINMA DOROTTY SANCHEZ PEREZ</t>
  </si>
  <si>
    <t>40089955</t>
  </si>
  <si>
    <t>MARINO PETER ORTEGA SILVA</t>
  </si>
  <si>
    <t>45809401</t>
  </si>
  <si>
    <t>70511284</t>
  </si>
  <si>
    <t>ANTONIO SEVERO LLAVE MOYA</t>
  </si>
  <si>
    <t>60845343</t>
  </si>
  <si>
    <t>WALTER JAMPOL RONCAL CAMPOS</t>
  </si>
  <si>
    <t>42361735</t>
  </si>
  <si>
    <t>ELIZABETH DE LA CRUZ CHUMPATE</t>
  </si>
  <si>
    <t>44412721</t>
  </si>
  <si>
    <t>10733619983</t>
  </si>
  <si>
    <t>DAVID JOSIAS ULLOA RODRIGUEZ</t>
  </si>
  <si>
    <t>10754128769</t>
  </si>
  <si>
    <t>ALIZ CANCHANYA CAJA</t>
  </si>
  <si>
    <t>10209980270</t>
  </si>
  <si>
    <t>NESTOR ADRIAN MANTARI ROMERO</t>
  </si>
  <si>
    <t>20615098451</t>
  </si>
  <si>
    <t>LA 14COM IMPORTA TECH S.A.C.</t>
  </si>
  <si>
    <t>20568685424</t>
  </si>
  <si>
    <t>VISUAL┤S MERCHANDISING S.A.C.</t>
  </si>
  <si>
    <t>20613648861</t>
  </si>
  <si>
    <t>CONSORCIO LEON</t>
  </si>
  <si>
    <t>74285650</t>
  </si>
  <si>
    <t>ELIZABETH SOLEDAD ESPINOZA CAMPOS</t>
  </si>
  <si>
    <t>72550688</t>
  </si>
  <si>
    <t>SHEILY ASUNCION USURRIAGA DOMINGUEZ</t>
  </si>
  <si>
    <t>76986198</t>
  </si>
  <si>
    <t>LIZ KARINA SALOME DE LA CRUZ</t>
  </si>
  <si>
    <t>5777</t>
  </si>
  <si>
    <t>260</t>
  </si>
  <si>
    <t>272</t>
  </si>
  <si>
    <t>824</t>
  </si>
  <si>
    <t>71380105</t>
  </si>
  <si>
    <t>74554506</t>
  </si>
  <si>
    <t>LEIA LEIVA LIMAYLLA</t>
  </si>
  <si>
    <t>42620979</t>
  </si>
  <si>
    <t>ERBER JULIO ZACARIAS BALDEON</t>
  </si>
  <si>
    <t>61642850</t>
  </si>
  <si>
    <t>43528537</t>
  </si>
  <si>
    <t>JUAN CARLOS ORELLANA MUNIVE</t>
  </si>
  <si>
    <t>21010783</t>
  </si>
  <si>
    <t>20962819</t>
  </si>
  <si>
    <t>46251125</t>
  </si>
  <si>
    <t>72974293</t>
  </si>
  <si>
    <t>BETZY KAREN ASTORAY MAYTA</t>
  </si>
  <si>
    <t>74882559</t>
  </si>
  <si>
    <t>MAILI ELY COSSIOS RONCAL</t>
  </si>
  <si>
    <t>62657629</t>
  </si>
  <si>
    <t>74318396</t>
  </si>
  <si>
    <t>ANGEL RONALDO PALOMINO ESPINOZA</t>
  </si>
  <si>
    <t>44502205</t>
  </si>
  <si>
    <t>48509993</t>
  </si>
  <si>
    <t>VIOLETA LUZ LOZANO VICENTE</t>
  </si>
  <si>
    <t>73389571</t>
  </si>
  <si>
    <t>42565813</t>
  </si>
  <si>
    <t>44223633</t>
  </si>
  <si>
    <t>46204118</t>
  </si>
  <si>
    <t>20992961</t>
  </si>
  <si>
    <t>74588712</t>
  </si>
  <si>
    <t>46923028</t>
  </si>
  <si>
    <t>10739253</t>
  </si>
  <si>
    <t>71659238</t>
  </si>
  <si>
    <t>NIK DHEIVYS GONZALES MAMANI</t>
  </si>
  <si>
    <t>71000912</t>
  </si>
  <si>
    <t>SARA GISSELA MERINO ORTEGA</t>
  </si>
  <si>
    <t>73666073</t>
  </si>
  <si>
    <t>BRANDON JHON INOCENTE CABALLERO</t>
  </si>
  <si>
    <t>6600</t>
  </si>
  <si>
    <t>6455</t>
  </si>
  <si>
    <t>6661</t>
  </si>
  <si>
    <t>6646</t>
  </si>
  <si>
    <t>6794</t>
  </si>
  <si>
    <t>6850</t>
  </si>
  <si>
    <t>6782</t>
  </si>
  <si>
    <t>6577</t>
  </si>
  <si>
    <t>5731</t>
  </si>
  <si>
    <t>5956</t>
  </si>
  <si>
    <t>AMELIA MARINA MEZA ÑAUPA</t>
  </si>
  <si>
    <t>EDWAR GALVEZ MUÑOZ</t>
  </si>
  <si>
    <t>BRAYAN EDUARDO NUÑEZ FLORES</t>
  </si>
  <si>
    <t>GABY PILAR SALINAS PEÑA</t>
  </si>
  <si>
    <t>DEIZ GONZALES PEÑA</t>
  </si>
  <si>
    <t>GERSON JUVENCIO VICUÑA HUAYNALAYA</t>
  </si>
  <si>
    <t>42955229</t>
  </si>
  <si>
    <t>61055416</t>
  </si>
  <si>
    <t>48040531</t>
  </si>
  <si>
    <t>04322001</t>
  </si>
  <si>
    <t>ALVARADO MIRANDA MADAI ZILPA</t>
  </si>
  <si>
    <t>ALVAREZ TORRES ROCIO ORIANA</t>
  </si>
  <si>
    <t>GRANADOS VELIZ EMORY NAELA</t>
  </si>
  <si>
    <t>APOLINARIO ENRIQUE GONZALO LUIS</t>
  </si>
  <si>
    <t>VITOR RAMOS LUZ MERY</t>
  </si>
  <si>
    <t>JULCARIMA TRUJILLO GERALDINE NORELLIA</t>
  </si>
  <si>
    <t>RODRIGUEZ VILCAPOMA GABRIELA ANDREA</t>
  </si>
  <si>
    <t>VALENTIN ORIHUELA ROGELIO DELIO</t>
  </si>
  <si>
    <t>CARDENAS LAVADO FRANK WILLY</t>
  </si>
  <si>
    <t>MEDINA AMAO BRANDO JHAMPIER</t>
  </si>
  <si>
    <t>PAEZ SAMANIEGO FREDY EDINSON</t>
  </si>
  <si>
    <t>REYES RIVAS MAXWELL ALEX</t>
  </si>
  <si>
    <t>LAGUNA GARCILAZO NELLY ROCIO</t>
  </si>
  <si>
    <t>HUAMANYALLI MERCADO YANETT DAMARIS</t>
  </si>
  <si>
    <t>MORENO QUISPE NORMA YENY</t>
  </si>
  <si>
    <t>FLORES GARCIA GRECIA LIZBETH</t>
  </si>
  <si>
    <t>LOZANO PERALES SUMY GINMENA</t>
  </si>
  <si>
    <t>CAYSAHUANA MERCADO ROBERT RONALD</t>
  </si>
  <si>
    <t>CABELLO GOMEZ ADRIAN HILDEBRANDO</t>
  </si>
  <si>
    <t>ARONI TORRES BETSY YULISSA</t>
  </si>
  <si>
    <t>HUAMAN FUENTES LILIANA ROSALINDA</t>
  </si>
  <si>
    <t>ALEJOS SALVADOR CARLA SOLANGE</t>
  </si>
  <si>
    <t>AMADOR MONZON SANTOS MILDER</t>
  </si>
  <si>
    <t>TORRES QUIROZ TANIA LUCERO</t>
  </si>
  <si>
    <t>MATAMOROS ALTAMIRANO DORIS BEATRIZ</t>
  </si>
  <si>
    <t>MALDONADO MEZA FIORELLA MAGALY</t>
  </si>
  <si>
    <t>VIGILIO GOMEZ DENIS LUIS</t>
  </si>
  <si>
    <t>PAUCAR AYSANA DIANA MINERVA</t>
  </si>
  <si>
    <t>VELIZ POMA JHORDAN RONALDO</t>
  </si>
  <si>
    <t>ALANYA ARIAS ADALUZ ELIZABETH</t>
  </si>
  <si>
    <t>AMBROCIO HUARCAYA HEYNER ALDIS</t>
  </si>
  <si>
    <t>LLOCLLA CAINICELA MIRIAN NOELIA</t>
  </si>
  <si>
    <t>ERAZO CONDORI HOLGA</t>
  </si>
  <si>
    <t>HUAMAN CORDOVA TALIA LIDIA</t>
  </si>
  <si>
    <t>ROJAS NOYA TEOFILO FRANCISCO</t>
  </si>
  <si>
    <t>MEDINA KLER GIOVANNA ROSA</t>
  </si>
  <si>
    <t>VALVERDE CARDENAS NAYELI FIORELA</t>
  </si>
  <si>
    <t>VASQUEZ CAÑABI BRIGHITH YANINA</t>
  </si>
  <si>
    <t>CAMARGO LAUREANO SEGUNDO SAMUEL</t>
  </si>
  <si>
    <t>PALLARTA MARTINEZ ANTONY ALEX</t>
  </si>
  <si>
    <t>MALPARTIDA HUIZA BRANDON ALEXIS</t>
  </si>
  <si>
    <t>RIBBECK FLORES SHIRLEY LESLY</t>
  </si>
  <si>
    <t>CHIHUAN ARTEAGA EDITH ROSSIO</t>
  </si>
  <si>
    <t>AVILA CUYUBAMBA IDA ELISA</t>
  </si>
  <si>
    <t>SILVESTRE RIVERA EDINSON ELMER</t>
  </si>
  <si>
    <t>CANO CHURAMPI JOEL RUYES</t>
  </si>
  <si>
    <t>GAGO ORE RAUL HERNAN</t>
  </si>
  <si>
    <t>OSORES ZARATE YEVI YOEL</t>
  </si>
  <si>
    <t xml:space="preserve">PIZARRO BRAVO VALERIANA </t>
  </si>
  <si>
    <t>SAJAMI BENDEZU SAJAMI</t>
  </si>
  <si>
    <t xml:space="preserve">ONCEBAY PROSIL LILIANA </t>
  </si>
  <si>
    <t xml:space="preserve">GARCIA FERNANDEZ ALBERTO </t>
  </si>
  <si>
    <t xml:space="preserve">HUANCAS ARROYO PEDRO </t>
  </si>
  <si>
    <t xml:space="preserve">LAUREANO MANTARI ROSARIO </t>
  </si>
  <si>
    <t xml:space="preserve">FERNANDEZ SAENZ EFRAIN </t>
  </si>
  <si>
    <t xml:space="preserve">BARRERA RIVERA CESAR </t>
  </si>
  <si>
    <t xml:space="preserve">MUNGUI ZACARIAS FLORENCIO </t>
  </si>
  <si>
    <t xml:space="preserve">MAYTA MILLAN ROLANDO </t>
  </si>
  <si>
    <t xml:space="preserve">ESPINOZA DE HUARACA MICHE JULIA </t>
  </si>
  <si>
    <t xml:space="preserve">TOLENTINO SINCHE GRABIEL </t>
  </si>
  <si>
    <t xml:space="preserve">MICHEL ORTIZ PAMELA </t>
  </si>
  <si>
    <t xml:space="preserve">PAUCAR VICENTE YAKI </t>
  </si>
  <si>
    <t xml:space="preserve">JAUNI SEGOVIA ELI </t>
  </si>
  <si>
    <t>CAJA DE LA O CAJA CAMILA ESMERALDA</t>
  </si>
  <si>
    <t>ROMERO MUÑOZ GABRIEL ROMERO</t>
  </si>
  <si>
    <t xml:space="preserve">PACHECO ORCON JAZZMANI </t>
  </si>
  <si>
    <t xml:space="preserve">CARHUALLANQUI DE LA O EDITH </t>
  </si>
  <si>
    <t xml:space="preserve">UNTIVEROS SUAREZ BERTHA </t>
  </si>
  <si>
    <t xml:space="preserve">CERVAN VILLAR CELSA </t>
  </si>
  <si>
    <t>DE LA CRUZ VELIZ ELIAQUIN MIGUEL</t>
  </si>
  <si>
    <t xml:space="preserve">LAURA RUIZ ANAIZ </t>
  </si>
  <si>
    <t xml:space="preserve">GALVAN MATTOS EDITH </t>
  </si>
  <si>
    <t xml:space="preserve">MEZA BARJA OVER </t>
  </si>
  <si>
    <t xml:space="preserve">ZACARIAS CARBAJAL GISELLA </t>
  </si>
  <si>
    <t xml:space="preserve">ERAZO CONDORI HOLGA </t>
  </si>
  <si>
    <t xml:space="preserve">LIZARRAGA CHANDRA GERSON </t>
  </si>
  <si>
    <t>04322002</t>
  </si>
  <si>
    <t>10733885420</t>
  </si>
  <si>
    <t>LUZ MADELEYNE MORAN QUISPE</t>
  </si>
  <si>
    <t>10460219308</t>
  </si>
  <si>
    <t>ADALUZ ELIZABETH ALANYA ARIAS</t>
  </si>
  <si>
    <t>10400916492</t>
  </si>
  <si>
    <t>EDWIN RAUL CASTRO TENORIO</t>
  </si>
  <si>
    <t>7116</t>
  </si>
  <si>
    <t>20603118317</t>
  </si>
  <si>
    <t>821</t>
  </si>
  <si>
    <t>HUZCO PUENTE MIGUEL ANGEL</t>
  </si>
  <si>
    <t>DE LA CRUZ LAURA ENRIQUE RUBEN</t>
  </si>
  <si>
    <t>LOZANO VICENTE VIOLETA LUZ</t>
  </si>
  <si>
    <t>ROJAS GARCIA ELSA ELVA</t>
  </si>
  <si>
    <t>NUÑEZ FLORES BRAYAN EDUARDO</t>
  </si>
  <si>
    <t>GUTARRA HUAMANI MIGUEL EDUARDO</t>
  </si>
  <si>
    <t>PALOMINO ESPINOZA ANGEL RONALDO</t>
  </si>
  <si>
    <t>ZACARIAS BALDEON ERBER JULIO</t>
  </si>
  <si>
    <t>GARCIA HUAYTA LENNIN FREDDY</t>
  </si>
  <si>
    <t>MATAMOROS ALTAMIRANO BRECHT BELLA</t>
  </si>
  <si>
    <t>INOCENTE CABALLERO BRANDON JHON</t>
  </si>
  <si>
    <t>AGREDA MORALES TANIA ALVA</t>
  </si>
  <si>
    <t>COSSIOS RONCAL MAILI ELY</t>
  </si>
  <si>
    <t>LUJAN EMANUEL PALACIOS</t>
  </si>
  <si>
    <t>REVILLA CHACON NILDA FRIDA</t>
  </si>
  <si>
    <t>ENRIQUE PAITAMPOMA RICHAR ALFREDO</t>
  </si>
  <si>
    <t>ORTIZ PAMELA MICHEL</t>
  </si>
  <si>
    <t>SINCHE GRABIEL TOLENTINO</t>
  </si>
  <si>
    <t>72293248</t>
  </si>
  <si>
    <t>20567769</t>
  </si>
  <si>
    <t>6947</t>
  </si>
  <si>
    <t>6885</t>
  </si>
  <si>
    <t>6561</t>
  </si>
  <si>
    <t>7069</t>
  </si>
  <si>
    <t>7067</t>
  </si>
  <si>
    <t>7058</t>
  </si>
  <si>
    <t>20998750</t>
  </si>
  <si>
    <t>48258762</t>
  </si>
  <si>
    <t>04218486</t>
  </si>
  <si>
    <t>09013704</t>
  </si>
  <si>
    <t>GUTIERREZ MEDINA GABY RUT</t>
  </si>
  <si>
    <t>SANTIAGO MAURICIO CARLOS FRANKLIN</t>
  </si>
  <si>
    <t>DE LA CRUZ APOLINARIO MARCO ANTONIO</t>
  </si>
  <si>
    <t>CAÑAVI TORRES REYNA EDITH</t>
  </si>
  <si>
    <t>GONZALES SILUPU MABEL ROSARIO</t>
  </si>
  <si>
    <t>SALVATIERRA RAMOS JHON ERIK</t>
  </si>
  <si>
    <t>RAMOS ESPINOZA DAYANA PAMELA</t>
  </si>
  <si>
    <t>LAZO VALERO CIRO JHON</t>
  </si>
  <si>
    <t>QUINTO CAÑARI ANGEL LUIS</t>
  </si>
  <si>
    <t>MEZA HUAMAN PATRICIA BRIGITH</t>
  </si>
  <si>
    <t>ROJAS PAUCARCAJA LIZ KELY</t>
  </si>
  <si>
    <t>TORRES PEREZ JESUS PASCUAL</t>
  </si>
  <si>
    <t>CAMPEAN NAVARRO JANET FIORELLA</t>
  </si>
  <si>
    <t>CHANDRA GERSON LIZARRAGA</t>
  </si>
  <si>
    <t>ROJAS BAQUERIZO BETZABETH ELVA</t>
  </si>
  <si>
    <t>SEGUIL BENITO BILLY JHOEL</t>
  </si>
  <si>
    <t>ALVARADO GILBONIO BRIZED MARILUZ</t>
  </si>
  <si>
    <t>AMARO CORONEL VICTOR RAUL</t>
  </si>
  <si>
    <t>MORALES VELIZ JOSEFINA EDITH</t>
  </si>
  <si>
    <t>ROMERO CHAMORRO GABY MARBENY</t>
  </si>
  <si>
    <t>ENRIQUE ROMERO CAROL YULY</t>
  </si>
  <si>
    <t>RAMOS JUANA ORELLANA</t>
  </si>
  <si>
    <t>CERRON POMA YENNI NASHELI</t>
  </si>
  <si>
    <t>AVELLANEDA DE LA O ESTEFANY DIANA</t>
  </si>
  <si>
    <t>SALAZAR VILLALVA JACQUELI YESSENIA</t>
  </si>
  <si>
    <t>BOVIS VEGA JUANITA LUZ</t>
  </si>
  <si>
    <t>TORRES AVENIA HUAYLINOS</t>
  </si>
  <si>
    <t>LOPEZ PANTOJA MARITTE AIMEE</t>
  </si>
  <si>
    <t>CENTENO EDGAR SAENZ</t>
  </si>
  <si>
    <t>HUARINGA RAMOS EDITH CARMEN</t>
  </si>
  <si>
    <t>NUÑEZ NOBLEJAS MARIA ANTONIETA</t>
  </si>
  <si>
    <t>PARIONA ESPINOZA YENNY MARGOTH</t>
  </si>
  <si>
    <t>MARTINEZ BARJA OSCAR MIGUEL</t>
  </si>
  <si>
    <t>AGUIRRE ORELLANA ROBERZON CARLIN</t>
  </si>
  <si>
    <t>DE LA CRUZ ALICIA ROQUE</t>
  </si>
  <si>
    <t>ALANYA ROMANI JACK ALBERT</t>
  </si>
  <si>
    <t>FABIAN GUTIERREZ FERNY VANESSA</t>
  </si>
  <si>
    <t>RAMOS CAYSAHUANA DARWIN RICARDO</t>
  </si>
  <si>
    <t>ROMERO MIGUEL VICTOR JOSEF</t>
  </si>
  <si>
    <t>SANCHEZ HUAROCO JESSICA LIZBETH</t>
  </si>
  <si>
    <t>VALDEZ YUPANQUI BETSABE KELLY</t>
  </si>
  <si>
    <t>JESUS CORDOVA FIORELA LORENA</t>
  </si>
  <si>
    <t>ARANDA BAZAN SONIA LIZ</t>
  </si>
  <si>
    <t>VELIZ FLORES ERLYS JEOVANI</t>
  </si>
  <si>
    <t>OROZCO CHACMANI KEVIN TAKESHI</t>
  </si>
  <si>
    <t>CUBA GUERRA JEFERSON ESMITH</t>
  </si>
  <si>
    <t>ALVARADO NAVARRO JEAN CARLOS</t>
  </si>
  <si>
    <t>GUZMAN ALHUAY NAYELI MABEL</t>
  </si>
  <si>
    <t>PORRAS RODRIGUEZ LORENZO CESARIO</t>
  </si>
  <si>
    <t>HINOSTROZA ARENALES ABEL RAMIRO</t>
  </si>
  <si>
    <t>INGA VASQUEZ DAVID HENRY</t>
  </si>
  <si>
    <t>BRAVO OCHOA VICTOR ANDRES</t>
  </si>
  <si>
    <t>MEZA ROSALES JEAN PIERRE</t>
  </si>
  <si>
    <t>MEDINA VIVAS OSCAR ARMANDO</t>
  </si>
  <si>
    <t>WAIDHOFER CARDENAS BRIGIT CELIA</t>
  </si>
  <si>
    <t>EGOAVIL MANCILLA JUAN CARLOS</t>
  </si>
  <si>
    <t xml:space="preserve">QUISPE HUACHO DOMINGO </t>
  </si>
  <si>
    <t xml:space="preserve">CCAHUANA BAUTISTA LAMEC </t>
  </si>
  <si>
    <t xml:space="preserve">MANTARI FLORES BLADIMIR </t>
  </si>
  <si>
    <t xml:space="preserve">NALVARTE PONCE MELITON </t>
  </si>
  <si>
    <t xml:space="preserve">MARTINEZ CHAMORRO ALFONSO </t>
  </si>
  <si>
    <t>ARAUCO PALOMINO MARIA DEL PILAR</t>
  </si>
  <si>
    <t xml:space="preserve">ESCOBAR TELLO YANET </t>
  </si>
  <si>
    <t xml:space="preserve">CHACCHI FUENTES KATTERYN </t>
  </si>
  <si>
    <t>10442194748</t>
  </si>
  <si>
    <t>NORMA CAROLINA PAUCARCAJA DE LA O</t>
  </si>
  <si>
    <t>10206485162</t>
  </si>
  <si>
    <t>FRANCISCO JESUS CARDENAS QUINTO</t>
  </si>
  <si>
    <t>20604024219</t>
  </si>
  <si>
    <t>KULKAO S.A.</t>
  </si>
  <si>
    <t>20609946602</t>
  </si>
  <si>
    <t>CORPORATIVO J&amp;L E.I.R.L.</t>
  </si>
  <si>
    <t>CAMARENA RICSE LUIS ANTONIO</t>
  </si>
  <si>
    <t>SANCHEZ PEREZ NAHINMA DOROTTY</t>
  </si>
  <si>
    <t>7007</t>
  </si>
  <si>
    <t>73361954</t>
  </si>
  <si>
    <t>75015424</t>
  </si>
  <si>
    <t>74413595</t>
  </si>
  <si>
    <t>73949289</t>
  </si>
  <si>
    <t>47807612</t>
  </si>
  <si>
    <t>73660261</t>
  </si>
  <si>
    <t>46944671</t>
  </si>
  <si>
    <t>RONCAL CAMPOS ERICK DAVID</t>
  </si>
  <si>
    <t>APOLINARIO CAMPOS JULY ESTEFANY</t>
  </si>
  <si>
    <t>AGUIRRE SANTANA EDWIN FREDY</t>
  </si>
  <si>
    <t>VELIZ SANCHEZ NELIDA</t>
  </si>
  <si>
    <t>LANDEO VILLALVA LUIS ALEXIS</t>
  </si>
  <si>
    <t>INGA LLANCO JHON ROBERT</t>
  </si>
  <si>
    <t>ALVAREZ SUAREZ YOVANA SANDRA</t>
  </si>
  <si>
    <t>ARTEAGA QUISPE KENYHI KEVIN</t>
  </si>
  <si>
    <t>QUINCHORI CASTRO ELMER</t>
  </si>
  <si>
    <t>DIAZ MERGE MELISSA</t>
  </si>
  <si>
    <t>CONDOR MARCOS ANDY MIKI</t>
  </si>
  <si>
    <t>VICENTE GONZALES NAYDA MAYGORI</t>
  </si>
  <si>
    <t>JUAREZ TORRES HECTOR HUGO</t>
  </si>
  <si>
    <t>OSORIO MENDOZA WILMER TOMAS</t>
  </si>
  <si>
    <t>SABINO SOTO LIDY</t>
  </si>
  <si>
    <t>PARIONA CABRERA LILIANA ROSA</t>
  </si>
  <si>
    <t>RODRIGUEZ SANTOS CARLOS JHON</t>
  </si>
  <si>
    <t>VASQUEZ ORTIZ STEFANNY KAREN</t>
  </si>
  <si>
    <t>VARGAS RIVERA CHRISTIAN MICHEL</t>
  </si>
  <si>
    <t>SIMON VENTURA LUIS CARLOS</t>
  </si>
  <si>
    <t>ALMONACID APOLINARIO YEFERSON VALERIO</t>
  </si>
  <si>
    <t>SOLIS GUZMAN NELSON</t>
  </si>
  <si>
    <t>SOBRADO ESPINOZA CELIA</t>
  </si>
  <si>
    <t>HERRERA DAVILA JANI</t>
  </si>
  <si>
    <t>POMAYLLE ROMERO MAYCON</t>
  </si>
  <si>
    <t>BRAVO CASTRO YONEL OSWALDO</t>
  </si>
  <si>
    <t>MILLAN GARCIA VERONICA MILENA</t>
  </si>
  <si>
    <t>GOMEZ CHAVEZ YISELY DURKY</t>
  </si>
  <si>
    <t>BARBOZA BARRIENTOS ROWIN MELKER</t>
  </si>
  <si>
    <t>CHACCHI FUENTES KATTERYN</t>
  </si>
  <si>
    <t>CELESTINO ESPIRITU ANGELA KARINA</t>
  </si>
  <si>
    <t>LAZO ALVAREZ ERIK YORDY</t>
  </si>
  <si>
    <t>ESTRADA DAVILA YAN CARLOS</t>
  </si>
  <si>
    <t>LAVADO RODRIGUEZ YUMIRA</t>
  </si>
  <si>
    <t>ARREDONDO CHAGUA FRANKLIN ROBIN</t>
  </si>
  <si>
    <t>GUILLEN ROSAS JHAIR YORK</t>
  </si>
  <si>
    <t>PAUCAR UNCHOPAYCO MARGARITA</t>
  </si>
  <si>
    <t>MARTINEZ CHAMORRO ALFONSO</t>
  </si>
  <si>
    <t>MANCILLA BELTRAN NATALI FIORELA</t>
  </si>
  <si>
    <t>TEJADA BALBIN GHIANELLA HERLINDA</t>
  </si>
  <si>
    <t>GUZMAN SALAZAR JULIO FABIAN</t>
  </si>
  <si>
    <t>CARHUALLANQUI BERROCAL EDILBERTO</t>
  </si>
  <si>
    <t>GAVILAN ESPINOZA EDGAR HENRY</t>
  </si>
  <si>
    <t>ROJAS MATAMOROS KETTY IRENE</t>
  </si>
  <si>
    <t>PONCE ROQUE CARLITH SARELY</t>
  </si>
  <si>
    <t>ROJAS BARRIENTOS EMERSON VICTOR</t>
  </si>
  <si>
    <t>RAMOS HUAROCC MARINA</t>
  </si>
  <si>
    <t>GARCIA SANCHEZ GEOVANA GERALDINA</t>
  </si>
  <si>
    <t>LOPEZ BARRETO SUSAN MAYUMI</t>
  </si>
  <si>
    <t>RODRIGUEZ ALCANTARA RIBECA MARTA</t>
  </si>
  <si>
    <t>BARTOLOME TOVAR ETNA LINDOMERA</t>
  </si>
  <si>
    <t>MARTINES MONSALVE MARI DONAIDA</t>
  </si>
  <si>
    <t>SANCHEZ LIZARRAGA MILSA MAYELY</t>
  </si>
  <si>
    <t>GARCIA SOLIS LORENZO</t>
  </si>
  <si>
    <t>ARIAS BENITO ROSA</t>
  </si>
  <si>
    <t>TOTORA OROPEZA JAIME</t>
  </si>
  <si>
    <t>ISIDRO ESTRADA MARICRUZ MISHEL</t>
  </si>
  <si>
    <t>FERNANDEZ PIMENTEL KATHERINE PAOLA</t>
  </si>
  <si>
    <t>SARMIENTO RAYMUNDO MAILI</t>
  </si>
  <si>
    <t>OLARTE VALVERDE JOSE LUIS</t>
  </si>
  <si>
    <t>LOPEZ ROMERO JOHNNY WILBER</t>
  </si>
  <si>
    <t>VELIZ CAMPOS JUSTINIA CLAUDIA</t>
  </si>
  <si>
    <t>MEZA MONTES ALFREDO</t>
  </si>
  <si>
    <t>GONZALES MAMANI NIK DHEIVYS</t>
  </si>
  <si>
    <t>TAYPE MARIN DALMER DENIS</t>
  </si>
  <si>
    <t>VASQUEZ ROJAS NOEMI DIONICIA</t>
  </si>
  <si>
    <t>CAMPOS BERROCAL JULIE</t>
  </si>
  <si>
    <t>GRAVIL DAVILA ELIDA JESEIT</t>
  </si>
  <si>
    <t>MUÑOZ SURICHAQUI SAMUEL NATAN</t>
  </si>
  <si>
    <t>SALDAÑA RAMOS JACKELINE LIZBET</t>
  </si>
  <si>
    <t>PEÑA PEREZ MARLY KARINA</t>
  </si>
  <si>
    <t>MEDINA PEÑA JOSE LUIS</t>
  </si>
  <si>
    <t>ACUÑA SULCA MELISA</t>
  </si>
  <si>
    <t>POMA ÑAUPARI YANDIRA</t>
  </si>
  <si>
    <t>QUIÑONES QUINTANA ARACELY FIORELLA</t>
  </si>
  <si>
    <t>GONZALO CRISANTO CONTRERAS VICTORIO</t>
  </si>
  <si>
    <t>ASOCIACIËN DE PRODUCTORES AGROECOLOGICOS Y ORGANICOS NUEVO POZUZO</t>
  </si>
  <si>
    <t>GEMA CORPORATION E.I.R.L</t>
  </si>
  <si>
    <t>MULTISERVICIOS COMPANY SELVA SAC</t>
  </si>
  <si>
    <t>CCAHUANA BAUTISTA LAMEC</t>
  </si>
  <si>
    <t>7229</t>
  </si>
  <si>
    <t>7246</t>
  </si>
  <si>
    <t>7197</t>
  </si>
  <si>
    <t>7278</t>
  </si>
  <si>
    <t>7179</t>
  </si>
  <si>
    <t>7257</t>
  </si>
  <si>
    <t xml:space="preserve">OSORIO MENDOZA WILMER </t>
  </si>
  <si>
    <t xml:space="preserve">MEZA ELESCANO LILIBETH PILAR </t>
  </si>
  <si>
    <t xml:space="preserve">TRANSFERENCIA GRATUITA </t>
  </si>
  <si>
    <t xml:space="preserve">QUISPE CARDENAS EDGAR </t>
  </si>
  <si>
    <t xml:space="preserve">CAMARENA SALAZAR MILAGROS NOEMI </t>
  </si>
  <si>
    <t xml:space="preserve">CAHUANA PEREZ PALMA ANDREA DEL ROSARIO </t>
  </si>
  <si>
    <t xml:space="preserve">POLANCO SOLIS PEDRO ENRIQUE </t>
  </si>
  <si>
    <t xml:space="preserve">SANCHEZ MARCOS JENRY EDWIN </t>
  </si>
  <si>
    <t xml:space="preserve">SUCUITANA SALAZAR ANGELA BEATRIZ </t>
  </si>
  <si>
    <t xml:space="preserve">HUAMAN JUAN DE DIOS SUSI NINA </t>
  </si>
  <si>
    <t>CASAS MERCADO JOMED CAMER</t>
  </si>
  <si>
    <t xml:space="preserve">MAYTA MALLMA JHON OSVER </t>
  </si>
  <si>
    <t xml:space="preserve">MARTINEZ MERINO FLOR DE LIZ </t>
  </si>
  <si>
    <t xml:space="preserve">HUAYTA ROJAS MAYRA ISABEL </t>
  </si>
  <si>
    <t>MAYRA ISABEL HUAYTA ROJAS</t>
  </si>
  <si>
    <t xml:space="preserve">SEDANO LEYTE JESUS </t>
  </si>
  <si>
    <t xml:space="preserve">QUISPE GRANADOS GERSON </t>
  </si>
  <si>
    <t xml:space="preserve">FLORES TINCOPA DIANA YOVANA </t>
  </si>
  <si>
    <t xml:space="preserve">BELITO DE CAYLLAHUA TERESA </t>
  </si>
  <si>
    <t xml:space="preserve">HARO INOCENTE LUZ MARY </t>
  </si>
  <si>
    <t xml:space="preserve">BRAVO SURICHAQUI ERNESTINA FELICITA </t>
  </si>
  <si>
    <t xml:space="preserve">YARINGAÐO HINOSTROZA DENISSE MARITZA </t>
  </si>
  <si>
    <t xml:space="preserve">CAMARGO CHAMORRO WILMER OSCAR </t>
  </si>
  <si>
    <t xml:space="preserve">VICUÐA LOBO EDISON GERRY </t>
  </si>
  <si>
    <t xml:space="preserve">CASTRO RIEGA MILAGROS CAMEREN </t>
  </si>
  <si>
    <t xml:space="preserve">CARHUANCHO CELESTINO EDGARD JOSE </t>
  </si>
  <si>
    <t xml:space="preserve">PALOMINO ZACARIAS ESTEFANY KIOMY </t>
  </si>
  <si>
    <t xml:space="preserve">SANTILLAN ALMERCO LORENZO </t>
  </si>
  <si>
    <t xml:space="preserve">QUILICHE DIAZ WILSON </t>
  </si>
  <si>
    <t xml:space="preserve">AYSANOHA PARIONA KEVIN IVAN </t>
  </si>
  <si>
    <t xml:space="preserve">MALDONADO BARROZ LUZ MARIA </t>
  </si>
  <si>
    <t xml:space="preserve">MEDINA ROJAS ANITA CESIA </t>
  </si>
  <si>
    <t xml:space="preserve">VILLANUEVA MOSQUERA YENY NOLI </t>
  </si>
  <si>
    <t xml:space="preserve">ASCENCIO QUIRIGUA EUDES CLEDY </t>
  </si>
  <si>
    <t xml:space="preserve">YNGA MORE CESAR ANTONIO </t>
  </si>
  <si>
    <t xml:space="preserve">MORENO QUISPE JUAN CARLOS </t>
  </si>
  <si>
    <t xml:space="preserve">MEZA VELIZ YURI EDUARDO </t>
  </si>
  <si>
    <t xml:space="preserve">MALDONADO BRAVO MARILUZ PRUDENCIA </t>
  </si>
  <si>
    <t xml:space="preserve">QUISPE GUERRERO SUSY DANESHA </t>
  </si>
  <si>
    <t xml:space="preserve">BOCANEGRA ARTEAGA YHOSVER GABRIEL </t>
  </si>
  <si>
    <t xml:space="preserve">TORRES RICSE UZ CAM </t>
  </si>
  <si>
    <t xml:space="preserve">ARISPE RAMOS SARA NOEMI </t>
  </si>
  <si>
    <t>ROSAYSELA PAREDES ROMERO</t>
  </si>
  <si>
    <t xml:space="preserve">TEJEDA OLLERO JOEL MOISES </t>
  </si>
  <si>
    <t xml:space="preserve">FLORES FLORES MARLENI INES </t>
  </si>
  <si>
    <t xml:space="preserve">LAVADO RODRIGUEZ MAC MANUEL </t>
  </si>
  <si>
    <t xml:space="preserve">MONTALVO ZARATE TANIA MORELIA </t>
  </si>
  <si>
    <t>SALAS FERNANDEZ ABIGAITH ALEJANDRINA</t>
  </si>
  <si>
    <t>HUAM┴N FUENTES VDA DE CLEMENTE NIRTA NORMA</t>
  </si>
  <si>
    <t xml:space="preserve">ARTICA ZAVALA ALEXANDER HUBER </t>
  </si>
  <si>
    <t xml:space="preserve">GOMEZ TERREROS ROBERTO NOE </t>
  </si>
  <si>
    <t xml:space="preserve">ALMONACID TORRES DAYSI </t>
  </si>
  <si>
    <t xml:space="preserve">DE LA CRUZ GONZALES AILTON ROER </t>
  </si>
  <si>
    <t xml:space="preserve">PEREZ URCO JOSE FERNANDO </t>
  </si>
  <si>
    <t xml:space="preserve">CASTRO VEGA EMILIA </t>
  </si>
  <si>
    <t>MEDRANO PORRAS ANDY BRADY</t>
  </si>
  <si>
    <t xml:space="preserve">CANO HURTADO XIOMARA DEL PILAR </t>
  </si>
  <si>
    <t xml:space="preserve">ROMANI ARANA KIRK BRENEM </t>
  </si>
  <si>
    <t xml:space="preserve">FLORES PAUCARCAJA EDELVINA EDITH </t>
  </si>
  <si>
    <t xml:space="preserve">DE LA ROCA POVES GABRIEL </t>
  </si>
  <si>
    <t xml:space="preserve">VASQUEZ VALENZUELA MARIBEL </t>
  </si>
  <si>
    <t xml:space="preserve">FLORES MEZA LIZ FABIOLA </t>
  </si>
  <si>
    <t xml:space="preserve">MONTOYA YUPANQUI JAVIER </t>
  </si>
  <si>
    <t xml:space="preserve">VILCHEZ MALPARTIDA YESMI KARI </t>
  </si>
  <si>
    <t>BALDEON MELCHOR ABNER MILTON</t>
  </si>
  <si>
    <t xml:space="preserve">MATIAS VARGAS ARMANDO FRANCISCO </t>
  </si>
  <si>
    <t xml:space="preserve">ASTOCURI PERALES XIOMARA ISABEL </t>
  </si>
  <si>
    <t xml:space="preserve">MIGUEL DEL POZO DIANA KARINA </t>
  </si>
  <si>
    <t xml:space="preserve">UNCHUPAICO JULCARIMA LIZET </t>
  </si>
  <si>
    <t xml:space="preserve">PARI QUINTO ALFREDO </t>
  </si>
  <si>
    <t xml:space="preserve">MENDOZA PASTRANA JOSE LUIS </t>
  </si>
  <si>
    <t xml:space="preserve">BROCQ CARRION ROBERTO SEBASTIAN </t>
  </si>
  <si>
    <t xml:space="preserve">ROCA LUJAN RAUL GABRIEL </t>
  </si>
  <si>
    <t xml:space="preserve">GARCIA CORDOVA VIDAL </t>
  </si>
  <si>
    <t xml:space="preserve">TAQUIRE HUAMAN MELINA JESSENIA </t>
  </si>
  <si>
    <t xml:space="preserve">HUAMANYALLI MERCADO ELIZABETH KATTY </t>
  </si>
  <si>
    <t>INVERSIONES Y NEGOCIACIONES SELVA E.I.R.L</t>
  </si>
  <si>
    <t>D&amp;R INGENIERIA ESPECIALIZADA E.I.R.L</t>
  </si>
  <si>
    <t>7111</t>
  </si>
  <si>
    <t xml:space="preserve">CALLEGARI CORNEJO DE CAMPUZANO MARIA EUGENIA </t>
  </si>
  <si>
    <t>830</t>
  </si>
  <si>
    <t>AUMENTO DE INTERES</t>
  </si>
  <si>
    <t>43605107</t>
  </si>
  <si>
    <t xml:space="preserve">ARANDA BAZAN SONIA LIZ </t>
  </si>
  <si>
    <t>AUMENTO DE INTERESES</t>
  </si>
  <si>
    <t xml:space="preserve">REVILLA CHACON NILDA FRIDA </t>
  </si>
  <si>
    <t xml:space="preserve">COSSIOS RONCAL MAILI ELY </t>
  </si>
  <si>
    <t xml:space="preserve">CUBA GARIBAY ROSA CARLOTA </t>
  </si>
  <si>
    <t xml:space="preserve">GUTARRA HUAMANI MIGUEL EDUARDO </t>
  </si>
  <si>
    <t xml:space="preserve">DE LA CRUZ LAURA ENRIQUE RUBEN </t>
  </si>
  <si>
    <t xml:space="preserve">PALOMINO ESPINOZA ANGEL RONALDO </t>
  </si>
  <si>
    <t xml:space="preserve">LOZANO VICENTE VIOLETA LUZ </t>
  </si>
  <si>
    <t xml:space="preserve">SOTO FLORES OSCAR </t>
  </si>
  <si>
    <t xml:space="preserve">INGA AQUINO EDITH </t>
  </si>
  <si>
    <t xml:space="preserve">TORRES CASTILLO JOEL SAUL </t>
  </si>
  <si>
    <t xml:space="preserve">TAPIA MARQUEZ JACK YERSON </t>
  </si>
  <si>
    <t>JESUS VICENTE MERCADO DE LA O</t>
  </si>
  <si>
    <t xml:space="preserve">TINEO QUISPE EMILIN SANDY </t>
  </si>
  <si>
    <t xml:space="preserve">AVENIO PALACIN LUZ CELESTE </t>
  </si>
  <si>
    <t xml:space="preserve">CISNEROS GUZMAN VICTOR </t>
  </si>
  <si>
    <t xml:space="preserve">ESPINAL MENDOZA HELIDION ANICETO </t>
  </si>
  <si>
    <t xml:space="preserve">HUAMAN SAUCEDO TENORIO ATILANO </t>
  </si>
  <si>
    <t xml:space="preserve">RODRIGUEZ RAMON LUIS ANIBAL </t>
  </si>
  <si>
    <t xml:space="preserve">NUÐEZ GAMBOA MADRONIO JAVIER </t>
  </si>
  <si>
    <t>NOCENTE CABALLERO BRANDON JHON I</t>
  </si>
  <si>
    <t xml:space="preserve">PALOMINO QUISPE JANETH CARLA </t>
  </si>
  <si>
    <t xml:space="preserve">PARIACHI BRAVO SANTIAGO </t>
  </si>
  <si>
    <t xml:space="preserve">BOVIS VEGA SILVIA </t>
  </si>
  <si>
    <t xml:space="preserve">COSME PADILLA ELI DAMARI </t>
  </si>
  <si>
    <t xml:space="preserve">AIRA RUIZ JHONATAN RAULHINO </t>
  </si>
  <si>
    <t xml:space="preserve">ROJAS GARCIA ELSA ELVA </t>
  </si>
  <si>
    <t xml:space="preserve">TORRES ESPIRITU FRANK LII </t>
  </si>
  <si>
    <t xml:space="preserve">MUÑOZ ACUÑA CLAUDIA YESENIA </t>
  </si>
  <si>
    <t xml:space="preserve">PIZARRO MUÑOZ SANDY THALIA </t>
  </si>
  <si>
    <t>INVERSIONES SIU KAO SELVA E.I.R.L</t>
  </si>
  <si>
    <t xml:space="preserve">MEDINA KLER GIOVANNA ROSA </t>
  </si>
  <si>
    <t xml:space="preserve">PERALTA ROJAS EDWIN </t>
  </si>
  <si>
    <t xml:space="preserve">BRAVO TUPALAYA MAXIMA FEVIANA </t>
  </si>
  <si>
    <t xml:space="preserve">HUALLPA LOZANO JAIDELLY BEATRIZ </t>
  </si>
  <si>
    <t xml:space="preserve">MANRIQUE HUAYOQUI ANDREA MARISSA </t>
  </si>
  <si>
    <t xml:space="preserve">DAVILA ASTETE TEOBALDO GUILLERMO </t>
  </si>
  <si>
    <t xml:space="preserve">ALARCON DELGADO ANITA BENITA </t>
  </si>
  <si>
    <t xml:space="preserve">SANCHEZ PEREZ NAHINMA DOROTTY </t>
  </si>
  <si>
    <t xml:space="preserve">GONZALES MAMANI NIK DHEIVYS </t>
  </si>
  <si>
    <t xml:space="preserve">PALACIOS LUJAN EMANUEL </t>
  </si>
  <si>
    <t xml:space="preserve">VARGAS RIVERA CHRISTIAN MICHEL </t>
  </si>
  <si>
    <t xml:space="preserve">ARAUCO PALOMINO MARIA DEL PILAR </t>
  </si>
  <si>
    <t xml:space="preserve">TORRES ROJAS CHARO MARILU </t>
  </si>
  <si>
    <t>AUMENTO DE MORA</t>
  </si>
  <si>
    <t xml:space="preserve">REYES RIVAS MAXWELL ALEX </t>
  </si>
  <si>
    <t xml:space="preserve">MARTINEZ ROMERO JUANITO GOYO </t>
  </si>
  <si>
    <t xml:space="preserve">TEJADA BALBIN GHIANELLA HERLINDA </t>
  </si>
  <si>
    <t xml:space="preserve">INOCENTE CABALLERO BRANDON JHON </t>
  </si>
  <si>
    <t xml:space="preserve">AUMENTO DE INTERESES </t>
  </si>
  <si>
    <t>00163874</t>
  </si>
  <si>
    <t xml:space="preserve">TORRES CANCHO DANIEL JUSTO </t>
  </si>
  <si>
    <t xml:space="preserve">VARGAS ZELARAYAN EMERSON WILFREDO </t>
  </si>
  <si>
    <t xml:space="preserve">CABALLERO VALLE MARISOL </t>
  </si>
  <si>
    <t xml:space="preserve">ESPINAL LAVADO MARIBEL </t>
  </si>
  <si>
    <t xml:space="preserve">CUBA PUCA KAROLAY BRIGUITTE </t>
  </si>
  <si>
    <t xml:space="preserve">QUINTO LOAYZA VANESSA IBETH </t>
  </si>
  <si>
    <t xml:space="preserve">PACAYA PACAYA OSCAR AUGUSTO </t>
  </si>
  <si>
    <t xml:space="preserve">CRISTOBAL BALDEON ROGER BENJAMIN </t>
  </si>
  <si>
    <t xml:space="preserve">PONGO MEDINA DORIS MARI </t>
  </si>
  <si>
    <t xml:space="preserve">RAMIREZ HUANUCO EVA YOLINDA </t>
  </si>
  <si>
    <t xml:space="preserve">MONTOYA HUAMAN CANDY LIZETH </t>
  </si>
  <si>
    <t xml:space="preserve">FLORES SANCHEZ DAVID BELTSASAR </t>
  </si>
  <si>
    <t xml:space="preserve">CANCHANYA ORE NELLY </t>
  </si>
  <si>
    <t xml:space="preserve">QUISPE HUAYTA CARMEN ROSA </t>
  </si>
  <si>
    <t xml:space="preserve">PONCE MARTINEZ YOSHE GRESIA </t>
  </si>
  <si>
    <t xml:space="preserve">CORDOVA HUAMAN LESLYE MAYLIN </t>
  </si>
  <si>
    <t xml:space="preserve">CHERO SIMON CARLOS ERICK </t>
  </si>
  <si>
    <t xml:space="preserve">PORRAS SURICHAQUI LIZBETH MARIA </t>
  </si>
  <si>
    <t xml:space="preserve">PONCE CULLQUE ESMERALDA YOSELY </t>
  </si>
  <si>
    <t xml:space="preserve">IRAZABAL PINEDO YULY FRANCHESCA </t>
  </si>
  <si>
    <t xml:space="preserve">HUAMANI HUAMANGUILLAS JUAN LUIS </t>
  </si>
  <si>
    <t xml:space="preserve">RODRIGUEZ VALERO ADELIZ ROSMERI </t>
  </si>
  <si>
    <t xml:space="preserve">MERCADO GASPAR MESAEL ERIXON </t>
  </si>
  <si>
    <t xml:space="preserve">CASTRO ROJAS SHEYLA </t>
  </si>
  <si>
    <t xml:space="preserve">BRAVO MICHUE EVA YOLANDA </t>
  </si>
  <si>
    <t xml:space="preserve">ROJAS PASTRANA HENRY HARRY </t>
  </si>
  <si>
    <t xml:space="preserve">TTITO POZO TATIANA RUBI </t>
  </si>
  <si>
    <t xml:space="preserve">QUISPE PARDO XIOMARA ANDREA </t>
  </si>
  <si>
    <t xml:space="preserve">AGREDA MEDINA SHYRLEY YARASELY </t>
  </si>
  <si>
    <t xml:space="preserve">PARDAVE QUISPE JORGE LUIS </t>
  </si>
  <si>
    <t xml:space="preserve">LEON PAITAN LEONARDO JHAMIRO </t>
  </si>
  <si>
    <t xml:space="preserve">TORRES SANDOVAL SISBY DANIELA </t>
  </si>
  <si>
    <t xml:space="preserve">RENOJO CIPRIAN MARIA KELLY </t>
  </si>
  <si>
    <t xml:space="preserve">VELASQUE ROJAS HEYDY MEGAN </t>
  </si>
  <si>
    <t xml:space="preserve">CONDORI NOLIVOS ABEL PITER </t>
  </si>
  <si>
    <t xml:space="preserve">SANTAMARIA BETETA CRISTIAN </t>
  </si>
  <si>
    <t>ASOCIACION PRO SOLIDARIO POR LA INFANCIA</t>
  </si>
  <si>
    <t>DISTRIBUIDORA FERRETERIA GORRIONCITO E.I.R.L</t>
  </si>
  <si>
    <t xml:space="preserve">ESCALANTE HUAMANLAZO ANAIS MARYORI </t>
  </si>
  <si>
    <t xml:space="preserve">GUILLEN APUMAYTA JAIME EDU </t>
  </si>
  <si>
    <t xml:space="preserve">CALDERON CASTRO NELLY EULOGIA </t>
  </si>
  <si>
    <t>PALOMINO ZACARIAS ESTEFANY KIOMY</t>
  </si>
  <si>
    <t xml:space="preserve">CONTRERAS HUAMAN CARMEN </t>
  </si>
  <si>
    <t>MONTOYA HUAMAN CANDY LIZETH</t>
  </si>
  <si>
    <t>CANCHANYA ORE NELLY</t>
  </si>
  <si>
    <t>BRAVO MICHUE EVA YOLANDA</t>
  </si>
  <si>
    <t>RENOJO CIPRIAN MARIA KELLY</t>
  </si>
  <si>
    <t xml:space="preserve">PAUCAR CARDENAS KATY MELVI </t>
  </si>
  <si>
    <t>PALOMINO QUISPE JANETH CARLA</t>
  </si>
  <si>
    <t xml:space="preserve">DE LA CRUZ SALAZAR UZIEL ABNER </t>
  </si>
  <si>
    <t xml:space="preserve">PONCE GOMEZ EDITH </t>
  </si>
  <si>
    <t xml:space="preserve">RIVAS GOMEZ FAUSTINO </t>
  </si>
  <si>
    <t xml:space="preserve">VILCAPUMA VICENTE GROVER ADRIAN </t>
  </si>
  <si>
    <t xml:space="preserve">SOTO MALPARTIDA MARX JORDAN </t>
  </si>
  <si>
    <t xml:space="preserve">LLANCO ALANYA ROBINSON MOISES </t>
  </si>
  <si>
    <t xml:space="preserve">MORILLO ALFARO DIEGO MARCELO </t>
  </si>
  <si>
    <t xml:space="preserve">ZEVALLOS ESPINOZA JUAN DEPUNOCEMOS </t>
  </si>
  <si>
    <t xml:space="preserve">VILLAVERDE SOCUALAYA EDY MARIBEL </t>
  </si>
  <si>
    <t xml:space="preserve">ROJAS VELIZ EVITA JUSTINA </t>
  </si>
  <si>
    <t xml:space="preserve">DE LA CRUZ LANDEO MANUEL </t>
  </si>
  <si>
    <t xml:space="preserve">PALOMINO MISAJEL FERMINA </t>
  </si>
  <si>
    <t xml:space="preserve">COLLACHAGUA BALDEON ANTONIO DAVID </t>
  </si>
  <si>
    <t xml:space="preserve">SOTO YALO KEVIN BRAYAN </t>
  </si>
  <si>
    <t xml:space="preserve">RIOS CASO CLEVER BEBETO </t>
  </si>
  <si>
    <t xml:space="preserve">HUAMAN MENDEZ JUANA </t>
  </si>
  <si>
    <t xml:space="preserve">CASTILLA ESCALERA MARIA BELEN </t>
  </si>
  <si>
    <t xml:space="preserve">ESTRADA MONTALVO YOANDRY SCHMIDT </t>
  </si>
  <si>
    <t xml:space="preserve">REYMUNDO QUINCHOKER ELVIS YORI </t>
  </si>
  <si>
    <t xml:space="preserve">MORAN FERNANDEZ LAZARO JAVIER </t>
  </si>
  <si>
    <t xml:space="preserve">DE LA CRUZ CACERES HIERAL </t>
  </si>
  <si>
    <t xml:space="preserve">GUTIERREZ ORTIZ WILLIAN YONE </t>
  </si>
  <si>
    <t xml:space="preserve">ESPINOZA LOPEZ DE MEZA ANGELICA GREGORIA </t>
  </si>
  <si>
    <t>COOPERATIVA AGRARIA AGROINDUSTRIAL INTERCULTURAL ECOLËGICA SAN JUAN VALLE CHENI LTDA-COOP CHENI LTDA</t>
  </si>
  <si>
    <t>REPUESTERA ARAUCO E.I.R.L.</t>
  </si>
  <si>
    <t xml:space="preserve">AGREDA MORALES TANIA ALVA </t>
  </si>
  <si>
    <t xml:space="preserve">AVELLANEDA DE LA O ESTEFANY DIANA </t>
  </si>
  <si>
    <t xml:space="preserve">QUINTANILLA HUAMAN ALEJANDRINA </t>
  </si>
  <si>
    <t xml:space="preserve">MEDRANO PORRAS ANDY BRADY </t>
  </si>
  <si>
    <t xml:space="preserve">CAMARENA RICSE LUIS ANTONIO </t>
  </si>
  <si>
    <t xml:space="preserve">CARHUALLANQUI MUÑOZ CIRO BETO </t>
  </si>
  <si>
    <t xml:space="preserve">MAGUIÑA MONTALVO ALICIA ZAIMA </t>
  </si>
  <si>
    <t xml:space="preserve">YAÑEZ GARAY JOSE JULIO </t>
  </si>
  <si>
    <t xml:space="preserve">MONTAÑEZ PAQUIYAURI ANGELA LUZ </t>
  </si>
  <si>
    <t xml:space="preserve">QUIÑONES TUPALAYA YOHOR HUGO </t>
  </si>
  <si>
    <t xml:space="preserve">VALLE MUÑOZ EDITH </t>
  </si>
  <si>
    <t xml:space="preserve">OLIVERA MADUEÑO EBERTH JESUS </t>
  </si>
  <si>
    <t>PEÑALOZA ZARATE MAYCOL BRAYAN</t>
  </si>
  <si>
    <t xml:space="preserve">BARTOLO MUÑOZ NILVA GABRIELA </t>
  </si>
  <si>
    <t xml:space="preserve">ROCA PIÑARES EDGAR CARLOS </t>
  </si>
  <si>
    <t>AUMENTO DE INTERESES MAS MORA</t>
  </si>
  <si>
    <t>ESPINOZA LOPEZ  ANGELICA GREGORIA</t>
  </si>
  <si>
    <t>ANULACION DE OPERACIÓN</t>
  </si>
  <si>
    <t xml:space="preserve">ONOFRE ZELARAYAN YERSI  </t>
  </si>
  <si>
    <t>POR MORAS GENERADAS</t>
  </si>
  <si>
    <t>04321784</t>
  </si>
  <si>
    <t>HERRERA CALDERON JANETH LUCIA</t>
  </si>
  <si>
    <t xml:space="preserve">  J&amp;H CASA LINDA E.I.R.L</t>
  </si>
  <si>
    <t>FINANCIERA S.A.  KAMETSA CREDI-SELVA</t>
  </si>
  <si>
    <t>ESCRIBA CARRION JULIO CESAR</t>
  </si>
  <si>
    <t xml:space="preserve">  REPUESTERA ARAUCO E.I.R.L.</t>
  </si>
  <si>
    <t>SAC  R&amp;C CONTADORES E INGENIEROS</t>
  </si>
  <si>
    <t>PACHECO ARROYO YULISA SINDIA</t>
  </si>
  <si>
    <t>UNCHUPAICO MAYTA MARGARITA ELIZABETH</t>
  </si>
  <si>
    <t>FLORES VEGA JUANA DORIS</t>
  </si>
  <si>
    <t>ZARATE PIORI KATERYNE KAREN</t>
  </si>
  <si>
    <t>FIGUEROA CARRERA AIMER</t>
  </si>
  <si>
    <t>PONIRO RIOS EMA</t>
  </si>
  <si>
    <t>MONTERO HUARCAYA JOSE FREDY</t>
  </si>
  <si>
    <t>TORRES MERCADO YISSELA</t>
  </si>
  <si>
    <t>TORRES ORBE IRMA</t>
  </si>
  <si>
    <t>FIGUEROA CERRON TEODORO LUCIANO</t>
  </si>
  <si>
    <t>ESPINOZA LOPEZ DE MEZA ANGELICA GREGORIA</t>
  </si>
  <si>
    <t>AROTOMA GARCIA NEFTALY YOSMIRA</t>
  </si>
  <si>
    <t>ESTRADA CACERES DELIO WILFREDO</t>
  </si>
  <si>
    <t>ALANYA QUIÐONES EDITH LUISA</t>
  </si>
  <si>
    <t>DELGADILLO OSORES VONYOWY</t>
  </si>
  <si>
    <t>GONZALO LLACTAHUAMAN EVELYN BRIGGITTE</t>
  </si>
  <si>
    <t>ARAUJO APOLINARIO FRANCLINK MILTON</t>
  </si>
  <si>
    <t>INGA TUPALAYA JESUS ENRIQUE</t>
  </si>
  <si>
    <t>ALCALDE CAMPOS EMILUZ ADAID</t>
  </si>
  <si>
    <t>YUPANQUI ROSALES LUZ HERCILIA</t>
  </si>
  <si>
    <t>PEÐALOZA ZARATE MAYCOL BRAYAN</t>
  </si>
  <si>
    <t>DE LA O LAZARO ROSA ANA</t>
  </si>
  <si>
    <t>PEREZ VILA DINA</t>
  </si>
  <si>
    <t>CASACHAHUA QUINTANA DAMARIS YESSICA</t>
  </si>
  <si>
    <t>PERALTA ROJAS EDWIN</t>
  </si>
  <si>
    <t>BRAVO TUPALAYA MAXIMA FEVIANA</t>
  </si>
  <si>
    <t>JIMENEZ CAMACHO DANY CLARGIO</t>
  </si>
  <si>
    <t>MAGUIÐA ROJAS JHOSELIN LIZET</t>
  </si>
  <si>
    <t>MISARI ANDIA ROSA MILDRI</t>
  </si>
  <si>
    <t>AGUILAR CAMPOS HERNAN ALEX</t>
  </si>
  <si>
    <t>DE LA CRUZ LANDEON MANUEL</t>
  </si>
  <si>
    <t>CHACON GAVILAN ALEJANDRO</t>
  </si>
  <si>
    <t>QUINCHUA AMAYA JOSE LUIS</t>
  </si>
  <si>
    <t>ROSAS VARAS SANTOS GENARA</t>
  </si>
  <si>
    <t>ZARATE ROJAS JHONATAN</t>
  </si>
  <si>
    <t>QUINTANA MERCADO DAVID JUAN</t>
  </si>
  <si>
    <t>RICRA RIVAS JULIO</t>
  </si>
  <si>
    <t>HINOSTROZA HUAYTA KELLY XIOMARA</t>
  </si>
  <si>
    <t>VELASQUE ROJAS HEYDY MEGAN</t>
  </si>
  <si>
    <t>POZO TAYPE JETZEMANIT IRMA</t>
  </si>
  <si>
    <t>CAMAYO CHAMORRO KEVIN</t>
  </si>
  <si>
    <t>TAIPE DE LA CRUZ FRIDA</t>
  </si>
  <si>
    <t>VALERIO ECHEVARRIA MARIA ANYELA</t>
  </si>
  <si>
    <t>GUTIERREZ MORENO JHON CRISTIAN</t>
  </si>
  <si>
    <t>HUAMANPURA LIMACO CARMEN YESENIA</t>
  </si>
  <si>
    <t>LLACTA SALAZAR MARVIN SAMIR</t>
  </si>
  <si>
    <t>PEREZ ASTO PABLO FELICIANO</t>
  </si>
  <si>
    <t>GASPAR POMA EDSON</t>
  </si>
  <si>
    <t>CALLEGARI CORNEJO DE CAMPUZANO MARIA EUGENIA</t>
  </si>
  <si>
    <t>ALCANTARA GASPAR ROELAN</t>
  </si>
  <si>
    <t>SERALAYAN COTRINA MARLON ALEXANDER</t>
  </si>
  <si>
    <t>TRINIDAD MALPARTIDA FANI KORALI</t>
  </si>
  <si>
    <t>BERROCAL QUISPE CELSO</t>
  </si>
  <si>
    <t>SUAZO VELIZ SALOMON JOEL</t>
  </si>
  <si>
    <t>RENOJO AROTOMA CELIA GLORIA</t>
  </si>
  <si>
    <t>YANCE MENDOZA ALCIDES</t>
  </si>
  <si>
    <t>PARADO TORRES TIMOTEO DONATO</t>
  </si>
  <si>
    <t>SALVA LULO JHEFERSON RONALDO</t>
  </si>
  <si>
    <t>DE LA CRUZ MOYA JHONNY WILMER</t>
  </si>
  <si>
    <t>CASTAÐEDA VEGA JORGE ENRIQUE</t>
  </si>
  <si>
    <t>NOMEROS ORE FLOR JESUS</t>
  </si>
  <si>
    <t>BAYOQUI DIAZ JEESSICA YANETH</t>
  </si>
  <si>
    <t>ALIAGA PACHECO WILLY YOELI</t>
  </si>
  <si>
    <t>OREZANO POMA VALENTIN</t>
  </si>
  <si>
    <t>AGUILAR LOPEZ MILUSKA STEFANY</t>
  </si>
  <si>
    <t>PAREDES HUAROCC ANDERSON LUIS</t>
  </si>
  <si>
    <t>CARDENAS DIAZ ROSALI GEOVANNA</t>
  </si>
  <si>
    <t>TABRAJ COLLANTES DANDY JHONNY</t>
  </si>
  <si>
    <t>ARELLANO ASTO HELMUT BRAYAN</t>
  </si>
  <si>
    <t>ESPINAL LAVADO MARIBEL</t>
  </si>
  <si>
    <t>USCAMAYTA PALACIOS ISAAC</t>
  </si>
  <si>
    <t>MANRIQUE TAPIA YADELY DAMARIS MIRELLA</t>
  </si>
  <si>
    <t>PERALTA TOVAR AUGUSTO</t>
  </si>
  <si>
    <t>CARHUALLANQUI CONTRERAS ANDERSON POOL</t>
  </si>
  <si>
    <t>HUAMAN PANCORBO ANGEL EDISON</t>
  </si>
  <si>
    <t>REYMUNDO ASTUCURI ALACIEL</t>
  </si>
  <si>
    <t>CAINICELA RAMOS RONALDO YANPOL</t>
  </si>
  <si>
    <t>MICHEL CABRERA ALEX JOSE</t>
  </si>
  <si>
    <t>FLORES CAMPOS DANIEL</t>
  </si>
  <si>
    <t>AYLLON CASAS YEDRIT DORAIDA</t>
  </si>
  <si>
    <t>04307669</t>
  </si>
  <si>
    <t>PONGO MEDINA DORIS MARI</t>
  </si>
  <si>
    <t>CUBA PUCA KAROLAY BRIGUITTE</t>
  </si>
  <si>
    <t>MICHEL ORTIZ PAMELA</t>
  </si>
  <si>
    <t>RAMIREZ HUANUCO EVA YOLINDA</t>
  </si>
  <si>
    <t>TINEO QUISPE EMILIN SANDY</t>
  </si>
  <si>
    <t>MALDONADO BARROZ LUZ MARIA</t>
  </si>
  <si>
    <t>MAGUIÐA MONTALVO ALICIA ZAIMA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</si>
</sst>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00\ _€_-;\-* #,##0.00\ _€_-;_-* &quot;-&quot;??\ _€_-;_-@_-"/>
    <numFmt numFmtId="166" formatCode="#,##0.0000"/>
    <numFmt numFmtId="167" formatCode="0000000000000"/>
  </numFmts>
  <fonts count="45" x14ac:knownFonts="1">
    <font>
      <sz val="11"/>
      <color theme="1"/>
      <name val="Calibri"/>
      <family val="2"/>
      <scheme val="minor"/>
    </font>
    <font>
      <b/>
      <sz val="12"/>
      <color theme="1"/>
      <name val="Calibri"/>
      <family val="2"/>
      <scheme val="minor"/>
    </font>
    <font>
      <b/>
      <sz val="9"/>
      <color indexed="81"/>
      <name val="Tahoma"/>
      <family val="2"/>
    </font>
    <font>
      <sz val="11"/>
      <color theme="1"/>
      <name val="Arial"/>
      <family val="2"/>
    </font>
    <font>
      <sz val="11"/>
      <color rgb="FF0000FF"/>
      <name val="Arial"/>
      <family val="2"/>
    </font>
    <font>
      <b/>
      <sz val="8"/>
      <color theme="0"/>
      <name val="Arial"/>
      <family val="2"/>
    </font>
    <font>
      <sz val="8"/>
      <color theme="1"/>
      <name val="Calibri"/>
      <family val="2"/>
      <scheme val="minor"/>
    </font>
    <font>
      <b/>
      <sz val="11"/>
      <color rgb="FF0000FF"/>
      <name val="Arial"/>
      <family val="2"/>
    </font>
    <font>
      <sz val="10"/>
      <color theme="1"/>
      <name val="Calibri"/>
      <family val="2"/>
      <scheme val="minor"/>
    </font>
    <font>
      <sz val="10"/>
      <name val="Calibri"/>
      <family val="2"/>
      <scheme val="minor"/>
    </font>
    <font>
      <sz val="10"/>
      <color theme="1"/>
      <name val="Arial"/>
      <family val="2"/>
    </font>
    <font>
      <sz val="10"/>
      <name val="Arial"/>
      <family val="2"/>
    </font>
    <font>
      <sz val="10"/>
      <color rgb="FFFF0000"/>
      <name val="Calibri"/>
      <family val="2"/>
      <scheme val="minor"/>
    </font>
    <font>
      <sz val="10"/>
      <color rgb="FFFF0000"/>
      <name val="Arial"/>
      <family val="2"/>
    </font>
    <font>
      <sz val="8"/>
      <color theme="1"/>
      <name val="Arial"/>
      <family val="2"/>
    </font>
    <font>
      <sz val="11"/>
      <color rgb="FFFF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color rgb="FFFF0000"/>
      <name val="Arial"/>
      <family val="2"/>
    </font>
    <font>
      <sz val="8"/>
      <name val="Arial"/>
      <family val="2"/>
    </font>
    <font>
      <sz val="10"/>
      <color rgb="FF0000FF"/>
      <name val="Arial"/>
      <family val="2"/>
    </font>
    <font>
      <b/>
      <sz val="10"/>
      <color theme="0"/>
      <name val="Arial"/>
      <family val="2"/>
    </font>
    <font>
      <b/>
      <sz val="10"/>
      <color rgb="FF0000FF"/>
      <name val="Arial"/>
      <family val="2"/>
    </font>
    <font>
      <b/>
      <sz val="12"/>
      <color theme="0"/>
      <name val="Arial"/>
      <family val="2"/>
    </font>
    <font>
      <sz val="12"/>
      <color theme="1"/>
      <name val="Arial"/>
      <family val="2"/>
    </font>
    <font>
      <sz val="12"/>
      <name val="Arial"/>
      <family val="2"/>
    </font>
    <font>
      <sz val="12"/>
      <color rgb="FFFF0000"/>
      <name val="Arial"/>
      <family val="2"/>
    </font>
    <font>
      <sz val="12"/>
      <color rgb="FF0000FF"/>
      <name val="Arial"/>
      <family val="2"/>
    </font>
    <font>
      <sz val="12"/>
      <color theme="1"/>
      <name val="Calibri"/>
      <family val="2"/>
      <scheme val="minor"/>
    </font>
    <font>
      <sz val="11"/>
      <color rgb="FFFF0000"/>
      <name val="Arial"/>
      <family val="2"/>
    </font>
  </fonts>
  <fills count="38">
    <fill>
      <patternFill patternType="none"/>
    </fill>
    <fill>
      <patternFill patternType="gray125"/>
    </fill>
    <fill>
      <patternFill patternType="solid">
        <fgColor rgb="FFFFC000"/>
        <bgColor indexed="64"/>
      </patternFill>
    </fill>
    <fill>
      <patternFill patternType="solid">
        <fgColor rgb="FF0070C0"/>
        <bgColor indexed="64"/>
      </patternFill>
    </fill>
    <fill>
      <patternFill patternType="solid">
        <fgColor theme="4" tint="0.399975585192419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rgb="FF0070C0"/>
      </left>
      <right style="thin">
        <color rgb="FF0070C0"/>
      </right>
      <top/>
      <bottom style="thin">
        <color rgb="FF0070C0"/>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indexed="64"/>
      </left>
      <right/>
      <top style="thin">
        <color indexed="64"/>
      </top>
      <bottom/>
      <diagonal/>
    </border>
    <border>
      <left style="thin">
        <color indexed="64"/>
      </left>
      <right/>
      <top/>
      <bottom style="thin">
        <color indexed="64"/>
      </bottom>
      <diagonal/>
    </border>
    <border>
      <left style="thin">
        <color rgb="FF0070C0"/>
      </left>
      <right/>
      <top/>
      <bottom style="thin">
        <color rgb="FF0070C0"/>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diagonal/>
    </border>
    <border>
      <left style="thin">
        <color theme="0"/>
      </left>
      <right style="thin">
        <color theme="0"/>
      </right>
      <top/>
      <bottom style="thin">
        <color indexed="64"/>
      </bottom>
      <diagonal/>
    </border>
    <border>
      <left style="thin">
        <color theme="0"/>
      </left>
      <right style="thin">
        <color indexed="64"/>
      </right>
      <top style="thin">
        <color theme="0"/>
      </top>
      <bottom/>
      <diagonal/>
    </border>
    <border>
      <left style="thin">
        <color theme="0"/>
      </left>
      <right style="thin">
        <color indexed="64"/>
      </right>
      <top/>
      <bottom/>
      <diagonal/>
    </border>
    <border>
      <left style="thin">
        <color theme="0"/>
      </left>
      <right style="thin">
        <color indexed="64"/>
      </right>
      <top/>
      <bottom style="thin">
        <color indexed="64"/>
      </bottom>
      <diagonal/>
    </border>
  </borders>
  <cellStyleXfs count="51">
    <xf numFmtId="0" fontId="0" fillId="0" borderId="0"/>
    <xf numFmtId="165" fontId="16" fillId="0" borderId="0" applyFont="0" applyFill="0" applyBorder="0" applyAlignment="0" applyProtection="0"/>
    <xf numFmtId="164" fontId="16" fillId="0" borderId="0" applyFont="0" applyFill="0" applyBorder="0" applyAlignment="0" applyProtection="0"/>
    <xf numFmtId="165" fontId="16" fillId="0" borderId="0" applyFont="0" applyFill="0" applyBorder="0" applyAlignment="0" applyProtection="0"/>
    <xf numFmtId="0" fontId="17" fillId="0" borderId="0" applyNumberFormat="0" applyFill="0" applyBorder="0" applyAlignment="0" applyProtection="0"/>
    <xf numFmtId="0" fontId="18" fillId="0" borderId="16" applyNumberFormat="0" applyFill="0" applyAlignment="0" applyProtection="0"/>
    <xf numFmtId="0" fontId="19" fillId="0" borderId="17" applyNumberFormat="0" applyFill="0" applyAlignment="0" applyProtection="0"/>
    <xf numFmtId="0" fontId="20" fillId="0" borderId="18" applyNumberFormat="0" applyFill="0" applyAlignment="0" applyProtection="0"/>
    <xf numFmtId="0" fontId="20" fillId="0" borderId="0" applyNumberFormat="0" applyFill="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9" borderId="19" applyNumberFormat="0" applyAlignment="0" applyProtection="0"/>
    <xf numFmtId="0" fontId="25" fillId="10" borderId="20" applyNumberFormat="0" applyAlignment="0" applyProtection="0"/>
    <xf numFmtId="0" fontId="26" fillId="10" borderId="19" applyNumberFormat="0" applyAlignment="0" applyProtection="0"/>
    <xf numFmtId="0" fontId="27" fillId="0" borderId="21" applyNumberFormat="0" applyFill="0" applyAlignment="0" applyProtection="0"/>
    <xf numFmtId="0" fontId="28" fillId="11" borderId="22" applyNumberFormat="0" applyAlignment="0" applyProtection="0"/>
    <xf numFmtId="0" fontId="15" fillId="0" borderId="0" applyNumberFormat="0" applyFill="0" applyBorder="0" applyAlignment="0" applyProtection="0"/>
    <xf numFmtId="0" fontId="16" fillId="12" borderId="23" applyNumberFormat="0" applyFont="0" applyAlignment="0" applyProtection="0"/>
    <xf numFmtId="0" fontId="29" fillId="0" borderId="0" applyNumberFormat="0" applyFill="0" applyBorder="0" applyAlignment="0" applyProtection="0"/>
    <xf numFmtId="0" fontId="30" fillId="0" borderId="24" applyNumberFormat="0" applyFill="0" applyAlignment="0" applyProtection="0"/>
    <xf numFmtId="0" fontId="31"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xf numFmtId="0" fontId="31" fillId="32" borderId="0" applyNumberFormat="0" applyBorder="0" applyAlignment="0" applyProtection="0"/>
    <xf numFmtId="0" fontId="31" fillId="33"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31" fillId="36" borderId="0" applyNumberFormat="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cellStyleXfs>
  <cellXfs count="371">
    <xf numFmtId="0" fontId="0" fillId="0" borderId="0" xfId="0"/>
    <xf numFmtId="14" fontId="0" fillId="0" borderId="0" xfId="0" applyNumberFormat="1"/>
    <xf numFmtId="49" fontId="0" fillId="0" borderId="0" xfId="0" applyNumberFormat="1"/>
    <xf numFmtId="4" fontId="0" fillId="0" borderId="0" xfId="0" applyNumberFormat="1"/>
    <xf numFmtId="166" fontId="0" fillId="0" borderId="0" xfId="0" applyNumberFormat="1"/>
    <xf numFmtId="3" fontId="0" fillId="0" borderId="0" xfId="0" applyNumberFormat="1"/>
    <xf numFmtId="0" fontId="3" fillId="2" borderId="0" xfId="0" applyFont="1" applyFill="1"/>
    <xf numFmtId="0" fontId="6" fillId="0" borderId="0" xfId="0" applyFont="1"/>
    <xf numFmtId="14" fontId="4"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4" fontId="4" fillId="2" borderId="2" xfId="0" applyNumberFormat="1" applyFont="1" applyFill="1" applyBorder="1" applyAlignment="1">
      <alignment horizontal="center" vertical="center" wrapText="1"/>
    </xf>
    <xf numFmtId="4" fontId="4" fillId="2" borderId="2" xfId="0" applyNumberFormat="1" applyFont="1" applyFill="1" applyBorder="1" applyAlignment="1">
      <alignment horizontal="right" vertical="center" wrapText="1"/>
    </xf>
    <xf numFmtId="4" fontId="7" fillId="2" borderId="2" xfId="0" applyNumberFormat="1" applyFont="1" applyFill="1" applyBorder="1" applyAlignment="1">
      <alignment horizontal="right" vertical="center" wrapText="1"/>
    </xf>
    <xf numFmtId="49" fontId="8" fillId="0" borderId="3" xfId="0" applyNumberFormat="1" applyFont="1" applyBorder="1" applyAlignment="1">
      <alignment horizontal="center"/>
    </xf>
    <xf numFmtId="49" fontId="8" fillId="0" borderId="3" xfId="0" applyNumberFormat="1" applyFont="1" applyBorder="1"/>
    <xf numFmtId="49" fontId="9" fillId="0" borderId="3" xfId="0" applyNumberFormat="1" applyFont="1" applyBorder="1" applyAlignment="1">
      <alignment horizontal="center" vertical="center" wrapText="1"/>
    </xf>
    <xf numFmtId="4" fontId="9" fillId="0" borderId="3" xfId="0" applyNumberFormat="1" applyFont="1" applyBorder="1" applyAlignment="1">
      <alignment horizontal="right" vertical="center" wrapText="1"/>
    </xf>
    <xf numFmtId="4" fontId="9" fillId="0" borderId="3" xfId="0" applyNumberFormat="1" applyFont="1" applyBorder="1" applyAlignment="1">
      <alignment horizontal="center" vertical="center" wrapText="1"/>
    </xf>
    <xf numFmtId="14" fontId="9" fillId="0" borderId="3" xfId="0" applyNumberFormat="1" applyFont="1" applyBorder="1" applyAlignment="1">
      <alignment horizontal="center" vertical="center" wrapText="1"/>
    </xf>
    <xf numFmtId="49" fontId="9" fillId="0" borderId="3" xfId="0" applyNumberFormat="1" applyFont="1" applyBorder="1" applyAlignment="1">
      <alignment horizontal="left" vertical="center" wrapText="1"/>
    </xf>
    <xf numFmtId="0" fontId="10" fillId="0" borderId="0" xfId="0" applyFont="1"/>
    <xf numFmtId="49" fontId="8" fillId="0" borderId="7" xfId="0" applyNumberFormat="1" applyFont="1" applyBorder="1" applyAlignment="1">
      <alignment horizontal="center"/>
    </xf>
    <xf numFmtId="49" fontId="9" fillId="0" borderId="3" xfId="0" applyNumberFormat="1" applyFont="1" applyBorder="1" applyAlignment="1">
      <alignment horizontal="center"/>
    </xf>
    <xf numFmtId="49" fontId="9" fillId="0" borderId="3" xfId="0" applyNumberFormat="1" applyFont="1" applyBorder="1"/>
    <xf numFmtId="4" fontId="11" fillId="0" borderId="3" xfId="0" applyNumberFormat="1" applyFont="1" applyBorder="1" applyAlignment="1">
      <alignment horizontal="center" vertical="center" wrapText="1"/>
    </xf>
    <xf numFmtId="14" fontId="11" fillId="0" borderId="3" xfId="0" applyNumberFormat="1" applyFont="1" applyBorder="1" applyAlignment="1">
      <alignment horizontal="center" vertical="center" wrapText="1"/>
    </xf>
    <xf numFmtId="49" fontId="11" fillId="0" borderId="3" xfId="0" applyNumberFormat="1" applyFont="1" applyBorder="1" applyAlignment="1">
      <alignment horizontal="center" vertical="center" wrapText="1"/>
    </xf>
    <xf numFmtId="3" fontId="11" fillId="0" borderId="3" xfId="0" applyNumberFormat="1" applyFont="1" applyBorder="1" applyAlignment="1">
      <alignment horizontal="center" vertical="center" wrapText="1"/>
    </xf>
    <xf numFmtId="0" fontId="11" fillId="0" borderId="0" xfId="0" applyFont="1"/>
    <xf numFmtId="14" fontId="13" fillId="0" borderId="3" xfId="0" applyNumberFormat="1" applyFont="1" applyBorder="1" applyAlignment="1">
      <alignment horizontal="center" vertical="center" wrapText="1"/>
    </xf>
    <xf numFmtId="49" fontId="12" fillId="0" borderId="3" xfId="0" applyNumberFormat="1" applyFont="1" applyBorder="1" applyAlignment="1">
      <alignment horizontal="center" vertical="center" wrapText="1"/>
    </xf>
    <xf numFmtId="49" fontId="12" fillId="0" borderId="3" xfId="0" applyNumberFormat="1" applyFont="1" applyBorder="1" applyAlignment="1">
      <alignment horizontal="left" vertical="center" wrapText="1"/>
    </xf>
    <xf numFmtId="4" fontId="13" fillId="0" borderId="3"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3" fontId="13" fillId="0" borderId="3" xfId="0" applyNumberFormat="1" applyFont="1" applyBorder="1" applyAlignment="1">
      <alignment horizontal="center" vertical="center" wrapText="1"/>
    </xf>
    <xf numFmtId="4" fontId="12" fillId="0" borderId="3" xfId="0" applyNumberFormat="1" applyFont="1" applyBorder="1" applyAlignment="1">
      <alignment horizontal="center" vertical="center" wrapText="1"/>
    </xf>
    <xf numFmtId="0" fontId="13" fillId="0" borderId="0" xfId="0" applyFont="1"/>
    <xf numFmtId="4" fontId="9" fillId="4" borderId="0" xfId="0" applyNumberFormat="1" applyFont="1" applyFill="1" applyAlignment="1">
      <alignment vertical="center" wrapText="1"/>
    </xf>
    <xf numFmtId="4" fontId="13" fillId="0" borderId="9" xfId="0" applyNumberFormat="1" applyFont="1" applyBorder="1" applyAlignment="1">
      <alignment horizontal="center" vertical="center" wrapText="1"/>
    </xf>
    <xf numFmtId="4" fontId="12" fillId="0" borderId="9" xfId="0" applyNumberFormat="1" applyFont="1" applyBorder="1" applyAlignment="1">
      <alignment horizontal="right" vertical="center" wrapText="1"/>
    </xf>
    <xf numFmtId="4" fontId="9" fillId="4" borderId="3" xfId="0" applyNumberFormat="1" applyFont="1" applyFill="1" applyBorder="1" applyAlignment="1">
      <alignment vertical="center" wrapText="1"/>
    </xf>
    <xf numFmtId="0" fontId="8" fillId="0" borderId="0" xfId="0" applyFont="1"/>
    <xf numFmtId="49" fontId="12" fillId="0" borderId="3" xfId="0" applyNumberFormat="1" applyFont="1" applyBorder="1"/>
    <xf numFmtId="14" fontId="8" fillId="0" borderId="3" xfId="0" applyNumberFormat="1" applyFont="1" applyBorder="1" applyAlignment="1">
      <alignment horizontal="left"/>
    </xf>
    <xf numFmtId="49" fontId="8" fillId="0" borderId="3" xfId="0" applyNumberFormat="1" applyFont="1" applyBorder="1" applyAlignment="1">
      <alignment horizontal="center" vertical="center" wrapText="1"/>
    </xf>
    <xf numFmtId="4" fontId="10" fillId="0" borderId="7" xfId="0" applyNumberFormat="1" applyFont="1" applyBorder="1" applyAlignment="1">
      <alignment horizontal="center" vertical="center" wrapText="1"/>
    </xf>
    <xf numFmtId="49" fontId="8" fillId="0" borderId="7" xfId="0" applyNumberFormat="1" applyFont="1" applyBorder="1" applyAlignment="1">
      <alignment horizontal="center" vertical="center" wrapText="1"/>
    </xf>
    <xf numFmtId="49" fontId="8" fillId="0" borderId="3" xfId="0" applyNumberFormat="1" applyFont="1" applyBorder="1" applyAlignment="1">
      <alignment horizontal="left" vertical="center" wrapText="1"/>
    </xf>
    <xf numFmtId="49" fontId="5" fillId="3" borderId="4" xfId="0" applyNumberFormat="1" applyFont="1" applyFill="1" applyBorder="1" applyAlignment="1">
      <alignment horizontal="center" vertical="center" wrapText="1"/>
    </xf>
    <xf numFmtId="4" fontId="5" fillId="3" borderId="4" xfId="0" applyNumberFormat="1" applyFont="1" applyFill="1" applyBorder="1" applyAlignment="1">
      <alignment horizontal="center" vertical="center" wrapText="1"/>
    </xf>
    <xf numFmtId="14" fontId="12" fillId="0" borderId="3" xfId="0" applyNumberFormat="1" applyFont="1" applyBorder="1" applyAlignment="1">
      <alignment horizontal="left"/>
    </xf>
    <xf numFmtId="14" fontId="8" fillId="0" borderId="3" xfId="0" applyNumberFormat="1" applyFont="1" applyBorder="1" applyAlignment="1">
      <alignment horizontal="center" vertical="center" wrapText="1"/>
    </xf>
    <xf numFmtId="4" fontId="8" fillId="0" borderId="3" xfId="0" applyNumberFormat="1" applyFont="1" applyBorder="1" applyAlignment="1">
      <alignment horizontal="center" vertical="center" wrapText="1"/>
    </xf>
    <xf numFmtId="4" fontId="8" fillId="0" borderId="3" xfId="0" applyNumberFormat="1" applyFont="1" applyBorder="1" applyAlignment="1">
      <alignment horizontal="right" vertical="center" wrapText="1"/>
    </xf>
    <xf numFmtId="166" fontId="8" fillId="0" borderId="3" xfId="0" applyNumberFormat="1" applyFont="1" applyBorder="1" applyAlignment="1">
      <alignment horizontal="center" vertical="center" wrapText="1"/>
    </xf>
    <xf numFmtId="3" fontId="8" fillId="0" borderId="3" xfId="0" applyNumberFormat="1" applyFont="1" applyBorder="1" applyAlignment="1">
      <alignment horizontal="center" vertical="center" wrapText="1"/>
    </xf>
    <xf numFmtId="14" fontId="10" fillId="0" borderId="3" xfId="0" applyNumberFormat="1" applyFont="1" applyBorder="1" applyAlignment="1">
      <alignment horizontal="center" vertical="center" wrapText="1"/>
    </xf>
    <xf numFmtId="4" fontId="10" fillId="0" borderId="3" xfId="0" applyNumberFormat="1" applyFont="1" applyBorder="1" applyAlignment="1">
      <alignment horizontal="center" vertical="center" wrapText="1"/>
    </xf>
    <xf numFmtId="49" fontId="10" fillId="0" borderId="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4" fontId="13" fillId="0" borderId="8" xfId="0" applyNumberFormat="1" applyFont="1" applyBorder="1" applyAlignment="1">
      <alignment horizontal="center" vertical="center" wrapText="1"/>
    </xf>
    <xf numFmtId="14" fontId="13" fillId="0" borderId="8" xfId="0" applyNumberFormat="1" applyFont="1" applyBorder="1" applyAlignment="1">
      <alignment horizontal="center" vertical="center" wrapText="1"/>
    </xf>
    <xf numFmtId="14" fontId="12" fillId="5" borderId="3" xfId="0" applyNumberFormat="1" applyFont="1" applyFill="1" applyBorder="1"/>
    <xf numFmtId="49" fontId="12" fillId="5" borderId="3" xfId="0" applyNumberFormat="1" applyFont="1" applyFill="1" applyBorder="1" applyAlignment="1">
      <alignment horizontal="center"/>
    </xf>
    <xf numFmtId="49" fontId="12" fillId="5" borderId="3" xfId="0" applyNumberFormat="1" applyFont="1" applyFill="1" applyBorder="1"/>
    <xf numFmtId="49" fontId="12" fillId="5" borderId="3" xfId="0" applyNumberFormat="1" applyFont="1" applyFill="1" applyBorder="1" applyAlignment="1">
      <alignment horizontal="center" vertical="center" wrapText="1"/>
    </xf>
    <xf numFmtId="4" fontId="13" fillId="5" borderId="3" xfId="0" applyNumberFormat="1" applyFont="1" applyFill="1" applyBorder="1" applyAlignment="1">
      <alignment horizontal="center" vertical="center" wrapText="1"/>
    </xf>
    <xf numFmtId="4" fontId="12" fillId="5" borderId="7" xfId="0" applyNumberFormat="1" applyFont="1" applyFill="1" applyBorder="1" applyAlignment="1">
      <alignment horizontal="right" vertical="center" wrapText="1"/>
    </xf>
    <xf numFmtId="14" fontId="13" fillId="5" borderId="3" xfId="0" applyNumberFormat="1" applyFont="1" applyFill="1" applyBorder="1" applyAlignment="1">
      <alignment horizontal="center" vertical="center" wrapText="1"/>
    </xf>
    <xf numFmtId="49" fontId="13" fillId="5" borderId="3" xfId="0" applyNumberFormat="1" applyFont="1" applyFill="1" applyBorder="1" applyAlignment="1">
      <alignment horizontal="center" vertical="center" wrapText="1"/>
    </xf>
    <xf numFmtId="0" fontId="13" fillId="5" borderId="0" xfId="0" applyFont="1" applyFill="1"/>
    <xf numFmtId="0" fontId="0" fillId="0" borderId="3" xfId="0" applyBorder="1"/>
    <xf numFmtId="0" fontId="15" fillId="0" borderId="3" xfId="0" applyFont="1" applyBorder="1"/>
    <xf numFmtId="4" fontId="12" fillId="4" borderId="3" xfId="0" applyNumberFormat="1" applyFont="1" applyFill="1" applyBorder="1" applyAlignment="1">
      <alignment vertical="center" wrapText="1"/>
    </xf>
    <xf numFmtId="4" fontId="12" fillId="4" borderId="0" xfId="0" applyNumberFormat="1" applyFont="1" applyFill="1" applyAlignment="1">
      <alignment vertical="center" wrapText="1"/>
    </xf>
    <xf numFmtId="166" fontId="8" fillId="0" borderId="5" xfId="0" applyNumberFormat="1" applyFont="1" applyBorder="1" applyAlignment="1">
      <alignment horizontal="center" vertical="center" wrapText="1"/>
    </xf>
    <xf numFmtId="49" fontId="10" fillId="0" borderId="12" xfId="0" applyNumberFormat="1" applyFont="1" applyBorder="1" applyAlignment="1">
      <alignment horizontal="center" vertical="center" wrapText="1"/>
    </xf>
    <xf numFmtId="4" fontId="9" fillId="4" borderId="5" xfId="0" applyNumberFormat="1" applyFont="1" applyFill="1" applyBorder="1" applyAlignment="1">
      <alignment vertical="center" wrapText="1"/>
    </xf>
    <xf numFmtId="166" fontId="11" fillId="0" borderId="5" xfId="0" applyNumberFormat="1" applyFont="1" applyBorder="1" applyAlignment="1">
      <alignment horizontal="center" vertical="center" wrapText="1"/>
    </xf>
    <xf numFmtId="4" fontId="12" fillId="4" borderId="5" xfId="0" applyNumberFormat="1" applyFont="1" applyFill="1" applyBorder="1" applyAlignment="1">
      <alignment vertical="center" wrapText="1"/>
    </xf>
    <xf numFmtId="166" fontId="13" fillId="5" borderId="5" xfId="0" applyNumberFormat="1" applyFont="1" applyFill="1" applyBorder="1" applyAlignment="1">
      <alignment horizontal="center" vertical="center" wrapText="1"/>
    </xf>
    <xf numFmtId="166" fontId="13" fillId="0" borderId="13" xfId="0" applyNumberFormat="1" applyFont="1" applyBorder="1" applyAlignment="1">
      <alignment horizontal="center" vertical="center" wrapText="1"/>
    </xf>
    <xf numFmtId="166" fontId="4" fillId="2" borderId="14" xfId="0" applyNumberFormat="1" applyFont="1" applyFill="1" applyBorder="1" applyAlignment="1">
      <alignment horizontal="center" vertical="center" wrapText="1"/>
    </xf>
    <xf numFmtId="14" fontId="5" fillId="3" borderId="3" xfId="0" applyNumberFormat="1"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0" fontId="10" fillId="0" borderId="3" xfId="0" applyFont="1" applyBorder="1"/>
    <xf numFmtId="3" fontId="13" fillId="5" borderId="3" xfId="0" applyNumberFormat="1" applyFont="1" applyFill="1" applyBorder="1" applyAlignment="1">
      <alignment horizontal="center" vertical="center" wrapText="1"/>
    </xf>
    <xf numFmtId="4" fontId="12" fillId="5" borderId="3" xfId="0" applyNumberFormat="1" applyFont="1" applyFill="1" applyBorder="1" applyAlignment="1">
      <alignment horizontal="center" vertical="center" wrapText="1"/>
    </xf>
    <xf numFmtId="49" fontId="12" fillId="5" borderId="3" xfId="0" applyNumberFormat="1" applyFont="1" applyFill="1" applyBorder="1" applyAlignment="1">
      <alignment horizontal="left" vertical="center" wrapText="1"/>
    </xf>
    <xf numFmtId="14" fontId="4" fillId="2" borderId="3"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 fontId="4" fillId="2" borderId="3" xfId="0" applyNumberFormat="1" applyFont="1" applyFill="1" applyBorder="1" applyAlignment="1">
      <alignment horizontal="center" vertical="center" wrapText="1"/>
    </xf>
    <xf numFmtId="3" fontId="4" fillId="2" borderId="3" xfId="0" applyNumberFormat="1" applyFont="1" applyFill="1" applyBorder="1" applyAlignment="1">
      <alignment horizontal="center" vertical="center" wrapText="1"/>
    </xf>
    <xf numFmtId="4" fontId="13" fillId="0" borderId="15" xfId="0" applyNumberFormat="1" applyFont="1" applyBorder="1" applyAlignment="1">
      <alignment horizontal="center" vertical="center" wrapText="1"/>
    </xf>
    <xf numFmtId="166" fontId="13" fillId="0" borderId="15" xfId="0" applyNumberFormat="1" applyFont="1" applyBorder="1" applyAlignment="1">
      <alignment horizontal="center" vertical="center" wrapText="1"/>
    </xf>
    <xf numFmtId="49" fontId="0" fillId="0" borderId="3" xfId="0" applyNumberFormat="1" applyBorder="1"/>
    <xf numFmtId="4" fontId="10" fillId="0" borderId="6" xfId="0" applyNumberFormat="1" applyFont="1" applyBorder="1" applyAlignment="1">
      <alignment horizontal="center" vertical="center" wrapText="1"/>
    </xf>
    <xf numFmtId="14" fontId="10" fillId="0" borderId="7" xfId="0" applyNumberFormat="1" applyFont="1" applyBorder="1" applyAlignment="1">
      <alignment horizontal="center" vertical="center" wrapText="1"/>
    </xf>
    <xf numFmtId="167" fontId="8" fillId="0" borderId="3" xfId="0" applyNumberFormat="1" applyFont="1" applyBorder="1"/>
    <xf numFmtId="167" fontId="12" fillId="0" borderId="3" xfId="0" applyNumberFormat="1" applyFont="1" applyBorder="1"/>
    <xf numFmtId="14" fontId="9" fillId="0" borderId="3" xfId="0" applyNumberFormat="1" applyFont="1" applyBorder="1" applyAlignment="1">
      <alignment horizontal="left"/>
    </xf>
    <xf numFmtId="167" fontId="9" fillId="0" borderId="3" xfId="0" applyNumberFormat="1" applyFont="1" applyBorder="1"/>
    <xf numFmtId="49" fontId="32" fillId="0" borderId="3" xfId="0" applyNumberFormat="1" applyFont="1" applyBorder="1"/>
    <xf numFmtId="166" fontId="9" fillId="0" borderId="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0" xfId="0" applyFont="1"/>
    <xf numFmtId="0" fontId="14" fillId="0" borderId="0" xfId="0" applyFont="1"/>
    <xf numFmtId="49" fontId="14" fillId="0" borderId="0" xfId="0" applyNumberFormat="1" applyFont="1" applyAlignment="1">
      <alignment horizontal="right"/>
    </xf>
    <xf numFmtId="49" fontId="12" fillId="0" borderId="7" xfId="0" applyNumberFormat="1" applyFont="1" applyBorder="1" applyAlignment="1">
      <alignment horizontal="center"/>
    </xf>
    <xf numFmtId="0" fontId="33" fillId="0" borderId="0" xfId="0" applyFont="1"/>
    <xf numFmtId="49" fontId="15" fillId="0" borderId="0" xfId="0" applyNumberFormat="1" applyFont="1"/>
    <xf numFmtId="4" fontId="13" fillId="0" borderId="7" xfId="0" applyNumberFormat="1" applyFont="1" applyBorder="1" applyAlignment="1">
      <alignment horizontal="center" vertical="center" wrapText="1"/>
    </xf>
    <xf numFmtId="4" fontId="12" fillId="0" borderId="3" xfId="0" applyNumberFormat="1" applyFont="1" applyBorder="1" applyAlignment="1">
      <alignment horizontal="right" vertical="center" wrapText="1"/>
    </xf>
    <xf numFmtId="166" fontId="12" fillId="0" borderId="3" xfId="0" applyNumberFormat="1" applyFont="1" applyBorder="1" applyAlignment="1">
      <alignment horizontal="center" vertical="center" wrapText="1"/>
    </xf>
    <xf numFmtId="49" fontId="13" fillId="0" borderId="12" xfId="0" applyNumberFormat="1" applyFont="1" applyBorder="1" applyAlignment="1">
      <alignment horizontal="center" vertical="center" wrapText="1"/>
    </xf>
    <xf numFmtId="3" fontId="12" fillId="0" borderId="3" xfId="0" applyNumberFormat="1" applyFont="1" applyBorder="1" applyAlignment="1">
      <alignment horizontal="center" vertical="center" wrapText="1"/>
    </xf>
    <xf numFmtId="14" fontId="12" fillId="0" borderId="3" xfId="0" applyNumberFormat="1" applyFont="1" applyBorder="1" applyAlignment="1">
      <alignment horizontal="center" vertical="center" wrapText="1"/>
    </xf>
    <xf numFmtId="0" fontId="13" fillId="0" borderId="3" xfId="0" applyFont="1" applyBorder="1"/>
    <xf numFmtId="14" fontId="14" fillId="0" borderId="0" xfId="0" applyNumberFormat="1" applyFont="1"/>
    <xf numFmtId="49" fontId="14" fillId="0" borderId="0" xfId="0" applyNumberFormat="1" applyFont="1" applyAlignment="1">
      <alignment horizontal="right" wrapText="1"/>
    </xf>
    <xf numFmtId="14" fontId="33" fillId="0" borderId="0" xfId="0" applyNumberFormat="1" applyFont="1"/>
    <xf numFmtId="49" fontId="12" fillId="0" borderId="3" xfId="0" applyNumberFormat="1" applyFont="1" applyBorder="1" applyAlignment="1">
      <alignment horizontal="center"/>
    </xf>
    <xf numFmtId="166" fontId="12" fillId="0" borderId="5" xfId="0" applyNumberFormat="1" applyFont="1" applyBorder="1" applyAlignment="1">
      <alignment horizontal="center" vertical="center" wrapText="1"/>
    </xf>
    <xf numFmtId="14" fontId="12" fillId="0" borderId="3" xfId="0" applyNumberFormat="1" applyFont="1" applyBorder="1" applyAlignment="1">
      <alignment horizontal="right"/>
    </xf>
    <xf numFmtId="14" fontId="14" fillId="0" borderId="3" xfId="0" applyNumberFormat="1" applyFont="1" applyBorder="1" applyAlignment="1">
      <alignment horizontal="left"/>
    </xf>
    <xf numFmtId="49" fontId="14" fillId="0" borderId="3" xfId="0" applyNumberFormat="1" applyFont="1" applyBorder="1" applyAlignment="1">
      <alignment horizontal="center"/>
    </xf>
    <xf numFmtId="49" fontId="14" fillId="0" borderId="3" xfId="0" applyNumberFormat="1" applyFont="1" applyBorder="1" applyAlignment="1">
      <alignment horizontal="center" vertical="center" wrapText="1"/>
    </xf>
    <xf numFmtId="0" fontId="14" fillId="0" borderId="3" xfId="0" applyFont="1" applyBorder="1"/>
    <xf numFmtId="0" fontId="14" fillId="5" borderId="3" xfId="0" applyFont="1" applyFill="1" applyBorder="1"/>
    <xf numFmtId="4" fontId="14" fillId="0" borderId="3" xfId="0" applyNumberFormat="1" applyFont="1" applyBorder="1" applyAlignment="1">
      <alignment horizontal="center" vertical="center" wrapText="1"/>
    </xf>
    <xf numFmtId="166" fontId="14" fillId="0" borderId="5" xfId="0" applyNumberFormat="1" applyFont="1" applyBorder="1" applyAlignment="1">
      <alignment horizontal="center" vertical="center" wrapText="1"/>
    </xf>
    <xf numFmtId="49" fontId="34" fillId="0" borderId="3" xfId="0" applyNumberFormat="1" applyFont="1" applyBorder="1" applyAlignment="1">
      <alignment horizontal="center" vertical="center" wrapText="1"/>
    </xf>
    <xf numFmtId="4" fontId="34" fillId="0" borderId="3" xfId="0" applyNumberFormat="1" applyFont="1" applyBorder="1" applyAlignment="1">
      <alignment horizontal="center" vertical="center" wrapText="1"/>
    </xf>
    <xf numFmtId="14" fontId="34" fillId="0" borderId="3" xfId="0" applyNumberFormat="1" applyFont="1" applyBorder="1" applyAlignment="1">
      <alignment horizontal="center" vertical="center" wrapText="1"/>
    </xf>
    <xf numFmtId="49" fontId="34" fillId="0" borderId="3" xfId="0" applyNumberFormat="1" applyFont="1" applyBorder="1" applyAlignment="1">
      <alignment horizontal="center"/>
    </xf>
    <xf numFmtId="166" fontId="34" fillId="0" borderId="5" xfId="0" applyNumberFormat="1" applyFont="1" applyBorder="1" applyAlignment="1">
      <alignment horizontal="center" vertical="center" wrapText="1"/>
    </xf>
    <xf numFmtId="14" fontId="14" fillId="0" borderId="3" xfId="0" applyNumberFormat="1" applyFont="1" applyBorder="1" applyAlignment="1">
      <alignment horizontal="center" vertical="center" wrapText="1"/>
    </xf>
    <xf numFmtId="14" fontId="33" fillId="0" borderId="3" xfId="0" applyNumberFormat="1" applyFont="1" applyBorder="1" applyAlignment="1">
      <alignment horizontal="left"/>
    </xf>
    <xf numFmtId="49" fontId="33" fillId="0" borderId="3" xfId="0" applyNumberFormat="1" applyFont="1" applyBorder="1" applyAlignment="1">
      <alignment horizontal="center" vertical="center" wrapText="1"/>
    </xf>
    <xf numFmtId="4" fontId="33" fillId="0" borderId="3" xfId="0" applyNumberFormat="1" applyFont="1" applyBorder="1" applyAlignment="1">
      <alignment horizontal="center" vertical="center" wrapText="1"/>
    </xf>
    <xf numFmtId="166" fontId="33" fillId="0" borderId="5" xfId="0" applyNumberFormat="1" applyFont="1" applyBorder="1" applyAlignment="1">
      <alignment horizontal="center" vertical="center" wrapText="1"/>
    </xf>
    <xf numFmtId="49" fontId="14" fillId="0" borderId="7" xfId="0" applyNumberFormat="1" applyFont="1" applyBorder="1" applyAlignment="1">
      <alignment horizontal="center"/>
    </xf>
    <xf numFmtId="14" fontId="14" fillId="0" borderId="7" xfId="0" applyNumberFormat="1" applyFont="1" applyBorder="1" applyAlignment="1">
      <alignment horizontal="center" vertical="center" wrapText="1"/>
    </xf>
    <xf numFmtId="49" fontId="14" fillId="0" borderId="12" xfId="0" applyNumberFormat="1" applyFont="1" applyBorder="1" applyAlignment="1">
      <alignment horizontal="center" vertical="center" wrapText="1"/>
    </xf>
    <xf numFmtId="4" fontId="34" fillId="4" borderId="3" xfId="0" applyNumberFormat="1" applyFont="1" applyFill="1" applyBorder="1" applyAlignment="1">
      <alignment vertical="center" wrapText="1"/>
    </xf>
    <xf numFmtId="4" fontId="34" fillId="4" borderId="5" xfId="0" applyNumberFormat="1" applyFont="1" applyFill="1" applyBorder="1" applyAlignment="1">
      <alignment vertical="center" wrapText="1"/>
    </xf>
    <xf numFmtId="4" fontId="33" fillId="4" borderId="3" xfId="0" applyNumberFormat="1" applyFont="1" applyFill="1" applyBorder="1" applyAlignment="1">
      <alignment vertical="center" wrapText="1"/>
    </xf>
    <xf numFmtId="4" fontId="33" fillId="4" borderId="5" xfId="0" applyNumberFormat="1" applyFont="1" applyFill="1" applyBorder="1" applyAlignment="1">
      <alignment vertical="center" wrapText="1"/>
    </xf>
    <xf numFmtId="14" fontId="33" fillId="5" borderId="3" xfId="0" applyNumberFormat="1" applyFont="1" applyFill="1" applyBorder="1"/>
    <xf numFmtId="4" fontId="33" fillId="5" borderId="3" xfId="0" applyNumberFormat="1" applyFont="1" applyFill="1" applyBorder="1" applyAlignment="1">
      <alignment horizontal="center" vertical="center" wrapText="1"/>
    </xf>
    <xf numFmtId="166" fontId="33" fillId="5" borderId="5" xfId="0" applyNumberFormat="1" applyFont="1" applyFill="1" applyBorder="1" applyAlignment="1">
      <alignment horizontal="center" vertical="center" wrapText="1"/>
    </xf>
    <xf numFmtId="14" fontId="33" fillId="0" borderId="3" xfId="0" applyNumberFormat="1" applyFont="1" applyBorder="1" applyAlignment="1">
      <alignment horizontal="center" vertical="center" wrapText="1"/>
    </xf>
    <xf numFmtId="49" fontId="33" fillId="5" borderId="3" xfId="0" applyNumberFormat="1" applyFont="1" applyFill="1" applyBorder="1" applyAlignment="1">
      <alignment horizontal="center" vertical="center" wrapText="1"/>
    </xf>
    <xf numFmtId="166" fontId="33" fillId="0" borderId="3" xfId="0" applyNumberFormat="1" applyFont="1" applyBorder="1" applyAlignment="1">
      <alignment horizontal="center" vertical="center" wrapText="1"/>
    </xf>
    <xf numFmtId="166" fontId="34" fillId="0" borderId="3" xfId="0" applyNumberFormat="1" applyFont="1" applyBorder="1" applyAlignment="1">
      <alignment horizontal="center" vertical="center" wrapText="1"/>
    </xf>
    <xf numFmtId="14" fontId="35" fillId="2" borderId="2" xfId="0" applyNumberFormat="1" applyFont="1" applyFill="1" applyBorder="1" applyAlignment="1">
      <alignment horizontal="center" vertical="center" wrapText="1"/>
    </xf>
    <xf numFmtId="14" fontId="14" fillId="0" borderId="9" xfId="0" applyNumberFormat="1" applyFont="1" applyBorder="1" applyAlignment="1">
      <alignment horizontal="left"/>
    </xf>
    <xf numFmtId="14" fontId="14" fillId="5" borderId="3" xfId="0" applyNumberFormat="1" applyFont="1" applyFill="1" applyBorder="1" applyAlignment="1">
      <alignment horizontal="left"/>
    </xf>
    <xf numFmtId="49" fontId="14" fillId="5" borderId="3" xfId="0" applyNumberFormat="1" applyFont="1" applyFill="1" applyBorder="1" applyAlignment="1">
      <alignment horizontal="center"/>
    </xf>
    <xf numFmtId="49" fontId="14" fillId="5" borderId="12" xfId="0" applyNumberFormat="1" applyFont="1" applyFill="1" applyBorder="1" applyAlignment="1">
      <alignment horizontal="center" vertical="center" wrapText="1"/>
    </xf>
    <xf numFmtId="0" fontId="10" fillId="5" borderId="0" xfId="0" applyFont="1" applyFill="1"/>
    <xf numFmtId="14" fontId="10" fillId="5" borderId="3" xfId="0" applyNumberFormat="1" applyFont="1" applyFill="1" applyBorder="1"/>
    <xf numFmtId="14" fontId="10" fillId="0" borderId="3" xfId="0" applyNumberFormat="1" applyFont="1" applyBorder="1"/>
    <xf numFmtId="14" fontId="10" fillId="0" borderId="0" xfId="0" applyNumberFormat="1" applyFont="1"/>
    <xf numFmtId="14" fontId="10" fillId="0" borderId="3" xfId="0" applyNumberFormat="1" applyFont="1" applyBorder="1" applyAlignment="1">
      <alignment horizontal="left"/>
    </xf>
    <xf numFmtId="14" fontId="10" fillId="5" borderId="3" xfId="0" applyNumberFormat="1" applyFont="1" applyFill="1" applyBorder="1" applyAlignment="1">
      <alignment horizontal="left"/>
    </xf>
    <xf numFmtId="14" fontId="13" fillId="0" borderId="3" xfId="0" applyNumberFormat="1" applyFont="1" applyBorder="1" applyAlignment="1">
      <alignment horizontal="left"/>
    </xf>
    <xf numFmtId="14" fontId="13" fillId="5" borderId="0" xfId="0" applyNumberFormat="1" applyFont="1" applyFill="1" applyAlignment="1">
      <alignment horizontal="left"/>
    </xf>
    <xf numFmtId="14" fontId="8" fillId="0" borderId="0" xfId="0" applyNumberFormat="1" applyFont="1"/>
    <xf numFmtId="49" fontId="36" fillId="3" borderId="4" xfId="0" applyNumberFormat="1" applyFont="1" applyFill="1" applyBorder="1" applyAlignment="1">
      <alignment horizontal="center" vertical="center" wrapText="1"/>
    </xf>
    <xf numFmtId="49" fontId="10" fillId="0" borderId="3" xfId="0" applyNumberFormat="1" applyFont="1" applyBorder="1"/>
    <xf numFmtId="167" fontId="10" fillId="0" borderId="3" xfId="0" applyNumberFormat="1" applyFont="1" applyBorder="1"/>
    <xf numFmtId="49" fontId="11" fillId="0" borderId="3" xfId="0" applyNumberFormat="1" applyFont="1" applyBorder="1"/>
    <xf numFmtId="49" fontId="10" fillId="5" borderId="3" xfId="0" applyNumberFormat="1" applyFont="1" applyFill="1" applyBorder="1"/>
    <xf numFmtId="167" fontId="10" fillId="5" borderId="3" xfId="0" applyNumberFormat="1" applyFont="1" applyFill="1" applyBorder="1"/>
    <xf numFmtId="4" fontId="11" fillId="4" borderId="3" xfId="0" applyNumberFormat="1" applyFont="1" applyFill="1" applyBorder="1" applyAlignment="1">
      <alignment vertical="center" wrapText="1"/>
    </xf>
    <xf numFmtId="4" fontId="13" fillId="4" borderId="3" xfId="0" applyNumberFormat="1" applyFont="1" applyFill="1" applyBorder="1" applyAlignment="1">
      <alignment vertical="center" wrapText="1"/>
    </xf>
    <xf numFmtId="49" fontId="13" fillId="5" borderId="3" xfId="0" applyNumberFormat="1" applyFont="1" applyFill="1" applyBorder="1"/>
    <xf numFmtId="167" fontId="13" fillId="0" borderId="3" xfId="0" applyNumberFormat="1" applyFont="1" applyBorder="1"/>
    <xf numFmtId="49" fontId="13" fillId="0" borderId="3" xfId="0" applyNumberFormat="1" applyFont="1" applyBorder="1" applyAlignment="1">
      <alignment horizontal="left" vertical="center" wrapText="1"/>
    </xf>
    <xf numFmtId="49" fontId="35" fillId="2" borderId="2" xfId="0" applyNumberFormat="1" applyFont="1" applyFill="1" applyBorder="1" applyAlignment="1">
      <alignment horizontal="center" vertical="center" wrapText="1"/>
    </xf>
    <xf numFmtId="49" fontId="8" fillId="0" borderId="0" xfId="0" applyNumberFormat="1" applyFont="1"/>
    <xf numFmtId="0" fontId="10" fillId="5" borderId="3" xfId="0" applyFont="1" applyFill="1" applyBorder="1"/>
    <xf numFmtId="164" fontId="10" fillId="5" borderId="3" xfId="46" applyFont="1" applyFill="1" applyBorder="1"/>
    <xf numFmtId="164" fontId="10" fillId="0" borderId="3" xfId="46" applyFont="1" applyBorder="1" applyAlignment="1">
      <alignment horizontal="center" vertical="center" wrapText="1"/>
    </xf>
    <xf numFmtId="164" fontId="10" fillId="0" borderId="3" xfId="46" applyFont="1" applyBorder="1" applyAlignment="1">
      <alignment horizontal="right" vertical="center" wrapText="1"/>
    </xf>
    <xf numFmtId="2" fontId="10" fillId="5" borderId="3" xfId="0" applyNumberFormat="1" applyFont="1" applyFill="1" applyBorder="1"/>
    <xf numFmtId="164" fontId="11" fillId="0" borderId="3" xfId="46" applyFont="1" applyFill="1" applyBorder="1" applyAlignment="1">
      <alignment horizontal="center" vertical="center" wrapText="1"/>
    </xf>
    <xf numFmtId="164" fontId="10" fillId="0" borderId="3" xfId="46" applyFont="1" applyFill="1" applyBorder="1" applyAlignment="1">
      <alignment horizontal="center" vertical="center" wrapText="1"/>
    </xf>
    <xf numFmtId="164" fontId="13" fillId="0" borderId="3" xfId="46" applyFont="1" applyFill="1" applyBorder="1" applyAlignment="1">
      <alignment horizontal="center" vertical="center" wrapText="1"/>
    </xf>
    <xf numFmtId="49" fontId="10" fillId="0" borderId="7" xfId="0" applyNumberFormat="1" applyFont="1" applyBorder="1" applyAlignment="1">
      <alignment horizontal="center" vertical="center" wrapText="1"/>
    </xf>
    <xf numFmtId="164" fontId="10" fillId="0" borderId="7" xfId="46" applyFont="1" applyBorder="1" applyAlignment="1">
      <alignment horizontal="center" vertical="center" wrapText="1"/>
    </xf>
    <xf numFmtId="164" fontId="10" fillId="0" borderId="7" xfId="46" applyFont="1" applyFill="1" applyBorder="1" applyAlignment="1">
      <alignment horizontal="center" vertical="center" wrapText="1"/>
    </xf>
    <xf numFmtId="166" fontId="10" fillId="0" borderId="3" xfId="0" applyNumberFormat="1" applyFont="1" applyBorder="1" applyAlignment="1">
      <alignment horizontal="center" vertical="center" wrapText="1"/>
    </xf>
    <xf numFmtId="49" fontId="10" fillId="5" borderId="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164" fontId="10" fillId="5" borderId="7" xfId="46" applyFont="1" applyFill="1" applyBorder="1" applyAlignment="1">
      <alignment horizontal="center" vertical="center" wrapText="1"/>
    </xf>
    <xf numFmtId="164" fontId="10" fillId="5" borderId="3" xfId="46" applyFont="1" applyFill="1" applyBorder="1" applyAlignment="1">
      <alignment horizontal="center" vertical="center" wrapText="1"/>
    </xf>
    <xf numFmtId="166" fontId="10" fillId="5" borderId="3" xfId="0" applyNumberFormat="1" applyFont="1" applyFill="1" applyBorder="1" applyAlignment="1">
      <alignment horizontal="center" vertical="center" wrapText="1"/>
    </xf>
    <xf numFmtId="164" fontId="10" fillId="0" borderId="3" xfId="46" applyFont="1" applyBorder="1"/>
    <xf numFmtId="4" fontId="10" fillId="0" borderId="3" xfId="0" applyNumberFormat="1" applyFont="1" applyBorder="1" applyAlignment="1">
      <alignment horizontal="right" vertical="center" wrapText="1"/>
    </xf>
    <xf numFmtId="2" fontId="10" fillId="0" borderId="3" xfId="0" applyNumberFormat="1" applyFont="1" applyBorder="1" applyAlignment="1">
      <alignment horizontal="right" vertical="center" wrapText="1"/>
    </xf>
    <xf numFmtId="2" fontId="11" fillId="4" borderId="3" xfId="0" applyNumberFormat="1" applyFont="1" applyFill="1" applyBorder="1" applyAlignment="1">
      <alignment vertical="center" wrapText="1"/>
    </xf>
    <xf numFmtId="164" fontId="11" fillId="0" borderId="3" xfId="46" applyFont="1" applyBorder="1" applyAlignment="1">
      <alignment horizontal="center" vertical="center" wrapText="1"/>
    </xf>
    <xf numFmtId="164" fontId="11" fillId="0" borderId="3" xfId="46" applyFont="1" applyBorder="1" applyAlignment="1">
      <alignment horizontal="right" vertical="center" wrapText="1"/>
    </xf>
    <xf numFmtId="4" fontId="11" fillId="0" borderId="3" xfId="0" applyNumberFormat="1" applyFont="1" applyBorder="1" applyAlignment="1">
      <alignment horizontal="right" vertical="center" wrapText="1"/>
    </xf>
    <xf numFmtId="49" fontId="13" fillId="5" borderId="3" xfId="0" applyNumberFormat="1" applyFont="1" applyFill="1" applyBorder="1" applyAlignment="1">
      <alignment horizontal="center"/>
    </xf>
    <xf numFmtId="164" fontId="13" fillId="0" borderId="3" xfId="46" applyFont="1" applyBorder="1" applyAlignment="1">
      <alignment horizontal="right" vertical="center" wrapText="1"/>
    </xf>
    <xf numFmtId="164" fontId="13" fillId="5" borderId="3" xfId="46" applyFont="1" applyFill="1" applyBorder="1" applyAlignment="1">
      <alignment horizontal="center" vertical="center" wrapText="1"/>
    </xf>
    <xf numFmtId="164" fontId="13" fillId="5" borderId="7" xfId="46" applyFont="1" applyFill="1" applyBorder="1" applyAlignment="1">
      <alignment horizontal="right" vertical="center" wrapText="1"/>
    </xf>
    <xf numFmtId="164" fontId="13" fillId="0" borderId="9" xfId="46" applyFont="1" applyBorder="1" applyAlignment="1">
      <alignment horizontal="center" vertical="center" wrapText="1"/>
    </xf>
    <xf numFmtId="164" fontId="13" fillId="0" borderId="3" xfId="46" applyFont="1" applyBorder="1"/>
    <xf numFmtId="0" fontId="11" fillId="0" borderId="3" xfId="0" applyFont="1" applyBorder="1"/>
    <xf numFmtId="4" fontId="13" fillId="0" borderId="3" xfId="0" applyNumberFormat="1" applyFont="1" applyBorder="1" applyAlignment="1">
      <alignment horizontal="right" vertical="center" wrapText="1"/>
    </xf>
    <xf numFmtId="4" fontId="35" fillId="2" borderId="2" xfId="0" applyNumberFormat="1" applyFont="1" applyFill="1" applyBorder="1" applyAlignment="1">
      <alignment horizontal="center" vertical="center" wrapText="1"/>
    </xf>
    <xf numFmtId="4" fontId="37" fillId="2" borderId="2" xfId="0" applyNumberFormat="1" applyFont="1" applyFill="1" applyBorder="1" applyAlignment="1">
      <alignment horizontal="right" vertical="center" wrapText="1"/>
    </xf>
    <xf numFmtId="4" fontId="35" fillId="2" borderId="2" xfId="0" applyNumberFormat="1" applyFont="1" applyFill="1" applyBorder="1" applyAlignment="1">
      <alignment horizontal="right" vertical="center" wrapText="1"/>
    </xf>
    <xf numFmtId="4" fontId="8" fillId="0" borderId="0" xfId="0" applyNumberFormat="1" applyFont="1"/>
    <xf numFmtId="49" fontId="14" fillId="5" borderId="9" xfId="0" applyNumberFormat="1" applyFont="1" applyFill="1" applyBorder="1" applyAlignment="1">
      <alignment horizontal="center"/>
    </xf>
    <xf numFmtId="0" fontId="10" fillId="0" borderId="9" xfId="0" applyFont="1" applyBorder="1"/>
    <xf numFmtId="49" fontId="10" fillId="5" borderId="9" xfId="0" applyNumberFormat="1" applyFont="1" applyFill="1" applyBorder="1" applyAlignment="1">
      <alignment horizontal="center" vertical="center" wrapText="1"/>
    </xf>
    <xf numFmtId="49" fontId="13" fillId="0" borderId="3" xfId="0" applyNumberFormat="1" applyFont="1" applyBorder="1" applyAlignment="1">
      <alignment horizontal="left" vertical="center"/>
    </xf>
    <xf numFmtId="14" fontId="13" fillId="0" borderId="3" xfId="0" applyNumberFormat="1" applyFont="1" applyBorder="1"/>
    <xf numFmtId="14" fontId="35" fillId="2" borderId="3" xfId="0" applyNumberFormat="1" applyFont="1" applyFill="1" applyBorder="1" applyAlignment="1">
      <alignment horizontal="center" vertical="center" wrapText="1"/>
    </xf>
    <xf numFmtId="49" fontId="11" fillId="0" borderId="3" xfId="0" applyNumberFormat="1" applyFont="1" applyBorder="1" applyAlignment="1">
      <alignment horizontal="left" vertical="center"/>
    </xf>
    <xf numFmtId="49" fontId="10" fillId="0" borderId="3" xfId="0" applyNumberFormat="1" applyFont="1" applyBorder="1" applyAlignment="1">
      <alignment horizontal="left" vertical="center"/>
    </xf>
    <xf numFmtId="14" fontId="10" fillId="0" borderId="3" xfId="0" applyNumberFormat="1" applyFont="1" applyBorder="1" applyAlignment="1">
      <alignment horizontal="right" vertical="center" wrapText="1"/>
    </xf>
    <xf numFmtId="14" fontId="10" fillId="0" borderId="3" xfId="0" applyNumberFormat="1" applyFont="1" applyBorder="1" applyAlignment="1">
      <alignment horizontal="right" vertical="center"/>
    </xf>
    <xf numFmtId="4" fontId="10" fillId="5" borderId="3" xfId="0" applyNumberFormat="1" applyFont="1" applyFill="1" applyBorder="1" applyAlignment="1">
      <alignment horizontal="center" vertical="center" wrapText="1"/>
    </xf>
    <xf numFmtId="49" fontId="11" fillId="5" borderId="3" xfId="0" applyNumberFormat="1" applyFont="1" applyFill="1" applyBorder="1" applyAlignment="1">
      <alignment horizontal="center" vertical="center" wrapText="1"/>
    </xf>
    <xf numFmtId="3" fontId="11" fillId="5" borderId="3" xfId="0" applyNumberFormat="1" applyFont="1" applyFill="1" applyBorder="1" applyAlignment="1">
      <alignment horizontal="center" vertical="center" wrapText="1"/>
    </xf>
    <xf numFmtId="4" fontId="11" fillId="5" borderId="3" xfId="0" applyNumberFormat="1" applyFont="1" applyFill="1" applyBorder="1" applyAlignment="1">
      <alignment horizontal="center" vertical="center" wrapText="1"/>
    </xf>
    <xf numFmtId="14" fontId="11" fillId="5" borderId="3" xfId="0" applyNumberFormat="1" applyFont="1" applyFill="1" applyBorder="1" applyAlignment="1">
      <alignment horizontal="center" vertical="center" wrapText="1"/>
    </xf>
    <xf numFmtId="49" fontId="11" fillId="5" borderId="3" xfId="0" applyNumberFormat="1" applyFont="1" applyFill="1" applyBorder="1" applyAlignment="1">
      <alignment horizontal="left" vertical="center"/>
    </xf>
    <xf numFmtId="49" fontId="10" fillId="5" borderId="3" xfId="0" applyNumberFormat="1" applyFont="1" applyFill="1" applyBorder="1" applyAlignment="1">
      <alignment horizontal="left" vertical="center"/>
    </xf>
    <xf numFmtId="4" fontId="11" fillId="4" borderId="3" xfId="0" applyNumberFormat="1" applyFont="1" applyFill="1" applyBorder="1" applyAlignment="1">
      <alignment vertical="center"/>
    </xf>
    <xf numFmtId="4" fontId="13" fillId="4" borderId="3" xfId="0" applyNumberFormat="1" applyFont="1" applyFill="1" applyBorder="1" applyAlignment="1">
      <alignment vertical="center"/>
    </xf>
    <xf numFmtId="14" fontId="13" fillId="0" borderId="3" xfId="0" applyNumberFormat="1" applyFont="1" applyBorder="1" applyAlignment="1">
      <alignment horizontal="right"/>
    </xf>
    <xf numFmtId="49" fontId="13" fillId="5" borderId="3" xfId="0" applyNumberFormat="1" applyFont="1" applyFill="1" applyBorder="1" applyAlignment="1">
      <alignment horizontal="left" vertical="center"/>
    </xf>
    <xf numFmtId="14" fontId="13" fillId="5" borderId="3" xfId="0" applyNumberFormat="1" applyFont="1" applyFill="1" applyBorder="1" applyAlignment="1">
      <alignment horizontal="right" vertical="center"/>
    </xf>
    <xf numFmtId="0" fontId="13" fillId="5" borderId="3" xfId="0" applyFont="1" applyFill="1" applyBorder="1"/>
    <xf numFmtId="14" fontId="13" fillId="0" borderId="3" xfId="0" applyNumberFormat="1" applyFont="1" applyBorder="1" applyAlignment="1">
      <alignment horizontal="right" vertical="center"/>
    </xf>
    <xf numFmtId="49" fontId="11" fillId="0" borderId="3" xfId="0" applyNumberFormat="1" applyFont="1" applyBorder="1" applyAlignment="1">
      <alignment horizontal="left" vertical="center" wrapText="1"/>
    </xf>
    <xf numFmtId="49" fontId="35" fillId="2" borderId="3" xfId="0" applyNumberFormat="1" applyFont="1" applyFill="1" applyBorder="1" applyAlignment="1">
      <alignment horizontal="center" vertical="center" wrapText="1"/>
    </xf>
    <xf numFmtId="4" fontId="35" fillId="2" borderId="3" xfId="0" applyNumberFormat="1" applyFont="1" applyFill="1" applyBorder="1" applyAlignment="1">
      <alignment horizontal="center" vertical="center" wrapText="1"/>
    </xf>
    <xf numFmtId="3" fontId="35" fillId="2" borderId="3" xfId="0" applyNumberFormat="1" applyFont="1" applyFill="1" applyBorder="1" applyAlignment="1">
      <alignment horizontal="center" vertical="center" wrapText="1"/>
    </xf>
    <xf numFmtId="3" fontId="8" fillId="0" borderId="0" xfId="0" applyNumberFormat="1" applyFont="1"/>
    <xf numFmtId="14" fontId="13" fillId="5" borderId="3" xfId="0" applyNumberFormat="1" applyFont="1" applyFill="1" applyBorder="1"/>
    <xf numFmtId="164" fontId="13" fillId="5" borderId="3" xfId="46" applyFont="1" applyFill="1" applyBorder="1"/>
    <xf numFmtId="0" fontId="13" fillId="5" borderId="3" xfId="0" applyFont="1" applyFill="1" applyBorder="1" applyAlignment="1">
      <alignment horizontal="center"/>
    </xf>
    <xf numFmtId="0" fontId="13" fillId="0" borderId="3" xfId="0" applyFont="1" applyBorder="1" applyAlignment="1">
      <alignment horizontal="center"/>
    </xf>
    <xf numFmtId="0" fontId="13" fillId="5" borderId="3" xfId="0" applyFont="1" applyFill="1" applyBorder="1" applyAlignment="1">
      <alignment horizontal="right"/>
    </xf>
    <xf numFmtId="0" fontId="13" fillId="0" borderId="3" xfId="0" applyFont="1" applyBorder="1" applyAlignment="1">
      <alignment horizontal="right"/>
    </xf>
    <xf numFmtId="14" fontId="13" fillId="0" borderId="3" xfId="0" applyNumberFormat="1" applyFont="1" applyBorder="1" applyAlignment="1">
      <alignment horizontal="right" vertical="center" wrapText="1"/>
    </xf>
    <xf numFmtId="49" fontId="10" fillId="0" borderId="3"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0" fillId="5" borderId="3" xfId="0" applyNumberFormat="1" applyFont="1" applyFill="1" applyBorder="1" applyAlignment="1">
      <alignment horizontal="center" vertical="center"/>
    </xf>
    <xf numFmtId="49" fontId="13" fillId="5" borderId="3" xfId="0" applyNumberFormat="1" applyFont="1" applyFill="1" applyBorder="1" applyAlignment="1">
      <alignment horizontal="center" vertical="center"/>
    </xf>
    <xf numFmtId="49" fontId="13" fillId="0" borderId="3" xfId="0" applyNumberFormat="1" applyFont="1" applyBorder="1" applyAlignment="1">
      <alignment horizontal="center" vertical="center"/>
    </xf>
    <xf numFmtId="14" fontId="13" fillId="5" borderId="3" xfId="0" applyNumberFormat="1" applyFont="1" applyFill="1" applyBorder="1" applyAlignment="1">
      <alignment horizontal="left"/>
    </xf>
    <xf numFmtId="0" fontId="10" fillId="5" borderId="3" xfId="0" applyFont="1" applyFill="1" applyBorder="1" applyAlignment="1">
      <alignment horizontal="left"/>
    </xf>
    <xf numFmtId="0" fontId="13" fillId="0" borderId="0" xfId="0" applyFont="1" applyAlignment="1">
      <alignment horizontal="left"/>
    </xf>
    <xf numFmtId="4" fontId="13" fillId="4" borderId="3" xfId="0" applyNumberFormat="1" applyFont="1" applyFill="1" applyBorder="1" applyAlignment="1">
      <alignment horizontal="left" vertical="center" wrapText="1"/>
    </xf>
    <xf numFmtId="0" fontId="13" fillId="5" borderId="0" xfId="0" applyFont="1" applyFill="1" applyAlignment="1">
      <alignment horizontal="left"/>
    </xf>
    <xf numFmtId="49" fontId="13" fillId="0" borderId="3" xfId="0" applyNumberFormat="1" applyFont="1" applyBorder="1" applyAlignment="1">
      <alignment horizontal="left"/>
    </xf>
    <xf numFmtId="0" fontId="13" fillId="0" borderId="3" xfId="0" applyFont="1" applyBorder="1" applyAlignment="1">
      <alignment horizontal="left"/>
    </xf>
    <xf numFmtId="0" fontId="13" fillId="5" borderId="3" xfId="0" applyFont="1" applyFill="1" applyBorder="1" applyAlignment="1">
      <alignment horizontal="left"/>
    </xf>
    <xf numFmtId="49" fontId="11" fillId="0" borderId="3" xfId="0" applyNumberFormat="1" applyFont="1" applyBorder="1" applyAlignment="1">
      <alignment horizontal="left"/>
    </xf>
    <xf numFmtId="0" fontId="10" fillId="0" borderId="3" xfId="0" applyFont="1" applyBorder="1" applyAlignment="1">
      <alignment horizontal="left"/>
    </xf>
    <xf numFmtId="14" fontId="14" fillId="5" borderId="9" xfId="0" applyNumberFormat="1" applyFont="1" applyFill="1" applyBorder="1" applyAlignment="1">
      <alignment horizontal="left"/>
    </xf>
    <xf numFmtId="164" fontId="10" fillId="5" borderId="3" xfId="46" applyFont="1" applyFill="1" applyBorder="1" applyAlignment="1">
      <alignment horizontal="right" vertical="center" wrapText="1"/>
    </xf>
    <xf numFmtId="49" fontId="38" fillId="3" borderId="4" xfId="0" applyNumberFormat="1" applyFont="1" applyFill="1" applyBorder="1" applyAlignment="1">
      <alignment horizontal="center" vertical="center" wrapText="1"/>
    </xf>
    <xf numFmtId="49" fontId="39" fillId="0" borderId="3" xfId="0" applyNumberFormat="1" applyFont="1" applyBorder="1" applyAlignment="1">
      <alignment horizontal="center"/>
    </xf>
    <xf numFmtId="49" fontId="39" fillId="0" borderId="7" xfId="0" applyNumberFormat="1" applyFont="1" applyBorder="1" applyAlignment="1">
      <alignment horizontal="center"/>
    </xf>
    <xf numFmtId="49" fontId="39" fillId="5" borderId="3" xfId="0" applyNumberFormat="1" applyFont="1" applyFill="1" applyBorder="1" applyAlignment="1">
      <alignment horizontal="center"/>
    </xf>
    <xf numFmtId="4" fontId="40" fillId="4" borderId="3" xfId="0" applyNumberFormat="1" applyFont="1" applyFill="1" applyBorder="1" applyAlignment="1">
      <alignment vertical="center" wrapText="1"/>
    </xf>
    <xf numFmtId="4" fontId="41" fillId="4" borderId="3" xfId="0" applyNumberFormat="1" applyFont="1" applyFill="1" applyBorder="1" applyAlignment="1">
      <alignment vertical="center" wrapText="1"/>
    </xf>
    <xf numFmtId="49" fontId="41" fillId="5" borderId="3" xfId="0" applyNumberFormat="1" applyFont="1" applyFill="1" applyBorder="1" applyAlignment="1">
      <alignment horizontal="center"/>
    </xf>
    <xf numFmtId="49" fontId="41" fillId="0" borderId="3" xfId="0" applyNumberFormat="1" applyFont="1" applyBorder="1" applyAlignment="1">
      <alignment horizontal="center" vertical="center" wrapText="1"/>
    </xf>
    <xf numFmtId="49" fontId="42" fillId="2" borderId="2" xfId="0" applyNumberFormat="1" applyFont="1" applyFill="1" applyBorder="1" applyAlignment="1">
      <alignment horizontal="center" vertical="center" wrapText="1"/>
    </xf>
    <xf numFmtId="49" fontId="43" fillId="0" borderId="0" xfId="0" applyNumberFormat="1" applyFont="1"/>
    <xf numFmtId="0" fontId="3" fillId="0" borderId="3" xfId="0" applyFont="1" applyBorder="1"/>
    <xf numFmtId="4" fontId="5" fillId="3" borderId="3" xfId="0" applyNumberFormat="1" applyFont="1" applyFill="1" applyBorder="1" applyAlignment="1">
      <alignment vertical="center" wrapText="1"/>
    </xf>
    <xf numFmtId="49" fontId="5" fillId="3" borderId="1" xfId="0" applyNumberFormat="1" applyFont="1" applyFill="1" applyBorder="1" applyAlignment="1">
      <alignment vertical="center" wrapText="1"/>
    </xf>
    <xf numFmtId="49" fontId="5" fillId="3" borderId="4" xfId="0" applyNumberFormat="1" applyFont="1" applyFill="1" applyBorder="1" applyAlignment="1">
      <alignment vertical="center" wrapText="1"/>
    </xf>
    <xf numFmtId="14" fontId="5" fillId="3" borderId="3" xfId="0" applyNumberFormat="1" applyFont="1" applyFill="1" applyBorder="1" applyAlignment="1">
      <alignment vertical="center" wrapText="1"/>
    </xf>
    <xf numFmtId="49" fontId="5" fillId="3" borderId="3" xfId="0" applyNumberFormat="1" applyFont="1" applyFill="1" applyBorder="1" applyAlignment="1">
      <alignment vertical="center" wrapText="1"/>
    </xf>
    <xf numFmtId="3" fontId="5" fillId="3" borderId="3" xfId="0" applyNumberFormat="1" applyFont="1" applyFill="1" applyBorder="1" applyAlignment="1">
      <alignment vertical="center" wrapText="1"/>
    </xf>
    <xf numFmtId="4" fontId="5" fillId="3" borderId="1" xfId="0" applyNumberFormat="1" applyFont="1" applyFill="1" applyBorder="1" applyAlignment="1">
      <alignment vertical="center" wrapText="1"/>
    </xf>
    <xf numFmtId="4" fontId="5" fillId="3" borderId="4" xfId="0" applyNumberFormat="1" applyFont="1" applyFill="1" applyBorder="1" applyAlignment="1">
      <alignment vertical="center" wrapText="1"/>
    </xf>
    <xf numFmtId="166" fontId="5" fillId="3" borderId="10" xfId="0" applyNumberFormat="1" applyFont="1" applyFill="1" applyBorder="1" applyAlignment="1">
      <alignment vertical="center" wrapText="1"/>
    </xf>
    <xf numFmtId="166" fontId="5" fillId="3" borderId="11" xfId="0" applyNumberFormat="1" applyFont="1" applyFill="1" applyBorder="1" applyAlignment="1">
      <alignment vertical="center" wrapText="1"/>
    </xf>
    <xf numFmtId="0" fontId="5" fillId="3" borderId="3" xfId="0" applyFont="1" applyFill="1" applyBorder="1" applyAlignment="1">
      <alignment vertical="center" wrapText="1"/>
    </xf>
    <xf numFmtId="0" fontId="1" fillId="0" borderId="0" xfId="0" applyFont="1" applyAlignment="1">
      <alignment vertical="center"/>
    </xf>
    <xf numFmtId="14" fontId="5" fillId="3" borderId="1" xfId="0" applyNumberFormat="1" applyFont="1" applyFill="1" applyBorder="1" applyAlignment="1">
      <alignment vertical="center" wrapText="1"/>
    </xf>
    <xf numFmtId="14" fontId="5" fillId="3" borderId="4" xfId="0" applyNumberFormat="1" applyFont="1" applyFill="1" applyBorder="1" applyAlignment="1">
      <alignment vertical="center" wrapText="1"/>
    </xf>
    <xf numFmtId="49" fontId="3" fillId="0" borderId="3" xfId="0" applyNumberFormat="1" applyFont="1" applyBorder="1" applyAlignment="1">
      <alignment horizontal="center"/>
    </xf>
    <xf numFmtId="14" fontId="3" fillId="0" borderId="3" xfId="0" applyNumberFormat="1" applyFont="1" applyBorder="1" applyAlignment="1">
      <alignment horizontal="left"/>
    </xf>
    <xf numFmtId="4" fontId="33" fillId="5" borderId="3" xfId="0" applyNumberFormat="1" applyFont="1" applyFill="1" applyBorder="1" applyAlignment="1">
      <alignment vertical="center" wrapText="1"/>
    </xf>
    <xf numFmtId="4" fontId="13" fillId="5" borderId="3" xfId="0" applyNumberFormat="1" applyFont="1" applyFill="1" applyBorder="1" applyAlignment="1">
      <alignment vertical="center" wrapText="1"/>
    </xf>
    <xf numFmtId="4" fontId="12" fillId="5" borderId="0" xfId="0" applyNumberFormat="1" applyFont="1" applyFill="1" applyAlignment="1">
      <alignment vertical="center" wrapText="1"/>
    </xf>
    <xf numFmtId="0" fontId="1" fillId="0" borderId="0" xfId="0" applyFont="1" applyAlignment="1">
      <alignment horizontal="left" vertical="center"/>
    </xf>
    <xf numFmtId="49" fontId="5" fillId="3" borderId="1" xfId="0" applyNumberFormat="1" applyFont="1" applyFill="1" applyBorder="1" applyAlignment="1">
      <alignment horizontal="left" vertical="center" wrapText="1"/>
    </xf>
    <xf numFmtId="167" fontId="10" fillId="0" borderId="3" xfId="0" applyNumberFormat="1" applyFont="1" applyBorder="1" applyAlignment="1">
      <alignment horizontal="left"/>
    </xf>
    <xf numFmtId="4" fontId="11" fillId="4" borderId="3" xfId="0" applyNumberFormat="1" applyFont="1" applyFill="1" applyBorder="1" applyAlignment="1">
      <alignment horizontal="left" vertical="center" wrapText="1"/>
    </xf>
    <xf numFmtId="167" fontId="13" fillId="0" borderId="3" xfId="0" applyNumberFormat="1" applyFont="1" applyBorder="1" applyAlignment="1">
      <alignment horizontal="left"/>
    </xf>
    <xf numFmtId="49" fontId="35" fillId="2" borderId="2" xfId="0" applyNumberFormat="1" applyFont="1" applyFill="1" applyBorder="1" applyAlignment="1">
      <alignment horizontal="left" vertical="center" wrapText="1"/>
    </xf>
    <xf numFmtId="49" fontId="8" fillId="0" borderId="0" xfId="0" applyNumberFormat="1" applyFont="1" applyAlignment="1">
      <alignment horizontal="left"/>
    </xf>
    <xf numFmtId="49" fontId="10" fillId="0" borderId="3" xfId="0" applyNumberFormat="1" applyFont="1" applyBorder="1" applyAlignment="1">
      <alignment horizontal="right"/>
    </xf>
    <xf numFmtId="164" fontId="10" fillId="0" borderId="3" xfId="47" applyFont="1" applyBorder="1"/>
    <xf numFmtId="167" fontId="13" fillId="5" borderId="3" xfId="0" applyNumberFormat="1" applyFont="1" applyFill="1" applyBorder="1" applyAlignment="1">
      <alignment horizontal="left"/>
    </xf>
    <xf numFmtId="164" fontId="13" fillId="5" borderId="3" xfId="46" applyFont="1" applyFill="1" applyBorder="1" applyAlignment="1">
      <alignment horizontal="right" vertical="center" wrapText="1"/>
    </xf>
    <xf numFmtId="164" fontId="11" fillId="5" borderId="3" xfId="46" applyFont="1" applyFill="1" applyBorder="1" applyAlignment="1">
      <alignment horizontal="center" vertical="center" wrapText="1"/>
    </xf>
    <xf numFmtId="49" fontId="13" fillId="0" borderId="3" xfId="0" applyNumberFormat="1" applyFont="1" applyBorder="1" applyAlignment="1">
      <alignment horizontal="right" vertical="center" wrapText="1"/>
    </xf>
    <xf numFmtId="49" fontId="13" fillId="5" borderId="3" xfId="0" applyNumberFormat="1" applyFont="1" applyFill="1" applyBorder="1" applyAlignment="1">
      <alignment horizontal="right" vertical="center" wrapText="1"/>
    </xf>
    <xf numFmtId="49" fontId="41" fillId="0" borderId="7" xfId="0" applyNumberFormat="1" applyFont="1" applyBorder="1" applyAlignment="1">
      <alignment horizontal="center"/>
    </xf>
    <xf numFmtId="49" fontId="13" fillId="0" borderId="3" xfId="0" applyNumberFormat="1" applyFont="1" applyBorder="1"/>
    <xf numFmtId="164" fontId="13" fillId="0" borderId="3" xfId="47" applyFont="1" applyBorder="1"/>
    <xf numFmtId="164" fontId="13" fillId="0" borderId="7" xfId="46" applyFont="1" applyBorder="1" applyAlignment="1">
      <alignment horizontal="center" vertical="center" wrapText="1"/>
    </xf>
    <xf numFmtId="164" fontId="13" fillId="0" borderId="3" xfId="46" applyFont="1" applyBorder="1" applyAlignment="1">
      <alignment horizontal="center" vertical="center" wrapText="1"/>
    </xf>
    <xf numFmtId="49" fontId="33" fillId="0" borderId="12" xfId="0" applyNumberFormat="1" applyFont="1" applyBorder="1" applyAlignment="1">
      <alignment horizontal="center" vertical="center" wrapText="1"/>
    </xf>
    <xf numFmtId="0" fontId="33" fillId="0" borderId="3" xfId="0" applyFont="1" applyBorder="1"/>
    <xf numFmtId="0" fontId="3" fillId="0" borderId="3" xfId="0" applyFont="1" applyBorder="1" applyAlignment="1">
      <alignment horizontal="right"/>
    </xf>
    <xf numFmtId="0" fontId="44" fillId="0" borderId="3" xfId="0" applyFont="1" applyBorder="1" applyAlignment="1">
      <alignment horizontal="right"/>
    </xf>
    <xf numFmtId="49" fontId="13" fillId="5" borderId="3" xfId="0" applyNumberFormat="1" applyFont="1" applyFill="1" applyBorder="1" applyAlignment="1">
      <alignment horizontal="left" vertical="center" wrapText="1"/>
    </xf>
    <xf numFmtId="14" fontId="3" fillId="37" borderId="3" xfId="0" applyNumberFormat="1" applyFont="1" applyFill="1" applyBorder="1" applyAlignment="1">
      <alignment horizontal="left"/>
    </xf>
    <xf numFmtId="14" fontId="33" fillId="0" borderId="7" xfId="0" applyNumberFormat="1" applyFont="1" applyBorder="1" applyAlignment="1">
      <alignment horizontal="center" vertical="center" wrapText="1"/>
    </xf>
    <xf numFmtId="166" fontId="13" fillId="0" borderId="3" xfId="0" applyNumberFormat="1" applyFont="1" applyBorder="1" applyAlignment="1">
      <alignment horizontal="center" vertical="center" wrapText="1"/>
    </xf>
    <xf numFmtId="14" fontId="3" fillId="5" borderId="3" xfId="0" applyNumberFormat="1" applyFont="1" applyFill="1" applyBorder="1" applyAlignment="1">
      <alignment horizontal="left"/>
    </xf>
    <xf numFmtId="14" fontId="44" fillId="5" borderId="3" xfId="0" applyNumberFormat="1" applyFont="1" applyFill="1" applyBorder="1" applyAlignment="1">
      <alignment horizontal="left"/>
    </xf>
    <xf numFmtId="167" fontId="10" fillId="0" borderId="3" xfId="0" applyNumberFormat="1" applyFont="1" applyBorder="1" applyAlignment="1">
      <alignment horizontal="center"/>
    </xf>
    <xf numFmtId="164" fontId="10" fillId="0" borderId="3" xfId="49" applyFont="1" applyBorder="1"/>
    <xf numFmtId="166" fontId="14" fillId="0" borderId="8" xfId="0" applyNumberFormat="1" applyFont="1" applyBorder="1" applyAlignment="1">
      <alignment horizontal="center" vertical="center" wrapText="1"/>
    </xf>
    <xf numFmtId="166" fontId="34" fillId="0" borderId="8" xfId="0" applyNumberFormat="1" applyFont="1" applyBorder="1" applyAlignment="1">
      <alignment horizontal="center" vertical="center" wrapText="1"/>
    </xf>
    <xf numFmtId="49" fontId="3" fillId="5" borderId="3" xfId="0" applyNumberFormat="1" applyFont="1" applyFill="1" applyBorder="1" applyAlignment="1">
      <alignment horizontal="center"/>
    </xf>
    <xf numFmtId="167" fontId="10" fillId="5" borderId="3" xfId="0" applyNumberFormat="1" applyFont="1" applyFill="1" applyBorder="1" applyAlignment="1">
      <alignment horizontal="center"/>
    </xf>
    <xf numFmtId="0" fontId="3" fillId="5" borderId="3" xfId="0" applyFont="1" applyFill="1" applyBorder="1"/>
    <xf numFmtId="164" fontId="10" fillId="5" borderId="3" xfId="49" applyFont="1" applyFill="1" applyBorder="1"/>
    <xf numFmtId="166" fontId="14" fillId="5" borderId="8" xfId="0" applyNumberFormat="1" applyFont="1" applyFill="1" applyBorder="1" applyAlignment="1">
      <alignment horizontal="center" vertical="center" wrapText="1"/>
    </xf>
    <xf numFmtId="14" fontId="10" fillId="5" borderId="3" xfId="0" applyNumberFormat="1" applyFont="1" applyFill="1" applyBorder="1" applyAlignment="1">
      <alignment horizontal="center" vertical="center" wrapText="1"/>
    </xf>
    <xf numFmtId="3" fontId="10" fillId="5" borderId="3" xfId="0" applyNumberFormat="1" applyFont="1" applyFill="1" applyBorder="1" applyAlignment="1">
      <alignment horizontal="center" vertical="center" wrapText="1"/>
    </xf>
    <xf numFmtId="49" fontId="14" fillId="5" borderId="3" xfId="0" applyNumberFormat="1" applyFont="1" applyFill="1" applyBorder="1" applyAlignment="1">
      <alignment horizontal="center" vertical="center" wrapText="1"/>
    </xf>
    <xf numFmtId="4" fontId="14" fillId="5" borderId="3" xfId="0" applyNumberFormat="1" applyFont="1" applyFill="1" applyBorder="1" applyAlignment="1">
      <alignment horizontal="center" vertical="center" wrapText="1"/>
    </xf>
    <xf numFmtId="49" fontId="10" fillId="5" borderId="3" xfId="0" applyNumberFormat="1" applyFont="1" applyFill="1" applyBorder="1" applyAlignment="1">
      <alignment horizontal="right"/>
    </xf>
    <xf numFmtId="166" fontId="34" fillId="5" borderId="5" xfId="0" applyNumberFormat="1" applyFont="1" applyFill="1" applyBorder="1" applyAlignment="1">
      <alignment horizontal="center" vertical="center" wrapText="1"/>
    </xf>
    <xf numFmtId="49" fontId="11" fillId="5" borderId="3" xfId="0" applyNumberFormat="1" applyFont="1" applyFill="1" applyBorder="1" applyAlignment="1">
      <alignment horizontal="center" vertical="center"/>
    </xf>
    <xf numFmtId="49" fontId="34" fillId="5" borderId="3" xfId="0" applyNumberFormat="1" applyFont="1" applyFill="1" applyBorder="1" applyAlignment="1">
      <alignment horizontal="center" vertical="center" wrapText="1"/>
    </xf>
    <xf numFmtId="4" fontId="34" fillId="5" borderId="3" xfId="0" applyNumberFormat="1" applyFont="1" applyFill="1" applyBorder="1" applyAlignment="1">
      <alignment horizontal="center" vertical="center" wrapText="1"/>
    </xf>
    <xf numFmtId="0" fontId="11" fillId="5" borderId="0" xfId="0" applyFont="1" applyFill="1"/>
    <xf numFmtId="167" fontId="13" fillId="5" borderId="3" xfId="0" applyNumberFormat="1" applyFont="1" applyFill="1" applyBorder="1"/>
    <xf numFmtId="164" fontId="13" fillId="5" borderId="3" xfId="49" applyFont="1" applyFill="1" applyBorder="1"/>
    <xf numFmtId="164" fontId="13" fillId="0" borderId="3" xfId="49" applyFont="1" applyBorder="1"/>
    <xf numFmtId="4" fontId="5" fillId="3" borderId="3" xfId="0" applyNumberFormat="1" applyFont="1" applyFill="1" applyBorder="1" applyAlignment="1">
      <alignment horizontal="center" vertical="center" wrapText="1"/>
    </xf>
    <xf numFmtId="0" fontId="1" fillId="0" borderId="0" xfId="0" applyFont="1" applyAlignment="1">
      <alignment horizontal="center" vertical="center"/>
    </xf>
    <xf numFmtId="14" fontId="5" fillId="3" borderId="1" xfId="0" applyNumberFormat="1" applyFont="1" applyFill="1" applyBorder="1" applyAlignment="1">
      <alignment horizontal="center" vertical="center" wrapText="1"/>
    </xf>
    <xf numFmtId="14" fontId="5" fillId="3" borderId="4"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 fontId="5" fillId="3" borderId="1" xfId="0" applyNumberFormat="1" applyFont="1" applyFill="1" applyBorder="1" applyAlignment="1">
      <alignment horizontal="center" vertical="center" wrapText="1"/>
    </xf>
    <xf numFmtId="4" fontId="5" fillId="3" borderId="4" xfId="0" applyNumberFormat="1" applyFont="1" applyFill="1" applyBorder="1" applyAlignment="1">
      <alignment horizontal="center" vertical="center" wrapText="1"/>
    </xf>
    <xf numFmtId="166" fontId="5" fillId="3" borderId="10" xfId="0" applyNumberFormat="1" applyFont="1" applyFill="1" applyBorder="1" applyAlignment="1">
      <alignment horizontal="center" vertical="center" wrapText="1"/>
    </xf>
    <xf numFmtId="166" fontId="5" fillId="3" borderId="11"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14" fontId="5" fillId="3" borderId="3" xfId="0" applyNumberFormat="1" applyFont="1" applyFill="1" applyBorder="1" applyAlignment="1">
      <alignment horizontal="center" vertical="center" wrapText="1"/>
    </xf>
    <xf numFmtId="3" fontId="5" fillId="3" borderId="3" xfId="0" applyNumberFormat="1" applyFont="1" applyFill="1" applyBorder="1" applyAlignment="1">
      <alignment horizontal="center" vertical="center" wrapText="1"/>
    </xf>
    <xf numFmtId="4" fontId="5" fillId="3" borderId="25" xfId="0" applyNumberFormat="1" applyFont="1" applyFill="1" applyBorder="1" applyAlignment="1">
      <alignment horizontal="center" vertical="center" wrapText="1"/>
    </xf>
    <xf numFmtId="4" fontId="5" fillId="3" borderId="26" xfId="0" applyNumberFormat="1" applyFont="1" applyFill="1" applyBorder="1" applyAlignment="1">
      <alignment horizontal="center" vertical="center" wrapText="1"/>
    </xf>
    <xf numFmtId="166" fontId="5" fillId="3" borderId="27" xfId="0" applyNumberFormat="1" applyFont="1" applyFill="1" applyBorder="1" applyAlignment="1">
      <alignment horizontal="center" vertical="center" wrapText="1"/>
    </xf>
    <xf numFmtId="166" fontId="5" fillId="3" borderId="28" xfId="0" applyNumberFormat="1" applyFont="1" applyFill="1" applyBorder="1" applyAlignment="1">
      <alignment horizontal="center" vertical="center" wrapText="1"/>
    </xf>
    <xf numFmtId="166" fontId="5" fillId="3" borderId="29" xfId="0" applyNumberFormat="1" applyFont="1" applyFill="1" applyBorder="1" applyAlignment="1">
      <alignment horizontal="center" vertical="center" wrapText="1"/>
    </xf>
  </cellXfs>
  <cellStyles count="51">
    <cellStyle name="20% - Énfasis1" xfId="22" builtinId="30" customBuiltin="1"/>
    <cellStyle name="20% - Énfasis2" xfId="26" builtinId="34" customBuiltin="1"/>
    <cellStyle name="20% - Énfasis3" xfId="30" builtinId="38" customBuiltin="1"/>
    <cellStyle name="20% - Énfasis4" xfId="34" builtinId="42" customBuiltin="1"/>
    <cellStyle name="20% - Énfasis5" xfId="38" builtinId="46" customBuiltin="1"/>
    <cellStyle name="20% - Énfasis6" xfId="42" builtinId="50" customBuiltin="1"/>
    <cellStyle name="40% - Énfasis1" xfId="23" builtinId="31" customBuiltin="1"/>
    <cellStyle name="40% - Énfasis2" xfId="27" builtinId="35" customBuiltin="1"/>
    <cellStyle name="40% - Énfasis3" xfId="31" builtinId="39" customBuiltin="1"/>
    <cellStyle name="40% - Énfasis4" xfId="35" builtinId="43" customBuiltin="1"/>
    <cellStyle name="40% - Énfasis5" xfId="39" builtinId="47" customBuiltin="1"/>
    <cellStyle name="40% - Énfasis6" xfId="43" builtinId="51" customBuiltin="1"/>
    <cellStyle name="60% - Énfasis1" xfId="24" builtinId="32" customBuiltin="1"/>
    <cellStyle name="60% - Énfasis2" xfId="28" builtinId="36" customBuiltin="1"/>
    <cellStyle name="60% - Énfasis3" xfId="32" builtinId="40" customBuiltin="1"/>
    <cellStyle name="60% - Énfasis4" xfId="36" builtinId="44" customBuiltin="1"/>
    <cellStyle name="60% - Énfasis5" xfId="40" builtinId="48" customBuiltin="1"/>
    <cellStyle name="60% - Énfasis6" xfId="44" builtinId="52" customBuiltin="1"/>
    <cellStyle name="Bueno" xfId="9" builtinId="26" customBuiltin="1"/>
    <cellStyle name="Cálculo" xfId="14" builtinId="22" customBuiltin="1"/>
    <cellStyle name="Celda de comprobación" xfId="16" builtinId="23" customBuiltin="1"/>
    <cellStyle name="Celda vinculada" xfId="15" builtinId="24" customBuiltin="1"/>
    <cellStyle name="Encabezado 1" xfId="5" builtinId="16" customBuiltin="1"/>
    <cellStyle name="Encabezado 4" xfId="8" builtinId="19" customBuiltin="1"/>
    <cellStyle name="Énfasis1" xfId="21" builtinId="29" customBuiltin="1"/>
    <cellStyle name="Énfasis2" xfId="25" builtinId="33" customBuiltin="1"/>
    <cellStyle name="Énfasis3" xfId="29" builtinId="37" customBuiltin="1"/>
    <cellStyle name="Énfasis4" xfId="33" builtinId="41" customBuiltin="1"/>
    <cellStyle name="Énfasis5" xfId="37" builtinId="45" customBuiltin="1"/>
    <cellStyle name="Énfasis6" xfId="41" builtinId="49" customBuiltin="1"/>
    <cellStyle name="Entrada" xfId="12" builtinId="20" customBuiltin="1"/>
    <cellStyle name="Incorrecto" xfId="10" builtinId="27" customBuiltin="1"/>
    <cellStyle name="Millares" xfId="46" builtinId="3"/>
    <cellStyle name="Millares 2" xfId="1" xr:uid="{00000000-0005-0000-0000-000021000000}"/>
    <cellStyle name="Millares 2 2" xfId="3" xr:uid="{00000000-0005-0000-0000-000022000000}"/>
    <cellStyle name="Millares 3" xfId="2" xr:uid="{00000000-0005-0000-0000-000023000000}"/>
    <cellStyle name="Millares 4" xfId="45" xr:uid="{00000000-0005-0000-0000-000024000000}"/>
    <cellStyle name="Millares 5" xfId="47" xr:uid="{00000000-0005-0000-0000-000033000000}"/>
    <cellStyle name="Millares 6" xfId="48" xr:uid="{00000000-0005-0000-0000-000034000000}"/>
    <cellStyle name="Millares 7" xfId="49" xr:uid="{00000000-0005-0000-0000-000035000000}"/>
    <cellStyle name="Millares 8" xfId="50" xr:uid="{00000000-0005-0000-0000-000036000000}"/>
    <cellStyle name="Neutral" xfId="11" builtinId="28" customBuiltin="1"/>
    <cellStyle name="Normal" xfId="0" builtinId="0"/>
    <cellStyle name="Notas" xfId="18" builtinId="10" customBuiltin="1"/>
    <cellStyle name="Salida" xfId="13" builtinId="21" customBuiltin="1"/>
    <cellStyle name="Texto de advertencia" xfId="17" builtinId="11" customBuiltin="1"/>
    <cellStyle name="Texto explicativo" xfId="19" builtinId="53" customBuiltin="1"/>
    <cellStyle name="Título" xfId="4" builtinId="15" customBuiltin="1"/>
    <cellStyle name="Título 2" xfId="6" builtinId="17" customBuiltin="1"/>
    <cellStyle name="Título 3" xfId="7" builtinId="18" customBuiltin="1"/>
    <cellStyle name="Total" xfId="20" builtinId="25" customBuiltin="1"/>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W151"/>
  <sheetViews>
    <sheetView zoomScaleNormal="100" zoomScaleSheetLayoutView="100" workbookViewId="0">
      <pane ySplit="5" topLeftCell="A139" activePane="bottomLeft" state="frozen"/>
      <selection pane="bottomLeft" activeCell="P147" sqref="P147"/>
    </sheetView>
  </sheetViews>
  <sheetFormatPr baseColWidth="10" defaultRowHeight="15" x14ac:dyDescent="0.25"/>
  <cols>
    <col min="1" max="1" width="10.28515625" style="1" customWidth="1"/>
    <col min="2" max="2" width="11.140625" style="1" customWidth="1"/>
    <col min="3" max="3" width="4.85546875" style="2" customWidth="1"/>
    <col min="4" max="4" width="6.7109375" style="2" customWidth="1"/>
    <col min="5" max="5" width="14.28515625" style="2" customWidth="1"/>
    <col min="6" max="6" width="3.140625" style="2" customWidth="1"/>
    <col min="7" max="7" width="12.140625" style="2" customWidth="1"/>
    <col min="8" max="8" width="30.7109375" style="2" customWidth="1"/>
    <col min="9" max="9" width="0.5703125" style="3" customWidth="1"/>
    <col min="10" max="10" width="13.7109375" style="3" customWidth="1"/>
    <col min="11" max="11" width="14.28515625" style="3" customWidth="1"/>
    <col min="12" max="13" width="0.5703125" style="3" customWidth="1"/>
    <col min="14" max="14" width="13.5703125" style="3" bestFit="1" customWidth="1"/>
    <col min="15" max="15" width="0.7109375" style="3" customWidth="1"/>
    <col min="16" max="16" width="13.42578125" style="3" customWidth="1"/>
    <col min="17" max="17" width="12.140625" style="4" customWidth="1"/>
    <col min="18" max="18" width="11" style="1" customWidth="1"/>
    <col min="19" max="19" width="7" style="2" customWidth="1"/>
    <col min="20" max="20" width="12.5703125" style="2" customWidth="1"/>
    <col min="21" max="21" width="10.85546875" style="2" customWidth="1"/>
    <col min="22" max="22" width="7" style="2" customWidth="1"/>
    <col min="23" max="23" width="0.85546875" style="3" customWidth="1"/>
    <col min="24" max="24" width="13.140625" style="1" customWidth="1"/>
    <col min="25" max="25" width="9.42578125" style="2" customWidth="1"/>
    <col min="26" max="27" width="0.5703125" style="2" customWidth="1"/>
    <col min="28" max="28" width="6.85546875" style="2" customWidth="1"/>
    <col min="29" max="29" width="1.140625" style="2" customWidth="1"/>
    <col min="30" max="30" width="4.85546875" style="2" customWidth="1"/>
    <col min="31" max="31" width="0.42578125" style="5" customWidth="1"/>
    <col min="32" max="33" width="0.42578125" style="3" customWidth="1"/>
    <col min="34" max="35" width="0.42578125" style="2" customWidth="1"/>
    <col min="36" max="36" width="0.42578125" style="1" customWidth="1"/>
    <col min="37" max="37" width="0.42578125" style="2" customWidth="1"/>
    <col min="38" max="38" width="5.5703125" style="3" customWidth="1"/>
    <col min="39" max="39" width="25.85546875" style="2" customWidth="1"/>
    <col min="40" max="40" width="3.85546875" style="2" customWidth="1"/>
    <col min="41" max="41" width="4.28515625" style="2" customWidth="1"/>
    <col min="42" max="42" width="9.5703125" style="3" customWidth="1"/>
  </cols>
  <sheetData>
    <row r="1" spans="1:49" ht="15.75" x14ac:dyDescent="0.25">
      <c r="A1" s="353" t="s">
        <v>44</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row>
    <row r="3" spans="1:49" ht="21.95" customHeight="1" x14ac:dyDescent="0.25">
      <c r="A3" s="354" t="s">
        <v>0</v>
      </c>
      <c r="B3" s="354" t="s">
        <v>1</v>
      </c>
      <c r="C3" s="356" t="s">
        <v>2</v>
      </c>
      <c r="D3" s="356"/>
      <c r="E3" s="356"/>
      <c r="F3" s="356" t="s">
        <v>6</v>
      </c>
      <c r="G3" s="356"/>
      <c r="H3" s="356"/>
      <c r="I3" s="357" t="s">
        <v>9</v>
      </c>
      <c r="J3" s="357" t="s">
        <v>10</v>
      </c>
      <c r="K3" s="357" t="s">
        <v>11</v>
      </c>
      <c r="L3" s="357"/>
      <c r="M3" s="357" t="s">
        <v>14</v>
      </c>
      <c r="N3" s="357" t="s">
        <v>15</v>
      </c>
      <c r="O3" s="357" t="s">
        <v>16</v>
      </c>
      <c r="P3" s="357" t="s">
        <v>17</v>
      </c>
      <c r="Q3" s="359" t="s">
        <v>18</v>
      </c>
      <c r="R3" s="361" t="s">
        <v>19</v>
      </c>
      <c r="S3" s="361"/>
      <c r="T3" s="361"/>
      <c r="U3" s="361"/>
      <c r="V3" s="362" t="s">
        <v>23</v>
      </c>
      <c r="W3" s="352" t="s">
        <v>24</v>
      </c>
      <c r="X3" s="364" t="s">
        <v>25</v>
      </c>
      <c r="Y3" s="362" t="s">
        <v>26</v>
      </c>
      <c r="Z3" s="362" t="s">
        <v>27</v>
      </c>
      <c r="AA3" s="362" t="s">
        <v>28</v>
      </c>
      <c r="AB3" s="362" t="s">
        <v>29</v>
      </c>
      <c r="AC3" s="362" t="s">
        <v>30</v>
      </c>
      <c r="AD3" s="362" t="s">
        <v>31</v>
      </c>
      <c r="AE3" s="365" t="s">
        <v>32</v>
      </c>
      <c r="AF3" s="352" t="s">
        <v>33</v>
      </c>
      <c r="AG3" s="352" t="s">
        <v>34</v>
      </c>
      <c r="AH3" s="362" t="s">
        <v>35</v>
      </c>
      <c r="AI3" s="362" t="s">
        <v>36</v>
      </c>
      <c r="AJ3" s="364" t="s">
        <v>37</v>
      </c>
      <c r="AK3" s="362" t="s">
        <v>38</v>
      </c>
      <c r="AL3" s="352" t="s">
        <v>39</v>
      </c>
      <c r="AM3" s="362" t="s">
        <v>40</v>
      </c>
      <c r="AN3" s="362" t="s">
        <v>41</v>
      </c>
      <c r="AO3" s="362" t="s">
        <v>42</v>
      </c>
      <c r="AP3" s="352" t="s">
        <v>43</v>
      </c>
      <c r="AQ3" s="7"/>
    </row>
    <row r="4" spans="1:49" ht="21.95" customHeight="1" x14ac:dyDescent="0.25">
      <c r="A4" s="354"/>
      <c r="B4" s="354"/>
      <c r="C4" s="356"/>
      <c r="D4" s="356"/>
      <c r="E4" s="356"/>
      <c r="F4" s="356" t="s">
        <v>7</v>
      </c>
      <c r="G4" s="356"/>
      <c r="H4" s="356" t="s">
        <v>8</v>
      </c>
      <c r="I4" s="357"/>
      <c r="J4" s="357"/>
      <c r="K4" s="357"/>
      <c r="L4" s="357"/>
      <c r="M4" s="357"/>
      <c r="N4" s="357"/>
      <c r="O4" s="357"/>
      <c r="P4" s="357"/>
      <c r="Q4" s="359"/>
      <c r="R4" s="361"/>
      <c r="S4" s="361"/>
      <c r="T4" s="361"/>
      <c r="U4" s="361"/>
      <c r="V4" s="362"/>
      <c r="W4" s="352"/>
      <c r="X4" s="364"/>
      <c r="Y4" s="362"/>
      <c r="Z4" s="362"/>
      <c r="AA4" s="362"/>
      <c r="AB4" s="362"/>
      <c r="AC4" s="362"/>
      <c r="AD4" s="362"/>
      <c r="AE4" s="365"/>
      <c r="AF4" s="352"/>
      <c r="AG4" s="352"/>
      <c r="AH4" s="362"/>
      <c r="AI4" s="362"/>
      <c r="AJ4" s="364"/>
      <c r="AK4" s="362"/>
      <c r="AL4" s="352"/>
      <c r="AM4" s="362"/>
      <c r="AN4" s="362"/>
      <c r="AO4" s="362"/>
      <c r="AP4" s="352"/>
      <c r="AQ4" s="7"/>
    </row>
    <row r="5" spans="1:49" ht="51" customHeight="1" x14ac:dyDescent="0.25">
      <c r="A5" s="355"/>
      <c r="B5" s="355"/>
      <c r="C5" s="48" t="s">
        <v>3</v>
      </c>
      <c r="D5" s="48" t="s">
        <v>4</v>
      </c>
      <c r="E5" s="48" t="s">
        <v>5</v>
      </c>
      <c r="F5" s="48" t="s">
        <v>3</v>
      </c>
      <c r="G5" s="48" t="s">
        <v>5</v>
      </c>
      <c r="H5" s="363"/>
      <c r="I5" s="358"/>
      <c r="J5" s="358"/>
      <c r="K5" s="49" t="s">
        <v>12</v>
      </c>
      <c r="L5" s="49" t="s">
        <v>13</v>
      </c>
      <c r="M5" s="358"/>
      <c r="N5" s="358"/>
      <c r="O5" s="358"/>
      <c r="P5" s="358"/>
      <c r="Q5" s="360"/>
      <c r="R5" s="83" t="s">
        <v>20</v>
      </c>
      <c r="S5" s="84" t="s">
        <v>3</v>
      </c>
      <c r="T5" s="84" t="s">
        <v>21</v>
      </c>
      <c r="U5" s="84" t="s">
        <v>22</v>
      </c>
      <c r="V5" s="362"/>
      <c r="W5" s="352"/>
      <c r="X5" s="364"/>
      <c r="Y5" s="362"/>
      <c r="Z5" s="362"/>
      <c r="AA5" s="362"/>
      <c r="AB5" s="362"/>
      <c r="AC5" s="362"/>
      <c r="AD5" s="362"/>
      <c r="AE5" s="365"/>
      <c r="AF5" s="352"/>
      <c r="AG5" s="352"/>
      <c r="AH5" s="362"/>
      <c r="AI5" s="362"/>
      <c r="AJ5" s="364"/>
      <c r="AK5" s="362"/>
      <c r="AL5" s="352"/>
      <c r="AM5" s="362"/>
      <c r="AN5" s="362"/>
      <c r="AO5" s="362"/>
      <c r="AP5" s="352"/>
      <c r="AQ5" s="7"/>
    </row>
    <row r="6" spans="1:49" s="41" customFormat="1" ht="14.25" customHeight="1" x14ac:dyDescent="0.25">
      <c r="A6" s="43">
        <v>46024</v>
      </c>
      <c r="B6" s="43"/>
      <c r="C6" s="13" t="s">
        <v>52</v>
      </c>
      <c r="D6" s="14" t="s">
        <v>53</v>
      </c>
      <c r="E6" s="98">
        <v>6924</v>
      </c>
      <c r="F6" s="44" t="s">
        <v>54</v>
      </c>
      <c r="G6" s="23" t="s">
        <v>100</v>
      </c>
      <c r="H6" s="95" t="s">
        <v>101</v>
      </c>
      <c r="I6" s="52"/>
      <c r="J6" s="52"/>
      <c r="K6" s="53">
        <v>6360</v>
      </c>
      <c r="L6" s="52"/>
      <c r="M6" s="52"/>
      <c r="N6" s="52"/>
      <c r="O6" s="52"/>
      <c r="P6" s="53">
        <f t="shared" ref="P6:P96" si="0">K6</f>
        <v>6360</v>
      </c>
      <c r="Q6" s="75"/>
      <c r="R6" s="51"/>
      <c r="S6" s="44"/>
      <c r="T6" s="44"/>
      <c r="U6" s="44"/>
      <c r="V6" s="44" t="s">
        <v>47</v>
      </c>
      <c r="W6" s="52"/>
      <c r="X6" s="51">
        <v>46024</v>
      </c>
      <c r="Y6" s="44" t="s">
        <v>63</v>
      </c>
      <c r="Z6" s="44"/>
      <c r="AA6" s="44"/>
      <c r="AB6" s="44" t="s">
        <v>49</v>
      </c>
      <c r="AC6" s="44"/>
      <c r="AD6" s="44" t="s">
        <v>48</v>
      </c>
      <c r="AE6" s="55"/>
      <c r="AF6" s="52"/>
      <c r="AG6" s="52"/>
      <c r="AH6" s="44"/>
      <c r="AI6" s="44"/>
      <c r="AJ6" s="51"/>
      <c r="AK6" s="44"/>
      <c r="AL6" s="52">
        <v>18</v>
      </c>
      <c r="AM6" s="47" t="s">
        <v>50</v>
      </c>
      <c r="AN6" s="44" t="s">
        <v>51</v>
      </c>
      <c r="AO6" s="44"/>
      <c r="AP6" s="52"/>
    </row>
    <row r="7" spans="1:49" s="41" customFormat="1" ht="14.25" customHeight="1" x14ac:dyDescent="0.25">
      <c r="A7" s="43">
        <v>46024</v>
      </c>
      <c r="B7" s="43"/>
      <c r="C7" s="13" t="s">
        <v>52</v>
      </c>
      <c r="D7" s="14" t="s">
        <v>53</v>
      </c>
      <c r="E7" s="98">
        <v>6925</v>
      </c>
      <c r="F7" s="44" t="s">
        <v>54</v>
      </c>
      <c r="G7" s="23" t="s">
        <v>102</v>
      </c>
      <c r="H7" s="95" t="s">
        <v>103</v>
      </c>
      <c r="I7" s="52"/>
      <c r="J7" s="52"/>
      <c r="K7" s="53">
        <v>6280</v>
      </c>
      <c r="L7" s="52"/>
      <c r="M7" s="52"/>
      <c r="N7" s="52"/>
      <c r="O7" s="52"/>
      <c r="P7" s="53">
        <f t="shared" si="0"/>
        <v>6280</v>
      </c>
      <c r="R7" s="51"/>
      <c r="S7" s="44"/>
      <c r="T7" s="44"/>
      <c r="U7" s="44"/>
      <c r="V7" s="44" t="s">
        <v>47</v>
      </c>
      <c r="W7" s="52"/>
      <c r="X7" s="51">
        <v>46024</v>
      </c>
      <c r="Y7" s="44" t="s">
        <v>63</v>
      </c>
      <c r="Z7" s="44"/>
      <c r="AA7" s="44"/>
      <c r="AB7" s="44" t="s">
        <v>49</v>
      </c>
      <c r="AC7" s="44"/>
      <c r="AD7" s="44" t="s">
        <v>48</v>
      </c>
      <c r="AE7" s="55"/>
      <c r="AF7" s="52"/>
      <c r="AG7" s="52"/>
      <c r="AH7" s="44"/>
      <c r="AI7" s="44"/>
      <c r="AJ7" s="51"/>
      <c r="AK7" s="44"/>
      <c r="AL7" s="52">
        <v>18</v>
      </c>
      <c r="AM7" s="47" t="s">
        <v>50</v>
      </c>
      <c r="AN7" s="44" t="s">
        <v>51</v>
      </c>
      <c r="AO7" s="44"/>
      <c r="AP7" s="52"/>
    </row>
    <row r="8" spans="1:49" s="41" customFormat="1" ht="14.25" customHeight="1" x14ac:dyDescent="0.25">
      <c r="A8" s="43">
        <v>46024</v>
      </c>
      <c r="B8" s="43"/>
      <c r="C8" s="13" t="s">
        <v>52</v>
      </c>
      <c r="D8" s="14" t="s">
        <v>53</v>
      </c>
      <c r="E8" s="98">
        <v>6926</v>
      </c>
      <c r="F8" s="44" t="s">
        <v>54</v>
      </c>
      <c r="G8" s="23" t="s">
        <v>104</v>
      </c>
      <c r="H8" s="95" t="s">
        <v>105</v>
      </c>
      <c r="I8" s="52"/>
      <c r="J8" s="52"/>
      <c r="K8" s="53">
        <v>7980</v>
      </c>
      <c r="L8" s="52"/>
      <c r="M8" s="52"/>
      <c r="N8" s="52"/>
      <c r="O8" s="52"/>
      <c r="P8" s="53">
        <f t="shared" si="0"/>
        <v>7980</v>
      </c>
      <c r="Q8" s="75"/>
      <c r="R8" s="51"/>
      <c r="S8" s="44"/>
      <c r="T8" s="44"/>
      <c r="U8" s="44"/>
      <c r="V8" s="44" t="s">
        <v>47</v>
      </c>
      <c r="W8" s="52"/>
      <c r="X8" s="51">
        <v>46024</v>
      </c>
      <c r="Y8" s="44" t="s">
        <v>63</v>
      </c>
      <c r="Z8" s="44"/>
      <c r="AA8" s="44"/>
      <c r="AB8" s="44" t="s">
        <v>49</v>
      </c>
      <c r="AC8" s="44"/>
      <c r="AD8" s="44" t="s">
        <v>48</v>
      </c>
      <c r="AE8" s="55"/>
      <c r="AF8" s="52"/>
      <c r="AG8" s="52"/>
      <c r="AH8" s="44"/>
      <c r="AI8" s="44"/>
      <c r="AJ8" s="51"/>
      <c r="AK8" s="44"/>
      <c r="AL8" s="52">
        <v>18</v>
      </c>
      <c r="AM8" s="47" t="s">
        <v>50</v>
      </c>
      <c r="AN8" s="44" t="s">
        <v>51</v>
      </c>
      <c r="AO8" s="44"/>
      <c r="AP8" s="52"/>
    </row>
    <row r="9" spans="1:49" s="105" customFormat="1" ht="14.25" customHeight="1" x14ac:dyDescent="0.25">
      <c r="A9" s="100">
        <v>46025</v>
      </c>
      <c r="B9" s="18"/>
      <c r="C9" s="22" t="s">
        <v>52</v>
      </c>
      <c r="D9" s="23" t="s">
        <v>53</v>
      </c>
      <c r="E9" s="101">
        <v>6927</v>
      </c>
      <c r="F9" s="15" t="s">
        <v>54</v>
      </c>
      <c r="G9" s="23" t="s">
        <v>106</v>
      </c>
      <c r="H9" s="102" t="s">
        <v>107</v>
      </c>
      <c r="I9" s="17"/>
      <c r="J9" s="17"/>
      <c r="K9" s="16">
        <v>11080</v>
      </c>
      <c r="L9" s="17"/>
      <c r="M9" s="17"/>
      <c r="N9" s="17"/>
      <c r="O9" s="17"/>
      <c r="P9" s="16">
        <f t="shared" ref="P9:P38" si="1">K9</f>
        <v>11080</v>
      </c>
      <c r="Q9" s="103"/>
      <c r="R9" s="18"/>
      <c r="S9" s="15"/>
      <c r="T9" s="15"/>
      <c r="U9" s="15"/>
      <c r="V9" s="15" t="s">
        <v>47</v>
      </c>
      <c r="W9" s="17"/>
      <c r="X9" s="18">
        <v>46025</v>
      </c>
      <c r="Y9" s="44" t="s">
        <v>63</v>
      </c>
      <c r="Z9" s="15"/>
      <c r="AA9" s="15"/>
      <c r="AB9" s="15" t="s">
        <v>49</v>
      </c>
      <c r="AC9" s="15"/>
      <c r="AD9" s="44" t="s">
        <v>48</v>
      </c>
      <c r="AE9" s="104"/>
      <c r="AF9" s="17"/>
      <c r="AG9" s="17"/>
      <c r="AH9" s="15"/>
      <c r="AI9" s="15"/>
      <c r="AJ9" s="18"/>
      <c r="AK9" s="15"/>
      <c r="AL9" s="17">
        <v>18</v>
      </c>
      <c r="AM9" s="19" t="s">
        <v>50</v>
      </c>
      <c r="AN9" s="15" t="s">
        <v>51</v>
      </c>
      <c r="AO9" s="15"/>
      <c r="AP9" s="17"/>
      <c r="AW9" s="103"/>
    </row>
    <row r="10" spans="1:49" s="41" customFormat="1" ht="14.25" customHeight="1" x14ac:dyDescent="0.25">
      <c r="A10" s="43">
        <v>46025</v>
      </c>
      <c r="B10" s="43"/>
      <c r="C10" s="13" t="s">
        <v>52</v>
      </c>
      <c r="D10" s="14" t="s">
        <v>53</v>
      </c>
      <c r="E10" s="98">
        <v>6928</v>
      </c>
      <c r="F10" s="44" t="s">
        <v>54</v>
      </c>
      <c r="G10" s="23" t="s">
        <v>108</v>
      </c>
      <c r="H10" s="95" t="s">
        <v>109</v>
      </c>
      <c r="I10" s="52"/>
      <c r="J10" s="52"/>
      <c r="K10" s="53">
        <v>8030</v>
      </c>
      <c r="L10" s="52"/>
      <c r="M10" s="52"/>
      <c r="N10" s="52"/>
      <c r="O10" s="52"/>
      <c r="P10" s="53">
        <f t="shared" si="1"/>
        <v>8030</v>
      </c>
      <c r="Q10" s="75"/>
      <c r="R10" s="51"/>
      <c r="S10" s="44"/>
      <c r="T10" s="44"/>
      <c r="U10" s="44"/>
      <c r="V10" s="44" t="s">
        <v>47</v>
      </c>
      <c r="W10" s="52"/>
      <c r="X10" s="51">
        <v>46025</v>
      </c>
      <c r="Y10" s="44" t="s">
        <v>63</v>
      </c>
      <c r="Z10" s="44"/>
      <c r="AA10" s="44"/>
      <c r="AB10" s="44" t="s">
        <v>49</v>
      </c>
      <c r="AC10" s="44"/>
      <c r="AD10" s="44" t="s">
        <v>48</v>
      </c>
      <c r="AE10" s="55"/>
      <c r="AF10" s="52"/>
      <c r="AG10" s="52"/>
      <c r="AH10" s="44"/>
      <c r="AI10" s="44"/>
      <c r="AJ10" s="51"/>
      <c r="AK10" s="44"/>
      <c r="AL10" s="52">
        <v>18</v>
      </c>
      <c r="AM10" s="47" t="s">
        <v>50</v>
      </c>
      <c r="AN10" s="44" t="s">
        <v>51</v>
      </c>
      <c r="AO10" s="44"/>
      <c r="AP10" s="52"/>
    </row>
    <row r="11" spans="1:49" s="41" customFormat="1" ht="14.25" customHeight="1" x14ac:dyDescent="0.25">
      <c r="A11" s="43">
        <v>46027</v>
      </c>
      <c r="B11" s="43"/>
      <c r="C11" s="13" t="s">
        <v>52</v>
      </c>
      <c r="D11" s="14" t="s">
        <v>53</v>
      </c>
      <c r="E11" s="98">
        <v>6929</v>
      </c>
      <c r="F11" s="44" t="s">
        <v>54</v>
      </c>
      <c r="G11" s="23" t="s">
        <v>110</v>
      </c>
      <c r="H11" s="2" t="s">
        <v>111</v>
      </c>
      <c r="I11" s="52"/>
      <c r="J11" s="52"/>
      <c r="K11" s="53">
        <v>13080</v>
      </c>
      <c r="L11" s="52"/>
      <c r="M11" s="52"/>
      <c r="N11" s="52"/>
      <c r="O11" s="52"/>
      <c r="P11" s="53">
        <f t="shared" si="1"/>
        <v>13080</v>
      </c>
      <c r="Q11" s="75"/>
      <c r="R11" s="51"/>
      <c r="S11" s="44"/>
      <c r="T11" s="44"/>
      <c r="U11" s="44"/>
      <c r="V11" s="44" t="s">
        <v>47</v>
      </c>
      <c r="W11" s="52"/>
      <c r="X11" s="51">
        <v>46027</v>
      </c>
      <c r="Y11" s="44" t="s">
        <v>63</v>
      </c>
      <c r="Z11" s="44"/>
      <c r="AA11" s="44"/>
      <c r="AB11" s="44" t="s">
        <v>49</v>
      </c>
      <c r="AC11" s="44"/>
      <c r="AD11" s="44" t="s">
        <v>48</v>
      </c>
      <c r="AE11" s="55"/>
      <c r="AF11" s="52"/>
      <c r="AG11" s="52"/>
      <c r="AH11" s="44"/>
      <c r="AI11" s="44"/>
      <c r="AJ11" s="51"/>
      <c r="AK11" s="44"/>
      <c r="AL11" s="52">
        <v>18</v>
      </c>
      <c r="AM11" s="47" t="s">
        <v>50</v>
      </c>
      <c r="AN11" s="44" t="s">
        <v>51</v>
      </c>
      <c r="AO11" s="44"/>
      <c r="AP11" s="52"/>
    </row>
    <row r="12" spans="1:49" s="20" customFormat="1" ht="14.25" customHeight="1" x14ac:dyDescent="0.25">
      <c r="A12" s="43">
        <v>46027</v>
      </c>
      <c r="B12" s="43"/>
      <c r="C12" s="13" t="s">
        <v>52</v>
      </c>
      <c r="D12" s="14" t="s">
        <v>53</v>
      </c>
      <c r="E12" s="98">
        <v>6930</v>
      </c>
      <c r="F12" s="44" t="s">
        <v>54</v>
      </c>
      <c r="G12" s="23" t="s">
        <v>112</v>
      </c>
      <c r="H12" s="2" t="s">
        <v>113</v>
      </c>
      <c r="I12" s="57"/>
      <c r="J12" s="57"/>
      <c r="K12" s="53">
        <v>8070</v>
      </c>
      <c r="L12" s="57"/>
      <c r="M12" s="57"/>
      <c r="N12" s="57"/>
      <c r="O12" s="57"/>
      <c r="P12" s="53">
        <f t="shared" si="1"/>
        <v>8070</v>
      </c>
      <c r="Q12" s="75"/>
      <c r="R12" s="56"/>
      <c r="S12" s="58"/>
      <c r="T12" s="58"/>
      <c r="U12" s="58"/>
      <c r="V12" s="44" t="s">
        <v>47</v>
      </c>
      <c r="W12" s="57"/>
      <c r="X12" s="56">
        <v>46027</v>
      </c>
      <c r="Y12" s="44" t="s">
        <v>63</v>
      </c>
      <c r="Z12" s="58"/>
      <c r="AA12" s="58"/>
      <c r="AB12" s="44" t="s">
        <v>49</v>
      </c>
      <c r="AC12" s="58"/>
      <c r="AD12" s="44" t="s">
        <v>48</v>
      </c>
      <c r="AE12" s="59"/>
      <c r="AF12" s="57"/>
      <c r="AG12" s="57"/>
      <c r="AH12" s="58"/>
      <c r="AI12" s="58"/>
      <c r="AJ12" s="56"/>
      <c r="AK12" s="58"/>
      <c r="AL12" s="52">
        <v>18</v>
      </c>
      <c r="AM12" s="47" t="s">
        <v>50</v>
      </c>
      <c r="AN12" s="44" t="s">
        <v>51</v>
      </c>
      <c r="AO12" s="58"/>
      <c r="AP12" s="57"/>
    </row>
    <row r="13" spans="1:49" s="20" customFormat="1" ht="14.25" customHeight="1" x14ac:dyDescent="0.25">
      <c r="A13" s="43">
        <v>46028</v>
      </c>
      <c r="B13" s="43"/>
      <c r="C13" s="13" t="s">
        <v>52</v>
      </c>
      <c r="D13" s="14" t="s">
        <v>53</v>
      </c>
      <c r="E13" s="98">
        <v>6931</v>
      </c>
      <c r="F13" s="44" t="s">
        <v>54</v>
      </c>
      <c r="G13" s="23" t="s">
        <v>114</v>
      </c>
      <c r="H13" s="2" t="s">
        <v>115</v>
      </c>
      <c r="I13" s="57"/>
      <c r="J13" s="57"/>
      <c r="K13" s="53">
        <v>6330</v>
      </c>
      <c r="L13" s="57"/>
      <c r="M13" s="57"/>
      <c r="N13" s="57"/>
      <c r="O13" s="57"/>
      <c r="P13" s="53">
        <f t="shared" si="1"/>
        <v>6330</v>
      </c>
      <c r="Q13" s="75"/>
      <c r="R13" s="56"/>
      <c r="S13" s="58"/>
      <c r="T13" s="58"/>
      <c r="U13" s="58"/>
      <c r="V13" s="44" t="s">
        <v>47</v>
      </c>
      <c r="W13" s="57"/>
      <c r="X13" s="56">
        <v>46028</v>
      </c>
      <c r="Y13" s="44" t="s">
        <v>63</v>
      </c>
      <c r="Z13" s="58"/>
      <c r="AA13" s="58"/>
      <c r="AB13" s="44" t="s">
        <v>49</v>
      </c>
      <c r="AC13" s="58"/>
      <c r="AD13" s="44" t="s">
        <v>48</v>
      </c>
      <c r="AE13" s="59"/>
      <c r="AF13" s="57"/>
      <c r="AG13" s="57"/>
      <c r="AH13" s="58"/>
      <c r="AI13" s="58"/>
      <c r="AJ13" s="56"/>
      <c r="AK13" s="58"/>
      <c r="AL13" s="52">
        <v>18</v>
      </c>
      <c r="AM13" s="47" t="s">
        <v>50</v>
      </c>
      <c r="AN13" s="44" t="s">
        <v>51</v>
      </c>
      <c r="AO13" s="58"/>
      <c r="AP13" s="57"/>
    </row>
    <row r="14" spans="1:49" s="20" customFormat="1" ht="14.25" customHeight="1" x14ac:dyDescent="0.25">
      <c r="A14" s="43">
        <v>46029</v>
      </c>
      <c r="B14" s="43"/>
      <c r="C14" s="13" t="s">
        <v>52</v>
      </c>
      <c r="D14" s="14" t="s">
        <v>53</v>
      </c>
      <c r="E14" s="98">
        <v>6932</v>
      </c>
      <c r="F14" s="44" t="s">
        <v>54</v>
      </c>
      <c r="G14" s="23" t="s">
        <v>116</v>
      </c>
      <c r="H14" s="2" t="s">
        <v>117</v>
      </c>
      <c r="I14" s="57"/>
      <c r="J14" s="57"/>
      <c r="K14" s="53">
        <v>6180</v>
      </c>
      <c r="L14" s="57"/>
      <c r="M14" s="57"/>
      <c r="N14" s="57"/>
      <c r="O14" s="57"/>
      <c r="P14" s="53">
        <f t="shared" si="1"/>
        <v>6180</v>
      </c>
      <c r="Q14" s="75"/>
      <c r="R14" s="56"/>
      <c r="S14" s="58"/>
      <c r="T14" s="58"/>
      <c r="U14" s="58"/>
      <c r="V14" s="44" t="s">
        <v>47</v>
      </c>
      <c r="W14" s="57"/>
      <c r="X14" s="56">
        <v>46029</v>
      </c>
      <c r="Y14" s="44" t="s">
        <v>63</v>
      </c>
      <c r="Z14" s="58"/>
      <c r="AA14" s="58"/>
      <c r="AB14" s="44" t="s">
        <v>49</v>
      </c>
      <c r="AC14" s="58"/>
      <c r="AD14" s="44" t="s">
        <v>48</v>
      </c>
      <c r="AE14" s="59"/>
      <c r="AF14" s="57"/>
      <c r="AG14" s="57"/>
      <c r="AH14" s="58"/>
      <c r="AI14" s="58"/>
      <c r="AJ14" s="56"/>
      <c r="AK14" s="58"/>
      <c r="AL14" s="52">
        <v>18</v>
      </c>
      <c r="AM14" s="47" t="s">
        <v>50</v>
      </c>
      <c r="AN14" s="44" t="s">
        <v>51</v>
      </c>
      <c r="AO14" s="58"/>
      <c r="AP14" s="57"/>
    </row>
    <row r="15" spans="1:49" s="20" customFormat="1" ht="14.25" customHeight="1" x14ac:dyDescent="0.25">
      <c r="A15" s="43">
        <v>46029</v>
      </c>
      <c r="B15" s="43"/>
      <c r="C15" s="13" t="s">
        <v>52</v>
      </c>
      <c r="D15" s="14" t="s">
        <v>53</v>
      </c>
      <c r="E15" s="98">
        <v>6933</v>
      </c>
      <c r="F15" s="44" t="s">
        <v>54</v>
      </c>
      <c r="G15" s="23" t="s">
        <v>118</v>
      </c>
      <c r="H15" s="2" t="s">
        <v>119</v>
      </c>
      <c r="I15" s="57"/>
      <c r="J15" s="57"/>
      <c r="K15" s="53">
        <v>7202</v>
      </c>
      <c r="L15" s="57"/>
      <c r="M15" s="57"/>
      <c r="N15" s="57"/>
      <c r="O15" s="57"/>
      <c r="P15" s="53">
        <f t="shared" si="1"/>
        <v>7202</v>
      </c>
      <c r="Q15" s="75"/>
      <c r="R15" s="56"/>
      <c r="S15" s="58"/>
      <c r="T15" s="58"/>
      <c r="U15" s="58"/>
      <c r="V15" s="44" t="s">
        <v>47</v>
      </c>
      <c r="W15" s="57"/>
      <c r="X15" s="56">
        <v>46029</v>
      </c>
      <c r="Y15" s="44" t="s">
        <v>63</v>
      </c>
      <c r="Z15" s="58"/>
      <c r="AA15" s="58"/>
      <c r="AB15" s="44" t="s">
        <v>49</v>
      </c>
      <c r="AC15" s="58"/>
      <c r="AD15" s="44" t="s">
        <v>48</v>
      </c>
      <c r="AE15" s="59"/>
      <c r="AF15" s="57"/>
      <c r="AG15" s="57"/>
      <c r="AH15" s="58"/>
      <c r="AI15" s="58"/>
      <c r="AJ15" s="56"/>
      <c r="AK15" s="58"/>
      <c r="AL15" s="52">
        <v>18</v>
      </c>
      <c r="AM15" s="47" t="s">
        <v>50</v>
      </c>
      <c r="AN15" s="44" t="s">
        <v>51</v>
      </c>
      <c r="AO15" s="58"/>
      <c r="AP15" s="57"/>
    </row>
    <row r="16" spans="1:49" s="20" customFormat="1" ht="14.25" customHeight="1" x14ac:dyDescent="0.25">
      <c r="A16" s="43">
        <v>46029</v>
      </c>
      <c r="B16" s="43"/>
      <c r="C16" s="13" t="s">
        <v>52</v>
      </c>
      <c r="D16" s="14" t="s">
        <v>53</v>
      </c>
      <c r="E16" s="98">
        <v>6934</v>
      </c>
      <c r="F16" s="44" t="s">
        <v>54</v>
      </c>
      <c r="G16" s="23" t="s">
        <v>120</v>
      </c>
      <c r="H16" s="2" t="s">
        <v>121</v>
      </c>
      <c r="I16" s="57"/>
      <c r="J16" s="57"/>
      <c r="K16" s="53">
        <v>6180</v>
      </c>
      <c r="L16" s="57"/>
      <c r="M16" s="57"/>
      <c r="N16" s="57"/>
      <c r="O16" s="57"/>
      <c r="P16" s="53">
        <f t="shared" si="1"/>
        <v>6180</v>
      </c>
      <c r="Q16" s="75"/>
      <c r="R16" s="56"/>
      <c r="S16" s="58"/>
      <c r="T16" s="58"/>
      <c r="U16" s="58"/>
      <c r="V16" s="44" t="s">
        <v>47</v>
      </c>
      <c r="W16" s="57"/>
      <c r="X16" s="56">
        <v>46029</v>
      </c>
      <c r="Y16" s="44" t="s">
        <v>63</v>
      </c>
      <c r="Z16" s="58"/>
      <c r="AA16" s="58"/>
      <c r="AB16" s="44" t="s">
        <v>49</v>
      </c>
      <c r="AC16" s="58"/>
      <c r="AD16" s="44" t="s">
        <v>48</v>
      </c>
      <c r="AE16" s="59"/>
      <c r="AF16" s="57"/>
      <c r="AG16" s="57"/>
      <c r="AH16" s="58"/>
      <c r="AI16" s="58"/>
      <c r="AJ16" s="56"/>
      <c r="AK16" s="58"/>
      <c r="AL16" s="52">
        <v>18</v>
      </c>
      <c r="AM16" s="47" t="s">
        <v>50</v>
      </c>
      <c r="AN16" s="44" t="s">
        <v>51</v>
      </c>
      <c r="AO16" s="58"/>
      <c r="AP16" s="57"/>
    </row>
    <row r="17" spans="1:42" s="41" customFormat="1" ht="14.25" customHeight="1" x14ac:dyDescent="0.25">
      <c r="A17" s="43">
        <v>46030</v>
      </c>
      <c r="B17" s="43"/>
      <c r="C17" s="13" t="s">
        <v>52</v>
      </c>
      <c r="D17" s="14" t="s">
        <v>53</v>
      </c>
      <c r="E17" s="98">
        <v>6935</v>
      </c>
      <c r="F17" s="44" t="s">
        <v>54</v>
      </c>
      <c r="G17" s="23" t="s">
        <v>122</v>
      </c>
      <c r="H17" s="2" t="s">
        <v>123</v>
      </c>
      <c r="I17" s="52"/>
      <c r="J17" s="52"/>
      <c r="K17" s="53">
        <v>8070</v>
      </c>
      <c r="L17" s="52"/>
      <c r="M17" s="52"/>
      <c r="N17" s="52"/>
      <c r="O17" s="52"/>
      <c r="P17" s="53">
        <f t="shared" si="1"/>
        <v>8070</v>
      </c>
      <c r="Q17" s="75"/>
      <c r="R17" s="51"/>
      <c r="S17" s="44"/>
      <c r="T17" s="44"/>
      <c r="U17" s="44"/>
      <c r="V17" s="44" t="s">
        <v>47</v>
      </c>
      <c r="W17" s="52"/>
      <c r="X17" s="51">
        <v>46030</v>
      </c>
      <c r="Y17" s="44" t="s">
        <v>63</v>
      </c>
      <c r="Z17" s="44"/>
      <c r="AA17" s="44"/>
      <c r="AB17" s="44" t="s">
        <v>49</v>
      </c>
      <c r="AC17" s="44"/>
      <c r="AD17" s="44" t="s">
        <v>48</v>
      </c>
      <c r="AE17" s="55"/>
      <c r="AF17" s="52"/>
      <c r="AG17" s="52"/>
      <c r="AH17" s="44"/>
      <c r="AI17" s="44"/>
      <c r="AJ17" s="51"/>
      <c r="AK17" s="44"/>
      <c r="AL17" s="52">
        <v>18</v>
      </c>
      <c r="AM17" s="47" t="s">
        <v>50</v>
      </c>
      <c r="AN17" s="44" t="s">
        <v>51</v>
      </c>
      <c r="AO17" s="44"/>
      <c r="AP17" s="52"/>
    </row>
    <row r="18" spans="1:42" s="41" customFormat="1" ht="14.25" customHeight="1" x14ac:dyDescent="0.25">
      <c r="A18" s="43">
        <v>46030</v>
      </c>
      <c r="B18" s="51"/>
      <c r="C18" s="13" t="s">
        <v>52</v>
      </c>
      <c r="D18" s="14" t="s">
        <v>53</v>
      </c>
      <c r="E18" s="98">
        <v>6936</v>
      </c>
      <c r="F18" s="44" t="s">
        <v>54</v>
      </c>
      <c r="G18" s="23" t="s">
        <v>124</v>
      </c>
      <c r="H18" s="2" t="s">
        <v>125</v>
      </c>
      <c r="I18" s="52"/>
      <c r="J18" s="52"/>
      <c r="K18" s="53">
        <v>5280</v>
      </c>
      <c r="L18" s="52"/>
      <c r="M18" s="52"/>
      <c r="N18" s="52"/>
      <c r="O18" s="52"/>
      <c r="P18" s="53">
        <f t="shared" si="1"/>
        <v>5280</v>
      </c>
      <c r="Q18" s="75"/>
      <c r="R18" s="51"/>
      <c r="S18" s="44"/>
      <c r="T18" s="44"/>
      <c r="U18" s="44"/>
      <c r="V18" s="44" t="s">
        <v>47</v>
      </c>
      <c r="W18" s="52"/>
      <c r="X18" s="51">
        <v>46030</v>
      </c>
      <c r="Y18" s="44" t="s">
        <v>63</v>
      </c>
      <c r="Z18" s="44"/>
      <c r="AA18" s="44"/>
      <c r="AB18" s="44" t="s">
        <v>49</v>
      </c>
      <c r="AC18" s="44"/>
      <c r="AD18" s="44" t="s">
        <v>48</v>
      </c>
      <c r="AE18" s="55"/>
      <c r="AF18" s="52"/>
      <c r="AG18" s="52"/>
      <c r="AH18" s="44"/>
      <c r="AI18" s="44"/>
      <c r="AJ18" s="51"/>
      <c r="AK18" s="44"/>
      <c r="AL18" s="52">
        <v>18</v>
      </c>
      <c r="AM18" s="47" t="s">
        <v>50</v>
      </c>
      <c r="AN18" s="44" t="s">
        <v>51</v>
      </c>
      <c r="AO18" s="44"/>
      <c r="AP18" s="52"/>
    </row>
    <row r="19" spans="1:42" s="20" customFormat="1" ht="14.25" customHeight="1" x14ac:dyDescent="0.25">
      <c r="A19" s="43">
        <v>46030</v>
      </c>
      <c r="B19" s="43"/>
      <c r="C19" s="13" t="s">
        <v>52</v>
      </c>
      <c r="D19" s="14" t="s">
        <v>53</v>
      </c>
      <c r="E19" s="98">
        <v>6937</v>
      </c>
      <c r="F19" s="44" t="s">
        <v>54</v>
      </c>
      <c r="G19" s="23" t="s">
        <v>126</v>
      </c>
      <c r="H19" s="2" t="s">
        <v>127</v>
      </c>
      <c r="I19" s="57"/>
      <c r="J19" s="57"/>
      <c r="K19" s="53">
        <v>6180</v>
      </c>
      <c r="L19" s="57"/>
      <c r="M19" s="57"/>
      <c r="N19" s="57"/>
      <c r="O19" s="57"/>
      <c r="P19" s="53">
        <f t="shared" si="1"/>
        <v>6180</v>
      </c>
      <c r="Q19" s="75"/>
      <c r="R19" s="56"/>
      <c r="S19" s="58"/>
      <c r="T19" s="58"/>
      <c r="U19" s="58"/>
      <c r="V19" s="44" t="s">
        <v>47</v>
      </c>
      <c r="W19" s="57"/>
      <c r="X19" s="56">
        <v>46030</v>
      </c>
      <c r="Y19" s="44" t="s">
        <v>63</v>
      </c>
      <c r="Z19" s="58"/>
      <c r="AA19" s="58"/>
      <c r="AB19" s="44" t="s">
        <v>49</v>
      </c>
      <c r="AC19" s="58"/>
      <c r="AD19" s="44" t="s">
        <v>48</v>
      </c>
      <c r="AE19" s="59"/>
      <c r="AF19" s="57"/>
      <c r="AG19" s="57"/>
      <c r="AH19" s="58"/>
      <c r="AI19" s="58"/>
      <c r="AJ19" s="56"/>
      <c r="AK19" s="58"/>
      <c r="AL19" s="52">
        <v>18</v>
      </c>
      <c r="AM19" s="47" t="s">
        <v>50</v>
      </c>
      <c r="AN19" s="44" t="s">
        <v>51</v>
      </c>
      <c r="AO19" s="58"/>
      <c r="AP19" s="57"/>
    </row>
    <row r="20" spans="1:42" s="20" customFormat="1" ht="14.25" customHeight="1" x14ac:dyDescent="0.25">
      <c r="A20" s="43">
        <v>46030</v>
      </c>
      <c r="B20" s="43"/>
      <c r="C20" s="13" t="s">
        <v>52</v>
      </c>
      <c r="D20" s="14" t="s">
        <v>53</v>
      </c>
      <c r="E20" s="98">
        <v>6938</v>
      </c>
      <c r="F20" s="44" t="s">
        <v>54</v>
      </c>
      <c r="G20" s="23" t="s">
        <v>128</v>
      </c>
      <c r="H20" s="2" t="s">
        <v>129</v>
      </c>
      <c r="I20" s="57"/>
      <c r="J20" s="57"/>
      <c r="K20" s="53">
        <v>5280</v>
      </c>
      <c r="L20" s="57"/>
      <c r="M20" s="57"/>
      <c r="N20" s="57"/>
      <c r="O20" s="57"/>
      <c r="P20" s="53">
        <f t="shared" si="1"/>
        <v>5280</v>
      </c>
      <c r="Q20" s="75"/>
      <c r="R20" s="56"/>
      <c r="S20" s="58"/>
      <c r="T20" s="58"/>
      <c r="U20" s="58"/>
      <c r="V20" s="44" t="s">
        <v>47</v>
      </c>
      <c r="W20" s="57"/>
      <c r="X20" s="56">
        <v>46030</v>
      </c>
      <c r="Y20" s="44" t="s">
        <v>63</v>
      </c>
      <c r="Z20" s="58"/>
      <c r="AA20" s="58"/>
      <c r="AB20" s="44" t="s">
        <v>49</v>
      </c>
      <c r="AC20" s="58"/>
      <c r="AD20" s="44" t="s">
        <v>48</v>
      </c>
      <c r="AE20" s="59"/>
      <c r="AF20" s="57"/>
      <c r="AG20" s="57"/>
      <c r="AH20" s="58"/>
      <c r="AI20" s="58"/>
      <c r="AJ20" s="56"/>
      <c r="AK20" s="58"/>
      <c r="AL20" s="52">
        <v>18</v>
      </c>
      <c r="AM20" s="47" t="s">
        <v>50</v>
      </c>
      <c r="AN20" s="44" t="s">
        <v>51</v>
      </c>
      <c r="AO20" s="58"/>
      <c r="AP20" s="57"/>
    </row>
    <row r="21" spans="1:42" s="20" customFormat="1" ht="14.25" customHeight="1" x14ac:dyDescent="0.25">
      <c r="A21" s="43">
        <v>46030</v>
      </c>
      <c r="B21" s="43"/>
      <c r="C21" s="13" t="s">
        <v>52</v>
      </c>
      <c r="D21" s="14" t="s">
        <v>53</v>
      </c>
      <c r="E21" s="98">
        <v>6939</v>
      </c>
      <c r="F21" s="44" t="s">
        <v>54</v>
      </c>
      <c r="G21" s="23" t="s">
        <v>130</v>
      </c>
      <c r="H21" s="2" t="s">
        <v>131</v>
      </c>
      <c r="I21" s="57"/>
      <c r="J21" s="57"/>
      <c r="K21" s="53">
        <v>6480</v>
      </c>
      <c r="L21" s="57"/>
      <c r="M21" s="57"/>
      <c r="N21" s="57"/>
      <c r="O21" s="57"/>
      <c r="P21" s="53">
        <f t="shared" si="1"/>
        <v>6480</v>
      </c>
      <c r="Q21" s="75"/>
      <c r="R21" s="56"/>
      <c r="S21" s="58"/>
      <c r="T21" s="58"/>
      <c r="U21" s="58"/>
      <c r="V21" s="44" t="s">
        <v>47</v>
      </c>
      <c r="W21" s="57"/>
      <c r="X21" s="56">
        <v>46030</v>
      </c>
      <c r="Y21" s="44" t="s">
        <v>63</v>
      </c>
      <c r="Z21" s="58"/>
      <c r="AA21" s="58"/>
      <c r="AB21" s="44" t="s">
        <v>49</v>
      </c>
      <c r="AC21" s="58"/>
      <c r="AD21" s="44" t="s">
        <v>48</v>
      </c>
      <c r="AE21" s="59"/>
      <c r="AF21" s="57"/>
      <c r="AG21" s="57"/>
      <c r="AH21" s="58"/>
      <c r="AI21" s="58"/>
      <c r="AJ21" s="56"/>
      <c r="AK21" s="58"/>
      <c r="AL21" s="52">
        <v>18</v>
      </c>
      <c r="AM21" s="47" t="s">
        <v>50</v>
      </c>
      <c r="AN21" s="44" t="s">
        <v>51</v>
      </c>
      <c r="AO21" s="58"/>
      <c r="AP21" s="57"/>
    </row>
    <row r="22" spans="1:42" s="20" customFormat="1" ht="14.25" customHeight="1" x14ac:dyDescent="0.25">
      <c r="A22" s="43">
        <v>46030</v>
      </c>
      <c r="B22" s="43"/>
      <c r="C22" s="13" t="s">
        <v>52</v>
      </c>
      <c r="D22" s="14" t="s">
        <v>53</v>
      </c>
      <c r="E22" s="98">
        <v>6940</v>
      </c>
      <c r="F22" s="44" t="s">
        <v>54</v>
      </c>
      <c r="G22" s="23" t="s">
        <v>132</v>
      </c>
      <c r="H22" s="2" t="s">
        <v>133</v>
      </c>
      <c r="I22" s="57"/>
      <c r="J22" s="57"/>
      <c r="K22" s="53">
        <v>8180</v>
      </c>
      <c r="L22" s="57"/>
      <c r="M22" s="57"/>
      <c r="N22" s="57"/>
      <c r="O22" s="57"/>
      <c r="P22" s="53">
        <f t="shared" si="1"/>
        <v>8180</v>
      </c>
      <c r="Q22" s="75"/>
      <c r="R22" s="56"/>
      <c r="S22" s="58"/>
      <c r="T22" s="58"/>
      <c r="U22" s="58"/>
      <c r="V22" s="44" t="s">
        <v>47</v>
      </c>
      <c r="W22" s="57"/>
      <c r="X22" s="56">
        <v>46030</v>
      </c>
      <c r="Y22" s="44" t="s">
        <v>63</v>
      </c>
      <c r="Z22" s="58"/>
      <c r="AA22" s="58"/>
      <c r="AB22" s="44" t="s">
        <v>49</v>
      </c>
      <c r="AC22" s="58"/>
      <c r="AD22" s="44" t="s">
        <v>48</v>
      </c>
      <c r="AE22" s="59"/>
      <c r="AF22" s="57"/>
      <c r="AG22" s="57"/>
      <c r="AH22" s="58"/>
      <c r="AI22" s="58"/>
      <c r="AJ22" s="56"/>
      <c r="AK22" s="58"/>
      <c r="AL22" s="52">
        <v>18</v>
      </c>
      <c r="AM22" s="47" t="s">
        <v>50</v>
      </c>
      <c r="AN22" s="44" t="s">
        <v>51</v>
      </c>
      <c r="AO22" s="58"/>
      <c r="AP22" s="57"/>
    </row>
    <row r="23" spans="1:42" s="20" customFormat="1" ht="14.25" customHeight="1" x14ac:dyDescent="0.25">
      <c r="A23" s="43">
        <v>46030</v>
      </c>
      <c r="B23" s="43"/>
      <c r="C23" s="13" t="s">
        <v>52</v>
      </c>
      <c r="D23" s="14" t="s">
        <v>53</v>
      </c>
      <c r="E23" s="98">
        <v>6941</v>
      </c>
      <c r="F23" s="44" t="s">
        <v>54</v>
      </c>
      <c r="G23" s="23" t="s">
        <v>134</v>
      </c>
      <c r="H23" s="2" t="s">
        <v>135</v>
      </c>
      <c r="I23" s="57"/>
      <c r="J23" s="57"/>
      <c r="K23" s="53">
        <v>9780</v>
      </c>
      <c r="L23" s="57"/>
      <c r="M23" s="57"/>
      <c r="N23" s="57"/>
      <c r="O23" s="57"/>
      <c r="P23" s="53">
        <f t="shared" si="1"/>
        <v>9780</v>
      </c>
      <c r="Q23" s="75"/>
      <c r="R23" s="56"/>
      <c r="S23" s="58"/>
      <c r="T23" s="58"/>
      <c r="U23" s="58"/>
      <c r="V23" s="44" t="s">
        <v>47</v>
      </c>
      <c r="W23" s="57"/>
      <c r="X23" s="56">
        <v>46030</v>
      </c>
      <c r="Y23" s="44" t="s">
        <v>63</v>
      </c>
      <c r="Z23" s="58"/>
      <c r="AA23" s="58"/>
      <c r="AB23" s="44" t="s">
        <v>49</v>
      </c>
      <c r="AC23" s="58"/>
      <c r="AD23" s="44" t="s">
        <v>48</v>
      </c>
      <c r="AE23" s="59"/>
      <c r="AF23" s="57"/>
      <c r="AG23" s="57"/>
      <c r="AH23" s="58"/>
      <c r="AI23" s="58"/>
      <c r="AJ23" s="56"/>
      <c r="AK23" s="58"/>
      <c r="AL23" s="52">
        <v>18</v>
      </c>
      <c r="AM23" s="47" t="s">
        <v>50</v>
      </c>
      <c r="AN23" s="44" t="s">
        <v>51</v>
      </c>
      <c r="AO23" s="58"/>
      <c r="AP23" s="57"/>
    </row>
    <row r="24" spans="1:42" s="41" customFormat="1" ht="14.25" customHeight="1" x14ac:dyDescent="0.25">
      <c r="A24" s="43">
        <v>46031</v>
      </c>
      <c r="B24" s="43"/>
      <c r="C24" s="13" t="s">
        <v>52</v>
      </c>
      <c r="D24" s="14" t="s">
        <v>53</v>
      </c>
      <c r="E24" s="98">
        <v>6942</v>
      </c>
      <c r="F24" s="44" t="s">
        <v>54</v>
      </c>
      <c r="G24" s="23" t="s">
        <v>136</v>
      </c>
      <c r="H24" s="2" t="s">
        <v>137</v>
      </c>
      <c r="I24" s="52"/>
      <c r="J24" s="52"/>
      <c r="K24" s="53">
        <v>5280</v>
      </c>
      <c r="L24" s="52"/>
      <c r="M24" s="52"/>
      <c r="N24" s="52"/>
      <c r="O24" s="52"/>
      <c r="P24" s="53">
        <f t="shared" si="1"/>
        <v>5280</v>
      </c>
      <c r="Q24" s="75"/>
      <c r="R24" s="51"/>
      <c r="S24" s="44"/>
      <c r="T24" s="44"/>
      <c r="U24" s="44"/>
      <c r="V24" s="44" t="s">
        <v>47</v>
      </c>
      <c r="W24" s="52"/>
      <c r="X24" s="51">
        <v>46031</v>
      </c>
      <c r="Y24" s="44" t="s">
        <v>63</v>
      </c>
      <c r="Z24" s="44"/>
      <c r="AA24" s="44"/>
      <c r="AB24" s="44" t="s">
        <v>49</v>
      </c>
      <c r="AC24" s="44"/>
      <c r="AD24" s="44" t="s">
        <v>48</v>
      </c>
      <c r="AE24" s="55"/>
      <c r="AF24" s="52"/>
      <c r="AG24" s="52"/>
      <c r="AH24" s="44"/>
      <c r="AI24" s="44"/>
      <c r="AJ24" s="51"/>
      <c r="AK24" s="44"/>
      <c r="AL24" s="52">
        <v>18</v>
      </c>
      <c r="AM24" s="47" t="s">
        <v>50</v>
      </c>
      <c r="AN24" s="44" t="s">
        <v>51</v>
      </c>
      <c r="AO24" s="44"/>
      <c r="AP24" s="52"/>
    </row>
    <row r="25" spans="1:42" s="41" customFormat="1" ht="14.25" customHeight="1" x14ac:dyDescent="0.25">
      <c r="A25" s="43">
        <v>46034</v>
      </c>
      <c r="B25" s="43"/>
      <c r="C25" s="13" t="s">
        <v>52</v>
      </c>
      <c r="D25" s="14" t="s">
        <v>53</v>
      </c>
      <c r="E25" s="98">
        <v>6943</v>
      </c>
      <c r="F25" s="44" t="s">
        <v>54</v>
      </c>
      <c r="G25" s="23" t="s">
        <v>138</v>
      </c>
      <c r="H25" s="2" t="s">
        <v>139</v>
      </c>
      <c r="I25" s="52"/>
      <c r="J25" s="52"/>
      <c r="K25" s="53">
        <v>5380</v>
      </c>
      <c r="L25" s="52"/>
      <c r="M25" s="52"/>
      <c r="N25" s="52"/>
      <c r="O25" s="52"/>
      <c r="P25" s="53">
        <f t="shared" si="1"/>
        <v>5380</v>
      </c>
      <c r="Q25" s="75"/>
      <c r="R25" s="51"/>
      <c r="S25" s="44"/>
      <c r="T25" s="44"/>
      <c r="U25" s="44"/>
      <c r="V25" s="44" t="s">
        <v>47</v>
      </c>
      <c r="W25" s="52"/>
      <c r="X25" s="51">
        <v>46034</v>
      </c>
      <c r="Y25" s="44" t="s">
        <v>63</v>
      </c>
      <c r="Z25" s="44"/>
      <c r="AA25" s="44"/>
      <c r="AB25" s="44" t="s">
        <v>49</v>
      </c>
      <c r="AC25" s="44"/>
      <c r="AD25" s="44" t="s">
        <v>48</v>
      </c>
      <c r="AE25" s="55"/>
      <c r="AF25" s="52"/>
      <c r="AG25" s="52"/>
      <c r="AH25" s="44"/>
      <c r="AI25" s="44"/>
      <c r="AJ25" s="51"/>
      <c r="AK25" s="44"/>
      <c r="AL25" s="52">
        <v>18</v>
      </c>
      <c r="AM25" s="47" t="s">
        <v>50</v>
      </c>
      <c r="AN25" s="44" t="s">
        <v>51</v>
      </c>
      <c r="AO25" s="44"/>
      <c r="AP25" s="52"/>
    </row>
    <row r="26" spans="1:42" s="41" customFormat="1" ht="14.25" customHeight="1" x14ac:dyDescent="0.25">
      <c r="A26" s="43">
        <v>46034</v>
      </c>
      <c r="B26" s="43"/>
      <c r="C26" s="13" t="s">
        <v>52</v>
      </c>
      <c r="D26" s="14" t="s">
        <v>53</v>
      </c>
      <c r="E26" s="98">
        <v>6944</v>
      </c>
      <c r="F26" s="44" t="s">
        <v>54</v>
      </c>
      <c r="G26" s="23" t="s">
        <v>140</v>
      </c>
      <c r="H26" s="2" t="s">
        <v>141</v>
      </c>
      <c r="I26" s="52"/>
      <c r="J26" s="52"/>
      <c r="K26" s="53">
        <v>6280</v>
      </c>
      <c r="L26" s="52"/>
      <c r="M26" s="52"/>
      <c r="N26" s="52"/>
      <c r="O26" s="52"/>
      <c r="P26" s="53">
        <f t="shared" si="1"/>
        <v>6280</v>
      </c>
      <c r="Q26" s="75"/>
      <c r="R26" s="51"/>
      <c r="S26" s="44"/>
      <c r="T26" s="44"/>
      <c r="U26" s="44"/>
      <c r="V26" s="44" t="s">
        <v>47</v>
      </c>
      <c r="W26" s="52"/>
      <c r="X26" s="51">
        <v>46034</v>
      </c>
      <c r="Y26" s="44" t="s">
        <v>63</v>
      </c>
      <c r="Z26" s="44"/>
      <c r="AA26" s="44"/>
      <c r="AB26" s="44" t="s">
        <v>49</v>
      </c>
      <c r="AC26" s="44"/>
      <c r="AD26" s="44" t="s">
        <v>48</v>
      </c>
      <c r="AE26" s="55"/>
      <c r="AF26" s="52"/>
      <c r="AG26" s="52"/>
      <c r="AH26" s="44"/>
      <c r="AI26" s="44"/>
      <c r="AJ26" s="51"/>
      <c r="AK26" s="44"/>
      <c r="AL26" s="52">
        <v>18</v>
      </c>
      <c r="AM26" s="47" t="s">
        <v>50</v>
      </c>
      <c r="AN26" s="44" t="s">
        <v>51</v>
      </c>
      <c r="AO26" s="44"/>
      <c r="AP26" s="52"/>
    </row>
    <row r="27" spans="1:42" s="20" customFormat="1" ht="14.25" customHeight="1" x14ac:dyDescent="0.25">
      <c r="A27" s="43">
        <v>46034</v>
      </c>
      <c r="B27" s="43"/>
      <c r="C27" s="13" t="s">
        <v>52</v>
      </c>
      <c r="D27" s="14" t="s">
        <v>53</v>
      </c>
      <c r="E27" s="98">
        <v>6945</v>
      </c>
      <c r="F27" s="44" t="s">
        <v>54</v>
      </c>
      <c r="G27" s="23" t="s">
        <v>142</v>
      </c>
      <c r="H27" s="2" t="s">
        <v>143</v>
      </c>
      <c r="I27" s="57"/>
      <c r="J27" s="57"/>
      <c r="K27" s="53">
        <v>6480</v>
      </c>
      <c r="L27" s="57"/>
      <c r="M27" s="57"/>
      <c r="N27" s="57"/>
      <c r="O27" s="57"/>
      <c r="P27" s="53">
        <f t="shared" si="1"/>
        <v>6480</v>
      </c>
      <c r="Q27" s="75"/>
      <c r="R27" s="56"/>
      <c r="S27" s="58"/>
      <c r="T27" s="58"/>
      <c r="U27" s="58"/>
      <c r="V27" s="44" t="s">
        <v>47</v>
      </c>
      <c r="W27" s="57"/>
      <c r="X27" s="56">
        <v>46034</v>
      </c>
      <c r="Y27" s="44" t="s">
        <v>63</v>
      </c>
      <c r="Z27" s="58"/>
      <c r="AA27" s="58"/>
      <c r="AB27" s="44" t="s">
        <v>49</v>
      </c>
      <c r="AC27" s="58"/>
      <c r="AD27" s="44" t="s">
        <v>48</v>
      </c>
      <c r="AE27" s="59"/>
      <c r="AF27" s="57"/>
      <c r="AG27" s="57"/>
      <c r="AH27" s="58"/>
      <c r="AI27" s="58"/>
      <c r="AJ27" s="56"/>
      <c r="AK27" s="58"/>
      <c r="AL27" s="52">
        <v>18</v>
      </c>
      <c r="AM27" s="47" t="s">
        <v>50</v>
      </c>
      <c r="AN27" s="44" t="s">
        <v>51</v>
      </c>
      <c r="AO27" s="58"/>
      <c r="AP27" s="57"/>
    </row>
    <row r="28" spans="1:42" s="20" customFormat="1" ht="14.25" customHeight="1" x14ac:dyDescent="0.25">
      <c r="A28" s="43">
        <v>46034</v>
      </c>
      <c r="B28" s="43"/>
      <c r="C28" s="13" t="s">
        <v>52</v>
      </c>
      <c r="D28" s="14" t="s">
        <v>53</v>
      </c>
      <c r="E28" s="98">
        <v>6946</v>
      </c>
      <c r="F28" s="44" t="s">
        <v>54</v>
      </c>
      <c r="G28" s="23" t="s">
        <v>144</v>
      </c>
      <c r="H28" s="2" t="s">
        <v>145</v>
      </c>
      <c r="I28" s="57"/>
      <c r="J28" s="57"/>
      <c r="K28" s="53">
        <v>9780</v>
      </c>
      <c r="L28" s="57"/>
      <c r="M28" s="57"/>
      <c r="N28" s="57"/>
      <c r="O28" s="57"/>
      <c r="P28" s="53">
        <f t="shared" si="1"/>
        <v>9780</v>
      </c>
      <c r="Q28" s="75"/>
      <c r="R28" s="56"/>
      <c r="S28" s="58"/>
      <c r="T28" s="58"/>
      <c r="U28" s="58"/>
      <c r="V28" s="44" t="s">
        <v>47</v>
      </c>
      <c r="W28" s="57"/>
      <c r="X28" s="56">
        <v>46034</v>
      </c>
      <c r="Y28" s="44" t="s">
        <v>63</v>
      </c>
      <c r="Z28" s="58"/>
      <c r="AA28" s="58"/>
      <c r="AB28" s="44" t="s">
        <v>49</v>
      </c>
      <c r="AC28" s="58"/>
      <c r="AD28" s="44" t="s">
        <v>48</v>
      </c>
      <c r="AE28" s="59"/>
      <c r="AF28" s="57"/>
      <c r="AG28" s="57"/>
      <c r="AH28" s="58"/>
      <c r="AI28" s="58"/>
      <c r="AJ28" s="56"/>
      <c r="AK28" s="58"/>
      <c r="AL28" s="52">
        <v>18</v>
      </c>
      <c r="AM28" s="47" t="s">
        <v>50</v>
      </c>
      <c r="AN28" s="44" t="s">
        <v>51</v>
      </c>
      <c r="AO28" s="58"/>
      <c r="AP28" s="57"/>
    </row>
    <row r="29" spans="1:42" s="20" customFormat="1" ht="14.25" customHeight="1" x14ac:dyDescent="0.25">
      <c r="A29" s="43">
        <v>46034</v>
      </c>
      <c r="B29" s="43"/>
      <c r="C29" s="13" t="s">
        <v>52</v>
      </c>
      <c r="D29" s="14" t="s">
        <v>53</v>
      </c>
      <c r="E29" s="98">
        <v>6947</v>
      </c>
      <c r="F29" s="44" t="s">
        <v>54</v>
      </c>
      <c r="G29" s="23" t="s">
        <v>146</v>
      </c>
      <c r="H29" s="2" t="s">
        <v>147</v>
      </c>
      <c r="I29" s="57"/>
      <c r="J29" s="57"/>
      <c r="K29" s="53">
        <v>8800</v>
      </c>
      <c r="L29" s="57"/>
      <c r="M29" s="57"/>
      <c r="N29" s="57"/>
      <c r="O29" s="57"/>
      <c r="P29" s="53">
        <f t="shared" si="1"/>
        <v>8800</v>
      </c>
      <c r="Q29" s="75"/>
      <c r="R29" s="56"/>
      <c r="S29" s="58"/>
      <c r="T29" s="58"/>
      <c r="U29" s="58"/>
      <c r="V29" s="44" t="s">
        <v>47</v>
      </c>
      <c r="W29" s="57"/>
      <c r="X29" s="56">
        <v>46034</v>
      </c>
      <c r="Y29" s="44" t="s">
        <v>63</v>
      </c>
      <c r="Z29" s="58"/>
      <c r="AA29" s="58"/>
      <c r="AB29" s="44" t="s">
        <v>49</v>
      </c>
      <c r="AC29" s="58"/>
      <c r="AD29" s="44" t="s">
        <v>48</v>
      </c>
      <c r="AE29" s="59"/>
      <c r="AF29" s="57"/>
      <c r="AG29" s="57"/>
      <c r="AH29" s="58"/>
      <c r="AI29" s="58"/>
      <c r="AJ29" s="56"/>
      <c r="AK29" s="58"/>
      <c r="AL29" s="52">
        <v>18</v>
      </c>
      <c r="AM29" s="47" t="s">
        <v>50</v>
      </c>
      <c r="AN29" s="44" t="s">
        <v>51</v>
      </c>
      <c r="AO29" s="58"/>
      <c r="AP29" s="57"/>
    </row>
    <row r="30" spans="1:42" s="20" customFormat="1" ht="14.25" customHeight="1" x14ac:dyDescent="0.25">
      <c r="A30" s="43">
        <v>46035</v>
      </c>
      <c r="B30" s="43"/>
      <c r="C30" s="13" t="s">
        <v>52</v>
      </c>
      <c r="D30" s="14" t="s">
        <v>53</v>
      </c>
      <c r="E30" s="98">
        <v>6948</v>
      </c>
      <c r="F30" s="44" t="s">
        <v>54</v>
      </c>
      <c r="G30" s="23" t="s">
        <v>148</v>
      </c>
      <c r="H30" s="2" t="s">
        <v>149</v>
      </c>
      <c r="I30" s="57"/>
      <c r="J30" s="57"/>
      <c r="K30" s="53">
        <v>3000</v>
      </c>
      <c r="L30" s="57"/>
      <c r="M30" s="57"/>
      <c r="N30" s="57"/>
      <c r="O30" s="57"/>
      <c r="P30" s="53">
        <f t="shared" si="1"/>
        <v>3000</v>
      </c>
      <c r="Q30" s="75"/>
      <c r="R30" s="56"/>
      <c r="S30" s="58"/>
      <c r="T30" s="58"/>
      <c r="U30" s="58"/>
      <c r="V30" s="44" t="s">
        <v>47</v>
      </c>
      <c r="W30" s="57"/>
      <c r="X30" s="56">
        <v>46035</v>
      </c>
      <c r="Y30" s="44" t="s">
        <v>63</v>
      </c>
      <c r="Z30" s="58"/>
      <c r="AA30" s="58"/>
      <c r="AB30" s="44" t="s">
        <v>49</v>
      </c>
      <c r="AC30" s="58"/>
      <c r="AD30" s="44" t="s">
        <v>48</v>
      </c>
      <c r="AE30" s="59"/>
      <c r="AF30" s="57"/>
      <c r="AG30" s="57"/>
      <c r="AH30" s="58"/>
      <c r="AI30" s="58"/>
      <c r="AJ30" s="56"/>
      <c r="AK30" s="58"/>
      <c r="AL30" s="52">
        <v>18</v>
      </c>
      <c r="AM30" s="47" t="s">
        <v>50</v>
      </c>
      <c r="AN30" s="44" t="s">
        <v>51</v>
      </c>
      <c r="AO30" s="58"/>
      <c r="AP30" s="57"/>
    </row>
    <row r="31" spans="1:42" s="20" customFormat="1" ht="14.25" customHeight="1" x14ac:dyDescent="0.25">
      <c r="A31" s="43">
        <v>46035</v>
      </c>
      <c r="B31" s="43"/>
      <c r="C31" s="13" t="s">
        <v>52</v>
      </c>
      <c r="D31" s="14" t="s">
        <v>53</v>
      </c>
      <c r="E31" s="98">
        <v>6949</v>
      </c>
      <c r="F31" s="44" t="s">
        <v>54</v>
      </c>
      <c r="G31" s="23" t="s">
        <v>148</v>
      </c>
      <c r="H31" s="2" t="s">
        <v>149</v>
      </c>
      <c r="I31" s="57"/>
      <c r="J31" s="57"/>
      <c r="K31" s="53">
        <v>3000</v>
      </c>
      <c r="L31" s="57"/>
      <c r="M31" s="57"/>
      <c r="N31" s="57"/>
      <c r="O31" s="57"/>
      <c r="P31" s="53">
        <f t="shared" si="1"/>
        <v>3000</v>
      </c>
      <c r="Q31" s="75"/>
      <c r="R31" s="56"/>
      <c r="S31" s="58"/>
      <c r="T31" s="58"/>
      <c r="U31" s="58"/>
      <c r="V31" s="44" t="s">
        <v>47</v>
      </c>
      <c r="W31" s="57"/>
      <c r="X31" s="56">
        <v>46035</v>
      </c>
      <c r="Y31" s="44" t="s">
        <v>63</v>
      </c>
      <c r="Z31" s="58"/>
      <c r="AA31" s="58"/>
      <c r="AB31" s="44" t="s">
        <v>49</v>
      </c>
      <c r="AC31" s="58"/>
      <c r="AD31" s="44" t="s">
        <v>48</v>
      </c>
      <c r="AE31" s="59"/>
      <c r="AF31" s="57"/>
      <c r="AG31" s="57"/>
      <c r="AH31" s="58"/>
      <c r="AI31" s="58"/>
      <c r="AJ31" s="56"/>
      <c r="AK31" s="58"/>
      <c r="AL31" s="52">
        <v>18</v>
      </c>
      <c r="AM31" s="47" t="s">
        <v>50</v>
      </c>
      <c r="AN31" s="44" t="s">
        <v>51</v>
      </c>
      <c r="AO31" s="58"/>
      <c r="AP31" s="57"/>
    </row>
    <row r="32" spans="1:42" s="41" customFormat="1" ht="14.25" customHeight="1" x14ac:dyDescent="0.25">
      <c r="A32" s="43">
        <v>46035</v>
      </c>
      <c r="B32" s="43"/>
      <c r="C32" s="13" t="s">
        <v>52</v>
      </c>
      <c r="D32" s="14" t="s">
        <v>53</v>
      </c>
      <c r="E32" s="98">
        <v>6950</v>
      </c>
      <c r="F32" s="44" t="s">
        <v>54</v>
      </c>
      <c r="G32" s="23" t="s">
        <v>150</v>
      </c>
      <c r="H32" s="2" t="s">
        <v>151</v>
      </c>
      <c r="I32" s="52"/>
      <c r="J32" s="52"/>
      <c r="K32" s="53">
        <v>6230</v>
      </c>
      <c r="L32" s="52"/>
      <c r="M32" s="52"/>
      <c r="N32" s="52"/>
      <c r="O32" s="52"/>
      <c r="P32" s="53">
        <f t="shared" si="1"/>
        <v>6230</v>
      </c>
      <c r="Q32" s="75"/>
      <c r="R32" s="51"/>
      <c r="S32" s="44"/>
      <c r="T32" s="44"/>
      <c r="U32" s="44"/>
      <c r="V32" s="44" t="s">
        <v>47</v>
      </c>
      <c r="W32" s="52"/>
      <c r="X32" s="51">
        <v>46035</v>
      </c>
      <c r="Y32" s="44" t="s">
        <v>63</v>
      </c>
      <c r="Z32" s="44"/>
      <c r="AA32" s="44"/>
      <c r="AB32" s="44" t="s">
        <v>49</v>
      </c>
      <c r="AC32" s="44"/>
      <c r="AD32" s="44" t="s">
        <v>48</v>
      </c>
      <c r="AE32" s="55"/>
      <c r="AF32" s="52"/>
      <c r="AG32" s="52"/>
      <c r="AH32" s="44"/>
      <c r="AI32" s="44"/>
      <c r="AJ32" s="51"/>
      <c r="AK32" s="44"/>
      <c r="AL32" s="52">
        <v>18</v>
      </c>
      <c r="AM32" s="47" t="s">
        <v>50</v>
      </c>
      <c r="AN32" s="44" t="s">
        <v>51</v>
      </c>
      <c r="AO32" s="44"/>
      <c r="AP32" s="52"/>
    </row>
    <row r="33" spans="1:42" s="41" customFormat="1" ht="14.25" customHeight="1" x14ac:dyDescent="0.25">
      <c r="A33" s="43">
        <v>46035</v>
      </c>
      <c r="B33" s="43"/>
      <c r="C33" s="13" t="s">
        <v>52</v>
      </c>
      <c r="D33" s="14" t="s">
        <v>53</v>
      </c>
      <c r="E33" s="98">
        <v>6951</v>
      </c>
      <c r="F33" s="44" t="s">
        <v>54</v>
      </c>
      <c r="G33" s="23" t="s">
        <v>152</v>
      </c>
      <c r="H33" s="2" t="s">
        <v>153</v>
      </c>
      <c r="I33" s="52"/>
      <c r="J33" s="52"/>
      <c r="K33" s="53">
        <v>6280</v>
      </c>
      <c r="L33" s="52"/>
      <c r="M33" s="52"/>
      <c r="N33" s="52"/>
      <c r="O33" s="52"/>
      <c r="P33" s="53">
        <f t="shared" si="1"/>
        <v>6280</v>
      </c>
      <c r="Q33" s="75"/>
      <c r="R33" s="51"/>
      <c r="S33" s="44"/>
      <c r="T33" s="44"/>
      <c r="U33" s="44"/>
      <c r="V33" s="44" t="s">
        <v>47</v>
      </c>
      <c r="W33" s="52"/>
      <c r="X33" s="51">
        <v>46035</v>
      </c>
      <c r="Y33" s="44" t="s">
        <v>63</v>
      </c>
      <c r="Z33" s="44"/>
      <c r="AA33" s="44"/>
      <c r="AB33" s="44" t="s">
        <v>49</v>
      </c>
      <c r="AC33" s="44"/>
      <c r="AD33" s="44" t="s">
        <v>48</v>
      </c>
      <c r="AE33" s="55"/>
      <c r="AF33" s="52"/>
      <c r="AG33" s="52"/>
      <c r="AH33" s="44"/>
      <c r="AI33" s="44"/>
      <c r="AJ33" s="51"/>
      <c r="AK33" s="44"/>
      <c r="AL33" s="52">
        <v>18</v>
      </c>
      <c r="AM33" s="47" t="s">
        <v>50</v>
      </c>
      <c r="AN33" s="44" t="s">
        <v>51</v>
      </c>
      <c r="AO33" s="44"/>
      <c r="AP33" s="52"/>
    </row>
    <row r="34" spans="1:42" s="20" customFormat="1" ht="14.25" customHeight="1" x14ac:dyDescent="0.25">
      <c r="A34" s="43">
        <v>46035</v>
      </c>
      <c r="B34" s="43"/>
      <c r="C34" s="13" t="s">
        <v>52</v>
      </c>
      <c r="D34" s="14" t="s">
        <v>53</v>
      </c>
      <c r="E34" s="98">
        <v>6952</v>
      </c>
      <c r="F34" s="44" t="s">
        <v>54</v>
      </c>
      <c r="G34" s="23" t="s">
        <v>154</v>
      </c>
      <c r="H34" s="2" t="s">
        <v>155</v>
      </c>
      <c r="I34" s="57"/>
      <c r="J34" s="57"/>
      <c r="K34" s="53">
        <v>6280</v>
      </c>
      <c r="L34" s="57"/>
      <c r="M34" s="57"/>
      <c r="N34" s="57"/>
      <c r="O34" s="57"/>
      <c r="P34" s="53">
        <f t="shared" si="1"/>
        <v>6280</v>
      </c>
      <c r="Q34" s="75"/>
      <c r="R34" s="56"/>
      <c r="S34" s="58"/>
      <c r="T34" s="58"/>
      <c r="U34" s="58"/>
      <c r="V34" s="44" t="s">
        <v>47</v>
      </c>
      <c r="W34" s="57"/>
      <c r="X34" s="56">
        <v>46035</v>
      </c>
      <c r="Y34" s="44" t="s">
        <v>63</v>
      </c>
      <c r="Z34" s="58"/>
      <c r="AA34" s="58"/>
      <c r="AB34" s="44" t="s">
        <v>49</v>
      </c>
      <c r="AC34" s="58"/>
      <c r="AD34" s="44" t="s">
        <v>48</v>
      </c>
      <c r="AE34" s="59"/>
      <c r="AF34" s="57"/>
      <c r="AG34" s="57"/>
      <c r="AH34" s="58"/>
      <c r="AI34" s="58"/>
      <c r="AJ34" s="56"/>
      <c r="AK34" s="58"/>
      <c r="AL34" s="52">
        <v>18</v>
      </c>
      <c r="AM34" s="47" t="s">
        <v>50</v>
      </c>
      <c r="AN34" s="44" t="s">
        <v>51</v>
      </c>
      <c r="AO34" s="58"/>
      <c r="AP34" s="57"/>
    </row>
    <row r="35" spans="1:42" s="20" customFormat="1" ht="14.25" customHeight="1" x14ac:dyDescent="0.25">
      <c r="A35" s="43">
        <v>46035</v>
      </c>
      <c r="B35" s="43"/>
      <c r="C35" s="13" t="s">
        <v>52</v>
      </c>
      <c r="D35" s="14" t="s">
        <v>53</v>
      </c>
      <c r="E35" s="98">
        <v>6953</v>
      </c>
      <c r="F35" s="44" t="s">
        <v>54</v>
      </c>
      <c r="G35" s="23" t="s">
        <v>154</v>
      </c>
      <c r="H35" s="2" t="s">
        <v>155</v>
      </c>
      <c r="I35" s="57"/>
      <c r="J35" s="57"/>
      <c r="K35" s="53">
        <v>0</v>
      </c>
      <c r="L35" s="57"/>
      <c r="M35" s="57"/>
      <c r="N35" s="57"/>
      <c r="O35" s="57"/>
      <c r="P35" s="53">
        <f t="shared" si="1"/>
        <v>0</v>
      </c>
      <c r="Q35" s="75"/>
      <c r="R35" s="56"/>
      <c r="S35" s="58"/>
      <c r="T35" s="58"/>
      <c r="U35" s="58"/>
      <c r="V35" s="44" t="s">
        <v>47</v>
      </c>
      <c r="W35" s="57"/>
      <c r="X35" s="56">
        <v>46035</v>
      </c>
      <c r="Y35" s="44" t="s">
        <v>61</v>
      </c>
      <c r="Z35" s="58"/>
      <c r="AA35" s="58"/>
      <c r="AB35" s="44" t="s">
        <v>49</v>
      </c>
      <c r="AC35" s="58"/>
      <c r="AD35" s="44" t="s">
        <v>48</v>
      </c>
      <c r="AE35" s="59"/>
      <c r="AF35" s="57"/>
      <c r="AG35" s="57"/>
      <c r="AH35" s="58"/>
      <c r="AI35" s="58"/>
      <c r="AJ35" s="56"/>
      <c r="AK35" s="58"/>
      <c r="AL35" s="52">
        <v>18</v>
      </c>
      <c r="AM35" s="47" t="s">
        <v>64</v>
      </c>
      <c r="AN35" s="44" t="s">
        <v>51</v>
      </c>
      <c r="AO35" s="58"/>
      <c r="AP35" s="57"/>
    </row>
    <row r="36" spans="1:42" s="20" customFormat="1" ht="14.25" customHeight="1" x14ac:dyDescent="0.25">
      <c r="A36" s="43">
        <v>46036</v>
      </c>
      <c r="B36" s="56"/>
      <c r="C36" s="13" t="s">
        <v>52</v>
      </c>
      <c r="D36" s="14" t="s">
        <v>53</v>
      </c>
      <c r="E36" s="98">
        <v>6954</v>
      </c>
      <c r="F36" s="44" t="s">
        <v>54</v>
      </c>
      <c r="G36" s="23" t="s">
        <v>156</v>
      </c>
      <c r="H36" s="2" t="s">
        <v>157</v>
      </c>
      <c r="I36" s="57"/>
      <c r="J36" s="57"/>
      <c r="K36" s="53">
        <v>6280</v>
      </c>
      <c r="L36" s="57"/>
      <c r="M36" s="57"/>
      <c r="N36" s="57"/>
      <c r="O36" s="57"/>
      <c r="P36" s="53">
        <f t="shared" si="1"/>
        <v>6280</v>
      </c>
      <c r="Q36" s="75"/>
      <c r="R36" s="56"/>
      <c r="S36" s="58"/>
      <c r="T36" s="58"/>
      <c r="U36" s="58"/>
      <c r="V36" s="44" t="s">
        <v>47</v>
      </c>
      <c r="W36" s="57"/>
      <c r="X36" s="56">
        <v>46036</v>
      </c>
      <c r="Y36" s="44" t="s">
        <v>63</v>
      </c>
      <c r="Z36" s="44"/>
      <c r="AA36" s="44"/>
      <c r="AB36" s="44" t="s">
        <v>49</v>
      </c>
      <c r="AC36" s="44"/>
      <c r="AD36" s="44" t="s">
        <v>48</v>
      </c>
      <c r="AE36" s="55"/>
      <c r="AF36" s="52"/>
      <c r="AG36" s="52"/>
      <c r="AH36" s="44"/>
      <c r="AI36" s="44"/>
      <c r="AJ36" s="51"/>
      <c r="AK36" s="44"/>
      <c r="AL36" s="52">
        <v>18</v>
      </c>
      <c r="AM36" s="47" t="s">
        <v>50</v>
      </c>
      <c r="AN36" s="44" t="s">
        <v>51</v>
      </c>
      <c r="AO36" s="58"/>
      <c r="AP36" s="57"/>
    </row>
    <row r="37" spans="1:42" s="20" customFormat="1" ht="14.25" customHeight="1" x14ac:dyDescent="0.25">
      <c r="A37" s="43">
        <v>46036</v>
      </c>
      <c r="B37" s="43"/>
      <c r="C37" s="13" t="s">
        <v>52</v>
      </c>
      <c r="D37" s="14" t="s">
        <v>53</v>
      </c>
      <c r="E37" s="98">
        <v>6955</v>
      </c>
      <c r="F37" s="44" t="s">
        <v>54</v>
      </c>
      <c r="G37" s="23" t="s">
        <v>156</v>
      </c>
      <c r="H37" s="2" t="s">
        <v>157</v>
      </c>
      <c r="I37" s="57"/>
      <c r="J37" s="57"/>
      <c r="K37" s="53">
        <v>0</v>
      </c>
      <c r="L37" s="57"/>
      <c r="M37" s="57"/>
      <c r="N37" s="57"/>
      <c r="O37" s="57"/>
      <c r="P37" s="53">
        <f t="shared" si="1"/>
        <v>0</v>
      </c>
      <c r="Q37" s="75"/>
      <c r="R37" s="56"/>
      <c r="S37" s="58"/>
      <c r="T37" s="58"/>
      <c r="U37" s="58"/>
      <c r="V37" s="44" t="s">
        <v>47</v>
      </c>
      <c r="W37" s="57"/>
      <c r="X37" s="56">
        <v>46036</v>
      </c>
      <c r="Y37" s="44" t="s">
        <v>61</v>
      </c>
      <c r="Z37" s="58"/>
      <c r="AA37" s="58"/>
      <c r="AB37" s="44" t="s">
        <v>49</v>
      </c>
      <c r="AC37" s="58"/>
      <c r="AD37" s="44" t="s">
        <v>48</v>
      </c>
      <c r="AE37" s="59"/>
      <c r="AF37" s="57"/>
      <c r="AG37" s="57"/>
      <c r="AH37" s="58"/>
      <c r="AI37" s="58"/>
      <c r="AJ37" s="56"/>
      <c r="AK37" s="58"/>
      <c r="AL37" s="52">
        <v>18</v>
      </c>
      <c r="AM37" s="47" t="s">
        <v>64</v>
      </c>
      <c r="AN37" s="44" t="s">
        <v>51</v>
      </c>
      <c r="AO37" s="58"/>
      <c r="AP37" s="57"/>
    </row>
    <row r="38" spans="1:42" s="20" customFormat="1" ht="14.25" customHeight="1" x14ac:dyDescent="0.25">
      <c r="A38" s="43">
        <v>46036</v>
      </c>
      <c r="B38" s="56"/>
      <c r="C38" s="13" t="s">
        <v>52</v>
      </c>
      <c r="D38" s="14" t="s">
        <v>53</v>
      </c>
      <c r="E38" s="98">
        <v>6956</v>
      </c>
      <c r="F38" s="44" t="s">
        <v>54</v>
      </c>
      <c r="G38" s="23" t="s">
        <v>150</v>
      </c>
      <c r="H38" s="2" t="s">
        <v>151</v>
      </c>
      <c r="I38" s="57"/>
      <c r="J38" s="57"/>
      <c r="K38" s="53">
        <v>0</v>
      </c>
      <c r="L38" s="57"/>
      <c r="M38" s="57"/>
      <c r="N38" s="57"/>
      <c r="O38" s="57"/>
      <c r="P38" s="53">
        <f t="shared" si="1"/>
        <v>0</v>
      </c>
      <c r="Q38" s="75"/>
      <c r="R38" s="56"/>
      <c r="S38" s="58"/>
      <c r="T38" s="58"/>
      <c r="U38" s="58"/>
      <c r="V38" s="44" t="s">
        <v>47</v>
      </c>
      <c r="W38" s="57"/>
      <c r="X38" s="56">
        <v>46036</v>
      </c>
      <c r="Y38" s="44" t="s">
        <v>61</v>
      </c>
      <c r="Z38" s="58"/>
      <c r="AA38" s="58"/>
      <c r="AB38" s="44" t="s">
        <v>49</v>
      </c>
      <c r="AC38" s="58"/>
      <c r="AD38" s="44" t="s">
        <v>48</v>
      </c>
      <c r="AE38" s="59"/>
      <c r="AF38" s="57"/>
      <c r="AG38" s="57"/>
      <c r="AH38" s="58"/>
      <c r="AI38" s="58"/>
      <c r="AJ38" s="56"/>
      <c r="AK38" s="58"/>
      <c r="AL38" s="52">
        <v>18</v>
      </c>
      <c r="AM38" s="47" t="s">
        <v>64</v>
      </c>
      <c r="AN38" s="44" t="s">
        <v>51</v>
      </c>
      <c r="AO38" s="58"/>
      <c r="AP38" s="57"/>
    </row>
    <row r="39" spans="1:42" s="20" customFormat="1" ht="14.25" customHeight="1" x14ac:dyDescent="0.25">
      <c r="A39" s="43">
        <v>46036</v>
      </c>
      <c r="B39" s="43"/>
      <c r="C39" s="13" t="s">
        <v>52</v>
      </c>
      <c r="D39" s="14" t="s">
        <v>53</v>
      </c>
      <c r="E39" s="98">
        <v>6957</v>
      </c>
      <c r="F39" s="44" t="s">
        <v>54</v>
      </c>
      <c r="G39" s="23" t="s">
        <v>158</v>
      </c>
      <c r="H39" s="2" t="s">
        <v>159</v>
      </c>
      <c r="I39" s="57"/>
      <c r="J39" s="57"/>
      <c r="K39" s="53">
        <v>8280</v>
      </c>
      <c r="L39" s="57"/>
      <c r="M39" s="57"/>
      <c r="N39" s="57"/>
      <c r="O39" s="57"/>
      <c r="P39" s="53">
        <f t="shared" si="0"/>
        <v>8280</v>
      </c>
      <c r="Q39" s="75"/>
      <c r="R39" s="56"/>
      <c r="S39" s="58"/>
      <c r="T39" s="58"/>
      <c r="U39" s="58"/>
      <c r="V39" s="44" t="s">
        <v>47</v>
      </c>
      <c r="W39" s="57"/>
      <c r="X39" s="56">
        <v>46036</v>
      </c>
      <c r="Y39" s="44" t="s">
        <v>63</v>
      </c>
      <c r="Z39" s="58"/>
      <c r="AA39" s="58"/>
      <c r="AB39" s="44" t="s">
        <v>49</v>
      </c>
      <c r="AC39" s="58"/>
      <c r="AD39" s="44" t="s">
        <v>48</v>
      </c>
      <c r="AE39" s="59"/>
      <c r="AF39" s="57"/>
      <c r="AG39" s="57"/>
      <c r="AH39" s="58"/>
      <c r="AI39" s="58"/>
      <c r="AJ39" s="56"/>
      <c r="AK39" s="58"/>
      <c r="AL39" s="52">
        <v>18</v>
      </c>
      <c r="AM39" s="47" t="s">
        <v>50</v>
      </c>
      <c r="AN39" s="44" t="s">
        <v>51</v>
      </c>
      <c r="AO39" s="58"/>
      <c r="AP39" s="57"/>
    </row>
    <row r="40" spans="1:42" s="20" customFormat="1" ht="14.25" customHeight="1" x14ac:dyDescent="0.25">
      <c r="A40" s="43">
        <v>46037</v>
      </c>
      <c r="B40" s="43"/>
      <c r="C40" s="13" t="s">
        <v>52</v>
      </c>
      <c r="D40" s="14" t="s">
        <v>53</v>
      </c>
      <c r="E40" s="98">
        <v>6958</v>
      </c>
      <c r="F40" s="44" t="s">
        <v>54</v>
      </c>
      <c r="G40" s="23" t="s">
        <v>160</v>
      </c>
      <c r="H40" s="2" t="s">
        <v>161</v>
      </c>
      <c r="I40" s="57"/>
      <c r="J40" s="57"/>
      <c r="K40" s="53">
        <v>12580</v>
      </c>
      <c r="L40" s="57"/>
      <c r="M40" s="57"/>
      <c r="N40" s="57"/>
      <c r="O40" s="57"/>
      <c r="P40" s="53">
        <f t="shared" si="0"/>
        <v>12580</v>
      </c>
      <c r="Q40" s="75"/>
      <c r="R40" s="56"/>
      <c r="S40" s="58"/>
      <c r="T40" s="58"/>
      <c r="U40" s="58"/>
      <c r="V40" s="44" t="s">
        <v>47</v>
      </c>
      <c r="W40" s="57"/>
      <c r="X40" s="56">
        <v>46037</v>
      </c>
      <c r="Y40" s="44" t="s">
        <v>63</v>
      </c>
      <c r="Z40" s="58"/>
      <c r="AA40" s="58"/>
      <c r="AB40" s="44" t="s">
        <v>49</v>
      </c>
      <c r="AC40" s="58"/>
      <c r="AD40" s="44" t="s">
        <v>48</v>
      </c>
      <c r="AE40" s="59"/>
      <c r="AF40" s="57"/>
      <c r="AG40" s="57"/>
      <c r="AH40" s="58"/>
      <c r="AI40" s="58"/>
      <c r="AJ40" s="56"/>
      <c r="AK40" s="58"/>
      <c r="AL40" s="52">
        <v>18</v>
      </c>
      <c r="AM40" s="47" t="s">
        <v>50</v>
      </c>
      <c r="AN40" s="44" t="s">
        <v>51</v>
      </c>
      <c r="AO40" s="58"/>
      <c r="AP40" s="57"/>
    </row>
    <row r="41" spans="1:42" s="20" customFormat="1" ht="14.25" customHeight="1" x14ac:dyDescent="0.25">
      <c r="A41" s="43">
        <v>46037</v>
      </c>
      <c r="B41" s="43"/>
      <c r="C41" s="13" t="s">
        <v>52</v>
      </c>
      <c r="D41" s="14" t="s">
        <v>53</v>
      </c>
      <c r="E41" s="98">
        <v>6959</v>
      </c>
      <c r="F41" s="44" t="s">
        <v>54</v>
      </c>
      <c r="G41" s="23" t="s">
        <v>162</v>
      </c>
      <c r="H41" s="2" t="s">
        <v>163</v>
      </c>
      <c r="I41" s="57"/>
      <c r="J41" s="57"/>
      <c r="K41" s="53">
        <v>5180</v>
      </c>
      <c r="L41" s="57"/>
      <c r="M41" s="57"/>
      <c r="N41" s="57"/>
      <c r="O41" s="57"/>
      <c r="P41" s="53">
        <f t="shared" si="0"/>
        <v>5180</v>
      </c>
      <c r="Q41" s="75"/>
      <c r="R41" s="56"/>
      <c r="S41" s="58"/>
      <c r="T41" s="58"/>
      <c r="U41" s="58"/>
      <c r="V41" s="44" t="s">
        <v>47</v>
      </c>
      <c r="W41" s="57"/>
      <c r="X41" s="56">
        <v>46037</v>
      </c>
      <c r="Y41" s="44" t="s">
        <v>63</v>
      </c>
      <c r="Z41" s="58"/>
      <c r="AA41" s="58"/>
      <c r="AB41" s="44" t="s">
        <v>49</v>
      </c>
      <c r="AC41" s="58"/>
      <c r="AD41" s="44" t="s">
        <v>48</v>
      </c>
      <c r="AE41" s="59"/>
      <c r="AF41" s="57"/>
      <c r="AG41" s="57"/>
      <c r="AH41" s="58"/>
      <c r="AI41" s="58"/>
      <c r="AJ41" s="56"/>
      <c r="AK41" s="58"/>
      <c r="AL41" s="52">
        <v>18</v>
      </c>
      <c r="AM41" s="47" t="s">
        <v>50</v>
      </c>
      <c r="AN41" s="44" t="s">
        <v>51</v>
      </c>
      <c r="AO41" s="58"/>
      <c r="AP41" s="57"/>
    </row>
    <row r="42" spans="1:42" s="20" customFormat="1" ht="14.25" customHeight="1" x14ac:dyDescent="0.25">
      <c r="A42" s="43">
        <v>46037</v>
      </c>
      <c r="B42" s="43"/>
      <c r="C42" s="13" t="s">
        <v>52</v>
      </c>
      <c r="D42" s="14" t="s">
        <v>53</v>
      </c>
      <c r="E42" s="98">
        <v>6960</v>
      </c>
      <c r="F42" s="44" t="s">
        <v>54</v>
      </c>
      <c r="G42" s="23" t="s">
        <v>162</v>
      </c>
      <c r="H42" s="2" t="s">
        <v>163</v>
      </c>
      <c r="I42" s="45"/>
      <c r="J42" s="57"/>
      <c r="K42" s="53">
        <v>0</v>
      </c>
      <c r="L42" s="57"/>
      <c r="M42" s="57"/>
      <c r="N42" s="57"/>
      <c r="O42" s="57"/>
      <c r="P42" s="53">
        <f t="shared" si="0"/>
        <v>0</v>
      </c>
      <c r="Q42" s="75"/>
      <c r="R42" s="56"/>
      <c r="S42" s="58"/>
      <c r="T42" s="58"/>
      <c r="U42" s="58"/>
      <c r="V42" s="44" t="s">
        <v>47</v>
      </c>
      <c r="W42" s="57"/>
      <c r="X42" s="56">
        <v>46037</v>
      </c>
      <c r="Y42" s="44" t="s">
        <v>61</v>
      </c>
      <c r="Z42" s="58"/>
      <c r="AA42" s="58"/>
      <c r="AB42" s="44" t="s">
        <v>49</v>
      </c>
      <c r="AC42" s="58"/>
      <c r="AD42" s="44" t="s">
        <v>48</v>
      </c>
      <c r="AE42" s="59"/>
      <c r="AF42" s="57"/>
      <c r="AG42" s="57"/>
      <c r="AH42" s="58"/>
      <c r="AI42" s="58"/>
      <c r="AJ42" s="56"/>
      <c r="AK42" s="58"/>
      <c r="AL42" s="52">
        <v>18</v>
      </c>
      <c r="AM42" s="47" t="s">
        <v>64</v>
      </c>
      <c r="AN42" s="44" t="s">
        <v>51</v>
      </c>
      <c r="AO42" s="58"/>
      <c r="AP42" s="57"/>
    </row>
    <row r="43" spans="1:42" s="20" customFormat="1" ht="14.25" customHeight="1" x14ac:dyDescent="0.25">
      <c r="A43" s="43">
        <v>46037</v>
      </c>
      <c r="B43" s="43"/>
      <c r="C43" s="13" t="s">
        <v>52</v>
      </c>
      <c r="D43" s="14" t="s">
        <v>53</v>
      </c>
      <c r="E43" s="98">
        <v>6961</v>
      </c>
      <c r="F43" s="44" t="s">
        <v>54</v>
      </c>
      <c r="G43" s="23" t="s">
        <v>164</v>
      </c>
      <c r="H43" s="2" t="s">
        <v>165</v>
      </c>
      <c r="I43" s="57"/>
      <c r="J43" s="96"/>
      <c r="K43" s="53">
        <v>6280</v>
      </c>
      <c r="L43" s="57"/>
      <c r="M43" s="57"/>
      <c r="N43" s="57"/>
      <c r="O43" s="57"/>
      <c r="P43" s="53">
        <f t="shared" si="0"/>
        <v>6280</v>
      </c>
      <c r="Q43" s="75"/>
      <c r="R43" s="56"/>
      <c r="S43" s="58"/>
      <c r="T43" s="58"/>
      <c r="U43" s="58"/>
      <c r="V43" s="44" t="s">
        <v>47</v>
      </c>
      <c r="W43" s="57"/>
      <c r="X43" s="56">
        <v>46037</v>
      </c>
      <c r="Y43" s="44" t="s">
        <v>63</v>
      </c>
      <c r="Z43" s="58"/>
      <c r="AA43" s="58"/>
      <c r="AB43" s="44" t="s">
        <v>49</v>
      </c>
      <c r="AC43" s="58"/>
      <c r="AD43" s="44" t="s">
        <v>48</v>
      </c>
      <c r="AE43" s="59"/>
      <c r="AF43" s="57"/>
      <c r="AG43" s="57"/>
      <c r="AH43" s="58"/>
      <c r="AI43" s="58"/>
      <c r="AJ43" s="56"/>
      <c r="AK43" s="58"/>
      <c r="AL43" s="52">
        <v>18</v>
      </c>
      <c r="AM43" s="47" t="s">
        <v>50</v>
      </c>
      <c r="AN43" s="44" t="s">
        <v>51</v>
      </c>
      <c r="AO43" s="58"/>
      <c r="AP43" s="57"/>
    </row>
    <row r="44" spans="1:42" s="20" customFormat="1" ht="14.25" customHeight="1" x14ac:dyDescent="0.25">
      <c r="A44" s="43">
        <v>46037</v>
      </c>
      <c r="B44" s="43"/>
      <c r="C44" s="13" t="s">
        <v>52</v>
      </c>
      <c r="D44" s="14" t="s">
        <v>53</v>
      </c>
      <c r="E44" s="98">
        <v>6962</v>
      </c>
      <c r="F44" s="44" t="s">
        <v>54</v>
      </c>
      <c r="G44" s="23" t="s">
        <v>164</v>
      </c>
      <c r="H44" s="2" t="s">
        <v>165</v>
      </c>
      <c r="I44" s="57"/>
      <c r="J44" s="57"/>
      <c r="K44" s="53">
        <v>0</v>
      </c>
      <c r="L44" s="57"/>
      <c r="M44" s="57"/>
      <c r="N44" s="57"/>
      <c r="O44" s="57"/>
      <c r="P44" s="53">
        <f t="shared" si="0"/>
        <v>0</v>
      </c>
      <c r="Q44" s="75"/>
      <c r="R44" s="56"/>
      <c r="S44" s="58"/>
      <c r="T44" s="58"/>
      <c r="U44" s="58"/>
      <c r="V44" s="44" t="s">
        <v>47</v>
      </c>
      <c r="W44" s="57"/>
      <c r="X44" s="56">
        <v>46037</v>
      </c>
      <c r="Y44" s="44" t="s">
        <v>61</v>
      </c>
      <c r="Z44" s="58"/>
      <c r="AA44" s="58"/>
      <c r="AB44" s="44" t="s">
        <v>49</v>
      </c>
      <c r="AC44" s="58"/>
      <c r="AD44" s="44" t="s">
        <v>48</v>
      </c>
      <c r="AE44" s="59"/>
      <c r="AF44" s="57"/>
      <c r="AG44" s="57"/>
      <c r="AH44" s="58"/>
      <c r="AI44" s="58"/>
      <c r="AJ44" s="56"/>
      <c r="AK44" s="58"/>
      <c r="AL44" s="52">
        <v>18</v>
      </c>
      <c r="AM44" s="47" t="s">
        <v>64</v>
      </c>
      <c r="AN44" s="44" t="s">
        <v>51</v>
      </c>
      <c r="AO44" s="58"/>
      <c r="AP44" s="57"/>
    </row>
    <row r="45" spans="1:42" s="20" customFormat="1" ht="14.25" customHeight="1" x14ac:dyDescent="0.25">
      <c r="A45" s="43">
        <v>46037</v>
      </c>
      <c r="B45" s="43"/>
      <c r="C45" s="13" t="s">
        <v>52</v>
      </c>
      <c r="D45" s="14" t="s">
        <v>53</v>
      </c>
      <c r="E45" s="98">
        <v>6963</v>
      </c>
      <c r="F45" s="44" t="s">
        <v>54</v>
      </c>
      <c r="G45" s="23" t="s">
        <v>166</v>
      </c>
      <c r="H45" s="2" t="s">
        <v>167</v>
      </c>
      <c r="I45" s="57"/>
      <c r="J45" s="57"/>
      <c r="K45" s="53">
        <v>6230</v>
      </c>
      <c r="L45" s="57"/>
      <c r="M45" s="57"/>
      <c r="N45" s="57"/>
      <c r="O45" s="57"/>
      <c r="P45" s="53">
        <f t="shared" si="0"/>
        <v>6230</v>
      </c>
      <c r="Q45" s="75"/>
      <c r="R45" s="56"/>
      <c r="S45" s="58"/>
      <c r="T45" s="58"/>
      <c r="U45" s="58"/>
      <c r="V45" s="44" t="s">
        <v>47</v>
      </c>
      <c r="W45" s="57"/>
      <c r="X45" s="56">
        <v>46037</v>
      </c>
      <c r="Y45" s="44" t="s">
        <v>63</v>
      </c>
      <c r="Z45" s="58"/>
      <c r="AA45" s="58"/>
      <c r="AB45" s="44" t="s">
        <v>49</v>
      </c>
      <c r="AC45" s="58"/>
      <c r="AD45" s="44" t="s">
        <v>48</v>
      </c>
      <c r="AE45" s="59"/>
      <c r="AF45" s="57"/>
      <c r="AG45" s="57"/>
      <c r="AH45" s="58"/>
      <c r="AI45" s="58"/>
      <c r="AJ45" s="56"/>
      <c r="AK45" s="58"/>
      <c r="AL45" s="52">
        <v>18</v>
      </c>
      <c r="AM45" s="47" t="s">
        <v>50</v>
      </c>
      <c r="AN45" s="44" t="s">
        <v>51</v>
      </c>
      <c r="AO45" s="58"/>
      <c r="AP45" s="57"/>
    </row>
    <row r="46" spans="1:42" s="20" customFormat="1" ht="14.25" customHeight="1" x14ac:dyDescent="0.25">
      <c r="A46" s="43">
        <v>46037</v>
      </c>
      <c r="B46" s="43"/>
      <c r="C46" s="13" t="s">
        <v>52</v>
      </c>
      <c r="D46" s="14" t="s">
        <v>53</v>
      </c>
      <c r="E46" s="98">
        <v>6964</v>
      </c>
      <c r="F46" s="44" t="s">
        <v>54</v>
      </c>
      <c r="G46" s="23" t="s">
        <v>166</v>
      </c>
      <c r="H46" s="2" t="s">
        <v>167</v>
      </c>
      <c r="I46" s="57"/>
      <c r="J46" s="57"/>
      <c r="K46" s="53">
        <v>0</v>
      </c>
      <c r="L46" s="57"/>
      <c r="M46" s="57"/>
      <c r="N46" s="57"/>
      <c r="O46" s="57"/>
      <c r="P46" s="53">
        <f t="shared" si="0"/>
        <v>0</v>
      </c>
      <c r="Q46" s="75"/>
      <c r="R46" s="56"/>
      <c r="S46" s="58"/>
      <c r="T46" s="58"/>
      <c r="U46" s="58"/>
      <c r="V46" s="44" t="s">
        <v>47</v>
      </c>
      <c r="W46" s="57"/>
      <c r="X46" s="56">
        <v>46037</v>
      </c>
      <c r="Y46" s="44" t="s">
        <v>61</v>
      </c>
      <c r="Z46" s="58"/>
      <c r="AA46" s="58"/>
      <c r="AB46" s="44" t="s">
        <v>49</v>
      </c>
      <c r="AC46" s="58"/>
      <c r="AD46" s="44" t="s">
        <v>48</v>
      </c>
      <c r="AE46" s="59"/>
      <c r="AF46" s="57"/>
      <c r="AG46" s="57"/>
      <c r="AH46" s="58"/>
      <c r="AI46" s="58"/>
      <c r="AJ46" s="56"/>
      <c r="AK46" s="58"/>
      <c r="AL46" s="52">
        <v>18</v>
      </c>
      <c r="AM46" s="47" t="s">
        <v>64</v>
      </c>
      <c r="AN46" s="44" t="s">
        <v>51</v>
      </c>
      <c r="AO46" s="58"/>
      <c r="AP46" s="57"/>
    </row>
    <row r="47" spans="1:42" s="20" customFormat="1" ht="14.25" customHeight="1" x14ac:dyDescent="0.25">
      <c r="A47" s="43">
        <v>46037</v>
      </c>
      <c r="B47" s="43"/>
      <c r="C47" s="13" t="s">
        <v>52</v>
      </c>
      <c r="D47" s="14" t="s">
        <v>53</v>
      </c>
      <c r="E47" s="98">
        <v>6965</v>
      </c>
      <c r="F47" s="44" t="s">
        <v>54</v>
      </c>
      <c r="G47" s="23" t="s">
        <v>168</v>
      </c>
      <c r="H47" s="2" t="s">
        <v>169</v>
      </c>
      <c r="I47" s="57"/>
      <c r="J47" s="57"/>
      <c r="K47" s="53">
        <v>6360</v>
      </c>
      <c r="L47" s="57"/>
      <c r="M47" s="57"/>
      <c r="N47" s="57"/>
      <c r="O47" s="57"/>
      <c r="P47" s="53">
        <f t="shared" si="0"/>
        <v>6360</v>
      </c>
      <c r="Q47" s="75"/>
      <c r="R47" s="56"/>
      <c r="S47" s="58"/>
      <c r="T47" s="58"/>
      <c r="U47" s="58"/>
      <c r="V47" s="44" t="s">
        <v>47</v>
      </c>
      <c r="W47" s="57"/>
      <c r="X47" s="56">
        <v>46037</v>
      </c>
      <c r="Y47" s="44" t="s">
        <v>63</v>
      </c>
      <c r="Z47" s="58"/>
      <c r="AA47" s="58"/>
      <c r="AB47" s="44" t="s">
        <v>49</v>
      </c>
      <c r="AC47" s="58"/>
      <c r="AD47" s="44" t="s">
        <v>48</v>
      </c>
      <c r="AE47" s="59"/>
      <c r="AF47" s="57"/>
      <c r="AG47" s="57"/>
      <c r="AH47" s="58"/>
      <c r="AI47" s="58"/>
      <c r="AJ47" s="56"/>
      <c r="AK47" s="58"/>
      <c r="AL47" s="52">
        <v>18</v>
      </c>
      <c r="AM47" s="47" t="s">
        <v>50</v>
      </c>
      <c r="AN47" s="44" t="s">
        <v>51</v>
      </c>
      <c r="AO47" s="58"/>
      <c r="AP47" s="57"/>
    </row>
    <row r="48" spans="1:42" s="20" customFormat="1" ht="14.25" customHeight="1" x14ac:dyDescent="0.25">
      <c r="A48" s="43">
        <v>46037</v>
      </c>
      <c r="B48" s="43"/>
      <c r="C48" s="13" t="s">
        <v>52</v>
      </c>
      <c r="D48" s="14" t="s">
        <v>53</v>
      </c>
      <c r="E48" s="98">
        <v>6966</v>
      </c>
      <c r="F48" s="44" t="s">
        <v>54</v>
      </c>
      <c r="G48" s="23" t="s">
        <v>168</v>
      </c>
      <c r="H48" s="2" t="s">
        <v>169</v>
      </c>
      <c r="I48" s="57"/>
      <c r="J48" s="57"/>
      <c r="K48" s="53">
        <v>0</v>
      </c>
      <c r="L48" s="57"/>
      <c r="M48" s="57"/>
      <c r="N48" s="57"/>
      <c r="O48" s="57"/>
      <c r="P48" s="53">
        <f t="shared" si="0"/>
        <v>0</v>
      </c>
      <c r="Q48" s="75"/>
      <c r="R48" s="56"/>
      <c r="S48" s="58"/>
      <c r="T48" s="58"/>
      <c r="U48" s="58"/>
      <c r="V48" s="44" t="s">
        <v>47</v>
      </c>
      <c r="W48" s="57"/>
      <c r="X48" s="56">
        <v>46037</v>
      </c>
      <c r="Y48" s="44" t="s">
        <v>61</v>
      </c>
      <c r="Z48" s="58"/>
      <c r="AA48" s="58"/>
      <c r="AB48" s="44" t="s">
        <v>49</v>
      </c>
      <c r="AC48" s="58"/>
      <c r="AD48" s="44" t="s">
        <v>48</v>
      </c>
      <c r="AE48" s="59"/>
      <c r="AF48" s="57"/>
      <c r="AG48" s="57"/>
      <c r="AH48" s="58"/>
      <c r="AI48" s="58"/>
      <c r="AJ48" s="56"/>
      <c r="AK48" s="58"/>
      <c r="AL48" s="52">
        <v>18</v>
      </c>
      <c r="AM48" s="47" t="s">
        <v>64</v>
      </c>
      <c r="AN48" s="44" t="s">
        <v>51</v>
      </c>
      <c r="AO48" s="58"/>
      <c r="AP48" s="57"/>
    </row>
    <row r="49" spans="1:42" s="20" customFormat="1" ht="14.25" customHeight="1" x14ac:dyDescent="0.25">
      <c r="A49" s="43">
        <v>46038</v>
      </c>
      <c r="B49" s="43"/>
      <c r="C49" s="13" t="s">
        <v>52</v>
      </c>
      <c r="D49" s="14" t="s">
        <v>53</v>
      </c>
      <c r="E49" s="98">
        <v>6967</v>
      </c>
      <c r="F49" s="44" t="s">
        <v>54</v>
      </c>
      <c r="G49" s="23" t="s">
        <v>170</v>
      </c>
      <c r="H49" s="2" t="s">
        <v>171</v>
      </c>
      <c r="I49" s="57"/>
      <c r="J49" s="57"/>
      <c r="K49" s="53">
        <v>5230</v>
      </c>
      <c r="L49" s="57"/>
      <c r="M49" s="57"/>
      <c r="N49" s="57"/>
      <c r="O49" s="57"/>
      <c r="P49" s="53">
        <f t="shared" si="0"/>
        <v>5230</v>
      </c>
      <c r="Q49" s="75"/>
      <c r="R49" s="56"/>
      <c r="S49" s="58"/>
      <c r="T49" s="58"/>
      <c r="U49" s="58"/>
      <c r="V49" s="44" t="s">
        <v>47</v>
      </c>
      <c r="W49" s="57"/>
      <c r="X49" s="56">
        <v>46038</v>
      </c>
      <c r="Y49" s="44" t="s">
        <v>63</v>
      </c>
      <c r="Z49" s="58"/>
      <c r="AA49" s="58"/>
      <c r="AB49" s="44" t="s">
        <v>49</v>
      </c>
      <c r="AC49" s="58"/>
      <c r="AD49" s="44" t="s">
        <v>48</v>
      </c>
      <c r="AE49" s="59"/>
      <c r="AF49" s="57"/>
      <c r="AG49" s="57"/>
      <c r="AH49" s="58"/>
      <c r="AI49" s="58"/>
      <c r="AJ49" s="56"/>
      <c r="AK49" s="58"/>
      <c r="AL49" s="52">
        <v>18</v>
      </c>
      <c r="AM49" s="47" t="s">
        <v>50</v>
      </c>
      <c r="AN49" s="44" t="s">
        <v>51</v>
      </c>
      <c r="AO49" s="58"/>
      <c r="AP49" s="57"/>
    </row>
    <row r="50" spans="1:42" s="20" customFormat="1" ht="14.25" customHeight="1" x14ac:dyDescent="0.25">
      <c r="A50" s="43">
        <v>46038</v>
      </c>
      <c r="B50" s="56"/>
      <c r="C50" s="13" t="s">
        <v>52</v>
      </c>
      <c r="D50" s="14" t="s">
        <v>53</v>
      </c>
      <c r="E50" s="98">
        <v>6968</v>
      </c>
      <c r="F50" s="44" t="s">
        <v>54</v>
      </c>
      <c r="G50" s="23" t="s">
        <v>170</v>
      </c>
      <c r="H50" s="2" t="s">
        <v>171</v>
      </c>
      <c r="I50" s="57"/>
      <c r="J50" s="57"/>
      <c r="K50" s="53">
        <v>0</v>
      </c>
      <c r="L50" s="57"/>
      <c r="M50" s="57"/>
      <c r="N50" s="57"/>
      <c r="O50" s="57"/>
      <c r="P50" s="53">
        <f t="shared" si="0"/>
        <v>0</v>
      </c>
      <c r="Q50" s="75"/>
      <c r="R50" s="56"/>
      <c r="S50" s="58"/>
      <c r="T50" s="58"/>
      <c r="U50" s="58"/>
      <c r="V50" s="44" t="s">
        <v>47</v>
      </c>
      <c r="W50" s="57"/>
      <c r="X50" s="56">
        <v>46038</v>
      </c>
      <c r="Y50" s="44" t="s">
        <v>61</v>
      </c>
      <c r="Z50" s="58"/>
      <c r="AA50" s="58"/>
      <c r="AB50" s="44" t="s">
        <v>49</v>
      </c>
      <c r="AC50" s="58"/>
      <c r="AD50" s="44" t="s">
        <v>48</v>
      </c>
      <c r="AE50" s="59"/>
      <c r="AF50" s="57"/>
      <c r="AG50" s="57"/>
      <c r="AH50" s="58"/>
      <c r="AI50" s="58"/>
      <c r="AJ50" s="56"/>
      <c r="AK50" s="58"/>
      <c r="AL50" s="52">
        <v>18</v>
      </c>
      <c r="AM50" s="47" t="s">
        <v>64</v>
      </c>
      <c r="AN50" s="44" t="s">
        <v>51</v>
      </c>
      <c r="AO50" s="58"/>
      <c r="AP50" s="57"/>
    </row>
    <row r="51" spans="1:42" s="20" customFormat="1" ht="14.25" customHeight="1" x14ac:dyDescent="0.25">
      <c r="A51" s="43">
        <v>46039</v>
      </c>
      <c r="B51" s="43"/>
      <c r="C51" s="13" t="s">
        <v>52</v>
      </c>
      <c r="D51" s="14" t="s">
        <v>53</v>
      </c>
      <c r="E51" s="98">
        <v>6969</v>
      </c>
      <c r="F51" s="44" t="s">
        <v>54</v>
      </c>
      <c r="G51" s="23" t="s">
        <v>172</v>
      </c>
      <c r="H51" s="2" t="s">
        <v>297</v>
      </c>
      <c r="I51" s="57"/>
      <c r="J51" s="57"/>
      <c r="K51" s="53">
        <v>6680</v>
      </c>
      <c r="L51" s="57"/>
      <c r="M51" s="57"/>
      <c r="N51" s="57"/>
      <c r="O51" s="57"/>
      <c r="P51" s="53">
        <f t="shared" si="0"/>
        <v>6680</v>
      </c>
      <c r="Q51" s="75"/>
      <c r="R51" s="56"/>
      <c r="S51" s="58"/>
      <c r="T51" s="58"/>
      <c r="U51" s="58"/>
      <c r="V51" s="44" t="s">
        <v>47</v>
      </c>
      <c r="W51" s="57"/>
      <c r="X51" s="56">
        <v>46039</v>
      </c>
      <c r="Y51" s="44" t="s">
        <v>63</v>
      </c>
      <c r="Z51" s="58"/>
      <c r="AA51" s="58"/>
      <c r="AB51" s="44" t="s">
        <v>49</v>
      </c>
      <c r="AC51" s="58"/>
      <c r="AD51" s="44" t="s">
        <v>48</v>
      </c>
      <c r="AE51" s="59"/>
      <c r="AF51" s="57"/>
      <c r="AG51" s="57"/>
      <c r="AH51" s="58"/>
      <c r="AI51" s="58"/>
      <c r="AJ51" s="56"/>
      <c r="AK51" s="58"/>
      <c r="AL51" s="52">
        <v>18</v>
      </c>
      <c r="AM51" s="47" t="s">
        <v>50</v>
      </c>
      <c r="AN51" s="44" t="s">
        <v>51</v>
      </c>
      <c r="AO51" s="58"/>
      <c r="AP51" s="57"/>
    </row>
    <row r="52" spans="1:42" s="20" customFormat="1" ht="14.25" customHeight="1" x14ac:dyDescent="0.25">
      <c r="A52" s="43">
        <v>46039</v>
      </c>
      <c r="B52" s="43"/>
      <c r="C52" s="13" t="s">
        <v>52</v>
      </c>
      <c r="D52" s="14" t="s">
        <v>53</v>
      </c>
      <c r="E52" s="98">
        <v>6970</v>
      </c>
      <c r="F52" s="44" t="s">
        <v>54</v>
      </c>
      <c r="G52" s="23" t="s">
        <v>173</v>
      </c>
      <c r="H52" s="2" t="s">
        <v>174</v>
      </c>
      <c r="I52" s="57"/>
      <c r="J52" s="57"/>
      <c r="K52" s="53">
        <v>6280</v>
      </c>
      <c r="L52" s="57"/>
      <c r="M52" s="57"/>
      <c r="N52" s="57"/>
      <c r="O52" s="57"/>
      <c r="P52" s="53">
        <f t="shared" si="0"/>
        <v>6280</v>
      </c>
      <c r="Q52" s="75"/>
      <c r="R52" s="56"/>
      <c r="S52" s="58"/>
      <c r="T52" s="58"/>
      <c r="U52" s="58"/>
      <c r="V52" s="44" t="s">
        <v>47</v>
      </c>
      <c r="W52" s="57"/>
      <c r="X52" s="56">
        <v>46039</v>
      </c>
      <c r="Y52" s="44" t="s">
        <v>63</v>
      </c>
      <c r="Z52" s="58"/>
      <c r="AA52" s="58"/>
      <c r="AB52" s="44" t="s">
        <v>49</v>
      </c>
      <c r="AC52" s="58"/>
      <c r="AD52" s="44" t="s">
        <v>48</v>
      </c>
      <c r="AE52" s="59"/>
      <c r="AF52" s="57"/>
      <c r="AG52" s="57"/>
      <c r="AH52" s="58"/>
      <c r="AI52" s="58"/>
      <c r="AJ52" s="56"/>
      <c r="AK52" s="58"/>
      <c r="AL52" s="52">
        <v>18</v>
      </c>
      <c r="AM52" s="47" t="s">
        <v>50</v>
      </c>
      <c r="AN52" s="44" t="s">
        <v>51</v>
      </c>
      <c r="AO52" s="58"/>
      <c r="AP52" s="57"/>
    </row>
    <row r="53" spans="1:42" s="20" customFormat="1" ht="14.25" customHeight="1" x14ac:dyDescent="0.25">
      <c r="A53" s="43">
        <v>46039</v>
      </c>
      <c r="B53" s="43"/>
      <c r="C53" s="13" t="s">
        <v>52</v>
      </c>
      <c r="D53" s="14" t="s">
        <v>53</v>
      </c>
      <c r="E53" s="98">
        <v>6971</v>
      </c>
      <c r="F53" s="44" t="s">
        <v>54</v>
      </c>
      <c r="G53" s="23" t="s">
        <v>173</v>
      </c>
      <c r="H53" s="2" t="s">
        <v>174</v>
      </c>
      <c r="I53" s="45"/>
      <c r="J53" s="57"/>
      <c r="K53" s="53">
        <v>0</v>
      </c>
      <c r="L53" s="57"/>
      <c r="M53" s="57"/>
      <c r="N53" s="57"/>
      <c r="O53" s="57"/>
      <c r="P53" s="53">
        <f t="shared" si="0"/>
        <v>0</v>
      </c>
      <c r="Q53" s="75"/>
      <c r="R53" s="56"/>
      <c r="S53" s="58"/>
      <c r="T53" s="58"/>
      <c r="U53" s="58"/>
      <c r="V53" s="44" t="s">
        <v>47</v>
      </c>
      <c r="W53" s="57"/>
      <c r="X53" s="56">
        <v>46039</v>
      </c>
      <c r="Y53" s="44" t="s">
        <v>61</v>
      </c>
      <c r="Z53" s="58"/>
      <c r="AA53" s="58"/>
      <c r="AB53" s="44" t="s">
        <v>49</v>
      </c>
      <c r="AC53" s="58"/>
      <c r="AD53" s="44" t="s">
        <v>48</v>
      </c>
      <c r="AE53" s="59"/>
      <c r="AF53" s="57"/>
      <c r="AG53" s="57"/>
      <c r="AH53" s="58"/>
      <c r="AI53" s="58"/>
      <c r="AJ53" s="56"/>
      <c r="AK53" s="58"/>
      <c r="AL53" s="52">
        <v>18</v>
      </c>
      <c r="AM53" s="47" t="s">
        <v>64</v>
      </c>
      <c r="AN53" s="44" t="s">
        <v>51</v>
      </c>
      <c r="AO53" s="58"/>
      <c r="AP53" s="57"/>
    </row>
    <row r="54" spans="1:42" s="20" customFormat="1" ht="14.25" customHeight="1" x14ac:dyDescent="0.25">
      <c r="A54" s="43">
        <v>46041</v>
      </c>
      <c r="B54" s="43"/>
      <c r="C54" s="13" t="s">
        <v>52</v>
      </c>
      <c r="D54" s="14" t="s">
        <v>53</v>
      </c>
      <c r="E54" s="98">
        <v>6972</v>
      </c>
      <c r="F54" s="44" t="s">
        <v>54</v>
      </c>
      <c r="G54" s="23" t="s">
        <v>175</v>
      </c>
      <c r="H54" s="2" t="s">
        <v>176</v>
      </c>
      <c r="I54" s="57"/>
      <c r="J54" s="96"/>
      <c r="K54" s="53">
        <v>6230</v>
      </c>
      <c r="L54" s="57"/>
      <c r="M54" s="57"/>
      <c r="N54" s="57"/>
      <c r="O54" s="57"/>
      <c r="P54" s="53">
        <f t="shared" si="0"/>
        <v>6230</v>
      </c>
      <c r="Q54" s="75"/>
      <c r="R54" s="56"/>
      <c r="S54" s="58"/>
      <c r="T54" s="58"/>
      <c r="U54" s="58"/>
      <c r="V54" s="44" t="s">
        <v>47</v>
      </c>
      <c r="W54" s="57"/>
      <c r="X54" s="56">
        <v>46041</v>
      </c>
      <c r="Y54" s="44" t="s">
        <v>63</v>
      </c>
      <c r="Z54" s="58"/>
      <c r="AA54" s="58"/>
      <c r="AB54" s="44" t="s">
        <v>49</v>
      </c>
      <c r="AC54" s="58"/>
      <c r="AD54" s="44" t="s">
        <v>48</v>
      </c>
      <c r="AE54" s="59"/>
      <c r="AF54" s="57"/>
      <c r="AG54" s="57"/>
      <c r="AH54" s="58"/>
      <c r="AI54" s="58"/>
      <c r="AJ54" s="56"/>
      <c r="AK54" s="58"/>
      <c r="AL54" s="52">
        <v>18</v>
      </c>
      <c r="AM54" s="47" t="s">
        <v>50</v>
      </c>
      <c r="AN54" s="44" t="s">
        <v>51</v>
      </c>
      <c r="AO54" s="58"/>
      <c r="AP54" s="57"/>
    </row>
    <row r="55" spans="1:42" s="20" customFormat="1" ht="14.25" customHeight="1" x14ac:dyDescent="0.25">
      <c r="A55" s="43">
        <v>46041</v>
      </c>
      <c r="B55" s="43"/>
      <c r="C55" s="13" t="s">
        <v>52</v>
      </c>
      <c r="D55" s="14" t="s">
        <v>53</v>
      </c>
      <c r="E55" s="98">
        <v>6973</v>
      </c>
      <c r="F55" s="44" t="s">
        <v>54</v>
      </c>
      <c r="G55" s="23" t="s">
        <v>175</v>
      </c>
      <c r="H55" s="2" t="s">
        <v>176</v>
      </c>
      <c r="I55" s="57"/>
      <c r="J55" s="57"/>
      <c r="K55" s="53">
        <v>0</v>
      </c>
      <c r="L55" s="57"/>
      <c r="M55" s="57"/>
      <c r="N55" s="57"/>
      <c r="O55" s="57"/>
      <c r="P55" s="53">
        <f t="shared" si="0"/>
        <v>0</v>
      </c>
      <c r="Q55" s="75"/>
      <c r="R55" s="56"/>
      <c r="S55" s="58"/>
      <c r="T55" s="58"/>
      <c r="U55" s="58"/>
      <c r="V55" s="44" t="s">
        <v>47</v>
      </c>
      <c r="W55" s="57"/>
      <c r="X55" s="56">
        <v>46041</v>
      </c>
      <c r="Y55" s="44" t="s">
        <v>61</v>
      </c>
      <c r="Z55" s="58"/>
      <c r="AA55" s="58"/>
      <c r="AB55" s="44" t="s">
        <v>49</v>
      </c>
      <c r="AC55" s="58"/>
      <c r="AD55" s="44" t="s">
        <v>48</v>
      </c>
      <c r="AE55" s="59"/>
      <c r="AF55" s="57"/>
      <c r="AG55" s="57"/>
      <c r="AH55" s="58"/>
      <c r="AI55" s="58"/>
      <c r="AJ55" s="56"/>
      <c r="AK55" s="58"/>
      <c r="AL55" s="52">
        <v>18</v>
      </c>
      <c r="AM55" s="47" t="s">
        <v>64</v>
      </c>
      <c r="AN55" s="44" t="s">
        <v>51</v>
      </c>
      <c r="AO55" s="58"/>
      <c r="AP55" s="57"/>
    </row>
    <row r="56" spans="1:42" s="20" customFormat="1" ht="14.25" customHeight="1" x14ac:dyDescent="0.25">
      <c r="A56" s="43">
        <v>46041</v>
      </c>
      <c r="B56" s="43"/>
      <c r="C56" s="13" t="s">
        <v>52</v>
      </c>
      <c r="D56" s="14" t="s">
        <v>53</v>
      </c>
      <c r="E56" s="98">
        <v>6974</v>
      </c>
      <c r="F56" s="44" t="s">
        <v>54</v>
      </c>
      <c r="G56" s="23" t="s">
        <v>114</v>
      </c>
      <c r="H56" s="2" t="s">
        <v>115</v>
      </c>
      <c r="I56" s="57"/>
      <c r="J56" s="57"/>
      <c r="K56" s="53">
        <v>0</v>
      </c>
      <c r="L56" s="57"/>
      <c r="M56" s="57"/>
      <c r="N56" s="57"/>
      <c r="O56" s="57"/>
      <c r="P56" s="53">
        <f t="shared" si="0"/>
        <v>0</v>
      </c>
      <c r="Q56" s="75"/>
      <c r="R56" s="56"/>
      <c r="S56" s="58"/>
      <c r="T56" s="58"/>
      <c r="U56" s="58"/>
      <c r="V56" s="44" t="s">
        <v>47</v>
      </c>
      <c r="W56" s="57"/>
      <c r="X56" s="56">
        <v>46041</v>
      </c>
      <c r="Y56" s="44" t="s">
        <v>61</v>
      </c>
      <c r="Z56" s="58"/>
      <c r="AA56" s="58"/>
      <c r="AB56" s="44" t="s">
        <v>49</v>
      </c>
      <c r="AC56" s="58"/>
      <c r="AD56" s="44" t="s">
        <v>48</v>
      </c>
      <c r="AE56" s="59"/>
      <c r="AF56" s="57"/>
      <c r="AG56" s="57"/>
      <c r="AH56" s="58"/>
      <c r="AI56" s="58"/>
      <c r="AJ56" s="56"/>
      <c r="AK56" s="58"/>
      <c r="AL56" s="52">
        <v>18</v>
      </c>
      <c r="AM56" s="47" t="s">
        <v>64</v>
      </c>
      <c r="AN56" s="44" t="s">
        <v>51</v>
      </c>
      <c r="AO56" s="58"/>
      <c r="AP56" s="57"/>
    </row>
    <row r="57" spans="1:42" s="20" customFormat="1" ht="14.25" customHeight="1" x14ac:dyDescent="0.25">
      <c r="A57" s="43">
        <v>46041</v>
      </c>
      <c r="B57" s="43"/>
      <c r="C57" s="13" t="s">
        <v>52</v>
      </c>
      <c r="D57" s="14" t="s">
        <v>53</v>
      </c>
      <c r="E57" s="98">
        <v>6975</v>
      </c>
      <c r="F57" s="44" t="s">
        <v>54</v>
      </c>
      <c r="G57" s="23" t="s">
        <v>177</v>
      </c>
      <c r="H57" s="2" t="s">
        <v>178</v>
      </c>
      <c r="I57" s="57"/>
      <c r="J57" s="57"/>
      <c r="K57" s="53">
        <v>6830</v>
      </c>
      <c r="L57" s="57"/>
      <c r="M57" s="57"/>
      <c r="N57" s="57"/>
      <c r="O57" s="57"/>
      <c r="P57" s="53">
        <f t="shared" si="0"/>
        <v>6830</v>
      </c>
      <c r="Q57" s="75"/>
      <c r="R57" s="56"/>
      <c r="S57" s="58"/>
      <c r="T57" s="58"/>
      <c r="U57" s="58"/>
      <c r="V57" s="44" t="s">
        <v>47</v>
      </c>
      <c r="W57" s="57"/>
      <c r="X57" s="56">
        <v>46041</v>
      </c>
      <c r="Y57" s="44" t="s">
        <v>63</v>
      </c>
      <c r="Z57" s="58"/>
      <c r="AA57" s="58"/>
      <c r="AB57" s="44" t="s">
        <v>49</v>
      </c>
      <c r="AC57" s="58"/>
      <c r="AD57" s="44" t="s">
        <v>48</v>
      </c>
      <c r="AE57" s="59"/>
      <c r="AF57" s="57"/>
      <c r="AG57" s="57"/>
      <c r="AH57" s="58"/>
      <c r="AI57" s="58"/>
      <c r="AJ57" s="56"/>
      <c r="AK57" s="58"/>
      <c r="AL57" s="52">
        <v>18</v>
      </c>
      <c r="AM57" s="47" t="s">
        <v>50</v>
      </c>
      <c r="AN57" s="44" t="s">
        <v>51</v>
      </c>
      <c r="AO57" s="58"/>
      <c r="AP57" s="57"/>
    </row>
    <row r="58" spans="1:42" s="20" customFormat="1" ht="14.25" customHeight="1" x14ac:dyDescent="0.25">
      <c r="A58" s="43">
        <v>46042</v>
      </c>
      <c r="B58" s="43"/>
      <c r="C58" s="13" t="s">
        <v>52</v>
      </c>
      <c r="D58" s="14" t="s">
        <v>53</v>
      </c>
      <c r="E58" s="98">
        <v>6976</v>
      </c>
      <c r="F58" s="44" t="s">
        <v>54</v>
      </c>
      <c r="G58" s="23" t="s">
        <v>179</v>
      </c>
      <c r="H58" s="2" t="s">
        <v>296</v>
      </c>
      <c r="I58" s="57"/>
      <c r="J58" s="57"/>
      <c r="K58" s="53">
        <v>6680</v>
      </c>
      <c r="L58" s="57"/>
      <c r="M58" s="57"/>
      <c r="N58" s="57"/>
      <c r="O58" s="57"/>
      <c r="P58" s="53">
        <f t="shared" si="0"/>
        <v>6680</v>
      </c>
      <c r="Q58" s="75"/>
      <c r="R58" s="56"/>
      <c r="S58" s="58"/>
      <c r="T58" s="58"/>
      <c r="U58" s="58"/>
      <c r="V58" s="44" t="s">
        <v>47</v>
      </c>
      <c r="W58" s="57"/>
      <c r="X58" s="56">
        <v>46042</v>
      </c>
      <c r="Y58" s="44" t="s">
        <v>63</v>
      </c>
      <c r="Z58" s="58"/>
      <c r="AA58" s="58"/>
      <c r="AB58" s="44" t="s">
        <v>49</v>
      </c>
      <c r="AC58" s="58"/>
      <c r="AD58" s="44" t="s">
        <v>48</v>
      </c>
      <c r="AE58" s="59"/>
      <c r="AF58" s="57"/>
      <c r="AG58" s="57"/>
      <c r="AH58" s="58"/>
      <c r="AI58" s="58"/>
      <c r="AJ58" s="56"/>
      <c r="AK58" s="58"/>
      <c r="AL58" s="52">
        <v>18</v>
      </c>
      <c r="AM58" s="47" t="s">
        <v>50</v>
      </c>
      <c r="AN58" s="44" t="s">
        <v>51</v>
      </c>
      <c r="AO58" s="58"/>
      <c r="AP58" s="57"/>
    </row>
    <row r="59" spans="1:42" s="20" customFormat="1" ht="14.25" customHeight="1" x14ac:dyDescent="0.25">
      <c r="A59" s="43">
        <v>46042</v>
      </c>
      <c r="B59" s="43"/>
      <c r="C59" s="13" t="s">
        <v>52</v>
      </c>
      <c r="D59" s="14" t="s">
        <v>53</v>
      </c>
      <c r="E59" s="98">
        <v>6977</v>
      </c>
      <c r="F59" s="44" t="s">
        <v>54</v>
      </c>
      <c r="G59" s="23" t="s">
        <v>180</v>
      </c>
      <c r="H59" s="2" t="s">
        <v>181</v>
      </c>
      <c r="I59" s="57"/>
      <c r="J59" s="57"/>
      <c r="K59" s="53">
        <v>6280</v>
      </c>
      <c r="L59" s="57"/>
      <c r="M59" s="57"/>
      <c r="N59" s="57"/>
      <c r="O59" s="57"/>
      <c r="P59" s="53">
        <f t="shared" si="0"/>
        <v>6280</v>
      </c>
      <c r="Q59" s="75"/>
      <c r="R59" s="56"/>
      <c r="S59" s="58"/>
      <c r="T59" s="58"/>
      <c r="U59" s="58"/>
      <c r="V59" s="44" t="s">
        <v>47</v>
      </c>
      <c r="W59" s="57"/>
      <c r="X59" s="56">
        <v>46042</v>
      </c>
      <c r="Y59" s="44" t="s">
        <v>63</v>
      </c>
      <c r="Z59" s="58"/>
      <c r="AA59" s="58"/>
      <c r="AB59" s="44" t="s">
        <v>49</v>
      </c>
      <c r="AC59" s="58"/>
      <c r="AD59" s="44" t="s">
        <v>48</v>
      </c>
      <c r="AE59" s="59"/>
      <c r="AF59" s="57"/>
      <c r="AG59" s="57"/>
      <c r="AH59" s="58"/>
      <c r="AI59" s="58"/>
      <c r="AJ59" s="56"/>
      <c r="AK59" s="58"/>
      <c r="AL59" s="52">
        <v>18</v>
      </c>
      <c r="AM59" s="47" t="s">
        <v>50</v>
      </c>
      <c r="AN59" s="44" t="s">
        <v>51</v>
      </c>
      <c r="AO59" s="58"/>
      <c r="AP59" s="57"/>
    </row>
    <row r="60" spans="1:42" s="20" customFormat="1" ht="14.25" customHeight="1" x14ac:dyDescent="0.25">
      <c r="A60" s="43">
        <v>46042</v>
      </c>
      <c r="B60" s="43"/>
      <c r="C60" s="21" t="s">
        <v>52</v>
      </c>
      <c r="D60" s="14" t="s">
        <v>53</v>
      </c>
      <c r="E60" s="98">
        <v>6978</v>
      </c>
      <c r="F60" s="46" t="s">
        <v>54</v>
      </c>
      <c r="G60" s="23" t="s">
        <v>180</v>
      </c>
      <c r="H60" s="2" t="s">
        <v>181</v>
      </c>
      <c r="I60" s="45"/>
      <c r="J60" s="45"/>
      <c r="K60" s="53">
        <v>0</v>
      </c>
      <c r="L60" s="45"/>
      <c r="M60" s="45"/>
      <c r="N60" s="45"/>
      <c r="O60" s="45"/>
      <c r="P60" s="53">
        <f t="shared" si="0"/>
        <v>0</v>
      </c>
      <c r="Q60" s="75"/>
      <c r="R60" s="56"/>
      <c r="S60" s="58"/>
      <c r="T60" s="58"/>
      <c r="U60" s="58"/>
      <c r="V60" s="44" t="s">
        <v>47</v>
      </c>
      <c r="W60" s="57"/>
      <c r="X60" s="56">
        <v>46042</v>
      </c>
      <c r="Y60" s="44" t="s">
        <v>61</v>
      </c>
      <c r="Z60" s="58"/>
      <c r="AA60" s="58"/>
      <c r="AB60" s="44" t="s">
        <v>49</v>
      </c>
      <c r="AC60" s="58"/>
      <c r="AD60" s="44" t="s">
        <v>48</v>
      </c>
      <c r="AE60" s="59"/>
      <c r="AF60" s="57"/>
      <c r="AG60" s="57"/>
      <c r="AH60" s="58"/>
      <c r="AI60" s="58"/>
      <c r="AJ60" s="56"/>
      <c r="AK60" s="58"/>
      <c r="AL60" s="52">
        <v>18</v>
      </c>
      <c r="AM60" s="47" t="s">
        <v>64</v>
      </c>
      <c r="AN60" s="44" t="s">
        <v>51</v>
      </c>
      <c r="AO60" s="58"/>
      <c r="AP60" s="57"/>
    </row>
    <row r="61" spans="1:42" s="20" customFormat="1" ht="14.25" customHeight="1" x14ac:dyDescent="0.25">
      <c r="A61" s="43">
        <v>46042</v>
      </c>
      <c r="B61" s="43"/>
      <c r="C61" s="21" t="s">
        <v>52</v>
      </c>
      <c r="D61" s="14" t="s">
        <v>53</v>
      </c>
      <c r="E61" s="98">
        <v>6979</v>
      </c>
      <c r="F61" s="44" t="s">
        <v>54</v>
      </c>
      <c r="G61" s="23" t="s">
        <v>182</v>
      </c>
      <c r="H61" s="2" t="s">
        <v>183</v>
      </c>
      <c r="I61" s="45"/>
      <c r="J61" s="45"/>
      <c r="K61" s="53">
        <v>12080</v>
      </c>
      <c r="L61" s="45"/>
      <c r="M61" s="45"/>
      <c r="N61" s="45"/>
      <c r="O61" s="45"/>
      <c r="P61" s="53">
        <f t="shared" si="0"/>
        <v>12080</v>
      </c>
      <c r="Q61" s="75"/>
      <c r="R61" s="56"/>
      <c r="S61" s="58"/>
      <c r="T61" s="58"/>
      <c r="U61" s="58"/>
      <c r="V61" s="44" t="s">
        <v>47</v>
      </c>
      <c r="W61" s="57"/>
      <c r="X61" s="56">
        <v>46042</v>
      </c>
      <c r="Y61" s="44" t="s">
        <v>63</v>
      </c>
      <c r="Z61" s="58"/>
      <c r="AA61" s="58"/>
      <c r="AB61" s="44" t="s">
        <v>49</v>
      </c>
      <c r="AC61" s="58"/>
      <c r="AD61" s="44" t="s">
        <v>48</v>
      </c>
      <c r="AE61" s="59"/>
      <c r="AF61" s="57"/>
      <c r="AG61" s="57"/>
      <c r="AH61" s="58"/>
      <c r="AI61" s="58"/>
      <c r="AJ61" s="56"/>
      <c r="AK61" s="58"/>
      <c r="AL61" s="52">
        <v>18</v>
      </c>
      <c r="AM61" s="47" t="s">
        <v>50</v>
      </c>
      <c r="AN61" s="44" t="s">
        <v>51</v>
      </c>
      <c r="AO61" s="58"/>
      <c r="AP61" s="57"/>
    </row>
    <row r="62" spans="1:42" s="20" customFormat="1" ht="14.25" customHeight="1" x14ac:dyDescent="0.25">
      <c r="A62" s="43">
        <v>46042</v>
      </c>
      <c r="B62" s="43"/>
      <c r="C62" s="21" t="s">
        <v>52</v>
      </c>
      <c r="D62" s="14" t="s">
        <v>53</v>
      </c>
      <c r="E62" s="98">
        <v>6980</v>
      </c>
      <c r="F62" s="46" t="s">
        <v>54</v>
      </c>
      <c r="G62" s="23" t="s">
        <v>182</v>
      </c>
      <c r="H62" s="2" t="s">
        <v>183</v>
      </c>
      <c r="I62" s="45"/>
      <c r="J62" s="45"/>
      <c r="K62" s="53">
        <v>0</v>
      </c>
      <c r="L62" s="45"/>
      <c r="M62" s="45"/>
      <c r="N62" s="45"/>
      <c r="O62" s="45"/>
      <c r="P62" s="53">
        <f t="shared" si="0"/>
        <v>0</v>
      </c>
      <c r="Q62" s="75"/>
      <c r="R62" s="56"/>
      <c r="S62" s="58"/>
      <c r="T62" s="58"/>
      <c r="U62" s="58"/>
      <c r="V62" s="44" t="s">
        <v>47</v>
      </c>
      <c r="W62" s="57"/>
      <c r="X62" s="56">
        <v>46042</v>
      </c>
      <c r="Y62" s="44" t="s">
        <v>61</v>
      </c>
      <c r="Z62" s="58"/>
      <c r="AA62" s="58"/>
      <c r="AB62" s="44" t="s">
        <v>49</v>
      </c>
      <c r="AC62" s="58"/>
      <c r="AD62" s="44" t="s">
        <v>48</v>
      </c>
      <c r="AE62" s="59"/>
      <c r="AF62" s="57"/>
      <c r="AG62" s="57"/>
      <c r="AH62" s="58"/>
      <c r="AI62" s="58"/>
      <c r="AJ62" s="56"/>
      <c r="AK62" s="58"/>
      <c r="AL62" s="52">
        <v>18</v>
      </c>
      <c r="AM62" s="47" t="s">
        <v>64</v>
      </c>
      <c r="AN62" s="44" t="s">
        <v>51</v>
      </c>
      <c r="AO62" s="58"/>
      <c r="AP62" s="57"/>
    </row>
    <row r="63" spans="1:42" s="20" customFormat="1" ht="14.25" customHeight="1" x14ac:dyDescent="0.25">
      <c r="A63" s="43">
        <v>46044</v>
      </c>
      <c r="B63" s="97"/>
      <c r="C63" s="21" t="s">
        <v>52</v>
      </c>
      <c r="D63" s="14" t="s">
        <v>53</v>
      </c>
      <c r="E63" s="98">
        <v>6981</v>
      </c>
      <c r="F63" s="44" t="s">
        <v>54</v>
      </c>
      <c r="G63" s="23" t="s">
        <v>184</v>
      </c>
      <c r="H63" s="2" t="s">
        <v>185</v>
      </c>
      <c r="I63" s="45"/>
      <c r="J63" s="45"/>
      <c r="K63" s="53">
        <v>5380</v>
      </c>
      <c r="L63" s="45"/>
      <c r="M63" s="45"/>
      <c r="N63" s="45"/>
      <c r="O63" s="45"/>
      <c r="P63" s="53">
        <f t="shared" si="0"/>
        <v>5380</v>
      </c>
      <c r="Q63" s="75"/>
      <c r="R63" s="56"/>
      <c r="S63" s="58"/>
      <c r="T63" s="58"/>
      <c r="U63" s="58"/>
      <c r="V63" s="44" t="s">
        <v>47</v>
      </c>
      <c r="W63" s="57"/>
      <c r="X63" s="56">
        <v>46044</v>
      </c>
      <c r="Y63" s="44" t="s">
        <v>63</v>
      </c>
      <c r="Z63" s="58"/>
      <c r="AA63" s="58"/>
      <c r="AB63" s="44" t="s">
        <v>49</v>
      </c>
      <c r="AC63" s="58"/>
      <c r="AD63" s="44" t="s">
        <v>48</v>
      </c>
      <c r="AE63" s="59"/>
      <c r="AF63" s="57"/>
      <c r="AG63" s="57"/>
      <c r="AH63" s="58"/>
      <c r="AI63" s="58"/>
      <c r="AJ63" s="56"/>
      <c r="AK63" s="58"/>
      <c r="AL63" s="52">
        <v>18</v>
      </c>
      <c r="AM63" s="47" t="s">
        <v>50</v>
      </c>
      <c r="AN63" s="44" t="s">
        <v>51</v>
      </c>
      <c r="AO63" s="58"/>
      <c r="AP63" s="57"/>
    </row>
    <row r="64" spans="1:42" s="20" customFormat="1" ht="14.25" customHeight="1" x14ac:dyDescent="0.25">
      <c r="A64" s="43">
        <v>46044</v>
      </c>
      <c r="B64" s="43"/>
      <c r="C64" s="21" t="s">
        <v>52</v>
      </c>
      <c r="D64" s="14" t="s">
        <v>53</v>
      </c>
      <c r="E64" s="98">
        <v>6982</v>
      </c>
      <c r="F64" s="46" t="s">
        <v>54</v>
      </c>
      <c r="G64" s="23" t="s">
        <v>184</v>
      </c>
      <c r="H64" s="2" t="s">
        <v>185</v>
      </c>
      <c r="I64" s="45"/>
      <c r="J64" s="45"/>
      <c r="K64" s="53">
        <v>0</v>
      </c>
      <c r="L64" s="45"/>
      <c r="M64" s="45"/>
      <c r="N64" s="45"/>
      <c r="O64" s="45"/>
      <c r="P64" s="53">
        <f t="shared" si="0"/>
        <v>0</v>
      </c>
      <c r="Q64" s="75"/>
      <c r="R64" s="56"/>
      <c r="S64" s="58"/>
      <c r="T64" s="58"/>
      <c r="U64" s="58"/>
      <c r="V64" s="44" t="s">
        <v>47</v>
      </c>
      <c r="W64" s="57"/>
      <c r="X64" s="56">
        <v>46044</v>
      </c>
      <c r="Y64" s="44" t="s">
        <v>61</v>
      </c>
      <c r="Z64" s="58"/>
      <c r="AA64" s="58"/>
      <c r="AB64" s="44" t="s">
        <v>49</v>
      </c>
      <c r="AC64" s="58"/>
      <c r="AD64" s="44" t="s">
        <v>48</v>
      </c>
      <c r="AE64" s="59"/>
      <c r="AF64" s="57"/>
      <c r="AG64" s="57"/>
      <c r="AH64" s="58"/>
      <c r="AI64" s="58"/>
      <c r="AJ64" s="56"/>
      <c r="AK64" s="58"/>
      <c r="AL64" s="52">
        <v>18</v>
      </c>
      <c r="AM64" s="47" t="s">
        <v>64</v>
      </c>
      <c r="AN64" s="44" t="s">
        <v>51</v>
      </c>
      <c r="AO64" s="58"/>
      <c r="AP64" s="57"/>
    </row>
    <row r="65" spans="1:42" s="20" customFormat="1" ht="14.25" customHeight="1" x14ac:dyDescent="0.25">
      <c r="A65" s="43">
        <v>46045</v>
      </c>
      <c r="B65" s="43"/>
      <c r="C65" s="21" t="s">
        <v>52</v>
      </c>
      <c r="D65" s="14" t="s">
        <v>53</v>
      </c>
      <c r="E65" s="98">
        <v>6983</v>
      </c>
      <c r="F65" s="46" t="s">
        <v>54</v>
      </c>
      <c r="G65" s="23" t="s">
        <v>136</v>
      </c>
      <c r="H65" s="2" t="s">
        <v>137</v>
      </c>
      <c r="I65" s="45"/>
      <c r="J65" s="45"/>
      <c r="K65" s="53">
        <v>0</v>
      </c>
      <c r="L65" s="45"/>
      <c r="M65" s="45"/>
      <c r="N65" s="45"/>
      <c r="O65" s="45"/>
      <c r="P65" s="53">
        <f t="shared" si="0"/>
        <v>0</v>
      </c>
      <c r="Q65" s="75"/>
      <c r="R65" s="56"/>
      <c r="S65" s="58"/>
      <c r="T65" s="58"/>
      <c r="U65" s="58"/>
      <c r="V65" s="44" t="s">
        <v>47</v>
      </c>
      <c r="W65" s="57"/>
      <c r="X65" s="56">
        <v>46045</v>
      </c>
      <c r="Y65" s="44" t="s">
        <v>61</v>
      </c>
      <c r="Z65" s="58"/>
      <c r="AA65" s="58"/>
      <c r="AB65" s="44" t="s">
        <v>49</v>
      </c>
      <c r="AC65" s="58"/>
      <c r="AD65" s="44" t="s">
        <v>48</v>
      </c>
      <c r="AE65" s="59"/>
      <c r="AF65" s="57"/>
      <c r="AG65" s="57"/>
      <c r="AH65" s="58"/>
      <c r="AI65" s="58"/>
      <c r="AJ65" s="56"/>
      <c r="AK65" s="58"/>
      <c r="AL65" s="52">
        <v>18</v>
      </c>
      <c r="AM65" s="47" t="s">
        <v>64</v>
      </c>
      <c r="AN65" s="44" t="s">
        <v>51</v>
      </c>
      <c r="AO65" s="58"/>
      <c r="AP65" s="57"/>
    </row>
    <row r="66" spans="1:42" s="20" customFormat="1" ht="14.25" customHeight="1" x14ac:dyDescent="0.25">
      <c r="A66" s="43">
        <v>46045</v>
      </c>
      <c r="B66" s="43"/>
      <c r="C66" s="21" t="s">
        <v>52</v>
      </c>
      <c r="D66" s="14" t="s">
        <v>53</v>
      </c>
      <c r="E66" s="98">
        <v>6984</v>
      </c>
      <c r="F66" s="44" t="s">
        <v>54</v>
      </c>
      <c r="G66" s="23" t="s">
        <v>186</v>
      </c>
      <c r="H66" s="2" t="s">
        <v>187</v>
      </c>
      <c r="I66" s="45"/>
      <c r="J66" s="45"/>
      <c r="K66" s="53">
        <v>6280</v>
      </c>
      <c r="L66" s="45"/>
      <c r="M66" s="45"/>
      <c r="N66" s="45"/>
      <c r="O66" s="45"/>
      <c r="P66" s="53">
        <f t="shared" si="0"/>
        <v>6280</v>
      </c>
      <c r="Q66" s="75"/>
      <c r="R66" s="56"/>
      <c r="S66" s="58"/>
      <c r="T66" s="58"/>
      <c r="U66" s="58"/>
      <c r="V66" s="44" t="s">
        <v>47</v>
      </c>
      <c r="W66" s="57"/>
      <c r="X66" s="56">
        <v>46045</v>
      </c>
      <c r="Y66" s="44" t="s">
        <v>63</v>
      </c>
      <c r="Z66" s="58"/>
      <c r="AA66" s="58"/>
      <c r="AB66" s="44" t="s">
        <v>49</v>
      </c>
      <c r="AC66" s="58"/>
      <c r="AD66" s="44" t="s">
        <v>48</v>
      </c>
      <c r="AE66" s="59"/>
      <c r="AF66" s="57"/>
      <c r="AG66" s="57"/>
      <c r="AH66" s="58"/>
      <c r="AI66" s="58"/>
      <c r="AJ66" s="56"/>
      <c r="AK66" s="58"/>
      <c r="AL66" s="52">
        <v>18</v>
      </c>
      <c r="AM66" s="47" t="s">
        <v>50</v>
      </c>
      <c r="AN66" s="44" t="s">
        <v>51</v>
      </c>
      <c r="AO66" s="58"/>
      <c r="AP66" s="57"/>
    </row>
    <row r="67" spans="1:42" s="20" customFormat="1" ht="14.25" customHeight="1" x14ac:dyDescent="0.25">
      <c r="A67" s="43">
        <v>46045</v>
      </c>
      <c r="B67" s="43"/>
      <c r="C67" s="21" t="s">
        <v>52</v>
      </c>
      <c r="D67" s="14" t="s">
        <v>53</v>
      </c>
      <c r="E67" s="98">
        <v>6985</v>
      </c>
      <c r="F67" s="46" t="s">
        <v>54</v>
      </c>
      <c r="G67" s="23" t="s">
        <v>186</v>
      </c>
      <c r="H67" s="2" t="s">
        <v>187</v>
      </c>
      <c r="I67" s="45"/>
      <c r="J67" s="45"/>
      <c r="K67" s="53">
        <v>0</v>
      </c>
      <c r="L67" s="45"/>
      <c r="M67" s="45"/>
      <c r="N67" s="45"/>
      <c r="O67" s="45"/>
      <c r="P67" s="53">
        <f t="shared" si="0"/>
        <v>0</v>
      </c>
      <c r="Q67" s="75"/>
      <c r="R67" s="56"/>
      <c r="S67" s="58"/>
      <c r="T67" s="58"/>
      <c r="U67" s="58"/>
      <c r="V67" s="44" t="s">
        <v>47</v>
      </c>
      <c r="W67" s="57"/>
      <c r="X67" s="56">
        <v>46045</v>
      </c>
      <c r="Y67" s="44" t="s">
        <v>61</v>
      </c>
      <c r="Z67" s="58"/>
      <c r="AA67" s="58"/>
      <c r="AB67" s="44" t="s">
        <v>49</v>
      </c>
      <c r="AC67" s="58"/>
      <c r="AD67" s="44" t="s">
        <v>48</v>
      </c>
      <c r="AE67" s="59"/>
      <c r="AF67" s="57"/>
      <c r="AG67" s="57"/>
      <c r="AH67" s="58"/>
      <c r="AI67" s="58"/>
      <c r="AJ67" s="56"/>
      <c r="AK67" s="58"/>
      <c r="AL67" s="52">
        <v>18</v>
      </c>
      <c r="AM67" s="47" t="s">
        <v>64</v>
      </c>
      <c r="AN67" s="44" t="s">
        <v>51</v>
      </c>
      <c r="AO67" s="58"/>
      <c r="AP67" s="57"/>
    </row>
    <row r="68" spans="1:42" s="20" customFormat="1" ht="14.25" customHeight="1" x14ac:dyDescent="0.25">
      <c r="A68" s="43">
        <v>46045</v>
      </c>
      <c r="B68" s="97"/>
      <c r="C68" s="21" t="s">
        <v>52</v>
      </c>
      <c r="D68" s="14" t="s">
        <v>53</v>
      </c>
      <c r="E68" s="98">
        <v>6986</v>
      </c>
      <c r="F68" s="44" t="s">
        <v>54</v>
      </c>
      <c r="G68" s="23" t="s">
        <v>188</v>
      </c>
      <c r="H68" s="2" t="s">
        <v>295</v>
      </c>
      <c r="I68" s="45"/>
      <c r="J68" s="45"/>
      <c r="K68" s="53">
        <v>5130</v>
      </c>
      <c r="L68" s="45"/>
      <c r="M68" s="45"/>
      <c r="N68" s="45"/>
      <c r="O68" s="45"/>
      <c r="P68" s="53">
        <f t="shared" si="0"/>
        <v>5130</v>
      </c>
      <c r="Q68" s="75"/>
      <c r="R68" s="56"/>
      <c r="S68" s="58"/>
      <c r="T68" s="58"/>
      <c r="U68" s="58"/>
      <c r="V68" s="44" t="s">
        <v>47</v>
      </c>
      <c r="W68" s="57"/>
      <c r="X68" s="56">
        <v>46045</v>
      </c>
      <c r="Y68" s="44" t="s">
        <v>63</v>
      </c>
      <c r="Z68" s="58"/>
      <c r="AA68" s="58"/>
      <c r="AB68" s="44" t="s">
        <v>49</v>
      </c>
      <c r="AC68" s="58"/>
      <c r="AD68" s="44" t="s">
        <v>48</v>
      </c>
      <c r="AE68" s="59"/>
      <c r="AF68" s="57"/>
      <c r="AG68" s="57"/>
      <c r="AH68" s="58"/>
      <c r="AI68" s="58"/>
      <c r="AJ68" s="56"/>
      <c r="AK68" s="58"/>
      <c r="AL68" s="52">
        <v>18</v>
      </c>
      <c r="AM68" s="47" t="s">
        <v>50</v>
      </c>
      <c r="AN68" s="44" t="s">
        <v>51</v>
      </c>
      <c r="AO68" s="58"/>
      <c r="AP68" s="57"/>
    </row>
    <row r="69" spans="1:42" s="20" customFormat="1" ht="15" customHeight="1" x14ac:dyDescent="0.25">
      <c r="A69" s="43">
        <v>46045</v>
      </c>
      <c r="B69" s="43"/>
      <c r="C69" s="21" t="s">
        <v>52</v>
      </c>
      <c r="D69" s="14" t="s">
        <v>53</v>
      </c>
      <c r="E69" s="98">
        <v>6987</v>
      </c>
      <c r="F69" s="46" t="s">
        <v>54</v>
      </c>
      <c r="G69" s="23" t="s">
        <v>188</v>
      </c>
      <c r="H69" s="2" t="s">
        <v>295</v>
      </c>
      <c r="I69" s="45"/>
      <c r="J69" s="45"/>
      <c r="K69" s="53">
        <v>0</v>
      </c>
      <c r="L69" s="45"/>
      <c r="M69" s="45"/>
      <c r="N69" s="45"/>
      <c r="O69" s="54"/>
      <c r="P69" s="53">
        <f t="shared" si="0"/>
        <v>0</v>
      </c>
      <c r="Q69" s="76"/>
      <c r="R69" s="58"/>
      <c r="S69" s="58"/>
      <c r="T69" s="44"/>
      <c r="U69" s="57"/>
      <c r="V69" s="44" t="s">
        <v>47</v>
      </c>
      <c r="W69" s="58"/>
      <c r="X69" s="56">
        <v>46045</v>
      </c>
      <c r="Y69" s="44" t="s">
        <v>61</v>
      </c>
      <c r="Z69" s="58"/>
      <c r="AA69" s="58"/>
      <c r="AB69" s="44" t="s">
        <v>49</v>
      </c>
      <c r="AC69" s="58"/>
      <c r="AD69" s="44" t="s">
        <v>48</v>
      </c>
      <c r="AE69" s="59"/>
      <c r="AF69" s="57"/>
      <c r="AG69" s="57"/>
      <c r="AH69" s="58"/>
      <c r="AI69" s="58"/>
      <c r="AJ69" s="56"/>
      <c r="AK69" s="58"/>
      <c r="AL69" s="52">
        <v>18</v>
      </c>
      <c r="AM69" s="47" t="s">
        <v>64</v>
      </c>
      <c r="AN69" s="44" t="s">
        <v>51</v>
      </c>
      <c r="AO69" s="85"/>
      <c r="AP69" s="85"/>
    </row>
    <row r="70" spans="1:42" s="20" customFormat="1" ht="14.25" customHeight="1" x14ac:dyDescent="0.25">
      <c r="A70" s="43">
        <v>46045</v>
      </c>
      <c r="B70" s="97"/>
      <c r="C70" s="21" t="s">
        <v>52</v>
      </c>
      <c r="D70" s="14" t="s">
        <v>53</v>
      </c>
      <c r="E70" s="98">
        <v>6988</v>
      </c>
      <c r="F70" s="44" t="s">
        <v>54</v>
      </c>
      <c r="G70" s="23" t="s">
        <v>130</v>
      </c>
      <c r="H70" s="2" t="s">
        <v>131</v>
      </c>
      <c r="I70" s="45"/>
      <c r="J70" s="45"/>
      <c r="K70" s="53">
        <v>0</v>
      </c>
      <c r="L70" s="45"/>
      <c r="M70" s="45"/>
      <c r="N70" s="45"/>
      <c r="O70" s="54"/>
      <c r="P70" s="53">
        <f t="shared" si="0"/>
        <v>0</v>
      </c>
      <c r="Q70" s="76"/>
      <c r="R70" s="58"/>
      <c r="S70" s="58"/>
      <c r="T70" s="44"/>
      <c r="U70" s="57"/>
      <c r="V70" s="44" t="s">
        <v>47</v>
      </c>
      <c r="W70" s="58"/>
      <c r="X70" s="56">
        <v>46045</v>
      </c>
      <c r="Y70" s="44" t="s">
        <v>61</v>
      </c>
      <c r="Z70" s="58"/>
      <c r="AA70" s="58"/>
      <c r="AB70" s="44" t="s">
        <v>49</v>
      </c>
      <c r="AC70" s="58"/>
      <c r="AD70" s="44" t="s">
        <v>48</v>
      </c>
      <c r="AE70" s="59"/>
      <c r="AF70" s="57"/>
      <c r="AG70" s="57"/>
      <c r="AH70" s="58"/>
      <c r="AI70" s="58"/>
      <c r="AJ70" s="56"/>
      <c r="AK70" s="58"/>
      <c r="AL70" s="52">
        <v>18</v>
      </c>
      <c r="AM70" s="47" t="s">
        <v>64</v>
      </c>
      <c r="AN70" s="44" t="s">
        <v>51</v>
      </c>
      <c r="AO70" s="85"/>
      <c r="AP70" s="85"/>
    </row>
    <row r="71" spans="1:42" s="20" customFormat="1" ht="14.25" customHeight="1" x14ac:dyDescent="0.25">
      <c r="A71" s="43">
        <v>46048</v>
      </c>
      <c r="B71" s="43"/>
      <c r="C71" s="21" t="s">
        <v>52</v>
      </c>
      <c r="D71" s="14" t="s">
        <v>53</v>
      </c>
      <c r="E71" s="98">
        <v>6989</v>
      </c>
      <c r="F71" s="46" t="s">
        <v>54</v>
      </c>
      <c r="G71" s="23" t="s">
        <v>189</v>
      </c>
      <c r="H71" s="2" t="s">
        <v>190</v>
      </c>
      <c r="I71" s="45"/>
      <c r="J71" s="45"/>
      <c r="K71" s="53">
        <v>5280</v>
      </c>
      <c r="L71" s="45"/>
      <c r="M71" s="45"/>
      <c r="N71" s="45"/>
      <c r="O71" s="54"/>
      <c r="P71" s="53">
        <f t="shared" si="0"/>
        <v>5280</v>
      </c>
      <c r="Q71" s="76"/>
      <c r="R71" s="58"/>
      <c r="S71" s="58"/>
      <c r="T71" s="44"/>
      <c r="U71" s="57"/>
      <c r="V71" s="44" t="s">
        <v>47</v>
      </c>
      <c r="W71" s="58"/>
      <c r="X71" s="56">
        <v>46048</v>
      </c>
      <c r="Y71" s="44" t="s">
        <v>63</v>
      </c>
      <c r="Z71" s="44" t="s">
        <v>49</v>
      </c>
      <c r="AA71" s="58"/>
      <c r="AB71" s="44" t="s">
        <v>49</v>
      </c>
      <c r="AC71" s="58"/>
      <c r="AD71" s="44" t="s">
        <v>48</v>
      </c>
      <c r="AE71" s="59"/>
      <c r="AF71" s="57"/>
      <c r="AG71" s="57"/>
      <c r="AH71" s="58"/>
      <c r="AI71" s="58"/>
      <c r="AJ71" s="56"/>
      <c r="AK71" s="58"/>
      <c r="AL71" s="52">
        <v>18</v>
      </c>
      <c r="AM71" s="47" t="s">
        <v>50</v>
      </c>
      <c r="AN71" s="44" t="s">
        <v>51</v>
      </c>
      <c r="AO71" s="85"/>
      <c r="AP71" s="85"/>
    </row>
    <row r="72" spans="1:42" s="20" customFormat="1" ht="14.25" customHeight="1" x14ac:dyDescent="0.25">
      <c r="A72" s="43">
        <v>46048</v>
      </c>
      <c r="B72" s="43"/>
      <c r="C72" s="21" t="s">
        <v>52</v>
      </c>
      <c r="D72" s="14" t="s">
        <v>53</v>
      </c>
      <c r="E72" s="98">
        <v>6990</v>
      </c>
      <c r="F72" s="44" t="s">
        <v>54</v>
      </c>
      <c r="G72" s="23" t="s">
        <v>189</v>
      </c>
      <c r="H72" s="2" t="s">
        <v>190</v>
      </c>
      <c r="I72" s="45"/>
      <c r="J72" s="45"/>
      <c r="K72" s="53">
        <v>0</v>
      </c>
      <c r="L72" s="45"/>
      <c r="M72" s="45"/>
      <c r="N72" s="45"/>
      <c r="O72" s="54"/>
      <c r="P72" s="53">
        <f t="shared" si="0"/>
        <v>0</v>
      </c>
      <c r="Q72" s="76"/>
      <c r="R72" s="58"/>
      <c r="S72" s="58"/>
      <c r="T72" s="44"/>
      <c r="U72" s="57"/>
      <c r="V72" s="44" t="s">
        <v>47</v>
      </c>
      <c r="W72" s="58"/>
      <c r="X72" s="56">
        <v>46048</v>
      </c>
      <c r="Y72" s="44" t="s">
        <v>61</v>
      </c>
      <c r="Z72" s="58"/>
      <c r="AA72" s="58"/>
      <c r="AB72" s="44" t="s">
        <v>49</v>
      </c>
      <c r="AC72" s="58"/>
      <c r="AD72" s="44" t="s">
        <v>48</v>
      </c>
      <c r="AE72" s="59"/>
      <c r="AF72" s="57"/>
      <c r="AG72" s="57"/>
      <c r="AH72" s="58"/>
      <c r="AI72" s="58"/>
      <c r="AJ72" s="56"/>
      <c r="AK72" s="58"/>
      <c r="AL72" s="52">
        <v>18</v>
      </c>
      <c r="AM72" s="47" t="s">
        <v>64</v>
      </c>
      <c r="AN72" s="44" t="s">
        <v>51</v>
      </c>
      <c r="AO72" s="85"/>
      <c r="AP72" s="85"/>
    </row>
    <row r="73" spans="1:42" s="20" customFormat="1" ht="14.25" customHeight="1" x14ac:dyDescent="0.25">
      <c r="A73" s="43">
        <v>46049</v>
      </c>
      <c r="B73" s="43"/>
      <c r="C73" s="21" t="s">
        <v>52</v>
      </c>
      <c r="D73" s="14" t="s">
        <v>53</v>
      </c>
      <c r="E73" s="98">
        <v>6991</v>
      </c>
      <c r="F73" s="46" t="s">
        <v>54</v>
      </c>
      <c r="G73" s="23" t="s">
        <v>191</v>
      </c>
      <c r="H73" s="2" t="s">
        <v>192</v>
      </c>
      <c r="I73" s="45"/>
      <c r="J73" s="45"/>
      <c r="K73" s="53">
        <v>10680</v>
      </c>
      <c r="L73" s="45"/>
      <c r="M73" s="45"/>
      <c r="N73" s="45"/>
      <c r="O73" s="54"/>
      <c r="P73" s="53">
        <f t="shared" si="0"/>
        <v>10680</v>
      </c>
      <c r="Q73" s="76"/>
      <c r="R73" s="58"/>
      <c r="S73" s="58"/>
      <c r="T73" s="44"/>
      <c r="U73" s="57"/>
      <c r="V73" s="44" t="s">
        <v>47</v>
      </c>
      <c r="W73" s="58"/>
      <c r="X73" s="56">
        <v>46049</v>
      </c>
      <c r="Y73" s="44" t="s">
        <v>63</v>
      </c>
      <c r="Z73" s="44" t="s">
        <v>49</v>
      </c>
      <c r="AA73" s="58"/>
      <c r="AB73" s="44" t="s">
        <v>49</v>
      </c>
      <c r="AC73" s="58"/>
      <c r="AD73" s="44" t="s">
        <v>48</v>
      </c>
      <c r="AE73" s="59"/>
      <c r="AF73" s="57"/>
      <c r="AG73" s="57"/>
      <c r="AH73" s="58"/>
      <c r="AI73" s="58"/>
      <c r="AJ73" s="56"/>
      <c r="AK73" s="58"/>
      <c r="AL73" s="52">
        <v>18</v>
      </c>
      <c r="AM73" s="47" t="s">
        <v>50</v>
      </c>
      <c r="AN73" s="44" t="s">
        <v>51</v>
      </c>
      <c r="AO73" s="85"/>
      <c r="AP73" s="85"/>
    </row>
    <row r="74" spans="1:42" s="20" customFormat="1" ht="14.25" customHeight="1" x14ac:dyDescent="0.25">
      <c r="A74" s="43">
        <v>46049</v>
      </c>
      <c r="B74" s="43"/>
      <c r="C74" s="21" t="s">
        <v>52</v>
      </c>
      <c r="D74" s="14" t="s">
        <v>53</v>
      </c>
      <c r="E74" s="98">
        <v>6992</v>
      </c>
      <c r="F74" s="46" t="s">
        <v>54</v>
      </c>
      <c r="G74" s="23" t="s">
        <v>191</v>
      </c>
      <c r="H74" s="2" t="s">
        <v>192</v>
      </c>
      <c r="I74" s="45"/>
      <c r="J74" s="45"/>
      <c r="K74" s="53">
        <v>0</v>
      </c>
      <c r="L74" s="45"/>
      <c r="M74" s="45"/>
      <c r="N74" s="45"/>
      <c r="O74" s="45"/>
      <c r="P74" s="53">
        <f t="shared" si="0"/>
        <v>0</v>
      </c>
      <c r="Q74" s="75"/>
      <c r="R74" s="56"/>
      <c r="S74" s="58"/>
      <c r="T74" s="58"/>
      <c r="U74" s="58"/>
      <c r="V74" s="44" t="s">
        <v>47</v>
      </c>
      <c r="W74" s="57"/>
      <c r="X74" s="56">
        <v>46049</v>
      </c>
      <c r="Y74" s="44" t="s">
        <v>61</v>
      </c>
      <c r="Z74" s="58"/>
      <c r="AA74" s="58"/>
      <c r="AB74" s="44" t="s">
        <v>49</v>
      </c>
      <c r="AC74" s="58"/>
      <c r="AD74" s="44" t="s">
        <v>48</v>
      </c>
      <c r="AE74" s="59"/>
      <c r="AF74" s="57"/>
      <c r="AG74" s="57"/>
      <c r="AH74" s="58"/>
      <c r="AI74" s="58"/>
      <c r="AJ74" s="56"/>
      <c r="AK74" s="58"/>
      <c r="AL74" s="52">
        <v>18</v>
      </c>
      <c r="AM74" s="47" t="s">
        <v>64</v>
      </c>
      <c r="AN74" s="44" t="s">
        <v>51</v>
      </c>
      <c r="AO74" s="58"/>
      <c r="AP74" s="57"/>
    </row>
    <row r="75" spans="1:42" s="20" customFormat="1" ht="14.25" customHeight="1" x14ac:dyDescent="0.25">
      <c r="A75" s="43">
        <v>46049</v>
      </c>
      <c r="B75" s="43"/>
      <c r="C75" s="21" t="s">
        <v>52</v>
      </c>
      <c r="D75" s="14" t="s">
        <v>53</v>
      </c>
      <c r="E75" s="98">
        <v>6993</v>
      </c>
      <c r="F75" s="44" t="s">
        <v>54</v>
      </c>
      <c r="G75" s="23" t="s">
        <v>116</v>
      </c>
      <c r="H75" s="2" t="s">
        <v>117</v>
      </c>
      <c r="I75" s="45"/>
      <c r="J75" s="45"/>
      <c r="K75" s="53">
        <v>0</v>
      </c>
      <c r="L75" s="45"/>
      <c r="M75" s="45"/>
      <c r="N75" s="45"/>
      <c r="O75" s="45"/>
      <c r="P75" s="53">
        <f t="shared" si="0"/>
        <v>0</v>
      </c>
      <c r="Q75" s="75"/>
      <c r="R75" s="56"/>
      <c r="S75" s="58"/>
      <c r="T75" s="58"/>
      <c r="U75" s="58"/>
      <c r="V75" s="44" t="s">
        <v>47</v>
      </c>
      <c r="W75" s="57"/>
      <c r="X75" s="56">
        <v>46049</v>
      </c>
      <c r="Y75" s="44" t="s">
        <v>61</v>
      </c>
      <c r="Z75" s="58"/>
      <c r="AA75" s="58"/>
      <c r="AB75" s="44" t="s">
        <v>49</v>
      </c>
      <c r="AC75" s="58"/>
      <c r="AD75" s="44" t="s">
        <v>48</v>
      </c>
      <c r="AE75" s="59"/>
      <c r="AF75" s="57"/>
      <c r="AG75" s="57"/>
      <c r="AH75" s="58"/>
      <c r="AI75" s="58"/>
      <c r="AJ75" s="56"/>
      <c r="AK75" s="58"/>
      <c r="AL75" s="52">
        <v>18</v>
      </c>
      <c r="AM75" s="47" t="s">
        <v>64</v>
      </c>
      <c r="AN75" s="44" t="s">
        <v>51</v>
      </c>
      <c r="AO75" s="58"/>
      <c r="AP75" s="57"/>
    </row>
    <row r="76" spans="1:42" s="20" customFormat="1" ht="15" customHeight="1" x14ac:dyDescent="0.25">
      <c r="A76" s="43">
        <v>46049</v>
      </c>
      <c r="B76" s="43"/>
      <c r="C76" s="21" t="s">
        <v>52</v>
      </c>
      <c r="D76" s="14" t="s">
        <v>53</v>
      </c>
      <c r="E76" s="98">
        <v>6994</v>
      </c>
      <c r="F76" s="46" t="s">
        <v>54</v>
      </c>
      <c r="G76" s="23" t="s">
        <v>193</v>
      </c>
      <c r="H76" s="2" t="s">
        <v>194</v>
      </c>
      <c r="I76" s="45"/>
      <c r="J76" s="45"/>
      <c r="K76" s="53">
        <v>7760</v>
      </c>
      <c r="L76" s="45"/>
      <c r="M76" s="45"/>
      <c r="N76" s="45"/>
      <c r="O76" s="54"/>
      <c r="P76" s="53">
        <f t="shared" si="0"/>
        <v>7760</v>
      </c>
      <c r="Q76" s="76"/>
      <c r="R76" s="58"/>
      <c r="S76" s="58"/>
      <c r="T76" s="44"/>
      <c r="U76" s="57"/>
      <c r="V76" s="44" t="s">
        <v>47</v>
      </c>
      <c r="W76" s="58"/>
      <c r="X76" s="56">
        <v>46049</v>
      </c>
      <c r="Y76" s="44" t="s">
        <v>63</v>
      </c>
      <c r="Z76" s="44" t="s">
        <v>49</v>
      </c>
      <c r="AA76" s="58"/>
      <c r="AB76" s="44" t="s">
        <v>49</v>
      </c>
      <c r="AC76" s="58"/>
      <c r="AD76" s="44" t="s">
        <v>48</v>
      </c>
      <c r="AE76" s="59"/>
      <c r="AF76" s="57"/>
      <c r="AG76" s="57"/>
      <c r="AH76" s="58"/>
      <c r="AI76" s="58"/>
      <c r="AJ76" s="56"/>
      <c r="AK76" s="58"/>
      <c r="AL76" s="52">
        <v>18</v>
      </c>
      <c r="AM76" s="47" t="s">
        <v>50</v>
      </c>
      <c r="AN76" s="44" t="s">
        <v>51</v>
      </c>
      <c r="AO76" s="85"/>
      <c r="AP76" s="85"/>
    </row>
    <row r="77" spans="1:42" s="20" customFormat="1" ht="14.25" customHeight="1" x14ac:dyDescent="0.25">
      <c r="A77" s="43">
        <v>46050</v>
      </c>
      <c r="B77" s="43"/>
      <c r="C77" s="21" t="s">
        <v>52</v>
      </c>
      <c r="D77" s="14" t="s">
        <v>53</v>
      </c>
      <c r="E77" s="98">
        <v>6995</v>
      </c>
      <c r="F77" s="44" t="s">
        <v>54</v>
      </c>
      <c r="G77" s="23" t="s">
        <v>195</v>
      </c>
      <c r="H77" s="2" t="s">
        <v>196</v>
      </c>
      <c r="I77" s="45"/>
      <c r="J77" s="45"/>
      <c r="K77" s="53">
        <v>7760</v>
      </c>
      <c r="L77" s="45"/>
      <c r="M77" s="45"/>
      <c r="N77" s="45"/>
      <c r="O77" s="54"/>
      <c r="P77" s="53">
        <f t="shared" si="0"/>
        <v>7760</v>
      </c>
      <c r="Q77" s="76"/>
      <c r="R77" s="58"/>
      <c r="S77" s="58"/>
      <c r="T77" s="44"/>
      <c r="U77" s="57"/>
      <c r="V77" s="44" t="s">
        <v>47</v>
      </c>
      <c r="W77" s="58"/>
      <c r="X77" s="56">
        <v>46050</v>
      </c>
      <c r="Y77" s="44" t="s">
        <v>63</v>
      </c>
      <c r="Z77" s="44" t="s">
        <v>49</v>
      </c>
      <c r="AA77" s="58"/>
      <c r="AB77" s="44" t="s">
        <v>49</v>
      </c>
      <c r="AC77" s="58"/>
      <c r="AD77" s="44" t="s">
        <v>48</v>
      </c>
      <c r="AE77" s="59"/>
      <c r="AF77" s="57"/>
      <c r="AG77" s="57"/>
      <c r="AH77" s="58"/>
      <c r="AI77" s="58"/>
      <c r="AJ77" s="56"/>
      <c r="AK77" s="58"/>
      <c r="AL77" s="52">
        <v>18</v>
      </c>
      <c r="AM77" s="47" t="s">
        <v>50</v>
      </c>
      <c r="AN77" s="44" t="s">
        <v>51</v>
      </c>
      <c r="AO77" s="85"/>
      <c r="AP77" s="85"/>
    </row>
    <row r="78" spans="1:42" s="20" customFormat="1" ht="14.25" customHeight="1" x14ac:dyDescent="0.25">
      <c r="A78" s="43">
        <v>46050</v>
      </c>
      <c r="B78" s="43"/>
      <c r="C78" s="21" t="s">
        <v>52</v>
      </c>
      <c r="D78" s="14" t="s">
        <v>53</v>
      </c>
      <c r="E78" s="98">
        <v>6996</v>
      </c>
      <c r="F78" s="46" t="s">
        <v>54</v>
      </c>
      <c r="G78" s="23" t="s">
        <v>197</v>
      </c>
      <c r="H78" s="2" t="s">
        <v>198</v>
      </c>
      <c r="I78" s="45"/>
      <c r="J78" s="45"/>
      <c r="K78" s="53">
        <v>7760</v>
      </c>
      <c r="L78" s="45"/>
      <c r="M78" s="45"/>
      <c r="N78" s="45"/>
      <c r="O78" s="54"/>
      <c r="P78" s="53">
        <f t="shared" si="0"/>
        <v>7760</v>
      </c>
      <c r="Q78" s="76"/>
      <c r="R78" s="58"/>
      <c r="S78" s="58"/>
      <c r="T78" s="44"/>
      <c r="U78" s="57"/>
      <c r="V78" s="44" t="s">
        <v>47</v>
      </c>
      <c r="W78" s="58"/>
      <c r="X78" s="56">
        <v>46050</v>
      </c>
      <c r="Y78" s="44" t="s">
        <v>63</v>
      </c>
      <c r="Z78" s="44" t="s">
        <v>49</v>
      </c>
      <c r="AA78" s="58"/>
      <c r="AB78" s="44" t="s">
        <v>49</v>
      </c>
      <c r="AC78" s="58"/>
      <c r="AD78" s="44" t="s">
        <v>48</v>
      </c>
      <c r="AE78" s="59"/>
      <c r="AF78" s="57"/>
      <c r="AG78" s="57"/>
      <c r="AH78" s="58"/>
      <c r="AI78" s="58"/>
      <c r="AJ78" s="56"/>
      <c r="AK78" s="58"/>
      <c r="AL78" s="52">
        <v>18</v>
      </c>
      <c r="AM78" s="47" t="s">
        <v>50</v>
      </c>
      <c r="AN78" s="44" t="s">
        <v>51</v>
      </c>
      <c r="AO78" s="85"/>
      <c r="AP78" s="85"/>
    </row>
    <row r="79" spans="1:42" s="20" customFormat="1" ht="14.25" customHeight="1" x14ac:dyDescent="0.25">
      <c r="A79" s="43">
        <v>46050</v>
      </c>
      <c r="B79" s="43"/>
      <c r="C79" s="21" t="s">
        <v>52</v>
      </c>
      <c r="D79" s="14" t="s">
        <v>53</v>
      </c>
      <c r="E79" s="98">
        <v>6997</v>
      </c>
      <c r="F79" s="44" t="s">
        <v>54</v>
      </c>
      <c r="G79" s="23" t="s">
        <v>120</v>
      </c>
      <c r="H79" s="2" t="s">
        <v>121</v>
      </c>
      <c r="I79" s="45"/>
      <c r="J79" s="45"/>
      <c r="K79" s="53">
        <v>0</v>
      </c>
      <c r="L79" s="45"/>
      <c r="M79" s="45"/>
      <c r="N79" s="45"/>
      <c r="O79" s="54"/>
      <c r="P79" s="53">
        <f t="shared" si="0"/>
        <v>0</v>
      </c>
      <c r="Q79" s="76"/>
      <c r="R79" s="58"/>
      <c r="S79" s="58"/>
      <c r="T79" s="44"/>
      <c r="U79" s="57"/>
      <c r="V79" s="44" t="s">
        <v>47</v>
      </c>
      <c r="W79" s="58"/>
      <c r="X79" s="56">
        <v>46050</v>
      </c>
      <c r="Y79" s="44" t="s">
        <v>61</v>
      </c>
      <c r="Z79" s="58"/>
      <c r="AA79" s="58"/>
      <c r="AB79" s="44" t="s">
        <v>49</v>
      </c>
      <c r="AC79" s="58"/>
      <c r="AD79" s="44" t="s">
        <v>48</v>
      </c>
      <c r="AE79" s="59"/>
      <c r="AF79" s="57"/>
      <c r="AG79" s="57"/>
      <c r="AH79" s="58"/>
      <c r="AI79" s="58"/>
      <c r="AJ79" s="56"/>
      <c r="AK79" s="58"/>
      <c r="AL79" s="52">
        <v>18</v>
      </c>
      <c r="AM79" s="47" t="s">
        <v>64</v>
      </c>
      <c r="AN79" s="44" t="s">
        <v>51</v>
      </c>
      <c r="AO79" s="85"/>
      <c r="AP79" s="85"/>
    </row>
    <row r="80" spans="1:42" s="20" customFormat="1" ht="14.25" customHeight="1" x14ac:dyDescent="0.25">
      <c r="A80" s="43">
        <v>46050</v>
      </c>
      <c r="B80" s="43"/>
      <c r="C80" s="21" t="s">
        <v>52</v>
      </c>
      <c r="D80" s="14" t="s">
        <v>53</v>
      </c>
      <c r="E80" s="98">
        <v>6998</v>
      </c>
      <c r="F80" s="46" t="s">
        <v>54</v>
      </c>
      <c r="G80" s="23" t="s">
        <v>199</v>
      </c>
      <c r="H80" s="2" t="s">
        <v>200</v>
      </c>
      <c r="I80" s="45"/>
      <c r="J80" s="45"/>
      <c r="K80" s="53">
        <v>7760</v>
      </c>
      <c r="L80" s="45"/>
      <c r="M80" s="45"/>
      <c r="N80" s="45"/>
      <c r="O80" s="54"/>
      <c r="P80" s="53">
        <f t="shared" si="0"/>
        <v>7760</v>
      </c>
      <c r="Q80" s="76"/>
      <c r="R80" s="58"/>
      <c r="S80" s="58"/>
      <c r="T80" s="44"/>
      <c r="U80" s="57"/>
      <c r="V80" s="44" t="s">
        <v>47</v>
      </c>
      <c r="W80" s="58"/>
      <c r="X80" s="56">
        <v>46050</v>
      </c>
      <c r="Y80" s="44" t="s">
        <v>63</v>
      </c>
      <c r="Z80" s="44" t="s">
        <v>49</v>
      </c>
      <c r="AA80" s="58"/>
      <c r="AB80" s="44" t="s">
        <v>49</v>
      </c>
      <c r="AC80" s="58"/>
      <c r="AD80" s="44" t="s">
        <v>48</v>
      </c>
      <c r="AE80" s="59"/>
      <c r="AF80" s="57"/>
      <c r="AG80" s="57"/>
      <c r="AH80" s="58"/>
      <c r="AI80" s="58"/>
      <c r="AJ80" s="56"/>
      <c r="AK80" s="58"/>
      <c r="AL80" s="52">
        <v>18</v>
      </c>
      <c r="AM80" s="47" t="s">
        <v>50</v>
      </c>
      <c r="AN80" s="44" t="s">
        <v>51</v>
      </c>
      <c r="AO80" s="85"/>
      <c r="AP80" s="85"/>
    </row>
    <row r="81" spans="1:42" s="20" customFormat="1" ht="14.25" customHeight="1" x14ac:dyDescent="0.25">
      <c r="A81" s="43">
        <v>46050</v>
      </c>
      <c r="B81" s="43"/>
      <c r="C81" s="21" t="s">
        <v>52</v>
      </c>
      <c r="D81" s="14" t="s">
        <v>53</v>
      </c>
      <c r="E81" s="98">
        <v>6999</v>
      </c>
      <c r="F81" s="44" t="s">
        <v>54</v>
      </c>
      <c r="G81" s="23" t="s">
        <v>201</v>
      </c>
      <c r="H81" s="2" t="s">
        <v>202</v>
      </c>
      <c r="I81" s="45"/>
      <c r="J81" s="45"/>
      <c r="K81" s="53">
        <v>6180</v>
      </c>
      <c r="L81" s="45"/>
      <c r="M81" s="45"/>
      <c r="N81" s="45"/>
      <c r="O81" s="54"/>
      <c r="P81" s="53">
        <f t="shared" si="0"/>
        <v>6180</v>
      </c>
      <c r="Q81" s="76"/>
      <c r="R81" s="58"/>
      <c r="S81" s="58"/>
      <c r="T81" s="44"/>
      <c r="U81" s="57"/>
      <c r="V81" s="44" t="s">
        <v>47</v>
      </c>
      <c r="W81" s="58"/>
      <c r="X81" s="56">
        <v>46050</v>
      </c>
      <c r="Y81" s="44" t="s">
        <v>63</v>
      </c>
      <c r="Z81" s="44" t="s">
        <v>49</v>
      </c>
      <c r="AA81" s="58"/>
      <c r="AB81" s="44" t="s">
        <v>49</v>
      </c>
      <c r="AC81" s="58"/>
      <c r="AD81" s="44" t="s">
        <v>48</v>
      </c>
      <c r="AE81" s="59"/>
      <c r="AF81" s="57"/>
      <c r="AG81" s="57"/>
      <c r="AH81" s="58"/>
      <c r="AI81" s="58"/>
      <c r="AJ81" s="56"/>
      <c r="AK81" s="58"/>
      <c r="AL81" s="52">
        <v>18</v>
      </c>
      <c r="AM81" s="47" t="s">
        <v>50</v>
      </c>
      <c r="AN81" s="44" t="s">
        <v>51</v>
      </c>
      <c r="AO81" s="85"/>
      <c r="AP81" s="85"/>
    </row>
    <row r="82" spans="1:42" s="20" customFormat="1" ht="14.25" customHeight="1" x14ac:dyDescent="0.25">
      <c r="A82" s="43">
        <v>46050</v>
      </c>
      <c r="B82" s="43"/>
      <c r="C82" s="21" t="s">
        <v>52</v>
      </c>
      <c r="D82" s="14" t="s">
        <v>53</v>
      </c>
      <c r="E82" s="98">
        <v>7000</v>
      </c>
      <c r="F82" s="46" t="s">
        <v>54</v>
      </c>
      <c r="G82" s="23" t="s">
        <v>203</v>
      </c>
      <c r="H82" s="2" t="s">
        <v>204</v>
      </c>
      <c r="I82" s="45"/>
      <c r="J82" s="45"/>
      <c r="K82" s="53">
        <v>5860</v>
      </c>
      <c r="L82" s="45"/>
      <c r="M82" s="45"/>
      <c r="N82" s="45"/>
      <c r="O82" s="54"/>
      <c r="P82" s="53">
        <f t="shared" si="0"/>
        <v>5860</v>
      </c>
      <c r="Q82" s="76"/>
      <c r="R82" s="58"/>
      <c r="S82" s="58"/>
      <c r="T82" s="44"/>
      <c r="U82" s="57"/>
      <c r="V82" s="44" t="s">
        <v>47</v>
      </c>
      <c r="W82" s="58"/>
      <c r="X82" s="56">
        <v>46050</v>
      </c>
      <c r="Y82" s="44" t="s">
        <v>63</v>
      </c>
      <c r="Z82" s="44" t="s">
        <v>49</v>
      </c>
      <c r="AA82" s="58"/>
      <c r="AB82" s="44" t="s">
        <v>49</v>
      </c>
      <c r="AC82" s="58"/>
      <c r="AD82" s="44" t="s">
        <v>48</v>
      </c>
      <c r="AE82" s="59"/>
      <c r="AF82" s="57"/>
      <c r="AG82" s="57"/>
      <c r="AH82" s="58"/>
      <c r="AI82" s="58"/>
      <c r="AJ82" s="56"/>
      <c r="AK82" s="58"/>
      <c r="AL82" s="52">
        <v>18</v>
      </c>
      <c r="AM82" s="47" t="s">
        <v>50</v>
      </c>
      <c r="AN82" s="44" t="s">
        <v>51</v>
      </c>
      <c r="AO82" s="85"/>
      <c r="AP82" s="85"/>
    </row>
    <row r="83" spans="1:42" s="20" customFormat="1" ht="14.25" customHeight="1" x14ac:dyDescent="0.25">
      <c r="A83" s="43">
        <v>46050</v>
      </c>
      <c r="B83" s="43"/>
      <c r="C83" s="21" t="s">
        <v>52</v>
      </c>
      <c r="D83" s="14" t="s">
        <v>53</v>
      </c>
      <c r="E83" s="98">
        <v>7001</v>
      </c>
      <c r="F83" s="44" t="s">
        <v>54</v>
      </c>
      <c r="G83" s="23" t="s">
        <v>205</v>
      </c>
      <c r="H83" s="2" t="s">
        <v>206</v>
      </c>
      <c r="I83" s="45"/>
      <c r="J83" s="45"/>
      <c r="K83" s="53">
        <v>5860</v>
      </c>
      <c r="L83" s="45"/>
      <c r="M83" s="45"/>
      <c r="N83" s="45"/>
      <c r="O83" s="54"/>
      <c r="P83" s="53">
        <f t="shared" si="0"/>
        <v>5860</v>
      </c>
      <c r="Q83" s="76"/>
      <c r="R83" s="58"/>
      <c r="S83" s="58"/>
      <c r="T83" s="44"/>
      <c r="U83" s="57"/>
      <c r="V83" s="44" t="s">
        <v>47</v>
      </c>
      <c r="W83" s="58"/>
      <c r="X83" s="56">
        <v>46050</v>
      </c>
      <c r="Y83" s="44" t="s">
        <v>63</v>
      </c>
      <c r="Z83" s="44" t="s">
        <v>49</v>
      </c>
      <c r="AA83" s="58"/>
      <c r="AB83" s="44" t="s">
        <v>49</v>
      </c>
      <c r="AC83" s="58"/>
      <c r="AD83" s="44" t="s">
        <v>48</v>
      </c>
      <c r="AE83" s="59"/>
      <c r="AF83" s="57"/>
      <c r="AG83" s="57"/>
      <c r="AH83" s="58"/>
      <c r="AI83" s="58"/>
      <c r="AJ83" s="56"/>
      <c r="AK83" s="58"/>
      <c r="AL83" s="52">
        <v>18</v>
      </c>
      <c r="AM83" s="47" t="s">
        <v>50</v>
      </c>
      <c r="AN83" s="44" t="s">
        <v>51</v>
      </c>
      <c r="AO83" s="85"/>
      <c r="AP83" s="85"/>
    </row>
    <row r="84" spans="1:42" s="20" customFormat="1" ht="14.25" customHeight="1" x14ac:dyDescent="0.25">
      <c r="A84" s="43">
        <v>46051</v>
      </c>
      <c r="B84" s="97"/>
      <c r="C84" s="21" t="s">
        <v>52</v>
      </c>
      <c r="D84" s="14" t="s">
        <v>53</v>
      </c>
      <c r="E84" s="98">
        <v>7002</v>
      </c>
      <c r="F84" s="46" t="s">
        <v>54</v>
      </c>
      <c r="G84" s="23" t="s">
        <v>207</v>
      </c>
      <c r="H84" s="2" t="s">
        <v>208</v>
      </c>
      <c r="I84" s="45"/>
      <c r="J84" s="45"/>
      <c r="K84" s="53">
        <v>5280</v>
      </c>
      <c r="L84" s="45"/>
      <c r="M84" s="45"/>
      <c r="N84" s="45"/>
      <c r="O84" s="54"/>
      <c r="P84" s="53">
        <f t="shared" si="0"/>
        <v>5280</v>
      </c>
      <c r="Q84" s="76"/>
      <c r="R84" s="58"/>
      <c r="S84" s="58"/>
      <c r="T84" s="44"/>
      <c r="U84" s="57"/>
      <c r="V84" s="44" t="s">
        <v>47</v>
      </c>
      <c r="W84" s="58"/>
      <c r="X84" s="56">
        <v>46051</v>
      </c>
      <c r="Y84" s="44" t="s">
        <v>63</v>
      </c>
      <c r="Z84" s="44" t="s">
        <v>49</v>
      </c>
      <c r="AA84" s="58"/>
      <c r="AB84" s="44" t="s">
        <v>49</v>
      </c>
      <c r="AC84" s="58"/>
      <c r="AD84" s="44" t="s">
        <v>48</v>
      </c>
      <c r="AE84" s="59"/>
      <c r="AF84" s="57"/>
      <c r="AG84" s="57"/>
      <c r="AH84" s="58"/>
      <c r="AI84" s="58"/>
      <c r="AJ84" s="56"/>
      <c r="AK84" s="58"/>
      <c r="AL84" s="52">
        <v>18</v>
      </c>
      <c r="AM84" s="47" t="s">
        <v>50</v>
      </c>
      <c r="AN84" s="44" t="s">
        <v>51</v>
      </c>
      <c r="AO84" s="85"/>
      <c r="AP84" s="85"/>
    </row>
    <row r="85" spans="1:42" s="20" customFormat="1" ht="14.25" customHeight="1" x14ac:dyDescent="0.25">
      <c r="A85" s="43">
        <v>46051</v>
      </c>
      <c r="B85" s="43"/>
      <c r="C85" s="21" t="s">
        <v>52</v>
      </c>
      <c r="D85" s="14" t="s">
        <v>53</v>
      </c>
      <c r="E85" s="98">
        <v>7003</v>
      </c>
      <c r="F85" s="44" t="s">
        <v>54</v>
      </c>
      <c r="G85" s="23" t="s">
        <v>207</v>
      </c>
      <c r="H85" s="2" t="s">
        <v>208</v>
      </c>
      <c r="I85" s="45"/>
      <c r="J85" s="45"/>
      <c r="K85" s="53">
        <v>0</v>
      </c>
      <c r="L85" s="45"/>
      <c r="M85" s="45"/>
      <c r="N85" s="45"/>
      <c r="O85" s="54"/>
      <c r="P85" s="53">
        <f t="shared" si="0"/>
        <v>0</v>
      </c>
      <c r="Q85" s="76"/>
      <c r="R85" s="58"/>
      <c r="S85" s="58"/>
      <c r="T85" s="44"/>
      <c r="U85" s="57"/>
      <c r="V85" s="44" t="s">
        <v>47</v>
      </c>
      <c r="W85" s="58"/>
      <c r="X85" s="56">
        <v>46051</v>
      </c>
      <c r="Y85" s="44" t="s">
        <v>61</v>
      </c>
      <c r="Z85" s="58"/>
      <c r="AA85" s="58"/>
      <c r="AB85" s="44" t="s">
        <v>49</v>
      </c>
      <c r="AC85" s="58"/>
      <c r="AD85" s="44" t="s">
        <v>48</v>
      </c>
      <c r="AE85" s="59"/>
      <c r="AF85" s="57"/>
      <c r="AG85" s="57"/>
      <c r="AH85" s="58"/>
      <c r="AI85" s="58"/>
      <c r="AJ85" s="56"/>
      <c r="AK85" s="58"/>
      <c r="AL85" s="52">
        <v>18</v>
      </c>
      <c r="AM85" s="47" t="s">
        <v>64</v>
      </c>
      <c r="AN85" s="44" t="s">
        <v>51</v>
      </c>
      <c r="AO85" s="85"/>
      <c r="AP85" s="85"/>
    </row>
    <row r="86" spans="1:42" s="20" customFormat="1" ht="14.25" customHeight="1" x14ac:dyDescent="0.25">
      <c r="A86" s="43">
        <v>46051</v>
      </c>
      <c r="B86" s="43"/>
      <c r="C86" s="21" t="s">
        <v>52</v>
      </c>
      <c r="D86" s="14" t="s">
        <v>53</v>
      </c>
      <c r="E86" s="98">
        <v>7004</v>
      </c>
      <c r="F86" s="46" t="s">
        <v>54</v>
      </c>
      <c r="G86" s="23" t="s">
        <v>209</v>
      </c>
      <c r="H86" s="2" t="s">
        <v>210</v>
      </c>
      <c r="I86" s="45"/>
      <c r="J86" s="45"/>
      <c r="K86" s="53">
        <v>7770</v>
      </c>
      <c r="L86" s="45"/>
      <c r="M86" s="45"/>
      <c r="N86" s="45"/>
      <c r="O86" s="54"/>
      <c r="P86" s="53">
        <f t="shared" si="0"/>
        <v>7770</v>
      </c>
      <c r="Q86" s="76"/>
      <c r="R86" s="58"/>
      <c r="S86" s="58"/>
      <c r="T86" s="44"/>
      <c r="U86" s="57"/>
      <c r="V86" s="44" t="s">
        <v>47</v>
      </c>
      <c r="W86" s="58"/>
      <c r="X86" s="56">
        <v>46051</v>
      </c>
      <c r="Y86" s="44" t="s">
        <v>63</v>
      </c>
      <c r="Z86" s="44" t="s">
        <v>49</v>
      </c>
      <c r="AA86" s="58"/>
      <c r="AB86" s="44" t="s">
        <v>49</v>
      </c>
      <c r="AC86" s="58"/>
      <c r="AD86" s="44" t="s">
        <v>48</v>
      </c>
      <c r="AE86" s="59"/>
      <c r="AF86" s="57"/>
      <c r="AG86" s="57"/>
      <c r="AH86" s="58"/>
      <c r="AI86" s="58"/>
      <c r="AJ86" s="56"/>
      <c r="AK86" s="58"/>
      <c r="AL86" s="52">
        <v>18</v>
      </c>
      <c r="AM86" s="47" t="s">
        <v>50</v>
      </c>
      <c r="AN86" s="44" t="s">
        <v>51</v>
      </c>
      <c r="AO86" s="85"/>
      <c r="AP86" s="85"/>
    </row>
    <row r="87" spans="1:42" s="20" customFormat="1" ht="14.25" customHeight="1" x14ac:dyDescent="0.25">
      <c r="A87" s="43">
        <v>46052</v>
      </c>
      <c r="B87" s="43"/>
      <c r="C87" s="21" t="s">
        <v>52</v>
      </c>
      <c r="D87" s="14" t="s">
        <v>53</v>
      </c>
      <c r="E87" s="98">
        <v>7005</v>
      </c>
      <c r="F87" s="44" t="s">
        <v>54</v>
      </c>
      <c r="G87" s="23" t="s">
        <v>110</v>
      </c>
      <c r="H87" s="2" t="s">
        <v>111</v>
      </c>
      <c r="I87" s="45"/>
      <c r="J87" s="45"/>
      <c r="K87" s="53">
        <v>0</v>
      </c>
      <c r="L87" s="45"/>
      <c r="M87" s="45"/>
      <c r="N87" s="45"/>
      <c r="O87" s="54"/>
      <c r="P87" s="53">
        <f t="shared" si="0"/>
        <v>0</v>
      </c>
      <c r="Q87" s="76"/>
      <c r="R87" s="58"/>
      <c r="S87" s="58"/>
      <c r="T87" s="44"/>
      <c r="U87" s="57"/>
      <c r="V87" s="44" t="s">
        <v>47</v>
      </c>
      <c r="W87" s="58"/>
      <c r="X87" s="56">
        <v>46052</v>
      </c>
      <c r="Y87" s="44" t="s">
        <v>61</v>
      </c>
      <c r="Z87" s="58"/>
      <c r="AA87" s="58"/>
      <c r="AB87" s="44" t="s">
        <v>49</v>
      </c>
      <c r="AC87" s="58"/>
      <c r="AD87" s="44" t="s">
        <v>48</v>
      </c>
      <c r="AE87" s="59"/>
      <c r="AF87" s="57"/>
      <c r="AG87" s="57"/>
      <c r="AH87" s="58"/>
      <c r="AI87" s="58"/>
      <c r="AJ87" s="56"/>
      <c r="AK87" s="58"/>
      <c r="AL87" s="52">
        <v>18</v>
      </c>
      <c r="AM87" s="47" t="s">
        <v>64</v>
      </c>
      <c r="AN87" s="44" t="s">
        <v>51</v>
      </c>
      <c r="AO87" s="85"/>
      <c r="AP87" s="85"/>
    </row>
    <row r="88" spans="1:42" s="20" customFormat="1" ht="14.25" customHeight="1" x14ac:dyDescent="0.25">
      <c r="A88" s="43">
        <v>46052</v>
      </c>
      <c r="B88" s="43"/>
      <c r="C88" s="21" t="s">
        <v>52</v>
      </c>
      <c r="D88" s="14" t="s">
        <v>53</v>
      </c>
      <c r="E88" s="98">
        <v>7006</v>
      </c>
      <c r="F88" s="46" t="s">
        <v>54</v>
      </c>
      <c r="G88" s="23" t="s">
        <v>211</v>
      </c>
      <c r="H88" s="2" t="s">
        <v>212</v>
      </c>
      <c r="I88" s="45"/>
      <c r="J88" s="45"/>
      <c r="K88" s="53">
        <v>7760</v>
      </c>
      <c r="L88" s="45"/>
      <c r="M88" s="45"/>
      <c r="N88" s="45"/>
      <c r="O88" s="54"/>
      <c r="P88" s="53">
        <f t="shared" si="0"/>
        <v>7760</v>
      </c>
      <c r="Q88" s="76"/>
      <c r="R88" s="58"/>
      <c r="S88" s="58"/>
      <c r="T88" s="44"/>
      <c r="U88" s="57"/>
      <c r="V88" s="44" t="s">
        <v>47</v>
      </c>
      <c r="W88" s="58"/>
      <c r="X88" s="56">
        <v>46052</v>
      </c>
      <c r="Y88" s="44" t="s">
        <v>63</v>
      </c>
      <c r="Z88" s="44" t="s">
        <v>49</v>
      </c>
      <c r="AA88" s="58"/>
      <c r="AB88" s="44" t="s">
        <v>49</v>
      </c>
      <c r="AC88" s="58"/>
      <c r="AD88" s="44" t="s">
        <v>48</v>
      </c>
      <c r="AE88" s="59"/>
      <c r="AF88" s="57"/>
      <c r="AG88" s="57"/>
      <c r="AH88" s="58"/>
      <c r="AI88" s="58"/>
      <c r="AJ88" s="56"/>
      <c r="AK88" s="58"/>
      <c r="AL88" s="52">
        <v>18</v>
      </c>
      <c r="AM88" s="47" t="s">
        <v>50</v>
      </c>
      <c r="AN88" s="44" t="s">
        <v>51</v>
      </c>
      <c r="AO88" s="85"/>
      <c r="AP88" s="85"/>
    </row>
    <row r="89" spans="1:42" s="20" customFormat="1" ht="14.25" customHeight="1" x14ac:dyDescent="0.25">
      <c r="A89" s="43">
        <v>46052</v>
      </c>
      <c r="B89" s="43"/>
      <c r="C89" s="21" t="s">
        <v>52</v>
      </c>
      <c r="D89" s="14" t="s">
        <v>53</v>
      </c>
      <c r="E89" s="98">
        <v>7007</v>
      </c>
      <c r="F89" s="44" t="s">
        <v>54</v>
      </c>
      <c r="G89" s="23" t="s">
        <v>213</v>
      </c>
      <c r="H89" s="2" t="s">
        <v>214</v>
      </c>
      <c r="I89" s="45"/>
      <c r="J89" s="45"/>
      <c r="K89" s="53">
        <v>5700</v>
      </c>
      <c r="L89" s="45"/>
      <c r="M89" s="45"/>
      <c r="N89" s="45"/>
      <c r="O89" s="54"/>
      <c r="P89" s="53">
        <f t="shared" si="0"/>
        <v>5700</v>
      </c>
      <c r="Q89" s="76"/>
      <c r="R89" s="58"/>
      <c r="S89" s="58"/>
      <c r="T89" s="44"/>
      <c r="U89" s="57"/>
      <c r="V89" s="44" t="s">
        <v>47</v>
      </c>
      <c r="W89" s="58"/>
      <c r="X89" s="56">
        <v>46052</v>
      </c>
      <c r="Y89" s="44" t="s">
        <v>63</v>
      </c>
      <c r="Z89" s="44" t="s">
        <v>49</v>
      </c>
      <c r="AA89" s="58"/>
      <c r="AB89" s="44" t="s">
        <v>49</v>
      </c>
      <c r="AC89" s="58"/>
      <c r="AD89" s="44" t="s">
        <v>48</v>
      </c>
      <c r="AE89" s="59"/>
      <c r="AF89" s="57"/>
      <c r="AG89" s="57"/>
      <c r="AH89" s="58"/>
      <c r="AI89" s="58"/>
      <c r="AJ89" s="56"/>
      <c r="AK89" s="58"/>
      <c r="AL89" s="52">
        <v>18</v>
      </c>
      <c r="AM89" s="47" t="s">
        <v>50</v>
      </c>
      <c r="AN89" s="44" t="s">
        <v>51</v>
      </c>
      <c r="AO89" s="85"/>
      <c r="AP89" s="85"/>
    </row>
    <row r="90" spans="1:42" s="20" customFormat="1" ht="14.25" customHeight="1" x14ac:dyDescent="0.25">
      <c r="A90" s="43">
        <v>46052</v>
      </c>
      <c r="B90" s="43"/>
      <c r="C90" s="21" t="s">
        <v>52</v>
      </c>
      <c r="D90" s="14" t="s">
        <v>53</v>
      </c>
      <c r="E90" s="98">
        <v>7008</v>
      </c>
      <c r="F90" s="46" t="s">
        <v>54</v>
      </c>
      <c r="G90" s="23" t="s">
        <v>213</v>
      </c>
      <c r="H90" s="2" t="s">
        <v>214</v>
      </c>
      <c r="I90" s="45"/>
      <c r="J90" s="45"/>
      <c r="K90" s="53">
        <v>0</v>
      </c>
      <c r="L90" s="45"/>
      <c r="M90" s="45"/>
      <c r="N90" s="45"/>
      <c r="O90" s="54"/>
      <c r="P90" s="53">
        <f t="shared" si="0"/>
        <v>0</v>
      </c>
      <c r="Q90" s="76"/>
      <c r="R90" s="58"/>
      <c r="S90" s="58"/>
      <c r="T90" s="44"/>
      <c r="U90" s="57"/>
      <c r="V90" s="44" t="s">
        <v>47</v>
      </c>
      <c r="W90" s="58"/>
      <c r="X90" s="56">
        <v>46052</v>
      </c>
      <c r="Y90" s="44" t="s">
        <v>61</v>
      </c>
      <c r="Z90" s="58"/>
      <c r="AA90" s="58"/>
      <c r="AB90" s="44" t="s">
        <v>49</v>
      </c>
      <c r="AC90" s="58"/>
      <c r="AD90" s="44" t="s">
        <v>48</v>
      </c>
      <c r="AE90" s="59"/>
      <c r="AF90" s="57"/>
      <c r="AG90" s="57"/>
      <c r="AH90" s="58"/>
      <c r="AI90" s="58"/>
      <c r="AJ90" s="56"/>
      <c r="AK90" s="58"/>
      <c r="AL90" s="52">
        <v>18</v>
      </c>
      <c r="AM90" s="47" t="s">
        <v>64</v>
      </c>
      <c r="AN90" s="44" t="s">
        <v>51</v>
      </c>
      <c r="AO90" s="85"/>
      <c r="AP90" s="85"/>
    </row>
    <row r="91" spans="1:42" s="20" customFormat="1" ht="14.25" customHeight="1" x14ac:dyDescent="0.25">
      <c r="A91" s="43">
        <v>46052</v>
      </c>
      <c r="B91" s="43"/>
      <c r="C91" s="21" t="s">
        <v>52</v>
      </c>
      <c r="D91" s="14" t="s">
        <v>53</v>
      </c>
      <c r="E91" s="98">
        <v>7009</v>
      </c>
      <c r="F91" s="44" t="s">
        <v>54</v>
      </c>
      <c r="G91" s="23" t="s">
        <v>215</v>
      </c>
      <c r="H91" s="2" t="s">
        <v>216</v>
      </c>
      <c r="I91" s="45"/>
      <c r="J91" s="45"/>
      <c r="K91" s="53">
        <v>10816</v>
      </c>
      <c r="L91" s="45"/>
      <c r="M91" s="45"/>
      <c r="N91" s="45"/>
      <c r="O91" s="54"/>
      <c r="P91" s="53">
        <f t="shared" si="0"/>
        <v>10816</v>
      </c>
      <c r="Q91" s="76"/>
      <c r="R91" s="58"/>
      <c r="S91" s="58"/>
      <c r="T91" s="44"/>
      <c r="U91" s="57"/>
      <c r="V91" s="44" t="s">
        <v>47</v>
      </c>
      <c r="W91" s="58"/>
      <c r="X91" s="56">
        <v>46052</v>
      </c>
      <c r="Y91" s="44" t="s">
        <v>63</v>
      </c>
      <c r="Z91" s="44" t="s">
        <v>49</v>
      </c>
      <c r="AA91" s="58"/>
      <c r="AB91" s="44" t="s">
        <v>49</v>
      </c>
      <c r="AC91" s="58"/>
      <c r="AD91" s="44" t="s">
        <v>48</v>
      </c>
      <c r="AE91" s="59"/>
      <c r="AF91" s="57"/>
      <c r="AG91" s="57"/>
      <c r="AH91" s="58"/>
      <c r="AI91" s="58"/>
      <c r="AJ91" s="56"/>
      <c r="AK91" s="58"/>
      <c r="AL91" s="52">
        <v>18</v>
      </c>
      <c r="AM91" s="47" t="s">
        <v>50</v>
      </c>
      <c r="AN91" s="44" t="s">
        <v>51</v>
      </c>
      <c r="AO91" s="85"/>
      <c r="AP91" s="85"/>
    </row>
    <row r="92" spans="1:42" s="20" customFormat="1" ht="14.25" customHeight="1" x14ac:dyDescent="0.25">
      <c r="A92" s="43">
        <v>46052</v>
      </c>
      <c r="B92" s="43"/>
      <c r="C92" s="21" t="s">
        <v>52</v>
      </c>
      <c r="D92" s="14" t="s">
        <v>53</v>
      </c>
      <c r="E92" s="98">
        <v>7010</v>
      </c>
      <c r="F92" s="46" t="s">
        <v>54</v>
      </c>
      <c r="G92" s="23" t="s">
        <v>217</v>
      </c>
      <c r="H92" s="2" t="s">
        <v>293</v>
      </c>
      <c r="I92" s="45"/>
      <c r="J92" s="45"/>
      <c r="K92" s="53">
        <v>10816</v>
      </c>
      <c r="L92" s="45"/>
      <c r="M92" s="45"/>
      <c r="N92" s="45"/>
      <c r="O92" s="54"/>
      <c r="P92" s="53">
        <f t="shared" si="0"/>
        <v>10816</v>
      </c>
      <c r="Q92" s="76"/>
      <c r="R92" s="58"/>
      <c r="S92" s="58"/>
      <c r="T92" s="44"/>
      <c r="U92" s="57"/>
      <c r="V92" s="44" t="s">
        <v>47</v>
      </c>
      <c r="W92" s="58"/>
      <c r="X92" s="56">
        <v>46052</v>
      </c>
      <c r="Y92" s="44" t="s">
        <v>63</v>
      </c>
      <c r="Z92" s="44" t="s">
        <v>49</v>
      </c>
      <c r="AA92" s="58"/>
      <c r="AB92" s="44" t="s">
        <v>49</v>
      </c>
      <c r="AC92" s="58"/>
      <c r="AD92" s="44" t="s">
        <v>48</v>
      </c>
      <c r="AE92" s="59"/>
      <c r="AF92" s="57"/>
      <c r="AG92" s="57"/>
      <c r="AH92" s="58"/>
      <c r="AI92" s="58"/>
      <c r="AJ92" s="56"/>
      <c r="AK92" s="58"/>
      <c r="AL92" s="52">
        <v>18</v>
      </c>
      <c r="AM92" s="47" t="s">
        <v>50</v>
      </c>
      <c r="AN92" s="44" t="s">
        <v>51</v>
      </c>
      <c r="AO92" s="85"/>
      <c r="AP92" s="85"/>
    </row>
    <row r="93" spans="1:42" s="20" customFormat="1" ht="14.25" customHeight="1" x14ac:dyDescent="0.25">
      <c r="A93" s="43">
        <v>46052</v>
      </c>
      <c r="B93" s="43"/>
      <c r="C93" s="21" t="s">
        <v>52</v>
      </c>
      <c r="D93" s="14" t="s">
        <v>53</v>
      </c>
      <c r="E93" s="98">
        <v>7011</v>
      </c>
      <c r="F93" s="44" t="s">
        <v>54</v>
      </c>
      <c r="G93" s="23" t="s">
        <v>218</v>
      </c>
      <c r="H93" s="2" t="s">
        <v>219</v>
      </c>
      <c r="I93" s="45"/>
      <c r="J93" s="45"/>
      <c r="K93" s="53">
        <v>7068</v>
      </c>
      <c r="L93" s="45"/>
      <c r="M93" s="45"/>
      <c r="N93" s="45"/>
      <c r="O93" s="45"/>
      <c r="P93" s="53">
        <f t="shared" si="0"/>
        <v>7068</v>
      </c>
      <c r="Q93" s="75"/>
      <c r="R93" s="56"/>
      <c r="S93" s="58"/>
      <c r="T93" s="58"/>
      <c r="U93" s="58"/>
      <c r="V93" s="44" t="s">
        <v>47</v>
      </c>
      <c r="W93" s="57"/>
      <c r="X93" s="56">
        <v>46052</v>
      </c>
      <c r="Y93" s="44" t="s">
        <v>63</v>
      </c>
      <c r="Z93" s="58"/>
      <c r="AA93" s="58"/>
      <c r="AB93" s="44" t="s">
        <v>49</v>
      </c>
      <c r="AC93" s="58"/>
      <c r="AD93" s="44" t="s">
        <v>48</v>
      </c>
      <c r="AE93" s="59"/>
      <c r="AF93" s="57"/>
      <c r="AG93" s="57"/>
      <c r="AH93" s="58"/>
      <c r="AI93" s="58"/>
      <c r="AJ93" s="56"/>
      <c r="AK93" s="58"/>
      <c r="AL93" s="52">
        <v>18</v>
      </c>
      <c r="AM93" s="47" t="s">
        <v>50</v>
      </c>
      <c r="AN93" s="44" t="s">
        <v>51</v>
      </c>
      <c r="AO93" s="58"/>
      <c r="AP93" s="57"/>
    </row>
    <row r="94" spans="1:42" s="20" customFormat="1" ht="14.25" customHeight="1" x14ac:dyDescent="0.25">
      <c r="A94" s="43">
        <v>46052</v>
      </c>
      <c r="B94" s="43"/>
      <c r="C94" s="21" t="s">
        <v>52</v>
      </c>
      <c r="D94" s="14" t="s">
        <v>53</v>
      </c>
      <c r="E94" s="98">
        <v>7012</v>
      </c>
      <c r="F94" s="46" t="s">
        <v>54</v>
      </c>
      <c r="G94" s="23" t="s">
        <v>220</v>
      </c>
      <c r="H94" s="2" t="s">
        <v>221</v>
      </c>
      <c r="I94" s="45"/>
      <c r="J94" s="45"/>
      <c r="K94" s="53">
        <v>7068</v>
      </c>
      <c r="L94" s="45"/>
      <c r="M94" s="45"/>
      <c r="N94" s="45"/>
      <c r="O94" s="45"/>
      <c r="P94" s="53">
        <f t="shared" si="0"/>
        <v>7068</v>
      </c>
      <c r="Q94" s="75"/>
      <c r="R94" s="56"/>
      <c r="S94" s="58"/>
      <c r="T94" s="58"/>
      <c r="U94" s="58"/>
      <c r="V94" s="44" t="s">
        <v>47</v>
      </c>
      <c r="W94" s="57"/>
      <c r="X94" s="56">
        <v>46052</v>
      </c>
      <c r="Y94" s="44" t="s">
        <v>63</v>
      </c>
      <c r="Z94" s="58"/>
      <c r="AA94" s="58"/>
      <c r="AB94" s="44" t="s">
        <v>49</v>
      </c>
      <c r="AC94" s="58"/>
      <c r="AD94" s="44" t="s">
        <v>48</v>
      </c>
      <c r="AE94" s="59"/>
      <c r="AF94" s="57"/>
      <c r="AG94" s="57"/>
      <c r="AH94" s="58"/>
      <c r="AI94" s="58"/>
      <c r="AJ94" s="56"/>
      <c r="AK94" s="58"/>
      <c r="AL94" s="52">
        <v>18</v>
      </c>
      <c r="AM94" s="47" t="s">
        <v>50</v>
      </c>
      <c r="AN94" s="44" t="s">
        <v>51</v>
      </c>
      <c r="AO94" s="58"/>
      <c r="AP94" s="57"/>
    </row>
    <row r="95" spans="1:42" s="20" customFormat="1" ht="14.25" customHeight="1" x14ac:dyDescent="0.25">
      <c r="A95" s="43">
        <v>46053</v>
      </c>
      <c r="B95" s="43"/>
      <c r="C95" s="21" t="s">
        <v>52</v>
      </c>
      <c r="D95" s="14" t="s">
        <v>53</v>
      </c>
      <c r="E95" s="98">
        <v>7013</v>
      </c>
      <c r="F95" s="46" t="s">
        <v>54</v>
      </c>
      <c r="G95" s="23" t="s">
        <v>222</v>
      </c>
      <c r="H95" s="2" t="s">
        <v>223</v>
      </c>
      <c r="I95" s="45"/>
      <c r="J95" s="45"/>
      <c r="K95" s="53">
        <v>7780</v>
      </c>
      <c r="L95" s="45"/>
      <c r="M95" s="45"/>
      <c r="N95" s="45"/>
      <c r="O95" s="45"/>
      <c r="P95" s="53">
        <f t="shared" si="0"/>
        <v>7780</v>
      </c>
      <c r="Q95" s="75"/>
      <c r="R95" s="56"/>
      <c r="S95" s="58"/>
      <c r="T95" s="58"/>
      <c r="U95" s="58"/>
      <c r="V95" s="44" t="s">
        <v>47</v>
      </c>
      <c r="W95" s="57"/>
      <c r="X95" s="56">
        <v>46053</v>
      </c>
      <c r="Y95" s="44" t="s">
        <v>63</v>
      </c>
      <c r="Z95" s="58"/>
      <c r="AA95" s="58"/>
      <c r="AB95" s="44" t="s">
        <v>49</v>
      </c>
      <c r="AC95" s="58"/>
      <c r="AD95" s="44" t="s">
        <v>48</v>
      </c>
      <c r="AE95" s="59"/>
      <c r="AF95" s="57"/>
      <c r="AG95" s="57"/>
      <c r="AH95" s="58"/>
      <c r="AI95" s="58"/>
      <c r="AJ95" s="56"/>
      <c r="AK95" s="58"/>
      <c r="AL95" s="52">
        <v>18</v>
      </c>
      <c r="AM95" s="47" t="s">
        <v>50</v>
      </c>
      <c r="AN95" s="44" t="s">
        <v>51</v>
      </c>
      <c r="AO95" s="58"/>
      <c r="AP95" s="57"/>
    </row>
    <row r="96" spans="1:42" s="20" customFormat="1" ht="14.25" customHeight="1" x14ac:dyDescent="0.25">
      <c r="A96" s="43">
        <v>46053</v>
      </c>
      <c r="B96" s="43"/>
      <c r="C96" s="21" t="s">
        <v>52</v>
      </c>
      <c r="D96" s="14" t="s">
        <v>53</v>
      </c>
      <c r="E96" s="98">
        <v>7014</v>
      </c>
      <c r="F96" s="44" t="s">
        <v>54</v>
      </c>
      <c r="G96" s="23" t="s">
        <v>224</v>
      </c>
      <c r="H96" s="2" t="s">
        <v>292</v>
      </c>
      <c r="I96" s="45"/>
      <c r="J96" s="45"/>
      <c r="K96" s="53">
        <v>7780</v>
      </c>
      <c r="L96" s="45"/>
      <c r="M96" s="45"/>
      <c r="N96" s="45"/>
      <c r="O96" s="45"/>
      <c r="P96" s="53">
        <f t="shared" si="0"/>
        <v>7780</v>
      </c>
      <c r="Q96" s="75"/>
      <c r="R96" s="56"/>
      <c r="S96" s="58"/>
      <c r="T96" s="58"/>
      <c r="U96" s="58"/>
      <c r="V96" s="44" t="s">
        <v>47</v>
      </c>
      <c r="W96" s="57"/>
      <c r="X96" s="56">
        <v>46053</v>
      </c>
      <c r="Y96" s="44" t="s">
        <v>63</v>
      </c>
      <c r="Z96" s="58"/>
      <c r="AA96" s="58"/>
      <c r="AB96" s="44" t="s">
        <v>49</v>
      </c>
      <c r="AC96" s="58"/>
      <c r="AD96" s="44" t="s">
        <v>48</v>
      </c>
      <c r="AE96" s="59"/>
      <c r="AF96" s="57"/>
      <c r="AG96" s="57"/>
      <c r="AH96" s="58"/>
      <c r="AI96" s="58"/>
      <c r="AJ96" s="56"/>
      <c r="AK96" s="58"/>
      <c r="AL96" s="52">
        <v>18</v>
      </c>
      <c r="AM96" s="47" t="s">
        <v>50</v>
      </c>
      <c r="AN96" s="44" t="s">
        <v>51</v>
      </c>
      <c r="AO96" s="58"/>
      <c r="AP96" s="57"/>
    </row>
    <row r="97" spans="1:42" s="37" customFormat="1" ht="15.75" customHeight="1" x14ac:dyDescent="0.25">
      <c r="A97" s="40"/>
      <c r="B97" s="40"/>
      <c r="C97" s="40"/>
      <c r="D97" s="40"/>
      <c r="E97" s="40"/>
      <c r="F97" s="40"/>
      <c r="G97" s="40"/>
      <c r="H97" s="40"/>
      <c r="I97" s="40"/>
      <c r="J97" s="40"/>
      <c r="K97" s="40"/>
      <c r="L97" s="40"/>
      <c r="M97" s="40"/>
      <c r="N97" s="40"/>
      <c r="O97" s="40"/>
      <c r="P97" s="40"/>
      <c r="Q97" s="77"/>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row>
    <row r="98" spans="1:42" s="28" customFormat="1" ht="15" customHeight="1" x14ac:dyDescent="0.25">
      <c r="A98" s="43">
        <v>46029</v>
      </c>
      <c r="B98" s="18"/>
      <c r="C98" s="22" t="s">
        <v>45</v>
      </c>
      <c r="D98" s="23" t="s">
        <v>55</v>
      </c>
      <c r="E98" s="98">
        <v>843</v>
      </c>
      <c r="F98" s="15" t="s">
        <v>46</v>
      </c>
      <c r="G98" s="23" t="s">
        <v>225</v>
      </c>
      <c r="H98" s="71" t="s">
        <v>226</v>
      </c>
      <c r="I98" s="17"/>
      <c r="J98" s="17"/>
      <c r="K98" s="16">
        <v>8070</v>
      </c>
      <c r="L98" s="24"/>
      <c r="M98" s="24"/>
      <c r="N98" s="24"/>
      <c r="O98" s="24"/>
      <c r="P98" s="16">
        <f t="shared" ref="P98:P101" si="2">K98</f>
        <v>8070</v>
      </c>
      <c r="Q98" s="78"/>
      <c r="R98" s="25"/>
      <c r="S98" s="26"/>
      <c r="T98" s="26"/>
      <c r="U98" s="26"/>
      <c r="V98" s="15" t="s">
        <v>47</v>
      </c>
      <c r="W98" s="24"/>
      <c r="X98" s="25">
        <v>46029</v>
      </c>
      <c r="Y98" s="15" t="s">
        <v>63</v>
      </c>
      <c r="Z98" s="26"/>
      <c r="AA98" s="26"/>
      <c r="AB98" s="15" t="s">
        <v>49</v>
      </c>
      <c r="AC98" s="26"/>
      <c r="AD98" s="44" t="s">
        <v>48</v>
      </c>
      <c r="AE98" s="27"/>
      <c r="AF98" s="24"/>
      <c r="AG98" s="24"/>
      <c r="AH98" s="26"/>
      <c r="AI98" s="26"/>
      <c r="AJ98" s="25"/>
      <c r="AK98" s="26"/>
      <c r="AL98" s="17">
        <v>18</v>
      </c>
      <c r="AM98" s="19" t="s">
        <v>50</v>
      </c>
      <c r="AN98" s="15" t="s">
        <v>51</v>
      </c>
      <c r="AO98" s="26"/>
      <c r="AP98" s="24"/>
    </row>
    <row r="99" spans="1:42" s="28" customFormat="1" ht="15" customHeight="1" x14ac:dyDescent="0.25">
      <c r="A99" s="43">
        <v>46048</v>
      </c>
      <c r="B99" s="18"/>
      <c r="C99" s="22" t="s">
        <v>45</v>
      </c>
      <c r="D99" s="23" t="s">
        <v>55</v>
      </c>
      <c r="E99" s="98">
        <v>844</v>
      </c>
      <c r="F99" s="15" t="s">
        <v>46</v>
      </c>
      <c r="G99" s="23" t="s">
        <v>227</v>
      </c>
      <c r="H99" s="71" t="s">
        <v>228</v>
      </c>
      <c r="I99" s="17"/>
      <c r="J99" s="17"/>
      <c r="K99" s="16">
        <v>5280</v>
      </c>
      <c r="L99" s="24"/>
      <c r="M99" s="24"/>
      <c r="N99" s="24"/>
      <c r="O99" s="24"/>
      <c r="P99" s="16">
        <f t="shared" si="2"/>
        <v>5280</v>
      </c>
      <c r="Q99" s="78"/>
      <c r="R99" s="25"/>
      <c r="S99" s="26"/>
      <c r="T99" s="26"/>
      <c r="U99" s="26"/>
      <c r="V99" s="15" t="s">
        <v>47</v>
      </c>
      <c r="W99" s="24"/>
      <c r="X99" s="25">
        <v>46048</v>
      </c>
      <c r="Y99" s="15" t="s">
        <v>63</v>
      </c>
      <c r="Z99" s="26"/>
      <c r="AA99" s="26"/>
      <c r="AB99" s="15" t="s">
        <v>49</v>
      </c>
      <c r="AC99" s="26"/>
      <c r="AD99" s="44" t="s">
        <v>48</v>
      </c>
      <c r="AE99" s="27"/>
      <c r="AF99" s="24"/>
      <c r="AG99" s="24"/>
      <c r="AH99" s="26"/>
      <c r="AI99" s="26"/>
      <c r="AJ99" s="25"/>
      <c r="AK99" s="26"/>
      <c r="AL99" s="17">
        <v>18</v>
      </c>
      <c r="AM99" s="19" t="s">
        <v>50</v>
      </c>
      <c r="AN99" s="15" t="s">
        <v>51</v>
      </c>
      <c r="AO99" s="26"/>
      <c r="AP99" s="24"/>
    </row>
    <row r="100" spans="1:42" s="28" customFormat="1" ht="15" customHeight="1" x14ac:dyDescent="0.25">
      <c r="A100" s="43">
        <v>46048</v>
      </c>
      <c r="B100" s="18"/>
      <c r="C100" s="22" t="s">
        <v>45</v>
      </c>
      <c r="D100" s="23" t="s">
        <v>55</v>
      </c>
      <c r="E100" s="98">
        <v>845</v>
      </c>
      <c r="F100" s="15" t="s">
        <v>46</v>
      </c>
      <c r="G100" s="23" t="s">
        <v>227</v>
      </c>
      <c r="H100" s="71" t="s">
        <v>228</v>
      </c>
      <c r="I100" s="17"/>
      <c r="J100" s="17"/>
      <c r="K100" s="16">
        <v>0</v>
      </c>
      <c r="L100" s="24"/>
      <c r="M100" s="24"/>
      <c r="N100" s="24"/>
      <c r="O100" s="24"/>
      <c r="P100" s="16">
        <f t="shared" si="2"/>
        <v>0</v>
      </c>
      <c r="Q100" s="78"/>
      <c r="R100" s="25"/>
      <c r="S100" s="26"/>
      <c r="T100" s="26"/>
      <c r="U100" s="26"/>
      <c r="V100" s="15" t="s">
        <v>47</v>
      </c>
      <c r="W100" s="24"/>
      <c r="X100" s="25">
        <v>46048</v>
      </c>
      <c r="Y100" s="15" t="s">
        <v>61</v>
      </c>
      <c r="Z100" s="26"/>
      <c r="AA100" s="26"/>
      <c r="AB100" s="15" t="s">
        <v>49</v>
      </c>
      <c r="AC100" s="26"/>
      <c r="AD100" s="44" t="s">
        <v>48</v>
      </c>
      <c r="AE100" s="27"/>
      <c r="AF100" s="24"/>
      <c r="AG100" s="24"/>
      <c r="AH100" s="26"/>
      <c r="AI100" s="26"/>
      <c r="AJ100" s="25"/>
      <c r="AK100" s="26"/>
      <c r="AL100" s="17">
        <v>18</v>
      </c>
      <c r="AM100" s="47" t="s">
        <v>64</v>
      </c>
      <c r="AN100" s="15" t="s">
        <v>51</v>
      </c>
      <c r="AO100" s="26"/>
      <c r="AP100" s="24"/>
    </row>
    <row r="101" spans="1:42" s="28" customFormat="1" ht="15" customHeight="1" x14ac:dyDescent="0.25">
      <c r="A101" s="43">
        <v>46048</v>
      </c>
      <c r="B101" s="18"/>
      <c r="C101" s="22" t="s">
        <v>45</v>
      </c>
      <c r="D101" s="23" t="s">
        <v>55</v>
      </c>
      <c r="E101" s="98">
        <v>846</v>
      </c>
      <c r="F101" s="15" t="s">
        <v>46</v>
      </c>
      <c r="G101" s="23" t="s">
        <v>229</v>
      </c>
      <c r="H101" s="71" t="s">
        <v>230</v>
      </c>
      <c r="I101" s="17"/>
      <c r="J101" s="17"/>
      <c r="K101" s="16">
        <v>7760</v>
      </c>
      <c r="L101" s="24"/>
      <c r="M101" s="24"/>
      <c r="N101" s="24"/>
      <c r="O101" s="24"/>
      <c r="P101" s="16">
        <f t="shared" si="2"/>
        <v>7760</v>
      </c>
      <c r="Q101" s="78"/>
      <c r="R101" s="25"/>
      <c r="S101" s="26"/>
      <c r="T101" s="26"/>
      <c r="U101" s="26"/>
      <c r="V101" s="15" t="s">
        <v>47</v>
      </c>
      <c r="W101" s="24"/>
      <c r="X101" s="25">
        <v>46048</v>
      </c>
      <c r="Y101" s="15" t="s">
        <v>63</v>
      </c>
      <c r="Z101" s="26"/>
      <c r="AA101" s="26"/>
      <c r="AB101" s="15" t="s">
        <v>49</v>
      </c>
      <c r="AC101" s="26"/>
      <c r="AD101" s="44" t="s">
        <v>48</v>
      </c>
      <c r="AE101" s="27"/>
      <c r="AF101" s="24"/>
      <c r="AG101" s="24"/>
      <c r="AH101" s="26"/>
      <c r="AI101" s="26"/>
      <c r="AJ101" s="25"/>
      <c r="AK101" s="26"/>
      <c r="AL101" s="17">
        <v>18</v>
      </c>
      <c r="AM101" s="19" t="s">
        <v>50</v>
      </c>
      <c r="AN101" s="15" t="s">
        <v>51</v>
      </c>
      <c r="AO101" s="26"/>
      <c r="AP101" s="24"/>
    </row>
    <row r="102" spans="1:42" s="28" customFormat="1" ht="15" customHeight="1" x14ac:dyDescent="0.25">
      <c r="A102" s="43">
        <v>46048</v>
      </c>
      <c r="B102" s="18"/>
      <c r="C102" s="22" t="s">
        <v>45</v>
      </c>
      <c r="D102" s="23" t="s">
        <v>55</v>
      </c>
      <c r="E102" s="98">
        <v>847</v>
      </c>
      <c r="F102" s="15" t="s">
        <v>46</v>
      </c>
      <c r="G102" s="23" t="s">
        <v>229</v>
      </c>
      <c r="H102" s="71" t="s">
        <v>230</v>
      </c>
      <c r="I102" s="17"/>
      <c r="J102" s="17"/>
      <c r="K102" s="16">
        <v>0</v>
      </c>
      <c r="L102" s="24"/>
      <c r="M102" s="24"/>
      <c r="N102" s="24"/>
      <c r="O102" s="24"/>
      <c r="P102" s="16">
        <f t="shared" ref="P102:P103" si="3">K102</f>
        <v>0</v>
      </c>
      <c r="Q102" s="78"/>
      <c r="R102" s="25"/>
      <c r="S102" s="26"/>
      <c r="T102" s="26"/>
      <c r="U102" s="26"/>
      <c r="V102" s="15" t="s">
        <v>47</v>
      </c>
      <c r="W102" s="24"/>
      <c r="X102" s="25">
        <v>46048</v>
      </c>
      <c r="Y102" s="15" t="s">
        <v>61</v>
      </c>
      <c r="Z102" s="26"/>
      <c r="AA102" s="26"/>
      <c r="AB102" s="15" t="s">
        <v>49</v>
      </c>
      <c r="AC102" s="26"/>
      <c r="AD102" s="44" t="s">
        <v>48</v>
      </c>
      <c r="AE102" s="27"/>
      <c r="AF102" s="24"/>
      <c r="AG102" s="24"/>
      <c r="AH102" s="26"/>
      <c r="AI102" s="26"/>
      <c r="AJ102" s="25"/>
      <c r="AK102" s="26"/>
      <c r="AL102" s="17">
        <v>18</v>
      </c>
      <c r="AM102" s="47" t="s">
        <v>64</v>
      </c>
      <c r="AN102" s="15" t="s">
        <v>51</v>
      </c>
      <c r="AO102" s="26"/>
      <c r="AP102" s="24"/>
    </row>
    <row r="103" spans="1:42" s="28" customFormat="1" ht="15" customHeight="1" x14ac:dyDescent="0.25">
      <c r="A103" s="43">
        <v>46048</v>
      </c>
      <c r="B103" s="18"/>
      <c r="C103" s="22" t="s">
        <v>45</v>
      </c>
      <c r="D103" s="23" t="s">
        <v>55</v>
      </c>
      <c r="E103" s="98">
        <v>848</v>
      </c>
      <c r="F103" s="15" t="s">
        <v>46</v>
      </c>
      <c r="G103" s="23" t="s">
        <v>231</v>
      </c>
      <c r="H103" s="71" t="s">
        <v>232</v>
      </c>
      <c r="I103" s="17"/>
      <c r="J103" s="17"/>
      <c r="K103" s="16">
        <v>7630</v>
      </c>
      <c r="L103" s="24"/>
      <c r="M103" s="24"/>
      <c r="N103" s="24"/>
      <c r="O103" s="24"/>
      <c r="P103" s="16">
        <f t="shared" si="3"/>
        <v>7630</v>
      </c>
      <c r="Q103" s="78"/>
      <c r="R103" s="25"/>
      <c r="S103" s="26"/>
      <c r="T103" s="26"/>
      <c r="U103" s="26"/>
      <c r="V103" s="15" t="s">
        <v>47</v>
      </c>
      <c r="W103" s="24"/>
      <c r="X103" s="25">
        <v>46048</v>
      </c>
      <c r="Y103" s="15" t="s">
        <v>63</v>
      </c>
      <c r="Z103" s="26"/>
      <c r="AA103" s="26"/>
      <c r="AB103" s="15" t="s">
        <v>49</v>
      </c>
      <c r="AC103" s="26"/>
      <c r="AD103" s="44" t="s">
        <v>48</v>
      </c>
      <c r="AE103" s="27"/>
      <c r="AF103" s="24"/>
      <c r="AG103" s="24"/>
      <c r="AH103" s="26"/>
      <c r="AI103" s="26"/>
      <c r="AJ103" s="25"/>
      <c r="AK103" s="26"/>
      <c r="AL103" s="17">
        <v>18</v>
      </c>
      <c r="AM103" s="19" t="s">
        <v>50</v>
      </c>
      <c r="AN103" s="15" t="s">
        <v>51</v>
      </c>
      <c r="AO103" s="26"/>
      <c r="AP103" s="24"/>
    </row>
    <row r="104" spans="1:42" s="28" customFormat="1" ht="15" customHeight="1" x14ac:dyDescent="0.25">
      <c r="A104" s="43">
        <v>46048</v>
      </c>
      <c r="B104" s="18"/>
      <c r="C104" s="22" t="s">
        <v>45</v>
      </c>
      <c r="D104" s="23" t="s">
        <v>55</v>
      </c>
      <c r="E104" s="98">
        <v>849</v>
      </c>
      <c r="F104" s="15" t="s">
        <v>46</v>
      </c>
      <c r="G104" s="23" t="s">
        <v>231</v>
      </c>
      <c r="H104" s="71" t="s">
        <v>232</v>
      </c>
      <c r="I104" s="17"/>
      <c r="J104" s="17"/>
      <c r="K104" s="16">
        <v>0</v>
      </c>
      <c r="L104" s="24"/>
      <c r="M104" s="24"/>
      <c r="N104" s="24"/>
      <c r="O104" s="24"/>
      <c r="P104" s="16">
        <f t="shared" ref="P104:P105" si="4">K104</f>
        <v>0</v>
      </c>
      <c r="Q104" s="78"/>
      <c r="R104" s="25"/>
      <c r="S104" s="26"/>
      <c r="T104" s="26"/>
      <c r="U104" s="26"/>
      <c r="V104" s="15" t="s">
        <v>47</v>
      </c>
      <c r="W104" s="24"/>
      <c r="X104" s="25">
        <v>46048</v>
      </c>
      <c r="Y104" s="15" t="s">
        <v>61</v>
      </c>
      <c r="Z104" s="26"/>
      <c r="AA104" s="26"/>
      <c r="AB104" s="15" t="s">
        <v>49</v>
      </c>
      <c r="AC104" s="26"/>
      <c r="AD104" s="44" t="s">
        <v>48</v>
      </c>
      <c r="AE104" s="27"/>
      <c r="AF104" s="24"/>
      <c r="AG104" s="24"/>
      <c r="AH104" s="26"/>
      <c r="AI104" s="26"/>
      <c r="AJ104" s="25"/>
      <c r="AK104" s="26"/>
      <c r="AL104" s="17">
        <v>18</v>
      </c>
      <c r="AM104" s="47" t="s">
        <v>64</v>
      </c>
      <c r="AN104" s="15" t="s">
        <v>51</v>
      </c>
      <c r="AO104" s="26"/>
      <c r="AP104" s="24"/>
    </row>
    <row r="105" spans="1:42" s="28" customFormat="1" ht="15" customHeight="1" x14ac:dyDescent="0.25">
      <c r="A105" s="43">
        <v>46051</v>
      </c>
      <c r="B105" s="18"/>
      <c r="C105" s="22" t="s">
        <v>45</v>
      </c>
      <c r="D105" s="23" t="s">
        <v>55</v>
      </c>
      <c r="E105" s="98">
        <v>850</v>
      </c>
      <c r="F105" s="15" t="s">
        <v>46</v>
      </c>
      <c r="G105" s="23" t="s">
        <v>233</v>
      </c>
      <c r="H105" s="71" t="s">
        <v>234</v>
      </c>
      <c r="I105" s="17"/>
      <c r="J105" s="17"/>
      <c r="K105" s="16">
        <v>7202</v>
      </c>
      <c r="L105" s="24"/>
      <c r="M105" s="24"/>
      <c r="N105" s="24"/>
      <c r="O105" s="24"/>
      <c r="P105" s="16">
        <f t="shared" si="4"/>
        <v>7202</v>
      </c>
      <c r="Q105" s="78"/>
      <c r="R105" s="25"/>
      <c r="S105" s="26"/>
      <c r="T105" s="26"/>
      <c r="U105" s="26"/>
      <c r="V105" s="15" t="s">
        <v>47</v>
      </c>
      <c r="W105" s="24"/>
      <c r="X105" s="25">
        <v>46051</v>
      </c>
      <c r="Y105" s="15" t="s">
        <v>63</v>
      </c>
      <c r="Z105" s="26"/>
      <c r="AA105" s="26"/>
      <c r="AB105" s="15" t="s">
        <v>49</v>
      </c>
      <c r="AC105" s="26"/>
      <c r="AD105" s="44" t="s">
        <v>48</v>
      </c>
      <c r="AE105" s="27"/>
      <c r="AF105" s="24"/>
      <c r="AG105" s="24"/>
      <c r="AH105" s="26"/>
      <c r="AI105" s="26"/>
      <c r="AJ105" s="25"/>
      <c r="AK105" s="26"/>
      <c r="AL105" s="17">
        <v>18</v>
      </c>
      <c r="AM105" s="19" t="s">
        <v>50</v>
      </c>
      <c r="AN105" s="15" t="s">
        <v>51</v>
      </c>
      <c r="AO105" s="26"/>
      <c r="AP105" s="24"/>
    </row>
    <row r="106" spans="1:42" s="74" customFormat="1" ht="15.75" customHeight="1" x14ac:dyDescent="0.25">
      <c r="A106" s="73"/>
      <c r="B106" s="73"/>
      <c r="C106" s="73"/>
      <c r="D106" s="73"/>
      <c r="E106" s="73"/>
      <c r="F106" s="73"/>
      <c r="G106" s="73"/>
      <c r="H106" s="73"/>
      <c r="I106" s="73"/>
      <c r="J106" s="73"/>
      <c r="K106" s="73"/>
      <c r="L106" s="73"/>
      <c r="M106" s="73"/>
      <c r="N106" s="73"/>
      <c r="O106" s="73"/>
      <c r="P106" s="73"/>
      <c r="Q106" s="79"/>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row>
    <row r="107" spans="1:42" s="70" customFormat="1" ht="15" customHeight="1" x14ac:dyDescent="0.25">
      <c r="A107" s="50">
        <v>46045</v>
      </c>
      <c r="B107" s="62"/>
      <c r="C107" s="63" t="s">
        <v>56</v>
      </c>
      <c r="D107" s="64" t="s">
        <v>53</v>
      </c>
      <c r="E107" s="99">
        <v>168</v>
      </c>
      <c r="F107" s="63" t="s">
        <v>60</v>
      </c>
      <c r="G107" s="42" t="s">
        <v>237</v>
      </c>
      <c r="H107" s="72" t="s">
        <v>238</v>
      </c>
      <c r="I107" s="66"/>
      <c r="J107" s="66"/>
      <c r="K107" s="67">
        <v>-50</v>
      </c>
      <c r="L107" s="66"/>
      <c r="M107" s="66"/>
      <c r="N107" s="66"/>
      <c r="O107" s="66"/>
      <c r="P107" s="67">
        <f>K107</f>
        <v>-50</v>
      </c>
      <c r="Q107" s="80"/>
      <c r="R107" s="68">
        <v>45779</v>
      </c>
      <c r="S107" s="69" t="s">
        <v>52</v>
      </c>
      <c r="T107" s="69" t="s">
        <v>79</v>
      </c>
      <c r="U107" s="69" t="s">
        <v>243</v>
      </c>
      <c r="V107" s="65" t="s">
        <v>47</v>
      </c>
      <c r="W107" s="66"/>
      <c r="X107" s="68">
        <v>46045</v>
      </c>
      <c r="Y107" s="65" t="s">
        <v>63</v>
      </c>
      <c r="Z107" s="69"/>
      <c r="AA107" s="69"/>
      <c r="AB107" s="65" t="s">
        <v>49</v>
      </c>
      <c r="AC107" s="69"/>
      <c r="AD107" s="65" t="s">
        <v>48</v>
      </c>
      <c r="AE107" s="86"/>
      <c r="AF107" s="66"/>
      <c r="AG107" s="66"/>
      <c r="AH107" s="69"/>
      <c r="AI107" s="69"/>
      <c r="AJ107" s="68"/>
      <c r="AK107" s="69"/>
      <c r="AL107" s="87">
        <v>18</v>
      </c>
      <c r="AM107" s="88" t="s">
        <v>57</v>
      </c>
      <c r="AN107" s="65" t="s">
        <v>51</v>
      </c>
      <c r="AO107" s="69"/>
      <c r="AP107" s="66"/>
    </row>
    <row r="108" spans="1:42" s="70" customFormat="1" ht="15" customHeight="1" x14ac:dyDescent="0.25">
      <c r="A108" s="50">
        <v>46052</v>
      </c>
      <c r="B108" s="62"/>
      <c r="C108" s="63" t="s">
        <v>56</v>
      </c>
      <c r="D108" s="64" t="s">
        <v>53</v>
      </c>
      <c r="E108" s="99">
        <v>169</v>
      </c>
      <c r="F108" s="63" t="s">
        <v>60</v>
      </c>
      <c r="G108" s="42" t="s">
        <v>239</v>
      </c>
      <c r="H108" s="72" t="s">
        <v>240</v>
      </c>
      <c r="I108" s="66"/>
      <c r="J108" s="66"/>
      <c r="K108" s="67">
        <v>-55.01</v>
      </c>
      <c r="L108" s="66"/>
      <c r="M108" s="66"/>
      <c r="N108" s="66"/>
      <c r="O108" s="66"/>
      <c r="P108" s="67">
        <f>K108</f>
        <v>-55.01</v>
      </c>
      <c r="Q108" s="80"/>
      <c r="R108" s="68">
        <v>45912</v>
      </c>
      <c r="S108" s="69" t="s">
        <v>58</v>
      </c>
      <c r="T108" s="69" t="s">
        <v>79</v>
      </c>
      <c r="U108" s="69" t="s">
        <v>244</v>
      </c>
      <c r="V108" s="65" t="s">
        <v>47</v>
      </c>
      <c r="W108" s="66"/>
      <c r="X108" s="68">
        <v>46052</v>
      </c>
      <c r="Y108" s="65" t="s">
        <v>63</v>
      </c>
      <c r="Z108" s="69"/>
      <c r="AA108" s="69"/>
      <c r="AB108" s="65" t="s">
        <v>49</v>
      </c>
      <c r="AC108" s="69"/>
      <c r="AD108" s="65" t="s">
        <v>48</v>
      </c>
      <c r="AE108" s="86"/>
      <c r="AF108" s="66"/>
      <c r="AG108" s="66"/>
      <c r="AH108" s="69"/>
      <c r="AI108" s="69"/>
      <c r="AJ108" s="68"/>
      <c r="AK108" s="69"/>
      <c r="AL108" s="87">
        <v>18</v>
      </c>
      <c r="AM108" s="88" t="s">
        <v>57</v>
      </c>
      <c r="AN108" s="65" t="s">
        <v>51</v>
      </c>
      <c r="AO108" s="69"/>
      <c r="AP108" s="66"/>
    </row>
    <row r="109" spans="1:42" s="70" customFormat="1" ht="15" customHeight="1" x14ac:dyDescent="0.25">
      <c r="A109" s="50">
        <v>46052</v>
      </c>
      <c r="B109" s="62"/>
      <c r="C109" s="63" t="s">
        <v>56</v>
      </c>
      <c r="D109" s="64" t="s">
        <v>53</v>
      </c>
      <c r="E109" s="99">
        <v>170</v>
      </c>
      <c r="F109" s="63" t="s">
        <v>60</v>
      </c>
      <c r="G109" s="42" t="s">
        <v>241</v>
      </c>
      <c r="H109" s="72" t="s">
        <v>242</v>
      </c>
      <c r="I109" s="66"/>
      <c r="J109" s="66"/>
      <c r="K109" s="67">
        <v>-198.5</v>
      </c>
      <c r="L109" s="66"/>
      <c r="M109" s="66"/>
      <c r="N109" s="66"/>
      <c r="O109" s="66"/>
      <c r="P109" s="67">
        <f>K109</f>
        <v>-198.5</v>
      </c>
      <c r="Q109" s="80"/>
      <c r="R109" s="68">
        <v>45924</v>
      </c>
      <c r="S109" s="69" t="s">
        <v>58</v>
      </c>
      <c r="T109" s="69" t="s">
        <v>79</v>
      </c>
      <c r="U109" s="69" t="s">
        <v>245</v>
      </c>
      <c r="V109" s="65" t="s">
        <v>47</v>
      </c>
      <c r="W109" s="66"/>
      <c r="X109" s="68">
        <v>46052</v>
      </c>
      <c r="Y109" s="65" t="s">
        <v>63</v>
      </c>
      <c r="Z109" s="69"/>
      <c r="AA109" s="69"/>
      <c r="AB109" s="65" t="s">
        <v>49</v>
      </c>
      <c r="AC109" s="69"/>
      <c r="AD109" s="65" t="s">
        <v>48</v>
      </c>
      <c r="AE109" s="86"/>
      <c r="AF109" s="66"/>
      <c r="AG109" s="66"/>
      <c r="AH109" s="69"/>
      <c r="AI109" s="69"/>
      <c r="AJ109" s="68"/>
      <c r="AK109" s="69"/>
      <c r="AL109" s="87">
        <v>18</v>
      </c>
      <c r="AM109" s="88" t="s">
        <v>57</v>
      </c>
      <c r="AN109" s="65" t="s">
        <v>51</v>
      </c>
      <c r="AO109" s="69"/>
      <c r="AP109" s="66"/>
    </row>
    <row r="110" spans="1:42" s="74" customFormat="1" ht="15.75" customHeight="1" x14ac:dyDescent="0.25">
      <c r="A110" s="73"/>
      <c r="B110" s="73"/>
      <c r="C110" s="73"/>
      <c r="D110" s="73"/>
      <c r="E110" s="73"/>
      <c r="F110" s="73"/>
      <c r="G110" s="73"/>
      <c r="H110" s="73"/>
      <c r="I110" s="73"/>
      <c r="J110" s="73"/>
      <c r="K110" s="73"/>
      <c r="L110" s="73"/>
      <c r="M110" s="73"/>
      <c r="N110" s="73"/>
      <c r="O110" s="73"/>
      <c r="P110" s="73"/>
      <c r="Q110" s="79"/>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row>
    <row r="111" spans="1:42" s="70" customFormat="1" ht="15" customHeight="1" x14ac:dyDescent="0.25">
      <c r="A111" s="50">
        <v>46037</v>
      </c>
      <c r="B111" s="62"/>
      <c r="C111" s="63" t="s">
        <v>56</v>
      </c>
      <c r="D111" s="64" t="s">
        <v>55</v>
      </c>
      <c r="E111" s="99">
        <v>140</v>
      </c>
      <c r="F111" s="63" t="s">
        <v>46</v>
      </c>
      <c r="G111" s="42" t="s">
        <v>235</v>
      </c>
      <c r="H111" s="72" t="s">
        <v>236</v>
      </c>
      <c r="I111" s="66"/>
      <c r="J111" s="66"/>
      <c r="K111" s="67">
        <v>-12580</v>
      </c>
      <c r="L111" s="66"/>
      <c r="M111" s="66"/>
      <c r="N111" s="66"/>
      <c r="O111" s="66"/>
      <c r="P111" s="67">
        <f>K111</f>
        <v>-12580</v>
      </c>
      <c r="Q111" s="80"/>
      <c r="R111" s="68">
        <v>45999</v>
      </c>
      <c r="S111" s="69" t="s">
        <v>45</v>
      </c>
      <c r="T111" s="69" t="s">
        <v>78</v>
      </c>
      <c r="U111" s="69" t="s">
        <v>246</v>
      </c>
      <c r="V111" s="65" t="s">
        <v>47</v>
      </c>
      <c r="W111" s="66"/>
      <c r="X111" s="68">
        <v>46037</v>
      </c>
      <c r="Y111" s="65" t="s">
        <v>63</v>
      </c>
      <c r="Z111" s="69"/>
      <c r="AA111" s="69"/>
      <c r="AB111" s="65" t="s">
        <v>49</v>
      </c>
      <c r="AC111" s="69"/>
      <c r="AD111" s="65" t="s">
        <v>48</v>
      </c>
      <c r="AE111" s="86"/>
      <c r="AF111" s="66"/>
      <c r="AG111" s="66"/>
      <c r="AH111" s="69"/>
      <c r="AI111" s="69"/>
      <c r="AJ111" s="68"/>
      <c r="AK111" s="69"/>
      <c r="AL111" s="87">
        <v>18</v>
      </c>
      <c r="AM111" s="88" t="s">
        <v>57</v>
      </c>
      <c r="AN111" s="65" t="s">
        <v>51</v>
      </c>
      <c r="AO111" s="69"/>
      <c r="AP111" s="66"/>
    </row>
    <row r="112" spans="1:42" s="74" customFormat="1" ht="15.75" customHeight="1" x14ac:dyDescent="0.25">
      <c r="A112" s="73"/>
      <c r="B112" s="73"/>
      <c r="C112" s="73"/>
      <c r="D112" s="73"/>
      <c r="E112" s="73"/>
      <c r="F112" s="73"/>
      <c r="G112" s="73"/>
      <c r="H112" s="73"/>
      <c r="I112" s="73"/>
      <c r="J112" s="73"/>
      <c r="K112" s="73"/>
      <c r="L112" s="73"/>
      <c r="M112" s="73"/>
      <c r="N112" s="73"/>
      <c r="O112" s="73"/>
      <c r="P112" s="73"/>
      <c r="Q112" s="79"/>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row>
    <row r="113" spans="1:42" s="36" customFormat="1" ht="15.75" customHeight="1" x14ac:dyDescent="0.25">
      <c r="A113" s="50">
        <v>46032</v>
      </c>
      <c r="B113" s="29"/>
      <c r="C113" s="30" t="s">
        <v>58</v>
      </c>
      <c r="D113" s="31" t="s">
        <v>53</v>
      </c>
      <c r="E113" s="99">
        <v>417</v>
      </c>
      <c r="F113" s="30" t="s">
        <v>60</v>
      </c>
      <c r="G113" s="42" t="s">
        <v>247</v>
      </c>
      <c r="H113" s="72" t="s">
        <v>73</v>
      </c>
      <c r="I113" s="32"/>
      <c r="J113" s="32"/>
      <c r="K113" s="39">
        <v>787.5</v>
      </c>
      <c r="L113" s="38"/>
      <c r="M113" s="38"/>
      <c r="N113" s="38"/>
      <c r="O113" s="38"/>
      <c r="P113" s="39">
        <f t="shared" ref="P113:P146" si="5">K113</f>
        <v>787.5</v>
      </c>
      <c r="Q113" s="81"/>
      <c r="R113" s="29">
        <v>45930</v>
      </c>
      <c r="S113" s="33" t="s">
        <v>52</v>
      </c>
      <c r="T113" s="69" t="s">
        <v>79</v>
      </c>
      <c r="U113" s="33" t="s">
        <v>85</v>
      </c>
      <c r="V113" s="30" t="s">
        <v>47</v>
      </c>
      <c r="W113" s="32"/>
      <c r="X113" s="29">
        <v>46032</v>
      </c>
      <c r="Y113" s="65" t="s">
        <v>63</v>
      </c>
      <c r="Z113" s="33"/>
      <c r="AA113" s="33"/>
      <c r="AB113" s="30" t="s">
        <v>66</v>
      </c>
      <c r="AC113" s="33"/>
      <c r="AD113" s="30" t="s">
        <v>48</v>
      </c>
      <c r="AE113" s="34"/>
      <c r="AF113" s="32"/>
      <c r="AG113" s="32"/>
      <c r="AH113" s="33"/>
      <c r="AI113" s="33"/>
      <c r="AJ113" s="29"/>
      <c r="AK113" s="33"/>
      <c r="AL113" s="35">
        <v>18</v>
      </c>
      <c r="AM113" s="31" t="s">
        <v>59</v>
      </c>
      <c r="AN113" s="30" t="s">
        <v>51</v>
      </c>
      <c r="AO113" s="33"/>
      <c r="AP113" s="32"/>
    </row>
    <row r="114" spans="1:42" s="36" customFormat="1" ht="15.75" customHeight="1" x14ac:dyDescent="0.25">
      <c r="A114" s="50">
        <v>46032</v>
      </c>
      <c r="B114" s="29"/>
      <c r="C114" s="30" t="s">
        <v>58</v>
      </c>
      <c r="D114" s="31" t="s">
        <v>53</v>
      </c>
      <c r="E114" s="99">
        <v>418</v>
      </c>
      <c r="F114" s="30" t="s">
        <v>60</v>
      </c>
      <c r="G114" s="42" t="s">
        <v>248</v>
      </c>
      <c r="H114" s="72" t="s">
        <v>249</v>
      </c>
      <c r="I114" s="32"/>
      <c r="J114" s="32"/>
      <c r="K114" s="39">
        <v>50</v>
      </c>
      <c r="L114" s="38"/>
      <c r="M114" s="38"/>
      <c r="N114" s="38"/>
      <c r="O114" s="38"/>
      <c r="P114" s="39">
        <f t="shared" si="5"/>
        <v>50</v>
      </c>
      <c r="Q114" s="81"/>
      <c r="R114" s="29">
        <v>45950</v>
      </c>
      <c r="S114" s="33" t="s">
        <v>52</v>
      </c>
      <c r="T114" s="69" t="s">
        <v>79</v>
      </c>
      <c r="U114" s="33" t="s">
        <v>282</v>
      </c>
      <c r="V114" s="30" t="s">
        <v>47</v>
      </c>
      <c r="W114" s="32"/>
      <c r="X114" s="29">
        <v>46032</v>
      </c>
      <c r="Y114" s="65" t="s">
        <v>63</v>
      </c>
      <c r="Z114" s="33"/>
      <c r="AA114" s="33"/>
      <c r="AB114" s="30" t="s">
        <v>66</v>
      </c>
      <c r="AC114" s="33"/>
      <c r="AD114" s="30" t="s">
        <v>48</v>
      </c>
      <c r="AE114" s="34"/>
      <c r="AF114" s="32"/>
      <c r="AG114" s="32"/>
      <c r="AH114" s="33"/>
      <c r="AI114" s="33"/>
      <c r="AJ114" s="29"/>
      <c r="AK114" s="33"/>
      <c r="AL114" s="35">
        <v>18</v>
      </c>
      <c r="AM114" s="31" t="s">
        <v>59</v>
      </c>
      <c r="AN114" s="30" t="s">
        <v>51</v>
      </c>
      <c r="AO114" s="33"/>
      <c r="AP114" s="32"/>
    </row>
    <row r="115" spans="1:42" s="36" customFormat="1" ht="15.75" customHeight="1" x14ac:dyDescent="0.25">
      <c r="A115" s="50">
        <v>46032</v>
      </c>
      <c r="B115" s="29"/>
      <c r="C115" s="30" t="s">
        <v>58</v>
      </c>
      <c r="D115" s="31" t="s">
        <v>53</v>
      </c>
      <c r="E115" s="99">
        <v>419</v>
      </c>
      <c r="F115" s="30" t="s">
        <v>60</v>
      </c>
      <c r="G115" s="42" t="s">
        <v>250</v>
      </c>
      <c r="H115" s="72" t="s">
        <v>251</v>
      </c>
      <c r="I115" s="32"/>
      <c r="J115" s="32"/>
      <c r="K115" s="39">
        <v>205.5</v>
      </c>
      <c r="L115" s="38"/>
      <c r="M115" s="38"/>
      <c r="N115" s="38"/>
      <c r="O115" s="38"/>
      <c r="P115" s="39">
        <f t="shared" ref="P115:P125" si="6">K115</f>
        <v>205.5</v>
      </c>
      <c r="Q115" s="81"/>
      <c r="R115" s="29">
        <v>45922</v>
      </c>
      <c r="S115" s="33" t="s">
        <v>52</v>
      </c>
      <c r="T115" s="69" t="s">
        <v>79</v>
      </c>
      <c r="U115" s="33" t="s">
        <v>283</v>
      </c>
      <c r="V115" s="30" t="s">
        <v>47</v>
      </c>
      <c r="W115" s="32"/>
      <c r="X115" s="29">
        <v>46032</v>
      </c>
      <c r="Y115" s="65" t="s">
        <v>63</v>
      </c>
      <c r="Z115" s="33"/>
      <c r="AA115" s="33"/>
      <c r="AB115" s="30" t="s">
        <v>66</v>
      </c>
      <c r="AC115" s="33"/>
      <c r="AD115" s="30" t="s">
        <v>48</v>
      </c>
      <c r="AE115" s="34"/>
      <c r="AF115" s="32"/>
      <c r="AG115" s="32"/>
      <c r="AH115" s="33"/>
      <c r="AI115" s="33"/>
      <c r="AJ115" s="29"/>
      <c r="AK115" s="33"/>
      <c r="AL115" s="35">
        <v>18</v>
      </c>
      <c r="AM115" s="31" t="s">
        <v>59</v>
      </c>
      <c r="AN115" s="30" t="s">
        <v>51</v>
      </c>
      <c r="AO115" s="33"/>
      <c r="AP115" s="32"/>
    </row>
    <row r="116" spans="1:42" s="36" customFormat="1" ht="15.75" customHeight="1" x14ac:dyDescent="0.25">
      <c r="A116" s="50">
        <v>46032</v>
      </c>
      <c r="B116" s="29"/>
      <c r="C116" s="30" t="s">
        <v>58</v>
      </c>
      <c r="D116" s="31" t="s">
        <v>53</v>
      </c>
      <c r="E116" s="99">
        <v>420</v>
      </c>
      <c r="F116" s="30" t="s">
        <v>60</v>
      </c>
      <c r="G116" s="42" t="s">
        <v>252</v>
      </c>
      <c r="H116" s="72" t="s">
        <v>75</v>
      </c>
      <c r="I116" s="32"/>
      <c r="J116" s="32"/>
      <c r="K116" s="39">
        <v>180</v>
      </c>
      <c r="L116" s="38"/>
      <c r="M116" s="38"/>
      <c r="N116" s="38"/>
      <c r="O116" s="38"/>
      <c r="P116" s="39">
        <f t="shared" si="6"/>
        <v>180</v>
      </c>
      <c r="Q116" s="81"/>
      <c r="R116" s="29">
        <v>45846</v>
      </c>
      <c r="S116" s="33" t="s">
        <v>52</v>
      </c>
      <c r="T116" s="69" t="s">
        <v>79</v>
      </c>
      <c r="U116" s="33" t="s">
        <v>67</v>
      </c>
      <c r="V116" s="30" t="s">
        <v>47</v>
      </c>
      <c r="W116" s="32"/>
      <c r="X116" s="29">
        <v>46032</v>
      </c>
      <c r="Y116" s="65" t="s">
        <v>63</v>
      </c>
      <c r="Z116" s="33"/>
      <c r="AA116" s="33"/>
      <c r="AB116" s="30" t="s">
        <v>66</v>
      </c>
      <c r="AC116" s="33"/>
      <c r="AD116" s="30" t="s">
        <v>48</v>
      </c>
      <c r="AE116" s="34"/>
      <c r="AF116" s="32"/>
      <c r="AG116" s="32"/>
      <c r="AH116" s="33"/>
      <c r="AI116" s="33"/>
      <c r="AJ116" s="29"/>
      <c r="AK116" s="33"/>
      <c r="AL116" s="35">
        <v>18</v>
      </c>
      <c r="AM116" s="31" t="s">
        <v>59</v>
      </c>
      <c r="AN116" s="30" t="s">
        <v>51</v>
      </c>
      <c r="AO116" s="33"/>
      <c r="AP116" s="32"/>
    </row>
    <row r="117" spans="1:42" s="36" customFormat="1" ht="15.75" customHeight="1" x14ac:dyDescent="0.25">
      <c r="A117" s="50">
        <v>46032</v>
      </c>
      <c r="B117" s="29"/>
      <c r="C117" s="30" t="s">
        <v>58</v>
      </c>
      <c r="D117" s="31" t="s">
        <v>53</v>
      </c>
      <c r="E117" s="99">
        <v>421</v>
      </c>
      <c r="F117" s="30" t="s">
        <v>60</v>
      </c>
      <c r="G117" s="42" t="s">
        <v>253</v>
      </c>
      <c r="H117" s="72" t="s">
        <v>254</v>
      </c>
      <c r="I117" s="32"/>
      <c r="J117" s="32"/>
      <c r="K117" s="39">
        <v>40</v>
      </c>
      <c r="L117" s="38"/>
      <c r="M117" s="38"/>
      <c r="N117" s="38"/>
      <c r="O117" s="38"/>
      <c r="P117" s="39">
        <f t="shared" si="6"/>
        <v>40</v>
      </c>
      <c r="Q117" s="81"/>
      <c r="R117" s="29">
        <v>45969</v>
      </c>
      <c r="S117" s="33" t="s">
        <v>52</v>
      </c>
      <c r="T117" s="69" t="s">
        <v>79</v>
      </c>
      <c r="U117" s="33" t="s">
        <v>284</v>
      </c>
      <c r="V117" s="30" t="s">
        <v>47</v>
      </c>
      <c r="W117" s="32"/>
      <c r="X117" s="29">
        <v>46032</v>
      </c>
      <c r="Y117" s="65" t="s">
        <v>63</v>
      </c>
      <c r="Z117" s="33"/>
      <c r="AA117" s="33"/>
      <c r="AB117" s="30" t="s">
        <v>66</v>
      </c>
      <c r="AC117" s="33"/>
      <c r="AD117" s="30" t="s">
        <v>48</v>
      </c>
      <c r="AE117" s="34"/>
      <c r="AF117" s="32"/>
      <c r="AG117" s="32"/>
      <c r="AH117" s="33"/>
      <c r="AI117" s="33"/>
      <c r="AJ117" s="29"/>
      <c r="AK117" s="33"/>
      <c r="AL117" s="35">
        <v>18</v>
      </c>
      <c r="AM117" s="31" t="s">
        <v>59</v>
      </c>
      <c r="AN117" s="30" t="s">
        <v>51</v>
      </c>
      <c r="AO117" s="33"/>
      <c r="AP117" s="32"/>
    </row>
    <row r="118" spans="1:42" s="36" customFormat="1" ht="15.75" customHeight="1" x14ac:dyDescent="0.25">
      <c r="A118" s="50">
        <v>46032</v>
      </c>
      <c r="B118" s="29"/>
      <c r="C118" s="30" t="s">
        <v>58</v>
      </c>
      <c r="D118" s="31" t="s">
        <v>53</v>
      </c>
      <c r="E118" s="99">
        <v>422</v>
      </c>
      <c r="F118" s="30" t="s">
        <v>60</v>
      </c>
      <c r="G118" s="42" t="s">
        <v>255</v>
      </c>
      <c r="H118" s="72" t="s">
        <v>91</v>
      </c>
      <c r="I118" s="32"/>
      <c r="J118" s="32"/>
      <c r="K118" s="39">
        <v>66</v>
      </c>
      <c r="L118" s="38"/>
      <c r="M118" s="38"/>
      <c r="N118" s="38"/>
      <c r="O118" s="38"/>
      <c r="P118" s="39">
        <f t="shared" si="6"/>
        <v>66</v>
      </c>
      <c r="Q118" s="81"/>
      <c r="R118" s="29">
        <v>45958</v>
      </c>
      <c r="S118" s="33" t="s">
        <v>52</v>
      </c>
      <c r="T118" s="69" t="s">
        <v>79</v>
      </c>
      <c r="U118" s="33" t="s">
        <v>97</v>
      </c>
      <c r="V118" s="30" t="s">
        <v>47</v>
      </c>
      <c r="W118" s="32"/>
      <c r="X118" s="29">
        <v>46032</v>
      </c>
      <c r="Y118" s="65" t="s">
        <v>63</v>
      </c>
      <c r="Z118" s="33"/>
      <c r="AA118" s="33"/>
      <c r="AB118" s="30" t="s">
        <v>66</v>
      </c>
      <c r="AC118" s="33"/>
      <c r="AD118" s="30" t="s">
        <v>48</v>
      </c>
      <c r="AE118" s="34"/>
      <c r="AF118" s="32"/>
      <c r="AG118" s="32"/>
      <c r="AH118" s="33"/>
      <c r="AI118" s="33"/>
      <c r="AJ118" s="29"/>
      <c r="AK118" s="33"/>
      <c r="AL118" s="35">
        <v>18</v>
      </c>
      <c r="AM118" s="31" t="s">
        <v>59</v>
      </c>
      <c r="AN118" s="30" t="s">
        <v>51</v>
      </c>
      <c r="AO118" s="33"/>
      <c r="AP118" s="32"/>
    </row>
    <row r="119" spans="1:42" s="36" customFormat="1" ht="15.75" customHeight="1" x14ac:dyDescent="0.25">
      <c r="A119" s="50">
        <v>46034</v>
      </c>
      <c r="B119" s="29"/>
      <c r="C119" s="30" t="s">
        <v>58</v>
      </c>
      <c r="D119" s="31" t="s">
        <v>53</v>
      </c>
      <c r="E119" s="99">
        <v>423</v>
      </c>
      <c r="F119" s="30" t="s">
        <v>60</v>
      </c>
      <c r="G119" s="42" t="s">
        <v>256</v>
      </c>
      <c r="H119" s="72" t="s">
        <v>71</v>
      </c>
      <c r="I119" s="32"/>
      <c r="J119" s="32"/>
      <c r="K119" s="39">
        <v>58</v>
      </c>
      <c r="L119" s="38"/>
      <c r="M119" s="38"/>
      <c r="N119" s="38"/>
      <c r="O119" s="38"/>
      <c r="P119" s="39">
        <f t="shared" si="6"/>
        <v>58</v>
      </c>
      <c r="Q119" s="81"/>
      <c r="R119" s="29">
        <v>45911</v>
      </c>
      <c r="S119" s="33" t="s">
        <v>52</v>
      </c>
      <c r="T119" s="69" t="s">
        <v>79</v>
      </c>
      <c r="U119" s="33" t="s">
        <v>81</v>
      </c>
      <c r="V119" s="30" t="s">
        <v>47</v>
      </c>
      <c r="W119" s="32"/>
      <c r="X119" s="29">
        <v>46034</v>
      </c>
      <c r="Y119" s="65" t="s">
        <v>63</v>
      </c>
      <c r="Z119" s="33"/>
      <c r="AA119" s="33"/>
      <c r="AB119" s="30" t="s">
        <v>66</v>
      </c>
      <c r="AC119" s="33"/>
      <c r="AD119" s="30" t="s">
        <v>48</v>
      </c>
      <c r="AE119" s="34"/>
      <c r="AF119" s="32"/>
      <c r="AG119" s="32"/>
      <c r="AH119" s="33"/>
      <c r="AI119" s="33"/>
      <c r="AJ119" s="29"/>
      <c r="AK119" s="33"/>
      <c r="AL119" s="35">
        <v>18</v>
      </c>
      <c r="AM119" s="31" t="s">
        <v>59</v>
      </c>
      <c r="AN119" s="30" t="s">
        <v>51</v>
      </c>
      <c r="AO119" s="33"/>
      <c r="AP119" s="32"/>
    </row>
    <row r="120" spans="1:42" s="36" customFormat="1" ht="15.75" customHeight="1" x14ac:dyDescent="0.25">
      <c r="A120" s="50">
        <v>46034</v>
      </c>
      <c r="B120" s="29"/>
      <c r="C120" s="30" t="s">
        <v>58</v>
      </c>
      <c r="D120" s="31" t="s">
        <v>53</v>
      </c>
      <c r="E120" s="99">
        <v>424</v>
      </c>
      <c r="F120" s="30" t="s">
        <v>60</v>
      </c>
      <c r="G120" s="42" t="s">
        <v>257</v>
      </c>
      <c r="H120" s="72" t="s">
        <v>95</v>
      </c>
      <c r="I120" s="32"/>
      <c r="J120" s="32"/>
      <c r="K120" s="39">
        <v>103.33</v>
      </c>
      <c r="L120" s="38"/>
      <c r="M120" s="38"/>
      <c r="N120" s="38"/>
      <c r="O120" s="38"/>
      <c r="P120" s="39">
        <f t="shared" si="6"/>
        <v>103.33</v>
      </c>
      <c r="Q120" s="81"/>
      <c r="R120" s="29">
        <v>45940</v>
      </c>
      <c r="S120" s="33" t="s">
        <v>52</v>
      </c>
      <c r="T120" s="69" t="s">
        <v>79</v>
      </c>
      <c r="U120" s="33" t="s">
        <v>98</v>
      </c>
      <c r="V120" s="30" t="s">
        <v>47</v>
      </c>
      <c r="W120" s="32"/>
      <c r="X120" s="29">
        <v>46034</v>
      </c>
      <c r="Y120" s="65" t="s">
        <v>63</v>
      </c>
      <c r="Z120" s="33"/>
      <c r="AA120" s="33"/>
      <c r="AB120" s="30" t="s">
        <v>66</v>
      </c>
      <c r="AC120" s="33"/>
      <c r="AD120" s="30" t="s">
        <v>48</v>
      </c>
      <c r="AE120" s="34"/>
      <c r="AF120" s="32"/>
      <c r="AG120" s="32"/>
      <c r="AH120" s="33"/>
      <c r="AI120" s="33"/>
      <c r="AJ120" s="29"/>
      <c r="AK120" s="33"/>
      <c r="AL120" s="35">
        <v>18</v>
      </c>
      <c r="AM120" s="31" t="s">
        <v>59</v>
      </c>
      <c r="AN120" s="30" t="s">
        <v>51</v>
      </c>
      <c r="AO120" s="33"/>
      <c r="AP120" s="32"/>
    </row>
    <row r="121" spans="1:42" s="36" customFormat="1" ht="15.75" customHeight="1" x14ac:dyDescent="0.25">
      <c r="A121" s="50">
        <v>46034</v>
      </c>
      <c r="B121" s="29"/>
      <c r="C121" s="30" t="s">
        <v>58</v>
      </c>
      <c r="D121" s="31" t="s">
        <v>53</v>
      </c>
      <c r="E121" s="99">
        <v>425</v>
      </c>
      <c r="F121" s="30" t="s">
        <v>60</v>
      </c>
      <c r="G121" s="42" t="s">
        <v>258</v>
      </c>
      <c r="H121" s="72" t="s">
        <v>259</v>
      </c>
      <c r="I121" s="32"/>
      <c r="J121" s="32"/>
      <c r="K121" s="39">
        <v>165</v>
      </c>
      <c r="L121" s="38"/>
      <c r="M121" s="38"/>
      <c r="N121" s="38"/>
      <c r="O121" s="38"/>
      <c r="P121" s="39">
        <f t="shared" si="6"/>
        <v>165</v>
      </c>
      <c r="Q121" s="81"/>
      <c r="R121" s="29">
        <v>45965</v>
      </c>
      <c r="S121" s="33" t="s">
        <v>52</v>
      </c>
      <c r="T121" s="69" t="s">
        <v>79</v>
      </c>
      <c r="U121" s="33" t="s">
        <v>285</v>
      </c>
      <c r="V121" s="30" t="s">
        <v>47</v>
      </c>
      <c r="W121" s="32"/>
      <c r="X121" s="29">
        <v>46034</v>
      </c>
      <c r="Y121" s="65" t="s">
        <v>63</v>
      </c>
      <c r="Z121" s="33"/>
      <c r="AA121" s="33"/>
      <c r="AB121" s="30" t="s">
        <v>66</v>
      </c>
      <c r="AC121" s="33"/>
      <c r="AD121" s="30" t="s">
        <v>48</v>
      </c>
      <c r="AE121" s="34"/>
      <c r="AF121" s="32"/>
      <c r="AG121" s="32"/>
      <c r="AH121" s="33"/>
      <c r="AI121" s="33"/>
      <c r="AJ121" s="29"/>
      <c r="AK121" s="33"/>
      <c r="AL121" s="35">
        <v>18</v>
      </c>
      <c r="AM121" s="31" t="s">
        <v>59</v>
      </c>
      <c r="AN121" s="30" t="s">
        <v>51</v>
      </c>
      <c r="AO121" s="33"/>
      <c r="AP121" s="32"/>
    </row>
    <row r="122" spans="1:42" s="36" customFormat="1" ht="15.75" customHeight="1" x14ac:dyDescent="0.25">
      <c r="A122" s="50">
        <v>46034</v>
      </c>
      <c r="B122" s="29"/>
      <c r="C122" s="30" t="s">
        <v>58</v>
      </c>
      <c r="D122" s="31" t="s">
        <v>53</v>
      </c>
      <c r="E122" s="99">
        <v>426</v>
      </c>
      <c r="F122" s="30" t="s">
        <v>60</v>
      </c>
      <c r="G122" s="42" t="s">
        <v>260</v>
      </c>
      <c r="H122" s="72" t="s">
        <v>261</v>
      </c>
      <c r="I122" s="32"/>
      <c r="J122" s="32"/>
      <c r="K122" s="39">
        <v>90</v>
      </c>
      <c r="L122" s="38"/>
      <c r="M122" s="38"/>
      <c r="N122" s="38"/>
      <c r="O122" s="38"/>
      <c r="P122" s="39">
        <f t="shared" si="6"/>
        <v>90</v>
      </c>
      <c r="Q122" s="81"/>
      <c r="R122" s="29">
        <v>45997</v>
      </c>
      <c r="S122" s="33" t="s">
        <v>52</v>
      </c>
      <c r="T122" s="69" t="s">
        <v>79</v>
      </c>
      <c r="U122" s="33" t="s">
        <v>286</v>
      </c>
      <c r="V122" s="30" t="s">
        <v>47</v>
      </c>
      <c r="W122" s="32"/>
      <c r="X122" s="29">
        <v>46034</v>
      </c>
      <c r="Y122" s="65" t="s">
        <v>63</v>
      </c>
      <c r="Z122" s="33"/>
      <c r="AA122" s="33"/>
      <c r="AB122" s="30" t="s">
        <v>66</v>
      </c>
      <c r="AC122" s="33"/>
      <c r="AD122" s="30" t="s">
        <v>48</v>
      </c>
      <c r="AE122" s="34"/>
      <c r="AF122" s="32"/>
      <c r="AG122" s="32"/>
      <c r="AH122" s="33"/>
      <c r="AI122" s="33"/>
      <c r="AJ122" s="29"/>
      <c r="AK122" s="33"/>
      <c r="AL122" s="35">
        <v>18</v>
      </c>
      <c r="AM122" s="31" t="s">
        <v>59</v>
      </c>
      <c r="AN122" s="30" t="s">
        <v>51</v>
      </c>
      <c r="AO122" s="33"/>
      <c r="AP122" s="32"/>
    </row>
    <row r="123" spans="1:42" s="36" customFormat="1" ht="15.75" customHeight="1" x14ac:dyDescent="0.25">
      <c r="A123" s="50">
        <v>46034</v>
      </c>
      <c r="B123" s="29"/>
      <c r="C123" s="30" t="s">
        <v>58</v>
      </c>
      <c r="D123" s="31" t="s">
        <v>53</v>
      </c>
      <c r="E123" s="99">
        <v>427</v>
      </c>
      <c r="F123" s="30" t="s">
        <v>60</v>
      </c>
      <c r="G123" s="42" t="s">
        <v>262</v>
      </c>
      <c r="H123" s="72" t="s">
        <v>294</v>
      </c>
      <c r="I123" s="32"/>
      <c r="J123" s="32"/>
      <c r="K123" s="39">
        <v>46</v>
      </c>
      <c r="L123" s="38"/>
      <c r="M123" s="38"/>
      <c r="N123" s="38"/>
      <c r="O123" s="38"/>
      <c r="P123" s="39">
        <f t="shared" si="6"/>
        <v>46</v>
      </c>
      <c r="Q123" s="81"/>
      <c r="R123" s="29">
        <v>45877</v>
      </c>
      <c r="S123" s="33" t="s">
        <v>52</v>
      </c>
      <c r="T123" s="69" t="s">
        <v>79</v>
      </c>
      <c r="U123" s="33" t="s">
        <v>70</v>
      </c>
      <c r="V123" s="30" t="s">
        <v>47</v>
      </c>
      <c r="W123" s="32"/>
      <c r="X123" s="29">
        <v>46034</v>
      </c>
      <c r="Y123" s="65" t="s">
        <v>63</v>
      </c>
      <c r="Z123" s="33"/>
      <c r="AA123" s="33"/>
      <c r="AB123" s="30" t="s">
        <v>66</v>
      </c>
      <c r="AC123" s="33"/>
      <c r="AD123" s="30" t="s">
        <v>48</v>
      </c>
      <c r="AE123" s="34"/>
      <c r="AF123" s="32"/>
      <c r="AG123" s="32"/>
      <c r="AH123" s="33"/>
      <c r="AI123" s="33"/>
      <c r="AJ123" s="29"/>
      <c r="AK123" s="33"/>
      <c r="AL123" s="35">
        <v>18</v>
      </c>
      <c r="AM123" s="31" t="s">
        <v>59</v>
      </c>
      <c r="AN123" s="30" t="s">
        <v>51</v>
      </c>
      <c r="AO123" s="33"/>
      <c r="AP123" s="32"/>
    </row>
    <row r="124" spans="1:42" s="36" customFormat="1" ht="15.75" customHeight="1" x14ac:dyDescent="0.25">
      <c r="A124" s="50">
        <v>46034</v>
      </c>
      <c r="B124" s="29"/>
      <c r="C124" s="30" t="s">
        <v>58</v>
      </c>
      <c r="D124" s="31" t="s">
        <v>53</v>
      </c>
      <c r="E124" s="99">
        <v>428</v>
      </c>
      <c r="F124" s="30" t="s">
        <v>60</v>
      </c>
      <c r="G124" s="42" t="s">
        <v>263</v>
      </c>
      <c r="H124" s="72" t="s">
        <v>264</v>
      </c>
      <c r="I124" s="32"/>
      <c r="J124" s="32"/>
      <c r="K124" s="39">
        <v>91.66</v>
      </c>
      <c r="L124" s="38"/>
      <c r="M124" s="38"/>
      <c r="N124" s="38"/>
      <c r="O124" s="38"/>
      <c r="P124" s="39">
        <f t="shared" si="6"/>
        <v>91.66</v>
      </c>
      <c r="Q124" s="81"/>
      <c r="R124" s="29">
        <v>46009</v>
      </c>
      <c r="S124" s="33" t="s">
        <v>52</v>
      </c>
      <c r="T124" s="69" t="s">
        <v>79</v>
      </c>
      <c r="U124" s="33" t="s">
        <v>287</v>
      </c>
      <c r="V124" s="30" t="s">
        <v>47</v>
      </c>
      <c r="W124" s="32"/>
      <c r="X124" s="29">
        <v>46034</v>
      </c>
      <c r="Y124" s="65" t="s">
        <v>63</v>
      </c>
      <c r="Z124" s="33"/>
      <c r="AA124" s="33"/>
      <c r="AB124" s="30" t="s">
        <v>66</v>
      </c>
      <c r="AC124" s="33"/>
      <c r="AD124" s="30" t="s">
        <v>48</v>
      </c>
      <c r="AE124" s="34"/>
      <c r="AF124" s="32"/>
      <c r="AG124" s="32"/>
      <c r="AH124" s="33"/>
      <c r="AI124" s="33"/>
      <c r="AJ124" s="29"/>
      <c r="AK124" s="33"/>
      <c r="AL124" s="35">
        <v>18</v>
      </c>
      <c r="AM124" s="31" t="s">
        <v>59</v>
      </c>
      <c r="AN124" s="30" t="s">
        <v>51</v>
      </c>
      <c r="AO124" s="33"/>
      <c r="AP124" s="32"/>
    </row>
    <row r="125" spans="1:42" s="36" customFormat="1" ht="15.75" customHeight="1" x14ac:dyDescent="0.25">
      <c r="A125" s="50">
        <v>46035</v>
      </c>
      <c r="B125" s="29"/>
      <c r="C125" s="30" t="s">
        <v>58</v>
      </c>
      <c r="D125" s="31" t="s">
        <v>53</v>
      </c>
      <c r="E125" s="99">
        <v>429</v>
      </c>
      <c r="F125" s="30" t="s">
        <v>60</v>
      </c>
      <c r="G125" s="42" t="s">
        <v>265</v>
      </c>
      <c r="H125" s="72" t="s">
        <v>72</v>
      </c>
      <c r="I125" s="32"/>
      <c r="J125" s="32"/>
      <c r="K125" s="39">
        <v>76</v>
      </c>
      <c r="L125" s="38"/>
      <c r="M125" s="38"/>
      <c r="N125" s="38"/>
      <c r="O125" s="38"/>
      <c r="P125" s="39">
        <f t="shared" si="6"/>
        <v>76</v>
      </c>
      <c r="Q125" s="81"/>
      <c r="R125" s="29">
        <v>45926</v>
      </c>
      <c r="S125" s="33" t="s">
        <v>52</v>
      </c>
      <c r="T125" s="69" t="s">
        <v>79</v>
      </c>
      <c r="U125" s="33" t="s">
        <v>82</v>
      </c>
      <c r="V125" s="30" t="s">
        <v>47</v>
      </c>
      <c r="W125" s="32"/>
      <c r="X125" s="29">
        <v>46035</v>
      </c>
      <c r="Y125" s="65" t="s">
        <v>63</v>
      </c>
      <c r="Z125" s="33"/>
      <c r="AA125" s="33"/>
      <c r="AB125" s="30" t="s">
        <v>66</v>
      </c>
      <c r="AC125" s="33"/>
      <c r="AD125" s="30" t="s">
        <v>48</v>
      </c>
      <c r="AE125" s="34"/>
      <c r="AF125" s="32"/>
      <c r="AG125" s="32"/>
      <c r="AH125" s="33"/>
      <c r="AI125" s="33"/>
      <c r="AJ125" s="29"/>
      <c r="AK125" s="33"/>
      <c r="AL125" s="35">
        <v>18</v>
      </c>
      <c r="AM125" s="31" t="s">
        <v>59</v>
      </c>
      <c r="AN125" s="30" t="s">
        <v>51</v>
      </c>
      <c r="AO125" s="33"/>
      <c r="AP125" s="32"/>
    </row>
    <row r="126" spans="1:42" s="36" customFormat="1" ht="15.75" customHeight="1" x14ac:dyDescent="0.25">
      <c r="A126" s="50">
        <v>46035</v>
      </c>
      <c r="B126" s="29"/>
      <c r="C126" s="30" t="s">
        <v>58</v>
      </c>
      <c r="D126" s="31" t="s">
        <v>53</v>
      </c>
      <c r="E126" s="99">
        <v>430</v>
      </c>
      <c r="F126" s="30" t="s">
        <v>60</v>
      </c>
      <c r="G126" s="42" t="s">
        <v>266</v>
      </c>
      <c r="H126" s="72" t="s">
        <v>267</v>
      </c>
      <c r="I126" s="32"/>
      <c r="J126" s="32"/>
      <c r="K126" s="39">
        <v>143</v>
      </c>
      <c r="L126" s="38"/>
      <c r="M126" s="38"/>
      <c r="N126" s="38"/>
      <c r="O126" s="38"/>
      <c r="P126" s="39">
        <f t="shared" si="5"/>
        <v>143</v>
      </c>
      <c r="Q126" s="81"/>
      <c r="R126" s="29">
        <v>45994</v>
      </c>
      <c r="S126" s="33" t="s">
        <v>52</v>
      </c>
      <c r="T126" s="69" t="s">
        <v>79</v>
      </c>
      <c r="U126" s="33" t="s">
        <v>288</v>
      </c>
      <c r="V126" s="30" t="s">
        <v>47</v>
      </c>
      <c r="W126" s="32"/>
      <c r="X126" s="29">
        <v>46035</v>
      </c>
      <c r="Y126" s="65" t="s">
        <v>63</v>
      </c>
      <c r="Z126" s="33"/>
      <c r="AA126" s="33"/>
      <c r="AB126" s="30" t="s">
        <v>66</v>
      </c>
      <c r="AC126" s="33"/>
      <c r="AD126" s="30" t="s">
        <v>48</v>
      </c>
      <c r="AE126" s="34"/>
      <c r="AF126" s="32"/>
      <c r="AG126" s="32"/>
      <c r="AH126" s="33"/>
      <c r="AI126" s="33"/>
      <c r="AJ126" s="29"/>
      <c r="AK126" s="33"/>
      <c r="AL126" s="35">
        <v>18</v>
      </c>
      <c r="AM126" s="31" t="s">
        <v>59</v>
      </c>
      <c r="AN126" s="30" t="s">
        <v>51</v>
      </c>
      <c r="AO126" s="33"/>
      <c r="AP126" s="32"/>
    </row>
    <row r="127" spans="1:42" s="36" customFormat="1" ht="15.75" customHeight="1" x14ac:dyDescent="0.25">
      <c r="A127" s="50">
        <v>46035</v>
      </c>
      <c r="B127" s="29"/>
      <c r="C127" s="30" t="s">
        <v>58</v>
      </c>
      <c r="D127" s="31" t="s">
        <v>53</v>
      </c>
      <c r="E127" s="99">
        <v>431</v>
      </c>
      <c r="F127" s="30" t="s">
        <v>60</v>
      </c>
      <c r="G127" s="42" t="s">
        <v>268</v>
      </c>
      <c r="H127" s="72" t="s">
        <v>74</v>
      </c>
      <c r="I127" s="32"/>
      <c r="J127" s="32"/>
      <c r="K127" s="39">
        <v>155</v>
      </c>
      <c r="L127" s="38"/>
      <c r="M127" s="38"/>
      <c r="N127" s="38"/>
      <c r="O127" s="38"/>
      <c r="P127" s="39">
        <f t="shared" si="5"/>
        <v>155</v>
      </c>
      <c r="Q127" s="81"/>
      <c r="R127" s="29">
        <v>45770</v>
      </c>
      <c r="S127" s="33" t="s">
        <v>52</v>
      </c>
      <c r="T127" s="69" t="s">
        <v>79</v>
      </c>
      <c r="U127" s="33" t="s">
        <v>62</v>
      </c>
      <c r="V127" s="30" t="s">
        <v>47</v>
      </c>
      <c r="W127" s="32"/>
      <c r="X127" s="29">
        <v>46035</v>
      </c>
      <c r="Y127" s="65" t="s">
        <v>63</v>
      </c>
      <c r="Z127" s="33"/>
      <c r="AA127" s="33"/>
      <c r="AB127" s="30" t="s">
        <v>66</v>
      </c>
      <c r="AC127" s="33"/>
      <c r="AD127" s="30" t="s">
        <v>48</v>
      </c>
      <c r="AE127" s="34"/>
      <c r="AF127" s="32"/>
      <c r="AG127" s="32"/>
      <c r="AH127" s="33"/>
      <c r="AI127" s="33"/>
      <c r="AJ127" s="29"/>
      <c r="AK127" s="33"/>
      <c r="AL127" s="35">
        <v>18</v>
      </c>
      <c r="AM127" s="31" t="s">
        <v>59</v>
      </c>
      <c r="AN127" s="30" t="s">
        <v>51</v>
      </c>
      <c r="AO127" s="33"/>
      <c r="AP127" s="32"/>
    </row>
    <row r="128" spans="1:42" s="36" customFormat="1" ht="15.75" customHeight="1" x14ac:dyDescent="0.25">
      <c r="A128" s="50">
        <v>46035</v>
      </c>
      <c r="B128" s="29"/>
      <c r="C128" s="30" t="s">
        <v>58</v>
      </c>
      <c r="D128" s="31" t="s">
        <v>53</v>
      </c>
      <c r="E128" s="99">
        <v>432</v>
      </c>
      <c r="F128" s="30" t="s">
        <v>60</v>
      </c>
      <c r="G128" s="42" t="s">
        <v>269</v>
      </c>
      <c r="H128" s="72" t="s">
        <v>92</v>
      </c>
      <c r="I128" s="32"/>
      <c r="J128" s="32"/>
      <c r="K128" s="39">
        <v>42.34</v>
      </c>
      <c r="L128" s="38"/>
      <c r="M128" s="38"/>
      <c r="N128" s="38"/>
      <c r="O128" s="38"/>
      <c r="P128" s="39">
        <f t="shared" si="5"/>
        <v>42.34</v>
      </c>
      <c r="Q128" s="81"/>
      <c r="R128" s="29">
        <v>45932</v>
      </c>
      <c r="S128" s="33" t="s">
        <v>52</v>
      </c>
      <c r="T128" s="69" t="s">
        <v>79</v>
      </c>
      <c r="U128" s="33" t="s">
        <v>83</v>
      </c>
      <c r="V128" s="30" t="s">
        <v>47</v>
      </c>
      <c r="W128" s="32"/>
      <c r="X128" s="29">
        <v>46035</v>
      </c>
      <c r="Y128" s="65" t="s">
        <v>63</v>
      </c>
      <c r="Z128" s="33"/>
      <c r="AA128" s="33"/>
      <c r="AB128" s="30" t="s">
        <v>66</v>
      </c>
      <c r="AC128" s="33"/>
      <c r="AD128" s="30" t="s">
        <v>48</v>
      </c>
      <c r="AE128" s="34"/>
      <c r="AF128" s="32"/>
      <c r="AG128" s="32"/>
      <c r="AH128" s="33"/>
      <c r="AI128" s="33"/>
      <c r="AJ128" s="29"/>
      <c r="AK128" s="33"/>
      <c r="AL128" s="35">
        <v>18</v>
      </c>
      <c r="AM128" s="31" t="s">
        <v>59</v>
      </c>
      <c r="AN128" s="30" t="s">
        <v>51</v>
      </c>
      <c r="AO128" s="33"/>
      <c r="AP128" s="32"/>
    </row>
    <row r="129" spans="1:42" s="36" customFormat="1" ht="15.75" customHeight="1" x14ac:dyDescent="0.25">
      <c r="A129" s="50">
        <v>46035</v>
      </c>
      <c r="B129" s="29"/>
      <c r="C129" s="30" t="s">
        <v>58</v>
      </c>
      <c r="D129" s="31" t="s">
        <v>53</v>
      </c>
      <c r="E129" s="99">
        <v>433</v>
      </c>
      <c r="F129" s="30" t="s">
        <v>60</v>
      </c>
      <c r="G129" s="42" t="s">
        <v>270</v>
      </c>
      <c r="H129" s="72" t="s">
        <v>96</v>
      </c>
      <c r="I129" s="32"/>
      <c r="J129" s="32"/>
      <c r="K129" s="39">
        <v>89</v>
      </c>
      <c r="L129" s="38"/>
      <c r="M129" s="38"/>
      <c r="N129" s="38"/>
      <c r="O129" s="38"/>
      <c r="P129" s="39">
        <f t="shared" si="5"/>
        <v>89</v>
      </c>
      <c r="Q129" s="81"/>
      <c r="R129" s="29">
        <v>45969</v>
      </c>
      <c r="S129" s="33" t="s">
        <v>52</v>
      </c>
      <c r="T129" s="69" t="s">
        <v>79</v>
      </c>
      <c r="U129" s="33" t="s">
        <v>99</v>
      </c>
      <c r="V129" s="30" t="s">
        <v>47</v>
      </c>
      <c r="W129" s="32"/>
      <c r="X129" s="29">
        <v>46035</v>
      </c>
      <c r="Y129" s="65" t="s">
        <v>63</v>
      </c>
      <c r="Z129" s="33"/>
      <c r="AA129" s="33"/>
      <c r="AB129" s="30" t="s">
        <v>66</v>
      </c>
      <c r="AC129" s="33"/>
      <c r="AD129" s="30" t="s">
        <v>48</v>
      </c>
      <c r="AE129" s="34"/>
      <c r="AF129" s="32"/>
      <c r="AG129" s="32"/>
      <c r="AH129" s="33"/>
      <c r="AI129" s="33"/>
      <c r="AJ129" s="29"/>
      <c r="AK129" s="33"/>
      <c r="AL129" s="35">
        <v>18</v>
      </c>
      <c r="AM129" s="31" t="s">
        <v>59</v>
      </c>
      <c r="AN129" s="30" t="s">
        <v>51</v>
      </c>
      <c r="AO129" s="33"/>
      <c r="AP129" s="32"/>
    </row>
    <row r="130" spans="1:42" s="36" customFormat="1" ht="15.75" customHeight="1" x14ac:dyDescent="0.25">
      <c r="A130" s="50">
        <v>46039</v>
      </c>
      <c r="B130" s="29"/>
      <c r="C130" s="30" t="s">
        <v>58</v>
      </c>
      <c r="D130" s="31" t="s">
        <v>53</v>
      </c>
      <c r="E130" s="99">
        <v>434</v>
      </c>
      <c r="F130" s="30" t="s">
        <v>60</v>
      </c>
      <c r="G130" s="42" t="s">
        <v>271</v>
      </c>
      <c r="H130" s="72" t="s">
        <v>94</v>
      </c>
      <c r="I130" s="32"/>
      <c r="J130" s="32"/>
      <c r="K130" s="39">
        <v>145.57</v>
      </c>
      <c r="L130" s="38"/>
      <c r="M130" s="38"/>
      <c r="N130" s="38"/>
      <c r="O130" s="38"/>
      <c r="P130" s="39">
        <f t="shared" si="5"/>
        <v>145.57</v>
      </c>
      <c r="Q130" s="81"/>
      <c r="R130" s="29">
        <v>45870</v>
      </c>
      <c r="S130" s="33" t="s">
        <v>52</v>
      </c>
      <c r="T130" s="69" t="s">
        <v>79</v>
      </c>
      <c r="U130" s="33" t="s">
        <v>80</v>
      </c>
      <c r="V130" s="30" t="s">
        <v>47</v>
      </c>
      <c r="W130" s="32"/>
      <c r="X130" s="29">
        <v>46039</v>
      </c>
      <c r="Y130" s="65" t="s">
        <v>63</v>
      </c>
      <c r="Z130" s="33"/>
      <c r="AA130" s="33"/>
      <c r="AB130" s="30" t="s">
        <v>66</v>
      </c>
      <c r="AC130" s="33"/>
      <c r="AD130" s="30" t="s">
        <v>48</v>
      </c>
      <c r="AE130" s="34"/>
      <c r="AF130" s="32"/>
      <c r="AG130" s="32"/>
      <c r="AH130" s="33"/>
      <c r="AI130" s="33"/>
      <c r="AJ130" s="29"/>
      <c r="AK130" s="33"/>
      <c r="AL130" s="35">
        <v>18</v>
      </c>
      <c r="AM130" s="31" t="s">
        <v>59</v>
      </c>
      <c r="AN130" s="30" t="s">
        <v>51</v>
      </c>
      <c r="AO130" s="33"/>
      <c r="AP130" s="32"/>
    </row>
    <row r="131" spans="1:42" s="36" customFormat="1" ht="15.75" customHeight="1" x14ac:dyDescent="0.25">
      <c r="A131" s="50">
        <v>46039</v>
      </c>
      <c r="B131" s="29"/>
      <c r="C131" s="30" t="s">
        <v>58</v>
      </c>
      <c r="D131" s="31" t="s">
        <v>53</v>
      </c>
      <c r="E131" s="99">
        <v>435</v>
      </c>
      <c r="F131" s="30" t="s">
        <v>60</v>
      </c>
      <c r="G131" s="42" t="s">
        <v>265</v>
      </c>
      <c r="H131" s="72" t="s">
        <v>72</v>
      </c>
      <c r="I131" s="32"/>
      <c r="J131" s="32"/>
      <c r="K131" s="39">
        <v>37.5</v>
      </c>
      <c r="L131" s="38"/>
      <c r="M131" s="38"/>
      <c r="N131" s="38"/>
      <c r="O131" s="38"/>
      <c r="P131" s="39">
        <f t="shared" si="5"/>
        <v>37.5</v>
      </c>
      <c r="Q131" s="81"/>
      <c r="R131" s="29">
        <v>45926</v>
      </c>
      <c r="S131" s="33" t="s">
        <v>52</v>
      </c>
      <c r="T131" s="69" t="s">
        <v>79</v>
      </c>
      <c r="U131" s="33" t="s">
        <v>82</v>
      </c>
      <c r="V131" s="30" t="s">
        <v>47</v>
      </c>
      <c r="W131" s="32"/>
      <c r="X131" s="29">
        <v>46039</v>
      </c>
      <c r="Y131" s="65" t="s">
        <v>63</v>
      </c>
      <c r="Z131" s="33"/>
      <c r="AA131" s="33"/>
      <c r="AB131" s="30" t="s">
        <v>66</v>
      </c>
      <c r="AC131" s="33"/>
      <c r="AD131" s="30" t="s">
        <v>48</v>
      </c>
      <c r="AE131" s="34"/>
      <c r="AF131" s="32"/>
      <c r="AG131" s="32"/>
      <c r="AH131" s="33"/>
      <c r="AI131" s="33"/>
      <c r="AJ131" s="29"/>
      <c r="AK131" s="33"/>
      <c r="AL131" s="35">
        <v>18</v>
      </c>
      <c r="AM131" s="31" t="s">
        <v>59</v>
      </c>
      <c r="AN131" s="30" t="s">
        <v>51</v>
      </c>
      <c r="AO131" s="33"/>
      <c r="AP131" s="32"/>
    </row>
    <row r="132" spans="1:42" s="36" customFormat="1" ht="15.75" customHeight="1" x14ac:dyDescent="0.25">
      <c r="A132" s="50">
        <v>46039</v>
      </c>
      <c r="B132" s="29"/>
      <c r="C132" s="30" t="s">
        <v>58</v>
      </c>
      <c r="D132" s="31" t="s">
        <v>53</v>
      </c>
      <c r="E132" s="99">
        <v>436</v>
      </c>
      <c r="F132" s="30" t="s">
        <v>60</v>
      </c>
      <c r="G132" s="42" t="s">
        <v>272</v>
      </c>
      <c r="H132" s="72" t="s">
        <v>77</v>
      </c>
      <c r="I132" s="32"/>
      <c r="J132" s="32"/>
      <c r="K132" s="39">
        <v>171.34</v>
      </c>
      <c r="L132" s="38"/>
      <c r="M132" s="38"/>
      <c r="N132" s="38"/>
      <c r="O132" s="38"/>
      <c r="P132" s="39">
        <f t="shared" si="5"/>
        <v>171.34</v>
      </c>
      <c r="Q132" s="81"/>
      <c r="R132" s="29">
        <v>45846</v>
      </c>
      <c r="S132" s="33" t="s">
        <v>52</v>
      </c>
      <c r="T132" s="69" t="s">
        <v>79</v>
      </c>
      <c r="U132" s="33" t="s">
        <v>65</v>
      </c>
      <c r="V132" s="30" t="s">
        <v>47</v>
      </c>
      <c r="W132" s="32"/>
      <c r="X132" s="29">
        <v>46039</v>
      </c>
      <c r="Y132" s="65" t="s">
        <v>63</v>
      </c>
      <c r="Z132" s="33"/>
      <c r="AA132" s="33"/>
      <c r="AB132" s="30" t="s">
        <v>66</v>
      </c>
      <c r="AC132" s="33"/>
      <c r="AD132" s="30" t="s">
        <v>48</v>
      </c>
      <c r="AE132" s="34"/>
      <c r="AF132" s="32"/>
      <c r="AG132" s="32"/>
      <c r="AH132" s="33"/>
      <c r="AI132" s="33"/>
      <c r="AJ132" s="29"/>
      <c r="AK132" s="33"/>
      <c r="AL132" s="35">
        <v>18</v>
      </c>
      <c r="AM132" s="31" t="s">
        <v>59</v>
      </c>
      <c r="AN132" s="30" t="s">
        <v>51</v>
      </c>
      <c r="AO132" s="33"/>
      <c r="AP132" s="32"/>
    </row>
    <row r="133" spans="1:42" s="36" customFormat="1" ht="15.75" customHeight="1" x14ac:dyDescent="0.25">
      <c r="A133" s="50">
        <v>46041</v>
      </c>
      <c r="B133" s="29"/>
      <c r="C133" s="30" t="s">
        <v>58</v>
      </c>
      <c r="D133" s="31" t="s">
        <v>53</v>
      </c>
      <c r="E133" s="99">
        <v>437</v>
      </c>
      <c r="F133" s="30" t="s">
        <v>60</v>
      </c>
      <c r="G133" s="42" t="s">
        <v>273</v>
      </c>
      <c r="H133" s="72" t="s">
        <v>93</v>
      </c>
      <c r="I133" s="32"/>
      <c r="J133" s="32"/>
      <c r="K133" s="39">
        <v>72</v>
      </c>
      <c r="L133" s="38"/>
      <c r="M133" s="38"/>
      <c r="N133" s="38"/>
      <c r="O133" s="38"/>
      <c r="P133" s="39">
        <f t="shared" si="5"/>
        <v>72</v>
      </c>
      <c r="Q133" s="81"/>
      <c r="R133" s="29">
        <v>45939</v>
      </c>
      <c r="S133" s="33" t="s">
        <v>52</v>
      </c>
      <c r="T133" s="69" t="s">
        <v>79</v>
      </c>
      <c r="U133" s="33" t="s">
        <v>84</v>
      </c>
      <c r="V133" s="30" t="s">
        <v>47</v>
      </c>
      <c r="W133" s="32"/>
      <c r="X133" s="29">
        <v>46041</v>
      </c>
      <c r="Y133" s="65" t="s">
        <v>63</v>
      </c>
      <c r="Z133" s="33"/>
      <c r="AA133" s="33"/>
      <c r="AB133" s="30" t="s">
        <v>66</v>
      </c>
      <c r="AC133" s="33"/>
      <c r="AD133" s="30" t="s">
        <v>48</v>
      </c>
      <c r="AE133" s="34"/>
      <c r="AF133" s="32"/>
      <c r="AG133" s="32"/>
      <c r="AH133" s="33"/>
      <c r="AI133" s="33"/>
      <c r="AJ133" s="29"/>
      <c r="AK133" s="33"/>
      <c r="AL133" s="35">
        <v>18</v>
      </c>
      <c r="AM133" s="31" t="s">
        <v>59</v>
      </c>
      <c r="AN133" s="30" t="s">
        <v>51</v>
      </c>
      <c r="AO133" s="33"/>
      <c r="AP133" s="32"/>
    </row>
    <row r="134" spans="1:42" s="36" customFormat="1" ht="15.75" customHeight="1" x14ac:dyDescent="0.25">
      <c r="A134" s="50">
        <v>46041</v>
      </c>
      <c r="B134" s="29"/>
      <c r="C134" s="30" t="s">
        <v>58</v>
      </c>
      <c r="D134" s="31" t="s">
        <v>53</v>
      </c>
      <c r="E134" s="99">
        <v>438</v>
      </c>
      <c r="F134" s="30" t="s">
        <v>60</v>
      </c>
      <c r="G134" s="42" t="s">
        <v>274</v>
      </c>
      <c r="H134" s="72" t="s">
        <v>90</v>
      </c>
      <c r="I134" s="32"/>
      <c r="J134" s="32"/>
      <c r="K134" s="39">
        <v>259.99</v>
      </c>
      <c r="L134" s="38"/>
      <c r="M134" s="38"/>
      <c r="N134" s="38"/>
      <c r="O134" s="38"/>
      <c r="P134" s="39">
        <f t="shared" si="5"/>
        <v>259.99</v>
      </c>
      <c r="Q134" s="81"/>
      <c r="R134" s="29">
        <v>45868</v>
      </c>
      <c r="S134" s="33" t="s">
        <v>52</v>
      </c>
      <c r="T134" s="69" t="s">
        <v>79</v>
      </c>
      <c r="U134" s="33" t="s">
        <v>68</v>
      </c>
      <c r="V134" s="30" t="s">
        <v>47</v>
      </c>
      <c r="W134" s="32"/>
      <c r="X134" s="29">
        <v>46041</v>
      </c>
      <c r="Y134" s="65" t="s">
        <v>63</v>
      </c>
      <c r="Z134" s="33"/>
      <c r="AA134" s="33"/>
      <c r="AB134" s="30" t="s">
        <v>66</v>
      </c>
      <c r="AC134" s="33"/>
      <c r="AD134" s="30" t="s">
        <v>48</v>
      </c>
      <c r="AE134" s="34"/>
      <c r="AF134" s="32"/>
      <c r="AG134" s="32"/>
      <c r="AH134" s="33"/>
      <c r="AI134" s="33"/>
      <c r="AJ134" s="29"/>
      <c r="AK134" s="33"/>
      <c r="AL134" s="35">
        <v>18</v>
      </c>
      <c r="AM134" s="31" t="s">
        <v>59</v>
      </c>
      <c r="AN134" s="30" t="s">
        <v>51</v>
      </c>
      <c r="AO134" s="33"/>
      <c r="AP134" s="32"/>
    </row>
    <row r="135" spans="1:42" s="36" customFormat="1" ht="15.75" customHeight="1" x14ac:dyDescent="0.25">
      <c r="A135" s="50">
        <v>46041</v>
      </c>
      <c r="B135" s="29"/>
      <c r="C135" s="30" t="s">
        <v>58</v>
      </c>
      <c r="D135" s="31" t="s">
        <v>53</v>
      </c>
      <c r="E135" s="99">
        <v>439</v>
      </c>
      <c r="F135" s="30" t="s">
        <v>60</v>
      </c>
      <c r="G135" s="42" t="s">
        <v>266</v>
      </c>
      <c r="H135" s="72" t="s">
        <v>267</v>
      </c>
      <c r="I135" s="32"/>
      <c r="J135" s="32"/>
      <c r="K135" s="39">
        <v>72.5</v>
      </c>
      <c r="L135" s="38"/>
      <c r="M135" s="38"/>
      <c r="N135" s="38"/>
      <c r="O135" s="38"/>
      <c r="P135" s="39">
        <f t="shared" si="5"/>
        <v>72.5</v>
      </c>
      <c r="Q135" s="81"/>
      <c r="R135" s="29">
        <v>45994</v>
      </c>
      <c r="S135" s="33" t="s">
        <v>52</v>
      </c>
      <c r="T135" s="69" t="s">
        <v>79</v>
      </c>
      <c r="U135" s="33" t="s">
        <v>288</v>
      </c>
      <c r="V135" s="30" t="s">
        <v>47</v>
      </c>
      <c r="W135" s="32"/>
      <c r="X135" s="29">
        <v>46041</v>
      </c>
      <c r="Y135" s="65" t="s">
        <v>63</v>
      </c>
      <c r="Z135" s="33"/>
      <c r="AA135" s="33"/>
      <c r="AB135" s="30" t="s">
        <v>66</v>
      </c>
      <c r="AC135" s="33"/>
      <c r="AD135" s="30" t="s">
        <v>48</v>
      </c>
      <c r="AE135" s="34"/>
      <c r="AF135" s="32"/>
      <c r="AG135" s="32"/>
      <c r="AH135" s="33"/>
      <c r="AI135" s="33"/>
      <c r="AJ135" s="29"/>
      <c r="AK135" s="33"/>
      <c r="AL135" s="35">
        <v>18</v>
      </c>
      <c r="AM135" s="31" t="s">
        <v>59</v>
      </c>
      <c r="AN135" s="30" t="s">
        <v>51</v>
      </c>
      <c r="AO135" s="33"/>
      <c r="AP135" s="32"/>
    </row>
    <row r="136" spans="1:42" s="36" customFormat="1" ht="15.75" customHeight="1" x14ac:dyDescent="0.25">
      <c r="A136" s="50">
        <v>46041</v>
      </c>
      <c r="B136" s="29"/>
      <c r="C136" s="30" t="s">
        <v>58</v>
      </c>
      <c r="D136" s="31" t="s">
        <v>53</v>
      </c>
      <c r="E136" s="99">
        <v>440</v>
      </c>
      <c r="F136" s="30" t="s">
        <v>60</v>
      </c>
      <c r="G136" s="42" t="s">
        <v>262</v>
      </c>
      <c r="H136" s="72" t="s">
        <v>294</v>
      </c>
      <c r="I136" s="32"/>
      <c r="J136" s="32"/>
      <c r="K136" s="39">
        <v>45</v>
      </c>
      <c r="L136" s="38"/>
      <c r="M136" s="38"/>
      <c r="N136" s="38"/>
      <c r="O136" s="38"/>
      <c r="P136" s="39">
        <f t="shared" si="5"/>
        <v>45</v>
      </c>
      <c r="Q136" s="81"/>
      <c r="R136" s="29">
        <v>45877</v>
      </c>
      <c r="S136" s="33" t="s">
        <v>52</v>
      </c>
      <c r="T136" s="69" t="s">
        <v>79</v>
      </c>
      <c r="U136" s="33" t="s">
        <v>70</v>
      </c>
      <c r="V136" s="30" t="s">
        <v>47</v>
      </c>
      <c r="W136" s="32"/>
      <c r="X136" s="29">
        <v>46041</v>
      </c>
      <c r="Y136" s="65" t="s">
        <v>63</v>
      </c>
      <c r="Z136" s="33"/>
      <c r="AA136" s="33"/>
      <c r="AB136" s="30" t="s">
        <v>66</v>
      </c>
      <c r="AC136" s="33"/>
      <c r="AD136" s="30" t="s">
        <v>48</v>
      </c>
      <c r="AE136" s="34"/>
      <c r="AF136" s="32"/>
      <c r="AG136" s="32"/>
      <c r="AH136" s="33"/>
      <c r="AI136" s="33"/>
      <c r="AJ136" s="29"/>
      <c r="AK136" s="33"/>
      <c r="AL136" s="35">
        <v>18</v>
      </c>
      <c r="AM136" s="31" t="s">
        <v>59</v>
      </c>
      <c r="AN136" s="30" t="s">
        <v>51</v>
      </c>
      <c r="AO136" s="33"/>
      <c r="AP136" s="32"/>
    </row>
    <row r="137" spans="1:42" s="36" customFormat="1" ht="15.75" customHeight="1" x14ac:dyDescent="0.25">
      <c r="A137" s="50">
        <v>46041</v>
      </c>
      <c r="B137" s="29"/>
      <c r="C137" s="30" t="s">
        <v>58</v>
      </c>
      <c r="D137" s="31" t="s">
        <v>53</v>
      </c>
      <c r="E137" s="99">
        <v>441</v>
      </c>
      <c r="F137" s="30" t="s">
        <v>60</v>
      </c>
      <c r="G137" s="42" t="s">
        <v>275</v>
      </c>
      <c r="H137" s="72" t="s">
        <v>76</v>
      </c>
      <c r="I137" s="32"/>
      <c r="J137" s="32"/>
      <c r="K137" s="39">
        <v>263.01</v>
      </c>
      <c r="L137" s="38"/>
      <c r="M137" s="38"/>
      <c r="N137" s="38"/>
      <c r="O137" s="38"/>
      <c r="P137" s="39">
        <f t="shared" si="5"/>
        <v>263.01</v>
      </c>
      <c r="Q137" s="81"/>
      <c r="R137" s="29">
        <v>45870</v>
      </c>
      <c r="S137" s="33" t="s">
        <v>52</v>
      </c>
      <c r="T137" s="69" t="s">
        <v>79</v>
      </c>
      <c r="U137" s="33" t="s">
        <v>69</v>
      </c>
      <c r="V137" s="30" t="s">
        <v>47</v>
      </c>
      <c r="W137" s="32"/>
      <c r="X137" s="29">
        <v>46041</v>
      </c>
      <c r="Y137" s="65" t="s">
        <v>63</v>
      </c>
      <c r="Z137" s="33"/>
      <c r="AA137" s="33"/>
      <c r="AB137" s="30" t="s">
        <v>66</v>
      </c>
      <c r="AC137" s="33"/>
      <c r="AD137" s="30" t="s">
        <v>48</v>
      </c>
      <c r="AE137" s="34"/>
      <c r="AF137" s="32"/>
      <c r="AG137" s="32"/>
      <c r="AH137" s="33"/>
      <c r="AI137" s="33"/>
      <c r="AJ137" s="29"/>
      <c r="AK137" s="33"/>
      <c r="AL137" s="35">
        <v>18</v>
      </c>
      <c r="AM137" s="31" t="s">
        <v>59</v>
      </c>
      <c r="AN137" s="30" t="s">
        <v>51</v>
      </c>
      <c r="AO137" s="33"/>
      <c r="AP137" s="32"/>
    </row>
    <row r="138" spans="1:42" s="36" customFormat="1" ht="15.75" customHeight="1" x14ac:dyDescent="0.25">
      <c r="A138" s="50">
        <v>46041</v>
      </c>
      <c r="B138" s="29"/>
      <c r="C138" s="30" t="s">
        <v>58</v>
      </c>
      <c r="D138" s="31" t="s">
        <v>53</v>
      </c>
      <c r="E138" s="99">
        <v>442</v>
      </c>
      <c r="F138" s="30" t="s">
        <v>60</v>
      </c>
      <c r="G138" s="42" t="s">
        <v>263</v>
      </c>
      <c r="H138" s="72" t="s">
        <v>264</v>
      </c>
      <c r="I138" s="32"/>
      <c r="J138" s="32"/>
      <c r="K138" s="39">
        <v>46.83</v>
      </c>
      <c r="L138" s="38"/>
      <c r="M138" s="38"/>
      <c r="N138" s="38"/>
      <c r="O138" s="38"/>
      <c r="P138" s="39">
        <f t="shared" si="5"/>
        <v>46.83</v>
      </c>
      <c r="Q138" s="81"/>
      <c r="R138" s="29">
        <v>46009</v>
      </c>
      <c r="S138" s="33" t="s">
        <v>52</v>
      </c>
      <c r="T138" s="69" t="s">
        <v>79</v>
      </c>
      <c r="U138" s="33" t="s">
        <v>287</v>
      </c>
      <c r="V138" s="30" t="s">
        <v>47</v>
      </c>
      <c r="W138" s="32"/>
      <c r="X138" s="29">
        <v>46041</v>
      </c>
      <c r="Y138" s="65" t="s">
        <v>63</v>
      </c>
      <c r="Z138" s="33"/>
      <c r="AA138" s="33"/>
      <c r="AB138" s="30" t="s">
        <v>66</v>
      </c>
      <c r="AC138" s="33"/>
      <c r="AD138" s="30" t="s">
        <v>48</v>
      </c>
      <c r="AE138" s="34"/>
      <c r="AF138" s="32"/>
      <c r="AG138" s="32"/>
      <c r="AH138" s="33"/>
      <c r="AI138" s="33"/>
      <c r="AJ138" s="29"/>
      <c r="AK138" s="33"/>
      <c r="AL138" s="35">
        <v>18</v>
      </c>
      <c r="AM138" s="31" t="s">
        <v>59</v>
      </c>
      <c r="AN138" s="30" t="s">
        <v>51</v>
      </c>
      <c r="AO138" s="33"/>
      <c r="AP138" s="32"/>
    </row>
    <row r="139" spans="1:42" s="36" customFormat="1" ht="15.75" customHeight="1" x14ac:dyDescent="0.25">
      <c r="A139" s="50">
        <v>46041</v>
      </c>
      <c r="B139" s="29"/>
      <c r="C139" s="30" t="s">
        <v>58</v>
      </c>
      <c r="D139" s="31" t="s">
        <v>53</v>
      </c>
      <c r="E139" s="99">
        <v>443</v>
      </c>
      <c r="F139" s="30" t="s">
        <v>60</v>
      </c>
      <c r="G139" s="42" t="s">
        <v>268</v>
      </c>
      <c r="H139" s="72" t="s">
        <v>74</v>
      </c>
      <c r="I139" s="32"/>
      <c r="J139" s="32"/>
      <c r="K139" s="39">
        <v>78.5</v>
      </c>
      <c r="L139" s="38"/>
      <c r="M139" s="38"/>
      <c r="N139" s="38"/>
      <c r="O139" s="38"/>
      <c r="P139" s="39">
        <f t="shared" si="5"/>
        <v>78.5</v>
      </c>
      <c r="Q139" s="81"/>
      <c r="R139" s="29">
        <v>45770</v>
      </c>
      <c r="S139" s="33" t="s">
        <v>52</v>
      </c>
      <c r="T139" s="69" t="s">
        <v>79</v>
      </c>
      <c r="U139" s="33" t="s">
        <v>62</v>
      </c>
      <c r="V139" s="30" t="s">
        <v>47</v>
      </c>
      <c r="W139" s="32"/>
      <c r="X139" s="29">
        <v>46041</v>
      </c>
      <c r="Y139" s="65" t="s">
        <v>63</v>
      </c>
      <c r="Z139" s="33"/>
      <c r="AA139" s="33"/>
      <c r="AB139" s="30" t="s">
        <v>66</v>
      </c>
      <c r="AC139" s="33"/>
      <c r="AD139" s="30" t="s">
        <v>48</v>
      </c>
      <c r="AE139" s="34"/>
      <c r="AF139" s="32"/>
      <c r="AG139" s="32"/>
      <c r="AH139" s="33"/>
      <c r="AI139" s="33"/>
      <c r="AJ139" s="29"/>
      <c r="AK139" s="33"/>
      <c r="AL139" s="35">
        <v>18</v>
      </c>
      <c r="AM139" s="31" t="s">
        <v>59</v>
      </c>
      <c r="AN139" s="30" t="s">
        <v>51</v>
      </c>
      <c r="AO139" s="33"/>
      <c r="AP139" s="32"/>
    </row>
    <row r="140" spans="1:42" s="36" customFormat="1" ht="15.75" customHeight="1" x14ac:dyDescent="0.25">
      <c r="A140" s="50">
        <v>46041</v>
      </c>
      <c r="B140" s="29"/>
      <c r="C140" s="30" t="s">
        <v>58</v>
      </c>
      <c r="D140" s="31" t="s">
        <v>53</v>
      </c>
      <c r="E140" s="99">
        <v>444</v>
      </c>
      <c r="F140" s="30" t="s">
        <v>60</v>
      </c>
      <c r="G140" s="42" t="s">
        <v>269</v>
      </c>
      <c r="H140" s="72" t="s">
        <v>92</v>
      </c>
      <c r="I140" s="32"/>
      <c r="J140" s="32"/>
      <c r="K140" s="39">
        <v>21.17</v>
      </c>
      <c r="L140" s="38"/>
      <c r="M140" s="38"/>
      <c r="N140" s="38"/>
      <c r="O140" s="38"/>
      <c r="P140" s="39">
        <f t="shared" si="5"/>
        <v>21.17</v>
      </c>
      <c r="Q140" s="81"/>
      <c r="R140" s="29">
        <v>45932</v>
      </c>
      <c r="S140" s="33" t="s">
        <v>52</v>
      </c>
      <c r="T140" s="69" t="s">
        <v>79</v>
      </c>
      <c r="U140" s="33" t="s">
        <v>83</v>
      </c>
      <c r="V140" s="30" t="s">
        <v>47</v>
      </c>
      <c r="W140" s="32"/>
      <c r="X140" s="29">
        <v>46041</v>
      </c>
      <c r="Y140" s="65" t="s">
        <v>63</v>
      </c>
      <c r="Z140" s="33"/>
      <c r="AA140" s="33"/>
      <c r="AB140" s="30" t="s">
        <v>66</v>
      </c>
      <c r="AC140" s="33"/>
      <c r="AD140" s="30" t="s">
        <v>48</v>
      </c>
      <c r="AE140" s="34"/>
      <c r="AF140" s="32"/>
      <c r="AG140" s="32"/>
      <c r="AH140" s="33"/>
      <c r="AI140" s="33"/>
      <c r="AJ140" s="29"/>
      <c r="AK140" s="33"/>
      <c r="AL140" s="35">
        <v>18</v>
      </c>
      <c r="AM140" s="31" t="s">
        <v>59</v>
      </c>
      <c r="AN140" s="30" t="s">
        <v>51</v>
      </c>
      <c r="AO140" s="33"/>
      <c r="AP140" s="32"/>
    </row>
    <row r="141" spans="1:42" s="36" customFormat="1" ht="15.75" customHeight="1" x14ac:dyDescent="0.25">
      <c r="A141" s="50">
        <v>46042</v>
      </c>
      <c r="B141" s="61"/>
      <c r="C141" s="30" t="s">
        <v>58</v>
      </c>
      <c r="D141" s="31" t="s">
        <v>53</v>
      </c>
      <c r="E141" s="99">
        <v>445</v>
      </c>
      <c r="F141" s="30" t="s">
        <v>54</v>
      </c>
      <c r="G141" s="42" t="s">
        <v>270</v>
      </c>
      <c r="H141" s="72" t="s">
        <v>96</v>
      </c>
      <c r="I141" s="60"/>
      <c r="J141" s="60"/>
      <c r="K141" s="39">
        <v>44.5</v>
      </c>
      <c r="L141" s="93"/>
      <c r="M141" s="93"/>
      <c r="N141" s="93"/>
      <c r="O141" s="93"/>
      <c r="P141" s="39">
        <f t="shared" si="5"/>
        <v>44.5</v>
      </c>
      <c r="Q141" s="94"/>
      <c r="R141" s="29">
        <v>45969</v>
      </c>
      <c r="S141" s="33" t="s">
        <v>52</v>
      </c>
      <c r="T141" s="69" t="s">
        <v>79</v>
      </c>
      <c r="U141" s="33" t="s">
        <v>99</v>
      </c>
      <c r="V141" s="30" t="s">
        <v>47</v>
      </c>
      <c r="W141" s="32"/>
      <c r="X141" s="29">
        <v>46042</v>
      </c>
      <c r="Y141" s="65" t="s">
        <v>63</v>
      </c>
      <c r="Z141" s="33"/>
      <c r="AA141" s="33"/>
      <c r="AB141" s="30" t="s">
        <v>66</v>
      </c>
      <c r="AC141" s="33"/>
      <c r="AD141" s="30" t="s">
        <v>48</v>
      </c>
      <c r="AE141" s="34"/>
      <c r="AF141" s="32"/>
      <c r="AG141" s="32"/>
      <c r="AH141" s="33"/>
      <c r="AI141" s="33"/>
      <c r="AJ141" s="29"/>
      <c r="AK141" s="33"/>
      <c r="AL141" s="35">
        <v>18</v>
      </c>
      <c r="AM141" s="31" t="s">
        <v>59</v>
      </c>
      <c r="AN141" s="30" t="s">
        <v>51</v>
      </c>
      <c r="AO141" s="33"/>
      <c r="AP141" s="32"/>
    </row>
    <row r="142" spans="1:42" s="36" customFormat="1" ht="15.75" customHeight="1" x14ac:dyDescent="0.25">
      <c r="A142" s="50">
        <v>46042</v>
      </c>
      <c r="B142" s="61"/>
      <c r="C142" s="30" t="s">
        <v>58</v>
      </c>
      <c r="D142" s="31" t="s">
        <v>53</v>
      </c>
      <c r="E142" s="99">
        <v>446</v>
      </c>
      <c r="F142" s="30" t="s">
        <v>54</v>
      </c>
      <c r="G142" s="42" t="s">
        <v>256</v>
      </c>
      <c r="H142" s="72" t="s">
        <v>71</v>
      </c>
      <c r="I142" s="60"/>
      <c r="J142" s="60"/>
      <c r="K142" s="39">
        <v>63</v>
      </c>
      <c r="L142" s="93"/>
      <c r="M142" s="93"/>
      <c r="N142" s="93"/>
      <c r="O142" s="93"/>
      <c r="P142" s="39">
        <f t="shared" si="5"/>
        <v>63</v>
      </c>
      <c r="Q142" s="94"/>
      <c r="R142" s="29">
        <v>45911</v>
      </c>
      <c r="S142" s="33" t="s">
        <v>52</v>
      </c>
      <c r="T142" s="69" t="s">
        <v>79</v>
      </c>
      <c r="U142" s="33" t="s">
        <v>81</v>
      </c>
      <c r="V142" s="30" t="s">
        <v>47</v>
      </c>
      <c r="W142" s="32"/>
      <c r="X142" s="29">
        <v>46042</v>
      </c>
      <c r="Y142" s="65" t="s">
        <v>63</v>
      </c>
      <c r="Z142" s="33"/>
      <c r="AA142" s="33"/>
      <c r="AB142" s="30" t="s">
        <v>66</v>
      </c>
      <c r="AC142" s="33"/>
      <c r="AD142" s="30" t="s">
        <v>48</v>
      </c>
      <c r="AE142" s="34"/>
      <c r="AF142" s="32"/>
      <c r="AG142" s="32"/>
      <c r="AH142" s="33"/>
      <c r="AI142" s="33"/>
      <c r="AJ142" s="29"/>
      <c r="AK142" s="33"/>
      <c r="AL142" s="35">
        <v>18</v>
      </c>
      <c r="AM142" s="31" t="s">
        <v>59</v>
      </c>
      <c r="AN142" s="30" t="s">
        <v>51</v>
      </c>
      <c r="AO142" s="33"/>
      <c r="AP142" s="32"/>
    </row>
    <row r="143" spans="1:42" s="36" customFormat="1" ht="15.75" customHeight="1" x14ac:dyDescent="0.25">
      <c r="A143" s="50">
        <v>46045</v>
      </c>
      <c r="B143" s="61"/>
      <c r="C143" s="30" t="s">
        <v>58</v>
      </c>
      <c r="D143" s="31" t="s">
        <v>53</v>
      </c>
      <c r="E143" s="99">
        <v>447</v>
      </c>
      <c r="F143" s="30" t="s">
        <v>54</v>
      </c>
      <c r="G143" s="42" t="s">
        <v>278</v>
      </c>
      <c r="H143" s="72" t="s">
        <v>279</v>
      </c>
      <c r="I143" s="60"/>
      <c r="J143" s="60"/>
      <c r="K143" s="39">
        <v>805</v>
      </c>
      <c r="L143" s="93"/>
      <c r="M143" s="93"/>
      <c r="N143" s="93"/>
      <c r="O143" s="93"/>
      <c r="P143" s="39">
        <f t="shared" ref="P143" si="7">K143</f>
        <v>805</v>
      </c>
      <c r="Q143" s="94"/>
      <c r="R143" s="29">
        <v>45772</v>
      </c>
      <c r="S143" s="33" t="s">
        <v>52</v>
      </c>
      <c r="T143" s="69" t="s">
        <v>79</v>
      </c>
      <c r="U143" s="33" t="s">
        <v>290</v>
      </c>
      <c r="V143" s="30" t="s">
        <v>47</v>
      </c>
      <c r="W143" s="32"/>
      <c r="X143" s="29">
        <v>46044</v>
      </c>
      <c r="Y143" s="65" t="s">
        <v>63</v>
      </c>
      <c r="Z143" s="33"/>
      <c r="AA143" s="33"/>
      <c r="AB143" s="30" t="s">
        <v>66</v>
      </c>
      <c r="AC143" s="33"/>
      <c r="AD143" s="30" t="s">
        <v>48</v>
      </c>
      <c r="AE143" s="34"/>
      <c r="AF143" s="32"/>
      <c r="AG143" s="32"/>
      <c r="AH143" s="33"/>
      <c r="AI143" s="33"/>
      <c r="AJ143" s="29"/>
      <c r="AK143" s="33"/>
      <c r="AL143" s="35">
        <v>18</v>
      </c>
      <c r="AM143" s="31" t="s">
        <v>59</v>
      </c>
      <c r="AN143" s="30" t="s">
        <v>51</v>
      </c>
      <c r="AO143" s="33"/>
      <c r="AP143" s="32"/>
    </row>
    <row r="144" spans="1:42" s="36" customFormat="1" ht="15.75" customHeight="1" x14ac:dyDescent="0.25">
      <c r="A144" s="50">
        <v>46044</v>
      </c>
      <c r="B144" s="61"/>
      <c r="C144" s="30" t="s">
        <v>58</v>
      </c>
      <c r="D144" s="31" t="s">
        <v>53</v>
      </c>
      <c r="E144" s="99">
        <v>448</v>
      </c>
      <c r="F144" s="30" t="s">
        <v>54</v>
      </c>
      <c r="G144" s="42" t="s">
        <v>255</v>
      </c>
      <c r="H144" s="72" t="s">
        <v>91</v>
      </c>
      <c r="I144" s="60"/>
      <c r="J144" s="60"/>
      <c r="K144" s="39">
        <v>197</v>
      </c>
      <c r="L144" s="93"/>
      <c r="M144" s="93"/>
      <c r="N144" s="93"/>
      <c r="O144" s="93"/>
      <c r="P144" s="39">
        <f t="shared" si="5"/>
        <v>197</v>
      </c>
      <c r="Q144" s="94"/>
      <c r="R144" s="29">
        <v>45958</v>
      </c>
      <c r="S144" s="33" t="s">
        <v>52</v>
      </c>
      <c r="T144" s="69" t="s">
        <v>79</v>
      </c>
      <c r="U144" s="33" t="s">
        <v>97</v>
      </c>
      <c r="V144" s="30" t="s">
        <v>47</v>
      </c>
      <c r="W144" s="32"/>
      <c r="X144" s="29">
        <v>46044</v>
      </c>
      <c r="Y144" s="65" t="s">
        <v>63</v>
      </c>
      <c r="Z144" s="33"/>
      <c r="AA144" s="33"/>
      <c r="AB144" s="30" t="s">
        <v>66</v>
      </c>
      <c r="AC144" s="33"/>
      <c r="AD144" s="30" t="s">
        <v>48</v>
      </c>
      <c r="AE144" s="34"/>
      <c r="AF144" s="32"/>
      <c r="AG144" s="32"/>
      <c r="AH144" s="33"/>
      <c r="AI144" s="33"/>
      <c r="AJ144" s="29"/>
      <c r="AK144" s="33"/>
      <c r="AL144" s="35">
        <v>18</v>
      </c>
      <c r="AM144" s="31" t="s">
        <v>59</v>
      </c>
      <c r="AN144" s="30" t="s">
        <v>51</v>
      </c>
      <c r="AO144" s="33"/>
      <c r="AP144" s="32"/>
    </row>
    <row r="145" spans="1:48" s="36" customFormat="1" ht="15.75" customHeight="1" x14ac:dyDescent="0.25">
      <c r="A145" s="50">
        <v>46044</v>
      </c>
      <c r="B145" s="61"/>
      <c r="C145" s="30" t="s">
        <v>58</v>
      </c>
      <c r="D145" s="31" t="s">
        <v>53</v>
      </c>
      <c r="E145" s="99">
        <v>449</v>
      </c>
      <c r="F145" s="30" t="s">
        <v>54</v>
      </c>
      <c r="G145" s="42" t="s">
        <v>276</v>
      </c>
      <c r="H145" s="72" t="s">
        <v>277</v>
      </c>
      <c r="I145" s="60"/>
      <c r="J145" s="60"/>
      <c r="K145" s="39">
        <v>810</v>
      </c>
      <c r="L145" s="93"/>
      <c r="M145" s="93"/>
      <c r="N145" s="93"/>
      <c r="O145" s="93"/>
      <c r="P145" s="39">
        <f t="shared" si="5"/>
        <v>810</v>
      </c>
      <c r="Q145" s="94"/>
      <c r="R145" s="29">
        <v>45947</v>
      </c>
      <c r="S145" s="33" t="s">
        <v>52</v>
      </c>
      <c r="T145" s="69" t="s">
        <v>79</v>
      </c>
      <c r="U145" s="33" t="s">
        <v>289</v>
      </c>
      <c r="V145" s="30" t="s">
        <v>47</v>
      </c>
      <c r="W145" s="32"/>
      <c r="X145" s="29">
        <v>46045</v>
      </c>
      <c r="Y145" s="65" t="s">
        <v>63</v>
      </c>
      <c r="Z145" s="33"/>
      <c r="AA145" s="33"/>
      <c r="AB145" s="30" t="s">
        <v>66</v>
      </c>
      <c r="AC145" s="33"/>
      <c r="AD145" s="30" t="s">
        <v>48</v>
      </c>
      <c r="AE145" s="34"/>
      <c r="AF145" s="32"/>
      <c r="AG145" s="32"/>
      <c r="AH145" s="33"/>
      <c r="AI145" s="33"/>
      <c r="AJ145" s="29"/>
      <c r="AK145" s="33"/>
      <c r="AL145" s="35">
        <v>18</v>
      </c>
      <c r="AM145" s="31" t="s">
        <v>59</v>
      </c>
      <c r="AN145" s="30" t="s">
        <v>51</v>
      </c>
      <c r="AO145" s="33"/>
      <c r="AP145" s="32"/>
    </row>
    <row r="146" spans="1:48" s="36" customFormat="1" ht="15.75" customHeight="1" x14ac:dyDescent="0.25">
      <c r="A146" s="50">
        <v>46048</v>
      </c>
      <c r="B146" s="61"/>
      <c r="C146" s="30" t="s">
        <v>58</v>
      </c>
      <c r="D146" s="31" t="s">
        <v>53</v>
      </c>
      <c r="E146" s="99">
        <v>450</v>
      </c>
      <c r="F146" s="30" t="s">
        <v>54</v>
      </c>
      <c r="G146" s="42" t="s">
        <v>280</v>
      </c>
      <c r="H146" s="72" t="s">
        <v>281</v>
      </c>
      <c r="I146" s="60"/>
      <c r="J146" s="60"/>
      <c r="K146" s="39">
        <v>1114</v>
      </c>
      <c r="L146" s="93"/>
      <c r="M146" s="93"/>
      <c r="N146" s="93"/>
      <c r="O146" s="93"/>
      <c r="P146" s="39">
        <f t="shared" si="5"/>
        <v>1114</v>
      </c>
      <c r="Q146" s="94"/>
      <c r="R146" s="29">
        <v>45824</v>
      </c>
      <c r="S146" s="33" t="s">
        <v>52</v>
      </c>
      <c r="T146" s="69" t="s">
        <v>79</v>
      </c>
      <c r="U146" s="33" t="s">
        <v>291</v>
      </c>
      <c r="V146" s="30" t="s">
        <v>47</v>
      </c>
      <c r="W146" s="32"/>
      <c r="X146" s="29">
        <v>46048</v>
      </c>
      <c r="Y146" s="65" t="s">
        <v>63</v>
      </c>
      <c r="Z146" s="33"/>
      <c r="AA146" s="33"/>
      <c r="AB146" s="30" t="s">
        <v>66</v>
      </c>
      <c r="AC146" s="33"/>
      <c r="AD146" s="30" t="s">
        <v>48</v>
      </c>
      <c r="AE146" s="34"/>
      <c r="AF146" s="32"/>
      <c r="AG146" s="32"/>
      <c r="AH146" s="33"/>
      <c r="AI146" s="33"/>
      <c r="AJ146" s="29"/>
      <c r="AK146" s="33"/>
      <c r="AL146" s="35">
        <v>18</v>
      </c>
      <c r="AM146" s="31" t="s">
        <v>59</v>
      </c>
      <c r="AN146" s="30" t="s">
        <v>51</v>
      </c>
      <c r="AO146" s="33"/>
      <c r="AP146" s="32"/>
    </row>
    <row r="147" spans="1:48" s="6" customFormat="1" x14ac:dyDescent="0.2">
      <c r="A147" s="8"/>
      <c r="B147" s="8"/>
      <c r="C147" s="9"/>
      <c r="D147" s="9"/>
      <c r="E147" s="9"/>
      <c r="F147" s="9"/>
      <c r="G147" s="9"/>
      <c r="H147" s="9"/>
      <c r="I147" s="10"/>
      <c r="J147" s="12">
        <f>SUM(J6:J146)</f>
        <v>0</v>
      </c>
      <c r="K147" s="12">
        <f>SUM(K6:K146)</f>
        <v>499513.73000000004</v>
      </c>
      <c r="L147" s="11"/>
      <c r="M147" s="11"/>
      <c r="N147" s="12">
        <f>SUM(N6:N146)</f>
        <v>0</v>
      </c>
      <c r="O147" s="12">
        <f>SUM(O6:O146)</f>
        <v>0</v>
      </c>
      <c r="P147" s="12">
        <f>SUM(P6:P146)</f>
        <v>499513.73000000004</v>
      </c>
      <c r="Q147" s="82"/>
      <c r="R147" s="89"/>
      <c r="S147" s="90"/>
      <c r="T147" s="90"/>
      <c r="U147" s="90"/>
      <c r="V147" s="90"/>
      <c r="W147" s="91"/>
      <c r="X147" s="89"/>
      <c r="Y147" s="90"/>
      <c r="Z147" s="90"/>
      <c r="AA147" s="90"/>
      <c r="AB147" s="90"/>
      <c r="AC147" s="90"/>
      <c r="AD147" s="90"/>
      <c r="AE147" s="92"/>
      <c r="AF147" s="91"/>
      <c r="AG147" s="91"/>
      <c r="AH147" s="90"/>
      <c r="AI147" s="90"/>
      <c r="AJ147" s="89"/>
      <c r="AK147" s="90"/>
      <c r="AL147" s="91"/>
      <c r="AM147" s="90"/>
      <c r="AN147" s="90"/>
      <c r="AO147" s="90"/>
      <c r="AP147" s="91"/>
    </row>
    <row r="149" spans="1:48" x14ac:dyDescent="0.25">
      <c r="H149" s="72"/>
    </row>
    <row r="150" spans="1:48" s="2" customFormat="1" x14ac:dyDescent="0.25">
      <c r="A150" s="1"/>
      <c r="B150" s="1"/>
      <c r="H150" s="72"/>
      <c r="I150" s="3"/>
      <c r="J150" s="3"/>
      <c r="K150" s="3"/>
      <c r="L150" s="3"/>
      <c r="M150" s="3"/>
      <c r="N150" s="3"/>
      <c r="O150" s="3"/>
      <c r="P150" s="3"/>
      <c r="Q150" s="4"/>
      <c r="R150" s="1"/>
      <c r="W150" s="3"/>
      <c r="X150" s="1"/>
      <c r="AE150" s="5"/>
      <c r="AF150" s="3"/>
      <c r="AG150" s="3"/>
      <c r="AJ150" s="1"/>
      <c r="AL150" s="3"/>
      <c r="AP150" s="3"/>
      <c r="AQ150"/>
      <c r="AR150"/>
      <c r="AS150"/>
      <c r="AT150"/>
      <c r="AU150"/>
      <c r="AV150"/>
    </row>
    <row r="151" spans="1:48" s="2" customFormat="1" x14ac:dyDescent="0.25">
      <c r="A151" s="1"/>
      <c r="B151" s="1"/>
      <c r="I151" s="3"/>
      <c r="J151" s="3"/>
      <c r="K151" s="3"/>
      <c r="L151" s="3"/>
      <c r="M151" s="3"/>
      <c r="N151" s="3"/>
      <c r="O151" s="3"/>
      <c r="P151" s="3"/>
      <c r="Q151" s="4"/>
      <c r="R151" s="1"/>
      <c r="W151" s="3"/>
      <c r="X151" s="1"/>
      <c r="AE151" s="5"/>
      <c r="AF151" s="3"/>
      <c r="AG151" s="3"/>
      <c r="AJ151" s="1"/>
      <c r="AL151" s="3"/>
      <c r="AP151" s="3"/>
      <c r="AQ151"/>
      <c r="AR151"/>
      <c r="AS151"/>
      <c r="AT151"/>
      <c r="AU151"/>
      <c r="AV151"/>
    </row>
  </sheetData>
  <mergeCells count="37">
    <mergeCell ref="AP3:AP5"/>
    <mergeCell ref="F4:G4"/>
    <mergeCell ref="H4:H5"/>
    <mergeCell ref="AJ3:AJ5"/>
    <mergeCell ref="AK3:AK5"/>
    <mergeCell ref="AL3:AL5"/>
    <mergeCell ref="AM3:AM5"/>
    <mergeCell ref="AN3:AN5"/>
    <mergeCell ref="AO3:AO5"/>
    <mergeCell ref="AD3:AD5"/>
    <mergeCell ref="AE3:AE5"/>
    <mergeCell ref="AF3:AF5"/>
    <mergeCell ref="AG3:AG5"/>
    <mergeCell ref="AH3:AH5"/>
    <mergeCell ref="AI3:AI5"/>
    <mergeCell ref="X3:X5"/>
    <mergeCell ref="Y3:Y5"/>
    <mergeCell ref="Z3:Z5"/>
    <mergeCell ref="AA3:AA5"/>
    <mergeCell ref="AB3:AB5"/>
    <mergeCell ref="AC3:AC5"/>
    <mergeCell ref="W3:W5"/>
    <mergeCell ref="A1:AP1"/>
    <mergeCell ref="A3:A5"/>
    <mergeCell ref="B3:B5"/>
    <mergeCell ref="C3:E4"/>
    <mergeCell ref="F3:H3"/>
    <mergeCell ref="I3:I5"/>
    <mergeCell ref="J3:J5"/>
    <mergeCell ref="K3:L4"/>
    <mergeCell ref="M3:M5"/>
    <mergeCell ref="N3:N5"/>
    <mergeCell ref="O3:O5"/>
    <mergeCell ref="P3:P5"/>
    <mergeCell ref="Q3:Q5"/>
    <mergeCell ref="R3:U4"/>
    <mergeCell ref="V3:V5"/>
  </mergeCells>
  <pageMargins left="0.7" right="0.7" top="0.75" bottom="0.75" header="0.3" footer="0.3"/>
  <pageSetup paperSize="9" scale="79" orientation="portrait" horizontalDpi="360" verticalDpi="360" r:id="rId1"/>
  <colBreaks count="2" manualBreakCount="2">
    <brk id="7" max="114" man="1"/>
    <brk id="18" max="114"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W158"/>
  <sheetViews>
    <sheetView topLeftCell="K1" zoomScaleNormal="100" zoomScaleSheetLayoutView="100" workbookViewId="0">
      <pane ySplit="5" topLeftCell="A145" activePane="bottomLeft" state="frozen"/>
      <selection pane="bottomLeft" activeCell="P156" sqref="P156"/>
    </sheetView>
  </sheetViews>
  <sheetFormatPr baseColWidth="10" defaultRowHeight="15" x14ac:dyDescent="0.25"/>
  <cols>
    <col min="1" max="1" width="10.28515625" style="1" customWidth="1"/>
    <col min="2" max="2" width="11.140625" style="1" customWidth="1"/>
    <col min="3" max="3" width="4.85546875" style="2" customWidth="1"/>
    <col min="4" max="4" width="6.7109375" style="2" customWidth="1"/>
    <col min="5" max="5" width="14.28515625" style="2" customWidth="1"/>
    <col min="6" max="6" width="3.140625" style="2" customWidth="1"/>
    <col min="7" max="7" width="12.140625" style="2" customWidth="1"/>
    <col min="8" max="8" width="30.7109375" style="2" customWidth="1"/>
    <col min="9" max="9" width="0.5703125" style="3" customWidth="1"/>
    <col min="10" max="10" width="13.7109375" style="3" customWidth="1"/>
    <col min="11" max="11" width="14.28515625" style="3" customWidth="1"/>
    <col min="12" max="13" width="0.5703125" style="3" customWidth="1"/>
    <col min="14" max="14" width="13.5703125" style="3" bestFit="1" customWidth="1"/>
    <col min="15" max="15" width="0.7109375" style="3" customWidth="1"/>
    <col min="16" max="16" width="13.42578125" style="3" customWidth="1"/>
    <col min="17" max="17" width="12.140625" style="4" customWidth="1"/>
    <col min="18" max="18" width="11" style="1" customWidth="1"/>
    <col min="19" max="19" width="7" style="2" customWidth="1"/>
    <col min="20" max="20" width="12.5703125" style="2" customWidth="1"/>
    <col min="21" max="21" width="10.85546875" style="2" customWidth="1"/>
    <col min="22" max="22" width="7" style="2" customWidth="1"/>
    <col min="23" max="23" width="0.85546875" style="3" customWidth="1"/>
    <col min="24" max="24" width="13.140625" style="1" customWidth="1"/>
    <col min="25" max="25" width="9.42578125" style="2" customWidth="1"/>
    <col min="26" max="27" width="0.5703125" style="2" customWidth="1"/>
    <col min="28" max="28" width="6.85546875" style="2" customWidth="1"/>
    <col min="29" max="29" width="1.140625" style="2" customWidth="1"/>
    <col min="30" max="30" width="4.85546875" style="2" customWidth="1"/>
    <col min="31" max="31" width="0.42578125" style="5" customWidth="1"/>
    <col min="32" max="33" width="0.42578125" style="3" customWidth="1"/>
    <col min="34" max="35" width="0.42578125" style="2" customWidth="1"/>
    <col min="36" max="36" width="0.42578125" style="1" customWidth="1"/>
    <col min="37" max="37" width="0.42578125" style="2" customWidth="1"/>
    <col min="38" max="38" width="5.5703125" style="3" customWidth="1"/>
    <col min="39" max="39" width="25.85546875" style="2" customWidth="1"/>
    <col min="40" max="40" width="3.85546875" style="2" customWidth="1"/>
    <col min="41" max="41" width="4.28515625" style="2" customWidth="1"/>
    <col min="42" max="42" width="9.5703125" style="3" customWidth="1"/>
  </cols>
  <sheetData>
    <row r="1" spans="1:49" ht="15.75" x14ac:dyDescent="0.25">
      <c r="A1" s="353" t="s">
        <v>44</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row>
    <row r="3" spans="1:49" ht="21.95" customHeight="1" x14ac:dyDescent="0.25">
      <c r="A3" s="354" t="s">
        <v>0</v>
      </c>
      <c r="B3" s="354" t="s">
        <v>1</v>
      </c>
      <c r="C3" s="356" t="s">
        <v>2</v>
      </c>
      <c r="D3" s="356"/>
      <c r="E3" s="356"/>
      <c r="F3" s="356" t="s">
        <v>6</v>
      </c>
      <c r="G3" s="356"/>
      <c r="H3" s="356"/>
      <c r="I3" s="357" t="s">
        <v>9</v>
      </c>
      <c r="J3" s="357" t="s">
        <v>10</v>
      </c>
      <c r="K3" s="357" t="s">
        <v>11</v>
      </c>
      <c r="L3" s="357"/>
      <c r="M3" s="357" t="s">
        <v>14</v>
      </c>
      <c r="N3" s="357" t="s">
        <v>15</v>
      </c>
      <c r="O3" s="357" t="s">
        <v>16</v>
      </c>
      <c r="P3" s="357" t="s">
        <v>17</v>
      </c>
      <c r="Q3" s="359" t="s">
        <v>18</v>
      </c>
      <c r="R3" s="361" t="s">
        <v>19</v>
      </c>
      <c r="S3" s="361"/>
      <c r="T3" s="361"/>
      <c r="U3" s="361"/>
      <c r="V3" s="362" t="s">
        <v>23</v>
      </c>
      <c r="W3" s="352" t="s">
        <v>24</v>
      </c>
      <c r="X3" s="364" t="s">
        <v>25</v>
      </c>
      <c r="Y3" s="362" t="s">
        <v>26</v>
      </c>
      <c r="Z3" s="362" t="s">
        <v>27</v>
      </c>
      <c r="AA3" s="362" t="s">
        <v>28</v>
      </c>
      <c r="AB3" s="362" t="s">
        <v>29</v>
      </c>
      <c r="AC3" s="362" t="s">
        <v>30</v>
      </c>
      <c r="AD3" s="362" t="s">
        <v>31</v>
      </c>
      <c r="AE3" s="365" t="s">
        <v>32</v>
      </c>
      <c r="AF3" s="352" t="s">
        <v>33</v>
      </c>
      <c r="AG3" s="352" t="s">
        <v>34</v>
      </c>
      <c r="AH3" s="362" t="s">
        <v>35</v>
      </c>
      <c r="AI3" s="362" t="s">
        <v>36</v>
      </c>
      <c r="AJ3" s="364" t="s">
        <v>37</v>
      </c>
      <c r="AK3" s="362" t="s">
        <v>38</v>
      </c>
      <c r="AL3" s="352" t="s">
        <v>39</v>
      </c>
      <c r="AM3" s="362" t="s">
        <v>40</v>
      </c>
      <c r="AN3" s="362" t="s">
        <v>41</v>
      </c>
      <c r="AO3" s="362" t="s">
        <v>42</v>
      </c>
      <c r="AP3" s="352" t="s">
        <v>43</v>
      </c>
      <c r="AQ3" s="7"/>
    </row>
    <row r="4" spans="1:49" ht="21.95" customHeight="1" x14ac:dyDescent="0.25">
      <c r="A4" s="354"/>
      <c r="B4" s="354"/>
      <c r="C4" s="356"/>
      <c r="D4" s="356"/>
      <c r="E4" s="356"/>
      <c r="F4" s="356" t="s">
        <v>7</v>
      </c>
      <c r="G4" s="356"/>
      <c r="H4" s="356" t="s">
        <v>8</v>
      </c>
      <c r="I4" s="357"/>
      <c r="J4" s="357"/>
      <c r="K4" s="357"/>
      <c r="L4" s="357"/>
      <c r="M4" s="357"/>
      <c r="N4" s="357"/>
      <c r="O4" s="357"/>
      <c r="P4" s="357"/>
      <c r="Q4" s="359"/>
      <c r="R4" s="361"/>
      <c r="S4" s="361"/>
      <c r="T4" s="361"/>
      <c r="U4" s="361"/>
      <c r="V4" s="362"/>
      <c r="W4" s="352"/>
      <c r="X4" s="364"/>
      <c r="Y4" s="362"/>
      <c r="Z4" s="362"/>
      <c r="AA4" s="362"/>
      <c r="AB4" s="362"/>
      <c r="AC4" s="362"/>
      <c r="AD4" s="362"/>
      <c r="AE4" s="365"/>
      <c r="AF4" s="352"/>
      <c r="AG4" s="352"/>
      <c r="AH4" s="362"/>
      <c r="AI4" s="362"/>
      <c r="AJ4" s="364"/>
      <c r="AK4" s="362"/>
      <c r="AL4" s="352"/>
      <c r="AM4" s="362"/>
      <c r="AN4" s="362"/>
      <c r="AO4" s="362"/>
      <c r="AP4" s="352"/>
      <c r="AQ4" s="7"/>
    </row>
    <row r="5" spans="1:49" ht="51" customHeight="1" x14ac:dyDescent="0.25">
      <c r="A5" s="355"/>
      <c r="B5" s="355"/>
      <c r="C5" s="48" t="s">
        <v>3</v>
      </c>
      <c r="D5" s="48" t="s">
        <v>4</v>
      </c>
      <c r="E5" s="48" t="s">
        <v>5</v>
      </c>
      <c r="F5" s="48" t="s">
        <v>3</v>
      </c>
      <c r="G5" s="48" t="s">
        <v>5</v>
      </c>
      <c r="H5" s="363"/>
      <c r="I5" s="358"/>
      <c r="J5" s="358"/>
      <c r="K5" s="49" t="s">
        <v>12</v>
      </c>
      <c r="L5" s="49" t="s">
        <v>13</v>
      </c>
      <c r="M5" s="358"/>
      <c r="N5" s="358"/>
      <c r="O5" s="358"/>
      <c r="P5" s="358"/>
      <c r="Q5" s="360"/>
      <c r="R5" s="83" t="s">
        <v>20</v>
      </c>
      <c r="S5" s="84" t="s">
        <v>3</v>
      </c>
      <c r="T5" s="84" t="s">
        <v>21</v>
      </c>
      <c r="U5" s="84" t="s">
        <v>22</v>
      </c>
      <c r="V5" s="362"/>
      <c r="W5" s="352"/>
      <c r="X5" s="364"/>
      <c r="Y5" s="362"/>
      <c r="Z5" s="362"/>
      <c r="AA5" s="362"/>
      <c r="AB5" s="362"/>
      <c r="AC5" s="362"/>
      <c r="AD5" s="362"/>
      <c r="AE5" s="365"/>
      <c r="AF5" s="352"/>
      <c r="AG5" s="352"/>
      <c r="AH5" s="362"/>
      <c r="AI5" s="362"/>
      <c r="AJ5" s="364"/>
      <c r="AK5" s="362"/>
      <c r="AL5" s="352"/>
      <c r="AM5" s="362"/>
      <c r="AN5" s="362"/>
      <c r="AO5" s="362"/>
      <c r="AP5" s="352"/>
      <c r="AQ5" s="7"/>
    </row>
    <row r="6" spans="1:49" s="41" customFormat="1" ht="14.25" customHeight="1" x14ac:dyDescent="0.25">
      <c r="A6" s="43">
        <v>46055</v>
      </c>
      <c r="B6" s="43"/>
      <c r="C6" s="13" t="s">
        <v>52</v>
      </c>
      <c r="D6" s="14" t="s">
        <v>53</v>
      </c>
      <c r="E6" s="98">
        <v>7015</v>
      </c>
      <c r="F6" s="44" t="s">
        <v>54</v>
      </c>
      <c r="G6" s="106">
        <v>77803843</v>
      </c>
      <c r="H6" s="95" t="s">
        <v>340</v>
      </c>
      <c r="I6" s="52"/>
      <c r="J6" s="52"/>
      <c r="K6" s="53">
        <v>7780</v>
      </c>
      <c r="L6" s="52"/>
      <c r="M6" s="52"/>
      <c r="N6" s="52"/>
      <c r="O6" s="52"/>
      <c r="P6" s="53">
        <f t="shared" ref="P6:P35" si="0">K6</f>
        <v>7780</v>
      </c>
      <c r="Q6" s="75"/>
      <c r="R6" s="51"/>
      <c r="S6" s="44"/>
      <c r="T6" s="44"/>
      <c r="U6" s="44"/>
      <c r="V6" s="44" t="s">
        <v>47</v>
      </c>
      <c r="W6" s="52"/>
      <c r="X6" s="51">
        <v>46055</v>
      </c>
      <c r="Y6" s="44" t="s">
        <v>63</v>
      </c>
      <c r="Z6" s="44"/>
      <c r="AA6" s="44"/>
      <c r="AB6" s="44" t="s">
        <v>49</v>
      </c>
      <c r="AC6" s="44"/>
      <c r="AD6" s="44" t="s">
        <v>48</v>
      </c>
      <c r="AE6" s="55"/>
      <c r="AF6" s="52"/>
      <c r="AG6" s="52"/>
      <c r="AH6" s="44"/>
      <c r="AI6" s="44"/>
      <c r="AJ6" s="51"/>
      <c r="AK6" s="44"/>
      <c r="AL6" s="52">
        <v>18</v>
      </c>
      <c r="AM6" s="47" t="s">
        <v>50</v>
      </c>
      <c r="AN6" s="44" t="s">
        <v>51</v>
      </c>
      <c r="AO6" s="44"/>
      <c r="AP6" s="52"/>
    </row>
    <row r="7" spans="1:49" s="41" customFormat="1" ht="14.25" customHeight="1" x14ac:dyDescent="0.25">
      <c r="A7" s="43">
        <v>46055</v>
      </c>
      <c r="B7" s="43"/>
      <c r="C7" s="13" t="s">
        <v>52</v>
      </c>
      <c r="D7" s="14" t="s">
        <v>53</v>
      </c>
      <c r="E7" s="98">
        <v>7016</v>
      </c>
      <c r="F7" s="44" t="s">
        <v>54</v>
      </c>
      <c r="G7" s="106">
        <v>71061297</v>
      </c>
      <c r="H7" s="95" t="s">
        <v>341</v>
      </c>
      <c r="I7" s="52"/>
      <c r="J7" s="52"/>
      <c r="K7" s="53">
        <v>12980</v>
      </c>
      <c r="L7" s="52"/>
      <c r="M7" s="52"/>
      <c r="N7" s="52"/>
      <c r="O7" s="52"/>
      <c r="P7" s="53">
        <f t="shared" si="0"/>
        <v>12980</v>
      </c>
      <c r="R7" s="51"/>
      <c r="S7" s="44"/>
      <c r="T7" s="44"/>
      <c r="U7" s="44"/>
      <c r="V7" s="44" t="s">
        <v>47</v>
      </c>
      <c r="W7" s="52"/>
      <c r="X7" s="51">
        <v>46055</v>
      </c>
      <c r="Y7" s="44" t="s">
        <v>63</v>
      </c>
      <c r="Z7" s="44"/>
      <c r="AA7" s="44"/>
      <c r="AB7" s="44" t="s">
        <v>49</v>
      </c>
      <c r="AC7" s="44"/>
      <c r="AD7" s="44" t="s">
        <v>48</v>
      </c>
      <c r="AE7" s="55"/>
      <c r="AF7" s="52"/>
      <c r="AG7" s="52"/>
      <c r="AH7" s="44"/>
      <c r="AI7" s="44"/>
      <c r="AJ7" s="51"/>
      <c r="AK7" s="44"/>
      <c r="AL7" s="52">
        <v>18</v>
      </c>
      <c r="AM7" s="47" t="s">
        <v>50</v>
      </c>
      <c r="AN7" s="44" t="s">
        <v>51</v>
      </c>
      <c r="AO7" s="44"/>
      <c r="AP7" s="52"/>
    </row>
    <row r="8" spans="1:49" s="41" customFormat="1" ht="14.25" customHeight="1" x14ac:dyDescent="0.25">
      <c r="A8" s="43">
        <v>46055</v>
      </c>
      <c r="B8" s="43"/>
      <c r="C8" s="13" t="s">
        <v>52</v>
      </c>
      <c r="D8" s="14" t="s">
        <v>53</v>
      </c>
      <c r="E8" s="98">
        <v>7017</v>
      </c>
      <c r="F8" s="44" t="s">
        <v>54</v>
      </c>
      <c r="G8" s="106">
        <v>71061297</v>
      </c>
      <c r="H8" s="95" t="s">
        <v>341</v>
      </c>
      <c r="I8" s="52"/>
      <c r="J8" s="52"/>
      <c r="K8" s="53">
        <v>0</v>
      </c>
      <c r="L8" s="52"/>
      <c r="M8" s="52"/>
      <c r="N8" s="52"/>
      <c r="O8" s="52"/>
      <c r="P8" s="53">
        <f t="shared" si="0"/>
        <v>0</v>
      </c>
      <c r="Q8" s="75"/>
      <c r="R8" s="51"/>
      <c r="S8" s="44"/>
      <c r="T8" s="44"/>
      <c r="U8" s="44"/>
      <c r="V8" s="44" t="s">
        <v>47</v>
      </c>
      <c r="W8" s="52"/>
      <c r="X8" s="51">
        <v>46055</v>
      </c>
      <c r="Y8" s="15" t="s">
        <v>61</v>
      </c>
      <c r="Z8" s="26"/>
      <c r="AA8" s="26"/>
      <c r="AB8" s="15" t="s">
        <v>49</v>
      </c>
      <c r="AC8" s="26"/>
      <c r="AD8" s="44" t="s">
        <v>48</v>
      </c>
      <c r="AE8" s="27"/>
      <c r="AF8" s="24"/>
      <c r="AG8" s="24"/>
      <c r="AH8" s="26"/>
      <c r="AI8" s="26"/>
      <c r="AJ8" s="25"/>
      <c r="AK8" s="26"/>
      <c r="AL8" s="17">
        <v>18</v>
      </c>
      <c r="AM8" s="47" t="s">
        <v>64</v>
      </c>
      <c r="AN8" s="44" t="s">
        <v>51</v>
      </c>
      <c r="AO8" s="44"/>
      <c r="AP8" s="52"/>
    </row>
    <row r="9" spans="1:49" s="105" customFormat="1" ht="14.25" customHeight="1" x14ac:dyDescent="0.25">
      <c r="A9" s="100">
        <v>46055</v>
      </c>
      <c r="B9" s="18"/>
      <c r="C9" s="22" t="s">
        <v>52</v>
      </c>
      <c r="D9" s="23" t="s">
        <v>53</v>
      </c>
      <c r="E9" s="98">
        <v>7018</v>
      </c>
      <c r="F9" s="15" t="s">
        <v>54</v>
      </c>
      <c r="G9" s="106">
        <v>76053073</v>
      </c>
      <c r="H9" s="102" t="s">
        <v>342</v>
      </c>
      <c r="I9" s="17"/>
      <c r="J9" s="17"/>
      <c r="K9" s="16">
        <v>10380</v>
      </c>
      <c r="L9" s="17"/>
      <c r="M9" s="17"/>
      <c r="N9" s="17"/>
      <c r="O9" s="17"/>
      <c r="P9" s="16">
        <f t="shared" si="0"/>
        <v>10380</v>
      </c>
      <c r="Q9" s="103"/>
      <c r="R9" s="18"/>
      <c r="S9" s="15"/>
      <c r="T9" s="15"/>
      <c r="U9" s="15"/>
      <c r="V9" s="15" t="s">
        <v>47</v>
      </c>
      <c r="W9" s="17"/>
      <c r="X9" s="18">
        <v>46055</v>
      </c>
      <c r="Y9" s="44" t="s">
        <v>63</v>
      </c>
      <c r="Z9" s="44"/>
      <c r="AA9" s="44"/>
      <c r="AB9" s="44" t="s">
        <v>49</v>
      </c>
      <c r="AC9" s="44"/>
      <c r="AD9" s="44" t="s">
        <v>48</v>
      </c>
      <c r="AE9" s="55"/>
      <c r="AF9" s="52"/>
      <c r="AG9" s="52"/>
      <c r="AH9" s="44"/>
      <c r="AI9" s="44"/>
      <c r="AJ9" s="51"/>
      <c r="AK9" s="44"/>
      <c r="AL9" s="52">
        <v>18</v>
      </c>
      <c r="AM9" s="47" t="s">
        <v>50</v>
      </c>
      <c r="AN9" s="15" t="s">
        <v>51</v>
      </c>
      <c r="AO9" s="15"/>
      <c r="AP9" s="17"/>
      <c r="AW9" s="103"/>
    </row>
    <row r="10" spans="1:49" s="41" customFormat="1" ht="14.25" customHeight="1" x14ac:dyDescent="0.25">
      <c r="A10" s="43">
        <v>46055</v>
      </c>
      <c r="B10" s="43"/>
      <c r="C10" s="13" t="s">
        <v>52</v>
      </c>
      <c r="D10" s="14" t="s">
        <v>53</v>
      </c>
      <c r="E10" s="98">
        <v>7019</v>
      </c>
      <c r="F10" s="44" t="s">
        <v>54</v>
      </c>
      <c r="G10" s="106">
        <v>76053073</v>
      </c>
      <c r="H10" s="95" t="s">
        <v>342</v>
      </c>
      <c r="I10" s="52"/>
      <c r="J10" s="52"/>
      <c r="K10" s="53">
        <v>0</v>
      </c>
      <c r="L10" s="52"/>
      <c r="M10" s="52"/>
      <c r="N10" s="52"/>
      <c r="O10" s="52"/>
      <c r="P10" s="53">
        <f t="shared" si="0"/>
        <v>0</v>
      </c>
      <c r="Q10" s="75"/>
      <c r="R10" s="51"/>
      <c r="S10" s="44"/>
      <c r="T10" s="44"/>
      <c r="U10" s="44"/>
      <c r="V10" s="44" t="s">
        <v>47</v>
      </c>
      <c r="W10" s="52"/>
      <c r="X10" s="51">
        <v>46055</v>
      </c>
      <c r="Y10" s="15" t="s">
        <v>61</v>
      </c>
      <c r="Z10" s="26"/>
      <c r="AA10" s="26"/>
      <c r="AB10" s="15" t="s">
        <v>49</v>
      </c>
      <c r="AC10" s="26"/>
      <c r="AD10" s="44" t="s">
        <v>48</v>
      </c>
      <c r="AE10" s="27"/>
      <c r="AF10" s="24"/>
      <c r="AG10" s="24"/>
      <c r="AH10" s="26"/>
      <c r="AI10" s="26"/>
      <c r="AJ10" s="25"/>
      <c r="AK10" s="26"/>
      <c r="AL10" s="17">
        <v>18</v>
      </c>
      <c r="AM10" s="47" t="s">
        <v>64</v>
      </c>
      <c r="AN10" s="44" t="s">
        <v>51</v>
      </c>
      <c r="AO10" s="44"/>
      <c r="AP10" s="52"/>
    </row>
    <row r="11" spans="1:49" s="41" customFormat="1" ht="14.25" customHeight="1" x14ac:dyDescent="0.25">
      <c r="A11" s="43">
        <v>46055</v>
      </c>
      <c r="B11" s="43"/>
      <c r="C11" s="13" t="s">
        <v>52</v>
      </c>
      <c r="D11" s="14" t="s">
        <v>53</v>
      </c>
      <c r="E11" s="98">
        <v>7020</v>
      </c>
      <c r="F11" s="44" t="s">
        <v>54</v>
      </c>
      <c r="G11" s="106">
        <v>60010791</v>
      </c>
      <c r="H11" s="2" t="s">
        <v>343</v>
      </c>
      <c r="I11" s="52"/>
      <c r="J11" s="52"/>
      <c r="K11" s="53">
        <v>0</v>
      </c>
      <c r="L11" s="52"/>
      <c r="M11" s="52"/>
      <c r="N11" s="52"/>
      <c r="O11" s="52"/>
      <c r="P11" s="53">
        <f t="shared" si="0"/>
        <v>0</v>
      </c>
      <c r="Q11" s="75"/>
      <c r="R11" s="51"/>
      <c r="S11" s="44"/>
      <c r="T11" s="44"/>
      <c r="U11" s="44"/>
      <c r="V11" s="44" t="s">
        <v>47</v>
      </c>
      <c r="W11" s="52"/>
      <c r="X11" s="51">
        <v>46055</v>
      </c>
      <c r="Y11" s="15" t="s">
        <v>61</v>
      </c>
      <c r="Z11" s="26"/>
      <c r="AA11" s="26"/>
      <c r="AB11" s="15" t="s">
        <v>49</v>
      </c>
      <c r="AC11" s="26"/>
      <c r="AD11" s="44" t="s">
        <v>48</v>
      </c>
      <c r="AE11" s="27"/>
      <c r="AF11" s="24"/>
      <c r="AG11" s="24"/>
      <c r="AH11" s="26"/>
      <c r="AI11" s="26"/>
      <c r="AJ11" s="25"/>
      <c r="AK11" s="26"/>
      <c r="AL11" s="17">
        <v>18</v>
      </c>
      <c r="AM11" s="47" t="s">
        <v>64</v>
      </c>
      <c r="AN11" s="44" t="s">
        <v>51</v>
      </c>
      <c r="AO11" s="44"/>
      <c r="AP11" s="52"/>
    </row>
    <row r="12" spans="1:49" s="20" customFormat="1" ht="14.25" customHeight="1" x14ac:dyDescent="0.25">
      <c r="A12" s="43">
        <v>46056</v>
      </c>
      <c r="B12" s="43"/>
      <c r="C12" s="13" t="s">
        <v>52</v>
      </c>
      <c r="D12" s="14" t="s">
        <v>53</v>
      </c>
      <c r="E12" s="98">
        <v>7021</v>
      </c>
      <c r="F12" s="44" t="s">
        <v>54</v>
      </c>
      <c r="G12" s="106">
        <v>71442233</v>
      </c>
      <c r="H12" s="2" t="s">
        <v>344</v>
      </c>
      <c r="I12" s="57"/>
      <c r="J12" s="57"/>
      <c r="K12" s="53">
        <v>5180</v>
      </c>
      <c r="L12" s="57"/>
      <c r="M12" s="57"/>
      <c r="N12" s="57"/>
      <c r="O12" s="57"/>
      <c r="P12" s="53">
        <f t="shared" si="0"/>
        <v>5180</v>
      </c>
      <c r="Q12" s="75"/>
      <c r="R12" s="56"/>
      <c r="S12" s="58"/>
      <c r="T12" s="58"/>
      <c r="U12" s="58"/>
      <c r="V12" s="44" t="s">
        <v>47</v>
      </c>
      <c r="W12" s="57"/>
      <c r="X12" s="56">
        <v>46056</v>
      </c>
      <c r="Y12" s="44" t="s">
        <v>63</v>
      </c>
      <c r="Z12" s="44"/>
      <c r="AA12" s="44"/>
      <c r="AB12" s="44" t="s">
        <v>49</v>
      </c>
      <c r="AC12" s="44"/>
      <c r="AD12" s="44" t="s">
        <v>48</v>
      </c>
      <c r="AE12" s="55"/>
      <c r="AF12" s="52"/>
      <c r="AG12" s="52"/>
      <c r="AH12" s="44"/>
      <c r="AI12" s="44"/>
      <c r="AJ12" s="51"/>
      <c r="AK12" s="44"/>
      <c r="AL12" s="52">
        <v>18</v>
      </c>
      <c r="AM12" s="47" t="s">
        <v>50</v>
      </c>
      <c r="AN12" s="44" t="s">
        <v>51</v>
      </c>
      <c r="AO12" s="58"/>
      <c r="AP12" s="57"/>
    </row>
    <row r="13" spans="1:49" s="20" customFormat="1" ht="14.25" customHeight="1" x14ac:dyDescent="0.25">
      <c r="A13" s="43">
        <v>46056</v>
      </c>
      <c r="B13" s="43"/>
      <c r="C13" s="13" t="s">
        <v>52</v>
      </c>
      <c r="D13" s="14" t="s">
        <v>53</v>
      </c>
      <c r="E13" s="98">
        <v>7022</v>
      </c>
      <c r="F13" s="44" t="s">
        <v>54</v>
      </c>
      <c r="G13" s="106">
        <v>71442233</v>
      </c>
      <c r="H13" s="2" t="s">
        <v>344</v>
      </c>
      <c r="I13" s="57"/>
      <c r="J13" s="57"/>
      <c r="K13" s="53">
        <v>0</v>
      </c>
      <c r="L13" s="57"/>
      <c r="M13" s="57"/>
      <c r="N13" s="57"/>
      <c r="O13" s="57"/>
      <c r="P13" s="53">
        <f t="shared" si="0"/>
        <v>0</v>
      </c>
      <c r="Q13" s="75"/>
      <c r="R13" s="56"/>
      <c r="S13" s="58"/>
      <c r="T13" s="58"/>
      <c r="U13" s="58"/>
      <c r="V13" s="44" t="s">
        <v>47</v>
      </c>
      <c r="W13" s="57"/>
      <c r="X13" s="56">
        <v>46056</v>
      </c>
      <c r="Y13" s="15" t="s">
        <v>61</v>
      </c>
      <c r="Z13" s="26"/>
      <c r="AA13" s="26"/>
      <c r="AB13" s="15" t="s">
        <v>49</v>
      </c>
      <c r="AC13" s="26"/>
      <c r="AD13" s="44" t="s">
        <v>48</v>
      </c>
      <c r="AE13" s="27"/>
      <c r="AF13" s="24"/>
      <c r="AG13" s="24"/>
      <c r="AH13" s="26"/>
      <c r="AI13" s="26"/>
      <c r="AJ13" s="25"/>
      <c r="AK13" s="26"/>
      <c r="AL13" s="17">
        <v>18</v>
      </c>
      <c r="AM13" s="47" t="s">
        <v>64</v>
      </c>
      <c r="AN13" s="44" t="s">
        <v>51</v>
      </c>
      <c r="AO13" s="58"/>
      <c r="AP13" s="57"/>
    </row>
    <row r="14" spans="1:49" s="20" customFormat="1" ht="14.25" customHeight="1" x14ac:dyDescent="0.25">
      <c r="A14" s="43">
        <v>46056</v>
      </c>
      <c r="B14" s="43"/>
      <c r="C14" s="13" t="s">
        <v>52</v>
      </c>
      <c r="D14" s="14" t="s">
        <v>53</v>
      </c>
      <c r="E14" s="98">
        <v>7023</v>
      </c>
      <c r="F14" s="44" t="s">
        <v>54</v>
      </c>
      <c r="G14" s="106">
        <v>73423022</v>
      </c>
      <c r="H14" s="2" t="s">
        <v>345</v>
      </c>
      <c r="I14" s="57"/>
      <c r="J14" s="57"/>
      <c r="K14" s="53">
        <v>5860</v>
      </c>
      <c r="L14" s="57"/>
      <c r="M14" s="57"/>
      <c r="N14" s="57"/>
      <c r="O14" s="57"/>
      <c r="P14" s="53">
        <f t="shared" si="0"/>
        <v>5860</v>
      </c>
      <c r="Q14" s="75"/>
      <c r="R14" s="56"/>
      <c r="S14" s="58"/>
      <c r="T14" s="58"/>
      <c r="U14" s="58"/>
      <c r="V14" s="44" t="s">
        <v>47</v>
      </c>
      <c r="W14" s="57"/>
      <c r="X14" s="56">
        <v>46056</v>
      </c>
      <c r="Y14" s="44" t="s">
        <v>63</v>
      </c>
      <c r="Z14" s="44"/>
      <c r="AA14" s="44"/>
      <c r="AB14" s="44" t="s">
        <v>49</v>
      </c>
      <c r="AC14" s="44"/>
      <c r="AD14" s="44" t="s">
        <v>48</v>
      </c>
      <c r="AE14" s="55"/>
      <c r="AF14" s="52"/>
      <c r="AG14" s="52"/>
      <c r="AH14" s="44"/>
      <c r="AI14" s="44"/>
      <c r="AJ14" s="51"/>
      <c r="AK14" s="44"/>
      <c r="AL14" s="52">
        <v>18</v>
      </c>
      <c r="AM14" s="47" t="s">
        <v>50</v>
      </c>
      <c r="AN14" s="44" t="s">
        <v>51</v>
      </c>
      <c r="AO14" s="58"/>
      <c r="AP14" s="57"/>
    </row>
    <row r="15" spans="1:49" s="20" customFormat="1" ht="14.25" customHeight="1" x14ac:dyDescent="0.25">
      <c r="A15" s="43">
        <v>46056</v>
      </c>
      <c r="B15" s="43"/>
      <c r="C15" s="13" t="s">
        <v>52</v>
      </c>
      <c r="D15" s="14" t="s">
        <v>53</v>
      </c>
      <c r="E15" s="98">
        <v>7024</v>
      </c>
      <c r="F15" s="44" t="s">
        <v>54</v>
      </c>
      <c r="G15" s="106">
        <v>73423022</v>
      </c>
      <c r="H15" s="2" t="s">
        <v>345</v>
      </c>
      <c r="I15" s="57"/>
      <c r="J15" s="57"/>
      <c r="K15" s="53">
        <v>0</v>
      </c>
      <c r="L15" s="57"/>
      <c r="M15" s="57"/>
      <c r="N15" s="57"/>
      <c r="O15" s="57"/>
      <c r="P15" s="53">
        <f t="shared" si="0"/>
        <v>0</v>
      </c>
      <c r="Q15" s="75"/>
      <c r="R15" s="56"/>
      <c r="S15" s="58"/>
      <c r="T15" s="58"/>
      <c r="U15" s="58"/>
      <c r="V15" s="44" t="s">
        <v>47</v>
      </c>
      <c r="W15" s="57"/>
      <c r="X15" s="56">
        <v>46056</v>
      </c>
      <c r="Y15" s="15" t="s">
        <v>61</v>
      </c>
      <c r="Z15" s="26"/>
      <c r="AA15" s="26"/>
      <c r="AB15" s="15" t="s">
        <v>49</v>
      </c>
      <c r="AC15" s="26"/>
      <c r="AD15" s="44" t="s">
        <v>48</v>
      </c>
      <c r="AE15" s="27"/>
      <c r="AF15" s="24"/>
      <c r="AG15" s="24"/>
      <c r="AH15" s="26"/>
      <c r="AI15" s="26"/>
      <c r="AJ15" s="25"/>
      <c r="AK15" s="26"/>
      <c r="AL15" s="17">
        <v>18</v>
      </c>
      <c r="AM15" s="47" t="s">
        <v>64</v>
      </c>
      <c r="AN15" s="44" t="s">
        <v>51</v>
      </c>
      <c r="AO15" s="58"/>
      <c r="AP15" s="57"/>
    </row>
    <row r="16" spans="1:49" s="20" customFormat="1" ht="14.25" customHeight="1" x14ac:dyDescent="0.25">
      <c r="A16" s="43">
        <v>46056</v>
      </c>
      <c r="B16" s="43"/>
      <c r="C16" s="13" t="s">
        <v>52</v>
      </c>
      <c r="D16" s="14" t="s">
        <v>53</v>
      </c>
      <c r="E16" s="98">
        <v>7025</v>
      </c>
      <c r="F16" s="44" t="s">
        <v>54</v>
      </c>
      <c r="G16" s="106">
        <v>42826838</v>
      </c>
      <c r="H16" s="2" t="s">
        <v>346</v>
      </c>
      <c r="I16" s="57"/>
      <c r="J16" s="57"/>
      <c r="K16" s="53">
        <v>6330</v>
      </c>
      <c r="L16" s="57"/>
      <c r="M16" s="57"/>
      <c r="N16" s="57"/>
      <c r="O16" s="57"/>
      <c r="P16" s="53">
        <f t="shared" si="0"/>
        <v>6330</v>
      </c>
      <c r="Q16" s="75"/>
      <c r="R16" s="56"/>
      <c r="S16" s="58"/>
      <c r="T16" s="58"/>
      <c r="U16" s="58"/>
      <c r="V16" s="44" t="s">
        <v>47</v>
      </c>
      <c r="W16" s="57"/>
      <c r="X16" s="56">
        <v>46056</v>
      </c>
      <c r="Y16" s="44" t="s">
        <v>63</v>
      </c>
      <c r="Z16" s="44"/>
      <c r="AA16" s="44"/>
      <c r="AB16" s="44" t="s">
        <v>49</v>
      </c>
      <c r="AC16" s="44"/>
      <c r="AD16" s="44" t="s">
        <v>48</v>
      </c>
      <c r="AE16" s="55"/>
      <c r="AF16" s="52"/>
      <c r="AG16" s="52"/>
      <c r="AH16" s="44"/>
      <c r="AI16" s="44"/>
      <c r="AJ16" s="51"/>
      <c r="AK16" s="44"/>
      <c r="AL16" s="52">
        <v>18</v>
      </c>
      <c r="AM16" s="47" t="s">
        <v>50</v>
      </c>
      <c r="AN16" s="44" t="s">
        <v>51</v>
      </c>
      <c r="AO16" s="58"/>
      <c r="AP16" s="57"/>
    </row>
    <row r="17" spans="1:42" s="41" customFormat="1" ht="14.25" customHeight="1" x14ac:dyDescent="0.25">
      <c r="A17" s="43">
        <v>46056</v>
      </c>
      <c r="B17" s="43"/>
      <c r="C17" s="13" t="s">
        <v>52</v>
      </c>
      <c r="D17" s="14" t="s">
        <v>53</v>
      </c>
      <c r="E17" s="98">
        <v>7026</v>
      </c>
      <c r="F17" s="44" t="s">
        <v>54</v>
      </c>
      <c r="G17" s="106">
        <v>42826838</v>
      </c>
      <c r="H17" s="2" t="s">
        <v>346</v>
      </c>
      <c r="I17" s="52"/>
      <c r="J17" s="52"/>
      <c r="K17" s="53">
        <v>0</v>
      </c>
      <c r="L17" s="52"/>
      <c r="M17" s="52"/>
      <c r="N17" s="52"/>
      <c r="O17" s="52"/>
      <c r="P17" s="53">
        <f t="shared" si="0"/>
        <v>0</v>
      </c>
      <c r="Q17" s="75"/>
      <c r="R17" s="51"/>
      <c r="S17" s="44"/>
      <c r="T17" s="44"/>
      <c r="U17" s="44"/>
      <c r="V17" s="44" t="s">
        <v>47</v>
      </c>
      <c r="W17" s="52"/>
      <c r="X17" s="51">
        <v>46056</v>
      </c>
      <c r="Y17" s="15" t="s">
        <v>61</v>
      </c>
      <c r="Z17" s="26"/>
      <c r="AA17" s="26"/>
      <c r="AB17" s="15" t="s">
        <v>49</v>
      </c>
      <c r="AC17" s="26"/>
      <c r="AD17" s="44" t="s">
        <v>48</v>
      </c>
      <c r="AE17" s="27"/>
      <c r="AF17" s="24"/>
      <c r="AG17" s="24"/>
      <c r="AH17" s="26"/>
      <c r="AI17" s="26"/>
      <c r="AJ17" s="25"/>
      <c r="AK17" s="26"/>
      <c r="AL17" s="17">
        <v>18</v>
      </c>
      <c r="AM17" s="47" t="s">
        <v>64</v>
      </c>
      <c r="AN17" s="44" t="s">
        <v>51</v>
      </c>
      <c r="AO17" s="44"/>
      <c r="AP17" s="52"/>
    </row>
    <row r="18" spans="1:42" s="41" customFormat="1" ht="14.25" customHeight="1" x14ac:dyDescent="0.25">
      <c r="A18" s="43">
        <v>46056</v>
      </c>
      <c r="B18" s="51"/>
      <c r="C18" s="13" t="s">
        <v>52</v>
      </c>
      <c r="D18" s="14" t="s">
        <v>53</v>
      </c>
      <c r="E18" s="98">
        <v>7027</v>
      </c>
      <c r="F18" s="44" t="s">
        <v>54</v>
      </c>
      <c r="G18" s="106">
        <v>47010180</v>
      </c>
      <c r="H18" s="2" t="s">
        <v>347</v>
      </c>
      <c r="I18" s="52"/>
      <c r="J18" s="52"/>
      <c r="K18" s="53">
        <v>6180</v>
      </c>
      <c r="L18" s="52"/>
      <c r="M18" s="52"/>
      <c r="N18" s="52"/>
      <c r="O18" s="52"/>
      <c r="P18" s="53">
        <f t="shared" si="0"/>
        <v>6180</v>
      </c>
      <c r="Q18" s="75"/>
      <c r="R18" s="51"/>
      <c r="S18" s="44"/>
      <c r="T18" s="44"/>
      <c r="U18" s="44"/>
      <c r="V18" s="44" t="s">
        <v>47</v>
      </c>
      <c r="W18" s="52"/>
      <c r="X18" s="51">
        <v>46056</v>
      </c>
      <c r="Y18" s="44" t="s">
        <v>63</v>
      </c>
      <c r="Z18" s="44"/>
      <c r="AA18" s="44"/>
      <c r="AB18" s="44" t="s">
        <v>49</v>
      </c>
      <c r="AC18" s="44"/>
      <c r="AD18" s="44" t="s">
        <v>48</v>
      </c>
      <c r="AE18" s="55"/>
      <c r="AF18" s="52"/>
      <c r="AG18" s="52"/>
      <c r="AH18" s="44"/>
      <c r="AI18" s="44"/>
      <c r="AJ18" s="51"/>
      <c r="AK18" s="44"/>
      <c r="AL18" s="52">
        <v>18</v>
      </c>
      <c r="AM18" s="47" t="s">
        <v>50</v>
      </c>
      <c r="AN18" s="44" t="s">
        <v>51</v>
      </c>
      <c r="AO18" s="44"/>
      <c r="AP18" s="52"/>
    </row>
    <row r="19" spans="1:42" s="20" customFormat="1" ht="14.25" customHeight="1" x14ac:dyDescent="0.25">
      <c r="A19" s="43">
        <v>46056</v>
      </c>
      <c r="B19" s="43"/>
      <c r="C19" s="13" t="s">
        <v>52</v>
      </c>
      <c r="D19" s="14" t="s">
        <v>53</v>
      </c>
      <c r="E19" s="98">
        <v>7028</v>
      </c>
      <c r="F19" s="44" t="s">
        <v>54</v>
      </c>
      <c r="G19" s="106">
        <v>47010180</v>
      </c>
      <c r="H19" s="2" t="s">
        <v>347</v>
      </c>
      <c r="I19" s="57"/>
      <c r="J19" s="57"/>
      <c r="K19" s="53">
        <v>0</v>
      </c>
      <c r="L19" s="57"/>
      <c r="M19" s="57"/>
      <c r="N19" s="57"/>
      <c r="O19" s="57"/>
      <c r="P19" s="53">
        <f t="shared" si="0"/>
        <v>0</v>
      </c>
      <c r="Q19" s="75"/>
      <c r="R19" s="56"/>
      <c r="S19" s="58"/>
      <c r="T19" s="58"/>
      <c r="U19" s="58"/>
      <c r="V19" s="44" t="s">
        <v>47</v>
      </c>
      <c r="W19" s="57"/>
      <c r="X19" s="56">
        <v>46056</v>
      </c>
      <c r="Y19" s="15" t="s">
        <v>61</v>
      </c>
      <c r="Z19" s="26"/>
      <c r="AA19" s="26"/>
      <c r="AB19" s="15" t="s">
        <v>49</v>
      </c>
      <c r="AC19" s="26"/>
      <c r="AD19" s="44" t="s">
        <v>48</v>
      </c>
      <c r="AE19" s="27"/>
      <c r="AF19" s="24"/>
      <c r="AG19" s="24"/>
      <c r="AH19" s="26"/>
      <c r="AI19" s="26"/>
      <c r="AJ19" s="25"/>
      <c r="AK19" s="26"/>
      <c r="AL19" s="17">
        <v>18</v>
      </c>
      <c r="AM19" s="47" t="s">
        <v>64</v>
      </c>
      <c r="AN19" s="44" t="s">
        <v>51</v>
      </c>
      <c r="AO19" s="58"/>
      <c r="AP19" s="57"/>
    </row>
    <row r="20" spans="1:42" s="20" customFormat="1" ht="14.25" customHeight="1" x14ac:dyDescent="0.25">
      <c r="A20" s="43">
        <v>46058</v>
      </c>
      <c r="B20" s="43"/>
      <c r="C20" s="13" t="s">
        <v>52</v>
      </c>
      <c r="D20" s="14" t="s">
        <v>53</v>
      </c>
      <c r="E20" s="98">
        <v>7029</v>
      </c>
      <c r="F20" s="44" t="s">
        <v>54</v>
      </c>
      <c r="G20" s="106">
        <v>20984527</v>
      </c>
      <c r="H20" s="2" t="s">
        <v>348</v>
      </c>
      <c r="I20" s="57"/>
      <c r="J20" s="57"/>
      <c r="K20" s="53">
        <v>12980</v>
      </c>
      <c r="L20" s="57"/>
      <c r="M20" s="57"/>
      <c r="N20" s="57"/>
      <c r="O20" s="57"/>
      <c r="P20" s="53">
        <f t="shared" si="0"/>
        <v>12980</v>
      </c>
      <c r="Q20" s="75"/>
      <c r="R20" s="56"/>
      <c r="S20" s="58"/>
      <c r="T20" s="58"/>
      <c r="U20" s="58"/>
      <c r="V20" s="44" t="s">
        <v>47</v>
      </c>
      <c r="W20" s="57"/>
      <c r="X20" s="56">
        <v>46058</v>
      </c>
      <c r="Y20" s="44" t="s">
        <v>63</v>
      </c>
      <c r="Z20" s="44"/>
      <c r="AA20" s="44"/>
      <c r="AB20" s="44" t="s">
        <v>49</v>
      </c>
      <c r="AC20" s="44"/>
      <c r="AD20" s="44" t="s">
        <v>48</v>
      </c>
      <c r="AE20" s="55"/>
      <c r="AF20" s="52"/>
      <c r="AG20" s="52"/>
      <c r="AH20" s="44"/>
      <c r="AI20" s="44"/>
      <c r="AJ20" s="51"/>
      <c r="AK20" s="44"/>
      <c r="AL20" s="52">
        <v>18</v>
      </c>
      <c r="AM20" s="47" t="s">
        <v>50</v>
      </c>
      <c r="AN20" s="44" t="s">
        <v>51</v>
      </c>
      <c r="AO20" s="58"/>
      <c r="AP20" s="57"/>
    </row>
    <row r="21" spans="1:42" s="20" customFormat="1" ht="14.25" customHeight="1" x14ac:dyDescent="0.25">
      <c r="A21" s="43">
        <v>46058</v>
      </c>
      <c r="B21" s="43"/>
      <c r="C21" s="13" t="s">
        <v>52</v>
      </c>
      <c r="D21" s="14" t="s">
        <v>53</v>
      </c>
      <c r="E21" s="98">
        <v>7030</v>
      </c>
      <c r="F21" s="44" t="s">
        <v>54</v>
      </c>
      <c r="G21" s="106">
        <v>20984527</v>
      </c>
      <c r="H21" s="2" t="s">
        <v>348</v>
      </c>
      <c r="I21" s="57"/>
      <c r="J21" s="57"/>
      <c r="K21" s="53">
        <v>0</v>
      </c>
      <c r="L21" s="57"/>
      <c r="M21" s="57"/>
      <c r="N21" s="57"/>
      <c r="O21" s="57"/>
      <c r="P21" s="53">
        <f t="shared" si="0"/>
        <v>0</v>
      </c>
      <c r="Q21" s="75"/>
      <c r="R21" s="56"/>
      <c r="S21" s="58"/>
      <c r="T21" s="58"/>
      <c r="U21" s="58"/>
      <c r="V21" s="44" t="s">
        <v>47</v>
      </c>
      <c r="W21" s="57"/>
      <c r="X21" s="56">
        <v>46058</v>
      </c>
      <c r="Y21" s="15" t="s">
        <v>61</v>
      </c>
      <c r="Z21" s="26"/>
      <c r="AA21" s="26"/>
      <c r="AB21" s="15" t="s">
        <v>49</v>
      </c>
      <c r="AC21" s="26"/>
      <c r="AD21" s="44" t="s">
        <v>48</v>
      </c>
      <c r="AE21" s="27"/>
      <c r="AF21" s="24"/>
      <c r="AG21" s="24"/>
      <c r="AH21" s="26"/>
      <c r="AI21" s="26"/>
      <c r="AJ21" s="25"/>
      <c r="AK21" s="26"/>
      <c r="AL21" s="17">
        <v>18</v>
      </c>
      <c r="AM21" s="47" t="s">
        <v>64</v>
      </c>
      <c r="AN21" s="44" t="s">
        <v>51</v>
      </c>
      <c r="AO21" s="58"/>
      <c r="AP21" s="57"/>
    </row>
    <row r="22" spans="1:42" s="20" customFormat="1" ht="14.25" customHeight="1" x14ac:dyDescent="0.25">
      <c r="A22" s="43">
        <v>46059</v>
      </c>
      <c r="B22" s="43"/>
      <c r="C22" s="13" t="s">
        <v>52</v>
      </c>
      <c r="D22" s="14" t="s">
        <v>53</v>
      </c>
      <c r="E22" s="98">
        <v>7031</v>
      </c>
      <c r="F22" s="44" t="s">
        <v>54</v>
      </c>
      <c r="G22" s="106">
        <v>76179142</v>
      </c>
      <c r="H22" s="2" t="s">
        <v>349</v>
      </c>
      <c r="I22" s="57"/>
      <c r="J22" s="57"/>
      <c r="K22" s="53">
        <v>7780</v>
      </c>
      <c r="L22" s="57"/>
      <c r="M22" s="57"/>
      <c r="N22" s="57"/>
      <c r="O22" s="57"/>
      <c r="P22" s="53">
        <f t="shared" si="0"/>
        <v>7780</v>
      </c>
      <c r="Q22" s="75"/>
      <c r="R22" s="56"/>
      <c r="S22" s="58"/>
      <c r="T22" s="58"/>
      <c r="U22" s="58"/>
      <c r="V22" s="44" t="s">
        <v>47</v>
      </c>
      <c r="W22" s="57"/>
      <c r="X22" s="56">
        <v>46059</v>
      </c>
      <c r="Y22" s="44" t="s">
        <v>63</v>
      </c>
      <c r="Z22" s="44"/>
      <c r="AA22" s="44"/>
      <c r="AB22" s="44" t="s">
        <v>49</v>
      </c>
      <c r="AC22" s="44"/>
      <c r="AD22" s="44" t="s">
        <v>48</v>
      </c>
      <c r="AE22" s="55"/>
      <c r="AF22" s="52"/>
      <c r="AG22" s="52"/>
      <c r="AH22" s="44"/>
      <c r="AI22" s="44"/>
      <c r="AJ22" s="51"/>
      <c r="AK22" s="44"/>
      <c r="AL22" s="52">
        <v>18</v>
      </c>
      <c r="AM22" s="47" t="s">
        <v>50</v>
      </c>
      <c r="AN22" s="44" t="s">
        <v>51</v>
      </c>
      <c r="AO22" s="58"/>
      <c r="AP22" s="57"/>
    </row>
    <row r="23" spans="1:42" s="20" customFormat="1" ht="14.25" customHeight="1" x14ac:dyDescent="0.25">
      <c r="A23" s="43">
        <v>46059</v>
      </c>
      <c r="B23" s="43"/>
      <c r="C23" s="13" t="s">
        <v>52</v>
      </c>
      <c r="D23" s="14" t="s">
        <v>53</v>
      </c>
      <c r="E23" s="98">
        <v>7032</v>
      </c>
      <c r="F23" s="44" t="s">
        <v>54</v>
      </c>
      <c r="G23" s="106">
        <v>41003021</v>
      </c>
      <c r="H23" s="2" t="s">
        <v>350</v>
      </c>
      <c r="I23" s="57"/>
      <c r="J23" s="57"/>
      <c r="K23" s="53">
        <v>5980</v>
      </c>
      <c r="L23" s="57"/>
      <c r="M23" s="57"/>
      <c r="N23" s="57"/>
      <c r="O23" s="57"/>
      <c r="P23" s="53">
        <f t="shared" si="0"/>
        <v>5980</v>
      </c>
      <c r="Q23" s="75"/>
      <c r="R23" s="56"/>
      <c r="S23" s="58"/>
      <c r="T23" s="58"/>
      <c r="U23" s="58"/>
      <c r="V23" s="44" t="s">
        <v>47</v>
      </c>
      <c r="W23" s="57"/>
      <c r="X23" s="56">
        <v>46059</v>
      </c>
      <c r="Y23" s="44" t="s">
        <v>63</v>
      </c>
      <c r="Z23" s="44"/>
      <c r="AA23" s="44"/>
      <c r="AB23" s="44" t="s">
        <v>49</v>
      </c>
      <c r="AC23" s="44"/>
      <c r="AD23" s="44" t="s">
        <v>48</v>
      </c>
      <c r="AE23" s="55"/>
      <c r="AF23" s="52"/>
      <c r="AG23" s="52"/>
      <c r="AH23" s="44"/>
      <c r="AI23" s="44"/>
      <c r="AJ23" s="51"/>
      <c r="AK23" s="44"/>
      <c r="AL23" s="52">
        <v>18</v>
      </c>
      <c r="AM23" s="47" t="s">
        <v>50</v>
      </c>
      <c r="AN23" s="44" t="s">
        <v>51</v>
      </c>
      <c r="AO23" s="58"/>
      <c r="AP23" s="57"/>
    </row>
    <row r="24" spans="1:42" s="41" customFormat="1" ht="14.25" customHeight="1" x14ac:dyDescent="0.25">
      <c r="A24" s="43">
        <v>46059</v>
      </c>
      <c r="B24" s="43"/>
      <c r="C24" s="13" t="s">
        <v>52</v>
      </c>
      <c r="D24" s="14" t="s">
        <v>53</v>
      </c>
      <c r="E24" s="98">
        <v>7033</v>
      </c>
      <c r="F24" s="44" t="s">
        <v>54</v>
      </c>
      <c r="G24" s="106">
        <v>41003021</v>
      </c>
      <c r="H24" s="2" t="s">
        <v>350</v>
      </c>
      <c r="I24" s="52"/>
      <c r="J24" s="52"/>
      <c r="K24" s="53">
        <v>0</v>
      </c>
      <c r="L24" s="52"/>
      <c r="M24" s="52"/>
      <c r="N24" s="52"/>
      <c r="O24" s="52"/>
      <c r="P24" s="53">
        <f t="shared" si="0"/>
        <v>0</v>
      </c>
      <c r="Q24" s="75"/>
      <c r="R24" s="51"/>
      <c r="S24" s="44"/>
      <c r="T24" s="44"/>
      <c r="U24" s="44"/>
      <c r="V24" s="44" t="s">
        <v>47</v>
      </c>
      <c r="W24" s="52"/>
      <c r="X24" s="51">
        <v>46059</v>
      </c>
      <c r="Y24" s="15" t="s">
        <v>61</v>
      </c>
      <c r="Z24" s="26"/>
      <c r="AA24" s="26"/>
      <c r="AB24" s="15" t="s">
        <v>49</v>
      </c>
      <c r="AC24" s="26"/>
      <c r="AD24" s="44" t="s">
        <v>48</v>
      </c>
      <c r="AE24" s="27"/>
      <c r="AF24" s="24"/>
      <c r="AG24" s="24"/>
      <c r="AH24" s="26"/>
      <c r="AI24" s="26"/>
      <c r="AJ24" s="25"/>
      <c r="AK24" s="26"/>
      <c r="AL24" s="17">
        <v>18</v>
      </c>
      <c r="AM24" s="47" t="s">
        <v>64</v>
      </c>
      <c r="AN24" s="44" t="s">
        <v>51</v>
      </c>
      <c r="AO24" s="44"/>
      <c r="AP24" s="52"/>
    </row>
    <row r="25" spans="1:42" s="41" customFormat="1" ht="14.25" customHeight="1" x14ac:dyDescent="0.25">
      <c r="A25" s="43">
        <v>46059</v>
      </c>
      <c r="B25" s="43"/>
      <c r="C25" s="13" t="s">
        <v>52</v>
      </c>
      <c r="D25" s="14" t="s">
        <v>53</v>
      </c>
      <c r="E25" s="98">
        <v>7034</v>
      </c>
      <c r="F25" s="44" t="s">
        <v>54</v>
      </c>
      <c r="G25" s="106">
        <v>73362801</v>
      </c>
      <c r="H25" s="2" t="s">
        <v>351</v>
      </c>
      <c r="I25" s="52"/>
      <c r="J25" s="52"/>
      <c r="K25" s="53">
        <v>6280</v>
      </c>
      <c r="L25" s="52"/>
      <c r="M25" s="52"/>
      <c r="N25" s="52"/>
      <c r="O25" s="52"/>
      <c r="P25" s="53">
        <f t="shared" si="0"/>
        <v>6280</v>
      </c>
      <c r="Q25" s="75"/>
      <c r="R25" s="51"/>
      <c r="S25" s="44"/>
      <c r="T25" s="44"/>
      <c r="U25" s="44"/>
      <c r="V25" s="44" t="s">
        <v>47</v>
      </c>
      <c r="W25" s="52"/>
      <c r="X25" s="51">
        <v>46059</v>
      </c>
      <c r="Y25" s="44" t="s">
        <v>63</v>
      </c>
      <c r="Z25" s="44"/>
      <c r="AA25" s="44"/>
      <c r="AB25" s="44" t="s">
        <v>49</v>
      </c>
      <c r="AC25" s="44"/>
      <c r="AD25" s="44" t="s">
        <v>48</v>
      </c>
      <c r="AE25" s="55"/>
      <c r="AF25" s="52"/>
      <c r="AG25" s="52"/>
      <c r="AH25" s="44"/>
      <c r="AI25" s="44"/>
      <c r="AJ25" s="51"/>
      <c r="AK25" s="44"/>
      <c r="AL25" s="52">
        <v>18</v>
      </c>
      <c r="AM25" s="47" t="s">
        <v>50</v>
      </c>
      <c r="AN25" s="44" t="s">
        <v>51</v>
      </c>
      <c r="AO25" s="44"/>
      <c r="AP25" s="52"/>
    </row>
    <row r="26" spans="1:42" s="41" customFormat="1" ht="14.25" customHeight="1" x14ac:dyDescent="0.25">
      <c r="A26" s="43">
        <v>46059</v>
      </c>
      <c r="B26" s="43"/>
      <c r="C26" s="13" t="s">
        <v>52</v>
      </c>
      <c r="D26" s="14" t="s">
        <v>53</v>
      </c>
      <c r="E26" s="98">
        <v>7035</v>
      </c>
      <c r="F26" s="44" t="s">
        <v>54</v>
      </c>
      <c r="G26" s="106">
        <v>73362801</v>
      </c>
      <c r="H26" s="2" t="s">
        <v>351</v>
      </c>
      <c r="I26" s="52"/>
      <c r="J26" s="52"/>
      <c r="K26" s="53">
        <v>0</v>
      </c>
      <c r="L26" s="52"/>
      <c r="M26" s="52"/>
      <c r="N26" s="52"/>
      <c r="O26" s="52"/>
      <c r="P26" s="53">
        <f t="shared" si="0"/>
        <v>0</v>
      </c>
      <c r="Q26" s="75"/>
      <c r="R26" s="51"/>
      <c r="S26" s="44"/>
      <c r="T26" s="44"/>
      <c r="U26" s="44"/>
      <c r="V26" s="44" t="s">
        <v>47</v>
      </c>
      <c r="W26" s="52"/>
      <c r="X26" s="51">
        <v>46059</v>
      </c>
      <c r="Y26" s="15" t="s">
        <v>61</v>
      </c>
      <c r="Z26" s="26"/>
      <c r="AA26" s="26"/>
      <c r="AB26" s="15" t="s">
        <v>49</v>
      </c>
      <c r="AC26" s="26"/>
      <c r="AD26" s="44" t="s">
        <v>48</v>
      </c>
      <c r="AE26" s="27"/>
      <c r="AF26" s="24"/>
      <c r="AG26" s="24"/>
      <c r="AH26" s="26"/>
      <c r="AI26" s="26"/>
      <c r="AJ26" s="25"/>
      <c r="AK26" s="26"/>
      <c r="AL26" s="17">
        <v>18</v>
      </c>
      <c r="AM26" s="47" t="s">
        <v>64</v>
      </c>
      <c r="AN26" s="44" t="s">
        <v>51</v>
      </c>
      <c r="AO26" s="44"/>
      <c r="AP26" s="52"/>
    </row>
    <row r="27" spans="1:42" s="20" customFormat="1" ht="14.25" customHeight="1" x14ac:dyDescent="0.25">
      <c r="A27" s="43">
        <v>46060</v>
      </c>
      <c r="B27" s="43"/>
      <c r="C27" s="13" t="s">
        <v>52</v>
      </c>
      <c r="D27" s="14" t="s">
        <v>53</v>
      </c>
      <c r="E27" s="98">
        <v>7036</v>
      </c>
      <c r="F27" s="44" t="s">
        <v>54</v>
      </c>
      <c r="G27" s="106">
        <v>72912524</v>
      </c>
      <c r="H27" s="2" t="s">
        <v>302</v>
      </c>
      <c r="I27" s="57"/>
      <c r="J27" s="57"/>
      <c r="K27" s="53">
        <v>5330</v>
      </c>
      <c r="L27" s="57"/>
      <c r="M27" s="57"/>
      <c r="N27" s="57"/>
      <c r="O27" s="57"/>
      <c r="P27" s="53">
        <f t="shared" si="0"/>
        <v>5330</v>
      </c>
      <c r="Q27" s="75"/>
      <c r="R27" s="56"/>
      <c r="S27" s="58"/>
      <c r="T27" s="58"/>
      <c r="U27" s="58"/>
      <c r="V27" s="44" t="s">
        <v>47</v>
      </c>
      <c r="W27" s="57"/>
      <c r="X27" s="56">
        <v>46060</v>
      </c>
      <c r="Y27" s="44" t="s">
        <v>63</v>
      </c>
      <c r="Z27" s="44"/>
      <c r="AA27" s="44"/>
      <c r="AB27" s="44" t="s">
        <v>49</v>
      </c>
      <c r="AC27" s="44"/>
      <c r="AD27" s="44" t="s">
        <v>48</v>
      </c>
      <c r="AE27" s="55"/>
      <c r="AF27" s="52"/>
      <c r="AG27" s="52"/>
      <c r="AH27" s="44"/>
      <c r="AI27" s="44"/>
      <c r="AJ27" s="51"/>
      <c r="AK27" s="44"/>
      <c r="AL27" s="52">
        <v>18</v>
      </c>
      <c r="AM27" s="47" t="s">
        <v>50</v>
      </c>
      <c r="AN27" s="44" t="s">
        <v>51</v>
      </c>
      <c r="AO27" s="58"/>
      <c r="AP27" s="57"/>
    </row>
    <row r="28" spans="1:42" s="20" customFormat="1" ht="14.25" customHeight="1" x14ac:dyDescent="0.25">
      <c r="A28" s="43">
        <v>46060</v>
      </c>
      <c r="B28" s="43"/>
      <c r="C28" s="13" t="s">
        <v>52</v>
      </c>
      <c r="D28" s="14" t="s">
        <v>53</v>
      </c>
      <c r="E28" s="98">
        <v>7037</v>
      </c>
      <c r="F28" s="44" t="s">
        <v>54</v>
      </c>
      <c r="G28" s="106">
        <v>72912524</v>
      </c>
      <c r="H28" s="2" t="s">
        <v>302</v>
      </c>
      <c r="I28" s="57"/>
      <c r="J28" s="57"/>
      <c r="K28" s="53">
        <v>0</v>
      </c>
      <c r="L28" s="57"/>
      <c r="M28" s="57"/>
      <c r="N28" s="57"/>
      <c r="O28" s="57"/>
      <c r="P28" s="53">
        <f t="shared" si="0"/>
        <v>0</v>
      </c>
      <c r="Q28" s="75"/>
      <c r="R28" s="56"/>
      <c r="S28" s="58"/>
      <c r="T28" s="58"/>
      <c r="U28" s="58"/>
      <c r="V28" s="44" t="s">
        <v>47</v>
      </c>
      <c r="W28" s="57"/>
      <c r="X28" s="56">
        <v>46060</v>
      </c>
      <c r="Y28" s="15" t="s">
        <v>61</v>
      </c>
      <c r="Z28" s="26"/>
      <c r="AA28" s="26"/>
      <c r="AB28" s="15" t="s">
        <v>49</v>
      </c>
      <c r="AC28" s="26"/>
      <c r="AD28" s="44" t="s">
        <v>48</v>
      </c>
      <c r="AE28" s="27"/>
      <c r="AF28" s="24"/>
      <c r="AG28" s="24"/>
      <c r="AH28" s="26"/>
      <c r="AI28" s="26"/>
      <c r="AJ28" s="25"/>
      <c r="AK28" s="26"/>
      <c r="AL28" s="17">
        <v>18</v>
      </c>
      <c r="AM28" s="47" t="s">
        <v>64</v>
      </c>
      <c r="AN28" s="44" t="s">
        <v>51</v>
      </c>
      <c r="AO28" s="58"/>
      <c r="AP28" s="57"/>
    </row>
    <row r="29" spans="1:42" s="20" customFormat="1" ht="14.25" customHeight="1" x14ac:dyDescent="0.25">
      <c r="A29" s="43">
        <v>46060</v>
      </c>
      <c r="B29" s="43"/>
      <c r="C29" s="13" t="s">
        <v>52</v>
      </c>
      <c r="D29" s="14" t="s">
        <v>53</v>
      </c>
      <c r="E29" s="98">
        <v>7038</v>
      </c>
      <c r="F29" s="44" t="s">
        <v>54</v>
      </c>
      <c r="G29" s="106">
        <v>71103596</v>
      </c>
      <c r="H29" s="2" t="s">
        <v>352</v>
      </c>
      <c r="I29" s="57"/>
      <c r="J29" s="57"/>
      <c r="K29" s="53">
        <v>7780</v>
      </c>
      <c r="L29" s="57"/>
      <c r="M29" s="57"/>
      <c r="N29" s="57"/>
      <c r="O29" s="57"/>
      <c r="P29" s="53">
        <f t="shared" si="0"/>
        <v>7780</v>
      </c>
      <c r="Q29" s="75"/>
      <c r="R29" s="56"/>
      <c r="S29" s="58"/>
      <c r="T29" s="58"/>
      <c r="U29" s="58"/>
      <c r="V29" s="44" t="s">
        <v>47</v>
      </c>
      <c r="W29" s="57"/>
      <c r="X29" s="56">
        <v>46060</v>
      </c>
      <c r="Y29" s="44" t="s">
        <v>63</v>
      </c>
      <c r="Z29" s="44"/>
      <c r="AA29" s="44"/>
      <c r="AB29" s="44" t="s">
        <v>49</v>
      </c>
      <c r="AC29" s="44"/>
      <c r="AD29" s="44" t="s">
        <v>48</v>
      </c>
      <c r="AE29" s="55"/>
      <c r="AF29" s="52"/>
      <c r="AG29" s="52"/>
      <c r="AH29" s="44"/>
      <c r="AI29" s="44"/>
      <c r="AJ29" s="51"/>
      <c r="AK29" s="44"/>
      <c r="AL29" s="52">
        <v>18</v>
      </c>
      <c r="AM29" s="47" t="s">
        <v>50</v>
      </c>
      <c r="AN29" s="44" t="s">
        <v>51</v>
      </c>
      <c r="AO29" s="58"/>
      <c r="AP29" s="57"/>
    </row>
    <row r="30" spans="1:42" s="20" customFormat="1" ht="14.25" customHeight="1" x14ac:dyDescent="0.25">
      <c r="A30" s="43">
        <v>46060</v>
      </c>
      <c r="B30" s="43"/>
      <c r="C30" s="13" t="s">
        <v>52</v>
      </c>
      <c r="D30" s="14" t="s">
        <v>53</v>
      </c>
      <c r="E30" s="98">
        <v>7039</v>
      </c>
      <c r="F30" s="44" t="s">
        <v>54</v>
      </c>
      <c r="G30" s="106">
        <v>71103596</v>
      </c>
      <c r="H30" s="2" t="s">
        <v>352</v>
      </c>
      <c r="I30" s="57"/>
      <c r="J30" s="57"/>
      <c r="K30" s="53">
        <v>0</v>
      </c>
      <c r="L30" s="57"/>
      <c r="M30" s="57"/>
      <c r="N30" s="57"/>
      <c r="O30" s="57"/>
      <c r="P30" s="53">
        <f t="shared" si="0"/>
        <v>0</v>
      </c>
      <c r="Q30" s="75"/>
      <c r="R30" s="56"/>
      <c r="S30" s="58"/>
      <c r="T30" s="58"/>
      <c r="U30" s="58"/>
      <c r="V30" s="44" t="s">
        <v>47</v>
      </c>
      <c r="W30" s="57"/>
      <c r="X30" s="56">
        <v>46060</v>
      </c>
      <c r="Y30" s="15" t="s">
        <v>61</v>
      </c>
      <c r="Z30" s="26"/>
      <c r="AA30" s="26"/>
      <c r="AB30" s="15" t="s">
        <v>49</v>
      </c>
      <c r="AC30" s="26"/>
      <c r="AD30" s="44" t="s">
        <v>48</v>
      </c>
      <c r="AE30" s="27"/>
      <c r="AF30" s="24"/>
      <c r="AG30" s="24"/>
      <c r="AH30" s="26"/>
      <c r="AI30" s="26"/>
      <c r="AJ30" s="25"/>
      <c r="AK30" s="26"/>
      <c r="AL30" s="17">
        <v>18</v>
      </c>
      <c r="AM30" s="47" t="s">
        <v>64</v>
      </c>
      <c r="AN30" s="44" t="s">
        <v>51</v>
      </c>
      <c r="AO30" s="58"/>
      <c r="AP30" s="57"/>
    </row>
    <row r="31" spans="1:42" s="20" customFormat="1" ht="14.25" customHeight="1" x14ac:dyDescent="0.25">
      <c r="A31" s="43">
        <v>46062</v>
      </c>
      <c r="B31" s="43"/>
      <c r="C31" s="13" t="s">
        <v>52</v>
      </c>
      <c r="D31" s="14" t="s">
        <v>53</v>
      </c>
      <c r="E31" s="98">
        <v>7040</v>
      </c>
      <c r="F31" s="44" t="s">
        <v>54</v>
      </c>
      <c r="G31" s="106">
        <v>20994102</v>
      </c>
      <c r="H31" s="2" t="s">
        <v>353</v>
      </c>
      <c r="I31" s="57"/>
      <c r="J31" s="57"/>
      <c r="K31" s="53">
        <v>12980</v>
      </c>
      <c r="L31" s="57"/>
      <c r="M31" s="57"/>
      <c r="N31" s="57"/>
      <c r="O31" s="57"/>
      <c r="P31" s="53">
        <f t="shared" si="0"/>
        <v>12980</v>
      </c>
      <c r="Q31" s="75"/>
      <c r="R31" s="56"/>
      <c r="S31" s="58"/>
      <c r="T31" s="58"/>
      <c r="U31" s="58"/>
      <c r="V31" s="44" t="s">
        <v>47</v>
      </c>
      <c r="W31" s="57"/>
      <c r="X31" s="56">
        <v>46062</v>
      </c>
      <c r="Y31" s="44" t="s">
        <v>63</v>
      </c>
      <c r="Z31" s="44"/>
      <c r="AA31" s="44"/>
      <c r="AB31" s="44" t="s">
        <v>49</v>
      </c>
      <c r="AC31" s="44"/>
      <c r="AD31" s="44" t="s">
        <v>48</v>
      </c>
      <c r="AE31" s="55"/>
      <c r="AF31" s="52"/>
      <c r="AG31" s="52"/>
      <c r="AH31" s="44"/>
      <c r="AI31" s="44"/>
      <c r="AJ31" s="51"/>
      <c r="AK31" s="44"/>
      <c r="AL31" s="52">
        <v>18</v>
      </c>
      <c r="AM31" s="47" t="s">
        <v>50</v>
      </c>
      <c r="AN31" s="44" t="s">
        <v>51</v>
      </c>
      <c r="AO31" s="58"/>
      <c r="AP31" s="57"/>
    </row>
    <row r="32" spans="1:42" s="41" customFormat="1" ht="14.25" customHeight="1" x14ac:dyDescent="0.25">
      <c r="A32" s="43">
        <v>46062</v>
      </c>
      <c r="B32" s="43"/>
      <c r="C32" s="13" t="s">
        <v>52</v>
      </c>
      <c r="D32" s="14" t="s">
        <v>53</v>
      </c>
      <c r="E32" s="98">
        <v>7041</v>
      </c>
      <c r="F32" s="44" t="s">
        <v>54</v>
      </c>
      <c r="G32" s="106">
        <v>20994102</v>
      </c>
      <c r="H32" s="2" t="s">
        <v>353</v>
      </c>
      <c r="I32" s="52"/>
      <c r="J32" s="52"/>
      <c r="K32" s="53">
        <v>0</v>
      </c>
      <c r="L32" s="52"/>
      <c r="M32" s="52"/>
      <c r="N32" s="52"/>
      <c r="O32" s="52"/>
      <c r="P32" s="53">
        <f t="shared" si="0"/>
        <v>0</v>
      </c>
      <c r="Q32" s="75"/>
      <c r="R32" s="51"/>
      <c r="S32" s="44"/>
      <c r="T32" s="44"/>
      <c r="U32" s="44"/>
      <c r="V32" s="44" t="s">
        <v>47</v>
      </c>
      <c r="W32" s="52"/>
      <c r="X32" s="51">
        <v>46062</v>
      </c>
      <c r="Y32" s="15" t="s">
        <v>61</v>
      </c>
      <c r="Z32" s="26"/>
      <c r="AA32" s="26"/>
      <c r="AB32" s="15" t="s">
        <v>49</v>
      </c>
      <c r="AC32" s="26"/>
      <c r="AD32" s="44" t="s">
        <v>48</v>
      </c>
      <c r="AE32" s="27"/>
      <c r="AF32" s="24"/>
      <c r="AG32" s="24"/>
      <c r="AH32" s="26"/>
      <c r="AI32" s="26"/>
      <c r="AJ32" s="25"/>
      <c r="AK32" s="26"/>
      <c r="AL32" s="17">
        <v>18</v>
      </c>
      <c r="AM32" s="47" t="s">
        <v>64</v>
      </c>
      <c r="AN32" s="44" t="s">
        <v>51</v>
      </c>
      <c r="AO32" s="44"/>
      <c r="AP32" s="52"/>
    </row>
    <row r="33" spans="1:49" s="41" customFormat="1" ht="14.25" customHeight="1" x14ac:dyDescent="0.25">
      <c r="A33" s="43">
        <v>46062</v>
      </c>
      <c r="B33" s="43"/>
      <c r="C33" s="13" t="s">
        <v>52</v>
      </c>
      <c r="D33" s="14" t="s">
        <v>53</v>
      </c>
      <c r="E33" s="98">
        <v>7042</v>
      </c>
      <c r="F33" s="44" t="s">
        <v>54</v>
      </c>
      <c r="G33" s="106">
        <v>46196447</v>
      </c>
      <c r="H33" s="2" t="s">
        <v>303</v>
      </c>
      <c r="I33" s="52"/>
      <c r="J33" s="52"/>
      <c r="K33" s="53">
        <v>5130</v>
      </c>
      <c r="L33" s="52"/>
      <c r="M33" s="52"/>
      <c r="N33" s="52"/>
      <c r="O33" s="52"/>
      <c r="P33" s="53">
        <f t="shared" si="0"/>
        <v>5130</v>
      </c>
      <c r="Q33" s="75"/>
      <c r="R33" s="51"/>
      <c r="S33" s="44"/>
      <c r="T33" s="44"/>
      <c r="U33" s="44"/>
      <c r="V33" s="44" t="s">
        <v>47</v>
      </c>
      <c r="W33" s="52"/>
      <c r="X33" s="51">
        <v>46062</v>
      </c>
      <c r="Y33" s="44" t="s">
        <v>63</v>
      </c>
      <c r="Z33" s="44"/>
      <c r="AA33" s="44"/>
      <c r="AB33" s="44" t="s">
        <v>49</v>
      </c>
      <c r="AC33" s="44"/>
      <c r="AD33" s="44" t="s">
        <v>48</v>
      </c>
      <c r="AE33" s="55"/>
      <c r="AF33" s="52"/>
      <c r="AG33" s="52"/>
      <c r="AH33" s="44"/>
      <c r="AI33" s="44"/>
      <c r="AJ33" s="51"/>
      <c r="AK33" s="44"/>
      <c r="AL33" s="52">
        <v>18</v>
      </c>
      <c r="AM33" s="47" t="s">
        <v>50</v>
      </c>
      <c r="AN33" s="44" t="s">
        <v>51</v>
      </c>
      <c r="AO33" s="44"/>
      <c r="AP33" s="52"/>
    </row>
    <row r="34" spans="1:49" s="20" customFormat="1" ht="14.25" customHeight="1" x14ac:dyDescent="0.25">
      <c r="A34" s="43">
        <v>46062</v>
      </c>
      <c r="B34" s="43"/>
      <c r="C34" s="13" t="s">
        <v>52</v>
      </c>
      <c r="D34" s="14" t="s">
        <v>53</v>
      </c>
      <c r="E34" s="98">
        <v>7043</v>
      </c>
      <c r="F34" s="44" t="s">
        <v>54</v>
      </c>
      <c r="G34" s="106">
        <v>46196447</v>
      </c>
      <c r="H34" s="2" t="s">
        <v>303</v>
      </c>
      <c r="I34" s="57"/>
      <c r="J34" s="57"/>
      <c r="K34" s="53">
        <v>0</v>
      </c>
      <c r="L34" s="57"/>
      <c r="M34" s="57"/>
      <c r="N34" s="57"/>
      <c r="O34" s="57"/>
      <c r="P34" s="53">
        <f t="shared" si="0"/>
        <v>0</v>
      </c>
      <c r="Q34" s="75"/>
      <c r="R34" s="56"/>
      <c r="S34" s="58"/>
      <c r="T34" s="58"/>
      <c r="U34" s="58"/>
      <c r="V34" s="44" t="s">
        <v>47</v>
      </c>
      <c r="W34" s="57"/>
      <c r="X34" s="56">
        <v>46062</v>
      </c>
      <c r="Y34" s="15" t="s">
        <v>61</v>
      </c>
      <c r="Z34" s="26"/>
      <c r="AA34" s="26"/>
      <c r="AB34" s="15" t="s">
        <v>49</v>
      </c>
      <c r="AC34" s="26"/>
      <c r="AD34" s="44" t="s">
        <v>48</v>
      </c>
      <c r="AE34" s="27"/>
      <c r="AF34" s="24"/>
      <c r="AG34" s="24"/>
      <c r="AH34" s="26"/>
      <c r="AI34" s="26"/>
      <c r="AJ34" s="25"/>
      <c r="AK34" s="26"/>
      <c r="AL34" s="17">
        <v>18</v>
      </c>
      <c r="AM34" s="47" t="s">
        <v>64</v>
      </c>
      <c r="AN34" s="44" t="s">
        <v>51</v>
      </c>
      <c r="AO34" s="58"/>
      <c r="AP34" s="57"/>
    </row>
    <row r="35" spans="1:49" s="20" customFormat="1" ht="14.25" customHeight="1" x14ac:dyDescent="0.25">
      <c r="A35" s="43">
        <v>46062</v>
      </c>
      <c r="B35" s="43"/>
      <c r="C35" s="13" t="s">
        <v>52</v>
      </c>
      <c r="D35" s="14" t="s">
        <v>53</v>
      </c>
      <c r="E35" s="98">
        <v>7044</v>
      </c>
      <c r="F35" s="44" t="s">
        <v>54</v>
      </c>
      <c r="G35" s="106">
        <v>45397885</v>
      </c>
      <c r="H35" s="2" t="s">
        <v>354</v>
      </c>
      <c r="I35" s="57"/>
      <c r="J35" s="57"/>
      <c r="K35" s="53">
        <v>8070</v>
      </c>
      <c r="L35" s="57"/>
      <c r="M35" s="57"/>
      <c r="N35" s="57"/>
      <c r="O35" s="57"/>
      <c r="P35" s="53">
        <f t="shared" si="0"/>
        <v>8070</v>
      </c>
      <c r="Q35" s="75"/>
      <c r="R35" s="56"/>
      <c r="S35" s="58"/>
      <c r="T35" s="58"/>
      <c r="U35" s="58"/>
      <c r="V35" s="44" t="s">
        <v>47</v>
      </c>
      <c r="W35" s="57"/>
      <c r="X35" s="56">
        <v>46062</v>
      </c>
      <c r="Y35" s="44" t="s">
        <v>63</v>
      </c>
      <c r="Z35" s="44"/>
      <c r="AA35" s="44"/>
      <c r="AB35" s="44" t="s">
        <v>49</v>
      </c>
      <c r="AC35" s="44"/>
      <c r="AD35" s="44" t="s">
        <v>48</v>
      </c>
      <c r="AE35" s="55"/>
      <c r="AF35" s="52"/>
      <c r="AG35" s="52"/>
      <c r="AH35" s="44"/>
      <c r="AI35" s="44"/>
      <c r="AJ35" s="51"/>
      <c r="AK35" s="44"/>
      <c r="AL35" s="52">
        <v>18</v>
      </c>
      <c r="AM35" s="47" t="s">
        <v>50</v>
      </c>
      <c r="AN35" s="44" t="s">
        <v>51</v>
      </c>
      <c r="AO35" s="58"/>
      <c r="AP35" s="57"/>
    </row>
    <row r="36" spans="1:49" s="41" customFormat="1" ht="14.25" customHeight="1" x14ac:dyDescent="0.25">
      <c r="A36" s="43">
        <v>46064</v>
      </c>
      <c r="B36" s="43"/>
      <c r="C36" s="13" t="s">
        <v>52</v>
      </c>
      <c r="D36" s="14" t="s">
        <v>53</v>
      </c>
      <c r="E36" s="98">
        <v>7045</v>
      </c>
      <c r="F36" s="44" t="s">
        <v>54</v>
      </c>
      <c r="G36" s="106">
        <v>60010705</v>
      </c>
      <c r="H36" s="95" t="s">
        <v>304</v>
      </c>
      <c r="I36" s="52"/>
      <c r="J36" s="52"/>
      <c r="K36" s="53">
        <v>5280</v>
      </c>
      <c r="L36" s="52"/>
      <c r="M36" s="52"/>
      <c r="N36" s="52"/>
      <c r="O36" s="52"/>
      <c r="P36" s="53">
        <f t="shared" ref="P36:P116" si="1">K36</f>
        <v>5280</v>
      </c>
      <c r="Q36" s="75"/>
      <c r="R36" s="51"/>
      <c r="S36" s="44"/>
      <c r="T36" s="44"/>
      <c r="U36" s="44"/>
      <c r="V36" s="44" t="s">
        <v>47</v>
      </c>
      <c r="W36" s="52"/>
      <c r="X36" s="51">
        <v>46064</v>
      </c>
      <c r="Y36" s="44" t="s">
        <v>63</v>
      </c>
      <c r="Z36" s="44"/>
      <c r="AA36" s="44"/>
      <c r="AB36" s="44" t="s">
        <v>49</v>
      </c>
      <c r="AC36" s="44"/>
      <c r="AD36" s="44" t="s">
        <v>48</v>
      </c>
      <c r="AE36" s="55"/>
      <c r="AF36" s="52"/>
      <c r="AG36" s="52"/>
      <c r="AH36" s="44"/>
      <c r="AI36" s="44"/>
      <c r="AJ36" s="51"/>
      <c r="AK36" s="44"/>
      <c r="AL36" s="52">
        <v>18</v>
      </c>
      <c r="AM36" s="47" t="s">
        <v>50</v>
      </c>
      <c r="AN36" s="44" t="s">
        <v>51</v>
      </c>
      <c r="AO36" s="44"/>
      <c r="AP36" s="52"/>
    </row>
    <row r="37" spans="1:49" s="41" customFormat="1" ht="14.25" customHeight="1" x14ac:dyDescent="0.25">
      <c r="A37" s="43">
        <v>46064</v>
      </c>
      <c r="B37" s="43"/>
      <c r="C37" s="13" t="s">
        <v>52</v>
      </c>
      <c r="D37" s="14" t="s">
        <v>53</v>
      </c>
      <c r="E37" s="98">
        <v>7046</v>
      </c>
      <c r="F37" s="44" t="s">
        <v>54</v>
      </c>
      <c r="G37" s="106">
        <v>60010705</v>
      </c>
      <c r="H37" s="95" t="s">
        <v>304</v>
      </c>
      <c r="I37" s="52"/>
      <c r="J37" s="52"/>
      <c r="K37" s="53">
        <v>0</v>
      </c>
      <c r="L37" s="52"/>
      <c r="M37" s="52"/>
      <c r="N37" s="52"/>
      <c r="O37" s="52"/>
      <c r="P37" s="53">
        <f t="shared" si="1"/>
        <v>0</v>
      </c>
      <c r="R37" s="51"/>
      <c r="S37" s="44"/>
      <c r="T37" s="44"/>
      <c r="U37" s="44"/>
      <c r="V37" s="44" t="s">
        <v>47</v>
      </c>
      <c r="W37" s="52"/>
      <c r="X37" s="51">
        <v>46064</v>
      </c>
      <c r="Y37" s="15" t="s">
        <v>61</v>
      </c>
      <c r="Z37" s="26"/>
      <c r="AA37" s="26"/>
      <c r="AB37" s="15" t="s">
        <v>49</v>
      </c>
      <c r="AC37" s="26"/>
      <c r="AD37" s="44" t="s">
        <v>48</v>
      </c>
      <c r="AE37" s="27"/>
      <c r="AF37" s="24"/>
      <c r="AG37" s="24"/>
      <c r="AH37" s="26"/>
      <c r="AI37" s="26"/>
      <c r="AJ37" s="25"/>
      <c r="AK37" s="26"/>
      <c r="AL37" s="17">
        <v>18</v>
      </c>
      <c r="AM37" s="47" t="s">
        <v>64</v>
      </c>
      <c r="AN37" s="44" t="s">
        <v>51</v>
      </c>
      <c r="AO37" s="44"/>
      <c r="AP37" s="52"/>
    </row>
    <row r="38" spans="1:49" s="41" customFormat="1" ht="14.25" customHeight="1" x14ac:dyDescent="0.25">
      <c r="A38" s="43">
        <v>46064</v>
      </c>
      <c r="B38" s="43"/>
      <c r="C38" s="13" t="s">
        <v>52</v>
      </c>
      <c r="D38" s="14" t="s">
        <v>53</v>
      </c>
      <c r="E38" s="98">
        <v>7047</v>
      </c>
      <c r="F38" s="44" t="s">
        <v>54</v>
      </c>
      <c r="G38" s="106">
        <v>46487526</v>
      </c>
      <c r="H38" s="95" t="s">
        <v>355</v>
      </c>
      <c r="I38" s="52"/>
      <c r="J38" s="52"/>
      <c r="K38" s="53">
        <v>5380</v>
      </c>
      <c r="L38" s="52"/>
      <c r="M38" s="52"/>
      <c r="N38" s="52"/>
      <c r="O38" s="52"/>
      <c r="P38" s="53">
        <f t="shared" si="1"/>
        <v>5380</v>
      </c>
      <c r="Q38" s="75"/>
      <c r="R38" s="51"/>
      <c r="S38" s="44"/>
      <c r="T38" s="44"/>
      <c r="U38" s="44"/>
      <c r="V38" s="44" t="s">
        <v>47</v>
      </c>
      <c r="W38" s="52"/>
      <c r="X38" s="51">
        <v>46064</v>
      </c>
      <c r="Y38" s="44" t="s">
        <v>63</v>
      </c>
      <c r="Z38" s="44"/>
      <c r="AA38" s="44"/>
      <c r="AB38" s="44" t="s">
        <v>49</v>
      </c>
      <c r="AC38" s="44"/>
      <c r="AD38" s="44" t="s">
        <v>48</v>
      </c>
      <c r="AE38" s="55"/>
      <c r="AF38" s="52"/>
      <c r="AG38" s="52"/>
      <c r="AH38" s="44"/>
      <c r="AI38" s="44"/>
      <c r="AJ38" s="51"/>
      <c r="AK38" s="44"/>
      <c r="AL38" s="52">
        <v>18</v>
      </c>
      <c r="AM38" s="47" t="s">
        <v>50</v>
      </c>
      <c r="AN38" s="44" t="s">
        <v>51</v>
      </c>
      <c r="AO38" s="44"/>
      <c r="AP38" s="52"/>
    </row>
    <row r="39" spans="1:49" s="105" customFormat="1" ht="14.25" customHeight="1" x14ac:dyDescent="0.25">
      <c r="A39" s="100">
        <v>46064</v>
      </c>
      <c r="B39" s="18"/>
      <c r="C39" s="22" t="s">
        <v>52</v>
      </c>
      <c r="D39" s="23" t="s">
        <v>53</v>
      </c>
      <c r="E39" s="98">
        <v>7048</v>
      </c>
      <c r="F39" s="15" t="s">
        <v>54</v>
      </c>
      <c r="G39" s="106">
        <v>46487526</v>
      </c>
      <c r="H39" s="102" t="s">
        <v>355</v>
      </c>
      <c r="I39" s="17"/>
      <c r="J39" s="17"/>
      <c r="K39" s="16">
        <v>0</v>
      </c>
      <c r="L39" s="17"/>
      <c r="M39" s="17"/>
      <c r="N39" s="17"/>
      <c r="O39" s="17"/>
      <c r="P39" s="16">
        <f t="shared" si="1"/>
        <v>0</v>
      </c>
      <c r="Q39" s="103"/>
      <c r="R39" s="18"/>
      <c r="S39" s="15"/>
      <c r="T39" s="15"/>
      <c r="U39" s="15"/>
      <c r="V39" s="15" t="s">
        <v>47</v>
      </c>
      <c r="W39" s="17"/>
      <c r="X39" s="18">
        <v>46064</v>
      </c>
      <c r="Y39" s="15" t="s">
        <v>61</v>
      </c>
      <c r="Z39" s="26"/>
      <c r="AA39" s="26"/>
      <c r="AB39" s="15" t="s">
        <v>49</v>
      </c>
      <c r="AC39" s="26"/>
      <c r="AD39" s="44" t="s">
        <v>48</v>
      </c>
      <c r="AE39" s="27"/>
      <c r="AF39" s="24"/>
      <c r="AG39" s="24"/>
      <c r="AH39" s="26"/>
      <c r="AI39" s="26"/>
      <c r="AJ39" s="25"/>
      <c r="AK39" s="26"/>
      <c r="AL39" s="17">
        <v>18</v>
      </c>
      <c r="AM39" s="47" t="s">
        <v>64</v>
      </c>
      <c r="AN39" s="15" t="s">
        <v>51</v>
      </c>
      <c r="AO39" s="15"/>
      <c r="AP39" s="17"/>
      <c r="AW39" s="103"/>
    </row>
    <row r="40" spans="1:49" s="41" customFormat="1" ht="14.25" customHeight="1" x14ac:dyDescent="0.25">
      <c r="A40" s="43">
        <v>46064</v>
      </c>
      <c r="B40" s="43"/>
      <c r="C40" s="13" t="s">
        <v>52</v>
      </c>
      <c r="D40" s="14" t="s">
        <v>53</v>
      </c>
      <c r="E40" s="98">
        <v>7049</v>
      </c>
      <c r="F40" s="44" t="s">
        <v>54</v>
      </c>
      <c r="G40" s="106">
        <v>20997147</v>
      </c>
      <c r="H40" s="95" t="s">
        <v>356</v>
      </c>
      <c r="I40" s="52"/>
      <c r="J40" s="52"/>
      <c r="K40" s="53">
        <v>5380</v>
      </c>
      <c r="L40" s="52"/>
      <c r="M40" s="52"/>
      <c r="N40" s="52"/>
      <c r="O40" s="52"/>
      <c r="P40" s="53">
        <f t="shared" si="1"/>
        <v>5380</v>
      </c>
      <c r="Q40" s="75"/>
      <c r="R40" s="51"/>
      <c r="S40" s="44"/>
      <c r="T40" s="44"/>
      <c r="U40" s="44"/>
      <c r="V40" s="44" t="s">
        <v>47</v>
      </c>
      <c r="W40" s="52"/>
      <c r="X40" s="51">
        <v>46064</v>
      </c>
      <c r="Y40" s="44" t="s">
        <v>63</v>
      </c>
      <c r="Z40" s="44"/>
      <c r="AA40" s="44"/>
      <c r="AB40" s="44" t="s">
        <v>49</v>
      </c>
      <c r="AC40" s="44"/>
      <c r="AD40" s="44" t="s">
        <v>48</v>
      </c>
      <c r="AE40" s="55"/>
      <c r="AF40" s="52"/>
      <c r="AG40" s="52"/>
      <c r="AH40" s="44"/>
      <c r="AI40" s="44"/>
      <c r="AJ40" s="51"/>
      <c r="AK40" s="44"/>
      <c r="AL40" s="52">
        <v>18</v>
      </c>
      <c r="AM40" s="47" t="s">
        <v>50</v>
      </c>
      <c r="AN40" s="44" t="s">
        <v>51</v>
      </c>
      <c r="AO40" s="44"/>
      <c r="AP40" s="52"/>
    </row>
    <row r="41" spans="1:49" s="41" customFormat="1" ht="14.25" customHeight="1" x14ac:dyDescent="0.25">
      <c r="A41" s="43">
        <v>46064</v>
      </c>
      <c r="B41" s="43"/>
      <c r="C41" s="13" t="s">
        <v>52</v>
      </c>
      <c r="D41" s="14" t="s">
        <v>53</v>
      </c>
      <c r="E41" s="98">
        <v>7050</v>
      </c>
      <c r="F41" s="44" t="s">
        <v>54</v>
      </c>
      <c r="G41" s="106">
        <v>20997147</v>
      </c>
      <c r="H41" s="2" t="s">
        <v>356</v>
      </c>
      <c r="I41" s="52"/>
      <c r="J41" s="52"/>
      <c r="K41" s="53">
        <v>0</v>
      </c>
      <c r="L41" s="52"/>
      <c r="M41" s="52"/>
      <c r="N41" s="52"/>
      <c r="O41" s="52"/>
      <c r="P41" s="53">
        <f t="shared" si="1"/>
        <v>0</v>
      </c>
      <c r="Q41" s="75"/>
      <c r="R41" s="51"/>
      <c r="S41" s="44"/>
      <c r="T41" s="44"/>
      <c r="U41" s="44"/>
      <c r="V41" s="44" t="s">
        <v>47</v>
      </c>
      <c r="W41" s="52"/>
      <c r="X41" s="51">
        <v>46064</v>
      </c>
      <c r="Y41" s="15" t="s">
        <v>61</v>
      </c>
      <c r="Z41" s="26"/>
      <c r="AA41" s="26"/>
      <c r="AB41" s="15" t="s">
        <v>49</v>
      </c>
      <c r="AC41" s="26"/>
      <c r="AD41" s="44" t="s">
        <v>48</v>
      </c>
      <c r="AE41" s="27"/>
      <c r="AF41" s="24"/>
      <c r="AG41" s="24"/>
      <c r="AH41" s="26"/>
      <c r="AI41" s="26"/>
      <c r="AJ41" s="25"/>
      <c r="AK41" s="26"/>
      <c r="AL41" s="17">
        <v>18</v>
      </c>
      <c r="AM41" s="47" t="s">
        <v>64</v>
      </c>
      <c r="AN41" s="44" t="s">
        <v>51</v>
      </c>
      <c r="AO41" s="44"/>
      <c r="AP41" s="52"/>
    </row>
    <row r="42" spans="1:49" s="20" customFormat="1" ht="14.25" customHeight="1" x14ac:dyDescent="0.25">
      <c r="A42" s="43">
        <v>46064</v>
      </c>
      <c r="B42" s="43"/>
      <c r="C42" s="13" t="s">
        <v>52</v>
      </c>
      <c r="D42" s="14" t="s">
        <v>53</v>
      </c>
      <c r="E42" s="98">
        <v>7051</v>
      </c>
      <c r="F42" s="44" t="s">
        <v>54</v>
      </c>
      <c r="G42" s="106">
        <v>80093681</v>
      </c>
      <c r="H42" s="2" t="s">
        <v>305</v>
      </c>
      <c r="I42" s="57"/>
      <c r="J42" s="57"/>
      <c r="K42" s="53">
        <v>6280</v>
      </c>
      <c r="L42" s="57"/>
      <c r="M42" s="57"/>
      <c r="N42" s="57"/>
      <c r="O42" s="57"/>
      <c r="P42" s="53">
        <f t="shared" si="1"/>
        <v>6280</v>
      </c>
      <c r="Q42" s="75"/>
      <c r="R42" s="56"/>
      <c r="S42" s="58"/>
      <c r="T42" s="58"/>
      <c r="U42" s="58"/>
      <c r="V42" s="44" t="s">
        <v>47</v>
      </c>
      <c r="W42" s="57"/>
      <c r="X42" s="56">
        <v>46064</v>
      </c>
      <c r="Y42" s="44" t="s">
        <v>63</v>
      </c>
      <c r="Z42" s="44"/>
      <c r="AA42" s="44"/>
      <c r="AB42" s="44" t="s">
        <v>49</v>
      </c>
      <c r="AC42" s="44"/>
      <c r="AD42" s="44" t="s">
        <v>48</v>
      </c>
      <c r="AE42" s="55"/>
      <c r="AF42" s="52"/>
      <c r="AG42" s="52"/>
      <c r="AH42" s="44"/>
      <c r="AI42" s="44"/>
      <c r="AJ42" s="51"/>
      <c r="AK42" s="44"/>
      <c r="AL42" s="52">
        <v>18</v>
      </c>
      <c r="AM42" s="47" t="s">
        <v>50</v>
      </c>
      <c r="AN42" s="44" t="s">
        <v>51</v>
      </c>
      <c r="AO42" s="58"/>
      <c r="AP42" s="57"/>
    </row>
    <row r="43" spans="1:49" s="20" customFormat="1" ht="14.25" customHeight="1" x14ac:dyDescent="0.25">
      <c r="A43" s="43">
        <v>46064</v>
      </c>
      <c r="B43" s="43"/>
      <c r="C43" s="13" t="s">
        <v>52</v>
      </c>
      <c r="D43" s="14" t="s">
        <v>53</v>
      </c>
      <c r="E43" s="98">
        <v>7052</v>
      </c>
      <c r="F43" s="44" t="s">
        <v>54</v>
      </c>
      <c r="G43" s="106">
        <v>80093681</v>
      </c>
      <c r="H43" s="2" t="s">
        <v>305</v>
      </c>
      <c r="I43" s="57"/>
      <c r="J43" s="57"/>
      <c r="K43" s="53">
        <v>0</v>
      </c>
      <c r="L43" s="57"/>
      <c r="M43" s="57"/>
      <c r="N43" s="57"/>
      <c r="O43" s="57"/>
      <c r="P43" s="53">
        <f t="shared" si="1"/>
        <v>0</v>
      </c>
      <c r="Q43" s="75"/>
      <c r="R43" s="56"/>
      <c r="S43" s="58"/>
      <c r="T43" s="58"/>
      <c r="U43" s="58"/>
      <c r="V43" s="44" t="s">
        <v>47</v>
      </c>
      <c r="W43" s="57"/>
      <c r="X43" s="56">
        <v>46064</v>
      </c>
      <c r="Y43" s="15" t="s">
        <v>61</v>
      </c>
      <c r="Z43" s="26"/>
      <c r="AA43" s="26"/>
      <c r="AB43" s="15" t="s">
        <v>49</v>
      </c>
      <c r="AC43" s="26"/>
      <c r="AD43" s="44" t="s">
        <v>48</v>
      </c>
      <c r="AE43" s="27"/>
      <c r="AF43" s="24"/>
      <c r="AG43" s="24"/>
      <c r="AH43" s="26"/>
      <c r="AI43" s="26"/>
      <c r="AJ43" s="25"/>
      <c r="AK43" s="26"/>
      <c r="AL43" s="17">
        <v>18</v>
      </c>
      <c r="AM43" s="47" t="s">
        <v>64</v>
      </c>
      <c r="AN43" s="44" t="s">
        <v>51</v>
      </c>
      <c r="AO43" s="58"/>
      <c r="AP43" s="57"/>
    </row>
    <row r="44" spans="1:49" s="20" customFormat="1" ht="14.25" customHeight="1" x14ac:dyDescent="0.25">
      <c r="A44" s="43">
        <v>46064</v>
      </c>
      <c r="B44" s="43"/>
      <c r="C44" s="13" t="s">
        <v>52</v>
      </c>
      <c r="D44" s="14" t="s">
        <v>53</v>
      </c>
      <c r="E44" s="98">
        <v>7053</v>
      </c>
      <c r="F44" s="44" t="s">
        <v>54</v>
      </c>
      <c r="G44" s="106">
        <v>20704992</v>
      </c>
      <c r="H44" s="2" t="s">
        <v>357</v>
      </c>
      <c r="I44" s="57"/>
      <c r="J44" s="57"/>
      <c r="K44" s="53">
        <v>8080</v>
      </c>
      <c r="L44" s="57"/>
      <c r="M44" s="57"/>
      <c r="N44" s="57"/>
      <c r="O44" s="57"/>
      <c r="P44" s="53">
        <f t="shared" si="1"/>
        <v>8080</v>
      </c>
      <c r="Q44" s="75"/>
      <c r="R44" s="56"/>
      <c r="S44" s="58"/>
      <c r="T44" s="58"/>
      <c r="U44" s="58"/>
      <c r="V44" s="44" t="s">
        <v>47</v>
      </c>
      <c r="W44" s="57"/>
      <c r="X44" s="56">
        <v>46064</v>
      </c>
      <c r="Y44" s="44" t="s">
        <v>63</v>
      </c>
      <c r="Z44" s="44"/>
      <c r="AA44" s="44"/>
      <c r="AB44" s="44" t="s">
        <v>49</v>
      </c>
      <c r="AC44" s="44"/>
      <c r="AD44" s="44" t="s">
        <v>48</v>
      </c>
      <c r="AE44" s="55"/>
      <c r="AF44" s="52"/>
      <c r="AG44" s="52"/>
      <c r="AH44" s="44"/>
      <c r="AI44" s="44"/>
      <c r="AJ44" s="51"/>
      <c r="AK44" s="44"/>
      <c r="AL44" s="52">
        <v>18</v>
      </c>
      <c r="AM44" s="47" t="s">
        <v>50</v>
      </c>
      <c r="AN44" s="44" t="s">
        <v>51</v>
      </c>
      <c r="AO44" s="58"/>
      <c r="AP44" s="57"/>
    </row>
    <row r="45" spans="1:49" s="20" customFormat="1" ht="14.25" customHeight="1" x14ac:dyDescent="0.25">
      <c r="A45" s="43">
        <v>46064</v>
      </c>
      <c r="B45" s="43"/>
      <c r="C45" s="13" t="s">
        <v>52</v>
      </c>
      <c r="D45" s="14" t="s">
        <v>53</v>
      </c>
      <c r="E45" s="98">
        <v>7054</v>
      </c>
      <c r="F45" s="44" t="s">
        <v>54</v>
      </c>
      <c r="G45" s="106">
        <v>61590067</v>
      </c>
      <c r="H45" s="2" t="s">
        <v>358</v>
      </c>
      <c r="I45" s="57"/>
      <c r="J45" s="57"/>
      <c r="K45" s="53">
        <v>0</v>
      </c>
      <c r="L45" s="57"/>
      <c r="M45" s="57"/>
      <c r="N45" s="57"/>
      <c r="O45" s="57"/>
      <c r="P45" s="53">
        <f t="shared" si="1"/>
        <v>0</v>
      </c>
      <c r="Q45" s="75"/>
      <c r="R45" s="56"/>
      <c r="S45" s="58"/>
      <c r="T45" s="58"/>
      <c r="U45" s="58"/>
      <c r="V45" s="44" t="s">
        <v>47</v>
      </c>
      <c r="W45" s="57"/>
      <c r="X45" s="56">
        <v>46064</v>
      </c>
      <c r="Y45" s="15" t="s">
        <v>61</v>
      </c>
      <c r="Z45" s="26"/>
      <c r="AA45" s="26"/>
      <c r="AB45" s="15" t="s">
        <v>49</v>
      </c>
      <c r="AC45" s="26"/>
      <c r="AD45" s="44" t="s">
        <v>48</v>
      </c>
      <c r="AE45" s="27"/>
      <c r="AF45" s="24"/>
      <c r="AG45" s="24"/>
      <c r="AH45" s="26"/>
      <c r="AI45" s="26"/>
      <c r="AJ45" s="25"/>
      <c r="AK45" s="26"/>
      <c r="AL45" s="17">
        <v>18</v>
      </c>
      <c r="AM45" s="47" t="s">
        <v>64</v>
      </c>
      <c r="AN45" s="44" t="s">
        <v>51</v>
      </c>
      <c r="AO45" s="58"/>
      <c r="AP45" s="57"/>
    </row>
    <row r="46" spans="1:49" s="20" customFormat="1" ht="14.25" customHeight="1" x14ac:dyDescent="0.25">
      <c r="A46" s="43">
        <v>46065</v>
      </c>
      <c r="B46" s="43"/>
      <c r="C46" s="13" t="s">
        <v>52</v>
      </c>
      <c r="D46" s="14" t="s">
        <v>53</v>
      </c>
      <c r="E46" s="98">
        <v>7055</v>
      </c>
      <c r="F46" s="44" t="s">
        <v>54</v>
      </c>
      <c r="G46" s="106">
        <v>45588238</v>
      </c>
      <c r="H46" s="2" t="s">
        <v>359</v>
      </c>
      <c r="I46" s="57"/>
      <c r="J46" s="57"/>
      <c r="K46" s="53">
        <v>8080</v>
      </c>
      <c r="L46" s="57"/>
      <c r="M46" s="57"/>
      <c r="N46" s="57"/>
      <c r="O46" s="57"/>
      <c r="P46" s="53">
        <f t="shared" si="1"/>
        <v>8080</v>
      </c>
      <c r="Q46" s="75"/>
      <c r="R46" s="56"/>
      <c r="S46" s="58"/>
      <c r="T46" s="58"/>
      <c r="U46" s="58"/>
      <c r="V46" s="44" t="s">
        <v>47</v>
      </c>
      <c r="W46" s="57"/>
      <c r="X46" s="56">
        <v>46065</v>
      </c>
      <c r="Y46" s="44" t="s">
        <v>63</v>
      </c>
      <c r="Z46" s="44"/>
      <c r="AA46" s="44"/>
      <c r="AB46" s="44" t="s">
        <v>49</v>
      </c>
      <c r="AC46" s="44"/>
      <c r="AD46" s="44" t="s">
        <v>48</v>
      </c>
      <c r="AE46" s="55"/>
      <c r="AF46" s="52"/>
      <c r="AG46" s="52"/>
      <c r="AH46" s="44"/>
      <c r="AI46" s="44"/>
      <c r="AJ46" s="51"/>
      <c r="AK46" s="44"/>
      <c r="AL46" s="52">
        <v>18</v>
      </c>
      <c r="AM46" s="47" t="s">
        <v>50</v>
      </c>
      <c r="AN46" s="44" t="s">
        <v>51</v>
      </c>
      <c r="AO46" s="58"/>
      <c r="AP46" s="57"/>
    </row>
    <row r="47" spans="1:49" s="41" customFormat="1" ht="14.25" customHeight="1" x14ac:dyDescent="0.25">
      <c r="A47" s="43">
        <v>46065</v>
      </c>
      <c r="B47" s="43"/>
      <c r="C47" s="13" t="s">
        <v>52</v>
      </c>
      <c r="D47" s="14" t="s">
        <v>53</v>
      </c>
      <c r="E47" s="98">
        <v>7056</v>
      </c>
      <c r="F47" s="44" t="s">
        <v>54</v>
      </c>
      <c r="G47" s="106">
        <v>20996218</v>
      </c>
      <c r="H47" s="2" t="s">
        <v>360</v>
      </c>
      <c r="I47" s="52"/>
      <c r="J47" s="52"/>
      <c r="K47" s="53">
        <v>8080</v>
      </c>
      <c r="L47" s="52"/>
      <c r="M47" s="52"/>
      <c r="N47" s="52"/>
      <c r="O47" s="52"/>
      <c r="P47" s="53">
        <f t="shared" si="1"/>
        <v>8080</v>
      </c>
      <c r="Q47" s="75"/>
      <c r="R47" s="51"/>
      <c r="S47" s="44"/>
      <c r="T47" s="44"/>
      <c r="U47" s="44"/>
      <c r="V47" s="44" t="s">
        <v>47</v>
      </c>
      <c r="W47" s="52"/>
      <c r="X47" s="51">
        <v>46065</v>
      </c>
      <c r="Y47" s="44" t="s">
        <v>63</v>
      </c>
      <c r="Z47" s="44"/>
      <c r="AA47" s="44"/>
      <c r="AB47" s="44" t="s">
        <v>49</v>
      </c>
      <c r="AC47" s="44"/>
      <c r="AD47" s="44" t="s">
        <v>48</v>
      </c>
      <c r="AE47" s="55"/>
      <c r="AF47" s="52"/>
      <c r="AG47" s="52"/>
      <c r="AH47" s="44"/>
      <c r="AI47" s="44"/>
      <c r="AJ47" s="51"/>
      <c r="AK47" s="44"/>
      <c r="AL47" s="52">
        <v>18</v>
      </c>
      <c r="AM47" s="47" t="s">
        <v>50</v>
      </c>
      <c r="AN47" s="44" t="s">
        <v>51</v>
      </c>
      <c r="AO47" s="44"/>
      <c r="AP47" s="52"/>
    </row>
    <row r="48" spans="1:49" s="41" customFormat="1" ht="14.25" customHeight="1" x14ac:dyDescent="0.25">
      <c r="A48" s="43">
        <v>46065</v>
      </c>
      <c r="B48" s="51"/>
      <c r="C48" s="13" t="s">
        <v>52</v>
      </c>
      <c r="D48" s="14" t="s">
        <v>53</v>
      </c>
      <c r="E48" s="98">
        <v>7057</v>
      </c>
      <c r="F48" s="44" t="s">
        <v>54</v>
      </c>
      <c r="G48" s="106">
        <v>74071816</v>
      </c>
      <c r="H48" s="2" t="s">
        <v>306</v>
      </c>
      <c r="I48" s="52"/>
      <c r="J48" s="52"/>
      <c r="K48" s="53">
        <v>8080</v>
      </c>
      <c r="L48" s="52"/>
      <c r="M48" s="52"/>
      <c r="N48" s="52"/>
      <c r="O48" s="52"/>
      <c r="P48" s="53">
        <f t="shared" si="1"/>
        <v>8080</v>
      </c>
      <c r="Q48" s="75"/>
      <c r="R48" s="51"/>
      <c r="S48" s="44"/>
      <c r="T48" s="44"/>
      <c r="U48" s="44"/>
      <c r="V48" s="44" t="s">
        <v>47</v>
      </c>
      <c r="W48" s="52"/>
      <c r="X48" s="51">
        <v>46065</v>
      </c>
      <c r="Y48" s="44" t="s">
        <v>63</v>
      </c>
      <c r="Z48" s="44"/>
      <c r="AA48" s="44"/>
      <c r="AB48" s="44" t="s">
        <v>49</v>
      </c>
      <c r="AC48" s="44"/>
      <c r="AD48" s="44" t="s">
        <v>48</v>
      </c>
      <c r="AE48" s="55"/>
      <c r="AF48" s="52"/>
      <c r="AG48" s="52"/>
      <c r="AH48" s="44"/>
      <c r="AI48" s="44"/>
      <c r="AJ48" s="51"/>
      <c r="AK48" s="44"/>
      <c r="AL48" s="52">
        <v>18</v>
      </c>
      <c r="AM48" s="47" t="s">
        <v>50</v>
      </c>
      <c r="AN48" s="44" t="s">
        <v>51</v>
      </c>
      <c r="AO48" s="44"/>
      <c r="AP48" s="52"/>
    </row>
    <row r="49" spans="1:42" s="20" customFormat="1" ht="14.25" customHeight="1" x14ac:dyDescent="0.25">
      <c r="A49" s="43">
        <v>46065</v>
      </c>
      <c r="B49" s="43"/>
      <c r="C49" s="13" t="s">
        <v>52</v>
      </c>
      <c r="D49" s="14" t="s">
        <v>53</v>
      </c>
      <c r="E49" s="98">
        <v>7058</v>
      </c>
      <c r="F49" s="44" t="s">
        <v>54</v>
      </c>
      <c r="G49" s="107" t="s">
        <v>301</v>
      </c>
      <c r="H49" s="2" t="s">
        <v>361</v>
      </c>
      <c r="I49" s="57"/>
      <c r="J49" s="57"/>
      <c r="K49" s="53">
        <v>5700</v>
      </c>
      <c r="L49" s="57"/>
      <c r="M49" s="57"/>
      <c r="N49" s="57"/>
      <c r="O49" s="57"/>
      <c r="P49" s="53">
        <f t="shared" si="1"/>
        <v>5700</v>
      </c>
      <c r="Q49" s="75"/>
      <c r="R49" s="56"/>
      <c r="S49" s="58"/>
      <c r="T49" s="58"/>
      <c r="U49" s="58"/>
      <c r="V49" s="44" t="s">
        <v>47</v>
      </c>
      <c r="W49" s="57"/>
      <c r="X49" s="56">
        <v>46216</v>
      </c>
      <c r="Y49" s="44" t="s">
        <v>63</v>
      </c>
      <c r="Z49" s="44"/>
      <c r="AA49" s="44"/>
      <c r="AB49" s="44" t="s">
        <v>49</v>
      </c>
      <c r="AC49" s="44"/>
      <c r="AD49" s="44" t="s">
        <v>48</v>
      </c>
      <c r="AE49" s="55"/>
      <c r="AF49" s="52"/>
      <c r="AG49" s="52"/>
      <c r="AH49" s="44"/>
      <c r="AI49" s="44"/>
      <c r="AJ49" s="51"/>
      <c r="AK49" s="44"/>
      <c r="AL49" s="52">
        <v>18</v>
      </c>
      <c r="AM49" s="47" t="s">
        <v>50</v>
      </c>
      <c r="AN49" s="44" t="s">
        <v>51</v>
      </c>
      <c r="AO49" s="58"/>
      <c r="AP49" s="57"/>
    </row>
    <row r="50" spans="1:42" s="20" customFormat="1" ht="14.25" customHeight="1" x14ac:dyDescent="0.25">
      <c r="A50" s="43">
        <v>46065</v>
      </c>
      <c r="B50" s="43"/>
      <c r="C50" s="13" t="s">
        <v>52</v>
      </c>
      <c r="D50" s="14" t="s">
        <v>53</v>
      </c>
      <c r="E50" s="98">
        <v>7059</v>
      </c>
      <c r="F50" s="44" t="s">
        <v>54</v>
      </c>
      <c r="G50" s="107" t="s">
        <v>378</v>
      </c>
      <c r="H50" s="2" t="s">
        <v>361</v>
      </c>
      <c r="I50" s="57"/>
      <c r="J50" s="57"/>
      <c r="K50" s="53">
        <v>0</v>
      </c>
      <c r="L50" s="57"/>
      <c r="M50" s="57"/>
      <c r="N50" s="57"/>
      <c r="O50" s="57"/>
      <c r="P50" s="53">
        <f t="shared" si="1"/>
        <v>0</v>
      </c>
      <c r="Q50" s="75"/>
      <c r="R50" s="56"/>
      <c r="S50" s="58"/>
      <c r="T50" s="58"/>
      <c r="U50" s="58"/>
      <c r="V50" s="44" t="s">
        <v>47</v>
      </c>
      <c r="W50" s="57"/>
      <c r="X50" s="56">
        <v>46065</v>
      </c>
      <c r="Y50" s="15" t="s">
        <v>61</v>
      </c>
      <c r="Z50" s="26"/>
      <c r="AA50" s="26"/>
      <c r="AB50" s="15" t="s">
        <v>49</v>
      </c>
      <c r="AC50" s="26"/>
      <c r="AD50" s="44" t="s">
        <v>48</v>
      </c>
      <c r="AE50" s="27"/>
      <c r="AF50" s="24"/>
      <c r="AG50" s="24"/>
      <c r="AH50" s="26"/>
      <c r="AI50" s="26"/>
      <c r="AJ50" s="25"/>
      <c r="AK50" s="26"/>
      <c r="AL50" s="17">
        <v>18</v>
      </c>
      <c r="AM50" s="47" t="s">
        <v>64</v>
      </c>
      <c r="AN50" s="44" t="s">
        <v>51</v>
      </c>
      <c r="AO50" s="58"/>
      <c r="AP50" s="57"/>
    </row>
    <row r="51" spans="1:42" s="20" customFormat="1" ht="14.25" customHeight="1" x14ac:dyDescent="0.25">
      <c r="A51" s="43">
        <v>46065</v>
      </c>
      <c r="B51" s="43"/>
      <c r="C51" s="13" t="s">
        <v>52</v>
      </c>
      <c r="D51" s="14" t="s">
        <v>53</v>
      </c>
      <c r="E51" s="98">
        <v>7060</v>
      </c>
      <c r="F51" s="44" t="s">
        <v>54</v>
      </c>
      <c r="G51" s="106">
        <v>75947533</v>
      </c>
      <c r="H51" s="2" t="s">
        <v>307</v>
      </c>
      <c r="I51" s="57"/>
      <c r="J51" s="57"/>
      <c r="K51" s="53">
        <v>8080</v>
      </c>
      <c r="L51" s="57"/>
      <c r="M51" s="57"/>
      <c r="N51" s="57"/>
      <c r="O51" s="57"/>
      <c r="P51" s="53">
        <f t="shared" si="1"/>
        <v>8080</v>
      </c>
      <c r="Q51" s="75"/>
      <c r="R51" s="56"/>
      <c r="S51" s="58"/>
      <c r="T51" s="58"/>
      <c r="U51" s="58"/>
      <c r="V51" s="44" t="s">
        <v>47</v>
      </c>
      <c r="W51" s="57"/>
      <c r="X51" s="56">
        <v>46065</v>
      </c>
      <c r="Y51" s="44" t="s">
        <v>63</v>
      </c>
      <c r="Z51" s="44"/>
      <c r="AA51" s="44"/>
      <c r="AB51" s="44" t="s">
        <v>49</v>
      </c>
      <c r="AC51" s="44"/>
      <c r="AD51" s="44" t="s">
        <v>48</v>
      </c>
      <c r="AE51" s="55"/>
      <c r="AF51" s="52"/>
      <c r="AG51" s="52"/>
      <c r="AH51" s="44"/>
      <c r="AI51" s="44"/>
      <c r="AJ51" s="51"/>
      <c r="AK51" s="44"/>
      <c r="AL51" s="52">
        <v>18</v>
      </c>
      <c r="AM51" s="47" t="s">
        <v>50</v>
      </c>
      <c r="AN51" s="44" t="s">
        <v>51</v>
      </c>
      <c r="AO51" s="58"/>
      <c r="AP51" s="57"/>
    </row>
    <row r="52" spans="1:42" s="20" customFormat="1" ht="14.25" customHeight="1" x14ac:dyDescent="0.25">
      <c r="A52" s="43">
        <v>46066</v>
      </c>
      <c r="B52" s="43"/>
      <c r="C52" s="13" t="s">
        <v>52</v>
      </c>
      <c r="D52" s="14" t="s">
        <v>53</v>
      </c>
      <c r="E52" s="98">
        <v>7061</v>
      </c>
      <c r="F52" s="44" t="s">
        <v>54</v>
      </c>
      <c r="G52" s="106">
        <v>71863870</v>
      </c>
      <c r="H52" s="2" t="s">
        <v>308</v>
      </c>
      <c r="I52" s="57"/>
      <c r="J52" s="57"/>
      <c r="K52" s="53">
        <v>8080</v>
      </c>
      <c r="L52" s="57"/>
      <c r="M52" s="57"/>
      <c r="N52" s="57"/>
      <c r="O52" s="57"/>
      <c r="P52" s="53">
        <f t="shared" si="1"/>
        <v>8080</v>
      </c>
      <c r="Q52" s="75"/>
      <c r="R52" s="56"/>
      <c r="S52" s="58"/>
      <c r="T52" s="58"/>
      <c r="U52" s="58"/>
      <c r="V52" s="44" t="s">
        <v>47</v>
      </c>
      <c r="W52" s="57"/>
      <c r="X52" s="56">
        <v>46066</v>
      </c>
      <c r="Y52" s="44" t="s">
        <v>63</v>
      </c>
      <c r="Z52" s="44"/>
      <c r="AA52" s="44"/>
      <c r="AB52" s="44" t="s">
        <v>49</v>
      </c>
      <c r="AC52" s="44"/>
      <c r="AD52" s="44" t="s">
        <v>48</v>
      </c>
      <c r="AE52" s="55"/>
      <c r="AF52" s="52"/>
      <c r="AG52" s="52"/>
      <c r="AH52" s="44"/>
      <c r="AI52" s="44"/>
      <c r="AJ52" s="51"/>
      <c r="AK52" s="44"/>
      <c r="AL52" s="52">
        <v>18</v>
      </c>
      <c r="AM52" s="47" t="s">
        <v>50</v>
      </c>
      <c r="AN52" s="44" t="s">
        <v>51</v>
      </c>
      <c r="AO52" s="58"/>
      <c r="AP52" s="57"/>
    </row>
    <row r="53" spans="1:42" s="20" customFormat="1" ht="14.25" customHeight="1" x14ac:dyDescent="0.25">
      <c r="A53" s="43">
        <v>46066</v>
      </c>
      <c r="B53" s="43"/>
      <c r="C53" s="13" t="s">
        <v>52</v>
      </c>
      <c r="D53" s="14" t="s">
        <v>53</v>
      </c>
      <c r="E53" s="98">
        <v>7062</v>
      </c>
      <c r="F53" s="44" t="s">
        <v>54</v>
      </c>
      <c r="G53" s="106">
        <v>19908144</v>
      </c>
      <c r="H53" s="2" t="s">
        <v>309</v>
      </c>
      <c r="I53" s="57"/>
      <c r="J53" s="57"/>
      <c r="K53" s="53">
        <v>5380</v>
      </c>
      <c r="L53" s="57"/>
      <c r="M53" s="57"/>
      <c r="N53" s="57"/>
      <c r="O53" s="57"/>
      <c r="P53" s="53">
        <f t="shared" si="1"/>
        <v>5380</v>
      </c>
      <c r="Q53" s="75"/>
      <c r="R53" s="56"/>
      <c r="S53" s="58"/>
      <c r="T53" s="58"/>
      <c r="U53" s="58"/>
      <c r="V53" s="44" t="s">
        <v>47</v>
      </c>
      <c r="W53" s="57"/>
      <c r="X53" s="56">
        <v>46094</v>
      </c>
      <c r="Y53" s="44" t="s">
        <v>63</v>
      </c>
      <c r="Z53" s="44"/>
      <c r="AA53" s="44"/>
      <c r="AB53" s="44" t="s">
        <v>49</v>
      </c>
      <c r="AC53" s="44"/>
      <c r="AD53" s="44" t="s">
        <v>48</v>
      </c>
      <c r="AE53" s="55"/>
      <c r="AF53" s="52"/>
      <c r="AG53" s="52"/>
      <c r="AH53" s="44"/>
      <c r="AI53" s="44"/>
      <c r="AJ53" s="51"/>
      <c r="AK53" s="44"/>
      <c r="AL53" s="52">
        <v>18</v>
      </c>
      <c r="AM53" s="47" t="s">
        <v>50</v>
      </c>
      <c r="AN53" s="44" t="s">
        <v>51</v>
      </c>
      <c r="AO53" s="58"/>
      <c r="AP53" s="57"/>
    </row>
    <row r="54" spans="1:42" s="41" customFormat="1" ht="14.25" customHeight="1" x14ac:dyDescent="0.25">
      <c r="A54" s="43">
        <v>46066</v>
      </c>
      <c r="B54" s="43"/>
      <c r="C54" s="13" t="s">
        <v>52</v>
      </c>
      <c r="D54" s="14" t="s">
        <v>53</v>
      </c>
      <c r="E54" s="98">
        <v>7063</v>
      </c>
      <c r="F54" s="44" t="s">
        <v>54</v>
      </c>
      <c r="G54" s="106">
        <v>19908144</v>
      </c>
      <c r="H54" s="2" t="s">
        <v>309</v>
      </c>
      <c r="I54" s="52"/>
      <c r="J54" s="52"/>
      <c r="K54" s="53">
        <v>0</v>
      </c>
      <c r="L54" s="52"/>
      <c r="M54" s="52"/>
      <c r="N54" s="52"/>
      <c r="O54" s="52"/>
      <c r="P54" s="53">
        <f t="shared" si="1"/>
        <v>0</v>
      </c>
      <c r="Q54" s="75"/>
      <c r="R54" s="51"/>
      <c r="S54" s="44"/>
      <c r="T54" s="44"/>
      <c r="U54" s="44"/>
      <c r="V54" s="44" t="s">
        <v>47</v>
      </c>
      <c r="W54" s="52"/>
      <c r="X54" s="51">
        <v>46066</v>
      </c>
      <c r="Y54" s="15" t="s">
        <v>61</v>
      </c>
      <c r="Z54" s="26"/>
      <c r="AA54" s="26"/>
      <c r="AB54" s="15" t="s">
        <v>49</v>
      </c>
      <c r="AC54" s="26"/>
      <c r="AD54" s="44" t="s">
        <v>48</v>
      </c>
      <c r="AE54" s="27"/>
      <c r="AF54" s="24"/>
      <c r="AG54" s="24"/>
      <c r="AH54" s="26"/>
      <c r="AI54" s="26"/>
      <c r="AJ54" s="25"/>
      <c r="AK54" s="26"/>
      <c r="AL54" s="17">
        <v>18</v>
      </c>
      <c r="AM54" s="47" t="s">
        <v>64</v>
      </c>
      <c r="AN54" s="44" t="s">
        <v>51</v>
      </c>
      <c r="AO54" s="44"/>
      <c r="AP54" s="52"/>
    </row>
    <row r="55" spans="1:42" s="41" customFormat="1" ht="14.25" customHeight="1" x14ac:dyDescent="0.25">
      <c r="A55" s="43">
        <v>46066</v>
      </c>
      <c r="B55" s="43"/>
      <c r="C55" s="13" t="s">
        <v>52</v>
      </c>
      <c r="D55" s="14" t="s">
        <v>53</v>
      </c>
      <c r="E55" s="98">
        <v>7064</v>
      </c>
      <c r="F55" s="44" t="s">
        <v>54</v>
      </c>
      <c r="G55" s="106">
        <v>73342627</v>
      </c>
      <c r="H55" s="2" t="s">
        <v>310</v>
      </c>
      <c r="I55" s="52"/>
      <c r="J55" s="52"/>
      <c r="K55" s="53">
        <v>8080</v>
      </c>
      <c r="L55" s="52"/>
      <c r="M55" s="52"/>
      <c r="N55" s="52"/>
      <c r="O55" s="52"/>
      <c r="P55" s="53">
        <f t="shared" si="1"/>
        <v>8080</v>
      </c>
      <c r="Q55" s="75"/>
      <c r="R55" s="51"/>
      <c r="S55" s="44"/>
      <c r="T55" s="44"/>
      <c r="U55" s="44"/>
      <c r="V55" s="44" t="s">
        <v>47</v>
      </c>
      <c r="W55" s="52"/>
      <c r="X55" s="51">
        <v>46066</v>
      </c>
      <c r="Y55" s="44" t="s">
        <v>63</v>
      </c>
      <c r="Z55" s="44"/>
      <c r="AA55" s="44"/>
      <c r="AB55" s="44" t="s">
        <v>49</v>
      </c>
      <c r="AC55" s="44"/>
      <c r="AD55" s="44" t="s">
        <v>48</v>
      </c>
      <c r="AE55" s="55"/>
      <c r="AF55" s="52"/>
      <c r="AG55" s="52"/>
      <c r="AH55" s="44"/>
      <c r="AI55" s="44"/>
      <c r="AJ55" s="51"/>
      <c r="AK55" s="44"/>
      <c r="AL55" s="52">
        <v>18</v>
      </c>
      <c r="AM55" s="47" t="s">
        <v>50</v>
      </c>
      <c r="AN55" s="44" t="s">
        <v>51</v>
      </c>
      <c r="AO55" s="44"/>
      <c r="AP55" s="52"/>
    </row>
    <row r="56" spans="1:42" s="41" customFormat="1" ht="14.25" customHeight="1" x14ac:dyDescent="0.25">
      <c r="A56" s="43">
        <v>46067</v>
      </c>
      <c r="B56" s="43"/>
      <c r="C56" s="13" t="s">
        <v>52</v>
      </c>
      <c r="D56" s="14" t="s">
        <v>53</v>
      </c>
      <c r="E56" s="98">
        <v>7065</v>
      </c>
      <c r="F56" s="44" t="s">
        <v>54</v>
      </c>
      <c r="G56" s="106">
        <v>70469025</v>
      </c>
      <c r="H56" s="2" t="s">
        <v>311</v>
      </c>
      <c r="I56" s="52"/>
      <c r="J56" s="52"/>
      <c r="K56" s="53">
        <v>12980</v>
      </c>
      <c r="L56" s="52"/>
      <c r="M56" s="52"/>
      <c r="N56" s="52"/>
      <c r="O56" s="52"/>
      <c r="P56" s="53">
        <f t="shared" si="1"/>
        <v>12980</v>
      </c>
      <c r="Q56" s="75"/>
      <c r="R56" s="51"/>
      <c r="S56" s="44"/>
      <c r="T56" s="44"/>
      <c r="U56" s="44"/>
      <c r="V56" s="44" t="s">
        <v>47</v>
      </c>
      <c r="W56" s="52"/>
      <c r="X56" s="51">
        <v>46067</v>
      </c>
      <c r="Y56" s="44" t="s">
        <v>63</v>
      </c>
      <c r="Z56" s="44"/>
      <c r="AA56" s="44"/>
      <c r="AB56" s="44" t="s">
        <v>49</v>
      </c>
      <c r="AC56" s="44"/>
      <c r="AD56" s="44" t="s">
        <v>48</v>
      </c>
      <c r="AE56" s="55"/>
      <c r="AF56" s="52"/>
      <c r="AG56" s="52"/>
      <c r="AH56" s="44"/>
      <c r="AI56" s="44"/>
      <c r="AJ56" s="51"/>
      <c r="AK56" s="44"/>
      <c r="AL56" s="52">
        <v>18</v>
      </c>
      <c r="AM56" s="47" t="s">
        <v>50</v>
      </c>
      <c r="AN56" s="44" t="s">
        <v>51</v>
      </c>
      <c r="AO56" s="44"/>
      <c r="AP56" s="52"/>
    </row>
    <row r="57" spans="1:42" s="20" customFormat="1" ht="14.25" customHeight="1" x14ac:dyDescent="0.25">
      <c r="A57" s="43">
        <v>46067</v>
      </c>
      <c r="B57" s="43"/>
      <c r="C57" s="13" t="s">
        <v>52</v>
      </c>
      <c r="D57" s="14" t="s">
        <v>53</v>
      </c>
      <c r="E57" s="98">
        <v>7066</v>
      </c>
      <c r="F57" s="44" t="s">
        <v>54</v>
      </c>
      <c r="G57" s="106">
        <v>70469025</v>
      </c>
      <c r="H57" s="2" t="s">
        <v>311</v>
      </c>
      <c r="I57" s="57"/>
      <c r="J57" s="57"/>
      <c r="K57" s="53">
        <v>0</v>
      </c>
      <c r="L57" s="57"/>
      <c r="M57" s="57"/>
      <c r="N57" s="57"/>
      <c r="O57" s="57"/>
      <c r="P57" s="53">
        <f t="shared" si="1"/>
        <v>0</v>
      </c>
      <c r="Q57" s="75"/>
      <c r="R57" s="56"/>
      <c r="S57" s="58"/>
      <c r="T57" s="58"/>
      <c r="U57" s="58"/>
      <c r="V57" s="44" t="s">
        <v>47</v>
      </c>
      <c r="W57" s="57"/>
      <c r="X57" s="56">
        <v>46067</v>
      </c>
      <c r="Y57" s="15" t="s">
        <v>61</v>
      </c>
      <c r="Z57" s="26"/>
      <c r="AA57" s="26"/>
      <c r="AB57" s="15" t="s">
        <v>49</v>
      </c>
      <c r="AC57" s="26"/>
      <c r="AD57" s="44" t="s">
        <v>48</v>
      </c>
      <c r="AE57" s="27"/>
      <c r="AF57" s="24"/>
      <c r="AG57" s="24"/>
      <c r="AH57" s="26"/>
      <c r="AI57" s="26"/>
      <c r="AJ57" s="25"/>
      <c r="AK57" s="26"/>
      <c r="AL57" s="17">
        <v>18</v>
      </c>
      <c r="AM57" s="47" t="s">
        <v>64</v>
      </c>
      <c r="AN57" s="44" t="s">
        <v>51</v>
      </c>
      <c r="AO57" s="58"/>
      <c r="AP57" s="57"/>
    </row>
    <row r="58" spans="1:42" s="20" customFormat="1" ht="14.25" customHeight="1" x14ac:dyDescent="0.25">
      <c r="A58" s="43">
        <v>46067</v>
      </c>
      <c r="B58" s="43"/>
      <c r="C58" s="13" t="s">
        <v>52</v>
      </c>
      <c r="D58" s="14" t="s">
        <v>53</v>
      </c>
      <c r="E58" s="98">
        <v>7067</v>
      </c>
      <c r="F58" s="44" t="s">
        <v>54</v>
      </c>
      <c r="G58" s="106">
        <v>42955229</v>
      </c>
      <c r="H58" s="2" t="s">
        <v>362</v>
      </c>
      <c r="I58" s="57"/>
      <c r="J58" s="57"/>
      <c r="K58" s="53">
        <v>8600</v>
      </c>
      <c r="L58" s="57"/>
      <c r="M58" s="57"/>
      <c r="N58" s="57"/>
      <c r="O58" s="57"/>
      <c r="P58" s="53">
        <f t="shared" si="1"/>
        <v>8600</v>
      </c>
      <c r="Q58" s="75"/>
      <c r="R58" s="56"/>
      <c r="S58" s="58"/>
      <c r="T58" s="58"/>
      <c r="U58" s="58"/>
      <c r="V58" s="44" t="s">
        <v>47</v>
      </c>
      <c r="W58" s="57"/>
      <c r="X58" s="56">
        <v>46372</v>
      </c>
      <c r="Y58" s="44" t="s">
        <v>63</v>
      </c>
      <c r="Z58" s="44"/>
      <c r="AA58" s="44"/>
      <c r="AB58" s="44" t="s">
        <v>49</v>
      </c>
      <c r="AC58" s="44"/>
      <c r="AD58" s="44" t="s">
        <v>48</v>
      </c>
      <c r="AE58" s="55"/>
      <c r="AF58" s="52"/>
      <c r="AG58" s="52"/>
      <c r="AH58" s="44"/>
      <c r="AI58" s="44"/>
      <c r="AJ58" s="51"/>
      <c r="AK58" s="44"/>
      <c r="AL58" s="52">
        <v>18</v>
      </c>
      <c r="AM58" s="47" t="s">
        <v>50</v>
      </c>
      <c r="AN58" s="44" t="s">
        <v>51</v>
      </c>
      <c r="AO58" s="58"/>
      <c r="AP58" s="57"/>
    </row>
    <row r="59" spans="1:42" s="20" customFormat="1" ht="14.25" customHeight="1" x14ac:dyDescent="0.25">
      <c r="A59" s="43">
        <v>46067</v>
      </c>
      <c r="B59" s="43"/>
      <c r="C59" s="13" t="s">
        <v>52</v>
      </c>
      <c r="D59" s="14" t="s">
        <v>53</v>
      </c>
      <c r="E59" s="98">
        <v>7068</v>
      </c>
      <c r="F59" s="44" t="s">
        <v>54</v>
      </c>
      <c r="G59" s="106">
        <v>42956829</v>
      </c>
      <c r="H59" s="2" t="s">
        <v>312</v>
      </c>
      <c r="I59" s="57"/>
      <c r="J59" s="57"/>
      <c r="K59" s="53">
        <v>8080</v>
      </c>
      <c r="L59" s="57"/>
      <c r="M59" s="57"/>
      <c r="N59" s="57"/>
      <c r="O59" s="57"/>
      <c r="P59" s="53">
        <f t="shared" si="1"/>
        <v>8080</v>
      </c>
      <c r="Q59" s="75"/>
      <c r="R59" s="56"/>
      <c r="S59" s="58"/>
      <c r="T59" s="58"/>
      <c r="U59" s="58"/>
      <c r="V59" s="44" t="s">
        <v>47</v>
      </c>
      <c r="W59" s="57"/>
      <c r="X59" s="56">
        <v>46067</v>
      </c>
      <c r="Y59" s="44" t="s">
        <v>63</v>
      </c>
      <c r="Z59" s="44"/>
      <c r="AA59" s="44"/>
      <c r="AB59" s="44" t="s">
        <v>49</v>
      </c>
      <c r="AC59" s="44"/>
      <c r="AD59" s="44" t="s">
        <v>48</v>
      </c>
      <c r="AE59" s="55"/>
      <c r="AF59" s="52"/>
      <c r="AG59" s="52"/>
      <c r="AH59" s="44"/>
      <c r="AI59" s="44"/>
      <c r="AJ59" s="51"/>
      <c r="AK59" s="44"/>
      <c r="AL59" s="52">
        <v>18</v>
      </c>
      <c r="AM59" s="47" t="s">
        <v>50</v>
      </c>
      <c r="AN59" s="44" t="s">
        <v>51</v>
      </c>
      <c r="AO59" s="58"/>
      <c r="AP59" s="57"/>
    </row>
    <row r="60" spans="1:42" s="20" customFormat="1" ht="14.25" customHeight="1" x14ac:dyDescent="0.25">
      <c r="A60" s="43">
        <v>46067</v>
      </c>
      <c r="B60" s="43"/>
      <c r="C60" s="13" t="s">
        <v>52</v>
      </c>
      <c r="D60" s="14" t="s">
        <v>53</v>
      </c>
      <c r="E60" s="98">
        <v>7069</v>
      </c>
      <c r="F60" s="44" t="s">
        <v>54</v>
      </c>
      <c r="G60" s="106">
        <v>61055416</v>
      </c>
      <c r="H60" s="2" t="s">
        <v>313</v>
      </c>
      <c r="I60" s="57"/>
      <c r="J60" s="57"/>
      <c r="K60" s="53">
        <v>8600</v>
      </c>
      <c r="L60" s="57"/>
      <c r="M60" s="57"/>
      <c r="N60" s="57"/>
      <c r="O60" s="57"/>
      <c r="P60" s="53">
        <f t="shared" si="1"/>
        <v>8600</v>
      </c>
      <c r="Q60" s="75"/>
      <c r="R60" s="56"/>
      <c r="S60" s="58"/>
      <c r="T60" s="58"/>
      <c r="U60" s="58"/>
      <c r="V60" s="44" t="s">
        <v>47</v>
      </c>
      <c r="W60" s="57"/>
      <c r="X60" s="56">
        <v>46188</v>
      </c>
      <c r="Y60" s="44" t="s">
        <v>63</v>
      </c>
      <c r="Z60" s="44"/>
      <c r="AA60" s="44"/>
      <c r="AB60" s="44" t="s">
        <v>49</v>
      </c>
      <c r="AC60" s="44"/>
      <c r="AD60" s="44" t="s">
        <v>48</v>
      </c>
      <c r="AE60" s="55"/>
      <c r="AF60" s="52"/>
      <c r="AG60" s="52"/>
      <c r="AH60" s="44"/>
      <c r="AI60" s="44"/>
      <c r="AJ60" s="51"/>
      <c r="AK60" s="44"/>
      <c r="AL60" s="52">
        <v>18</v>
      </c>
      <c r="AM60" s="47" t="s">
        <v>50</v>
      </c>
      <c r="AN60" s="44" t="s">
        <v>51</v>
      </c>
      <c r="AO60" s="58"/>
      <c r="AP60" s="57"/>
    </row>
    <row r="61" spans="1:42" s="20" customFormat="1" ht="14.25" customHeight="1" x14ac:dyDescent="0.25">
      <c r="A61" s="43">
        <v>46067</v>
      </c>
      <c r="B61" s="43"/>
      <c r="C61" s="13" t="s">
        <v>52</v>
      </c>
      <c r="D61" s="14" t="s">
        <v>53</v>
      </c>
      <c r="E61" s="98">
        <v>7070</v>
      </c>
      <c r="F61" s="44" t="s">
        <v>54</v>
      </c>
      <c r="G61" s="106">
        <v>77077872</v>
      </c>
      <c r="H61" s="2" t="s">
        <v>363</v>
      </c>
      <c r="I61" s="57"/>
      <c r="J61" s="57"/>
      <c r="K61" s="53">
        <v>6180</v>
      </c>
      <c r="L61" s="57"/>
      <c r="M61" s="57"/>
      <c r="N61" s="57"/>
      <c r="O61" s="57"/>
      <c r="P61" s="53">
        <f t="shared" si="1"/>
        <v>6180</v>
      </c>
      <c r="Q61" s="75"/>
      <c r="R61" s="56"/>
      <c r="S61" s="58"/>
      <c r="T61" s="58"/>
      <c r="U61" s="58"/>
      <c r="V61" s="44" t="s">
        <v>47</v>
      </c>
      <c r="W61" s="57"/>
      <c r="X61" s="56">
        <v>46067</v>
      </c>
      <c r="Y61" s="44" t="s">
        <v>63</v>
      </c>
      <c r="Z61" s="44"/>
      <c r="AA61" s="44"/>
      <c r="AB61" s="44" t="s">
        <v>49</v>
      </c>
      <c r="AC61" s="44"/>
      <c r="AD61" s="44" t="s">
        <v>48</v>
      </c>
      <c r="AE61" s="55"/>
      <c r="AF61" s="52"/>
      <c r="AG61" s="52"/>
      <c r="AH61" s="44"/>
      <c r="AI61" s="44"/>
      <c r="AJ61" s="51"/>
      <c r="AK61" s="44"/>
      <c r="AL61" s="52">
        <v>18</v>
      </c>
      <c r="AM61" s="47" t="s">
        <v>50</v>
      </c>
      <c r="AN61" s="44" t="s">
        <v>51</v>
      </c>
      <c r="AO61" s="58"/>
      <c r="AP61" s="57"/>
    </row>
    <row r="62" spans="1:42" s="41" customFormat="1" ht="14.25" customHeight="1" x14ac:dyDescent="0.25">
      <c r="A62" s="43">
        <v>46067</v>
      </c>
      <c r="B62" s="43"/>
      <c r="C62" s="13" t="s">
        <v>52</v>
      </c>
      <c r="D62" s="14" t="s">
        <v>53</v>
      </c>
      <c r="E62" s="98">
        <v>7071</v>
      </c>
      <c r="F62" s="44" t="s">
        <v>54</v>
      </c>
      <c r="G62" s="106">
        <v>77077872</v>
      </c>
      <c r="H62" s="2" t="s">
        <v>363</v>
      </c>
      <c r="I62" s="52"/>
      <c r="J62" s="52"/>
      <c r="K62" s="53">
        <v>0</v>
      </c>
      <c r="L62" s="52"/>
      <c r="M62" s="52"/>
      <c r="N62" s="52"/>
      <c r="O62" s="52"/>
      <c r="P62" s="53">
        <f t="shared" si="1"/>
        <v>0</v>
      </c>
      <c r="Q62" s="75"/>
      <c r="R62" s="51"/>
      <c r="S62" s="44"/>
      <c r="T62" s="44"/>
      <c r="U62" s="44"/>
      <c r="V62" s="44" t="s">
        <v>47</v>
      </c>
      <c r="W62" s="52"/>
      <c r="X62" s="51">
        <v>46067</v>
      </c>
      <c r="Y62" s="15" t="s">
        <v>61</v>
      </c>
      <c r="Z62" s="26"/>
      <c r="AA62" s="26"/>
      <c r="AB62" s="15" t="s">
        <v>49</v>
      </c>
      <c r="AC62" s="26"/>
      <c r="AD62" s="44" t="s">
        <v>48</v>
      </c>
      <c r="AE62" s="27"/>
      <c r="AF62" s="24"/>
      <c r="AG62" s="24"/>
      <c r="AH62" s="26"/>
      <c r="AI62" s="26"/>
      <c r="AJ62" s="25"/>
      <c r="AK62" s="26"/>
      <c r="AL62" s="17">
        <v>18</v>
      </c>
      <c r="AM62" s="47" t="s">
        <v>64</v>
      </c>
      <c r="AN62" s="44" t="s">
        <v>51</v>
      </c>
      <c r="AO62" s="44"/>
      <c r="AP62" s="52"/>
    </row>
    <row r="63" spans="1:42" s="41" customFormat="1" ht="14.25" customHeight="1" x14ac:dyDescent="0.25">
      <c r="A63" s="43">
        <v>46069</v>
      </c>
      <c r="B63" s="43"/>
      <c r="C63" s="13" t="s">
        <v>52</v>
      </c>
      <c r="D63" s="14" t="s">
        <v>53</v>
      </c>
      <c r="E63" s="98">
        <v>7072</v>
      </c>
      <c r="F63" s="44" t="s">
        <v>54</v>
      </c>
      <c r="G63" s="106">
        <v>46608525</v>
      </c>
      <c r="H63" s="2" t="s">
        <v>364</v>
      </c>
      <c r="I63" s="52"/>
      <c r="J63" s="52"/>
      <c r="K63" s="53">
        <v>8080</v>
      </c>
      <c r="L63" s="52"/>
      <c r="M63" s="52"/>
      <c r="N63" s="52"/>
      <c r="O63" s="52"/>
      <c r="P63" s="53">
        <f t="shared" si="1"/>
        <v>8080</v>
      </c>
      <c r="Q63" s="75"/>
      <c r="R63" s="51"/>
      <c r="S63" s="44"/>
      <c r="T63" s="44"/>
      <c r="U63" s="44"/>
      <c r="V63" s="44" t="s">
        <v>47</v>
      </c>
      <c r="W63" s="52"/>
      <c r="X63" s="51">
        <v>46069</v>
      </c>
      <c r="Y63" s="44" t="s">
        <v>63</v>
      </c>
      <c r="Z63" s="44"/>
      <c r="AA63" s="44"/>
      <c r="AB63" s="44" t="s">
        <v>49</v>
      </c>
      <c r="AC63" s="44"/>
      <c r="AD63" s="44" t="s">
        <v>48</v>
      </c>
      <c r="AE63" s="55"/>
      <c r="AF63" s="52"/>
      <c r="AG63" s="52"/>
      <c r="AH63" s="44"/>
      <c r="AI63" s="44"/>
      <c r="AJ63" s="51"/>
      <c r="AK63" s="44"/>
      <c r="AL63" s="52">
        <v>18</v>
      </c>
      <c r="AM63" s="47" t="s">
        <v>50</v>
      </c>
      <c r="AN63" s="44" t="s">
        <v>51</v>
      </c>
      <c r="AO63" s="44"/>
      <c r="AP63" s="52"/>
    </row>
    <row r="64" spans="1:42" s="20" customFormat="1" ht="14.25" customHeight="1" x14ac:dyDescent="0.25">
      <c r="A64" s="43">
        <v>46069</v>
      </c>
      <c r="B64" s="43"/>
      <c r="C64" s="13" t="s">
        <v>52</v>
      </c>
      <c r="D64" s="14" t="s">
        <v>53</v>
      </c>
      <c r="E64" s="98">
        <v>7073</v>
      </c>
      <c r="F64" s="44" t="s">
        <v>54</v>
      </c>
      <c r="G64" s="106">
        <v>46741077</v>
      </c>
      <c r="H64" s="2" t="s">
        <v>314</v>
      </c>
      <c r="I64" s="57"/>
      <c r="J64" s="57"/>
      <c r="K64" s="53">
        <v>0</v>
      </c>
      <c r="L64" s="57"/>
      <c r="M64" s="57"/>
      <c r="N64" s="57"/>
      <c r="O64" s="57"/>
      <c r="P64" s="53">
        <f t="shared" si="1"/>
        <v>0</v>
      </c>
      <c r="Q64" s="75"/>
      <c r="R64" s="56"/>
      <c r="S64" s="58"/>
      <c r="T64" s="58"/>
      <c r="U64" s="58"/>
      <c r="V64" s="44" t="s">
        <v>47</v>
      </c>
      <c r="W64" s="57"/>
      <c r="X64" s="56">
        <v>46069</v>
      </c>
      <c r="Y64" s="15" t="s">
        <v>61</v>
      </c>
      <c r="Z64" s="26"/>
      <c r="AA64" s="26"/>
      <c r="AB64" s="15" t="s">
        <v>49</v>
      </c>
      <c r="AC64" s="26"/>
      <c r="AD64" s="44" t="s">
        <v>48</v>
      </c>
      <c r="AE64" s="27"/>
      <c r="AF64" s="24"/>
      <c r="AG64" s="24"/>
      <c r="AH64" s="26"/>
      <c r="AI64" s="26"/>
      <c r="AJ64" s="25"/>
      <c r="AK64" s="26"/>
      <c r="AL64" s="17">
        <v>18</v>
      </c>
      <c r="AM64" s="47" t="s">
        <v>64</v>
      </c>
      <c r="AN64" s="44" t="s">
        <v>51</v>
      </c>
      <c r="AO64" s="58"/>
      <c r="AP64" s="57"/>
    </row>
    <row r="65" spans="1:42" s="20" customFormat="1" ht="14.25" customHeight="1" x14ac:dyDescent="0.25">
      <c r="A65" s="43">
        <v>46069</v>
      </c>
      <c r="B65" s="43"/>
      <c r="C65" s="13" t="s">
        <v>52</v>
      </c>
      <c r="D65" s="14" t="s">
        <v>53</v>
      </c>
      <c r="E65" s="98">
        <v>7074</v>
      </c>
      <c r="F65" s="44" t="s">
        <v>54</v>
      </c>
      <c r="G65" s="106">
        <v>44734741</v>
      </c>
      <c r="H65" s="2" t="s">
        <v>315</v>
      </c>
      <c r="I65" s="57"/>
      <c r="J65" s="57"/>
      <c r="K65" s="53">
        <v>6180</v>
      </c>
      <c r="L65" s="57"/>
      <c r="M65" s="57"/>
      <c r="N65" s="57"/>
      <c r="O65" s="57"/>
      <c r="P65" s="53">
        <f t="shared" si="1"/>
        <v>6180</v>
      </c>
      <c r="Q65" s="75"/>
      <c r="R65" s="56"/>
      <c r="S65" s="58"/>
      <c r="T65" s="58"/>
      <c r="U65" s="58"/>
      <c r="V65" s="44" t="s">
        <v>47</v>
      </c>
      <c r="W65" s="57"/>
      <c r="X65" s="56">
        <v>46069</v>
      </c>
      <c r="Y65" s="44" t="s">
        <v>63</v>
      </c>
      <c r="Z65" s="44"/>
      <c r="AA65" s="44"/>
      <c r="AB65" s="44" t="s">
        <v>49</v>
      </c>
      <c r="AC65" s="44"/>
      <c r="AD65" s="44" t="s">
        <v>48</v>
      </c>
      <c r="AE65" s="55"/>
      <c r="AF65" s="52"/>
      <c r="AG65" s="52"/>
      <c r="AH65" s="44"/>
      <c r="AI65" s="44"/>
      <c r="AJ65" s="51"/>
      <c r="AK65" s="44"/>
      <c r="AL65" s="52">
        <v>18</v>
      </c>
      <c r="AM65" s="47" t="s">
        <v>50</v>
      </c>
      <c r="AN65" s="44" t="s">
        <v>51</v>
      </c>
      <c r="AO65" s="58"/>
      <c r="AP65" s="57"/>
    </row>
    <row r="66" spans="1:42" s="20" customFormat="1" ht="14.25" customHeight="1" x14ac:dyDescent="0.25">
      <c r="A66" s="43">
        <v>46069</v>
      </c>
      <c r="B66" s="56"/>
      <c r="C66" s="13" t="s">
        <v>52</v>
      </c>
      <c r="D66" s="14" t="s">
        <v>53</v>
      </c>
      <c r="E66" s="98">
        <v>7075</v>
      </c>
      <c r="F66" s="44" t="s">
        <v>54</v>
      </c>
      <c r="G66" s="106">
        <v>44734741</v>
      </c>
      <c r="H66" s="2" t="s">
        <v>315</v>
      </c>
      <c r="I66" s="57"/>
      <c r="J66" s="57"/>
      <c r="K66" s="53">
        <v>0</v>
      </c>
      <c r="L66" s="57"/>
      <c r="M66" s="57"/>
      <c r="N66" s="57"/>
      <c r="O66" s="57"/>
      <c r="P66" s="53">
        <f t="shared" si="1"/>
        <v>0</v>
      </c>
      <c r="Q66" s="75"/>
      <c r="R66" s="56"/>
      <c r="S66" s="58"/>
      <c r="T66" s="58"/>
      <c r="U66" s="58"/>
      <c r="V66" s="44" t="s">
        <v>47</v>
      </c>
      <c r="W66" s="57"/>
      <c r="X66" s="56">
        <v>46069</v>
      </c>
      <c r="Y66" s="15" t="s">
        <v>61</v>
      </c>
      <c r="Z66" s="26"/>
      <c r="AA66" s="26"/>
      <c r="AB66" s="15" t="s">
        <v>49</v>
      </c>
      <c r="AC66" s="26"/>
      <c r="AD66" s="44" t="s">
        <v>48</v>
      </c>
      <c r="AE66" s="27"/>
      <c r="AF66" s="24"/>
      <c r="AG66" s="24"/>
      <c r="AH66" s="26"/>
      <c r="AI66" s="26"/>
      <c r="AJ66" s="25"/>
      <c r="AK66" s="26"/>
      <c r="AL66" s="17">
        <v>18</v>
      </c>
      <c r="AM66" s="47" t="s">
        <v>64</v>
      </c>
      <c r="AN66" s="44" t="s">
        <v>51</v>
      </c>
      <c r="AO66" s="58"/>
      <c r="AP66" s="57"/>
    </row>
    <row r="67" spans="1:42" s="20" customFormat="1" ht="14.25" customHeight="1" x14ac:dyDescent="0.25">
      <c r="A67" s="43">
        <v>46069</v>
      </c>
      <c r="B67" s="43"/>
      <c r="C67" s="13" t="s">
        <v>52</v>
      </c>
      <c r="D67" s="14" t="s">
        <v>53</v>
      </c>
      <c r="E67" s="98">
        <v>7076</v>
      </c>
      <c r="F67" s="44" t="s">
        <v>54</v>
      </c>
      <c r="G67" s="106">
        <v>75557660</v>
      </c>
      <c r="H67" s="2" t="s">
        <v>316</v>
      </c>
      <c r="I67" s="57"/>
      <c r="J67" s="57"/>
      <c r="K67" s="53">
        <v>5980</v>
      </c>
      <c r="L67" s="57"/>
      <c r="M67" s="57"/>
      <c r="N67" s="57"/>
      <c r="O67" s="57"/>
      <c r="P67" s="53">
        <f t="shared" si="1"/>
        <v>5980</v>
      </c>
      <c r="Q67" s="75"/>
      <c r="R67" s="56"/>
      <c r="S67" s="58"/>
      <c r="T67" s="58"/>
      <c r="U67" s="58"/>
      <c r="V67" s="44" t="s">
        <v>47</v>
      </c>
      <c r="W67" s="57"/>
      <c r="X67" s="56">
        <v>46069</v>
      </c>
      <c r="Y67" s="44" t="s">
        <v>63</v>
      </c>
      <c r="Z67" s="44"/>
      <c r="AA67" s="44"/>
      <c r="AB67" s="44" t="s">
        <v>49</v>
      </c>
      <c r="AC67" s="44"/>
      <c r="AD67" s="44" t="s">
        <v>48</v>
      </c>
      <c r="AE67" s="55"/>
      <c r="AF67" s="52"/>
      <c r="AG67" s="52"/>
      <c r="AH67" s="44"/>
      <c r="AI67" s="44"/>
      <c r="AJ67" s="51"/>
      <c r="AK67" s="44"/>
      <c r="AL67" s="52">
        <v>18</v>
      </c>
      <c r="AM67" s="47" t="s">
        <v>50</v>
      </c>
      <c r="AN67" s="44" t="s">
        <v>51</v>
      </c>
      <c r="AO67" s="58"/>
      <c r="AP67" s="57"/>
    </row>
    <row r="68" spans="1:42" s="20" customFormat="1" ht="14.25" customHeight="1" x14ac:dyDescent="0.25">
      <c r="A68" s="43">
        <v>46069</v>
      </c>
      <c r="B68" s="56"/>
      <c r="C68" s="13" t="s">
        <v>52</v>
      </c>
      <c r="D68" s="14" t="s">
        <v>53</v>
      </c>
      <c r="E68" s="98">
        <v>7077</v>
      </c>
      <c r="F68" s="44" t="s">
        <v>54</v>
      </c>
      <c r="G68" s="106">
        <v>75557660</v>
      </c>
      <c r="H68" s="2" t="s">
        <v>316</v>
      </c>
      <c r="I68" s="57"/>
      <c r="J68" s="57"/>
      <c r="K68" s="53">
        <v>0</v>
      </c>
      <c r="L68" s="57"/>
      <c r="M68" s="57"/>
      <c r="N68" s="57"/>
      <c r="O68" s="57"/>
      <c r="P68" s="53">
        <f t="shared" si="1"/>
        <v>0</v>
      </c>
      <c r="Q68" s="75"/>
      <c r="R68" s="56"/>
      <c r="S68" s="58"/>
      <c r="T68" s="58"/>
      <c r="U68" s="58"/>
      <c r="V68" s="44" t="s">
        <v>47</v>
      </c>
      <c r="W68" s="57"/>
      <c r="X68" s="56">
        <v>46069</v>
      </c>
      <c r="Y68" s="15" t="s">
        <v>61</v>
      </c>
      <c r="Z68" s="26"/>
      <c r="AA68" s="26"/>
      <c r="AB68" s="15" t="s">
        <v>49</v>
      </c>
      <c r="AC68" s="26"/>
      <c r="AD68" s="44" t="s">
        <v>48</v>
      </c>
      <c r="AE68" s="27"/>
      <c r="AF68" s="24"/>
      <c r="AG68" s="24"/>
      <c r="AH68" s="26"/>
      <c r="AI68" s="26"/>
      <c r="AJ68" s="25"/>
      <c r="AK68" s="26"/>
      <c r="AL68" s="17">
        <v>18</v>
      </c>
      <c r="AM68" s="47" t="s">
        <v>64</v>
      </c>
      <c r="AN68" s="44" t="s">
        <v>51</v>
      </c>
      <c r="AO68" s="58"/>
      <c r="AP68" s="57"/>
    </row>
    <row r="69" spans="1:42" s="20" customFormat="1" ht="14.25" customHeight="1" x14ac:dyDescent="0.25">
      <c r="A69" s="43">
        <v>46069</v>
      </c>
      <c r="B69" s="43"/>
      <c r="C69" s="13" t="s">
        <v>52</v>
      </c>
      <c r="D69" s="14" t="s">
        <v>53</v>
      </c>
      <c r="E69" s="98">
        <v>7078</v>
      </c>
      <c r="F69" s="44" t="s">
        <v>54</v>
      </c>
      <c r="G69" s="106">
        <v>47842568</v>
      </c>
      <c r="H69" s="2" t="s">
        <v>317</v>
      </c>
      <c r="I69" s="57"/>
      <c r="J69" s="57"/>
      <c r="K69" s="53">
        <v>0</v>
      </c>
      <c r="L69" s="57"/>
      <c r="M69" s="57"/>
      <c r="N69" s="57"/>
      <c r="O69" s="57"/>
      <c r="P69" s="53">
        <f t="shared" si="1"/>
        <v>0</v>
      </c>
      <c r="Q69" s="75"/>
      <c r="R69" s="56"/>
      <c r="S69" s="58"/>
      <c r="T69" s="58"/>
      <c r="U69" s="58"/>
      <c r="V69" s="44" t="s">
        <v>47</v>
      </c>
      <c r="W69" s="57"/>
      <c r="X69" s="56">
        <v>46069</v>
      </c>
      <c r="Y69" s="15" t="s">
        <v>61</v>
      </c>
      <c r="Z69" s="26"/>
      <c r="AA69" s="26"/>
      <c r="AB69" s="15" t="s">
        <v>49</v>
      </c>
      <c r="AC69" s="26"/>
      <c r="AD69" s="44" t="s">
        <v>48</v>
      </c>
      <c r="AE69" s="27"/>
      <c r="AF69" s="24"/>
      <c r="AG69" s="24"/>
      <c r="AH69" s="26"/>
      <c r="AI69" s="26"/>
      <c r="AJ69" s="25"/>
      <c r="AK69" s="26"/>
      <c r="AL69" s="17">
        <v>18</v>
      </c>
      <c r="AM69" s="47" t="s">
        <v>64</v>
      </c>
      <c r="AN69" s="44" t="s">
        <v>51</v>
      </c>
      <c r="AO69" s="58"/>
      <c r="AP69" s="57"/>
    </row>
    <row r="70" spans="1:42" s="20" customFormat="1" ht="14.25" customHeight="1" x14ac:dyDescent="0.25">
      <c r="A70" s="43">
        <v>46069</v>
      </c>
      <c r="B70" s="43"/>
      <c r="C70" s="13" t="s">
        <v>52</v>
      </c>
      <c r="D70" s="14" t="s">
        <v>53</v>
      </c>
      <c r="E70" s="98">
        <v>7079</v>
      </c>
      <c r="F70" s="44" t="s">
        <v>54</v>
      </c>
      <c r="G70" s="106">
        <v>60845168</v>
      </c>
      <c r="H70" s="2" t="s">
        <v>318</v>
      </c>
      <c r="I70" s="57"/>
      <c r="J70" s="57"/>
      <c r="K70" s="53">
        <v>8080</v>
      </c>
      <c r="L70" s="57"/>
      <c r="M70" s="57"/>
      <c r="N70" s="57"/>
      <c r="O70" s="57"/>
      <c r="P70" s="53">
        <f t="shared" si="1"/>
        <v>8080</v>
      </c>
      <c r="Q70" s="75"/>
      <c r="R70" s="56"/>
      <c r="S70" s="58"/>
      <c r="T70" s="58"/>
      <c r="U70" s="58"/>
      <c r="V70" s="44" t="s">
        <v>47</v>
      </c>
      <c r="W70" s="57"/>
      <c r="X70" s="56">
        <v>46069</v>
      </c>
      <c r="Y70" s="44" t="s">
        <v>63</v>
      </c>
      <c r="Z70" s="44"/>
      <c r="AA70" s="44"/>
      <c r="AB70" s="44" t="s">
        <v>49</v>
      </c>
      <c r="AC70" s="44"/>
      <c r="AD70" s="44" t="s">
        <v>48</v>
      </c>
      <c r="AE70" s="55"/>
      <c r="AF70" s="52"/>
      <c r="AG70" s="52"/>
      <c r="AH70" s="44"/>
      <c r="AI70" s="44"/>
      <c r="AJ70" s="51"/>
      <c r="AK70" s="44"/>
      <c r="AL70" s="52">
        <v>18</v>
      </c>
      <c r="AM70" s="47" t="s">
        <v>50</v>
      </c>
      <c r="AN70" s="44" t="s">
        <v>51</v>
      </c>
      <c r="AO70" s="58"/>
      <c r="AP70" s="57"/>
    </row>
    <row r="71" spans="1:42" s="20" customFormat="1" ht="14.25" customHeight="1" x14ac:dyDescent="0.25">
      <c r="A71" s="43">
        <v>46069</v>
      </c>
      <c r="B71" s="43"/>
      <c r="C71" s="13" t="s">
        <v>52</v>
      </c>
      <c r="D71" s="14" t="s">
        <v>53</v>
      </c>
      <c r="E71" s="98">
        <v>7080</v>
      </c>
      <c r="F71" s="44" t="s">
        <v>54</v>
      </c>
      <c r="G71" s="106">
        <v>71717364</v>
      </c>
      <c r="H71" s="2" t="s">
        <v>365</v>
      </c>
      <c r="I71" s="57"/>
      <c r="J71" s="57"/>
      <c r="K71" s="53">
        <v>5980</v>
      </c>
      <c r="L71" s="57"/>
      <c r="M71" s="57"/>
      <c r="N71" s="57"/>
      <c r="O71" s="57"/>
      <c r="P71" s="53">
        <f t="shared" si="1"/>
        <v>5980</v>
      </c>
      <c r="Q71" s="75"/>
      <c r="R71" s="56"/>
      <c r="S71" s="58"/>
      <c r="T71" s="58"/>
      <c r="U71" s="58"/>
      <c r="V71" s="44" t="s">
        <v>47</v>
      </c>
      <c r="W71" s="57"/>
      <c r="X71" s="56">
        <v>46069</v>
      </c>
      <c r="Y71" s="44" t="s">
        <v>63</v>
      </c>
      <c r="Z71" s="44"/>
      <c r="AA71" s="44"/>
      <c r="AB71" s="44" t="s">
        <v>49</v>
      </c>
      <c r="AC71" s="44"/>
      <c r="AD71" s="44" t="s">
        <v>48</v>
      </c>
      <c r="AE71" s="55"/>
      <c r="AF71" s="52"/>
      <c r="AG71" s="52"/>
      <c r="AH71" s="44"/>
      <c r="AI71" s="44"/>
      <c r="AJ71" s="51"/>
      <c r="AK71" s="44"/>
      <c r="AL71" s="52">
        <v>18</v>
      </c>
      <c r="AM71" s="47" t="s">
        <v>50</v>
      </c>
      <c r="AN71" s="44" t="s">
        <v>51</v>
      </c>
      <c r="AO71" s="58"/>
      <c r="AP71" s="57"/>
    </row>
    <row r="72" spans="1:42" s="20" customFormat="1" ht="14.25" customHeight="1" x14ac:dyDescent="0.25">
      <c r="A72" s="43">
        <v>46069</v>
      </c>
      <c r="B72" s="43"/>
      <c r="C72" s="13" t="s">
        <v>52</v>
      </c>
      <c r="D72" s="14" t="s">
        <v>53</v>
      </c>
      <c r="E72" s="98">
        <v>7081</v>
      </c>
      <c r="F72" s="44" t="s">
        <v>54</v>
      </c>
      <c r="G72" s="106">
        <v>71717364</v>
      </c>
      <c r="H72" s="2" t="s">
        <v>365</v>
      </c>
      <c r="I72" s="45"/>
      <c r="J72" s="57"/>
      <c r="K72" s="53">
        <v>0</v>
      </c>
      <c r="L72" s="57"/>
      <c r="M72" s="57"/>
      <c r="N72" s="57"/>
      <c r="O72" s="57"/>
      <c r="P72" s="53">
        <f t="shared" si="1"/>
        <v>0</v>
      </c>
      <c r="Q72" s="75"/>
      <c r="R72" s="56"/>
      <c r="S72" s="58"/>
      <c r="T72" s="58"/>
      <c r="U72" s="58"/>
      <c r="V72" s="44" t="s">
        <v>47</v>
      </c>
      <c r="W72" s="57"/>
      <c r="X72" s="56">
        <v>46069</v>
      </c>
      <c r="Y72" s="15" t="s">
        <v>61</v>
      </c>
      <c r="Z72" s="26"/>
      <c r="AA72" s="26"/>
      <c r="AB72" s="15" t="s">
        <v>49</v>
      </c>
      <c r="AC72" s="26"/>
      <c r="AD72" s="44" t="s">
        <v>48</v>
      </c>
      <c r="AE72" s="27"/>
      <c r="AF72" s="24"/>
      <c r="AG72" s="24"/>
      <c r="AH72" s="26"/>
      <c r="AI72" s="26"/>
      <c r="AJ72" s="25"/>
      <c r="AK72" s="26"/>
      <c r="AL72" s="17">
        <v>18</v>
      </c>
      <c r="AM72" s="47" t="s">
        <v>64</v>
      </c>
      <c r="AN72" s="44" t="s">
        <v>51</v>
      </c>
      <c r="AO72" s="58"/>
      <c r="AP72" s="57"/>
    </row>
    <row r="73" spans="1:42" s="20" customFormat="1" ht="14.25" customHeight="1" x14ac:dyDescent="0.25">
      <c r="A73" s="43">
        <v>46070</v>
      </c>
      <c r="B73" s="43"/>
      <c r="C73" s="13" t="s">
        <v>52</v>
      </c>
      <c r="D73" s="14" t="s">
        <v>53</v>
      </c>
      <c r="E73" s="98">
        <v>7082</v>
      </c>
      <c r="F73" s="44" t="s">
        <v>54</v>
      </c>
      <c r="G73" s="106">
        <v>74550169</v>
      </c>
      <c r="H73" s="2" t="s">
        <v>366</v>
      </c>
      <c r="I73" s="57"/>
      <c r="J73" s="96"/>
      <c r="K73" s="53">
        <v>10230</v>
      </c>
      <c r="L73" s="57"/>
      <c r="M73" s="57"/>
      <c r="N73" s="57"/>
      <c r="O73" s="57"/>
      <c r="P73" s="53">
        <f t="shared" si="1"/>
        <v>10230</v>
      </c>
      <c r="Q73" s="75"/>
      <c r="R73" s="56"/>
      <c r="S73" s="58"/>
      <c r="T73" s="58"/>
      <c r="U73" s="58"/>
      <c r="V73" s="44" t="s">
        <v>47</v>
      </c>
      <c r="W73" s="57"/>
      <c r="X73" s="56">
        <v>46070</v>
      </c>
      <c r="Y73" s="44" t="s">
        <v>63</v>
      </c>
      <c r="Z73" s="44"/>
      <c r="AA73" s="44"/>
      <c r="AB73" s="44" t="s">
        <v>49</v>
      </c>
      <c r="AC73" s="44"/>
      <c r="AD73" s="44" t="s">
        <v>48</v>
      </c>
      <c r="AE73" s="55"/>
      <c r="AF73" s="52"/>
      <c r="AG73" s="52"/>
      <c r="AH73" s="44"/>
      <c r="AI73" s="44"/>
      <c r="AJ73" s="51"/>
      <c r="AK73" s="44"/>
      <c r="AL73" s="52">
        <v>18</v>
      </c>
      <c r="AM73" s="47" t="s">
        <v>50</v>
      </c>
      <c r="AN73" s="44" t="s">
        <v>51</v>
      </c>
      <c r="AO73" s="58"/>
      <c r="AP73" s="57"/>
    </row>
    <row r="74" spans="1:42" s="20" customFormat="1" ht="14.25" customHeight="1" x14ac:dyDescent="0.25">
      <c r="A74" s="43">
        <v>46070</v>
      </c>
      <c r="B74" s="43"/>
      <c r="C74" s="13" t="s">
        <v>52</v>
      </c>
      <c r="D74" s="14" t="s">
        <v>53</v>
      </c>
      <c r="E74" s="98">
        <v>7083</v>
      </c>
      <c r="F74" s="44" t="s">
        <v>54</v>
      </c>
      <c r="G74" s="106">
        <v>74550169</v>
      </c>
      <c r="H74" s="2" t="s">
        <v>366</v>
      </c>
      <c r="I74" s="57"/>
      <c r="J74" s="57"/>
      <c r="K74" s="53">
        <v>0</v>
      </c>
      <c r="L74" s="57"/>
      <c r="M74" s="57"/>
      <c r="N74" s="57"/>
      <c r="O74" s="57"/>
      <c r="P74" s="53">
        <f t="shared" si="1"/>
        <v>0</v>
      </c>
      <c r="Q74" s="75"/>
      <c r="R74" s="56"/>
      <c r="S74" s="58"/>
      <c r="T74" s="58"/>
      <c r="U74" s="58"/>
      <c r="V74" s="44" t="s">
        <v>47</v>
      </c>
      <c r="W74" s="57"/>
      <c r="X74" s="56">
        <v>46070</v>
      </c>
      <c r="Y74" s="15" t="s">
        <v>61</v>
      </c>
      <c r="Z74" s="26"/>
      <c r="AA74" s="26"/>
      <c r="AB74" s="15" t="s">
        <v>49</v>
      </c>
      <c r="AC74" s="26"/>
      <c r="AD74" s="44" t="s">
        <v>48</v>
      </c>
      <c r="AE74" s="27"/>
      <c r="AF74" s="24"/>
      <c r="AG74" s="24"/>
      <c r="AH74" s="26"/>
      <c r="AI74" s="26"/>
      <c r="AJ74" s="25"/>
      <c r="AK74" s="26"/>
      <c r="AL74" s="17">
        <v>18</v>
      </c>
      <c r="AM74" s="47" t="s">
        <v>64</v>
      </c>
      <c r="AN74" s="44" t="s">
        <v>51</v>
      </c>
      <c r="AO74" s="58"/>
      <c r="AP74" s="57"/>
    </row>
    <row r="75" spans="1:42" s="20" customFormat="1" ht="14.25" customHeight="1" x14ac:dyDescent="0.25">
      <c r="A75" s="43">
        <v>46070</v>
      </c>
      <c r="B75" s="43"/>
      <c r="C75" s="13" t="s">
        <v>52</v>
      </c>
      <c r="D75" s="14" t="s">
        <v>53</v>
      </c>
      <c r="E75" s="98">
        <v>7084</v>
      </c>
      <c r="F75" s="44" t="s">
        <v>54</v>
      </c>
      <c r="G75" s="106">
        <v>43212873</v>
      </c>
      <c r="H75" s="2" t="s">
        <v>319</v>
      </c>
      <c r="I75" s="57"/>
      <c r="J75" s="57"/>
      <c r="K75" s="53">
        <v>8080</v>
      </c>
      <c r="L75" s="57"/>
      <c r="M75" s="57"/>
      <c r="N75" s="57"/>
      <c r="O75" s="57"/>
      <c r="P75" s="53">
        <f t="shared" si="1"/>
        <v>8080</v>
      </c>
      <c r="Q75" s="75"/>
      <c r="R75" s="56"/>
      <c r="S75" s="58"/>
      <c r="T75" s="58"/>
      <c r="U75" s="58"/>
      <c r="V75" s="44" t="s">
        <v>47</v>
      </c>
      <c r="W75" s="57"/>
      <c r="X75" s="56">
        <v>46070</v>
      </c>
      <c r="Y75" s="44" t="s">
        <v>63</v>
      </c>
      <c r="Z75" s="44"/>
      <c r="AA75" s="44"/>
      <c r="AB75" s="44" t="s">
        <v>49</v>
      </c>
      <c r="AC75" s="44"/>
      <c r="AD75" s="44" t="s">
        <v>48</v>
      </c>
      <c r="AE75" s="55"/>
      <c r="AF75" s="52"/>
      <c r="AG75" s="52"/>
      <c r="AH75" s="44"/>
      <c r="AI75" s="44"/>
      <c r="AJ75" s="51"/>
      <c r="AK75" s="44"/>
      <c r="AL75" s="52">
        <v>18</v>
      </c>
      <c r="AM75" s="47" t="s">
        <v>50</v>
      </c>
      <c r="AN75" s="44" t="s">
        <v>51</v>
      </c>
      <c r="AO75" s="58"/>
      <c r="AP75" s="57"/>
    </row>
    <row r="76" spans="1:42" s="20" customFormat="1" ht="14.25" customHeight="1" x14ac:dyDescent="0.25">
      <c r="A76" s="43">
        <v>46071</v>
      </c>
      <c r="B76" s="43"/>
      <c r="C76" s="13" t="s">
        <v>52</v>
      </c>
      <c r="D76" s="14" t="s">
        <v>53</v>
      </c>
      <c r="E76" s="98">
        <v>7085</v>
      </c>
      <c r="F76" s="44" t="s">
        <v>54</v>
      </c>
      <c r="G76" s="106">
        <v>60230057</v>
      </c>
      <c r="H76" s="2" t="s">
        <v>367</v>
      </c>
      <c r="I76" s="57"/>
      <c r="J76" s="57"/>
      <c r="K76" s="53">
        <v>8080</v>
      </c>
      <c r="L76" s="57"/>
      <c r="M76" s="57"/>
      <c r="N76" s="57"/>
      <c r="O76" s="57"/>
      <c r="P76" s="53">
        <f t="shared" si="1"/>
        <v>8080</v>
      </c>
      <c r="Q76" s="75"/>
      <c r="R76" s="56"/>
      <c r="S76" s="58"/>
      <c r="T76" s="58"/>
      <c r="U76" s="58"/>
      <c r="V76" s="44" t="s">
        <v>47</v>
      </c>
      <c r="W76" s="57"/>
      <c r="X76" s="56">
        <v>46071</v>
      </c>
      <c r="Y76" s="44" t="s">
        <v>63</v>
      </c>
      <c r="Z76" s="44"/>
      <c r="AA76" s="44"/>
      <c r="AB76" s="44" t="s">
        <v>49</v>
      </c>
      <c r="AC76" s="44"/>
      <c r="AD76" s="44" t="s">
        <v>48</v>
      </c>
      <c r="AE76" s="55"/>
      <c r="AF76" s="52"/>
      <c r="AG76" s="52"/>
      <c r="AH76" s="44"/>
      <c r="AI76" s="44"/>
      <c r="AJ76" s="51"/>
      <c r="AK76" s="44"/>
      <c r="AL76" s="52">
        <v>18</v>
      </c>
      <c r="AM76" s="47" t="s">
        <v>50</v>
      </c>
      <c r="AN76" s="44" t="s">
        <v>51</v>
      </c>
      <c r="AO76" s="58"/>
      <c r="AP76" s="57"/>
    </row>
    <row r="77" spans="1:42" s="20" customFormat="1" ht="14.25" customHeight="1" x14ac:dyDescent="0.25">
      <c r="A77" s="43">
        <v>46071</v>
      </c>
      <c r="B77" s="43"/>
      <c r="C77" s="13" t="s">
        <v>52</v>
      </c>
      <c r="D77" s="14" t="s">
        <v>53</v>
      </c>
      <c r="E77" s="98">
        <v>7086</v>
      </c>
      <c r="F77" s="44" t="s">
        <v>54</v>
      </c>
      <c r="G77" s="106">
        <v>41154783</v>
      </c>
      <c r="H77" s="2" t="s">
        <v>320</v>
      </c>
      <c r="I77" s="57"/>
      <c r="J77" s="57"/>
      <c r="K77" s="53">
        <v>5380</v>
      </c>
      <c r="L77" s="57"/>
      <c r="M77" s="57"/>
      <c r="N77" s="57"/>
      <c r="O77" s="57"/>
      <c r="P77" s="53">
        <f t="shared" si="1"/>
        <v>5380</v>
      </c>
      <c r="Q77" s="75"/>
      <c r="R77" s="56"/>
      <c r="S77" s="58"/>
      <c r="T77" s="58"/>
      <c r="U77" s="58"/>
      <c r="V77" s="44" t="s">
        <v>47</v>
      </c>
      <c r="W77" s="57"/>
      <c r="X77" s="56">
        <v>46071</v>
      </c>
      <c r="Y77" s="44" t="s">
        <v>63</v>
      </c>
      <c r="Z77" s="44"/>
      <c r="AA77" s="44"/>
      <c r="AB77" s="44" t="s">
        <v>49</v>
      </c>
      <c r="AC77" s="44"/>
      <c r="AD77" s="44" t="s">
        <v>48</v>
      </c>
      <c r="AE77" s="55"/>
      <c r="AF77" s="52"/>
      <c r="AG77" s="52"/>
      <c r="AH77" s="44"/>
      <c r="AI77" s="44"/>
      <c r="AJ77" s="51"/>
      <c r="AK77" s="44"/>
      <c r="AL77" s="52">
        <v>18</v>
      </c>
      <c r="AM77" s="47" t="s">
        <v>50</v>
      </c>
      <c r="AN77" s="44" t="s">
        <v>51</v>
      </c>
      <c r="AO77" s="58"/>
      <c r="AP77" s="57"/>
    </row>
    <row r="78" spans="1:42" s="20" customFormat="1" ht="14.25" customHeight="1" x14ac:dyDescent="0.25">
      <c r="A78" s="43">
        <v>46071</v>
      </c>
      <c r="B78" s="43"/>
      <c r="C78" s="13" t="s">
        <v>52</v>
      </c>
      <c r="D78" s="14" t="s">
        <v>53</v>
      </c>
      <c r="E78" s="98">
        <v>7087</v>
      </c>
      <c r="F78" s="44" t="s">
        <v>54</v>
      </c>
      <c r="G78" s="106">
        <v>41154783</v>
      </c>
      <c r="H78" s="2" t="s">
        <v>320</v>
      </c>
      <c r="I78" s="57"/>
      <c r="J78" s="57"/>
      <c r="K78" s="53">
        <v>0</v>
      </c>
      <c r="L78" s="57"/>
      <c r="M78" s="57"/>
      <c r="N78" s="57"/>
      <c r="O78" s="57"/>
      <c r="P78" s="53">
        <f t="shared" si="1"/>
        <v>0</v>
      </c>
      <c r="Q78" s="75"/>
      <c r="R78" s="56"/>
      <c r="S78" s="58"/>
      <c r="T78" s="58"/>
      <c r="U78" s="58"/>
      <c r="V78" s="44" t="s">
        <v>47</v>
      </c>
      <c r="W78" s="57"/>
      <c r="X78" s="56">
        <v>46071</v>
      </c>
      <c r="Y78" s="15" t="s">
        <v>61</v>
      </c>
      <c r="Z78" s="26"/>
      <c r="AA78" s="26"/>
      <c r="AB78" s="15" t="s">
        <v>49</v>
      </c>
      <c r="AC78" s="26"/>
      <c r="AD78" s="44" t="s">
        <v>48</v>
      </c>
      <c r="AE78" s="27"/>
      <c r="AF78" s="24"/>
      <c r="AG78" s="24"/>
      <c r="AH78" s="26"/>
      <c r="AI78" s="26"/>
      <c r="AJ78" s="25"/>
      <c r="AK78" s="26"/>
      <c r="AL78" s="17">
        <v>18</v>
      </c>
      <c r="AM78" s="47" t="s">
        <v>64</v>
      </c>
      <c r="AN78" s="44" t="s">
        <v>51</v>
      </c>
      <c r="AO78" s="58"/>
      <c r="AP78" s="57"/>
    </row>
    <row r="79" spans="1:42" s="20" customFormat="1" ht="14.25" customHeight="1" x14ac:dyDescent="0.25">
      <c r="A79" s="43">
        <v>46071</v>
      </c>
      <c r="B79" s="43"/>
      <c r="C79" s="13" t="s">
        <v>52</v>
      </c>
      <c r="D79" s="14" t="s">
        <v>53</v>
      </c>
      <c r="E79" s="98">
        <v>7088</v>
      </c>
      <c r="F79" s="44" t="s">
        <v>54</v>
      </c>
      <c r="G79" s="106">
        <v>47068437</v>
      </c>
      <c r="H79" s="2" t="s">
        <v>321</v>
      </c>
      <c r="I79" s="57"/>
      <c r="J79" s="57"/>
      <c r="K79" s="53">
        <v>15680</v>
      </c>
      <c r="L79" s="57"/>
      <c r="M79" s="57"/>
      <c r="N79" s="57"/>
      <c r="O79" s="57"/>
      <c r="P79" s="53">
        <f t="shared" si="1"/>
        <v>15680</v>
      </c>
      <c r="Q79" s="75"/>
      <c r="R79" s="56"/>
      <c r="S79" s="58"/>
      <c r="T79" s="58"/>
      <c r="U79" s="58"/>
      <c r="V79" s="44" t="s">
        <v>47</v>
      </c>
      <c r="W79" s="57"/>
      <c r="X79" s="56">
        <v>46071</v>
      </c>
      <c r="Y79" s="44" t="s">
        <v>63</v>
      </c>
      <c r="Z79" s="44"/>
      <c r="AA79" s="44"/>
      <c r="AB79" s="44" t="s">
        <v>49</v>
      </c>
      <c r="AC79" s="44"/>
      <c r="AD79" s="44" t="s">
        <v>48</v>
      </c>
      <c r="AE79" s="55"/>
      <c r="AF79" s="52"/>
      <c r="AG79" s="52"/>
      <c r="AH79" s="44"/>
      <c r="AI79" s="44"/>
      <c r="AJ79" s="51"/>
      <c r="AK79" s="44"/>
      <c r="AL79" s="52">
        <v>18</v>
      </c>
      <c r="AM79" s="47" t="s">
        <v>50</v>
      </c>
      <c r="AN79" s="44" t="s">
        <v>51</v>
      </c>
      <c r="AO79" s="58"/>
      <c r="AP79" s="57"/>
    </row>
    <row r="80" spans="1:42" s="20" customFormat="1" ht="14.25" customHeight="1" x14ac:dyDescent="0.25">
      <c r="A80" s="43">
        <v>46072</v>
      </c>
      <c r="B80" s="56"/>
      <c r="C80" s="13" t="s">
        <v>52</v>
      </c>
      <c r="D80" s="14" t="s">
        <v>53</v>
      </c>
      <c r="E80" s="98">
        <v>7089</v>
      </c>
      <c r="F80" s="44" t="s">
        <v>54</v>
      </c>
      <c r="G80" s="106">
        <v>20996923</v>
      </c>
      <c r="H80" s="2" t="s">
        <v>322</v>
      </c>
      <c r="I80" s="57"/>
      <c r="J80" s="57"/>
      <c r="K80" s="53">
        <v>5280</v>
      </c>
      <c r="L80" s="57"/>
      <c r="M80" s="57"/>
      <c r="N80" s="57"/>
      <c r="O80" s="57"/>
      <c r="P80" s="53">
        <f t="shared" si="1"/>
        <v>5280</v>
      </c>
      <c r="Q80" s="75"/>
      <c r="R80" s="56"/>
      <c r="S80" s="58"/>
      <c r="T80" s="58"/>
      <c r="U80" s="58"/>
      <c r="V80" s="44" t="s">
        <v>47</v>
      </c>
      <c r="W80" s="57"/>
      <c r="X80" s="56">
        <v>46072</v>
      </c>
      <c r="Y80" s="44" t="s">
        <v>63</v>
      </c>
      <c r="Z80" s="44"/>
      <c r="AA80" s="44"/>
      <c r="AB80" s="44" t="s">
        <v>49</v>
      </c>
      <c r="AC80" s="44"/>
      <c r="AD80" s="44" t="s">
        <v>48</v>
      </c>
      <c r="AE80" s="55"/>
      <c r="AF80" s="52"/>
      <c r="AG80" s="52"/>
      <c r="AH80" s="44"/>
      <c r="AI80" s="44"/>
      <c r="AJ80" s="51"/>
      <c r="AK80" s="44"/>
      <c r="AL80" s="52">
        <v>18</v>
      </c>
      <c r="AM80" s="47" t="s">
        <v>50</v>
      </c>
      <c r="AN80" s="44" t="s">
        <v>51</v>
      </c>
      <c r="AO80" s="58"/>
      <c r="AP80" s="57"/>
    </row>
    <row r="81" spans="1:42" s="20" customFormat="1" ht="14.25" customHeight="1" x14ac:dyDescent="0.25">
      <c r="A81" s="43">
        <v>46072</v>
      </c>
      <c r="B81" s="43"/>
      <c r="C81" s="13" t="s">
        <v>52</v>
      </c>
      <c r="D81" s="14" t="s">
        <v>53</v>
      </c>
      <c r="E81" s="98">
        <v>7090</v>
      </c>
      <c r="F81" s="44" t="s">
        <v>54</v>
      </c>
      <c r="G81" s="106">
        <v>20996923</v>
      </c>
      <c r="H81" s="2" t="s">
        <v>322</v>
      </c>
      <c r="I81" s="57"/>
      <c r="J81" s="57"/>
      <c r="K81" s="53">
        <v>0</v>
      </c>
      <c r="L81" s="57"/>
      <c r="M81" s="57"/>
      <c r="N81" s="57"/>
      <c r="O81" s="57"/>
      <c r="P81" s="53">
        <f t="shared" si="1"/>
        <v>0</v>
      </c>
      <c r="Q81" s="75"/>
      <c r="R81" s="56"/>
      <c r="S81" s="58"/>
      <c r="T81" s="58"/>
      <c r="U81" s="58"/>
      <c r="V81" s="44" t="s">
        <v>47</v>
      </c>
      <c r="W81" s="57"/>
      <c r="X81" s="56">
        <v>46072</v>
      </c>
      <c r="Y81" s="15" t="s">
        <v>61</v>
      </c>
      <c r="Z81" s="26"/>
      <c r="AA81" s="26"/>
      <c r="AB81" s="15" t="s">
        <v>49</v>
      </c>
      <c r="AC81" s="26"/>
      <c r="AD81" s="44" t="s">
        <v>48</v>
      </c>
      <c r="AE81" s="27"/>
      <c r="AF81" s="24"/>
      <c r="AG81" s="24"/>
      <c r="AH81" s="26"/>
      <c r="AI81" s="26"/>
      <c r="AJ81" s="25"/>
      <c r="AK81" s="26"/>
      <c r="AL81" s="17">
        <v>18</v>
      </c>
      <c r="AM81" s="47" t="s">
        <v>64</v>
      </c>
      <c r="AN81" s="44" t="s">
        <v>51</v>
      </c>
      <c r="AO81" s="58"/>
      <c r="AP81" s="57"/>
    </row>
    <row r="82" spans="1:42" s="20" customFormat="1" ht="14.25" customHeight="1" x14ac:dyDescent="0.25">
      <c r="A82" s="43">
        <v>46073</v>
      </c>
      <c r="B82" s="43"/>
      <c r="C82" s="13" t="s">
        <v>52</v>
      </c>
      <c r="D82" s="14" t="s">
        <v>53</v>
      </c>
      <c r="E82" s="98">
        <v>7091</v>
      </c>
      <c r="F82" s="44" t="s">
        <v>54</v>
      </c>
      <c r="G82" s="106">
        <v>73125841</v>
      </c>
      <c r="H82" s="2" t="s">
        <v>323</v>
      </c>
      <c r="I82" s="57"/>
      <c r="J82" s="57"/>
      <c r="K82" s="53">
        <v>7780</v>
      </c>
      <c r="L82" s="57"/>
      <c r="M82" s="57"/>
      <c r="N82" s="57"/>
      <c r="O82" s="57"/>
      <c r="P82" s="53">
        <f t="shared" si="1"/>
        <v>7780</v>
      </c>
      <c r="Q82" s="75"/>
      <c r="R82" s="56"/>
      <c r="S82" s="58"/>
      <c r="T82" s="58"/>
      <c r="U82" s="58"/>
      <c r="V82" s="44" t="s">
        <v>47</v>
      </c>
      <c r="W82" s="57"/>
      <c r="X82" s="56">
        <v>46073</v>
      </c>
      <c r="Y82" s="44" t="s">
        <v>63</v>
      </c>
      <c r="Z82" s="44"/>
      <c r="AA82" s="44"/>
      <c r="AB82" s="44" t="s">
        <v>49</v>
      </c>
      <c r="AC82" s="44"/>
      <c r="AD82" s="44" t="s">
        <v>48</v>
      </c>
      <c r="AE82" s="55"/>
      <c r="AF82" s="52"/>
      <c r="AG82" s="52"/>
      <c r="AH82" s="44"/>
      <c r="AI82" s="44"/>
      <c r="AJ82" s="51"/>
      <c r="AK82" s="44"/>
      <c r="AL82" s="52">
        <v>18</v>
      </c>
      <c r="AM82" s="47" t="s">
        <v>50</v>
      </c>
      <c r="AN82" s="44" t="s">
        <v>51</v>
      </c>
      <c r="AO82" s="58"/>
      <c r="AP82" s="57"/>
    </row>
    <row r="83" spans="1:42" s="20" customFormat="1" ht="14.25" customHeight="1" x14ac:dyDescent="0.25">
      <c r="A83" s="43">
        <v>46073</v>
      </c>
      <c r="B83" s="43"/>
      <c r="C83" s="13" t="s">
        <v>52</v>
      </c>
      <c r="D83" s="14" t="s">
        <v>53</v>
      </c>
      <c r="E83" s="98">
        <v>7092</v>
      </c>
      <c r="F83" s="44" t="s">
        <v>54</v>
      </c>
      <c r="G83" s="106">
        <v>46348670</v>
      </c>
      <c r="H83" s="2" t="s">
        <v>324</v>
      </c>
      <c r="I83" s="45"/>
      <c r="J83" s="57"/>
      <c r="K83" s="53">
        <v>5980</v>
      </c>
      <c r="L83" s="57"/>
      <c r="M83" s="57"/>
      <c r="N83" s="57"/>
      <c r="O83" s="57"/>
      <c r="P83" s="53">
        <f t="shared" si="1"/>
        <v>5980</v>
      </c>
      <c r="Q83" s="75"/>
      <c r="R83" s="56"/>
      <c r="S83" s="58"/>
      <c r="T83" s="58"/>
      <c r="U83" s="58"/>
      <c r="V83" s="44" t="s">
        <v>47</v>
      </c>
      <c r="W83" s="57"/>
      <c r="X83" s="56">
        <v>46073</v>
      </c>
      <c r="Y83" s="44" t="s">
        <v>63</v>
      </c>
      <c r="Z83" s="44"/>
      <c r="AA83" s="44"/>
      <c r="AB83" s="44" t="s">
        <v>49</v>
      </c>
      <c r="AC83" s="44"/>
      <c r="AD83" s="44" t="s">
        <v>48</v>
      </c>
      <c r="AE83" s="55"/>
      <c r="AF83" s="52"/>
      <c r="AG83" s="52"/>
      <c r="AH83" s="44"/>
      <c r="AI83" s="44"/>
      <c r="AJ83" s="51"/>
      <c r="AK83" s="44"/>
      <c r="AL83" s="52">
        <v>18</v>
      </c>
      <c r="AM83" s="47" t="s">
        <v>50</v>
      </c>
      <c r="AN83" s="44" t="s">
        <v>51</v>
      </c>
      <c r="AO83" s="58"/>
      <c r="AP83" s="57"/>
    </row>
    <row r="84" spans="1:42" s="20" customFormat="1" ht="14.25" customHeight="1" x14ac:dyDescent="0.25">
      <c r="A84" s="43">
        <v>46073</v>
      </c>
      <c r="B84" s="43"/>
      <c r="C84" s="13" t="s">
        <v>52</v>
      </c>
      <c r="D84" s="14" t="s">
        <v>53</v>
      </c>
      <c r="E84" s="98">
        <v>7093</v>
      </c>
      <c r="F84" s="44" t="s">
        <v>54</v>
      </c>
      <c r="G84" s="106">
        <v>46348670</v>
      </c>
      <c r="H84" s="2" t="s">
        <v>324</v>
      </c>
      <c r="I84" s="57"/>
      <c r="J84" s="96"/>
      <c r="K84" s="53">
        <v>0</v>
      </c>
      <c r="L84" s="57"/>
      <c r="M84" s="57"/>
      <c r="N84" s="57"/>
      <c r="O84" s="57"/>
      <c r="P84" s="53">
        <f t="shared" si="1"/>
        <v>0</v>
      </c>
      <c r="Q84" s="75"/>
      <c r="R84" s="56"/>
      <c r="S84" s="58"/>
      <c r="T84" s="58"/>
      <c r="U84" s="58"/>
      <c r="V84" s="44" t="s">
        <v>47</v>
      </c>
      <c r="W84" s="57"/>
      <c r="X84" s="56">
        <v>46073</v>
      </c>
      <c r="Y84" s="15" t="s">
        <v>61</v>
      </c>
      <c r="Z84" s="26"/>
      <c r="AA84" s="26"/>
      <c r="AB84" s="15" t="s">
        <v>49</v>
      </c>
      <c r="AC84" s="26"/>
      <c r="AD84" s="44" t="s">
        <v>48</v>
      </c>
      <c r="AE84" s="27"/>
      <c r="AF84" s="24"/>
      <c r="AG84" s="24"/>
      <c r="AH84" s="26"/>
      <c r="AI84" s="26"/>
      <c r="AJ84" s="25"/>
      <c r="AK84" s="26"/>
      <c r="AL84" s="17">
        <v>18</v>
      </c>
      <c r="AM84" s="47" t="s">
        <v>64</v>
      </c>
      <c r="AN84" s="44" t="s">
        <v>51</v>
      </c>
      <c r="AO84" s="58"/>
      <c r="AP84" s="57"/>
    </row>
    <row r="85" spans="1:42" s="20" customFormat="1" ht="14.25" customHeight="1" x14ac:dyDescent="0.25">
      <c r="A85" s="43">
        <v>46074</v>
      </c>
      <c r="B85" s="43"/>
      <c r="C85" s="13" t="s">
        <v>52</v>
      </c>
      <c r="D85" s="14" t="s">
        <v>53</v>
      </c>
      <c r="E85" s="98">
        <v>7094</v>
      </c>
      <c r="F85" s="44" t="s">
        <v>54</v>
      </c>
      <c r="G85" s="106">
        <v>75543614</v>
      </c>
      <c r="H85" s="2" t="s">
        <v>325</v>
      </c>
      <c r="I85" s="57"/>
      <c r="J85" s="57"/>
      <c r="K85" s="53">
        <v>6180</v>
      </c>
      <c r="L85" s="57"/>
      <c r="M85" s="57"/>
      <c r="N85" s="57"/>
      <c r="O85" s="57"/>
      <c r="P85" s="53">
        <f t="shared" si="1"/>
        <v>6180</v>
      </c>
      <c r="Q85" s="75"/>
      <c r="R85" s="56"/>
      <c r="S85" s="58"/>
      <c r="T85" s="58"/>
      <c r="U85" s="58"/>
      <c r="V85" s="44" t="s">
        <v>47</v>
      </c>
      <c r="W85" s="57"/>
      <c r="X85" s="56">
        <v>46074</v>
      </c>
      <c r="Y85" s="44" t="s">
        <v>63</v>
      </c>
      <c r="Z85" s="44"/>
      <c r="AA85" s="44"/>
      <c r="AB85" s="44" t="s">
        <v>49</v>
      </c>
      <c r="AC85" s="44"/>
      <c r="AD85" s="44" t="s">
        <v>48</v>
      </c>
      <c r="AE85" s="55"/>
      <c r="AF85" s="52"/>
      <c r="AG85" s="52"/>
      <c r="AH85" s="44"/>
      <c r="AI85" s="44"/>
      <c r="AJ85" s="51"/>
      <c r="AK85" s="44"/>
      <c r="AL85" s="52">
        <v>18</v>
      </c>
      <c r="AM85" s="47" t="s">
        <v>50</v>
      </c>
      <c r="AN85" s="44" t="s">
        <v>51</v>
      </c>
      <c r="AO85" s="58"/>
      <c r="AP85" s="57"/>
    </row>
    <row r="86" spans="1:42" s="20" customFormat="1" ht="14.25" customHeight="1" x14ac:dyDescent="0.25">
      <c r="A86" s="43">
        <v>46074</v>
      </c>
      <c r="B86" s="43"/>
      <c r="C86" s="13" t="s">
        <v>52</v>
      </c>
      <c r="D86" s="14" t="s">
        <v>53</v>
      </c>
      <c r="E86" s="98">
        <v>7095</v>
      </c>
      <c r="F86" s="44" t="s">
        <v>54</v>
      </c>
      <c r="G86" s="106">
        <v>75543614</v>
      </c>
      <c r="H86" s="2" t="s">
        <v>325</v>
      </c>
      <c r="I86" s="57"/>
      <c r="J86" s="57"/>
      <c r="K86" s="53">
        <v>0</v>
      </c>
      <c r="L86" s="57"/>
      <c r="M86" s="57"/>
      <c r="N86" s="57"/>
      <c r="O86" s="57"/>
      <c r="P86" s="53">
        <f t="shared" si="1"/>
        <v>0</v>
      </c>
      <c r="Q86" s="75"/>
      <c r="R86" s="56"/>
      <c r="S86" s="58"/>
      <c r="T86" s="58"/>
      <c r="U86" s="58"/>
      <c r="V86" s="44" t="s">
        <v>47</v>
      </c>
      <c r="W86" s="57"/>
      <c r="X86" s="56">
        <v>46074</v>
      </c>
      <c r="Y86" s="15" t="s">
        <v>61</v>
      </c>
      <c r="Z86" s="26"/>
      <c r="AA86" s="26"/>
      <c r="AB86" s="15" t="s">
        <v>49</v>
      </c>
      <c r="AC86" s="26"/>
      <c r="AD86" s="44" t="s">
        <v>48</v>
      </c>
      <c r="AE86" s="27"/>
      <c r="AF86" s="24"/>
      <c r="AG86" s="24"/>
      <c r="AH86" s="26"/>
      <c r="AI86" s="26"/>
      <c r="AJ86" s="25"/>
      <c r="AK86" s="26"/>
      <c r="AL86" s="17">
        <v>18</v>
      </c>
      <c r="AM86" s="47" t="s">
        <v>64</v>
      </c>
      <c r="AN86" s="44" t="s">
        <v>51</v>
      </c>
      <c r="AO86" s="58"/>
      <c r="AP86" s="57"/>
    </row>
    <row r="87" spans="1:42" s="20" customFormat="1" ht="14.25" customHeight="1" x14ac:dyDescent="0.25">
      <c r="A87" s="43">
        <v>46076</v>
      </c>
      <c r="B87" s="43"/>
      <c r="C87" s="13" t="s">
        <v>52</v>
      </c>
      <c r="D87" s="14" t="s">
        <v>53</v>
      </c>
      <c r="E87" s="98">
        <v>7096</v>
      </c>
      <c r="F87" s="44" t="s">
        <v>54</v>
      </c>
      <c r="G87" s="106">
        <v>72288531</v>
      </c>
      <c r="H87" s="2" t="s">
        <v>326</v>
      </c>
      <c r="I87" s="57"/>
      <c r="J87" s="57"/>
      <c r="K87" s="53">
        <v>5980</v>
      </c>
      <c r="L87" s="57"/>
      <c r="M87" s="57"/>
      <c r="N87" s="57"/>
      <c r="O87" s="57"/>
      <c r="P87" s="53">
        <f t="shared" si="1"/>
        <v>5980</v>
      </c>
      <c r="Q87" s="75"/>
      <c r="R87" s="56"/>
      <c r="S87" s="58"/>
      <c r="T87" s="58"/>
      <c r="U87" s="58"/>
      <c r="V87" s="44" t="s">
        <v>47</v>
      </c>
      <c r="W87" s="57"/>
      <c r="X87" s="56">
        <v>46076</v>
      </c>
      <c r="Y87" s="44" t="s">
        <v>63</v>
      </c>
      <c r="Z87" s="44"/>
      <c r="AA87" s="44"/>
      <c r="AB87" s="44" t="s">
        <v>49</v>
      </c>
      <c r="AC87" s="44"/>
      <c r="AD87" s="44" t="s">
        <v>48</v>
      </c>
      <c r="AE87" s="55"/>
      <c r="AF87" s="52"/>
      <c r="AG87" s="52"/>
      <c r="AH87" s="44"/>
      <c r="AI87" s="44"/>
      <c r="AJ87" s="51"/>
      <c r="AK87" s="44"/>
      <c r="AL87" s="52">
        <v>18</v>
      </c>
      <c r="AM87" s="47" t="s">
        <v>50</v>
      </c>
      <c r="AN87" s="44" t="s">
        <v>51</v>
      </c>
      <c r="AO87" s="58"/>
      <c r="AP87" s="57"/>
    </row>
    <row r="88" spans="1:42" s="20" customFormat="1" ht="14.25" customHeight="1" x14ac:dyDescent="0.25">
      <c r="A88" s="43">
        <v>46076</v>
      </c>
      <c r="B88" s="43"/>
      <c r="C88" s="13" t="s">
        <v>52</v>
      </c>
      <c r="D88" s="14" t="s">
        <v>53</v>
      </c>
      <c r="E88" s="98">
        <v>7097</v>
      </c>
      <c r="F88" s="44" t="s">
        <v>54</v>
      </c>
      <c r="G88" s="106">
        <v>72288531</v>
      </c>
      <c r="H88" s="2" t="s">
        <v>326</v>
      </c>
      <c r="I88" s="57"/>
      <c r="J88" s="57"/>
      <c r="K88" s="53">
        <v>0</v>
      </c>
      <c r="L88" s="57"/>
      <c r="M88" s="57"/>
      <c r="N88" s="57"/>
      <c r="O88" s="57"/>
      <c r="P88" s="53">
        <f t="shared" si="1"/>
        <v>0</v>
      </c>
      <c r="Q88" s="75"/>
      <c r="R88" s="56"/>
      <c r="S88" s="58"/>
      <c r="T88" s="58"/>
      <c r="U88" s="58"/>
      <c r="V88" s="44" t="s">
        <v>47</v>
      </c>
      <c r="W88" s="57"/>
      <c r="X88" s="56">
        <v>46076</v>
      </c>
      <c r="Y88" s="15" t="s">
        <v>61</v>
      </c>
      <c r="Z88" s="26"/>
      <c r="AA88" s="26"/>
      <c r="AB88" s="15" t="s">
        <v>49</v>
      </c>
      <c r="AC88" s="26"/>
      <c r="AD88" s="44" t="s">
        <v>48</v>
      </c>
      <c r="AE88" s="27"/>
      <c r="AF88" s="24"/>
      <c r="AG88" s="24"/>
      <c r="AH88" s="26"/>
      <c r="AI88" s="26"/>
      <c r="AJ88" s="25"/>
      <c r="AK88" s="26"/>
      <c r="AL88" s="17">
        <v>18</v>
      </c>
      <c r="AM88" s="47" t="s">
        <v>64</v>
      </c>
      <c r="AN88" s="44" t="s">
        <v>51</v>
      </c>
      <c r="AO88" s="58"/>
      <c r="AP88" s="57"/>
    </row>
    <row r="89" spans="1:42" s="20" customFormat="1" ht="14.25" customHeight="1" x14ac:dyDescent="0.25">
      <c r="A89" s="43">
        <v>46076</v>
      </c>
      <c r="B89" s="43"/>
      <c r="C89" s="13" t="s">
        <v>52</v>
      </c>
      <c r="D89" s="14" t="s">
        <v>53</v>
      </c>
      <c r="E89" s="98">
        <v>7098</v>
      </c>
      <c r="F89" s="44" t="s">
        <v>54</v>
      </c>
      <c r="G89" s="106">
        <v>73392213</v>
      </c>
      <c r="H89" s="2" t="s">
        <v>327</v>
      </c>
      <c r="I89" s="57"/>
      <c r="J89" s="57"/>
      <c r="K89" s="53">
        <v>6180</v>
      </c>
      <c r="L89" s="57"/>
      <c r="M89" s="57"/>
      <c r="N89" s="57"/>
      <c r="O89" s="57"/>
      <c r="P89" s="53">
        <f t="shared" si="1"/>
        <v>6180</v>
      </c>
      <c r="Q89" s="75"/>
      <c r="R89" s="56"/>
      <c r="S89" s="58"/>
      <c r="T89" s="58"/>
      <c r="U89" s="58"/>
      <c r="V89" s="44" t="s">
        <v>47</v>
      </c>
      <c r="W89" s="57"/>
      <c r="X89" s="56">
        <v>46076</v>
      </c>
      <c r="Y89" s="44" t="s">
        <v>63</v>
      </c>
      <c r="Z89" s="44"/>
      <c r="AA89" s="44"/>
      <c r="AB89" s="44" t="s">
        <v>49</v>
      </c>
      <c r="AC89" s="44"/>
      <c r="AD89" s="44" t="s">
        <v>48</v>
      </c>
      <c r="AE89" s="55"/>
      <c r="AF89" s="52"/>
      <c r="AG89" s="52"/>
      <c r="AH89" s="44"/>
      <c r="AI89" s="44"/>
      <c r="AJ89" s="51"/>
      <c r="AK89" s="44"/>
      <c r="AL89" s="52">
        <v>18</v>
      </c>
      <c r="AM89" s="47" t="s">
        <v>50</v>
      </c>
      <c r="AN89" s="44" t="s">
        <v>51</v>
      </c>
      <c r="AO89" s="58"/>
      <c r="AP89" s="57"/>
    </row>
    <row r="90" spans="1:42" s="20" customFormat="1" ht="14.25" customHeight="1" x14ac:dyDescent="0.25">
      <c r="A90" s="43">
        <v>46076</v>
      </c>
      <c r="B90" s="43"/>
      <c r="C90" s="21" t="s">
        <v>52</v>
      </c>
      <c r="D90" s="14" t="s">
        <v>53</v>
      </c>
      <c r="E90" s="98">
        <v>7099</v>
      </c>
      <c r="F90" s="46" t="s">
        <v>54</v>
      </c>
      <c r="G90" s="106">
        <v>73392213</v>
      </c>
      <c r="H90" s="2" t="s">
        <v>327</v>
      </c>
      <c r="I90" s="45"/>
      <c r="J90" s="45"/>
      <c r="K90" s="53">
        <v>0</v>
      </c>
      <c r="L90" s="45"/>
      <c r="M90" s="45"/>
      <c r="N90" s="45"/>
      <c r="O90" s="45"/>
      <c r="P90" s="53">
        <f t="shared" si="1"/>
        <v>0</v>
      </c>
      <c r="Q90" s="75"/>
      <c r="R90" s="56"/>
      <c r="S90" s="58"/>
      <c r="T90" s="58"/>
      <c r="U90" s="58"/>
      <c r="V90" s="44" t="s">
        <v>47</v>
      </c>
      <c r="W90" s="57"/>
      <c r="X90" s="56">
        <v>46076</v>
      </c>
      <c r="Y90" s="15" t="s">
        <v>61</v>
      </c>
      <c r="Z90" s="26"/>
      <c r="AA90" s="26"/>
      <c r="AB90" s="15" t="s">
        <v>49</v>
      </c>
      <c r="AC90" s="26"/>
      <c r="AD90" s="44" t="s">
        <v>48</v>
      </c>
      <c r="AE90" s="27"/>
      <c r="AF90" s="24"/>
      <c r="AG90" s="24"/>
      <c r="AH90" s="26"/>
      <c r="AI90" s="26"/>
      <c r="AJ90" s="25"/>
      <c r="AK90" s="26"/>
      <c r="AL90" s="17">
        <v>18</v>
      </c>
      <c r="AM90" s="47" t="s">
        <v>64</v>
      </c>
      <c r="AN90" s="44" t="s">
        <v>51</v>
      </c>
      <c r="AO90" s="58"/>
      <c r="AP90" s="57"/>
    </row>
    <row r="91" spans="1:42" s="20" customFormat="1" ht="14.25" customHeight="1" x14ac:dyDescent="0.25">
      <c r="A91" s="43">
        <v>46076</v>
      </c>
      <c r="B91" s="43"/>
      <c r="C91" s="21" t="s">
        <v>52</v>
      </c>
      <c r="D91" s="14" t="s">
        <v>53</v>
      </c>
      <c r="E91" s="98">
        <v>7100</v>
      </c>
      <c r="F91" s="44" t="s">
        <v>54</v>
      </c>
      <c r="G91" s="106">
        <v>74213753</v>
      </c>
      <c r="H91" s="2" t="s">
        <v>328</v>
      </c>
      <c r="I91" s="45"/>
      <c r="J91" s="45"/>
      <c r="K91" s="53">
        <v>6360</v>
      </c>
      <c r="L91" s="45"/>
      <c r="M91" s="45"/>
      <c r="N91" s="45"/>
      <c r="O91" s="45"/>
      <c r="P91" s="53">
        <f t="shared" si="1"/>
        <v>6360</v>
      </c>
      <c r="Q91" s="75"/>
      <c r="R91" s="56"/>
      <c r="S91" s="58"/>
      <c r="T91" s="58"/>
      <c r="U91" s="58"/>
      <c r="V91" s="44" t="s">
        <v>47</v>
      </c>
      <c r="W91" s="57"/>
      <c r="X91" s="56">
        <v>46076</v>
      </c>
      <c r="Y91" s="44" t="s">
        <v>63</v>
      </c>
      <c r="Z91" s="44"/>
      <c r="AA91" s="44"/>
      <c r="AB91" s="44" t="s">
        <v>49</v>
      </c>
      <c r="AC91" s="44"/>
      <c r="AD91" s="44" t="s">
        <v>48</v>
      </c>
      <c r="AE91" s="55"/>
      <c r="AF91" s="52"/>
      <c r="AG91" s="52"/>
      <c r="AH91" s="44"/>
      <c r="AI91" s="44"/>
      <c r="AJ91" s="51"/>
      <c r="AK91" s="44"/>
      <c r="AL91" s="52">
        <v>18</v>
      </c>
      <c r="AM91" s="47" t="s">
        <v>50</v>
      </c>
      <c r="AN91" s="44" t="s">
        <v>51</v>
      </c>
      <c r="AO91" s="58"/>
      <c r="AP91" s="57"/>
    </row>
    <row r="92" spans="1:42" s="20" customFormat="1" ht="14.25" customHeight="1" x14ac:dyDescent="0.25">
      <c r="A92" s="43">
        <v>46076</v>
      </c>
      <c r="B92" s="43"/>
      <c r="C92" s="21" t="s">
        <v>52</v>
      </c>
      <c r="D92" s="14" t="s">
        <v>53</v>
      </c>
      <c r="E92" s="98">
        <v>7101</v>
      </c>
      <c r="F92" s="46" t="s">
        <v>54</v>
      </c>
      <c r="G92" s="106">
        <v>74213753</v>
      </c>
      <c r="H92" s="2" t="s">
        <v>328</v>
      </c>
      <c r="I92" s="45"/>
      <c r="J92" s="45"/>
      <c r="K92" s="53">
        <v>0</v>
      </c>
      <c r="L92" s="45"/>
      <c r="M92" s="45"/>
      <c r="N92" s="45"/>
      <c r="O92" s="45"/>
      <c r="P92" s="53">
        <f t="shared" si="1"/>
        <v>0</v>
      </c>
      <c r="Q92" s="75"/>
      <c r="R92" s="56"/>
      <c r="S92" s="58"/>
      <c r="T92" s="58"/>
      <c r="U92" s="58"/>
      <c r="V92" s="44" t="s">
        <v>47</v>
      </c>
      <c r="W92" s="57"/>
      <c r="X92" s="56">
        <v>46076</v>
      </c>
      <c r="Y92" s="15" t="s">
        <v>61</v>
      </c>
      <c r="Z92" s="26"/>
      <c r="AA92" s="26"/>
      <c r="AB92" s="15" t="s">
        <v>49</v>
      </c>
      <c r="AC92" s="26"/>
      <c r="AD92" s="44" t="s">
        <v>48</v>
      </c>
      <c r="AE92" s="27"/>
      <c r="AF92" s="24"/>
      <c r="AG92" s="24"/>
      <c r="AH92" s="26"/>
      <c r="AI92" s="26"/>
      <c r="AJ92" s="25"/>
      <c r="AK92" s="26"/>
      <c r="AL92" s="17">
        <v>18</v>
      </c>
      <c r="AM92" s="47" t="s">
        <v>64</v>
      </c>
      <c r="AN92" s="44" t="s">
        <v>51</v>
      </c>
      <c r="AO92" s="58"/>
      <c r="AP92" s="57"/>
    </row>
    <row r="93" spans="1:42" s="20" customFormat="1" ht="14.25" customHeight="1" x14ac:dyDescent="0.25">
      <c r="A93" s="43">
        <v>46076</v>
      </c>
      <c r="B93" s="97"/>
      <c r="C93" s="21" t="s">
        <v>52</v>
      </c>
      <c r="D93" s="14" t="s">
        <v>53</v>
      </c>
      <c r="E93" s="98">
        <v>7102</v>
      </c>
      <c r="F93" s="44" t="s">
        <v>54</v>
      </c>
      <c r="G93" s="106">
        <v>60845308</v>
      </c>
      <c r="H93" s="2" t="s">
        <v>329</v>
      </c>
      <c r="I93" s="45"/>
      <c r="J93" s="45"/>
      <c r="K93" s="53">
        <v>5280</v>
      </c>
      <c r="L93" s="45"/>
      <c r="M93" s="45"/>
      <c r="N93" s="45"/>
      <c r="O93" s="45"/>
      <c r="P93" s="53">
        <f t="shared" si="1"/>
        <v>5280</v>
      </c>
      <c r="Q93" s="75"/>
      <c r="R93" s="56"/>
      <c r="S93" s="58"/>
      <c r="T93" s="58"/>
      <c r="U93" s="58"/>
      <c r="V93" s="44" t="s">
        <v>47</v>
      </c>
      <c r="W93" s="57"/>
      <c r="X93" s="56">
        <v>46076</v>
      </c>
      <c r="Y93" s="44" t="s">
        <v>63</v>
      </c>
      <c r="Z93" s="44"/>
      <c r="AA93" s="44"/>
      <c r="AB93" s="44" t="s">
        <v>49</v>
      </c>
      <c r="AC93" s="44"/>
      <c r="AD93" s="44" t="s">
        <v>48</v>
      </c>
      <c r="AE93" s="55"/>
      <c r="AF93" s="52"/>
      <c r="AG93" s="52"/>
      <c r="AH93" s="44"/>
      <c r="AI93" s="44"/>
      <c r="AJ93" s="51"/>
      <c r="AK93" s="44"/>
      <c r="AL93" s="52">
        <v>18</v>
      </c>
      <c r="AM93" s="47" t="s">
        <v>50</v>
      </c>
      <c r="AN93" s="44" t="s">
        <v>51</v>
      </c>
      <c r="AO93" s="58"/>
      <c r="AP93" s="57"/>
    </row>
    <row r="94" spans="1:42" s="20" customFormat="1" ht="14.25" customHeight="1" x14ac:dyDescent="0.25">
      <c r="A94" s="43">
        <v>46076</v>
      </c>
      <c r="B94" s="43"/>
      <c r="C94" s="21" t="s">
        <v>52</v>
      </c>
      <c r="D94" s="14" t="s">
        <v>53</v>
      </c>
      <c r="E94" s="98">
        <v>7103</v>
      </c>
      <c r="F94" s="46" t="s">
        <v>54</v>
      </c>
      <c r="G94" s="106">
        <v>60845308</v>
      </c>
      <c r="H94" s="2" t="s">
        <v>329</v>
      </c>
      <c r="I94" s="45"/>
      <c r="J94" s="45"/>
      <c r="K94" s="53">
        <v>0</v>
      </c>
      <c r="L94" s="45"/>
      <c r="M94" s="45"/>
      <c r="N94" s="45"/>
      <c r="O94" s="45"/>
      <c r="P94" s="53">
        <f t="shared" si="1"/>
        <v>0</v>
      </c>
      <c r="Q94" s="75"/>
      <c r="R94" s="56"/>
      <c r="S94" s="58"/>
      <c r="T94" s="58"/>
      <c r="U94" s="58"/>
      <c r="V94" s="44" t="s">
        <v>47</v>
      </c>
      <c r="W94" s="57"/>
      <c r="X94" s="56">
        <v>46076</v>
      </c>
      <c r="Y94" s="15" t="s">
        <v>61</v>
      </c>
      <c r="Z94" s="26"/>
      <c r="AA94" s="26"/>
      <c r="AB94" s="15" t="s">
        <v>49</v>
      </c>
      <c r="AC94" s="26"/>
      <c r="AD94" s="44" t="s">
        <v>48</v>
      </c>
      <c r="AE94" s="27"/>
      <c r="AF94" s="24"/>
      <c r="AG94" s="24"/>
      <c r="AH94" s="26"/>
      <c r="AI94" s="26"/>
      <c r="AJ94" s="25"/>
      <c r="AK94" s="26"/>
      <c r="AL94" s="17">
        <v>18</v>
      </c>
      <c r="AM94" s="47" t="s">
        <v>64</v>
      </c>
      <c r="AN94" s="44" t="s">
        <v>51</v>
      </c>
      <c r="AO94" s="58"/>
      <c r="AP94" s="57"/>
    </row>
    <row r="95" spans="1:42" s="20" customFormat="1" ht="14.25" customHeight="1" x14ac:dyDescent="0.25">
      <c r="A95" s="43">
        <v>46077</v>
      </c>
      <c r="B95" s="43"/>
      <c r="C95" s="21" t="s">
        <v>52</v>
      </c>
      <c r="D95" s="14" t="s">
        <v>53</v>
      </c>
      <c r="E95" s="98">
        <v>7104</v>
      </c>
      <c r="F95" s="46" t="s">
        <v>54</v>
      </c>
      <c r="G95" s="106">
        <v>78551302</v>
      </c>
      <c r="H95" s="2" t="s">
        <v>330</v>
      </c>
      <c r="I95" s="45"/>
      <c r="J95" s="45"/>
      <c r="K95" s="53">
        <v>12680</v>
      </c>
      <c r="L95" s="45"/>
      <c r="M95" s="45"/>
      <c r="N95" s="45"/>
      <c r="O95" s="45"/>
      <c r="P95" s="53">
        <f t="shared" si="1"/>
        <v>12680</v>
      </c>
      <c r="Q95" s="75"/>
      <c r="R95" s="56"/>
      <c r="S95" s="58"/>
      <c r="T95" s="58"/>
      <c r="U95" s="58"/>
      <c r="V95" s="44" t="s">
        <v>47</v>
      </c>
      <c r="W95" s="57"/>
      <c r="X95" s="56">
        <v>46077</v>
      </c>
      <c r="Y95" s="44" t="s">
        <v>63</v>
      </c>
      <c r="Z95" s="44"/>
      <c r="AA95" s="44"/>
      <c r="AB95" s="44" t="s">
        <v>49</v>
      </c>
      <c r="AC95" s="44"/>
      <c r="AD95" s="44" t="s">
        <v>48</v>
      </c>
      <c r="AE95" s="55"/>
      <c r="AF95" s="52"/>
      <c r="AG95" s="52"/>
      <c r="AH95" s="44"/>
      <c r="AI95" s="44"/>
      <c r="AJ95" s="51"/>
      <c r="AK95" s="44"/>
      <c r="AL95" s="52">
        <v>18</v>
      </c>
      <c r="AM95" s="47" t="s">
        <v>50</v>
      </c>
      <c r="AN95" s="44" t="s">
        <v>51</v>
      </c>
      <c r="AO95" s="58"/>
      <c r="AP95" s="57"/>
    </row>
    <row r="96" spans="1:42" s="20" customFormat="1" ht="14.25" customHeight="1" x14ac:dyDescent="0.25">
      <c r="A96" s="43">
        <v>46077</v>
      </c>
      <c r="B96" s="43"/>
      <c r="C96" s="21" t="s">
        <v>52</v>
      </c>
      <c r="D96" s="14" t="s">
        <v>53</v>
      </c>
      <c r="E96" s="98">
        <v>7105</v>
      </c>
      <c r="F96" s="44" t="s">
        <v>54</v>
      </c>
      <c r="G96" s="106">
        <v>78551302</v>
      </c>
      <c r="H96" s="2" t="s">
        <v>330</v>
      </c>
      <c r="I96" s="45"/>
      <c r="J96" s="45"/>
      <c r="K96" s="53">
        <v>0</v>
      </c>
      <c r="L96" s="45"/>
      <c r="M96" s="45"/>
      <c r="N96" s="45"/>
      <c r="O96" s="45"/>
      <c r="P96" s="53">
        <f t="shared" si="1"/>
        <v>0</v>
      </c>
      <c r="Q96" s="75"/>
      <c r="R96" s="56"/>
      <c r="S96" s="58"/>
      <c r="T96" s="58"/>
      <c r="U96" s="58"/>
      <c r="V96" s="44" t="s">
        <v>47</v>
      </c>
      <c r="W96" s="57"/>
      <c r="X96" s="56">
        <v>46077</v>
      </c>
      <c r="Y96" s="15" t="s">
        <v>61</v>
      </c>
      <c r="Z96" s="26"/>
      <c r="AA96" s="26"/>
      <c r="AB96" s="15" t="s">
        <v>49</v>
      </c>
      <c r="AC96" s="26"/>
      <c r="AD96" s="44" t="s">
        <v>48</v>
      </c>
      <c r="AE96" s="27"/>
      <c r="AF96" s="24"/>
      <c r="AG96" s="24"/>
      <c r="AH96" s="26"/>
      <c r="AI96" s="26"/>
      <c r="AJ96" s="25"/>
      <c r="AK96" s="26"/>
      <c r="AL96" s="17">
        <v>18</v>
      </c>
      <c r="AM96" s="47" t="s">
        <v>64</v>
      </c>
      <c r="AN96" s="44" t="s">
        <v>51</v>
      </c>
      <c r="AO96" s="58"/>
      <c r="AP96" s="57"/>
    </row>
    <row r="97" spans="1:42" s="20" customFormat="1" ht="14.25" customHeight="1" x14ac:dyDescent="0.25">
      <c r="A97" s="43">
        <v>46077</v>
      </c>
      <c r="B97" s="43"/>
      <c r="C97" s="21" t="s">
        <v>52</v>
      </c>
      <c r="D97" s="14" t="s">
        <v>53</v>
      </c>
      <c r="E97" s="98">
        <v>7107</v>
      </c>
      <c r="F97" s="46" t="s">
        <v>54</v>
      </c>
      <c r="G97" s="106">
        <v>46021930</v>
      </c>
      <c r="H97" s="2" t="s">
        <v>331</v>
      </c>
      <c r="I97" s="45"/>
      <c r="J97" s="45"/>
      <c r="K97" s="53">
        <v>0</v>
      </c>
      <c r="L97" s="45"/>
      <c r="M97" s="45"/>
      <c r="N97" s="45"/>
      <c r="O97" s="45"/>
      <c r="P97" s="53">
        <f t="shared" si="1"/>
        <v>0</v>
      </c>
      <c r="Q97" s="75"/>
      <c r="R97" s="56"/>
      <c r="S97" s="58"/>
      <c r="T97" s="58"/>
      <c r="U97" s="58"/>
      <c r="V97" s="44" t="s">
        <v>47</v>
      </c>
      <c r="W97" s="57"/>
      <c r="X97" s="56">
        <v>46077</v>
      </c>
      <c r="Y97" s="15" t="s">
        <v>61</v>
      </c>
      <c r="Z97" s="26"/>
      <c r="AA97" s="26"/>
      <c r="AB97" s="15" t="s">
        <v>49</v>
      </c>
      <c r="AC97" s="26"/>
      <c r="AD97" s="44" t="s">
        <v>48</v>
      </c>
      <c r="AE97" s="27"/>
      <c r="AF97" s="24"/>
      <c r="AG97" s="24"/>
      <c r="AH97" s="26"/>
      <c r="AI97" s="26"/>
      <c r="AJ97" s="25"/>
      <c r="AK97" s="26"/>
      <c r="AL97" s="17">
        <v>18</v>
      </c>
      <c r="AM97" s="47" t="s">
        <v>64</v>
      </c>
      <c r="AN97" s="44" t="s">
        <v>51</v>
      </c>
      <c r="AO97" s="58"/>
      <c r="AP97" s="57"/>
    </row>
    <row r="98" spans="1:42" s="20" customFormat="1" ht="14.25" customHeight="1" x14ac:dyDescent="0.25">
      <c r="A98" s="43">
        <v>46077</v>
      </c>
      <c r="B98" s="97"/>
      <c r="C98" s="21" t="s">
        <v>52</v>
      </c>
      <c r="D98" s="14" t="s">
        <v>53</v>
      </c>
      <c r="E98" s="98">
        <v>7108</v>
      </c>
      <c r="F98" s="44" t="s">
        <v>54</v>
      </c>
      <c r="G98" s="106">
        <v>48173984</v>
      </c>
      <c r="H98" s="2" t="s">
        <v>368</v>
      </c>
      <c r="I98" s="45"/>
      <c r="J98" s="45"/>
      <c r="K98" s="53">
        <v>6180</v>
      </c>
      <c r="L98" s="45"/>
      <c r="M98" s="45"/>
      <c r="N98" s="45"/>
      <c r="O98" s="45"/>
      <c r="P98" s="53">
        <f t="shared" si="1"/>
        <v>6180</v>
      </c>
      <c r="Q98" s="75"/>
      <c r="R98" s="56"/>
      <c r="S98" s="58"/>
      <c r="T98" s="58"/>
      <c r="U98" s="58"/>
      <c r="V98" s="44" t="s">
        <v>47</v>
      </c>
      <c r="W98" s="57"/>
      <c r="X98" s="56">
        <v>46077</v>
      </c>
      <c r="Y98" s="44" t="s">
        <v>63</v>
      </c>
      <c r="Z98" s="44"/>
      <c r="AA98" s="44"/>
      <c r="AB98" s="44" t="s">
        <v>49</v>
      </c>
      <c r="AC98" s="44"/>
      <c r="AD98" s="44" t="s">
        <v>48</v>
      </c>
      <c r="AE98" s="55"/>
      <c r="AF98" s="52"/>
      <c r="AG98" s="52"/>
      <c r="AH98" s="44"/>
      <c r="AI98" s="44"/>
      <c r="AJ98" s="51"/>
      <c r="AK98" s="44"/>
      <c r="AL98" s="52">
        <v>18</v>
      </c>
      <c r="AM98" s="47" t="s">
        <v>50</v>
      </c>
      <c r="AN98" s="44" t="s">
        <v>51</v>
      </c>
      <c r="AO98" s="58"/>
      <c r="AP98" s="57"/>
    </row>
    <row r="99" spans="1:42" s="20" customFormat="1" ht="15" customHeight="1" x14ac:dyDescent="0.25">
      <c r="A99" s="43">
        <v>46077</v>
      </c>
      <c r="B99" s="43"/>
      <c r="C99" s="21" t="s">
        <v>52</v>
      </c>
      <c r="D99" s="14" t="s">
        <v>53</v>
      </c>
      <c r="E99" s="98">
        <v>7109</v>
      </c>
      <c r="F99" s="46" t="s">
        <v>54</v>
      </c>
      <c r="G99" s="106">
        <v>48173984</v>
      </c>
      <c r="H99" s="2" t="s">
        <v>368</v>
      </c>
      <c r="I99" s="45"/>
      <c r="J99" s="45"/>
      <c r="K99" s="53">
        <v>0</v>
      </c>
      <c r="L99" s="45"/>
      <c r="M99" s="45"/>
      <c r="N99" s="45"/>
      <c r="O99" s="54"/>
      <c r="P99" s="53">
        <f t="shared" si="1"/>
        <v>0</v>
      </c>
      <c r="Q99" s="76"/>
      <c r="R99" s="58"/>
      <c r="S99" s="58"/>
      <c r="T99" s="44"/>
      <c r="U99" s="57"/>
      <c r="V99" s="44" t="s">
        <v>47</v>
      </c>
      <c r="W99" s="58"/>
      <c r="X99" s="56">
        <v>46077</v>
      </c>
      <c r="Y99" s="15" t="s">
        <v>61</v>
      </c>
      <c r="Z99" s="26"/>
      <c r="AA99" s="26"/>
      <c r="AB99" s="15" t="s">
        <v>49</v>
      </c>
      <c r="AC99" s="26"/>
      <c r="AD99" s="44" t="s">
        <v>48</v>
      </c>
      <c r="AE99" s="27"/>
      <c r="AF99" s="24"/>
      <c r="AG99" s="24"/>
      <c r="AH99" s="26"/>
      <c r="AI99" s="26"/>
      <c r="AJ99" s="25"/>
      <c r="AK99" s="26"/>
      <c r="AL99" s="17">
        <v>18</v>
      </c>
      <c r="AM99" s="47" t="s">
        <v>64</v>
      </c>
      <c r="AN99" s="44" t="s">
        <v>51</v>
      </c>
      <c r="AO99" s="85"/>
      <c r="AP99" s="85"/>
    </row>
    <row r="100" spans="1:42" s="20" customFormat="1" ht="14.25" customHeight="1" x14ac:dyDescent="0.25">
      <c r="A100" s="43">
        <v>46077</v>
      </c>
      <c r="B100" s="97"/>
      <c r="C100" s="21" t="s">
        <v>52</v>
      </c>
      <c r="D100" s="14" t="s">
        <v>53</v>
      </c>
      <c r="E100" s="98">
        <v>7110</v>
      </c>
      <c r="F100" s="44" t="s">
        <v>54</v>
      </c>
      <c r="G100" s="106">
        <v>60844851</v>
      </c>
      <c r="H100" s="2" t="s">
        <v>332</v>
      </c>
      <c r="I100" s="45"/>
      <c r="J100" s="45"/>
      <c r="K100" s="53">
        <v>7760</v>
      </c>
      <c r="L100" s="45"/>
      <c r="M100" s="45"/>
      <c r="N100" s="45"/>
      <c r="O100" s="54"/>
      <c r="P100" s="53">
        <f t="shared" si="1"/>
        <v>7760</v>
      </c>
      <c r="Q100" s="76"/>
      <c r="R100" s="58"/>
      <c r="S100" s="58"/>
      <c r="T100" s="44"/>
      <c r="U100" s="57"/>
      <c r="V100" s="44" t="s">
        <v>47</v>
      </c>
      <c r="W100" s="58"/>
      <c r="X100" s="56">
        <v>46077</v>
      </c>
      <c r="Y100" s="44" t="s">
        <v>63</v>
      </c>
      <c r="Z100" s="44"/>
      <c r="AA100" s="44"/>
      <c r="AB100" s="44" t="s">
        <v>49</v>
      </c>
      <c r="AC100" s="44"/>
      <c r="AD100" s="44" t="s">
        <v>48</v>
      </c>
      <c r="AE100" s="55"/>
      <c r="AF100" s="52"/>
      <c r="AG100" s="52"/>
      <c r="AH100" s="44"/>
      <c r="AI100" s="44"/>
      <c r="AJ100" s="51"/>
      <c r="AK100" s="44"/>
      <c r="AL100" s="52">
        <v>18</v>
      </c>
      <c r="AM100" s="47" t="s">
        <v>50</v>
      </c>
      <c r="AN100" s="44" t="s">
        <v>51</v>
      </c>
      <c r="AO100" s="85"/>
      <c r="AP100" s="85"/>
    </row>
    <row r="101" spans="1:42" s="20" customFormat="1" ht="14.25" customHeight="1" x14ac:dyDescent="0.25">
      <c r="A101" s="43">
        <v>46078</v>
      </c>
      <c r="B101" s="43"/>
      <c r="C101" s="21" t="s">
        <v>52</v>
      </c>
      <c r="D101" s="14" t="s">
        <v>53</v>
      </c>
      <c r="E101" s="98">
        <v>7111</v>
      </c>
      <c r="F101" s="46" t="s">
        <v>54</v>
      </c>
      <c r="G101" s="106">
        <v>45766607</v>
      </c>
      <c r="H101" s="2" t="s">
        <v>369</v>
      </c>
      <c r="I101" s="45"/>
      <c r="J101" s="45"/>
      <c r="K101" s="53">
        <v>22720</v>
      </c>
      <c r="L101" s="45"/>
      <c r="M101" s="45"/>
      <c r="N101" s="45"/>
      <c r="O101" s="54"/>
      <c r="P101" s="53">
        <f t="shared" si="1"/>
        <v>22720</v>
      </c>
      <c r="Q101" s="76"/>
      <c r="R101" s="58"/>
      <c r="S101" s="58"/>
      <c r="T101" s="44"/>
      <c r="U101" s="57"/>
      <c r="V101" s="44" t="s">
        <v>47</v>
      </c>
      <c r="W101" s="58"/>
      <c r="X101" s="56">
        <v>46078</v>
      </c>
      <c r="Y101" s="44" t="s">
        <v>63</v>
      </c>
      <c r="Z101" s="44"/>
      <c r="AA101" s="44"/>
      <c r="AB101" s="44" t="s">
        <v>49</v>
      </c>
      <c r="AC101" s="44"/>
      <c r="AD101" s="44" t="s">
        <v>48</v>
      </c>
      <c r="AE101" s="55"/>
      <c r="AF101" s="52"/>
      <c r="AG101" s="52"/>
      <c r="AH101" s="44"/>
      <c r="AI101" s="44"/>
      <c r="AJ101" s="51"/>
      <c r="AK101" s="44"/>
      <c r="AL101" s="52">
        <v>18</v>
      </c>
      <c r="AM101" s="47" t="s">
        <v>50</v>
      </c>
      <c r="AN101" s="44" t="s">
        <v>51</v>
      </c>
      <c r="AO101" s="85"/>
      <c r="AP101" s="85"/>
    </row>
    <row r="102" spans="1:42" s="20" customFormat="1" ht="14.25" customHeight="1" x14ac:dyDescent="0.25">
      <c r="A102" s="43">
        <v>46078</v>
      </c>
      <c r="B102" s="43"/>
      <c r="C102" s="21" t="s">
        <v>52</v>
      </c>
      <c r="D102" s="14" t="s">
        <v>53</v>
      </c>
      <c r="E102" s="98">
        <v>7112</v>
      </c>
      <c r="F102" s="44" t="s">
        <v>54</v>
      </c>
      <c r="G102" s="106">
        <v>20968975</v>
      </c>
      <c r="H102" s="2" t="s">
        <v>370</v>
      </c>
      <c r="I102" s="45"/>
      <c r="J102" s="45"/>
      <c r="K102" s="53">
        <v>7780</v>
      </c>
      <c r="L102" s="45"/>
      <c r="M102" s="45"/>
      <c r="N102" s="45"/>
      <c r="O102" s="54"/>
      <c r="P102" s="53">
        <f t="shared" si="1"/>
        <v>7780</v>
      </c>
      <c r="Q102" s="76"/>
      <c r="R102" s="58"/>
      <c r="S102" s="58"/>
      <c r="T102" s="44"/>
      <c r="U102" s="57"/>
      <c r="V102" s="44" t="s">
        <v>47</v>
      </c>
      <c r="W102" s="58"/>
      <c r="X102" s="56">
        <v>46078</v>
      </c>
      <c r="Y102" s="44" t="s">
        <v>63</v>
      </c>
      <c r="Z102" s="44"/>
      <c r="AA102" s="44"/>
      <c r="AB102" s="44" t="s">
        <v>49</v>
      </c>
      <c r="AC102" s="44"/>
      <c r="AD102" s="44" t="s">
        <v>48</v>
      </c>
      <c r="AE102" s="55"/>
      <c r="AF102" s="52"/>
      <c r="AG102" s="52"/>
      <c r="AH102" s="44"/>
      <c r="AI102" s="44"/>
      <c r="AJ102" s="51"/>
      <c r="AK102" s="44"/>
      <c r="AL102" s="52">
        <v>18</v>
      </c>
      <c r="AM102" s="47" t="s">
        <v>50</v>
      </c>
      <c r="AN102" s="44" t="s">
        <v>51</v>
      </c>
      <c r="AO102" s="85"/>
      <c r="AP102" s="85"/>
    </row>
    <row r="103" spans="1:42" s="20" customFormat="1" ht="14.25" customHeight="1" x14ac:dyDescent="0.25">
      <c r="A103" s="43">
        <v>46078</v>
      </c>
      <c r="B103" s="43"/>
      <c r="C103" s="21" t="s">
        <v>52</v>
      </c>
      <c r="D103" s="14" t="s">
        <v>53</v>
      </c>
      <c r="E103" s="98">
        <v>7113</v>
      </c>
      <c r="F103" s="46" t="s">
        <v>54</v>
      </c>
      <c r="G103" s="106">
        <v>45073089</v>
      </c>
      <c r="H103" s="2" t="s">
        <v>333</v>
      </c>
      <c r="I103" s="45"/>
      <c r="J103" s="45"/>
      <c r="K103" s="53">
        <v>10816</v>
      </c>
      <c r="L103" s="45"/>
      <c r="M103" s="45"/>
      <c r="N103" s="45"/>
      <c r="O103" s="54"/>
      <c r="P103" s="53">
        <f t="shared" si="1"/>
        <v>10816</v>
      </c>
      <c r="Q103" s="76"/>
      <c r="R103" s="58"/>
      <c r="S103" s="58"/>
      <c r="T103" s="44"/>
      <c r="U103" s="57"/>
      <c r="V103" s="44" t="s">
        <v>47</v>
      </c>
      <c r="W103" s="58"/>
      <c r="X103" s="56">
        <v>46106</v>
      </c>
      <c r="Y103" s="44" t="s">
        <v>63</v>
      </c>
      <c r="Z103" s="44"/>
      <c r="AA103" s="44"/>
      <c r="AB103" s="44" t="s">
        <v>49</v>
      </c>
      <c r="AC103" s="44"/>
      <c r="AD103" s="44" t="s">
        <v>48</v>
      </c>
      <c r="AE103" s="55"/>
      <c r="AF103" s="52"/>
      <c r="AG103" s="52"/>
      <c r="AH103" s="44"/>
      <c r="AI103" s="44"/>
      <c r="AJ103" s="51"/>
      <c r="AK103" s="44"/>
      <c r="AL103" s="52">
        <v>18</v>
      </c>
      <c r="AM103" s="47" t="s">
        <v>50</v>
      </c>
      <c r="AN103" s="44" t="s">
        <v>51</v>
      </c>
      <c r="AO103" s="85"/>
      <c r="AP103" s="85"/>
    </row>
    <row r="104" spans="1:42" s="20" customFormat="1" ht="14.25" customHeight="1" x14ac:dyDescent="0.25">
      <c r="A104" s="43">
        <v>46078</v>
      </c>
      <c r="B104" s="43"/>
      <c r="C104" s="21" t="s">
        <v>52</v>
      </c>
      <c r="D104" s="14" t="s">
        <v>53</v>
      </c>
      <c r="E104" s="98">
        <v>7114</v>
      </c>
      <c r="F104" s="46" t="s">
        <v>54</v>
      </c>
      <c r="G104" s="106">
        <v>63260228</v>
      </c>
      <c r="H104" s="2" t="s">
        <v>371</v>
      </c>
      <c r="I104" s="45"/>
      <c r="J104" s="45"/>
      <c r="K104" s="53">
        <v>11560</v>
      </c>
      <c r="L104" s="45"/>
      <c r="M104" s="45"/>
      <c r="N104" s="45"/>
      <c r="O104" s="45"/>
      <c r="P104" s="53">
        <f t="shared" si="1"/>
        <v>11560</v>
      </c>
      <c r="Q104" s="75"/>
      <c r="R104" s="56"/>
      <c r="S104" s="58"/>
      <c r="T104" s="58"/>
      <c r="U104" s="58"/>
      <c r="V104" s="44" t="s">
        <v>47</v>
      </c>
      <c r="W104" s="57"/>
      <c r="X104" s="56">
        <v>46078</v>
      </c>
      <c r="Y104" s="44" t="s">
        <v>63</v>
      </c>
      <c r="Z104" s="44"/>
      <c r="AA104" s="44"/>
      <c r="AB104" s="44" t="s">
        <v>49</v>
      </c>
      <c r="AC104" s="44"/>
      <c r="AD104" s="44" t="s">
        <v>48</v>
      </c>
      <c r="AE104" s="55"/>
      <c r="AF104" s="52"/>
      <c r="AG104" s="52"/>
      <c r="AH104" s="44"/>
      <c r="AI104" s="44"/>
      <c r="AJ104" s="51"/>
      <c r="AK104" s="44"/>
      <c r="AL104" s="52">
        <v>18</v>
      </c>
      <c r="AM104" s="47" t="s">
        <v>50</v>
      </c>
      <c r="AN104" s="44" t="s">
        <v>51</v>
      </c>
      <c r="AO104" s="58"/>
      <c r="AP104" s="57"/>
    </row>
    <row r="105" spans="1:42" s="20" customFormat="1" ht="14.25" customHeight="1" x14ac:dyDescent="0.25">
      <c r="A105" s="43">
        <v>46078</v>
      </c>
      <c r="B105" s="43"/>
      <c r="C105" s="21" t="s">
        <v>52</v>
      </c>
      <c r="D105" s="14" t="s">
        <v>53</v>
      </c>
      <c r="E105" s="98">
        <v>7115</v>
      </c>
      <c r="F105" s="44" t="s">
        <v>54</v>
      </c>
      <c r="G105" s="106">
        <v>76349582</v>
      </c>
      <c r="H105" s="2" t="s">
        <v>372</v>
      </c>
      <c r="I105" s="45"/>
      <c r="J105" s="45"/>
      <c r="K105" s="53">
        <v>7780</v>
      </c>
      <c r="L105" s="45"/>
      <c r="M105" s="45"/>
      <c r="N105" s="45"/>
      <c r="O105" s="45"/>
      <c r="P105" s="53">
        <f t="shared" si="1"/>
        <v>7780</v>
      </c>
      <c r="Q105" s="75"/>
      <c r="R105" s="56"/>
      <c r="S105" s="58"/>
      <c r="T105" s="58"/>
      <c r="U105" s="58"/>
      <c r="V105" s="44" t="s">
        <v>47</v>
      </c>
      <c r="W105" s="57"/>
      <c r="X105" s="56">
        <v>46078</v>
      </c>
      <c r="Y105" s="44" t="s">
        <v>63</v>
      </c>
      <c r="Z105" s="44"/>
      <c r="AA105" s="44"/>
      <c r="AB105" s="44" t="s">
        <v>49</v>
      </c>
      <c r="AC105" s="44"/>
      <c r="AD105" s="44" t="s">
        <v>48</v>
      </c>
      <c r="AE105" s="55"/>
      <c r="AF105" s="52"/>
      <c r="AG105" s="52"/>
      <c r="AH105" s="44"/>
      <c r="AI105" s="44"/>
      <c r="AJ105" s="51"/>
      <c r="AK105" s="44"/>
      <c r="AL105" s="52">
        <v>18</v>
      </c>
      <c r="AM105" s="47" t="s">
        <v>50</v>
      </c>
      <c r="AN105" s="44" t="s">
        <v>51</v>
      </c>
      <c r="AO105" s="58"/>
      <c r="AP105" s="57"/>
    </row>
    <row r="106" spans="1:42" s="20" customFormat="1" ht="15" customHeight="1" x14ac:dyDescent="0.25">
      <c r="A106" s="43">
        <v>46078</v>
      </c>
      <c r="B106" s="43"/>
      <c r="C106" s="21" t="s">
        <v>52</v>
      </c>
      <c r="D106" s="14" t="s">
        <v>53</v>
      </c>
      <c r="E106" s="98">
        <v>7116</v>
      </c>
      <c r="F106" s="46" t="s">
        <v>54</v>
      </c>
      <c r="G106" s="106">
        <v>48040531</v>
      </c>
      <c r="H106" s="2" t="s">
        <v>334</v>
      </c>
      <c r="I106" s="45"/>
      <c r="J106" s="45"/>
      <c r="K106" s="53">
        <v>4714</v>
      </c>
      <c r="L106" s="45"/>
      <c r="M106" s="45"/>
      <c r="N106" s="45"/>
      <c r="O106" s="54"/>
      <c r="P106" s="53">
        <f t="shared" si="1"/>
        <v>4714</v>
      </c>
      <c r="Q106" s="76"/>
      <c r="R106" s="58"/>
      <c r="S106" s="58"/>
      <c r="T106" s="44"/>
      <c r="U106" s="57"/>
      <c r="V106" s="44" t="s">
        <v>47</v>
      </c>
      <c r="W106" s="58"/>
      <c r="X106" s="56">
        <v>46106</v>
      </c>
      <c r="Y106" s="44" t="s">
        <v>63</v>
      </c>
      <c r="Z106" s="44"/>
      <c r="AA106" s="44"/>
      <c r="AB106" s="44" t="s">
        <v>49</v>
      </c>
      <c r="AC106" s="44"/>
      <c r="AD106" s="44" t="s">
        <v>48</v>
      </c>
      <c r="AE106" s="55"/>
      <c r="AF106" s="52"/>
      <c r="AG106" s="52"/>
      <c r="AH106" s="44"/>
      <c r="AI106" s="44"/>
      <c r="AJ106" s="51"/>
      <c r="AK106" s="44"/>
      <c r="AL106" s="52">
        <v>18</v>
      </c>
      <c r="AM106" s="47" t="s">
        <v>50</v>
      </c>
      <c r="AN106" s="44" t="s">
        <v>51</v>
      </c>
      <c r="AO106" s="85"/>
      <c r="AP106" s="85"/>
    </row>
    <row r="107" spans="1:42" s="20" customFormat="1" ht="14.25" customHeight="1" x14ac:dyDescent="0.25">
      <c r="A107" s="43">
        <v>46078</v>
      </c>
      <c r="B107" s="43"/>
      <c r="C107" s="21" t="s">
        <v>52</v>
      </c>
      <c r="D107" s="14" t="s">
        <v>53</v>
      </c>
      <c r="E107" s="98">
        <v>7117</v>
      </c>
      <c r="F107" s="44" t="s">
        <v>54</v>
      </c>
      <c r="G107" s="106">
        <v>76401308</v>
      </c>
      <c r="H107" s="2" t="s">
        <v>335</v>
      </c>
      <c r="I107" s="45"/>
      <c r="J107" s="45"/>
      <c r="K107" s="53">
        <v>4604</v>
      </c>
      <c r="L107" s="45"/>
      <c r="M107" s="45"/>
      <c r="N107" s="45"/>
      <c r="O107" s="54"/>
      <c r="P107" s="53">
        <f t="shared" si="1"/>
        <v>4604</v>
      </c>
      <c r="Q107" s="76"/>
      <c r="R107" s="58"/>
      <c r="S107" s="58"/>
      <c r="T107" s="44"/>
      <c r="U107" s="57"/>
      <c r="V107" s="44" t="s">
        <v>47</v>
      </c>
      <c r="W107" s="58"/>
      <c r="X107" s="56">
        <v>46106</v>
      </c>
      <c r="Y107" s="44" t="s">
        <v>63</v>
      </c>
      <c r="Z107" s="44"/>
      <c r="AA107" s="44"/>
      <c r="AB107" s="44" t="s">
        <v>49</v>
      </c>
      <c r="AC107" s="44"/>
      <c r="AD107" s="44" t="s">
        <v>48</v>
      </c>
      <c r="AE107" s="55"/>
      <c r="AF107" s="52"/>
      <c r="AG107" s="52"/>
      <c r="AH107" s="44"/>
      <c r="AI107" s="44"/>
      <c r="AJ107" s="51"/>
      <c r="AK107" s="44"/>
      <c r="AL107" s="52">
        <v>18</v>
      </c>
      <c r="AM107" s="47" t="s">
        <v>50</v>
      </c>
      <c r="AN107" s="44" t="s">
        <v>51</v>
      </c>
      <c r="AO107" s="85"/>
      <c r="AP107" s="85"/>
    </row>
    <row r="108" spans="1:42" s="20" customFormat="1" ht="14.25" customHeight="1" x14ac:dyDescent="0.25">
      <c r="A108" s="43">
        <v>46079</v>
      </c>
      <c r="B108" s="43"/>
      <c r="C108" s="21" t="s">
        <v>52</v>
      </c>
      <c r="D108" s="14" t="s">
        <v>53</v>
      </c>
      <c r="E108" s="98">
        <v>7118</v>
      </c>
      <c r="F108" s="46" t="s">
        <v>54</v>
      </c>
      <c r="G108" s="106">
        <v>43859102</v>
      </c>
      <c r="H108" s="2" t="s">
        <v>336</v>
      </c>
      <c r="I108" s="45"/>
      <c r="J108" s="45"/>
      <c r="K108" s="53">
        <v>10816</v>
      </c>
      <c r="L108" s="45"/>
      <c r="M108" s="45"/>
      <c r="N108" s="45"/>
      <c r="O108" s="54"/>
      <c r="P108" s="53">
        <f t="shared" si="1"/>
        <v>10816</v>
      </c>
      <c r="Q108" s="76"/>
      <c r="R108" s="58"/>
      <c r="S108" s="58"/>
      <c r="T108" s="44"/>
      <c r="U108" s="57"/>
      <c r="V108" s="44" t="s">
        <v>47</v>
      </c>
      <c r="W108" s="58"/>
      <c r="X108" s="56">
        <v>46107</v>
      </c>
      <c r="Y108" s="44" t="s">
        <v>63</v>
      </c>
      <c r="Z108" s="44"/>
      <c r="AA108" s="44"/>
      <c r="AB108" s="44" t="s">
        <v>49</v>
      </c>
      <c r="AC108" s="44"/>
      <c r="AD108" s="44" t="s">
        <v>48</v>
      </c>
      <c r="AE108" s="55"/>
      <c r="AF108" s="52"/>
      <c r="AG108" s="52"/>
      <c r="AH108" s="44"/>
      <c r="AI108" s="44"/>
      <c r="AJ108" s="51"/>
      <c r="AK108" s="44"/>
      <c r="AL108" s="52">
        <v>18</v>
      </c>
      <c r="AM108" s="47" t="s">
        <v>50</v>
      </c>
      <c r="AN108" s="44" t="s">
        <v>51</v>
      </c>
      <c r="AO108" s="85"/>
      <c r="AP108" s="85"/>
    </row>
    <row r="109" spans="1:42" s="20" customFormat="1" ht="14.25" customHeight="1" x14ac:dyDescent="0.25">
      <c r="A109" s="43">
        <v>46079</v>
      </c>
      <c r="B109" s="43"/>
      <c r="C109" s="21" t="s">
        <v>52</v>
      </c>
      <c r="D109" s="14" t="s">
        <v>53</v>
      </c>
      <c r="E109" s="98">
        <v>7119</v>
      </c>
      <c r="F109" s="44" t="s">
        <v>54</v>
      </c>
      <c r="G109" s="106">
        <v>40733127</v>
      </c>
      <c r="H109" s="2" t="s">
        <v>373</v>
      </c>
      <c r="I109" s="45"/>
      <c r="J109" s="45"/>
      <c r="K109" s="53">
        <v>7780</v>
      </c>
      <c r="L109" s="45"/>
      <c r="M109" s="45"/>
      <c r="N109" s="45"/>
      <c r="O109" s="54"/>
      <c r="P109" s="53">
        <f t="shared" si="1"/>
        <v>7780</v>
      </c>
      <c r="Q109" s="76"/>
      <c r="R109" s="58"/>
      <c r="S109" s="58"/>
      <c r="T109" s="44"/>
      <c r="U109" s="57"/>
      <c r="V109" s="44" t="s">
        <v>47</v>
      </c>
      <c r="W109" s="58"/>
      <c r="X109" s="56">
        <v>46079</v>
      </c>
      <c r="Y109" s="44" t="s">
        <v>63</v>
      </c>
      <c r="Z109" s="44"/>
      <c r="AA109" s="44"/>
      <c r="AB109" s="44" t="s">
        <v>49</v>
      </c>
      <c r="AC109" s="44"/>
      <c r="AD109" s="44" t="s">
        <v>48</v>
      </c>
      <c r="AE109" s="55"/>
      <c r="AF109" s="52"/>
      <c r="AG109" s="52"/>
      <c r="AH109" s="44"/>
      <c r="AI109" s="44"/>
      <c r="AJ109" s="51"/>
      <c r="AK109" s="44"/>
      <c r="AL109" s="52">
        <v>18</v>
      </c>
      <c r="AM109" s="47" t="s">
        <v>50</v>
      </c>
      <c r="AN109" s="44" t="s">
        <v>51</v>
      </c>
      <c r="AO109" s="85"/>
      <c r="AP109" s="85"/>
    </row>
    <row r="110" spans="1:42" s="20" customFormat="1" ht="14.25" customHeight="1" x14ac:dyDescent="0.25">
      <c r="A110" s="43">
        <v>46080</v>
      </c>
      <c r="B110" s="43"/>
      <c r="C110" s="21" t="s">
        <v>52</v>
      </c>
      <c r="D110" s="14" t="s">
        <v>53</v>
      </c>
      <c r="E110" s="98">
        <v>7120</v>
      </c>
      <c r="F110" s="46" t="s">
        <v>54</v>
      </c>
      <c r="G110" s="106">
        <v>77286981</v>
      </c>
      <c r="H110" s="2" t="s">
        <v>374</v>
      </c>
      <c r="I110" s="45"/>
      <c r="J110" s="45"/>
      <c r="K110" s="53">
        <v>7780</v>
      </c>
      <c r="L110" s="45"/>
      <c r="M110" s="45"/>
      <c r="N110" s="45"/>
      <c r="O110" s="54"/>
      <c r="P110" s="53">
        <f t="shared" si="1"/>
        <v>7780</v>
      </c>
      <c r="Q110" s="76"/>
      <c r="R110" s="58"/>
      <c r="S110" s="58"/>
      <c r="T110" s="44"/>
      <c r="U110" s="57"/>
      <c r="V110" s="44" t="s">
        <v>47</v>
      </c>
      <c r="W110" s="58"/>
      <c r="X110" s="56">
        <v>46080</v>
      </c>
      <c r="Y110" s="44" t="s">
        <v>63</v>
      </c>
      <c r="Z110" s="44"/>
      <c r="AA110" s="44"/>
      <c r="AB110" s="44" t="s">
        <v>49</v>
      </c>
      <c r="AC110" s="44"/>
      <c r="AD110" s="44" t="s">
        <v>48</v>
      </c>
      <c r="AE110" s="55"/>
      <c r="AF110" s="52"/>
      <c r="AG110" s="52"/>
      <c r="AH110" s="44"/>
      <c r="AI110" s="44"/>
      <c r="AJ110" s="51"/>
      <c r="AK110" s="44"/>
      <c r="AL110" s="52">
        <v>18</v>
      </c>
      <c r="AM110" s="47" t="s">
        <v>50</v>
      </c>
      <c r="AN110" s="44" t="s">
        <v>51</v>
      </c>
      <c r="AO110" s="85"/>
      <c r="AP110" s="85"/>
    </row>
    <row r="111" spans="1:42" s="20" customFormat="1" ht="14.25" customHeight="1" x14ac:dyDescent="0.25">
      <c r="A111" s="43">
        <v>46080</v>
      </c>
      <c r="B111" s="43"/>
      <c r="C111" s="21" t="s">
        <v>52</v>
      </c>
      <c r="D111" s="14" t="s">
        <v>53</v>
      </c>
      <c r="E111" s="98">
        <v>7121</v>
      </c>
      <c r="F111" s="44" t="s">
        <v>54</v>
      </c>
      <c r="G111" s="106">
        <v>48124768</v>
      </c>
      <c r="H111" s="2" t="s">
        <v>337</v>
      </c>
      <c r="I111" s="45"/>
      <c r="J111" s="45"/>
      <c r="K111" s="53">
        <v>0</v>
      </c>
      <c r="L111" s="45"/>
      <c r="M111" s="45"/>
      <c r="N111" s="45"/>
      <c r="O111" s="54"/>
      <c r="P111" s="53">
        <f t="shared" si="1"/>
        <v>0</v>
      </c>
      <c r="Q111" s="76"/>
      <c r="R111" s="58"/>
      <c r="S111" s="58"/>
      <c r="T111" s="44"/>
      <c r="U111" s="57"/>
      <c r="V111" s="44" t="s">
        <v>47</v>
      </c>
      <c r="W111" s="58"/>
      <c r="X111" s="56">
        <v>46080</v>
      </c>
      <c r="Y111" s="15" t="s">
        <v>61</v>
      </c>
      <c r="Z111" s="26"/>
      <c r="AA111" s="26"/>
      <c r="AB111" s="15" t="s">
        <v>49</v>
      </c>
      <c r="AC111" s="26"/>
      <c r="AD111" s="44" t="s">
        <v>48</v>
      </c>
      <c r="AE111" s="27"/>
      <c r="AF111" s="24"/>
      <c r="AG111" s="24"/>
      <c r="AH111" s="26"/>
      <c r="AI111" s="26"/>
      <c r="AJ111" s="25"/>
      <c r="AK111" s="26"/>
      <c r="AL111" s="17">
        <v>18</v>
      </c>
      <c r="AM111" s="47" t="s">
        <v>64</v>
      </c>
      <c r="AN111" s="44" t="s">
        <v>51</v>
      </c>
      <c r="AO111" s="85"/>
      <c r="AP111" s="85"/>
    </row>
    <row r="112" spans="1:42" s="20" customFormat="1" ht="14.25" customHeight="1" x14ac:dyDescent="0.25">
      <c r="A112" s="43">
        <v>46080</v>
      </c>
      <c r="B112" s="43"/>
      <c r="C112" s="21" t="s">
        <v>52</v>
      </c>
      <c r="D112" s="14" t="s">
        <v>53</v>
      </c>
      <c r="E112" s="98">
        <v>7122</v>
      </c>
      <c r="F112" s="46" t="s">
        <v>54</v>
      </c>
      <c r="G112" s="106">
        <v>77797667</v>
      </c>
      <c r="H112" s="2" t="s">
        <v>375</v>
      </c>
      <c r="I112" s="45"/>
      <c r="J112" s="45"/>
      <c r="K112" s="53">
        <v>7068</v>
      </c>
      <c r="L112" s="45"/>
      <c r="M112" s="45"/>
      <c r="N112" s="45"/>
      <c r="O112" s="54"/>
      <c r="P112" s="53">
        <f t="shared" si="1"/>
        <v>7068</v>
      </c>
      <c r="Q112" s="76"/>
      <c r="R112" s="58"/>
      <c r="S112" s="58"/>
      <c r="T112" s="44"/>
      <c r="U112" s="57"/>
      <c r="V112" s="44" t="s">
        <v>47</v>
      </c>
      <c r="W112" s="58"/>
      <c r="X112" s="56">
        <v>46108</v>
      </c>
      <c r="Y112" s="44" t="s">
        <v>63</v>
      </c>
      <c r="Z112" s="44"/>
      <c r="AA112" s="44"/>
      <c r="AB112" s="44" t="s">
        <v>49</v>
      </c>
      <c r="AC112" s="44"/>
      <c r="AD112" s="44" t="s">
        <v>48</v>
      </c>
      <c r="AE112" s="55"/>
      <c r="AF112" s="52"/>
      <c r="AG112" s="52"/>
      <c r="AH112" s="44"/>
      <c r="AI112" s="44"/>
      <c r="AJ112" s="51"/>
      <c r="AK112" s="44"/>
      <c r="AL112" s="52">
        <v>18</v>
      </c>
      <c r="AM112" s="47" t="s">
        <v>50</v>
      </c>
      <c r="AN112" s="44" t="s">
        <v>51</v>
      </c>
      <c r="AO112" s="85"/>
      <c r="AP112" s="85"/>
    </row>
    <row r="113" spans="1:42" s="20" customFormat="1" ht="14.25" customHeight="1" x14ac:dyDescent="0.25">
      <c r="A113" s="43">
        <v>46080</v>
      </c>
      <c r="B113" s="43"/>
      <c r="C113" s="21" t="s">
        <v>52</v>
      </c>
      <c r="D113" s="14" t="s">
        <v>53</v>
      </c>
      <c r="E113" s="98">
        <v>7123</v>
      </c>
      <c r="F113" s="44" t="s">
        <v>54</v>
      </c>
      <c r="G113" s="106">
        <v>74550487</v>
      </c>
      <c r="H113" s="2" t="s">
        <v>338</v>
      </c>
      <c r="I113" s="45"/>
      <c r="J113" s="45"/>
      <c r="K113" s="53">
        <v>7780</v>
      </c>
      <c r="L113" s="45"/>
      <c r="M113" s="45"/>
      <c r="N113" s="45"/>
      <c r="O113" s="54"/>
      <c r="P113" s="53">
        <f t="shared" si="1"/>
        <v>7780</v>
      </c>
      <c r="Q113" s="76"/>
      <c r="R113" s="58"/>
      <c r="S113" s="58"/>
      <c r="T113" s="44"/>
      <c r="U113" s="57"/>
      <c r="V113" s="44" t="s">
        <v>47</v>
      </c>
      <c r="W113" s="58"/>
      <c r="X113" s="56">
        <v>46080</v>
      </c>
      <c r="Y113" s="44" t="s">
        <v>63</v>
      </c>
      <c r="Z113" s="44"/>
      <c r="AA113" s="44"/>
      <c r="AB113" s="44" t="s">
        <v>49</v>
      </c>
      <c r="AC113" s="44"/>
      <c r="AD113" s="44" t="s">
        <v>48</v>
      </c>
      <c r="AE113" s="55"/>
      <c r="AF113" s="52"/>
      <c r="AG113" s="52"/>
      <c r="AH113" s="44"/>
      <c r="AI113" s="44"/>
      <c r="AJ113" s="51"/>
      <c r="AK113" s="44"/>
      <c r="AL113" s="52">
        <v>18</v>
      </c>
      <c r="AM113" s="47" t="s">
        <v>50</v>
      </c>
      <c r="AN113" s="44" t="s">
        <v>51</v>
      </c>
      <c r="AO113" s="85"/>
      <c r="AP113" s="85"/>
    </row>
    <row r="114" spans="1:42" s="20" customFormat="1" ht="14.25" customHeight="1" x14ac:dyDescent="0.25">
      <c r="A114" s="43">
        <v>46081</v>
      </c>
      <c r="B114" s="97"/>
      <c r="C114" s="21" t="s">
        <v>52</v>
      </c>
      <c r="D114" s="14" t="s">
        <v>53</v>
      </c>
      <c r="E114" s="98">
        <v>7124</v>
      </c>
      <c r="F114" s="46" t="s">
        <v>54</v>
      </c>
      <c r="G114" s="106">
        <v>48040531</v>
      </c>
      <c r="H114" s="2" t="s">
        <v>376</v>
      </c>
      <c r="I114" s="45"/>
      <c r="J114" s="45"/>
      <c r="K114" s="53">
        <v>4714</v>
      </c>
      <c r="L114" s="45"/>
      <c r="M114" s="45"/>
      <c r="N114" s="45"/>
      <c r="O114" s="54"/>
      <c r="P114" s="53">
        <f t="shared" si="1"/>
        <v>4714</v>
      </c>
      <c r="Q114" s="76"/>
      <c r="R114" s="58"/>
      <c r="S114" s="58"/>
      <c r="T114" s="44"/>
      <c r="U114" s="57"/>
      <c r="V114" s="44" t="s">
        <v>47</v>
      </c>
      <c r="W114" s="58"/>
      <c r="X114" s="56">
        <v>46109</v>
      </c>
      <c r="Y114" s="44" t="s">
        <v>63</v>
      </c>
      <c r="Z114" s="44"/>
      <c r="AA114" s="44"/>
      <c r="AB114" s="44" t="s">
        <v>49</v>
      </c>
      <c r="AC114" s="44"/>
      <c r="AD114" s="44" t="s">
        <v>48</v>
      </c>
      <c r="AE114" s="55"/>
      <c r="AF114" s="52"/>
      <c r="AG114" s="52"/>
      <c r="AH114" s="44"/>
      <c r="AI114" s="44"/>
      <c r="AJ114" s="51"/>
      <c r="AK114" s="44"/>
      <c r="AL114" s="52">
        <v>18</v>
      </c>
      <c r="AM114" s="47" t="s">
        <v>50</v>
      </c>
      <c r="AN114" s="44" t="s">
        <v>51</v>
      </c>
      <c r="AO114" s="85"/>
      <c r="AP114" s="85"/>
    </row>
    <row r="115" spans="1:42" s="36" customFormat="1" ht="14.25" customHeight="1" x14ac:dyDescent="0.25">
      <c r="A115" s="50">
        <v>46081</v>
      </c>
      <c r="B115" s="50"/>
      <c r="C115" s="108" t="s">
        <v>52</v>
      </c>
      <c r="D115" s="42" t="s">
        <v>53</v>
      </c>
      <c r="E115" s="99">
        <v>7125</v>
      </c>
      <c r="F115" s="30" t="s">
        <v>54</v>
      </c>
      <c r="G115" s="109">
        <v>71097999</v>
      </c>
      <c r="H115" s="110" t="s">
        <v>339</v>
      </c>
      <c r="I115" s="111"/>
      <c r="J115" s="111"/>
      <c r="K115" s="112">
        <v>0</v>
      </c>
      <c r="L115" s="111"/>
      <c r="M115" s="111"/>
      <c r="N115" s="111"/>
      <c r="O115" s="113"/>
      <c r="P115" s="112">
        <f t="shared" si="1"/>
        <v>0</v>
      </c>
      <c r="Q115" s="114"/>
      <c r="R115" s="33"/>
      <c r="S115" s="33"/>
      <c r="T115" s="30"/>
      <c r="U115" s="32"/>
      <c r="V115" s="30" t="s">
        <v>47</v>
      </c>
      <c r="W115" s="33"/>
      <c r="X115" s="29">
        <v>46081</v>
      </c>
      <c r="Y115" s="30" t="s">
        <v>63</v>
      </c>
      <c r="Z115" s="30"/>
      <c r="AA115" s="30"/>
      <c r="AB115" s="30" t="s">
        <v>49</v>
      </c>
      <c r="AC115" s="30"/>
      <c r="AD115" s="30" t="s">
        <v>48</v>
      </c>
      <c r="AE115" s="115"/>
      <c r="AF115" s="35"/>
      <c r="AG115" s="35"/>
      <c r="AH115" s="30"/>
      <c r="AI115" s="30"/>
      <c r="AJ115" s="116"/>
      <c r="AK115" s="30"/>
      <c r="AL115" s="35">
        <v>18</v>
      </c>
      <c r="AM115" s="31" t="s">
        <v>57</v>
      </c>
      <c r="AN115" s="30" t="s">
        <v>51</v>
      </c>
      <c r="AO115" s="117"/>
      <c r="AP115" s="117"/>
    </row>
    <row r="116" spans="1:42" s="20" customFormat="1" ht="14.25" customHeight="1" x14ac:dyDescent="0.25">
      <c r="A116" s="43">
        <v>46081</v>
      </c>
      <c r="B116" s="43"/>
      <c r="C116" s="21" t="s">
        <v>52</v>
      </c>
      <c r="D116" s="14" t="s">
        <v>53</v>
      </c>
      <c r="E116" s="98">
        <v>7126</v>
      </c>
      <c r="F116" s="46" t="s">
        <v>54</v>
      </c>
      <c r="G116" s="106">
        <v>71097999</v>
      </c>
      <c r="H116" s="2" t="s">
        <v>339</v>
      </c>
      <c r="I116" s="45"/>
      <c r="J116" s="45"/>
      <c r="K116" s="53">
        <v>0</v>
      </c>
      <c r="L116" s="45"/>
      <c r="M116" s="45"/>
      <c r="N116" s="45"/>
      <c r="O116" s="54"/>
      <c r="P116" s="53">
        <f t="shared" si="1"/>
        <v>0</v>
      </c>
      <c r="Q116" s="76"/>
      <c r="R116" s="58"/>
      <c r="S116" s="58"/>
      <c r="T116" s="44"/>
      <c r="U116" s="57"/>
      <c r="V116" s="44" t="s">
        <v>47</v>
      </c>
      <c r="W116" s="58"/>
      <c r="X116" s="56">
        <v>46081</v>
      </c>
      <c r="Y116" s="15" t="s">
        <v>61</v>
      </c>
      <c r="Z116" s="26"/>
      <c r="AA116" s="26"/>
      <c r="AB116" s="15" t="s">
        <v>49</v>
      </c>
      <c r="AC116" s="26"/>
      <c r="AD116" s="44" t="s">
        <v>48</v>
      </c>
      <c r="AE116" s="27"/>
      <c r="AF116" s="24"/>
      <c r="AG116" s="24"/>
      <c r="AH116" s="26"/>
      <c r="AI116" s="26"/>
      <c r="AJ116" s="25"/>
      <c r="AK116" s="26"/>
      <c r="AL116" s="17">
        <v>18</v>
      </c>
      <c r="AM116" s="47" t="s">
        <v>64</v>
      </c>
      <c r="AN116" s="44" t="s">
        <v>51</v>
      </c>
      <c r="AO116" s="85"/>
      <c r="AP116" s="85"/>
    </row>
    <row r="117" spans="1:42" s="36" customFormat="1" ht="14.25" customHeight="1" x14ac:dyDescent="0.25">
      <c r="A117" s="50">
        <v>46081</v>
      </c>
      <c r="B117" s="50"/>
      <c r="C117" s="108" t="s">
        <v>52</v>
      </c>
      <c r="D117" s="42" t="s">
        <v>53</v>
      </c>
      <c r="E117" s="99">
        <v>7127</v>
      </c>
      <c r="F117" s="30" t="s">
        <v>54</v>
      </c>
      <c r="G117" s="109">
        <v>72469044</v>
      </c>
      <c r="H117" s="110" t="s">
        <v>377</v>
      </c>
      <c r="I117" s="111"/>
      <c r="J117" s="111"/>
      <c r="K117" s="112">
        <v>0</v>
      </c>
      <c r="L117" s="111"/>
      <c r="M117" s="111"/>
      <c r="N117" s="111"/>
      <c r="O117" s="113"/>
      <c r="P117" s="112">
        <f t="shared" ref="P117:P118" si="2">K117</f>
        <v>0</v>
      </c>
      <c r="Q117" s="114"/>
      <c r="R117" s="33"/>
      <c r="S117" s="33"/>
      <c r="T117" s="30"/>
      <c r="U117" s="32"/>
      <c r="V117" s="30" t="s">
        <v>47</v>
      </c>
      <c r="W117" s="33"/>
      <c r="X117" s="29">
        <v>46081</v>
      </c>
      <c r="Y117" s="30" t="s">
        <v>63</v>
      </c>
      <c r="Z117" s="30"/>
      <c r="AA117" s="30"/>
      <c r="AB117" s="30" t="s">
        <v>49</v>
      </c>
      <c r="AC117" s="30"/>
      <c r="AD117" s="30" t="s">
        <v>48</v>
      </c>
      <c r="AE117" s="115"/>
      <c r="AF117" s="35"/>
      <c r="AG117" s="35"/>
      <c r="AH117" s="30"/>
      <c r="AI117" s="30"/>
      <c r="AJ117" s="116"/>
      <c r="AK117" s="30"/>
      <c r="AL117" s="35">
        <v>18</v>
      </c>
      <c r="AM117" s="31" t="s">
        <v>57</v>
      </c>
      <c r="AN117" s="30" t="s">
        <v>51</v>
      </c>
      <c r="AO117" s="117"/>
      <c r="AP117" s="117"/>
    </row>
    <row r="118" spans="1:42" s="20" customFormat="1" ht="14.25" customHeight="1" x14ac:dyDescent="0.25">
      <c r="A118" s="43">
        <v>46081</v>
      </c>
      <c r="B118" s="43"/>
      <c r="C118" s="21" t="s">
        <v>52</v>
      </c>
      <c r="D118" s="14" t="s">
        <v>53</v>
      </c>
      <c r="E118" s="98">
        <v>7128</v>
      </c>
      <c r="F118" s="46" t="s">
        <v>54</v>
      </c>
      <c r="G118" s="106">
        <v>72469044</v>
      </c>
      <c r="H118" s="2" t="s">
        <v>377</v>
      </c>
      <c r="I118" s="45"/>
      <c r="J118" s="45"/>
      <c r="K118" s="53">
        <v>0</v>
      </c>
      <c r="L118" s="45"/>
      <c r="M118" s="45"/>
      <c r="N118" s="45"/>
      <c r="O118" s="54"/>
      <c r="P118" s="53">
        <f t="shared" si="2"/>
        <v>0</v>
      </c>
      <c r="Q118" s="76"/>
      <c r="R118" s="58"/>
      <c r="S118" s="58"/>
      <c r="T118" s="44"/>
      <c r="U118" s="57"/>
      <c r="V118" s="44" t="s">
        <v>47</v>
      </c>
      <c r="W118" s="58"/>
      <c r="X118" s="56">
        <v>46081</v>
      </c>
      <c r="Y118" s="15" t="s">
        <v>61</v>
      </c>
      <c r="Z118" s="26"/>
      <c r="AA118" s="26"/>
      <c r="AB118" s="15" t="s">
        <v>49</v>
      </c>
      <c r="AC118" s="26"/>
      <c r="AD118" s="44" t="s">
        <v>48</v>
      </c>
      <c r="AE118" s="27"/>
      <c r="AF118" s="24"/>
      <c r="AG118" s="24"/>
      <c r="AH118" s="26"/>
      <c r="AI118" s="26"/>
      <c r="AJ118" s="25"/>
      <c r="AK118" s="26"/>
      <c r="AL118" s="17">
        <v>18</v>
      </c>
      <c r="AM118" s="47" t="s">
        <v>64</v>
      </c>
      <c r="AN118" s="44" t="s">
        <v>51</v>
      </c>
      <c r="AO118" s="85"/>
      <c r="AP118" s="85"/>
    </row>
    <row r="119" spans="1:42" s="37" customFormat="1" ht="15.75" customHeight="1" x14ac:dyDescent="0.25">
      <c r="A119" s="40"/>
      <c r="B119" s="40"/>
      <c r="C119" s="40"/>
      <c r="D119" s="40"/>
      <c r="E119" s="40"/>
      <c r="F119" s="40"/>
      <c r="G119" s="40"/>
      <c r="H119" s="40"/>
      <c r="I119" s="40"/>
      <c r="J119" s="40"/>
      <c r="K119" s="40"/>
      <c r="L119" s="40"/>
      <c r="M119" s="40"/>
      <c r="N119" s="40"/>
      <c r="O119" s="40"/>
      <c r="P119" s="40"/>
      <c r="Q119" s="77"/>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row>
    <row r="120" spans="1:42" s="28" customFormat="1" ht="15" customHeight="1" x14ac:dyDescent="0.25">
      <c r="A120" s="43">
        <v>46066</v>
      </c>
      <c r="B120" s="18"/>
      <c r="C120" s="22" t="s">
        <v>45</v>
      </c>
      <c r="D120" s="23" t="s">
        <v>55</v>
      </c>
      <c r="E120" s="98">
        <v>851</v>
      </c>
      <c r="F120" s="15" t="s">
        <v>46</v>
      </c>
      <c r="G120" s="23" t="s">
        <v>379</v>
      </c>
      <c r="H120" s="71" t="s">
        <v>380</v>
      </c>
      <c r="I120" s="17"/>
      <c r="J120" s="17"/>
      <c r="K120" s="106">
        <v>5380</v>
      </c>
      <c r="L120" s="24"/>
      <c r="M120" s="24"/>
      <c r="N120" s="24"/>
      <c r="O120" s="24"/>
      <c r="P120" s="16">
        <f t="shared" ref="P120:P123" si="3">K120</f>
        <v>5380</v>
      </c>
      <c r="Q120" s="78"/>
      <c r="R120" s="25"/>
      <c r="S120" s="26"/>
      <c r="T120" s="26"/>
      <c r="U120" s="26"/>
      <c r="V120" s="15" t="s">
        <v>47</v>
      </c>
      <c r="W120" s="24"/>
      <c r="X120" s="25">
        <v>46066</v>
      </c>
      <c r="Y120" s="15" t="s">
        <v>63</v>
      </c>
      <c r="Z120" s="26"/>
      <c r="AA120" s="26"/>
      <c r="AB120" s="15" t="s">
        <v>49</v>
      </c>
      <c r="AC120" s="26"/>
      <c r="AD120" s="44" t="s">
        <v>48</v>
      </c>
      <c r="AE120" s="27"/>
      <c r="AF120" s="24"/>
      <c r="AG120" s="24"/>
      <c r="AH120" s="26"/>
      <c r="AI120" s="26"/>
      <c r="AJ120" s="25"/>
      <c r="AK120" s="26"/>
      <c r="AL120" s="17">
        <v>18</v>
      </c>
      <c r="AM120" s="19" t="s">
        <v>50</v>
      </c>
      <c r="AN120" s="15" t="s">
        <v>51</v>
      </c>
      <c r="AO120" s="26"/>
      <c r="AP120" s="24"/>
    </row>
    <row r="121" spans="1:42" s="28" customFormat="1" ht="15" customHeight="1" x14ac:dyDescent="0.25">
      <c r="A121" s="43">
        <v>46066</v>
      </c>
      <c r="B121" s="18"/>
      <c r="C121" s="22" t="s">
        <v>45</v>
      </c>
      <c r="D121" s="23" t="s">
        <v>55</v>
      </c>
      <c r="E121" s="98">
        <v>852</v>
      </c>
      <c r="F121" s="15" t="s">
        <v>46</v>
      </c>
      <c r="G121" s="23" t="s">
        <v>379</v>
      </c>
      <c r="H121" s="71" t="s">
        <v>380</v>
      </c>
      <c r="I121" s="17"/>
      <c r="J121" s="17"/>
      <c r="K121" s="106">
        <v>0</v>
      </c>
      <c r="L121" s="24"/>
      <c r="M121" s="24"/>
      <c r="N121" s="24"/>
      <c r="O121" s="24"/>
      <c r="P121" s="16">
        <f t="shared" si="3"/>
        <v>0</v>
      </c>
      <c r="Q121" s="78"/>
      <c r="R121" s="25"/>
      <c r="S121" s="26"/>
      <c r="T121" s="26"/>
      <c r="U121" s="26"/>
      <c r="V121" s="15" t="s">
        <v>47</v>
      </c>
      <c r="W121" s="24"/>
      <c r="X121" s="25">
        <v>46066</v>
      </c>
      <c r="Y121" s="15" t="s">
        <v>61</v>
      </c>
      <c r="Z121" s="26"/>
      <c r="AA121" s="26"/>
      <c r="AB121" s="15" t="s">
        <v>49</v>
      </c>
      <c r="AC121" s="26"/>
      <c r="AD121" s="44" t="s">
        <v>48</v>
      </c>
      <c r="AE121" s="27"/>
      <c r="AF121" s="24"/>
      <c r="AG121" s="24"/>
      <c r="AH121" s="26"/>
      <c r="AI121" s="26"/>
      <c r="AJ121" s="25"/>
      <c r="AK121" s="26"/>
      <c r="AL121" s="17">
        <v>18</v>
      </c>
      <c r="AM121" s="47" t="s">
        <v>64</v>
      </c>
      <c r="AN121" s="15" t="s">
        <v>51</v>
      </c>
      <c r="AO121" s="26"/>
      <c r="AP121" s="24"/>
    </row>
    <row r="122" spans="1:42" s="28" customFormat="1" ht="15" customHeight="1" x14ac:dyDescent="0.25">
      <c r="A122" s="43">
        <v>46077</v>
      </c>
      <c r="B122" s="18"/>
      <c r="C122" s="22" t="s">
        <v>45</v>
      </c>
      <c r="D122" s="23" t="s">
        <v>55</v>
      </c>
      <c r="E122" s="98">
        <v>853</v>
      </c>
      <c r="F122" s="15" t="s">
        <v>46</v>
      </c>
      <c r="G122" s="23" t="s">
        <v>381</v>
      </c>
      <c r="H122" s="71" t="s">
        <v>382</v>
      </c>
      <c r="I122" s="17"/>
      <c r="J122" s="17"/>
      <c r="K122" s="106">
        <v>6180</v>
      </c>
      <c r="L122" s="24"/>
      <c r="M122" s="24"/>
      <c r="N122" s="24"/>
      <c r="O122" s="24"/>
      <c r="P122" s="16">
        <f t="shared" si="3"/>
        <v>6180</v>
      </c>
      <c r="Q122" s="78"/>
      <c r="R122" s="25"/>
      <c r="S122" s="26"/>
      <c r="T122" s="26"/>
      <c r="U122" s="26"/>
      <c r="V122" s="15" t="s">
        <v>47</v>
      </c>
      <c r="W122" s="24"/>
      <c r="X122" s="25">
        <v>46077</v>
      </c>
      <c r="Y122" s="15" t="s">
        <v>63</v>
      </c>
      <c r="Z122" s="26"/>
      <c r="AA122" s="26"/>
      <c r="AB122" s="15" t="s">
        <v>49</v>
      </c>
      <c r="AC122" s="26"/>
      <c r="AD122" s="44" t="s">
        <v>48</v>
      </c>
      <c r="AE122" s="27"/>
      <c r="AF122" s="24"/>
      <c r="AG122" s="24"/>
      <c r="AH122" s="26"/>
      <c r="AI122" s="26"/>
      <c r="AJ122" s="25"/>
      <c r="AK122" s="26"/>
      <c r="AL122" s="17">
        <v>18</v>
      </c>
      <c r="AM122" s="19" t="s">
        <v>50</v>
      </c>
      <c r="AN122" s="15" t="s">
        <v>51</v>
      </c>
      <c r="AO122" s="26"/>
      <c r="AP122" s="24"/>
    </row>
    <row r="123" spans="1:42" s="28" customFormat="1" ht="15" customHeight="1" x14ac:dyDescent="0.25">
      <c r="A123" s="43">
        <v>46077</v>
      </c>
      <c r="B123" s="18"/>
      <c r="C123" s="22" t="s">
        <v>45</v>
      </c>
      <c r="D123" s="23" t="s">
        <v>55</v>
      </c>
      <c r="E123" s="98">
        <v>854</v>
      </c>
      <c r="F123" s="15" t="s">
        <v>46</v>
      </c>
      <c r="G123" s="23" t="s">
        <v>383</v>
      </c>
      <c r="H123" s="71" t="s">
        <v>384</v>
      </c>
      <c r="I123" s="17"/>
      <c r="J123" s="17"/>
      <c r="K123" s="106">
        <v>10180</v>
      </c>
      <c r="L123" s="24"/>
      <c r="M123" s="24"/>
      <c r="N123" s="24"/>
      <c r="O123" s="24"/>
      <c r="P123" s="16">
        <f t="shared" si="3"/>
        <v>10180</v>
      </c>
      <c r="Q123" s="78"/>
      <c r="R123" s="25"/>
      <c r="S123" s="26"/>
      <c r="T123" s="26"/>
      <c r="U123" s="26"/>
      <c r="V123" s="15" t="s">
        <v>47</v>
      </c>
      <c r="W123" s="24"/>
      <c r="X123" s="25">
        <v>46077</v>
      </c>
      <c r="Y123" s="15" t="s">
        <v>63</v>
      </c>
      <c r="Z123" s="26"/>
      <c r="AA123" s="26"/>
      <c r="AB123" s="15" t="s">
        <v>49</v>
      </c>
      <c r="AC123" s="26"/>
      <c r="AD123" s="44" t="s">
        <v>48</v>
      </c>
      <c r="AE123" s="27"/>
      <c r="AF123" s="24"/>
      <c r="AG123" s="24"/>
      <c r="AH123" s="26"/>
      <c r="AI123" s="26"/>
      <c r="AJ123" s="25"/>
      <c r="AK123" s="26"/>
      <c r="AL123" s="17">
        <v>18</v>
      </c>
      <c r="AM123" s="19" t="s">
        <v>50</v>
      </c>
      <c r="AN123" s="15" t="s">
        <v>51</v>
      </c>
      <c r="AO123" s="26"/>
      <c r="AP123" s="24"/>
    </row>
    <row r="124" spans="1:42" s="74" customFormat="1" ht="15.75" customHeight="1" x14ac:dyDescent="0.25">
      <c r="A124" s="73"/>
      <c r="B124" s="73"/>
      <c r="C124" s="73"/>
      <c r="D124" s="73"/>
      <c r="E124" s="73"/>
      <c r="F124" s="73"/>
      <c r="G124" s="73"/>
      <c r="H124" s="73"/>
      <c r="I124" s="73"/>
      <c r="J124" s="73"/>
      <c r="K124" s="73"/>
      <c r="L124" s="73"/>
      <c r="M124" s="73"/>
      <c r="N124" s="73"/>
      <c r="O124" s="73"/>
      <c r="P124" s="73"/>
      <c r="Q124" s="79"/>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row>
    <row r="125" spans="1:42" s="70" customFormat="1" ht="15" customHeight="1" x14ac:dyDescent="0.25">
      <c r="A125" s="50">
        <v>46081</v>
      </c>
      <c r="B125" s="62"/>
      <c r="C125" s="63" t="s">
        <v>56</v>
      </c>
      <c r="D125" s="64" t="s">
        <v>53</v>
      </c>
      <c r="E125" s="99">
        <v>171</v>
      </c>
      <c r="F125" s="63" t="s">
        <v>60</v>
      </c>
      <c r="G125" s="42" t="s">
        <v>300</v>
      </c>
      <c r="H125" s="72" t="s">
        <v>334</v>
      </c>
      <c r="I125" s="66"/>
      <c r="J125" s="66"/>
      <c r="K125" s="67">
        <v>-4714</v>
      </c>
      <c r="L125" s="66"/>
      <c r="M125" s="66"/>
      <c r="N125" s="66"/>
      <c r="O125" s="66"/>
      <c r="P125" s="67">
        <f>K125</f>
        <v>-4714</v>
      </c>
      <c r="Q125" s="80"/>
      <c r="R125" s="68">
        <v>46078</v>
      </c>
      <c r="S125" s="69" t="s">
        <v>52</v>
      </c>
      <c r="T125" s="69" t="s">
        <v>79</v>
      </c>
      <c r="U125" s="69" t="s">
        <v>385</v>
      </c>
      <c r="V125" s="65" t="s">
        <v>47</v>
      </c>
      <c r="W125" s="66"/>
      <c r="X125" s="68">
        <v>46081</v>
      </c>
      <c r="Y125" s="65" t="s">
        <v>63</v>
      </c>
      <c r="Z125" s="69"/>
      <c r="AA125" s="69"/>
      <c r="AB125" s="65" t="s">
        <v>49</v>
      </c>
      <c r="AC125" s="69"/>
      <c r="AD125" s="65" t="s">
        <v>48</v>
      </c>
      <c r="AE125" s="86"/>
      <c r="AF125" s="66"/>
      <c r="AG125" s="66"/>
      <c r="AH125" s="69"/>
      <c r="AI125" s="69"/>
      <c r="AJ125" s="68"/>
      <c r="AK125" s="69"/>
      <c r="AL125" s="87">
        <v>18</v>
      </c>
      <c r="AM125" s="88" t="s">
        <v>57</v>
      </c>
      <c r="AN125" s="65" t="s">
        <v>51</v>
      </c>
      <c r="AO125" s="69"/>
      <c r="AP125" s="66"/>
    </row>
    <row r="126" spans="1:42" s="74" customFormat="1" ht="15.75" customHeight="1" x14ac:dyDescent="0.25">
      <c r="A126" s="73"/>
      <c r="B126" s="73"/>
      <c r="C126" s="73"/>
      <c r="D126" s="73"/>
      <c r="E126" s="73"/>
      <c r="F126" s="73"/>
      <c r="G126" s="73"/>
      <c r="H126" s="73"/>
      <c r="I126" s="73"/>
      <c r="J126" s="73"/>
      <c r="K126" s="73"/>
      <c r="L126" s="73"/>
      <c r="M126" s="73"/>
      <c r="N126" s="73"/>
      <c r="O126" s="73"/>
      <c r="P126" s="73"/>
      <c r="Q126" s="79"/>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row>
    <row r="127" spans="1:42" s="70" customFormat="1" ht="15" customHeight="1" x14ac:dyDescent="0.25">
      <c r="A127" s="50">
        <v>46059</v>
      </c>
      <c r="B127" s="62"/>
      <c r="C127" s="63" t="s">
        <v>58</v>
      </c>
      <c r="D127" s="64" t="s">
        <v>55</v>
      </c>
      <c r="E127" s="99">
        <v>35</v>
      </c>
      <c r="F127" s="63" t="s">
        <v>46</v>
      </c>
      <c r="G127" s="42" t="s">
        <v>386</v>
      </c>
      <c r="H127" s="72" t="s">
        <v>86</v>
      </c>
      <c r="I127" s="66"/>
      <c r="J127" s="66"/>
      <c r="K127" s="67">
        <v>350</v>
      </c>
      <c r="L127" s="66"/>
      <c r="M127" s="66"/>
      <c r="N127" s="66"/>
      <c r="O127" s="66"/>
      <c r="P127" s="67">
        <f>K127</f>
        <v>350</v>
      </c>
      <c r="Q127" s="80"/>
      <c r="R127" s="68">
        <v>45987</v>
      </c>
      <c r="S127" s="69" t="s">
        <v>45</v>
      </c>
      <c r="T127" s="69" t="s">
        <v>78</v>
      </c>
      <c r="U127" s="69" t="s">
        <v>387</v>
      </c>
      <c r="V127" s="65" t="s">
        <v>47</v>
      </c>
      <c r="W127" s="66"/>
      <c r="X127" s="68">
        <v>46059</v>
      </c>
      <c r="Y127" s="65" t="s">
        <v>63</v>
      </c>
      <c r="Z127" s="69"/>
      <c r="AA127" s="69"/>
      <c r="AB127" s="65" t="s">
        <v>49</v>
      </c>
      <c r="AC127" s="69"/>
      <c r="AD127" s="65" t="s">
        <v>48</v>
      </c>
      <c r="AE127" s="86"/>
      <c r="AF127" s="66"/>
      <c r="AG127" s="66"/>
      <c r="AH127" s="69"/>
      <c r="AI127" s="69"/>
      <c r="AJ127" s="68"/>
      <c r="AK127" s="69"/>
      <c r="AL127" s="87">
        <v>18</v>
      </c>
      <c r="AM127" s="88" t="s">
        <v>59</v>
      </c>
      <c r="AN127" s="65" t="s">
        <v>51</v>
      </c>
      <c r="AO127" s="69"/>
      <c r="AP127" s="66"/>
    </row>
    <row r="128" spans="1:42" s="74" customFormat="1" ht="15.75" customHeight="1" x14ac:dyDescent="0.25">
      <c r="A128" s="73"/>
      <c r="B128" s="73"/>
      <c r="C128" s="73"/>
      <c r="D128" s="73"/>
      <c r="E128" s="73"/>
      <c r="F128" s="73"/>
      <c r="G128" s="73"/>
      <c r="H128" s="73"/>
      <c r="I128" s="73"/>
      <c r="J128" s="73"/>
      <c r="K128" s="73"/>
      <c r="L128" s="73"/>
      <c r="M128" s="73"/>
      <c r="N128" s="73"/>
      <c r="O128" s="73"/>
      <c r="P128" s="73"/>
      <c r="Q128" s="79"/>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row>
    <row r="129" spans="1:42" s="36" customFormat="1" ht="15.75" customHeight="1" x14ac:dyDescent="0.25">
      <c r="A129" s="50">
        <v>46057</v>
      </c>
      <c r="B129" s="29"/>
      <c r="C129" s="30" t="s">
        <v>58</v>
      </c>
      <c r="D129" s="31" t="s">
        <v>53</v>
      </c>
      <c r="E129" s="99">
        <v>451</v>
      </c>
      <c r="F129" s="30" t="s">
        <v>60</v>
      </c>
      <c r="G129" s="42" t="s">
        <v>268</v>
      </c>
      <c r="H129" s="72" t="s">
        <v>388</v>
      </c>
      <c r="I129" s="32"/>
      <c r="J129" s="32"/>
      <c r="K129" s="39">
        <v>244.5</v>
      </c>
      <c r="L129" s="38"/>
      <c r="M129" s="38"/>
      <c r="N129" s="38"/>
      <c r="O129" s="38"/>
      <c r="P129" s="39">
        <f t="shared" ref="P129:P155" si="4">K129</f>
        <v>244.5</v>
      </c>
      <c r="Q129" s="81"/>
      <c r="R129" s="29">
        <v>45770</v>
      </c>
      <c r="S129" s="33" t="s">
        <v>52</v>
      </c>
      <c r="T129" s="69" t="s">
        <v>79</v>
      </c>
      <c r="U129" s="33" t="s">
        <v>62</v>
      </c>
      <c r="V129" s="30" t="s">
        <v>47</v>
      </c>
      <c r="W129" s="32"/>
      <c r="X129" s="29">
        <v>46057</v>
      </c>
      <c r="Y129" s="65" t="s">
        <v>63</v>
      </c>
      <c r="Z129" s="33"/>
      <c r="AA129" s="33"/>
      <c r="AB129" s="30" t="s">
        <v>66</v>
      </c>
      <c r="AC129" s="33"/>
      <c r="AD129" s="30" t="s">
        <v>48</v>
      </c>
      <c r="AE129" s="34"/>
      <c r="AF129" s="32"/>
      <c r="AG129" s="32"/>
      <c r="AH129" s="33"/>
      <c r="AI129" s="33"/>
      <c r="AJ129" s="29"/>
      <c r="AK129" s="33"/>
      <c r="AL129" s="35">
        <v>18</v>
      </c>
      <c r="AM129" s="31" t="s">
        <v>59</v>
      </c>
      <c r="AN129" s="30" t="s">
        <v>51</v>
      </c>
      <c r="AO129" s="33"/>
      <c r="AP129" s="32"/>
    </row>
    <row r="130" spans="1:42" s="36" customFormat="1" ht="15.75" customHeight="1" x14ac:dyDescent="0.25">
      <c r="A130" s="50">
        <v>46057</v>
      </c>
      <c r="B130" s="29"/>
      <c r="C130" s="30" t="s">
        <v>58</v>
      </c>
      <c r="D130" s="31" t="s">
        <v>53</v>
      </c>
      <c r="E130" s="99">
        <v>452</v>
      </c>
      <c r="F130" s="30" t="s">
        <v>60</v>
      </c>
      <c r="G130" s="42" t="s">
        <v>146</v>
      </c>
      <c r="H130" s="72" t="s">
        <v>389</v>
      </c>
      <c r="I130" s="32"/>
      <c r="J130" s="32"/>
      <c r="K130" s="39">
        <v>143.5</v>
      </c>
      <c r="L130" s="38"/>
      <c r="M130" s="38"/>
      <c r="N130" s="38"/>
      <c r="O130" s="38"/>
      <c r="P130" s="39">
        <f t="shared" si="4"/>
        <v>143.5</v>
      </c>
      <c r="Q130" s="81"/>
      <c r="R130" s="29">
        <v>46034</v>
      </c>
      <c r="S130" s="33" t="s">
        <v>52</v>
      </c>
      <c r="T130" s="69" t="s">
        <v>79</v>
      </c>
      <c r="U130" s="33" t="s">
        <v>408</v>
      </c>
      <c r="V130" s="30" t="s">
        <v>47</v>
      </c>
      <c r="W130" s="32"/>
      <c r="X130" s="29">
        <v>46057</v>
      </c>
      <c r="Y130" s="65" t="s">
        <v>63</v>
      </c>
      <c r="Z130" s="33"/>
      <c r="AA130" s="33"/>
      <c r="AB130" s="30" t="s">
        <v>66</v>
      </c>
      <c r="AC130" s="33"/>
      <c r="AD130" s="30" t="s">
        <v>48</v>
      </c>
      <c r="AE130" s="34"/>
      <c r="AF130" s="32"/>
      <c r="AG130" s="32"/>
      <c r="AH130" s="33"/>
      <c r="AI130" s="33"/>
      <c r="AJ130" s="29"/>
      <c r="AK130" s="33"/>
      <c r="AL130" s="35">
        <v>18</v>
      </c>
      <c r="AM130" s="31" t="s">
        <v>59</v>
      </c>
      <c r="AN130" s="30" t="s">
        <v>51</v>
      </c>
      <c r="AO130" s="33"/>
      <c r="AP130" s="32"/>
    </row>
    <row r="131" spans="1:42" s="36" customFormat="1" ht="15.75" customHeight="1" x14ac:dyDescent="0.25">
      <c r="A131" s="50">
        <v>46057</v>
      </c>
      <c r="B131" s="29"/>
      <c r="C131" s="30" t="s">
        <v>58</v>
      </c>
      <c r="D131" s="31" t="s">
        <v>53</v>
      </c>
      <c r="E131" s="99">
        <v>453</v>
      </c>
      <c r="F131" s="30" t="s">
        <v>60</v>
      </c>
      <c r="G131" s="42" t="s">
        <v>266</v>
      </c>
      <c r="H131" s="72" t="s">
        <v>390</v>
      </c>
      <c r="I131" s="32"/>
      <c r="J131" s="32"/>
      <c r="K131" s="39">
        <v>217.5</v>
      </c>
      <c r="L131" s="38"/>
      <c r="M131" s="38"/>
      <c r="N131" s="38"/>
      <c r="O131" s="38"/>
      <c r="P131" s="39">
        <f t="shared" si="4"/>
        <v>217.5</v>
      </c>
      <c r="Q131" s="81"/>
      <c r="R131" s="29">
        <v>45994</v>
      </c>
      <c r="S131" s="33" t="s">
        <v>52</v>
      </c>
      <c r="T131" s="69" t="s">
        <v>79</v>
      </c>
      <c r="U131" s="33" t="s">
        <v>288</v>
      </c>
      <c r="V131" s="30" t="s">
        <v>47</v>
      </c>
      <c r="W131" s="32"/>
      <c r="X131" s="29">
        <v>46057</v>
      </c>
      <c r="Y131" s="65" t="s">
        <v>63</v>
      </c>
      <c r="Z131" s="33"/>
      <c r="AA131" s="33"/>
      <c r="AB131" s="30" t="s">
        <v>66</v>
      </c>
      <c r="AC131" s="33"/>
      <c r="AD131" s="30" t="s">
        <v>48</v>
      </c>
      <c r="AE131" s="34"/>
      <c r="AF131" s="32"/>
      <c r="AG131" s="32"/>
      <c r="AH131" s="33"/>
      <c r="AI131" s="33"/>
      <c r="AJ131" s="29"/>
      <c r="AK131" s="33"/>
      <c r="AL131" s="35">
        <v>18</v>
      </c>
      <c r="AM131" s="31" t="s">
        <v>59</v>
      </c>
      <c r="AN131" s="30" t="s">
        <v>51</v>
      </c>
      <c r="AO131" s="33"/>
      <c r="AP131" s="32"/>
    </row>
    <row r="132" spans="1:42" s="36" customFormat="1" ht="15.75" customHeight="1" x14ac:dyDescent="0.25">
      <c r="A132" s="50">
        <v>46057</v>
      </c>
      <c r="B132" s="29"/>
      <c r="C132" s="30" t="s">
        <v>58</v>
      </c>
      <c r="D132" s="31" t="s">
        <v>53</v>
      </c>
      <c r="E132" s="99">
        <v>454</v>
      </c>
      <c r="F132" s="30" t="s">
        <v>60</v>
      </c>
      <c r="G132" s="42" t="s">
        <v>269</v>
      </c>
      <c r="H132" s="72" t="s">
        <v>391</v>
      </c>
      <c r="I132" s="32"/>
      <c r="J132" s="32"/>
      <c r="K132" s="39">
        <v>42.34</v>
      </c>
      <c r="L132" s="38"/>
      <c r="M132" s="38"/>
      <c r="N132" s="38"/>
      <c r="O132" s="38"/>
      <c r="P132" s="39">
        <f t="shared" si="4"/>
        <v>42.34</v>
      </c>
      <c r="Q132" s="81"/>
      <c r="R132" s="29">
        <v>45932</v>
      </c>
      <c r="S132" s="33" t="s">
        <v>52</v>
      </c>
      <c r="T132" s="69" t="s">
        <v>79</v>
      </c>
      <c r="U132" s="33" t="s">
        <v>83</v>
      </c>
      <c r="V132" s="30" t="s">
        <v>47</v>
      </c>
      <c r="W132" s="32"/>
      <c r="X132" s="29">
        <v>46057</v>
      </c>
      <c r="Y132" s="65" t="s">
        <v>63</v>
      </c>
      <c r="Z132" s="33"/>
      <c r="AA132" s="33"/>
      <c r="AB132" s="30" t="s">
        <v>66</v>
      </c>
      <c r="AC132" s="33"/>
      <c r="AD132" s="30" t="s">
        <v>48</v>
      </c>
      <c r="AE132" s="34"/>
      <c r="AF132" s="32"/>
      <c r="AG132" s="32"/>
      <c r="AH132" s="33"/>
      <c r="AI132" s="33"/>
      <c r="AJ132" s="29"/>
      <c r="AK132" s="33"/>
      <c r="AL132" s="35">
        <v>18</v>
      </c>
      <c r="AM132" s="31" t="s">
        <v>59</v>
      </c>
      <c r="AN132" s="30" t="s">
        <v>51</v>
      </c>
      <c r="AO132" s="33"/>
      <c r="AP132" s="32"/>
    </row>
    <row r="133" spans="1:42" s="36" customFormat="1" ht="15.75" customHeight="1" x14ac:dyDescent="0.25">
      <c r="A133" s="50">
        <v>46057</v>
      </c>
      <c r="B133" s="29"/>
      <c r="C133" s="30" t="s">
        <v>58</v>
      </c>
      <c r="D133" s="31" t="s">
        <v>53</v>
      </c>
      <c r="E133" s="99">
        <v>455</v>
      </c>
      <c r="F133" s="30" t="s">
        <v>60</v>
      </c>
      <c r="G133" s="42" t="s">
        <v>262</v>
      </c>
      <c r="H133" s="72" t="s">
        <v>392</v>
      </c>
      <c r="I133" s="32"/>
      <c r="J133" s="32"/>
      <c r="K133" s="39">
        <v>22</v>
      </c>
      <c r="L133" s="38"/>
      <c r="M133" s="38"/>
      <c r="N133" s="38"/>
      <c r="O133" s="38"/>
      <c r="P133" s="39">
        <f t="shared" si="4"/>
        <v>22</v>
      </c>
      <c r="Q133" s="81"/>
      <c r="R133" s="29">
        <v>45877</v>
      </c>
      <c r="S133" s="33" t="s">
        <v>52</v>
      </c>
      <c r="T133" s="69" t="s">
        <v>79</v>
      </c>
      <c r="U133" s="33" t="s">
        <v>70</v>
      </c>
      <c r="V133" s="30" t="s">
        <v>47</v>
      </c>
      <c r="W133" s="32"/>
      <c r="X133" s="29">
        <v>46057</v>
      </c>
      <c r="Y133" s="65" t="s">
        <v>63</v>
      </c>
      <c r="Z133" s="33"/>
      <c r="AA133" s="33"/>
      <c r="AB133" s="30" t="s">
        <v>66</v>
      </c>
      <c r="AC133" s="33"/>
      <c r="AD133" s="30" t="s">
        <v>48</v>
      </c>
      <c r="AE133" s="34"/>
      <c r="AF133" s="32"/>
      <c r="AG133" s="32"/>
      <c r="AH133" s="33"/>
      <c r="AI133" s="33"/>
      <c r="AJ133" s="29"/>
      <c r="AK133" s="33"/>
      <c r="AL133" s="35">
        <v>18</v>
      </c>
      <c r="AM133" s="31" t="s">
        <v>59</v>
      </c>
      <c r="AN133" s="30" t="s">
        <v>51</v>
      </c>
      <c r="AO133" s="33"/>
      <c r="AP133" s="32"/>
    </row>
    <row r="134" spans="1:42" s="36" customFormat="1" ht="15.75" customHeight="1" x14ac:dyDescent="0.25">
      <c r="A134" s="50">
        <v>46057</v>
      </c>
      <c r="B134" s="29"/>
      <c r="C134" s="30" t="s">
        <v>58</v>
      </c>
      <c r="D134" s="31" t="s">
        <v>53</v>
      </c>
      <c r="E134" s="99">
        <v>456</v>
      </c>
      <c r="F134" s="30" t="s">
        <v>60</v>
      </c>
      <c r="G134" s="42" t="s">
        <v>252</v>
      </c>
      <c r="H134" s="72" t="s">
        <v>393</v>
      </c>
      <c r="I134" s="32"/>
      <c r="J134" s="32"/>
      <c r="K134" s="39">
        <v>180</v>
      </c>
      <c r="L134" s="38"/>
      <c r="M134" s="38"/>
      <c r="N134" s="38"/>
      <c r="O134" s="38"/>
      <c r="P134" s="39">
        <f t="shared" si="4"/>
        <v>180</v>
      </c>
      <c r="Q134" s="81"/>
      <c r="R134" s="29">
        <v>45846</v>
      </c>
      <c r="S134" s="33" t="s">
        <v>52</v>
      </c>
      <c r="T134" s="69" t="s">
        <v>79</v>
      </c>
      <c r="U134" s="33" t="s">
        <v>67</v>
      </c>
      <c r="V134" s="30" t="s">
        <v>47</v>
      </c>
      <c r="W134" s="32"/>
      <c r="X134" s="29">
        <v>46057</v>
      </c>
      <c r="Y134" s="65" t="s">
        <v>63</v>
      </c>
      <c r="Z134" s="33"/>
      <c r="AA134" s="33"/>
      <c r="AB134" s="30" t="s">
        <v>66</v>
      </c>
      <c r="AC134" s="33"/>
      <c r="AD134" s="30" t="s">
        <v>48</v>
      </c>
      <c r="AE134" s="34"/>
      <c r="AF134" s="32"/>
      <c r="AG134" s="32"/>
      <c r="AH134" s="33"/>
      <c r="AI134" s="33"/>
      <c r="AJ134" s="29"/>
      <c r="AK134" s="33"/>
      <c r="AL134" s="35">
        <v>18</v>
      </c>
      <c r="AM134" s="31" t="s">
        <v>59</v>
      </c>
      <c r="AN134" s="30" t="s">
        <v>51</v>
      </c>
      <c r="AO134" s="33"/>
      <c r="AP134" s="32"/>
    </row>
    <row r="135" spans="1:42" s="36" customFormat="1" ht="15.75" customHeight="1" x14ac:dyDescent="0.25">
      <c r="A135" s="50">
        <v>46058</v>
      </c>
      <c r="B135" s="29"/>
      <c r="C135" s="30" t="s">
        <v>58</v>
      </c>
      <c r="D135" s="31" t="s">
        <v>53</v>
      </c>
      <c r="E135" s="99">
        <v>457</v>
      </c>
      <c r="F135" s="30" t="s">
        <v>60</v>
      </c>
      <c r="G135" s="42" t="s">
        <v>270</v>
      </c>
      <c r="H135" s="72" t="s">
        <v>89</v>
      </c>
      <c r="I135" s="32"/>
      <c r="J135" s="32"/>
      <c r="K135" s="39">
        <v>44.5</v>
      </c>
      <c r="L135" s="38"/>
      <c r="M135" s="38"/>
      <c r="N135" s="38"/>
      <c r="O135" s="38"/>
      <c r="P135" s="39">
        <f t="shared" si="4"/>
        <v>44.5</v>
      </c>
      <c r="Q135" s="81"/>
      <c r="R135" s="29">
        <v>45969</v>
      </c>
      <c r="S135" s="33" t="s">
        <v>52</v>
      </c>
      <c r="T135" s="69" t="s">
        <v>79</v>
      </c>
      <c r="U135" s="33" t="s">
        <v>99</v>
      </c>
      <c r="V135" s="30" t="s">
        <v>47</v>
      </c>
      <c r="W135" s="32"/>
      <c r="X135" s="29">
        <v>46058</v>
      </c>
      <c r="Y135" s="65" t="s">
        <v>63</v>
      </c>
      <c r="Z135" s="33"/>
      <c r="AA135" s="33"/>
      <c r="AB135" s="30" t="s">
        <v>66</v>
      </c>
      <c r="AC135" s="33"/>
      <c r="AD135" s="30" t="s">
        <v>48</v>
      </c>
      <c r="AE135" s="34"/>
      <c r="AF135" s="32"/>
      <c r="AG135" s="32"/>
      <c r="AH135" s="33"/>
      <c r="AI135" s="33"/>
      <c r="AJ135" s="29"/>
      <c r="AK135" s="33"/>
      <c r="AL135" s="35">
        <v>18</v>
      </c>
      <c r="AM135" s="31" t="s">
        <v>59</v>
      </c>
      <c r="AN135" s="30" t="s">
        <v>51</v>
      </c>
      <c r="AO135" s="33"/>
      <c r="AP135" s="32"/>
    </row>
    <row r="136" spans="1:42" s="36" customFormat="1" ht="15.75" customHeight="1" x14ac:dyDescent="0.25">
      <c r="A136" s="50">
        <v>46058</v>
      </c>
      <c r="B136" s="29"/>
      <c r="C136" s="30" t="s">
        <v>58</v>
      </c>
      <c r="D136" s="31" t="s">
        <v>53</v>
      </c>
      <c r="E136" s="99">
        <v>458</v>
      </c>
      <c r="F136" s="30" t="s">
        <v>60</v>
      </c>
      <c r="G136" s="42" t="s">
        <v>263</v>
      </c>
      <c r="H136" s="72" t="s">
        <v>394</v>
      </c>
      <c r="I136" s="32"/>
      <c r="J136" s="32"/>
      <c r="K136" s="39">
        <v>94.66</v>
      </c>
      <c r="L136" s="38"/>
      <c r="M136" s="38"/>
      <c r="N136" s="38"/>
      <c r="O136" s="38"/>
      <c r="P136" s="39">
        <f t="shared" si="4"/>
        <v>94.66</v>
      </c>
      <c r="Q136" s="81"/>
      <c r="R136" s="29">
        <v>46009</v>
      </c>
      <c r="S136" s="33" t="s">
        <v>52</v>
      </c>
      <c r="T136" s="69" t="s">
        <v>79</v>
      </c>
      <c r="U136" s="33" t="s">
        <v>287</v>
      </c>
      <c r="V136" s="30" t="s">
        <v>47</v>
      </c>
      <c r="W136" s="32"/>
      <c r="X136" s="29">
        <v>46058</v>
      </c>
      <c r="Y136" s="65" t="s">
        <v>63</v>
      </c>
      <c r="Z136" s="33"/>
      <c r="AA136" s="33"/>
      <c r="AB136" s="30" t="s">
        <v>66</v>
      </c>
      <c r="AC136" s="33"/>
      <c r="AD136" s="30" t="s">
        <v>48</v>
      </c>
      <c r="AE136" s="34"/>
      <c r="AF136" s="32"/>
      <c r="AG136" s="32"/>
      <c r="AH136" s="33"/>
      <c r="AI136" s="33"/>
      <c r="AJ136" s="29"/>
      <c r="AK136" s="33"/>
      <c r="AL136" s="35">
        <v>18</v>
      </c>
      <c r="AM136" s="31" t="s">
        <v>59</v>
      </c>
      <c r="AN136" s="30" t="s">
        <v>51</v>
      </c>
      <c r="AO136" s="33"/>
      <c r="AP136" s="32"/>
    </row>
    <row r="137" spans="1:42" s="36" customFormat="1" ht="15.75" customHeight="1" x14ac:dyDescent="0.25">
      <c r="A137" s="50">
        <v>46058</v>
      </c>
      <c r="B137" s="29"/>
      <c r="C137" s="30" t="s">
        <v>58</v>
      </c>
      <c r="D137" s="31" t="s">
        <v>53</v>
      </c>
      <c r="E137" s="99">
        <v>459</v>
      </c>
      <c r="F137" s="30" t="s">
        <v>60</v>
      </c>
      <c r="G137" s="42" t="s">
        <v>250</v>
      </c>
      <c r="H137" s="72" t="s">
        <v>395</v>
      </c>
      <c r="I137" s="32"/>
      <c r="J137" s="32"/>
      <c r="K137" s="39">
        <v>196.5</v>
      </c>
      <c r="L137" s="38"/>
      <c r="M137" s="38"/>
      <c r="N137" s="38"/>
      <c r="O137" s="38"/>
      <c r="P137" s="39">
        <f t="shared" si="4"/>
        <v>196.5</v>
      </c>
      <c r="Q137" s="81"/>
      <c r="R137" s="29">
        <v>45922</v>
      </c>
      <c r="S137" s="33" t="s">
        <v>52</v>
      </c>
      <c r="T137" s="69" t="s">
        <v>79</v>
      </c>
      <c r="U137" s="33" t="s">
        <v>283</v>
      </c>
      <c r="V137" s="30" t="s">
        <v>47</v>
      </c>
      <c r="W137" s="32"/>
      <c r="X137" s="29">
        <v>46058</v>
      </c>
      <c r="Y137" s="65" t="s">
        <v>63</v>
      </c>
      <c r="Z137" s="33"/>
      <c r="AA137" s="33"/>
      <c r="AB137" s="30" t="s">
        <v>66</v>
      </c>
      <c r="AC137" s="33"/>
      <c r="AD137" s="30" t="s">
        <v>48</v>
      </c>
      <c r="AE137" s="34"/>
      <c r="AF137" s="32"/>
      <c r="AG137" s="32"/>
      <c r="AH137" s="33"/>
      <c r="AI137" s="33"/>
      <c r="AJ137" s="29"/>
      <c r="AK137" s="33"/>
      <c r="AL137" s="35">
        <v>18</v>
      </c>
      <c r="AM137" s="31" t="s">
        <v>59</v>
      </c>
      <c r="AN137" s="30" t="s">
        <v>51</v>
      </c>
      <c r="AO137" s="33"/>
      <c r="AP137" s="32"/>
    </row>
    <row r="138" spans="1:42" s="36" customFormat="1" ht="15.75" customHeight="1" x14ac:dyDescent="0.25">
      <c r="A138" s="50">
        <v>46058</v>
      </c>
      <c r="B138" s="29"/>
      <c r="C138" s="30" t="s">
        <v>58</v>
      </c>
      <c r="D138" s="31" t="s">
        <v>53</v>
      </c>
      <c r="E138" s="99">
        <v>460</v>
      </c>
      <c r="F138" s="30" t="s">
        <v>60</v>
      </c>
      <c r="G138" s="42" t="s">
        <v>274</v>
      </c>
      <c r="H138" s="72" t="s">
        <v>396</v>
      </c>
      <c r="I138" s="32"/>
      <c r="J138" s="32"/>
      <c r="K138" s="39">
        <v>169.66</v>
      </c>
      <c r="L138" s="38"/>
      <c r="M138" s="38"/>
      <c r="N138" s="38"/>
      <c r="O138" s="38"/>
      <c r="P138" s="39">
        <f t="shared" si="4"/>
        <v>169.66</v>
      </c>
      <c r="Q138" s="81"/>
      <c r="R138" s="29">
        <v>45868</v>
      </c>
      <c r="S138" s="33" t="s">
        <v>52</v>
      </c>
      <c r="T138" s="69" t="s">
        <v>79</v>
      </c>
      <c r="U138" s="33" t="s">
        <v>68</v>
      </c>
      <c r="V138" s="30" t="s">
        <v>47</v>
      </c>
      <c r="W138" s="32"/>
      <c r="X138" s="29">
        <v>46058</v>
      </c>
      <c r="Y138" s="65" t="s">
        <v>63</v>
      </c>
      <c r="Z138" s="33"/>
      <c r="AA138" s="33"/>
      <c r="AB138" s="30" t="s">
        <v>66</v>
      </c>
      <c r="AC138" s="33"/>
      <c r="AD138" s="30" t="s">
        <v>48</v>
      </c>
      <c r="AE138" s="34"/>
      <c r="AF138" s="32"/>
      <c r="AG138" s="32"/>
      <c r="AH138" s="33"/>
      <c r="AI138" s="33"/>
      <c r="AJ138" s="29"/>
      <c r="AK138" s="33"/>
      <c r="AL138" s="35">
        <v>18</v>
      </c>
      <c r="AM138" s="31" t="s">
        <v>59</v>
      </c>
      <c r="AN138" s="30" t="s">
        <v>51</v>
      </c>
      <c r="AO138" s="33"/>
      <c r="AP138" s="32"/>
    </row>
    <row r="139" spans="1:42" s="36" customFormat="1" ht="15.75" customHeight="1" x14ac:dyDescent="0.25">
      <c r="A139" s="50">
        <v>46059</v>
      </c>
      <c r="B139" s="29"/>
      <c r="C139" s="30" t="s">
        <v>58</v>
      </c>
      <c r="D139" s="31" t="s">
        <v>53</v>
      </c>
      <c r="E139" s="99">
        <v>461</v>
      </c>
      <c r="F139" s="30" t="s">
        <v>60</v>
      </c>
      <c r="G139" s="42" t="s">
        <v>406</v>
      </c>
      <c r="H139" s="72" t="s">
        <v>397</v>
      </c>
      <c r="I139" s="32"/>
      <c r="J139" s="32"/>
      <c r="K139" s="39">
        <v>31</v>
      </c>
      <c r="L139" s="38"/>
      <c r="M139" s="38"/>
      <c r="N139" s="38"/>
      <c r="O139" s="38"/>
      <c r="P139" s="39">
        <f t="shared" si="4"/>
        <v>31</v>
      </c>
      <c r="Q139" s="81"/>
      <c r="R139" s="29">
        <v>46015</v>
      </c>
      <c r="S139" s="33" t="s">
        <v>52</v>
      </c>
      <c r="T139" s="69" t="s">
        <v>79</v>
      </c>
      <c r="U139" s="33" t="s">
        <v>409</v>
      </c>
      <c r="V139" s="30" t="s">
        <v>47</v>
      </c>
      <c r="W139" s="32"/>
      <c r="X139" s="29">
        <v>46059</v>
      </c>
      <c r="Y139" s="65" t="s">
        <v>63</v>
      </c>
      <c r="Z139" s="33"/>
      <c r="AA139" s="33"/>
      <c r="AB139" s="30" t="s">
        <v>66</v>
      </c>
      <c r="AC139" s="33"/>
      <c r="AD139" s="30" t="s">
        <v>48</v>
      </c>
      <c r="AE139" s="34"/>
      <c r="AF139" s="32"/>
      <c r="AG139" s="32"/>
      <c r="AH139" s="33"/>
      <c r="AI139" s="33"/>
      <c r="AJ139" s="29"/>
      <c r="AK139" s="33"/>
      <c r="AL139" s="35">
        <v>18</v>
      </c>
      <c r="AM139" s="31" t="s">
        <v>59</v>
      </c>
      <c r="AN139" s="30" t="s">
        <v>51</v>
      </c>
      <c r="AO139" s="33"/>
      <c r="AP139" s="32"/>
    </row>
    <row r="140" spans="1:42" s="36" customFormat="1" ht="15.75" customHeight="1" x14ac:dyDescent="0.25">
      <c r="A140" s="50">
        <v>46059</v>
      </c>
      <c r="B140" s="29"/>
      <c r="C140" s="30" t="s">
        <v>58</v>
      </c>
      <c r="D140" s="31" t="s">
        <v>53</v>
      </c>
      <c r="E140" s="99">
        <v>462</v>
      </c>
      <c r="F140" s="30" t="s">
        <v>60</v>
      </c>
      <c r="G140" s="42" t="s">
        <v>258</v>
      </c>
      <c r="H140" s="72" t="s">
        <v>87</v>
      </c>
      <c r="I140" s="32"/>
      <c r="J140" s="32"/>
      <c r="K140" s="39">
        <v>165</v>
      </c>
      <c r="L140" s="38"/>
      <c r="M140" s="38"/>
      <c r="N140" s="38"/>
      <c r="O140" s="38"/>
      <c r="P140" s="39">
        <f t="shared" si="4"/>
        <v>165</v>
      </c>
      <c r="Q140" s="81"/>
      <c r="R140" s="29">
        <v>45965</v>
      </c>
      <c r="S140" s="33" t="s">
        <v>52</v>
      </c>
      <c r="T140" s="69" t="s">
        <v>79</v>
      </c>
      <c r="U140" s="33" t="s">
        <v>285</v>
      </c>
      <c r="V140" s="30" t="s">
        <v>47</v>
      </c>
      <c r="W140" s="32"/>
      <c r="X140" s="29">
        <v>46059</v>
      </c>
      <c r="Y140" s="65" t="s">
        <v>63</v>
      </c>
      <c r="Z140" s="33"/>
      <c r="AA140" s="33"/>
      <c r="AB140" s="30" t="s">
        <v>66</v>
      </c>
      <c r="AC140" s="33"/>
      <c r="AD140" s="30" t="s">
        <v>48</v>
      </c>
      <c r="AE140" s="34"/>
      <c r="AF140" s="32"/>
      <c r="AG140" s="32"/>
      <c r="AH140" s="33"/>
      <c r="AI140" s="33"/>
      <c r="AJ140" s="29"/>
      <c r="AK140" s="33"/>
      <c r="AL140" s="35">
        <v>18</v>
      </c>
      <c r="AM140" s="31" t="s">
        <v>59</v>
      </c>
      <c r="AN140" s="30" t="s">
        <v>51</v>
      </c>
      <c r="AO140" s="33"/>
      <c r="AP140" s="32"/>
    </row>
    <row r="141" spans="1:42" s="36" customFormat="1" ht="15.75" customHeight="1" x14ac:dyDescent="0.25">
      <c r="A141" s="50">
        <v>46059</v>
      </c>
      <c r="B141" s="29"/>
      <c r="C141" s="30" t="s">
        <v>58</v>
      </c>
      <c r="D141" s="31" t="s">
        <v>53</v>
      </c>
      <c r="E141" s="99">
        <v>463</v>
      </c>
      <c r="F141" s="30" t="s">
        <v>60</v>
      </c>
      <c r="G141" s="42" t="s">
        <v>280</v>
      </c>
      <c r="H141" s="72" t="s">
        <v>398</v>
      </c>
      <c r="I141" s="32"/>
      <c r="J141" s="32"/>
      <c r="K141" s="39">
        <v>208</v>
      </c>
      <c r="L141" s="38"/>
      <c r="M141" s="38"/>
      <c r="N141" s="38"/>
      <c r="O141" s="38"/>
      <c r="P141" s="39">
        <f t="shared" si="4"/>
        <v>208</v>
      </c>
      <c r="Q141" s="81"/>
      <c r="R141" s="29">
        <v>45824</v>
      </c>
      <c r="S141" s="33" t="s">
        <v>52</v>
      </c>
      <c r="T141" s="69" t="s">
        <v>79</v>
      </c>
      <c r="U141" s="33" t="s">
        <v>291</v>
      </c>
      <c r="V141" s="30" t="s">
        <v>47</v>
      </c>
      <c r="W141" s="32"/>
      <c r="X141" s="29">
        <v>46059</v>
      </c>
      <c r="Y141" s="65" t="s">
        <v>63</v>
      </c>
      <c r="Z141" s="33"/>
      <c r="AA141" s="33"/>
      <c r="AB141" s="30" t="s">
        <v>66</v>
      </c>
      <c r="AC141" s="33"/>
      <c r="AD141" s="30" t="s">
        <v>48</v>
      </c>
      <c r="AE141" s="34"/>
      <c r="AF141" s="32"/>
      <c r="AG141" s="32"/>
      <c r="AH141" s="33"/>
      <c r="AI141" s="33"/>
      <c r="AJ141" s="29"/>
      <c r="AK141" s="33"/>
      <c r="AL141" s="35">
        <v>18</v>
      </c>
      <c r="AM141" s="31" t="s">
        <v>59</v>
      </c>
      <c r="AN141" s="30" t="s">
        <v>51</v>
      </c>
      <c r="AO141" s="33"/>
      <c r="AP141" s="32"/>
    </row>
    <row r="142" spans="1:42" s="36" customFormat="1" ht="15.75" customHeight="1" x14ac:dyDescent="0.25">
      <c r="A142" s="50">
        <v>46077</v>
      </c>
      <c r="B142" s="29"/>
      <c r="C142" s="30" t="s">
        <v>58</v>
      </c>
      <c r="D142" s="31" t="s">
        <v>53</v>
      </c>
      <c r="E142" s="99">
        <v>464</v>
      </c>
      <c r="F142" s="30" t="s">
        <v>60</v>
      </c>
      <c r="G142" s="42" t="s">
        <v>272</v>
      </c>
      <c r="H142" s="72" t="s">
        <v>399</v>
      </c>
      <c r="I142" s="32"/>
      <c r="J142" s="32"/>
      <c r="K142" s="39">
        <v>426.5</v>
      </c>
      <c r="L142" s="38"/>
      <c r="M142" s="38"/>
      <c r="N142" s="38"/>
      <c r="O142" s="38"/>
      <c r="P142" s="39">
        <f t="shared" si="4"/>
        <v>426.5</v>
      </c>
      <c r="Q142" s="81"/>
      <c r="R142" s="29">
        <v>45846</v>
      </c>
      <c r="S142" s="33" t="s">
        <v>52</v>
      </c>
      <c r="T142" s="69" t="s">
        <v>79</v>
      </c>
      <c r="U142" s="33" t="s">
        <v>65</v>
      </c>
      <c r="V142" s="30" t="s">
        <v>47</v>
      </c>
      <c r="W142" s="32"/>
      <c r="X142" s="29">
        <v>46077</v>
      </c>
      <c r="Y142" s="65" t="s">
        <v>63</v>
      </c>
      <c r="Z142" s="33"/>
      <c r="AA142" s="33"/>
      <c r="AB142" s="30" t="s">
        <v>66</v>
      </c>
      <c r="AC142" s="33"/>
      <c r="AD142" s="30" t="s">
        <v>48</v>
      </c>
      <c r="AE142" s="34"/>
      <c r="AF142" s="32"/>
      <c r="AG142" s="32"/>
      <c r="AH142" s="33"/>
      <c r="AI142" s="33"/>
      <c r="AJ142" s="29"/>
      <c r="AK142" s="33"/>
      <c r="AL142" s="35">
        <v>18</v>
      </c>
      <c r="AM142" s="31" t="s">
        <v>59</v>
      </c>
      <c r="AN142" s="30" t="s">
        <v>51</v>
      </c>
      <c r="AO142" s="33"/>
      <c r="AP142" s="32"/>
    </row>
    <row r="143" spans="1:42" s="36" customFormat="1" ht="15.75" customHeight="1" x14ac:dyDescent="0.25">
      <c r="A143" s="50">
        <v>46077</v>
      </c>
      <c r="B143" s="29"/>
      <c r="C143" s="30" t="s">
        <v>58</v>
      </c>
      <c r="D143" s="31" t="s">
        <v>53</v>
      </c>
      <c r="E143" s="99">
        <v>465</v>
      </c>
      <c r="F143" s="30" t="s">
        <v>60</v>
      </c>
      <c r="G143" s="42" t="s">
        <v>260</v>
      </c>
      <c r="H143" s="72" t="s">
        <v>400</v>
      </c>
      <c r="I143" s="32"/>
      <c r="J143" s="32"/>
      <c r="K143" s="39">
        <v>90</v>
      </c>
      <c r="L143" s="38"/>
      <c r="M143" s="38"/>
      <c r="N143" s="38"/>
      <c r="O143" s="38"/>
      <c r="P143" s="39">
        <f t="shared" si="4"/>
        <v>90</v>
      </c>
      <c r="Q143" s="81"/>
      <c r="R143" s="29">
        <v>45997</v>
      </c>
      <c r="S143" s="33" t="s">
        <v>52</v>
      </c>
      <c r="T143" s="69" t="s">
        <v>79</v>
      </c>
      <c r="U143" s="33" t="s">
        <v>286</v>
      </c>
      <c r="V143" s="30" t="s">
        <v>47</v>
      </c>
      <c r="W143" s="32"/>
      <c r="X143" s="29">
        <v>46077</v>
      </c>
      <c r="Y143" s="65" t="s">
        <v>63</v>
      </c>
      <c r="Z143" s="33"/>
      <c r="AA143" s="33"/>
      <c r="AB143" s="30" t="s">
        <v>66</v>
      </c>
      <c r="AC143" s="33"/>
      <c r="AD143" s="30" t="s">
        <v>48</v>
      </c>
      <c r="AE143" s="34"/>
      <c r="AF143" s="32"/>
      <c r="AG143" s="32"/>
      <c r="AH143" s="33"/>
      <c r="AI143" s="33"/>
      <c r="AJ143" s="29"/>
      <c r="AK143" s="33"/>
      <c r="AL143" s="35">
        <v>18</v>
      </c>
      <c r="AM143" s="31" t="s">
        <v>59</v>
      </c>
      <c r="AN143" s="30" t="s">
        <v>51</v>
      </c>
      <c r="AO143" s="33"/>
      <c r="AP143" s="32"/>
    </row>
    <row r="144" spans="1:42" s="36" customFormat="1" ht="15.75" customHeight="1" x14ac:dyDescent="0.25">
      <c r="A144" s="50">
        <v>46077</v>
      </c>
      <c r="B144" s="29"/>
      <c r="C144" s="30" t="s">
        <v>58</v>
      </c>
      <c r="D144" s="31" t="s">
        <v>53</v>
      </c>
      <c r="E144" s="99">
        <v>466</v>
      </c>
      <c r="F144" s="30" t="s">
        <v>60</v>
      </c>
      <c r="G144" s="42" t="s">
        <v>266</v>
      </c>
      <c r="H144" s="72" t="s">
        <v>390</v>
      </c>
      <c r="I144" s="32"/>
      <c r="J144" s="32"/>
      <c r="K144" s="39">
        <v>145</v>
      </c>
      <c r="L144" s="38"/>
      <c r="M144" s="38"/>
      <c r="N144" s="38"/>
      <c r="O144" s="38"/>
      <c r="P144" s="39">
        <f t="shared" si="4"/>
        <v>145</v>
      </c>
      <c r="Q144" s="81"/>
      <c r="R144" s="29">
        <v>45994</v>
      </c>
      <c r="S144" s="33" t="s">
        <v>52</v>
      </c>
      <c r="T144" s="69" t="s">
        <v>79</v>
      </c>
      <c r="U144" s="33" t="s">
        <v>288</v>
      </c>
      <c r="V144" s="30" t="s">
        <v>47</v>
      </c>
      <c r="W144" s="32"/>
      <c r="X144" s="29">
        <v>46077</v>
      </c>
      <c r="Y144" s="65" t="s">
        <v>63</v>
      </c>
      <c r="Z144" s="33"/>
      <c r="AA144" s="33"/>
      <c r="AB144" s="30" t="s">
        <v>66</v>
      </c>
      <c r="AC144" s="33"/>
      <c r="AD144" s="30" t="s">
        <v>48</v>
      </c>
      <c r="AE144" s="34"/>
      <c r="AF144" s="32"/>
      <c r="AG144" s="32"/>
      <c r="AH144" s="33"/>
      <c r="AI144" s="33"/>
      <c r="AJ144" s="29"/>
      <c r="AK144" s="33"/>
      <c r="AL144" s="35">
        <v>18</v>
      </c>
      <c r="AM144" s="31" t="s">
        <v>59</v>
      </c>
      <c r="AN144" s="30" t="s">
        <v>51</v>
      </c>
      <c r="AO144" s="33"/>
      <c r="AP144" s="32"/>
    </row>
    <row r="145" spans="1:48" s="36" customFormat="1" ht="15.75" customHeight="1" x14ac:dyDescent="0.25">
      <c r="A145" s="50">
        <v>46077</v>
      </c>
      <c r="B145" s="29"/>
      <c r="C145" s="30" t="s">
        <v>58</v>
      </c>
      <c r="D145" s="31" t="s">
        <v>53</v>
      </c>
      <c r="E145" s="99">
        <v>467</v>
      </c>
      <c r="F145" s="30" t="s">
        <v>60</v>
      </c>
      <c r="G145" s="42" t="s">
        <v>270</v>
      </c>
      <c r="H145" s="72" t="s">
        <v>89</v>
      </c>
      <c r="I145" s="32"/>
      <c r="J145" s="32"/>
      <c r="K145" s="39">
        <v>139</v>
      </c>
      <c r="L145" s="38"/>
      <c r="M145" s="38"/>
      <c r="N145" s="38"/>
      <c r="O145" s="38"/>
      <c r="P145" s="39">
        <f t="shared" si="4"/>
        <v>139</v>
      </c>
      <c r="Q145" s="81"/>
      <c r="R145" s="29">
        <v>45969</v>
      </c>
      <c r="S145" s="33" t="s">
        <v>52</v>
      </c>
      <c r="T145" s="69" t="s">
        <v>79</v>
      </c>
      <c r="U145" s="33" t="s">
        <v>99</v>
      </c>
      <c r="V145" s="30" t="s">
        <v>47</v>
      </c>
      <c r="W145" s="32"/>
      <c r="X145" s="29">
        <v>46077</v>
      </c>
      <c r="Y145" s="65" t="s">
        <v>63</v>
      </c>
      <c r="Z145" s="33"/>
      <c r="AA145" s="33"/>
      <c r="AB145" s="30" t="s">
        <v>66</v>
      </c>
      <c r="AC145" s="33"/>
      <c r="AD145" s="30" t="s">
        <v>48</v>
      </c>
      <c r="AE145" s="34"/>
      <c r="AF145" s="32"/>
      <c r="AG145" s="32"/>
      <c r="AH145" s="33"/>
      <c r="AI145" s="33"/>
      <c r="AJ145" s="29"/>
      <c r="AK145" s="33"/>
      <c r="AL145" s="35">
        <v>18</v>
      </c>
      <c r="AM145" s="31" t="s">
        <v>59</v>
      </c>
      <c r="AN145" s="30" t="s">
        <v>51</v>
      </c>
      <c r="AO145" s="33"/>
      <c r="AP145" s="32"/>
    </row>
    <row r="146" spans="1:48" s="36" customFormat="1" ht="15.75" customHeight="1" x14ac:dyDescent="0.25">
      <c r="A146" s="50">
        <v>46077</v>
      </c>
      <c r="B146" s="29"/>
      <c r="C146" s="30" t="s">
        <v>58</v>
      </c>
      <c r="D146" s="31" t="s">
        <v>53</v>
      </c>
      <c r="E146" s="99">
        <v>468</v>
      </c>
      <c r="F146" s="30" t="s">
        <v>60</v>
      </c>
      <c r="G146" s="42" t="s">
        <v>257</v>
      </c>
      <c r="H146" s="72" t="s">
        <v>401</v>
      </c>
      <c r="I146" s="32"/>
      <c r="J146" s="32"/>
      <c r="K146" s="39">
        <v>103.33</v>
      </c>
      <c r="L146" s="38"/>
      <c r="M146" s="38"/>
      <c r="N146" s="38"/>
      <c r="O146" s="38"/>
      <c r="P146" s="39">
        <f t="shared" si="4"/>
        <v>103.33</v>
      </c>
      <c r="Q146" s="81"/>
      <c r="R146" s="29">
        <v>45940</v>
      </c>
      <c r="S146" s="33" t="s">
        <v>52</v>
      </c>
      <c r="T146" s="69" t="s">
        <v>79</v>
      </c>
      <c r="U146" s="33" t="s">
        <v>98</v>
      </c>
      <c r="V146" s="30" t="s">
        <v>47</v>
      </c>
      <c r="W146" s="32"/>
      <c r="X146" s="29">
        <v>46077</v>
      </c>
      <c r="Y146" s="65" t="s">
        <v>63</v>
      </c>
      <c r="Z146" s="33"/>
      <c r="AA146" s="33"/>
      <c r="AB146" s="30" t="s">
        <v>66</v>
      </c>
      <c r="AC146" s="33"/>
      <c r="AD146" s="30" t="s">
        <v>48</v>
      </c>
      <c r="AE146" s="34"/>
      <c r="AF146" s="32"/>
      <c r="AG146" s="32"/>
      <c r="AH146" s="33"/>
      <c r="AI146" s="33"/>
      <c r="AJ146" s="29"/>
      <c r="AK146" s="33"/>
      <c r="AL146" s="35">
        <v>18</v>
      </c>
      <c r="AM146" s="31" t="s">
        <v>59</v>
      </c>
      <c r="AN146" s="30" t="s">
        <v>51</v>
      </c>
      <c r="AO146" s="33"/>
      <c r="AP146" s="32"/>
    </row>
    <row r="147" spans="1:48" s="36" customFormat="1" ht="15.75" customHeight="1" x14ac:dyDescent="0.25">
      <c r="A147" s="50">
        <v>46078</v>
      </c>
      <c r="B147" s="29"/>
      <c r="C147" s="30" t="s">
        <v>58</v>
      </c>
      <c r="D147" s="31" t="s">
        <v>53</v>
      </c>
      <c r="E147" s="99">
        <v>469</v>
      </c>
      <c r="F147" s="30" t="s">
        <v>60</v>
      </c>
      <c r="G147" s="42" t="s">
        <v>263</v>
      </c>
      <c r="H147" s="72" t="s">
        <v>394</v>
      </c>
      <c r="I147" s="32"/>
      <c r="J147" s="32"/>
      <c r="K147" s="39">
        <v>143.49</v>
      </c>
      <c r="L147" s="38"/>
      <c r="M147" s="38"/>
      <c r="N147" s="38"/>
      <c r="O147" s="38"/>
      <c r="P147" s="39">
        <f t="shared" si="4"/>
        <v>143.49</v>
      </c>
      <c r="Q147" s="81"/>
      <c r="R147" s="29">
        <v>46009</v>
      </c>
      <c r="S147" s="33" t="s">
        <v>52</v>
      </c>
      <c r="T147" s="69" t="s">
        <v>79</v>
      </c>
      <c r="U147" s="33" t="s">
        <v>287</v>
      </c>
      <c r="V147" s="30" t="s">
        <v>47</v>
      </c>
      <c r="W147" s="32"/>
      <c r="X147" s="29">
        <v>46078</v>
      </c>
      <c r="Y147" s="65" t="s">
        <v>63</v>
      </c>
      <c r="Z147" s="33"/>
      <c r="AA147" s="33"/>
      <c r="AB147" s="30" t="s">
        <v>66</v>
      </c>
      <c r="AC147" s="33"/>
      <c r="AD147" s="30" t="s">
        <v>48</v>
      </c>
      <c r="AE147" s="34"/>
      <c r="AF147" s="32"/>
      <c r="AG147" s="32"/>
      <c r="AH147" s="33"/>
      <c r="AI147" s="33"/>
      <c r="AJ147" s="29"/>
      <c r="AK147" s="33"/>
      <c r="AL147" s="35">
        <v>18</v>
      </c>
      <c r="AM147" s="31" t="s">
        <v>59</v>
      </c>
      <c r="AN147" s="30" t="s">
        <v>51</v>
      </c>
      <c r="AO147" s="33"/>
      <c r="AP147" s="32"/>
    </row>
    <row r="148" spans="1:48" s="36" customFormat="1" ht="15.75" customHeight="1" x14ac:dyDescent="0.25">
      <c r="A148" s="50">
        <v>46078</v>
      </c>
      <c r="B148" s="29"/>
      <c r="C148" s="30" t="s">
        <v>58</v>
      </c>
      <c r="D148" s="31" t="s">
        <v>53</v>
      </c>
      <c r="E148" s="99">
        <v>470</v>
      </c>
      <c r="F148" s="30" t="s">
        <v>60</v>
      </c>
      <c r="G148" s="42" t="s">
        <v>269</v>
      </c>
      <c r="H148" s="72" t="s">
        <v>391</v>
      </c>
      <c r="I148" s="32"/>
      <c r="J148" s="32"/>
      <c r="K148" s="39">
        <v>42.34</v>
      </c>
      <c r="L148" s="38"/>
      <c r="M148" s="38"/>
      <c r="N148" s="38"/>
      <c r="O148" s="38"/>
      <c r="P148" s="39">
        <f t="shared" si="4"/>
        <v>42.34</v>
      </c>
      <c r="Q148" s="81"/>
      <c r="R148" s="29">
        <v>45932</v>
      </c>
      <c r="S148" s="33" t="s">
        <v>52</v>
      </c>
      <c r="T148" s="69" t="s">
        <v>79</v>
      </c>
      <c r="U148" s="33" t="s">
        <v>83</v>
      </c>
      <c r="V148" s="30" t="s">
        <v>47</v>
      </c>
      <c r="W148" s="32"/>
      <c r="X148" s="29">
        <v>46078</v>
      </c>
      <c r="Y148" s="65" t="s">
        <v>63</v>
      </c>
      <c r="Z148" s="33"/>
      <c r="AA148" s="33"/>
      <c r="AB148" s="30" t="s">
        <v>66</v>
      </c>
      <c r="AC148" s="33"/>
      <c r="AD148" s="30" t="s">
        <v>48</v>
      </c>
      <c r="AE148" s="34"/>
      <c r="AF148" s="32"/>
      <c r="AG148" s="32"/>
      <c r="AH148" s="33"/>
      <c r="AI148" s="33"/>
      <c r="AJ148" s="29"/>
      <c r="AK148" s="33"/>
      <c r="AL148" s="35">
        <v>18</v>
      </c>
      <c r="AM148" s="31" t="s">
        <v>59</v>
      </c>
      <c r="AN148" s="30" t="s">
        <v>51</v>
      </c>
      <c r="AO148" s="33"/>
      <c r="AP148" s="32"/>
    </row>
    <row r="149" spans="1:48" s="36" customFormat="1" ht="15.75" customHeight="1" x14ac:dyDescent="0.25">
      <c r="A149" s="50">
        <v>46078</v>
      </c>
      <c r="B149" s="29"/>
      <c r="C149" s="30" t="s">
        <v>58</v>
      </c>
      <c r="D149" s="31" t="s">
        <v>53</v>
      </c>
      <c r="E149" s="99">
        <v>471</v>
      </c>
      <c r="F149" s="30" t="s">
        <v>60</v>
      </c>
      <c r="G149" s="42" t="s">
        <v>253</v>
      </c>
      <c r="H149" s="72" t="s">
        <v>88</v>
      </c>
      <c r="I149" s="32"/>
      <c r="J149" s="32"/>
      <c r="K149" s="39">
        <v>41</v>
      </c>
      <c r="L149" s="38"/>
      <c r="M149" s="38"/>
      <c r="N149" s="38"/>
      <c r="O149" s="38"/>
      <c r="P149" s="39">
        <f t="shared" si="4"/>
        <v>41</v>
      </c>
      <c r="Q149" s="81"/>
      <c r="R149" s="29">
        <v>45969</v>
      </c>
      <c r="S149" s="33" t="s">
        <v>52</v>
      </c>
      <c r="T149" s="69" t="s">
        <v>79</v>
      </c>
      <c r="U149" s="33" t="s">
        <v>284</v>
      </c>
      <c r="V149" s="30" t="s">
        <v>47</v>
      </c>
      <c r="W149" s="32"/>
      <c r="X149" s="29">
        <v>46078</v>
      </c>
      <c r="Y149" s="65" t="s">
        <v>63</v>
      </c>
      <c r="Z149" s="33"/>
      <c r="AA149" s="33"/>
      <c r="AB149" s="30" t="s">
        <v>66</v>
      </c>
      <c r="AC149" s="33"/>
      <c r="AD149" s="30" t="s">
        <v>48</v>
      </c>
      <c r="AE149" s="34"/>
      <c r="AF149" s="32"/>
      <c r="AG149" s="32"/>
      <c r="AH149" s="33"/>
      <c r="AI149" s="33"/>
      <c r="AJ149" s="29"/>
      <c r="AK149" s="33"/>
      <c r="AL149" s="35">
        <v>18</v>
      </c>
      <c r="AM149" s="31" t="s">
        <v>59</v>
      </c>
      <c r="AN149" s="30" t="s">
        <v>51</v>
      </c>
      <c r="AO149" s="33"/>
      <c r="AP149" s="32"/>
    </row>
    <row r="150" spans="1:48" s="36" customFormat="1" ht="15.75" customHeight="1" x14ac:dyDescent="0.25">
      <c r="A150" s="50">
        <v>46078</v>
      </c>
      <c r="B150" s="29"/>
      <c r="C150" s="30" t="s">
        <v>58</v>
      </c>
      <c r="D150" s="31" t="s">
        <v>53</v>
      </c>
      <c r="E150" s="99">
        <v>472</v>
      </c>
      <c r="F150" s="30" t="s">
        <v>60</v>
      </c>
      <c r="G150" s="42" t="s">
        <v>146</v>
      </c>
      <c r="H150" s="72" t="s">
        <v>389</v>
      </c>
      <c r="I150" s="32"/>
      <c r="J150" s="32"/>
      <c r="K150" s="39">
        <v>144.5</v>
      </c>
      <c r="L150" s="38"/>
      <c r="M150" s="38"/>
      <c r="N150" s="38"/>
      <c r="O150" s="38"/>
      <c r="P150" s="39">
        <f t="shared" si="4"/>
        <v>144.5</v>
      </c>
      <c r="Q150" s="81"/>
      <c r="R150" s="29">
        <v>46034</v>
      </c>
      <c r="S150" s="33" t="s">
        <v>52</v>
      </c>
      <c r="T150" s="69" t="s">
        <v>79</v>
      </c>
      <c r="U150" s="33" t="s">
        <v>408</v>
      </c>
      <c r="V150" s="30" t="s">
        <v>47</v>
      </c>
      <c r="W150" s="32"/>
      <c r="X150" s="29">
        <v>46078</v>
      </c>
      <c r="Y150" s="65" t="s">
        <v>63</v>
      </c>
      <c r="Z150" s="33"/>
      <c r="AA150" s="33"/>
      <c r="AB150" s="30" t="s">
        <v>66</v>
      </c>
      <c r="AC150" s="33"/>
      <c r="AD150" s="30" t="s">
        <v>48</v>
      </c>
      <c r="AE150" s="34"/>
      <c r="AF150" s="32"/>
      <c r="AG150" s="32"/>
      <c r="AH150" s="33"/>
      <c r="AI150" s="33"/>
      <c r="AJ150" s="29"/>
      <c r="AK150" s="33"/>
      <c r="AL150" s="35">
        <v>18</v>
      </c>
      <c r="AM150" s="31" t="s">
        <v>59</v>
      </c>
      <c r="AN150" s="30" t="s">
        <v>51</v>
      </c>
      <c r="AO150" s="33"/>
      <c r="AP150" s="32"/>
    </row>
    <row r="151" spans="1:48" s="36" customFormat="1" ht="15.75" customHeight="1" x14ac:dyDescent="0.25">
      <c r="A151" s="50">
        <v>46078</v>
      </c>
      <c r="B151" s="29"/>
      <c r="C151" s="30" t="s">
        <v>58</v>
      </c>
      <c r="D151" s="31" t="s">
        <v>53</v>
      </c>
      <c r="E151" s="99">
        <v>473</v>
      </c>
      <c r="F151" s="30" t="s">
        <v>60</v>
      </c>
      <c r="G151" s="42" t="s">
        <v>407</v>
      </c>
      <c r="H151" s="72" t="s">
        <v>402</v>
      </c>
      <c r="I151" s="32"/>
      <c r="J151" s="32"/>
      <c r="K151" s="39">
        <v>217</v>
      </c>
      <c r="L151" s="38"/>
      <c r="M151" s="38"/>
      <c r="N151" s="38"/>
      <c r="O151" s="38"/>
      <c r="P151" s="39">
        <f t="shared" si="4"/>
        <v>217</v>
      </c>
      <c r="Q151" s="81"/>
      <c r="R151" s="29">
        <v>45945</v>
      </c>
      <c r="S151" s="33" t="s">
        <v>52</v>
      </c>
      <c r="T151" s="69" t="s">
        <v>79</v>
      </c>
      <c r="U151" s="33" t="s">
        <v>410</v>
      </c>
      <c r="V151" s="30" t="s">
        <v>47</v>
      </c>
      <c r="W151" s="32"/>
      <c r="X151" s="29">
        <v>46078</v>
      </c>
      <c r="Y151" s="65" t="s">
        <v>63</v>
      </c>
      <c r="Z151" s="33"/>
      <c r="AA151" s="33"/>
      <c r="AB151" s="30" t="s">
        <v>66</v>
      </c>
      <c r="AC151" s="33"/>
      <c r="AD151" s="30" t="s">
        <v>48</v>
      </c>
      <c r="AE151" s="34"/>
      <c r="AF151" s="32"/>
      <c r="AG151" s="32"/>
      <c r="AH151" s="33"/>
      <c r="AI151" s="33"/>
      <c r="AJ151" s="29"/>
      <c r="AK151" s="33"/>
      <c r="AL151" s="35">
        <v>18</v>
      </c>
      <c r="AM151" s="31" t="s">
        <v>59</v>
      </c>
      <c r="AN151" s="30" t="s">
        <v>51</v>
      </c>
      <c r="AO151" s="33"/>
      <c r="AP151" s="32"/>
    </row>
    <row r="152" spans="1:48" s="36" customFormat="1" ht="15.75" customHeight="1" x14ac:dyDescent="0.25">
      <c r="A152" s="50">
        <v>46079</v>
      </c>
      <c r="B152" s="29"/>
      <c r="C152" s="30" t="s">
        <v>58</v>
      </c>
      <c r="D152" s="31" t="s">
        <v>53</v>
      </c>
      <c r="E152" s="99">
        <v>474</v>
      </c>
      <c r="F152" s="30" t="s">
        <v>60</v>
      </c>
      <c r="G152" s="42" t="s">
        <v>299</v>
      </c>
      <c r="H152" s="72" t="s">
        <v>313</v>
      </c>
      <c r="I152" s="32"/>
      <c r="J152" s="32"/>
      <c r="K152" s="39">
        <v>47.5</v>
      </c>
      <c r="L152" s="38"/>
      <c r="M152" s="38"/>
      <c r="N152" s="38"/>
      <c r="O152" s="38"/>
      <c r="P152" s="39">
        <f t="shared" si="4"/>
        <v>47.5</v>
      </c>
      <c r="Q152" s="81"/>
      <c r="R152" s="29">
        <v>46067</v>
      </c>
      <c r="S152" s="33" t="s">
        <v>52</v>
      </c>
      <c r="T152" s="69" t="s">
        <v>79</v>
      </c>
      <c r="U152" s="33" t="s">
        <v>411</v>
      </c>
      <c r="V152" s="30" t="s">
        <v>47</v>
      </c>
      <c r="W152" s="32"/>
      <c r="X152" s="29">
        <v>46079</v>
      </c>
      <c r="Y152" s="65" t="s">
        <v>63</v>
      </c>
      <c r="Z152" s="33"/>
      <c r="AA152" s="33"/>
      <c r="AB152" s="30" t="s">
        <v>66</v>
      </c>
      <c r="AC152" s="33"/>
      <c r="AD152" s="30" t="s">
        <v>48</v>
      </c>
      <c r="AE152" s="34"/>
      <c r="AF152" s="32"/>
      <c r="AG152" s="32"/>
      <c r="AH152" s="33"/>
      <c r="AI152" s="33"/>
      <c r="AJ152" s="29"/>
      <c r="AK152" s="33"/>
      <c r="AL152" s="35">
        <v>18</v>
      </c>
      <c r="AM152" s="31" t="s">
        <v>59</v>
      </c>
      <c r="AN152" s="30" t="s">
        <v>51</v>
      </c>
      <c r="AO152" s="33"/>
      <c r="AP152" s="32"/>
    </row>
    <row r="153" spans="1:48" s="36" customFormat="1" ht="15.75" customHeight="1" x14ac:dyDescent="0.25">
      <c r="A153" s="50">
        <v>46079</v>
      </c>
      <c r="B153" s="29"/>
      <c r="C153" s="30" t="s">
        <v>58</v>
      </c>
      <c r="D153" s="31" t="s">
        <v>53</v>
      </c>
      <c r="E153" s="99">
        <v>475</v>
      </c>
      <c r="F153" s="30" t="s">
        <v>60</v>
      </c>
      <c r="G153" s="42" t="s">
        <v>271</v>
      </c>
      <c r="H153" s="72" t="s">
        <v>403</v>
      </c>
      <c r="I153" s="32"/>
      <c r="J153" s="32"/>
      <c r="K153" s="39">
        <v>160.57</v>
      </c>
      <c r="L153" s="38"/>
      <c r="M153" s="38"/>
      <c r="N153" s="38"/>
      <c r="O153" s="38"/>
      <c r="P153" s="39">
        <f t="shared" si="4"/>
        <v>160.57</v>
      </c>
      <c r="Q153" s="81"/>
      <c r="R153" s="29">
        <v>45870</v>
      </c>
      <c r="S153" s="33" t="s">
        <v>52</v>
      </c>
      <c r="T153" s="69" t="s">
        <v>79</v>
      </c>
      <c r="U153" s="33" t="s">
        <v>80</v>
      </c>
      <c r="V153" s="30" t="s">
        <v>47</v>
      </c>
      <c r="W153" s="32"/>
      <c r="X153" s="29">
        <v>46079</v>
      </c>
      <c r="Y153" s="65" t="s">
        <v>63</v>
      </c>
      <c r="Z153" s="33"/>
      <c r="AA153" s="33"/>
      <c r="AB153" s="30" t="s">
        <v>66</v>
      </c>
      <c r="AC153" s="33"/>
      <c r="AD153" s="30" t="s">
        <v>48</v>
      </c>
      <c r="AE153" s="34"/>
      <c r="AF153" s="32"/>
      <c r="AG153" s="32"/>
      <c r="AH153" s="33"/>
      <c r="AI153" s="33"/>
      <c r="AJ153" s="29"/>
      <c r="AK153" s="33"/>
      <c r="AL153" s="35">
        <v>18</v>
      </c>
      <c r="AM153" s="31" t="s">
        <v>59</v>
      </c>
      <c r="AN153" s="30" t="s">
        <v>51</v>
      </c>
      <c r="AO153" s="33"/>
      <c r="AP153" s="32"/>
    </row>
    <row r="154" spans="1:48" s="36" customFormat="1" ht="15.75" customHeight="1" x14ac:dyDescent="0.25">
      <c r="A154" s="50">
        <v>46079</v>
      </c>
      <c r="B154" s="29"/>
      <c r="C154" s="30" t="s">
        <v>58</v>
      </c>
      <c r="D154" s="31" t="s">
        <v>53</v>
      </c>
      <c r="E154" s="99">
        <v>476</v>
      </c>
      <c r="F154" s="30" t="s">
        <v>60</v>
      </c>
      <c r="G154" s="42" t="s">
        <v>298</v>
      </c>
      <c r="H154" s="72" t="s">
        <v>404</v>
      </c>
      <c r="I154" s="32"/>
      <c r="J154" s="32"/>
      <c r="K154" s="39">
        <v>70</v>
      </c>
      <c r="L154" s="38"/>
      <c r="M154" s="38"/>
      <c r="N154" s="38"/>
      <c r="O154" s="38"/>
      <c r="P154" s="39">
        <f t="shared" si="4"/>
        <v>70</v>
      </c>
      <c r="Q154" s="81"/>
      <c r="R154" s="29">
        <v>46067</v>
      </c>
      <c r="S154" s="33" t="s">
        <v>52</v>
      </c>
      <c r="T154" s="69" t="s">
        <v>79</v>
      </c>
      <c r="U154" s="33" t="s">
        <v>412</v>
      </c>
      <c r="V154" s="30" t="s">
        <v>47</v>
      </c>
      <c r="W154" s="32"/>
      <c r="X154" s="29">
        <v>46079</v>
      </c>
      <c r="Y154" s="65" t="s">
        <v>63</v>
      </c>
      <c r="Z154" s="33"/>
      <c r="AA154" s="33"/>
      <c r="AB154" s="30" t="s">
        <v>66</v>
      </c>
      <c r="AC154" s="33"/>
      <c r="AD154" s="30" t="s">
        <v>48</v>
      </c>
      <c r="AE154" s="34"/>
      <c r="AF154" s="32"/>
      <c r="AG154" s="32"/>
      <c r="AH154" s="33"/>
      <c r="AI154" s="33"/>
      <c r="AJ154" s="29"/>
      <c r="AK154" s="33"/>
      <c r="AL154" s="35">
        <v>18</v>
      </c>
      <c r="AM154" s="31" t="s">
        <v>59</v>
      </c>
      <c r="AN154" s="30" t="s">
        <v>51</v>
      </c>
      <c r="AO154" s="33"/>
      <c r="AP154" s="32"/>
    </row>
    <row r="155" spans="1:48" s="36" customFormat="1" ht="15.75" customHeight="1" x14ac:dyDescent="0.25">
      <c r="A155" s="50">
        <v>46081</v>
      </c>
      <c r="B155" s="29"/>
      <c r="C155" s="30" t="s">
        <v>58</v>
      </c>
      <c r="D155" s="31" t="s">
        <v>53</v>
      </c>
      <c r="E155" s="99">
        <v>477</v>
      </c>
      <c r="F155" s="30" t="s">
        <v>60</v>
      </c>
      <c r="G155" s="42" t="s">
        <v>301</v>
      </c>
      <c r="H155" s="72" t="s">
        <v>405</v>
      </c>
      <c r="I155" s="32"/>
      <c r="J155" s="32"/>
      <c r="K155" s="39">
        <v>100</v>
      </c>
      <c r="L155" s="38"/>
      <c r="M155" s="38"/>
      <c r="N155" s="38"/>
      <c r="O155" s="38"/>
      <c r="P155" s="39">
        <f t="shared" si="4"/>
        <v>100</v>
      </c>
      <c r="Q155" s="81"/>
      <c r="R155" s="29">
        <v>46065</v>
      </c>
      <c r="S155" s="33" t="s">
        <v>52</v>
      </c>
      <c r="T155" s="69" t="s">
        <v>79</v>
      </c>
      <c r="U155" s="33" t="s">
        <v>413</v>
      </c>
      <c r="V155" s="30" t="s">
        <v>47</v>
      </c>
      <c r="W155" s="32"/>
      <c r="X155" s="29">
        <v>46081</v>
      </c>
      <c r="Y155" s="65" t="s">
        <v>63</v>
      </c>
      <c r="Z155" s="33"/>
      <c r="AA155" s="33"/>
      <c r="AB155" s="30" t="s">
        <v>66</v>
      </c>
      <c r="AC155" s="33"/>
      <c r="AD155" s="30" t="s">
        <v>48</v>
      </c>
      <c r="AE155" s="34"/>
      <c r="AF155" s="32"/>
      <c r="AG155" s="32"/>
      <c r="AH155" s="33"/>
      <c r="AI155" s="33"/>
      <c r="AJ155" s="29"/>
      <c r="AK155" s="33"/>
      <c r="AL155" s="35">
        <v>18</v>
      </c>
      <c r="AM155" s="31" t="s">
        <v>59</v>
      </c>
      <c r="AN155" s="30" t="s">
        <v>51</v>
      </c>
      <c r="AO155" s="33"/>
      <c r="AP155" s="32"/>
    </row>
    <row r="156" spans="1:48" s="6" customFormat="1" x14ac:dyDescent="0.2">
      <c r="A156" s="8"/>
      <c r="B156" s="8"/>
      <c r="C156" s="9"/>
      <c r="D156" s="9"/>
      <c r="E156" s="9"/>
      <c r="F156" s="9"/>
      <c r="G156" s="9"/>
      <c r="H156" s="9"/>
      <c r="I156" s="10"/>
      <c r="J156" s="12">
        <f>SUM(J36:J155)</f>
        <v>0</v>
      </c>
      <c r="K156" s="12">
        <f>SUM(K6:K155)</f>
        <v>555707.3899999999</v>
      </c>
      <c r="L156" s="11"/>
      <c r="M156" s="11"/>
      <c r="N156" s="12">
        <f>SUM(N36:N155)</f>
        <v>0</v>
      </c>
      <c r="O156" s="12">
        <f>SUM(O36:O155)</f>
        <v>0</v>
      </c>
      <c r="P156" s="12">
        <f>SUM(P6:P155)</f>
        <v>555707.3899999999</v>
      </c>
      <c r="Q156" s="82"/>
      <c r="R156" s="89"/>
      <c r="S156" s="90"/>
      <c r="T156" s="90"/>
      <c r="U156" s="90"/>
      <c r="V156" s="90"/>
      <c r="W156" s="91"/>
      <c r="X156" s="89"/>
      <c r="Y156" s="90"/>
      <c r="Z156" s="90"/>
      <c r="AA156" s="90"/>
      <c r="AB156" s="90"/>
      <c r="AC156" s="90"/>
      <c r="AD156" s="90"/>
      <c r="AE156" s="92"/>
      <c r="AF156" s="91"/>
      <c r="AG156" s="91"/>
      <c r="AH156" s="90"/>
      <c r="AI156" s="90"/>
      <c r="AJ156" s="89"/>
      <c r="AK156" s="90"/>
      <c r="AL156" s="91"/>
      <c r="AM156" s="90"/>
      <c r="AN156" s="90"/>
      <c r="AO156" s="90"/>
      <c r="AP156" s="91"/>
    </row>
    <row r="158" spans="1:48" s="2" customFormat="1" x14ac:dyDescent="0.25">
      <c r="A158" s="1"/>
      <c r="B158" s="1"/>
      <c r="I158" s="3"/>
      <c r="J158" s="3"/>
      <c r="K158" s="3"/>
      <c r="L158" s="3"/>
      <c r="M158" s="3"/>
      <c r="N158" s="3"/>
      <c r="O158" s="3"/>
      <c r="P158" s="3"/>
      <c r="Q158" s="4"/>
      <c r="R158" s="1"/>
      <c r="W158" s="3"/>
      <c r="X158" s="1"/>
      <c r="AE158" s="5"/>
      <c r="AF158" s="3"/>
      <c r="AG158" s="3"/>
      <c r="AJ158" s="1"/>
      <c r="AL158" s="3"/>
      <c r="AP158" s="3"/>
      <c r="AQ158"/>
      <c r="AR158"/>
      <c r="AS158"/>
      <c r="AT158"/>
      <c r="AU158"/>
      <c r="AV158"/>
    </row>
  </sheetData>
  <autoFilter ref="A5:AW118" xr:uid="{00000000-0009-0000-0000-000001000000}"/>
  <mergeCells count="37">
    <mergeCell ref="W3:W5"/>
    <mergeCell ref="A1:AP1"/>
    <mergeCell ref="A3:A5"/>
    <mergeCell ref="B3:B5"/>
    <mergeCell ref="C3:E4"/>
    <mergeCell ref="F3:H3"/>
    <mergeCell ref="I3:I5"/>
    <mergeCell ref="J3:J5"/>
    <mergeCell ref="K3:L4"/>
    <mergeCell ref="M3:M5"/>
    <mergeCell ref="N3:N5"/>
    <mergeCell ref="O3:O5"/>
    <mergeCell ref="P3:P5"/>
    <mergeCell ref="Q3:Q5"/>
    <mergeCell ref="R3:U4"/>
    <mergeCell ref="V3:V5"/>
    <mergeCell ref="Y3:Y5"/>
    <mergeCell ref="Z3:Z5"/>
    <mergeCell ref="AA3:AA5"/>
    <mergeCell ref="AB3:AB5"/>
    <mergeCell ref="AC3:AC5"/>
    <mergeCell ref="AP3:AP5"/>
    <mergeCell ref="F4:G4"/>
    <mergeCell ref="H4:H5"/>
    <mergeCell ref="AJ3:AJ5"/>
    <mergeCell ref="AK3:AK5"/>
    <mergeCell ref="AL3:AL5"/>
    <mergeCell ref="AM3:AM5"/>
    <mergeCell ref="AN3:AN5"/>
    <mergeCell ref="AO3:AO5"/>
    <mergeCell ref="AD3:AD5"/>
    <mergeCell ref="AE3:AE5"/>
    <mergeCell ref="AF3:AF5"/>
    <mergeCell ref="AG3:AG5"/>
    <mergeCell ref="AH3:AH5"/>
    <mergeCell ref="AI3:AI5"/>
    <mergeCell ref="X3:X5"/>
  </mergeCells>
  <pageMargins left="0.7" right="0.7" top="0.75" bottom="0.75" header="0.3" footer="0.3"/>
  <pageSetup paperSize="9" scale="79" orientation="portrait" horizontalDpi="360" verticalDpi="360" r:id="rId1"/>
  <colBreaks count="2" manualBreakCount="2">
    <brk id="7" max="114" man="1"/>
    <brk id="18" max="114"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AW144"/>
  <sheetViews>
    <sheetView topLeftCell="I1" zoomScaleNormal="100" zoomScaleSheetLayoutView="100" workbookViewId="0">
      <pane ySplit="5" topLeftCell="A138" activePane="bottomLeft" state="frozen"/>
      <selection pane="bottomLeft" activeCell="A56" sqref="A56:XFD56"/>
    </sheetView>
  </sheetViews>
  <sheetFormatPr baseColWidth="10" defaultRowHeight="15" x14ac:dyDescent="0.25"/>
  <cols>
    <col min="1" max="1" width="10.28515625" style="1" customWidth="1"/>
    <col min="2" max="2" width="11.140625" style="1" customWidth="1"/>
    <col min="3" max="3" width="4.85546875" style="2" customWidth="1"/>
    <col min="4" max="4" width="6.7109375" style="2" customWidth="1"/>
    <col min="5" max="5" width="14.28515625" style="2" customWidth="1"/>
    <col min="6" max="6" width="3.140625" style="2" customWidth="1"/>
    <col min="7" max="7" width="12.140625" style="2" customWidth="1"/>
    <col min="8" max="8" width="30.7109375" style="2" customWidth="1"/>
    <col min="9" max="9" width="0.5703125" style="3" customWidth="1"/>
    <col min="10" max="10" width="13.7109375" style="3" customWidth="1"/>
    <col min="11" max="11" width="14.28515625" style="3" customWidth="1"/>
    <col min="12" max="13" width="0.5703125" style="3" customWidth="1"/>
    <col min="14" max="14" width="13.5703125" style="3" bestFit="1" customWidth="1"/>
    <col min="15" max="15" width="0.7109375" style="3" customWidth="1"/>
    <col min="16" max="16" width="13.42578125" style="3" customWidth="1"/>
    <col min="17" max="17" width="12.140625" style="4" customWidth="1"/>
    <col min="18" max="18" width="11" style="1" customWidth="1"/>
    <col min="19" max="19" width="7" style="2" customWidth="1"/>
    <col min="20" max="20" width="12.5703125" style="2" customWidth="1"/>
    <col min="21" max="21" width="10.85546875" style="2" customWidth="1"/>
    <col min="22" max="22" width="7" style="2" customWidth="1"/>
    <col min="23" max="23" width="0.85546875" style="3" customWidth="1"/>
    <col min="24" max="24" width="13.140625" style="1" customWidth="1"/>
    <col min="25" max="25" width="9.42578125" style="2" customWidth="1"/>
    <col min="26" max="27" width="0.5703125" style="2" customWidth="1"/>
    <col min="28" max="28" width="6.85546875" style="2" customWidth="1"/>
    <col min="29" max="29" width="1.140625" style="2" customWidth="1"/>
    <col min="30" max="30" width="4.85546875" style="2" customWidth="1"/>
    <col min="31" max="31" width="0.42578125" style="5" customWidth="1"/>
    <col min="32" max="33" width="0.42578125" style="3" customWidth="1"/>
    <col min="34" max="35" width="0.42578125" style="2" customWidth="1"/>
    <col min="36" max="36" width="0.42578125" style="1" customWidth="1"/>
    <col min="37" max="37" width="0.42578125" style="2" customWidth="1"/>
    <col min="38" max="38" width="5.5703125" style="3" customWidth="1"/>
    <col min="39" max="39" width="25.85546875" style="2" customWidth="1"/>
    <col min="40" max="40" width="3.85546875" style="2" customWidth="1"/>
    <col min="41" max="41" width="4.28515625" style="2" customWidth="1"/>
    <col min="42" max="42" width="9.5703125" style="3" customWidth="1"/>
  </cols>
  <sheetData>
    <row r="1" spans="1:49" ht="15.75" x14ac:dyDescent="0.25">
      <c r="A1" s="353" t="s">
        <v>44</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row>
    <row r="3" spans="1:49" ht="21.95" customHeight="1" x14ac:dyDescent="0.25">
      <c r="A3" s="354" t="s">
        <v>0</v>
      </c>
      <c r="B3" s="354" t="s">
        <v>1</v>
      </c>
      <c r="C3" s="356" t="s">
        <v>2</v>
      </c>
      <c r="D3" s="356"/>
      <c r="E3" s="356"/>
      <c r="F3" s="356" t="s">
        <v>6</v>
      </c>
      <c r="G3" s="356"/>
      <c r="H3" s="356"/>
      <c r="I3" s="357" t="s">
        <v>9</v>
      </c>
      <c r="J3" s="357" t="s">
        <v>10</v>
      </c>
      <c r="K3" s="357" t="s">
        <v>11</v>
      </c>
      <c r="L3" s="357"/>
      <c r="M3" s="357" t="s">
        <v>14</v>
      </c>
      <c r="N3" s="357" t="s">
        <v>15</v>
      </c>
      <c r="O3" s="357" t="s">
        <v>16</v>
      </c>
      <c r="P3" s="357" t="s">
        <v>17</v>
      </c>
      <c r="Q3" s="359" t="s">
        <v>18</v>
      </c>
      <c r="R3" s="361" t="s">
        <v>19</v>
      </c>
      <c r="S3" s="361"/>
      <c r="T3" s="361"/>
      <c r="U3" s="361"/>
      <c r="V3" s="362" t="s">
        <v>23</v>
      </c>
      <c r="W3" s="352" t="s">
        <v>24</v>
      </c>
      <c r="X3" s="364" t="s">
        <v>25</v>
      </c>
      <c r="Y3" s="362" t="s">
        <v>26</v>
      </c>
      <c r="Z3" s="362" t="s">
        <v>27</v>
      </c>
      <c r="AA3" s="362" t="s">
        <v>28</v>
      </c>
      <c r="AB3" s="362" t="s">
        <v>29</v>
      </c>
      <c r="AC3" s="362" t="s">
        <v>30</v>
      </c>
      <c r="AD3" s="362" t="s">
        <v>31</v>
      </c>
      <c r="AE3" s="365" t="s">
        <v>32</v>
      </c>
      <c r="AF3" s="352" t="s">
        <v>33</v>
      </c>
      <c r="AG3" s="352" t="s">
        <v>34</v>
      </c>
      <c r="AH3" s="362" t="s">
        <v>35</v>
      </c>
      <c r="AI3" s="362" t="s">
        <v>36</v>
      </c>
      <c r="AJ3" s="364" t="s">
        <v>37</v>
      </c>
      <c r="AK3" s="362" t="s">
        <v>38</v>
      </c>
      <c r="AL3" s="352" t="s">
        <v>39</v>
      </c>
      <c r="AM3" s="362" t="s">
        <v>40</v>
      </c>
      <c r="AN3" s="362" t="s">
        <v>41</v>
      </c>
      <c r="AO3" s="362" t="s">
        <v>42</v>
      </c>
      <c r="AP3" s="352" t="s">
        <v>43</v>
      </c>
      <c r="AQ3" s="7"/>
    </row>
    <row r="4" spans="1:49" ht="21.95" customHeight="1" x14ac:dyDescent="0.25">
      <c r="A4" s="354"/>
      <c r="B4" s="354"/>
      <c r="C4" s="356"/>
      <c r="D4" s="356"/>
      <c r="E4" s="356"/>
      <c r="F4" s="356" t="s">
        <v>7</v>
      </c>
      <c r="G4" s="356"/>
      <c r="H4" s="356" t="s">
        <v>8</v>
      </c>
      <c r="I4" s="357"/>
      <c r="J4" s="357"/>
      <c r="K4" s="357"/>
      <c r="L4" s="357"/>
      <c r="M4" s="357"/>
      <c r="N4" s="357"/>
      <c r="O4" s="357"/>
      <c r="P4" s="357"/>
      <c r="Q4" s="359"/>
      <c r="R4" s="361"/>
      <c r="S4" s="361"/>
      <c r="T4" s="361"/>
      <c r="U4" s="361"/>
      <c r="V4" s="362"/>
      <c r="W4" s="352"/>
      <c r="X4" s="364"/>
      <c r="Y4" s="362"/>
      <c r="Z4" s="362"/>
      <c r="AA4" s="362"/>
      <c r="AB4" s="362"/>
      <c r="AC4" s="362"/>
      <c r="AD4" s="362"/>
      <c r="AE4" s="365"/>
      <c r="AF4" s="352"/>
      <c r="AG4" s="352"/>
      <c r="AH4" s="362"/>
      <c r="AI4" s="362"/>
      <c r="AJ4" s="364"/>
      <c r="AK4" s="362"/>
      <c r="AL4" s="352"/>
      <c r="AM4" s="362"/>
      <c r="AN4" s="362"/>
      <c r="AO4" s="362"/>
      <c r="AP4" s="352"/>
      <c r="AQ4" s="7"/>
    </row>
    <row r="5" spans="1:49" ht="51" customHeight="1" x14ac:dyDescent="0.25">
      <c r="A5" s="355"/>
      <c r="B5" s="355"/>
      <c r="C5" s="48" t="s">
        <v>3</v>
      </c>
      <c r="D5" s="48" t="s">
        <v>4</v>
      </c>
      <c r="E5" s="48" t="s">
        <v>5</v>
      </c>
      <c r="F5" s="48" t="s">
        <v>3</v>
      </c>
      <c r="G5" s="48" t="s">
        <v>5</v>
      </c>
      <c r="H5" s="363"/>
      <c r="I5" s="358"/>
      <c r="J5" s="358"/>
      <c r="K5" s="49" t="s">
        <v>12</v>
      </c>
      <c r="L5" s="49" t="s">
        <v>13</v>
      </c>
      <c r="M5" s="358"/>
      <c r="N5" s="358"/>
      <c r="O5" s="358"/>
      <c r="P5" s="358"/>
      <c r="Q5" s="360"/>
      <c r="R5" s="83" t="s">
        <v>20</v>
      </c>
      <c r="S5" s="84" t="s">
        <v>3</v>
      </c>
      <c r="T5" s="84" t="s">
        <v>21</v>
      </c>
      <c r="U5" s="84" t="s">
        <v>22</v>
      </c>
      <c r="V5" s="362"/>
      <c r="W5" s="352"/>
      <c r="X5" s="364"/>
      <c r="Y5" s="362"/>
      <c r="Z5" s="362"/>
      <c r="AA5" s="362"/>
      <c r="AB5" s="362"/>
      <c r="AC5" s="362"/>
      <c r="AD5" s="362"/>
      <c r="AE5" s="365"/>
      <c r="AF5" s="352"/>
      <c r="AG5" s="352"/>
      <c r="AH5" s="362"/>
      <c r="AI5" s="362"/>
      <c r="AJ5" s="364"/>
      <c r="AK5" s="362"/>
      <c r="AL5" s="352"/>
      <c r="AM5" s="362"/>
      <c r="AN5" s="362"/>
      <c r="AO5" s="362"/>
      <c r="AP5" s="352"/>
      <c r="AQ5" s="7"/>
    </row>
    <row r="6" spans="1:49" s="41" customFormat="1" ht="14.25" customHeight="1" x14ac:dyDescent="0.25">
      <c r="A6" s="118">
        <v>46083</v>
      </c>
      <c r="B6" s="43"/>
      <c r="C6" s="13" t="s">
        <v>52</v>
      </c>
      <c r="D6" s="14" t="s">
        <v>53</v>
      </c>
      <c r="E6" s="98">
        <v>7129</v>
      </c>
      <c r="F6" s="44" t="s">
        <v>54</v>
      </c>
      <c r="G6" s="106">
        <v>72636393</v>
      </c>
      <c r="H6" s="95" t="s">
        <v>418</v>
      </c>
      <c r="I6" s="52"/>
      <c r="J6" s="52"/>
      <c r="K6" s="53">
        <v>5280</v>
      </c>
      <c r="L6" s="52"/>
      <c r="M6" s="52"/>
      <c r="N6" s="52"/>
      <c r="O6" s="52"/>
      <c r="P6" s="53">
        <f t="shared" ref="P6:P69" si="0">K6</f>
        <v>5280</v>
      </c>
      <c r="Q6" s="75"/>
      <c r="R6" s="51"/>
      <c r="S6" s="44"/>
      <c r="T6" s="44"/>
      <c r="U6" s="44"/>
      <c r="V6" s="44" t="s">
        <v>47</v>
      </c>
      <c r="W6" s="52"/>
      <c r="X6" s="51">
        <v>46083</v>
      </c>
      <c r="Y6" s="15" t="s">
        <v>63</v>
      </c>
      <c r="Z6" s="44"/>
      <c r="AA6" s="44"/>
      <c r="AB6" s="44" t="s">
        <v>49</v>
      </c>
      <c r="AC6" s="44"/>
      <c r="AD6" s="44" t="s">
        <v>48</v>
      </c>
      <c r="AE6" s="55"/>
      <c r="AF6" s="52"/>
      <c r="AG6" s="52"/>
      <c r="AH6" s="44"/>
      <c r="AI6" s="44"/>
      <c r="AJ6" s="51"/>
      <c r="AK6" s="44"/>
      <c r="AL6" s="52">
        <v>18</v>
      </c>
      <c r="AM6" s="47" t="s">
        <v>50</v>
      </c>
      <c r="AN6" s="44" t="s">
        <v>51</v>
      </c>
      <c r="AO6" s="44"/>
      <c r="AP6" s="52"/>
    </row>
    <row r="7" spans="1:49" s="41" customFormat="1" ht="14.25" customHeight="1" x14ac:dyDescent="0.25">
      <c r="A7" s="118">
        <v>46083</v>
      </c>
      <c r="B7" s="43"/>
      <c r="C7" s="13" t="s">
        <v>52</v>
      </c>
      <c r="D7" s="14" t="s">
        <v>53</v>
      </c>
      <c r="E7" s="98">
        <v>7130</v>
      </c>
      <c r="F7" s="44" t="s">
        <v>54</v>
      </c>
      <c r="G7" s="106">
        <v>72636393</v>
      </c>
      <c r="H7" s="95" t="s">
        <v>418</v>
      </c>
      <c r="I7" s="52"/>
      <c r="J7" s="52"/>
      <c r="K7" s="53">
        <v>0</v>
      </c>
      <c r="L7" s="52"/>
      <c r="M7" s="52"/>
      <c r="N7" s="52"/>
      <c r="O7" s="52"/>
      <c r="P7" s="53">
        <f t="shared" si="0"/>
        <v>0</v>
      </c>
      <c r="R7" s="51"/>
      <c r="S7" s="44"/>
      <c r="T7" s="44"/>
      <c r="U7" s="44"/>
      <c r="V7" s="44" t="s">
        <v>47</v>
      </c>
      <c r="W7" s="52"/>
      <c r="X7" s="51">
        <v>46083</v>
      </c>
      <c r="Y7" s="15" t="s">
        <v>61</v>
      </c>
      <c r="Z7" s="44"/>
      <c r="AA7" s="44"/>
      <c r="AB7" s="44" t="s">
        <v>49</v>
      </c>
      <c r="AC7" s="44"/>
      <c r="AD7" s="44" t="s">
        <v>48</v>
      </c>
      <c r="AE7" s="55"/>
      <c r="AF7" s="52"/>
      <c r="AG7" s="52"/>
      <c r="AH7" s="44"/>
      <c r="AI7" s="44"/>
      <c r="AJ7" s="51"/>
      <c r="AK7" s="44"/>
      <c r="AL7" s="52">
        <v>18</v>
      </c>
      <c r="AM7" s="47" t="s">
        <v>64</v>
      </c>
      <c r="AN7" s="44" t="s">
        <v>51</v>
      </c>
      <c r="AO7" s="44"/>
      <c r="AP7" s="52"/>
    </row>
    <row r="8" spans="1:49" s="41" customFormat="1" ht="14.25" customHeight="1" x14ac:dyDescent="0.25">
      <c r="A8" s="118">
        <v>46083</v>
      </c>
      <c r="B8" s="43"/>
      <c r="C8" s="13" t="s">
        <v>52</v>
      </c>
      <c r="D8" s="14" t="s">
        <v>53</v>
      </c>
      <c r="E8" s="98">
        <v>7131</v>
      </c>
      <c r="F8" s="44" t="s">
        <v>54</v>
      </c>
      <c r="G8" s="106">
        <v>46740391</v>
      </c>
      <c r="H8" s="95" t="s">
        <v>419</v>
      </c>
      <c r="I8" s="52"/>
      <c r="J8" s="52"/>
      <c r="K8" s="53">
        <v>5230</v>
      </c>
      <c r="L8" s="52"/>
      <c r="M8" s="52"/>
      <c r="N8" s="52"/>
      <c r="O8" s="52"/>
      <c r="P8" s="53">
        <f t="shared" si="0"/>
        <v>5230</v>
      </c>
      <c r="Q8" s="75"/>
      <c r="R8" s="51"/>
      <c r="S8" s="44"/>
      <c r="T8" s="44"/>
      <c r="U8" s="44"/>
      <c r="V8" s="44" t="s">
        <v>47</v>
      </c>
      <c r="W8" s="52"/>
      <c r="X8" s="51">
        <v>46083</v>
      </c>
      <c r="Y8" s="15" t="s">
        <v>63</v>
      </c>
      <c r="Z8" s="26"/>
      <c r="AA8" s="26"/>
      <c r="AB8" s="15" t="s">
        <v>49</v>
      </c>
      <c r="AC8" s="26"/>
      <c r="AD8" s="44" t="s">
        <v>48</v>
      </c>
      <c r="AE8" s="27"/>
      <c r="AF8" s="24"/>
      <c r="AG8" s="24"/>
      <c r="AH8" s="26"/>
      <c r="AI8" s="26"/>
      <c r="AJ8" s="25"/>
      <c r="AK8" s="26"/>
      <c r="AL8" s="17">
        <v>18</v>
      </c>
      <c r="AM8" s="47" t="s">
        <v>50</v>
      </c>
      <c r="AN8" s="44" t="s">
        <v>51</v>
      </c>
      <c r="AO8" s="44"/>
      <c r="AP8" s="52"/>
    </row>
    <row r="9" spans="1:49" s="105" customFormat="1" ht="14.25" customHeight="1" x14ac:dyDescent="0.25">
      <c r="A9" s="118">
        <v>46083</v>
      </c>
      <c r="B9" s="18"/>
      <c r="C9" s="22" t="s">
        <v>52</v>
      </c>
      <c r="D9" s="23" t="s">
        <v>53</v>
      </c>
      <c r="E9" s="98">
        <v>7132</v>
      </c>
      <c r="F9" s="15" t="s">
        <v>54</v>
      </c>
      <c r="G9" s="106">
        <v>46740391</v>
      </c>
      <c r="H9" s="102" t="s">
        <v>419</v>
      </c>
      <c r="I9" s="17"/>
      <c r="J9" s="17"/>
      <c r="K9" s="16">
        <v>0</v>
      </c>
      <c r="L9" s="17"/>
      <c r="M9" s="17"/>
      <c r="N9" s="17"/>
      <c r="O9" s="17"/>
      <c r="P9" s="16">
        <f t="shared" si="0"/>
        <v>0</v>
      </c>
      <c r="Q9" s="103"/>
      <c r="R9" s="18"/>
      <c r="S9" s="15"/>
      <c r="T9" s="15"/>
      <c r="U9" s="15"/>
      <c r="V9" s="15" t="s">
        <v>47</v>
      </c>
      <c r="W9" s="17"/>
      <c r="X9" s="18">
        <v>46083</v>
      </c>
      <c r="Y9" s="15" t="s">
        <v>61</v>
      </c>
      <c r="Z9" s="44"/>
      <c r="AA9" s="44"/>
      <c r="AB9" s="44" t="s">
        <v>49</v>
      </c>
      <c r="AC9" s="44"/>
      <c r="AD9" s="44" t="s">
        <v>48</v>
      </c>
      <c r="AE9" s="55"/>
      <c r="AF9" s="52"/>
      <c r="AG9" s="52"/>
      <c r="AH9" s="44"/>
      <c r="AI9" s="44"/>
      <c r="AJ9" s="51"/>
      <c r="AK9" s="44"/>
      <c r="AL9" s="52">
        <v>18</v>
      </c>
      <c r="AM9" s="47" t="s">
        <v>64</v>
      </c>
      <c r="AN9" s="15" t="s">
        <v>51</v>
      </c>
      <c r="AO9" s="15"/>
      <c r="AP9" s="17"/>
      <c r="AW9" s="103"/>
    </row>
    <row r="10" spans="1:49" s="41" customFormat="1" ht="14.25" customHeight="1" x14ac:dyDescent="0.25">
      <c r="A10" s="118">
        <v>46083</v>
      </c>
      <c r="B10" s="43"/>
      <c r="C10" s="13" t="s">
        <v>52</v>
      </c>
      <c r="D10" s="14" t="s">
        <v>53</v>
      </c>
      <c r="E10" s="98">
        <v>7133</v>
      </c>
      <c r="F10" s="44" t="s">
        <v>54</v>
      </c>
      <c r="G10" s="106">
        <v>21001513</v>
      </c>
      <c r="H10" s="95" t="s">
        <v>420</v>
      </c>
      <c r="I10" s="52"/>
      <c r="J10" s="52"/>
      <c r="K10" s="53">
        <v>6080</v>
      </c>
      <c r="L10" s="52"/>
      <c r="M10" s="52"/>
      <c r="N10" s="52"/>
      <c r="O10" s="52"/>
      <c r="P10" s="53">
        <f t="shared" si="0"/>
        <v>6080</v>
      </c>
      <c r="Q10" s="75"/>
      <c r="R10" s="51"/>
      <c r="S10" s="44"/>
      <c r="T10" s="44"/>
      <c r="U10" s="44"/>
      <c r="V10" s="44" t="s">
        <v>47</v>
      </c>
      <c r="W10" s="52"/>
      <c r="X10" s="51">
        <v>46083</v>
      </c>
      <c r="Y10" s="15" t="s">
        <v>63</v>
      </c>
      <c r="Z10" s="26"/>
      <c r="AA10" s="26"/>
      <c r="AB10" s="15" t="s">
        <v>49</v>
      </c>
      <c r="AC10" s="26"/>
      <c r="AD10" s="44" t="s">
        <v>48</v>
      </c>
      <c r="AE10" s="27"/>
      <c r="AF10" s="24"/>
      <c r="AG10" s="24"/>
      <c r="AH10" s="26"/>
      <c r="AI10" s="26"/>
      <c r="AJ10" s="25"/>
      <c r="AK10" s="26"/>
      <c r="AL10" s="17">
        <v>18</v>
      </c>
      <c r="AM10" s="47" t="s">
        <v>50</v>
      </c>
      <c r="AN10" s="44" t="s">
        <v>51</v>
      </c>
      <c r="AO10" s="44"/>
      <c r="AP10" s="52"/>
    </row>
    <row r="11" spans="1:49" s="41" customFormat="1" ht="14.25" customHeight="1" x14ac:dyDescent="0.25">
      <c r="A11" s="118">
        <v>46083</v>
      </c>
      <c r="B11" s="43"/>
      <c r="C11" s="13" t="s">
        <v>52</v>
      </c>
      <c r="D11" s="14" t="s">
        <v>53</v>
      </c>
      <c r="E11" s="98">
        <v>7134</v>
      </c>
      <c r="F11" s="44" t="s">
        <v>54</v>
      </c>
      <c r="G11" s="106">
        <v>21001513</v>
      </c>
      <c r="H11" s="2" t="s">
        <v>420</v>
      </c>
      <c r="I11" s="52"/>
      <c r="J11" s="52"/>
      <c r="K11" s="53">
        <v>0</v>
      </c>
      <c r="L11" s="52"/>
      <c r="M11" s="52"/>
      <c r="N11" s="52"/>
      <c r="O11" s="52"/>
      <c r="P11" s="53">
        <f t="shared" si="0"/>
        <v>0</v>
      </c>
      <c r="Q11" s="75"/>
      <c r="R11" s="51"/>
      <c r="S11" s="44"/>
      <c r="T11" s="44"/>
      <c r="U11" s="44"/>
      <c r="V11" s="44" t="s">
        <v>47</v>
      </c>
      <c r="W11" s="52"/>
      <c r="X11" s="51">
        <v>46083</v>
      </c>
      <c r="Y11" s="15" t="s">
        <v>61</v>
      </c>
      <c r="Z11" s="26"/>
      <c r="AA11" s="26"/>
      <c r="AB11" s="15" t="s">
        <v>49</v>
      </c>
      <c r="AC11" s="26"/>
      <c r="AD11" s="44" t="s">
        <v>48</v>
      </c>
      <c r="AE11" s="27"/>
      <c r="AF11" s="24"/>
      <c r="AG11" s="24"/>
      <c r="AH11" s="26"/>
      <c r="AI11" s="26"/>
      <c r="AJ11" s="25"/>
      <c r="AK11" s="26"/>
      <c r="AL11" s="17">
        <v>18</v>
      </c>
      <c r="AM11" s="47" t="s">
        <v>64</v>
      </c>
      <c r="AN11" s="44" t="s">
        <v>51</v>
      </c>
      <c r="AO11" s="44"/>
      <c r="AP11" s="52"/>
    </row>
    <row r="12" spans="1:49" s="20" customFormat="1" ht="14.25" customHeight="1" x14ac:dyDescent="0.25">
      <c r="A12" s="118">
        <v>46084</v>
      </c>
      <c r="B12" s="43"/>
      <c r="C12" s="13" t="s">
        <v>52</v>
      </c>
      <c r="D12" s="14" t="s">
        <v>53</v>
      </c>
      <c r="E12" s="98">
        <v>7135</v>
      </c>
      <c r="F12" s="44" t="s">
        <v>54</v>
      </c>
      <c r="G12" s="106">
        <v>70604556</v>
      </c>
      <c r="H12" s="2" t="s">
        <v>421</v>
      </c>
      <c r="I12" s="57"/>
      <c r="J12" s="57"/>
      <c r="K12" s="53">
        <v>6280</v>
      </c>
      <c r="L12" s="57"/>
      <c r="M12" s="57"/>
      <c r="N12" s="57"/>
      <c r="O12" s="57"/>
      <c r="P12" s="53">
        <f t="shared" si="0"/>
        <v>6280</v>
      </c>
      <c r="Q12" s="75"/>
      <c r="R12" s="56"/>
      <c r="S12" s="58"/>
      <c r="T12" s="58"/>
      <c r="U12" s="58"/>
      <c r="V12" s="44" t="s">
        <v>47</v>
      </c>
      <c r="W12" s="57"/>
      <c r="X12" s="56">
        <v>46116</v>
      </c>
      <c r="Y12" s="15" t="s">
        <v>63</v>
      </c>
      <c r="Z12" s="44"/>
      <c r="AA12" s="44"/>
      <c r="AB12" s="44" t="s">
        <v>49</v>
      </c>
      <c r="AC12" s="44"/>
      <c r="AD12" s="44" t="s">
        <v>48</v>
      </c>
      <c r="AE12" s="55"/>
      <c r="AF12" s="52"/>
      <c r="AG12" s="52"/>
      <c r="AH12" s="44"/>
      <c r="AI12" s="44"/>
      <c r="AJ12" s="51"/>
      <c r="AK12" s="44"/>
      <c r="AL12" s="52">
        <v>18</v>
      </c>
      <c r="AM12" s="47" t="s">
        <v>50</v>
      </c>
      <c r="AN12" s="44" t="s">
        <v>51</v>
      </c>
      <c r="AO12" s="58"/>
      <c r="AP12" s="57"/>
    </row>
    <row r="13" spans="1:49" s="20" customFormat="1" ht="14.25" customHeight="1" x14ac:dyDescent="0.25">
      <c r="A13" s="118">
        <v>46084</v>
      </c>
      <c r="B13" s="43"/>
      <c r="C13" s="13" t="s">
        <v>52</v>
      </c>
      <c r="D13" s="14" t="s">
        <v>53</v>
      </c>
      <c r="E13" s="98">
        <v>7136</v>
      </c>
      <c r="F13" s="44" t="s">
        <v>54</v>
      </c>
      <c r="G13" s="106">
        <v>70604556</v>
      </c>
      <c r="H13" s="2" t="s">
        <v>421</v>
      </c>
      <c r="I13" s="57"/>
      <c r="J13" s="57"/>
      <c r="K13" s="53">
        <v>0</v>
      </c>
      <c r="L13" s="57"/>
      <c r="M13" s="57"/>
      <c r="N13" s="57"/>
      <c r="O13" s="57"/>
      <c r="P13" s="53">
        <f t="shared" si="0"/>
        <v>0</v>
      </c>
      <c r="Q13" s="75"/>
      <c r="R13" s="56"/>
      <c r="S13" s="58"/>
      <c r="T13" s="58"/>
      <c r="U13" s="58"/>
      <c r="V13" s="44" t="s">
        <v>47</v>
      </c>
      <c r="W13" s="57"/>
      <c r="X13" s="56">
        <v>46084</v>
      </c>
      <c r="Y13" s="15" t="s">
        <v>61</v>
      </c>
      <c r="Z13" s="26"/>
      <c r="AA13" s="26"/>
      <c r="AB13" s="15" t="s">
        <v>49</v>
      </c>
      <c r="AC13" s="26"/>
      <c r="AD13" s="44" t="s">
        <v>48</v>
      </c>
      <c r="AE13" s="27"/>
      <c r="AF13" s="24"/>
      <c r="AG13" s="24"/>
      <c r="AH13" s="26"/>
      <c r="AI13" s="26"/>
      <c r="AJ13" s="25"/>
      <c r="AK13" s="26"/>
      <c r="AL13" s="17">
        <v>18</v>
      </c>
      <c r="AM13" s="47" t="s">
        <v>64</v>
      </c>
      <c r="AN13" s="44" t="s">
        <v>51</v>
      </c>
      <c r="AO13" s="58"/>
      <c r="AP13" s="57"/>
    </row>
    <row r="14" spans="1:49" s="20" customFormat="1" ht="14.25" customHeight="1" x14ac:dyDescent="0.25">
      <c r="A14" s="118">
        <v>46084</v>
      </c>
      <c r="B14" s="43"/>
      <c r="C14" s="13" t="s">
        <v>52</v>
      </c>
      <c r="D14" s="14" t="s">
        <v>53</v>
      </c>
      <c r="E14" s="98">
        <v>7137</v>
      </c>
      <c r="F14" s="44" t="s">
        <v>54</v>
      </c>
      <c r="G14" s="106">
        <v>60104413</v>
      </c>
      <c r="H14" s="2" t="s">
        <v>422</v>
      </c>
      <c r="I14" s="57"/>
      <c r="J14" s="57"/>
      <c r="K14" s="53">
        <v>5380</v>
      </c>
      <c r="L14" s="57"/>
      <c r="M14" s="57"/>
      <c r="N14" s="57"/>
      <c r="O14" s="57"/>
      <c r="P14" s="53">
        <f t="shared" si="0"/>
        <v>5380</v>
      </c>
      <c r="Q14" s="75"/>
      <c r="R14" s="56"/>
      <c r="S14" s="58"/>
      <c r="T14" s="58"/>
      <c r="U14" s="58"/>
      <c r="V14" s="44" t="s">
        <v>47</v>
      </c>
      <c r="W14" s="57"/>
      <c r="X14" s="56">
        <v>46084</v>
      </c>
      <c r="Y14" s="15" t="s">
        <v>63</v>
      </c>
      <c r="Z14" s="44"/>
      <c r="AA14" s="44"/>
      <c r="AB14" s="44" t="s">
        <v>49</v>
      </c>
      <c r="AC14" s="44"/>
      <c r="AD14" s="44" t="s">
        <v>48</v>
      </c>
      <c r="AE14" s="55"/>
      <c r="AF14" s="52"/>
      <c r="AG14" s="52"/>
      <c r="AH14" s="44"/>
      <c r="AI14" s="44"/>
      <c r="AJ14" s="51"/>
      <c r="AK14" s="44"/>
      <c r="AL14" s="52">
        <v>18</v>
      </c>
      <c r="AM14" s="47" t="s">
        <v>50</v>
      </c>
      <c r="AN14" s="44" t="s">
        <v>51</v>
      </c>
      <c r="AO14" s="58"/>
      <c r="AP14" s="57"/>
    </row>
    <row r="15" spans="1:49" s="20" customFormat="1" ht="14.25" customHeight="1" x14ac:dyDescent="0.25">
      <c r="A15" s="118">
        <v>46084</v>
      </c>
      <c r="B15" s="43"/>
      <c r="C15" s="13" t="s">
        <v>52</v>
      </c>
      <c r="D15" s="14" t="s">
        <v>53</v>
      </c>
      <c r="E15" s="98">
        <v>7138</v>
      </c>
      <c r="F15" s="44" t="s">
        <v>54</v>
      </c>
      <c r="G15" s="106">
        <v>60104413</v>
      </c>
      <c r="H15" s="2" t="s">
        <v>422</v>
      </c>
      <c r="I15" s="57"/>
      <c r="J15" s="57"/>
      <c r="K15" s="53">
        <v>0</v>
      </c>
      <c r="L15" s="57"/>
      <c r="M15" s="57"/>
      <c r="N15" s="57"/>
      <c r="O15" s="57"/>
      <c r="P15" s="53">
        <f t="shared" si="0"/>
        <v>0</v>
      </c>
      <c r="Q15" s="75"/>
      <c r="R15" s="56"/>
      <c r="S15" s="58"/>
      <c r="T15" s="58"/>
      <c r="U15" s="58"/>
      <c r="V15" s="44" t="s">
        <v>47</v>
      </c>
      <c r="W15" s="57"/>
      <c r="X15" s="56">
        <v>46084</v>
      </c>
      <c r="Y15" s="15" t="s">
        <v>61</v>
      </c>
      <c r="Z15" s="26"/>
      <c r="AA15" s="26"/>
      <c r="AB15" s="15" t="s">
        <v>49</v>
      </c>
      <c r="AC15" s="26"/>
      <c r="AD15" s="44" t="s">
        <v>48</v>
      </c>
      <c r="AE15" s="27"/>
      <c r="AF15" s="24"/>
      <c r="AG15" s="24"/>
      <c r="AH15" s="26"/>
      <c r="AI15" s="26"/>
      <c r="AJ15" s="25"/>
      <c r="AK15" s="26"/>
      <c r="AL15" s="17">
        <v>18</v>
      </c>
      <c r="AM15" s="47" t="s">
        <v>64</v>
      </c>
      <c r="AN15" s="44" t="s">
        <v>51</v>
      </c>
      <c r="AO15" s="58"/>
      <c r="AP15" s="57"/>
    </row>
    <row r="16" spans="1:49" s="20" customFormat="1" ht="14.25" customHeight="1" x14ac:dyDescent="0.25">
      <c r="A16" s="118">
        <v>46084</v>
      </c>
      <c r="B16" s="43"/>
      <c r="C16" s="13" t="s">
        <v>52</v>
      </c>
      <c r="D16" s="14" t="s">
        <v>53</v>
      </c>
      <c r="E16" s="98">
        <v>7139</v>
      </c>
      <c r="F16" s="44" t="s">
        <v>54</v>
      </c>
      <c r="G16" s="106">
        <v>61282645</v>
      </c>
      <c r="H16" s="2" t="s">
        <v>423</v>
      </c>
      <c r="I16" s="57"/>
      <c r="J16" s="57"/>
      <c r="K16" s="53">
        <v>15280</v>
      </c>
      <c r="L16" s="57"/>
      <c r="M16" s="57"/>
      <c r="N16" s="57"/>
      <c r="O16" s="57"/>
      <c r="P16" s="53">
        <f t="shared" si="0"/>
        <v>15280</v>
      </c>
      <c r="Q16" s="75"/>
      <c r="R16" s="56"/>
      <c r="S16" s="58"/>
      <c r="T16" s="58"/>
      <c r="U16" s="58"/>
      <c r="V16" s="44" t="s">
        <v>47</v>
      </c>
      <c r="W16" s="57"/>
      <c r="X16" s="56">
        <v>46084</v>
      </c>
      <c r="Y16" s="15" t="s">
        <v>63</v>
      </c>
      <c r="Z16" s="44"/>
      <c r="AA16" s="44"/>
      <c r="AB16" s="44" t="s">
        <v>49</v>
      </c>
      <c r="AC16" s="44"/>
      <c r="AD16" s="44" t="s">
        <v>48</v>
      </c>
      <c r="AE16" s="55"/>
      <c r="AF16" s="52"/>
      <c r="AG16" s="52"/>
      <c r="AH16" s="44"/>
      <c r="AI16" s="44"/>
      <c r="AJ16" s="51"/>
      <c r="AK16" s="44"/>
      <c r="AL16" s="52">
        <v>18</v>
      </c>
      <c r="AM16" s="47" t="s">
        <v>50</v>
      </c>
      <c r="AN16" s="44" t="s">
        <v>51</v>
      </c>
      <c r="AO16" s="58"/>
      <c r="AP16" s="57"/>
    </row>
    <row r="17" spans="1:42" s="41" customFormat="1" ht="14.25" customHeight="1" x14ac:dyDescent="0.25">
      <c r="A17" s="118">
        <v>46084</v>
      </c>
      <c r="B17" s="43"/>
      <c r="C17" s="13" t="s">
        <v>52</v>
      </c>
      <c r="D17" s="14" t="s">
        <v>53</v>
      </c>
      <c r="E17" s="98">
        <v>7140</v>
      </c>
      <c r="F17" s="44" t="s">
        <v>54</v>
      </c>
      <c r="G17" s="106">
        <v>61282645</v>
      </c>
      <c r="H17" s="2" t="s">
        <v>423</v>
      </c>
      <c r="I17" s="52"/>
      <c r="J17" s="52"/>
      <c r="K17" s="53">
        <v>0</v>
      </c>
      <c r="L17" s="52"/>
      <c r="M17" s="52"/>
      <c r="N17" s="52"/>
      <c r="O17" s="52"/>
      <c r="P17" s="53">
        <f t="shared" si="0"/>
        <v>0</v>
      </c>
      <c r="Q17" s="75"/>
      <c r="R17" s="51"/>
      <c r="S17" s="44"/>
      <c r="T17" s="44"/>
      <c r="U17" s="44"/>
      <c r="V17" s="44" t="s">
        <v>47</v>
      </c>
      <c r="W17" s="52"/>
      <c r="X17" s="51">
        <v>46084</v>
      </c>
      <c r="Y17" s="15" t="s">
        <v>61</v>
      </c>
      <c r="Z17" s="26"/>
      <c r="AA17" s="26"/>
      <c r="AB17" s="15" t="s">
        <v>49</v>
      </c>
      <c r="AC17" s="26"/>
      <c r="AD17" s="44" t="s">
        <v>48</v>
      </c>
      <c r="AE17" s="27"/>
      <c r="AF17" s="24"/>
      <c r="AG17" s="24"/>
      <c r="AH17" s="26"/>
      <c r="AI17" s="26"/>
      <c r="AJ17" s="25"/>
      <c r="AK17" s="26"/>
      <c r="AL17" s="17">
        <v>18</v>
      </c>
      <c r="AM17" s="47" t="s">
        <v>64</v>
      </c>
      <c r="AN17" s="44" t="s">
        <v>51</v>
      </c>
      <c r="AO17" s="44"/>
      <c r="AP17" s="52"/>
    </row>
    <row r="18" spans="1:42" s="41" customFormat="1" ht="14.25" customHeight="1" x14ac:dyDescent="0.25">
      <c r="A18" s="118">
        <v>46085</v>
      </c>
      <c r="B18" s="51"/>
      <c r="C18" s="13" t="s">
        <v>52</v>
      </c>
      <c r="D18" s="14" t="s">
        <v>53</v>
      </c>
      <c r="E18" s="98">
        <v>7141</v>
      </c>
      <c r="F18" s="44" t="s">
        <v>54</v>
      </c>
      <c r="G18" s="106">
        <v>71312963</v>
      </c>
      <c r="H18" s="2" t="s">
        <v>424</v>
      </c>
      <c r="I18" s="52"/>
      <c r="J18" s="52"/>
      <c r="K18" s="53">
        <v>6080</v>
      </c>
      <c r="L18" s="52"/>
      <c r="M18" s="52"/>
      <c r="N18" s="52"/>
      <c r="O18" s="52"/>
      <c r="P18" s="53">
        <f t="shared" si="0"/>
        <v>6080</v>
      </c>
      <c r="Q18" s="75"/>
      <c r="R18" s="51"/>
      <c r="S18" s="44"/>
      <c r="T18" s="44"/>
      <c r="U18" s="44"/>
      <c r="V18" s="44" t="s">
        <v>47</v>
      </c>
      <c r="W18" s="52"/>
      <c r="X18" s="51">
        <v>46085</v>
      </c>
      <c r="Y18" s="15" t="s">
        <v>63</v>
      </c>
      <c r="Z18" s="44"/>
      <c r="AA18" s="44"/>
      <c r="AB18" s="44" t="s">
        <v>49</v>
      </c>
      <c r="AC18" s="44"/>
      <c r="AD18" s="44" t="s">
        <v>48</v>
      </c>
      <c r="AE18" s="55"/>
      <c r="AF18" s="52"/>
      <c r="AG18" s="52"/>
      <c r="AH18" s="44"/>
      <c r="AI18" s="44"/>
      <c r="AJ18" s="51"/>
      <c r="AK18" s="44"/>
      <c r="AL18" s="52">
        <v>18</v>
      </c>
      <c r="AM18" s="47" t="s">
        <v>50</v>
      </c>
      <c r="AN18" s="44" t="s">
        <v>51</v>
      </c>
      <c r="AO18" s="44"/>
      <c r="AP18" s="52"/>
    </row>
    <row r="19" spans="1:42" s="20" customFormat="1" ht="14.25" customHeight="1" x14ac:dyDescent="0.25">
      <c r="A19" s="118">
        <v>46085</v>
      </c>
      <c r="B19" s="43"/>
      <c r="C19" s="13" t="s">
        <v>52</v>
      </c>
      <c r="D19" s="14" t="s">
        <v>53</v>
      </c>
      <c r="E19" s="98">
        <v>7142</v>
      </c>
      <c r="F19" s="44" t="s">
        <v>54</v>
      </c>
      <c r="G19" s="106">
        <v>71312963</v>
      </c>
      <c r="H19" s="2" t="s">
        <v>424</v>
      </c>
      <c r="I19" s="57"/>
      <c r="J19" s="57"/>
      <c r="K19" s="53">
        <v>0</v>
      </c>
      <c r="L19" s="57"/>
      <c r="M19" s="57"/>
      <c r="N19" s="57"/>
      <c r="O19" s="57"/>
      <c r="P19" s="53">
        <f t="shared" si="0"/>
        <v>0</v>
      </c>
      <c r="Q19" s="75"/>
      <c r="R19" s="56"/>
      <c r="S19" s="58"/>
      <c r="T19" s="58"/>
      <c r="U19" s="58"/>
      <c r="V19" s="44" t="s">
        <v>47</v>
      </c>
      <c r="W19" s="57"/>
      <c r="X19" s="56">
        <v>46085</v>
      </c>
      <c r="Y19" s="15" t="s">
        <v>61</v>
      </c>
      <c r="Z19" s="26"/>
      <c r="AA19" s="26"/>
      <c r="AB19" s="15" t="s">
        <v>49</v>
      </c>
      <c r="AC19" s="26"/>
      <c r="AD19" s="44" t="s">
        <v>48</v>
      </c>
      <c r="AE19" s="27"/>
      <c r="AF19" s="24"/>
      <c r="AG19" s="24"/>
      <c r="AH19" s="26"/>
      <c r="AI19" s="26"/>
      <c r="AJ19" s="25"/>
      <c r="AK19" s="26"/>
      <c r="AL19" s="17">
        <v>18</v>
      </c>
      <c r="AM19" s="47" t="s">
        <v>64</v>
      </c>
      <c r="AN19" s="44" t="s">
        <v>51</v>
      </c>
      <c r="AO19" s="58"/>
      <c r="AP19" s="57"/>
    </row>
    <row r="20" spans="1:42" s="20" customFormat="1" ht="14.25" customHeight="1" x14ac:dyDescent="0.25">
      <c r="A20" s="118">
        <v>46085</v>
      </c>
      <c r="B20" s="43"/>
      <c r="C20" s="13" t="s">
        <v>52</v>
      </c>
      <c r="D20" s="14" t="s">
        <v>53</v>
      </c>
      <c r="E20" s="98">
        <v>7143</v>
      </c>
      <c r="F20" s="44" t="s">
        <v>54</v>
      </c>
      <c r="G20" s="106">
        <v>46802784</v>
      </c>
      <c r="H20" s="2" t="s">
        <v>425</v>
      </c>
      <c r="I20" s="57"/>
      <c r="J20" s="57"/>
      <c r="K20" s="53">
        <v>8030</v>
      </c>
      <c r="L20" s="57"/>
      <c r="M20" s="57"/>
      <c r="N20" s="57"/>
      <c r="O20" s="57"/>
      <c r="P20" s="53">
        <f t="shared" si="0"/>
        <v>8030</v>
      </c>
      <c r="Q20" s="75"/>
      <c r="R20" s="56"/>
      <c r="S20" s="58"/>
      <c r="T20" s="58"/>
      <c r="U20" s="58"/>
      <c r="V20" s="44" t="s">
        <v>47</v>
      </c>
      <c r="W20" s="57"/>
      <c r="X20" s="56">
        <v>46085</v>
      </c>
      <c r="Y20" s="15" t="s">
        <v>63</v>
      </c>
      <c r="Z20" s="44"/>
      <c r="AA20" s="44"/>
      <c r="AB20" s="44" t="s">
        <v>49</v>
      </c>
      <c r="AC20" s="44"/>
      <c r="AD20" s="44" t="s">
        <v>48</v>
      </c>
      <c r="AE20" s="55"/>
      <c r="AF20" s="52"/>
      <c r="AG20" s="52"/>
      <c r="AH20" s="44"/>
      <c r="AI20" s="44"/>
      <c r="AJ20" s="51"/>
      <c r="AK20" s="44"/>
      <c r="AL20" s="52">
        <v>18</v>
      </c>
      <c r="AM20" s="47" t="s">
        <v>50</v>
      </c>
      <c r="AN20" s="44" t="s">
        <v>51</v>
      </c>
      <c r="AO20" s="58"/>
      <c r="AP20" s="57"/>
    </row>
    <row r="21" spans="1:42" s="20" customFormat="1" ht="14.25" customHeight="1" x14ac:dyDescent="0.25">
      <c r="A21" s="118">
        <v>46086</v>
      </c>
      <c r="B21" s="43"/>
      <c r="C21" s="13" t="s">
        <v>52</v>
      </c>
      <c r="D21" s="14" t="s">
        <v>53</v>
      </c>
      <c r="E21" s="98">
        <v>7144</v>
      </c>
      <c r="F21" s="44" t="s">
        <v>54</v>
      </c>
      <c r="G21" s="106">
        <v>73389562</v>
      </c>
      <c r="H21" s="2" t="s">
        <v>426</v>
      </c>
      <c r="I21" s="57"/>
      <c r="J21" s="57"/>
      <c r="K21" s="53">
        <v>7780</v>
      </c>
      <c r="L21" s="57"/>
      <c r="M21" s="57"/>
      <c r="N21" s="57"/>
      <c r="O21" s="57"/>
      <c r="P21" s="53">
        <f t="shared" si="0"/>
        <v>7780</v>
      </c>
      <c r="Q21" s="75"/>
      <c r="R21" s="56"/>
      <c r="S21" s="58"/>
      <c r="T21" s="58"/>
      <c r="U21" s="58"/>
      <c r="V21" s="44" t="s">
        <v>47</v>
      </c>
      <c r="W21" s="57"/>
      <c r="X21" s="56">
        <v>46086</v>
      </c>
      <c r="Y21" s="15" t="s">
        <v>63</v>
      </c>
      <c r="Z21" s="26"/>
      <c r="AA21" s="26"/>
      <c r="AB21" s="15" t="s">
        <v>49</v>
      </c>
      <c r="AC21" s="26"/>
      <c r="AD21" s="44" t="s">
        <v>48</v>
      </c>
      <c r="AE21" s="27"/>
      <c r="AF21" s="24"/>
      <c r="AG21" s="24"/>
      <c r="AH21" s="26"/>
      <c r="AI21" s="26"/>
      <c r="AJ21" s="25"/>
      <c r="AK21" s="26"/>
      <c r="AL21" s="17">
        <v>18</v>
      </c>
      <c r="AM21" s="47" t="s">
        <v>50</v>
      </c>
      <c r="AN21" s="44" t="s">
        <v>51</v>
      </c>
      <c r="AO21" s="58"/>
      <c r="AP21" s="57"/>
    </row>
    <row r="22" spans="1:42" s="20" customFormat="1" ht="14.25" customHeight="1" x14ac:dyDescent="0.25">
      <c r="A22" s="118">
        <v>46086</v>
      </c>
      <c r="B22" s="43"/>
      <c r="C22" s="13" t="s">
        <v>52</v>
      </c>
      <c r="D22" s="14" t="s">
        <v>53</v>
      </c>
      <c r="E22" s="98">
        <v>7145</v>
      </c>
      <c r="F22" s="44" t="s">
        <v>54</v>
      </c>
      <c r="G22" s="106">
        <v>71829899</v>
      </c>
      <c r="H22" s="2" t="s">
        <v>427</v>
      </c>
      <c r="I22" s="57"/>
      <c r="J22" s="57"/>
      <c r="K22" s="53">
        <v>5280</v>
      </c>
      <c r="L22" s="57"/>
      <c r="M22" s="57"/>
      <c r="N22" s="57"/>
      <c r="O22" s="57"/>
      <c r="P22" s="53">
        <f t="shared" si="0"/>
        <v>5280</v>
      </c>
      <c r="Q22" s="75"/>
      <c r="R22" s="56"/>
      <c r="S22" s="58"/>
      <c r="T22" s="58"/>
      <c r="U22" s="58"/>
      <c r="V22" s="44" t="s">
        <v>47</v>
      </c>
      <c r="W22" s="57"/>
      <c r="X22" s="56">
        <v>46086</v>
      </c>
      <c r="Y22" s="15" t="s">
        <v>63</v>
      </c>
      <c r="Z22" s="44"/>
      <c r="AA22" s="44"/>
      <c r="AB22" s="44" t="s">
        <v>49</v>
      </c>
      <c r="AC22" s="44"/>
      <c r="AD22" s="44" t="s">
        <v>48</v>
      </c>
      <c r="AE22" s="55"/>
      <c r="AF22" s="52"/>
      <c r="AG22" s="52"/>
      <c r="AH22" s="44"/>
      <c r="AI22" s="44"/>
      <c r="AJ22" s="51"/>
      <c r="AK22" s="44"/>
      <c r="AL22" s="52">
        <v>18</v>
      </c>
      <c r="AM22" s="47" t="s">
        <v>50</v>
      </c>
      <c r="AN22" s="44" t="s">
        <v>51</v>
      </c>
      <c r="AO22" s="58"/>
      <c r="AP22" s="57"/>
    </row>
    <row r="23" spans="1:42" s="20" customFormat="1" ht="14.25" customHeight="1" x14ac:dyDescent="0.25">
      <c r="A23" s="118">
        <v>46086</v>
      </c>
      <c r="B23" s="43"/>
      <c r="C23" s="13" t="s">
        <v>52</v>
      </c>
      <c r="D23" s="14" t="s">
        <v>53</v>
      </c>
      <c r="E23" s="98">
        <v>7146</v>
      </c>
      <c r="F23" s="44" t="s">
        <v>54</v>
      </c>
      <c r="G23" s="106">
        <v>71829899</v>
      </c>
      <c r="H23" s="2" t="s">
        <v>427</v>
      </c>
      <c r="I23" s="57"/>
      <c r="J23" s="57"/>
      <c r="K23" s="53">
        <v>0</v>
      </c>
      <c r="L23" s="57"/>
      <c r="M23" s="57"/>
      <c r="N23" s="57"/>
      <c r="O23" s="57"/>
      <c r="P23" s="53">
        <f t="shared" si="0"/>
        <v>0</v>
      </c>
      <c r="Q23" s="75"/>
      <c r="R23" s="56"/>
      <c r="S23" s="58"/>
      <c r="T23" s="58"/>
      <c r="U23" s="58"/>
      <c r="V23" s="44" t="s">
        <v>47</v>
      </c>
      <c r="W23" s="57"/>
      <c r="X23" s="56">
        <v>46086</v>
      </c>
      <c r="Y23" s="15" t="s">
        <v>61</v>
      </c>
      <c r="Z23" s="44"/>
      <c r="AA23" s="44"/>
      <c r="AB23" s="44" t="s">
        <v>49</v>
      </c>
      <c r="AC23" s="44"/>
      <c r="AD23" s="44" t="s">
        <v>48</v>
      </c>
      <c r="AE23" s="55"/>
      <c r="AF23" s="52"/>
      <c r="AG23" s="52"/>
      <c r="AH23" s="44"/>
      <c r="AI23" s="44"/>
      <c r="AJ23" s="51"/>
      <c r="AK23" s="44"/>
      <c r="AL23" s="52">
        <v>18</v>
      </c>
      <c r="AM23" s="47" t="s">
        <v>64</v>
      </c>
      <c r="AN23" s="44" t="s">
        <v>51</v>
      </c>
      <c r="AO23" s="58"/>
      <c r="AP23" s="57"/>
    </row>
    <row r="24" spans="1:42" s="41" customFormat="1" ht="14.25" customHeight="1" x14ac:dyDescent="0.25">
      <c r="A24" s="118">
        <v>46086</v>
      </c>
      <c r="B24" s="43"/>
      <c r="C24" s="13" t="s">
        <v>52</v>
      </c>
      <c r="D24" s="14" t="s">
        <v>53</v>
      </c>
      <c r="E24" s="98">
        <v>7147</v>
      </c>
      <c r="F24" s="44" t="s">
        <v>54</v>
      </c>
      <c r="G24" s="106">
        <v>73245271</v>
      </c>
      <c r="H24" s="2" t="s">
        <v>428</v>
      </c>
      <c r="I24" s="52"/>
      <c r="J24" s="52"/>
      <c r="K24" s="53">
        <v>0</v>
      </c>
      <c r="L24" s="52"/>
      <c r="M24" s="52"/>
      <c r="N24" s="52"/>
      <c r="O24" s="52"/>
      <c r="P24" s="53">
        <f t="shared" si="0"/>
        <v>0</v>
      </c>
      <c r="Q24" s="75"/>
      <c r="R24" s="51"/>
      <c r="S24" s="44"/>
      <c r="T24" s="44"/>
      <c r="U24" s="44"/>
      <c r="V24" s="44" t="s">
        <v>47</v>
      </c>
      <c r="W24" s="52"/>
      <c r="X24" s="51">
        <v>46086</v>
      </c>
      <c r="Y24" s="15" t="s">
        <v>61</v>
      </c>
      <c r="Z24" s="26"/>
      <c r="AA24" s="26"/>
      <c r="AB24" s="15" t="s">
        <v>49</v>
      </c>
      <c r="AC24" s="26"/>
      <c r="AD24" s="44" t="s">
        <v>48</v>
      </c>
      <c r="AE24" s="27"/>
      <c r="AF24" s="24"/>
      <c r="AG24" s="24"/>
      <c r="AH24" s="26"/>
      <c r="AI24" s="26"/>
      <c r="AJ24" s="25"/>
      <c r="AK24" s="26"/>
      <c r="AL24" s="17">
        <v>18</v>
      </c>
      <c r="AM24" s="47" t="s">
        <v>64</v>
      </c>
      <c r="AN24" s="44" t="s">
        <v>51</v>
      </c>
      <c r="AO24" s="44"/>
      <c r="AP24" s="52"/>
    </row>
    <row r="25" spans="1:42" s="41" customFormat="1" ht="14.25" customHeight="1" x14ac:dyDescent="0.25">
      <c r="A25" s="118">
        <v>46086</v>
      </c>
      <c r="B25" s="43"/>
      <c r="C25" s="13" t="s">
        <v>52</v>
      </c>
      <c r="D25" s="14" t="s">
        <v>53</v>
      </c>
      <c r="E25" s="98">
        <v>7148</v>
      </c>
      <c r="F25" s="44" t="s">
        <v>54</v>
      </c>
      <c r="G25" s="106">
        <v>20993688</v>
      </c>
      <c r="H25" s="2" t="s">
        <v>429</v>
      </c>
      <c r="I25" s="52"/>
      <c r="J25" s="52"/>
      <c r="K25" s="53">
        <v>8030</v>
      </c>
      <c r="L25" s="52"/>
      <c r="M25" s="52"/>
      <c r="N25" s="52"/>
      <c r="O25" s="52"/>
      <c r="P25" s="53">
        <f t="shared" si="0"/>
        <v>8030</v>
      </c>
      <c r="Q25" s="75"/>
      <c r="R25" s="51"/>
      <c r="S25" s="44"/>
      <c r="T25" s="44"/>
      <c r="U25" s="44"/>
      <c r="V25" s="44" t="s">
        <v>47</v>
      </c>
      <c r="W25" s="52"/>
      <c r="X25" s="51">
        <v>46086</v>
      </c>
      <c r="Y25" s="15" t="s">
        <v>63</v>
      </c>
      <c r="Z25" s="44"/>
      <c r="AA25" s="44"/>
      <c r="AB25" s="44" t="s">
        <v>49</v>
      </c>
      <c r="AC25" s="44"/>
      <c r="AD25" s="44" t="s">
        <v>48</v>
      </c>
      <c r="AE25" s="55"/>
      <c r="AF25" s="52"/>
      <c r="AG25" s="52"/>
      <c r="AH25" s="44"/>
      <c r="AI25" s="44"/>
      <c r="AJ25" s="51"/>
      <c r="AK25" s="44"/>
      <c r="AL25" s="52">
        <v>18</v>
      </c>
      <c r="AM25" s="47" t="s">
        <v>50</v>
      </c>
      <c r="AN25" s="44" t="s">
        <v>51</v>
      </c>
      <c r="AO25" s="44"/>
      <c r="AP25" s="52"/>
    </row>
    <row r="26" spans="1:42" s="41" customFormat="1" ht="14.25" customHeight="1" x14ac:dyDescent="0.25">
      <c r="A26" s="118">
        <v>46087</v>
      </c>
      <c r="B26" s="43"/>
      <c r="C26" s="13" t="s">
        <v>52</v>
      </c>
      <c r="D26" s="14" t="s">
        <v>53</v>
      </c>
      <c r="E26" s="98">
        <v>7149</v>
      </c>
      <c r="F26" s="44" t="s">
        <v>54</v>
      </c>
      <c r="G26" s="106">
        <v>73392043</v>
      </c>
      <c r="H26" s="2" t="s">
        <v>430</v>
      </c>
      <c r="I26" s="52"/>
      <c r="J26" s="52"/>
      <c r="K26" s="53">
        <v>5650</v>
      </c>
      <c r="L26" s="52"/>
      <c r="M26" s="52"/>
      <c r="N26" s="52"/>
      <c r="O26" s="52"/>
      <c r="P26" s="53">
        <f t="shared" si="0"/>
        <v>5650</v>
      </c>
      <c r="Q26" s="75"/>
      <c r="R26" s="51"/>
      <c r="S26" s="44"/>
      <c r="T26" s="44"/>
      <c r="U26" s="44"/>
      <c r="V26" s="44" t="s">
        <v>47</v>
      </c>
      <c r="W26" s="52"/>
      <c r="X26" s="51">
        <v>46157</v>
      </c>
      <c r="Y26" s="15" t="s">
        <v>63</v>
      </c>
      <c r="Z26" s="26"/>
      <c r="AA26" s="26"/>
      <c r="AB26" s="15" t="s">
        <v>49</v>
      </c>
      <c r="AC26" s="26"/>
      <c r="AD26" s="44" t="s">
        <v>48</v>
      </c>
      <c r="AE26" s="27"/>
      <c r="AF26" s="24"/>
      <c r="AG26" s="24"/>
      <c r="AH26" s="26"/>
      <c r="AI26" s="26"/>
      <c r="AJ26" s="25"/>
      <c r="AK26" s="26"/>
      <c r="AL26" s="17">
        <v>18</v>
      </c>
      <c r="AM26" s="47" t="s">
        <v>50</v>
      </c>
      <c r="AN26" s="44" t="s">
        <v>51</v>
      </c>
      <c r="AO26" s="44"/>
      <c r="AP26" s="52"/>
    </row>
    <row r="27" spans="1:42" s="20" customFormat="1" ht="14.25" customHeight="1" x14ac:dyDescent="0.25">
      <c r="A27" s="118">
        <v>46087</v>
      </c>
      <c r="B27" s="43"/>
      <c r="C27" s="13" t="s">
        <v>52</v>
      </c>
      <c r="D27" s="14" t="s">
        <v>53</v>
      </c>
      <c r="E27" s="98">
        <v>7150</v>
      </c>
      <c r="F27" s="44" t="s">
        <v>54</v>
      </c>
      <c r="G27" s="106">
        <v>73392043</v>
      </c>
      <c r="H27" s="2" t="s">
        <v>430</v>
      </c>
      <c r="I27" s="57"/>
      <c r="J27" s="57"/>
      <c r="K27" s="53">
        <v>0</v>
      </c>
      <c r="L27" s="57"/>
      <c r="M27" s="57"/>
      <c r="N27" s="57"/>
      <c r="O27" s="57"/>
      <c r="P27" s="53">
        <f t="shared" si="0"/>
        <v>0</v>
      </c>
      <c r="Q27" s="75"/>
      <c r="R27" s="56"/>
      <c r="S27" s="58"/>
      <c r="T27" s="58"/>
      <c r="U27" s="58"/>
      <c r="V27" s="44" t="s">
        <v>47</v>
      </c>
      <c r="W27" s="57"/>
      <c r="X27" s="56">
        <v>46087</v>
      </c>
      <c r="Y27" s="15" t="s">
        <v>61</v>
      </c>
      <c r="Z27" s="44"/>
      <c r="AA27" s="44"/>
      <c r="AB27" s="44" t="s">
        <v>49</v>
      </c>
      <c r="AC27" s="44"/>
      <c r="AD27" s="44" t="s">
        <v>48</v>
      </c>
      <c r="AE27" s="55"/>
      <c r="AF27" s="52"/>
      <c r="AG27" s="52"/>
      <c r="AH27" s="44"/>
      <c r="AI27" s="44"/>
      <c r="AJ27" s="51"/>
      <c r="AK27" s="44"/>
      <c r="AL27" s="52">
        <v>18</v>
      </c>
      <c r="AM27" s="47" t="s">
        <v>64</v>
      </c>
      <c r="AN27" s="44" t="s">
        <v>51</v>
      </c>
      <c r="AO27" s="58"/>
      <c r="AP27" s="57"/>
    </row>
    <row r="28" spans="1:42" s="20" customFormat="1" ht="14.25" customHeight="1" x14ac:dyDescent="0.25">
      <c r="A28" s="118">
        <v>46087</v>
      </c>
      <c r="B28" s="43"/>
      <c r="C28" s="13" t="s">
        <v>52</v>
      </c>
      <c r="D28" s="14" t="s">
        <v>53</v>
      </c>
      <c r="E28" s="98">
        <v>7151</v>
      </c>
      <c r="F28" s="44" t="s">
        <v>54</v>
      </c>
      <c r="G28" s="106">
        <v>71097999</v>
      </c>
      <c r="H28" s="2" t="s">
        <v>339</v>
      </c>
      <c r="I28" s="57"/>
      <c r="J28" s="57"/>
      <c r="K28" s="53">
        <v>7770</v>
      </c>
      <c r="L28" s="57"/>
      <c r="M28" s="57"/>
      <c r="N28" s="57"/>
      <c r="O28" s="57"/>
      <c r="P28" s="53">
        <f t="shared" si="0"/>
        <v>7770</v>
      </c>
      <c r="Q28" s="75"/>
      <c r="R28" s="56"/>
      <c r="S28" s="58"/>
      <c r="T28" s="58"/>
      <c r="U28" s="58"/>
      <c r="V28" s="44" t="s">
        <v>47</v>
      </c>
      <c r="W28" s="57"/>
      <c r="X28" s="56">
        <v>46087</v>
      </c>
      <c r="Y28" s="15" t="s">
        <v>63</v>
      </c>
      <c r="Z28" s="26"/>
      <c r="AA28" s="26"/>
      <c r="AB28" s="15" t="s">
        <v>49</v>
      </c>
      <c r="AC28" s="26"/>
      <c r="AD28" s="44" t="s">
        <v>48</v>
      </c>
      <c r="AE28" s="27"/>
      <c r="AF28" s="24"/>
      <c r="AG28" s="24"/>
      <c r="AH28" s="26"/>
      <c r="AI28" s="26"/>
      <c r="AJ28" s="25"/>
      <c r="AK28" s="26"/>
      <c r="AL28" s="17">
        <v>18</v>
      </c>
      <c r="AM28" s="47" t="s">
        <v>50</v>
      </c>
      <c r="AN28" s="44" t="s">
        <v>51</v>
      </c>
      <c r="AO28" s="58"/>
      <c r="AP28" s="57"/>
    </row>
    <row r="29" spans="1:42" s="20" customFormat="1" ht="14.25" customHeight="1" x14ac:dyDescent="0.25">
      <c r="A29" s="118">
        <v>46087</v>
      </c>
      <c r="B29" s="43"/>
      <c r="C29" s="13" t="s">
        <v>52</v>
      </c>
      <c r="D29" s="14" t="s">
        <v>53</v>
      </c>
      <c r="E29" s="98">
        <v>7152</v>
      </c>
      <c r="F29" s="44" t="s">
        <v>54</v>
      </c>
      <c r="G29" s="106">
        <v>72469044</v>
      </c>
      <c r="H29" s="2" t="s">
        <v>431</v>
      </c>
      <c r="I29" s="57"/>
      <c r="J29" s="57"/>
      <c r="K29" s="53">
        <v>5330</v>
      </c>
      <c r="L29" s="57"/>
      <c r="M29" s="57"/>
      <c r="N29" s="57"/>
      <c r="O29" s="57"/>
      <c r="P29" s="53">
        <f t="shared" si="0"/>
        <v>5330</v>
      </c>
      <c r="Q29" s="75"/>
      <c r="R29" s="56"/>
      <c r="S29" s="58"/>
      <c r="T29" s="58"/>
      <c r="U29" s="58"/>
      <c r="V29" s="44" t="s">
        <v>47</v>
      </c>
      <c r="W29" s="57"/>
      <c r="X29" s="56">
        <v>46087</v>
      </c>
      <c r="Y29" s="15" t="s">
        <v>63</v>
      </c>
      <c r="Z29" s="44"/>
      <c r="AA29" s="44"/>
      <c r="AB29" s="44" t="s">
        <v>49</v>
      </c>
      <c r="AC29" s="44"/>
      <c r="AD29" s="44" t="s">
        <v>48</v>
      </c>
      <c r="AE29" s="55"/>
      <c r="AF29" s="52"/>
      <c r="AG29" s="52"/>
      <c r="AH29" s="44"/>
      <c r="AI29" s="44"/>
      <c r="AJ29" s="51"/>
      <c r="AK29" s="44"/>
      <c r="AL29" s="52">
        <v>18</v>
      </c>
      <c r="AM29" s="47" t="s">
        <v>50</v>
      </c>
      <c r="AN29" s="44" t="s">
        <v>51</v>
      </c>
      <c r="AO29" s="58"/>
      <c r="AP29" s="57"/>
    </row>
    <row r="30" spans="1:42" s="20" customFormat="1" ht="14.25" customHeight="1" x14ac:dyDescent="0.25">
      <c r="A30" s="118">
        <v>46091</v>
      </c>
      <c r="B30" s="43"/>
      <c r="C30" s="13" t="s">
        <v>52</v>
      </c>
      <c r="D30" s="14" t="s">
        <v>53</v>
      </c>
      <c r="E30" s="98">
        <v>7153</v>
      </c>
      <c r="F30" s="44" t="s">
        <v>54</v>
      </c>
      <c r="G30" s="106">
        <v>19864367</v>
      </c>
      <c r="H30" s="2" t="s">
        <v>432</v>
      </c>
      <c r="I30" s="57"/>
      <c r="J30" s="57"/>
      <c r="K30" s="53">
        <v>0</v>
      </c>
      <c r="L30" s="57"/>
      <c r="M30" s="57"/>
      <c r="N30" s="57"/>
      <c r="O30" s="57"/>
      <c r="P30" s="53">
        <f t="shared" si="0"/>
        <v>0</v>
      </c>
      <c r="Q30" s="75"/>
      <c r="R30" s="56"/>
      <c r="S30" s="58"/>
      <c r="T30" s="58"/>
      <c r="U30" s="58"/>
      <c r="V30" s="44" t="s">
        <v>47</v>
      </c>
      <c r="W30" s="57"/>
      <c r="X30" s="56">
        <v>46091</v>
      </c>
      <c r="Y30" s="15" t="s">
        <v>61</v>
      </c>
      <c r="Z30" s="26"/>
      <c r="AA30" s="26"/>
      <c r="AB30" s="15" t="s">
        <v>49</v>
      </c>
      <c r="AC30" s="26"/>
      <c r="AD30" s="44" t="s">
        <v>48</v>
      </c>
      <c r="AE30" s="27"/>
      <c r="AF30" s="24"/>
      <c r="AG30" s="24"/>
      <c r="AH30" s="26"/>
      <c r="AI30" s="26"/>
      <c r="AJ30" s="25"/>
      <c r="AK30" s="26"/>
      <c r="AL30" s="17">
        <v>18</v>
      </c>
      <c r="AM30" s="47" t="s">
        <v>64</v>
      </c>
      <c r="AN30" s="44" t="s">
        <v>51</v>
      </c>
      <c r="AO30" s="58"/>
      <c r="AP30" s="57"/>
    </row>
    <row r="31" spans="1:42" s="20" customFormat="1" ht="14.25" customHeight="1" x14ac:dyDescent="0.25">
      <c r="A31" s="118">
        <v>46091</v>
      </c>
      <c r="B31" s="43"/>
      <c r="C31" s="13" t="s">
        <v>52</v>
      </c>
      <c r="D31" s="14" t="s">
        <v>53</v>
      </c>
      <c r="E31" s="98">
        <v>7154</v>
      </c>
      <c r="F31" s="44" t="s">
        <v>54</v>
      </c>
      <c r="G31" s="106">
        <v>73668041</v>
      </c>
      <c r="H31" s="2" t="s">
        <v>433</v>
      </c>
      <c r="I31" s="57"/>
      <c r="J31" s="57"/>
      <c r="K31" s="53">
        <v>7068</v>
      </c>
      <c r="L31" s="57"/>
      <c r="M31" s="57"/>
      <c r="N31" s="57"/>
      <c r="O31" s="57"/>
      <c r="P31" s="53">
        <f t="shared" si="0"/>
        <v>7068</v>
      </c>
      <c r="Q31" s="75"/>
      <c r="R31" s="56"/>
      <c r="S31" s="58"/>
      <c r="T31" s="58"/>
      <c r="U31" s="58"/>
      <c r="V31" s="44" t="s">
        <v>47</v>
      </c>
      <c r="W31" s="57"/>
      <c r="X31" s="56">
        <v>46122</v>
      </c>
      <c r="Y31" s="15" t="s">
        <v>63</v>
      </c>
      <c r="Z31" s="44"/>
      <c r="AA31" s="44"/>
      <c r="AB31" s="44" t="s">
        <v>49</v>
      </c>
      <c r="AC31" s="44"/>
      <c r="AD31" s="44" t="s">
        <v>48</v>
      </c>
      <c r="AE31" s="55"/>
      <c r="AF31" s="52"/>
      <c r="AG31" s="52"/>
      <c r="AH31" s="44"/>
      <c r="AI31" s="44"/>
      <c r="AJ31" s="51"/>
      <c r="AK31" s="44"/>
      <c r="AL31" s="52">
        <v>18</v>
      </c>
      <c r="AM31" s="47" t="s">
        <v>50</v>
      </c>
      <c r="AN31" s="44" t="s">
        <v>51</v>
      </c>
      <c r="AO31" s="58"/>
      <c r="AP31" s="57"/>
    </row>
    <row r="32" spans="1:42" s="41" customFormat="1" ht="14.25" customHeight="1" x14ac:dyDescent="0.25">
      <c r="A32" s="118">
        <v>46091</v>
      </c>
      <c r="B32" s="43"/>
      <c r="C32" s="13" t="s">
        <v>52</v>
      </c>
      <c r="D32" s="14" t="s">
        <v>53</v>
      </c>
      <c r="E32" s="98">
        <v>7155</v>
      </c>
      <c r="F32" s="44" t="s">
        <v>54</v>
      </c>
      <c r="G32" s="106">
        <v>73628713</v>
      </c>
      <c r="H32" s="2" t="s">
        <v>434</v>
      </c>
      <c r="I32" s="52"/>
      <c r="J32" s="52"/>
      <c r="K32" s="53">
        <v>7780</v>
      </c>
      <c r="L32" s="52"/>
      <c r="M32" s="52"/>
      <c r="N32" s="52"/>
      <c r="O32" s="52"/>
      <c r="P32" s="53">
        <f t="shared" si="0"/>
        <v>7780</v>
      </c>
      <c r="Q32" s="75"/>
      <c r="R32" s="51"/>
      <c r="S32" s="44"/>
      <c r="T32" s="44"/>
      <c r="U32" s="44"/>
      <c r="V32" s="44" t="s">
        <v>47</v>
      </c>
      <c r="W32" s="52"/>
      <c r="X32" s="51">
        <v>46091</v>
      </c>
      <c r="Y32" s="15" t="s">
        <v>63</v>
      </c>
      <c r="Z32" s="26"/>
      <c r="AA32" s="26"/>
      <c r="AB32" s="15" t="s">
        <v>49</v>
      </c>
      <c r="AC32" s="26"/>
      <c r="AD32" s="44" t="s">
        <v>48</v>
      </c>
      <c r="AE32" s="27"/>
      <c r="AF32" s="24"/>
      <c r="AG32" s="24"/>
      <c r="AH32" s="26"/>
      <c r="AI32" s="26"/>
      <c r="AJ32" s="25"/>
      <c r="AK32" s="26"/>
      <c r="AL32" s="17">
        <v>18</v>
      </c>
      <c r="AM32" s="47" t="s">
        <v>50</v>
      </c>
      <c r="AN32" s="44" t="s">
        <v>51</v>
      </c>
      <c r="AO32" s="44"/>
      <c r="AP32" s="52"/>
    </row>
    <row r="33" spans="1:49" s="41" customFormat="1" ht="14.25" customHeight="1" x14ac:dyDescent="0.25">
      <c r="A33" s="118">
        <v>46091</v>
      </c>
      <c r="B33" s="43"/>
      <c r="C33" s="13" t="s">
        <v>52</v>
      </c>
      <c r="D33" s="14" t="s">
        <v>53</v>
      </c>
      <c r="E33" s="98">
        <v>7156</v>
      </c>
      <c r="F33" s="44" t="s">
        <v>54</v>
      </c>
      <c r="G33" s="106">
        <v>21003227</v>
      </c>
      <c r="H33" s="2" t="s">
        <v>435</v>
      </c>
      <c r="I33" s="52"/>
      <c r="J33" s="52"/>
      <c r="K33" s="53">
        <v>7780</v>
      </c>
      <c r="L33" s="52"/>
      <c r="M33" s="52"/>
      <c r="N33" s="52"/>
      <c r="O33" s="52"/>
      <c r="P33" s="53">
        <f t="shared" si="0"/>
        <v>7780</v>
      </c>
      <c r="Q33" s="75"/>
      <c r="R33" s="51"/>
      <c r="S33" s="44"/>
      <c r="T33" s="44"/>
      <c r="U33" s="44"/>
      <c r="V33" s="44" t="s">
        <v>47</v>
      </c>
      <c r="W33" s="52"/>
      <c r="X33" s="51">
        <v>46091</v>
      </c>
      <c r="Y33" s="15" t="s">
        <v>63</v>
      </c>
      <c r="Z33" s="44"/>
      <c r="AA33" s="44"/>
      <c r="AB33" s="44" t="s">
        <v>49</v>
      </c>
      <c r="AC33" s="44"/>
      <c r="AD33" s="44" t="s">
        <v>48</v>
      </c>
      <c r="AE33" s="55"/>
      <c r="AF33" s="52"/>
      <c r="AG33" s="52"/>
      <c r="AH33" s="44"/>
      <c r="AI33" s="44"/>
      <c r="AJ33" s="51"/>
      <c r="AK33" s="44"/>
      <c r="AL33" s="52">
        <v>18</v>
      </c>
      <c r="AM33" s="47" t="s">
        <v>50</v>
      </c>
      <c r="AN33" s="44" t="s">
        <v>51</v>
      </c>
      <c r="AO33" s="44"/>
      <c r="AP33" s="52"/>
    </row>
    <row r="34" spans="1:49" s="20" customFormat="1" ht="14.25" customHeight="1" x14ac:dyDescent="0.25">
      <c r="A34" s="118">
        <v>46095</v>
      </c>
      <c r="B34" s="43"/>
      <c r="C34" s="13" t="s">
        <v>52</v>
      </c>
      <c r="D34" s="14" t="s">
        <v>53</v>
      </c>
      <c r="E34" s="98">
        <v>7157</v>
      </c>
      <c r="F34" s="44" t="s">
        <v>54</v>
      </c>
      <c r="G34" s="106">
        <v>47994071</v>
      </c>
      <c r="H34" s="2" t="s">
        <v>436</v>
      </c>
      <c r="I34" s="57"/>
      <c r="J34" s="57"/>
      <c r="K34" s="53">
        <v>8230</v>
      </c>
      <c r="L34" s="57"/>
      <c r="M34" s="57"/>
      <c r="N34" s="57"/>
      <c r="O34" s="57"/>
      <c r="P34" s="53">
        <f t="shared" si="0"/>
        <v>8230</v>
      </c>
      <c r="Q34" s="75"/>
      <c r="R34" s="56"/>
      <c r="S34" s="58"/>
      <c r="T34" s="58"/>
      <c r="U34" s="58"/>
      <c r="V34" s="44" t="s">
        <v>47</v>
      </c>
      <c r="W34" s="57"/>
      <c r="X34" s="56">
        <v>46095</v>
      </c>
      <c r="Y34" s="15" t="s">
        <v>63</v>
      </c>
      <c r="Z34" s="26"/>
      <c r="AA34" s="26"/>
      <c r="AB34" s="15" t="s">
        <v>49</v>
      </c>
      <c r="AC34" s="26"/>
      <c r="AD34" s="44" t="s">
        <v>48</v>
      </c>
      <c r="AE34" s="27"/>
      <c r="AF34" s="24"/>
      <c r="AG34" s="24"/>
      <c r="AH34" s="26"/>
      <c r="AI34" s="26"/>
      <c r="AJ34" s="25"/>
      <c r="AK34" s="26"/>
      <c r="AL34" s="17">
        <v>18</v>
      </c>
      <c r="AM34" s="47" t="s">
        <v>50</v>
      </c>
      <c r="AN34" s="44" t="s">
        <v>51</v>
      </c>
      <c r="AO34" s="58"/>
      <c r="AP34" s="57"/>
    </row>
    <row r="35" spans="1:49" s="20" customFormat="1" ht="14.25" customHeight="1" x14ac:dyDescent="0.25">
      <c r="A35" s="118">
        <v>46095</v>
      </c>
      <c r="B35" s="43"/>
      <c r="C35" s="13" t="s">
        <v>52</v>
      </c>
      <c r="D35" s="14" t="s">
        <v>53</v>
      </c>
      <c r="E35" s="98">
        <v>7158</v>
      </c>
      <c r="F35" s="44" t="s">
        <v>54</v>
      </c>
      <c r="G35" s="106">
        <v>73198207</v>
      </c>
      <c r="H35" s="2" t="s">
        <v>437</v>
      </c>
      <c r="I35" s="57"/>
      <c r="J35" s="57"/>
      <c r="K35" s="53">
        <v>6430</v>
      </c>
      <c r="L35" s="57"/>
      <c r="M35" s="57"/>
      <c r="N35" s="57"/>
      <c r="O35" s="57"/>
      <c r="P35" s="53">
        <f t="shared" si="0"/>
        <v>6430</v>
      </c>
      <c r="Q35" s="75"/>
      <c r="R35" s="56"/>
      <c r="S35" s="58"/>
      <c r="T35" s="58"/>
      <c r="U35" s="58"/>
      <c r="V35" s="44" t="s">
        <v>47</v>
      </c>
      <c r="W35" s="57"/>
      <c r="X35" s="56">
        <v>46095</v>
      </c>
      <c r="Y35" s="15" t="s">
        <v>63</v>
      </c>
      <c r="Z35" s="44"/>
      <c r="AA35" s="44"/>
      <c r="AB35" s="44" t="s">
        <v>49</v>
      </c>
      <c r="AC35" s="44"/>
      <c r="AD35" s="44" t="s">
        <v>48</v>
      </c>
      <c r="AE35" s="55"/>
      <c r="AF35" s="52"/>
      <c r="AG35" s="52"/>
      <c r="AH35" s="44"/>
      <c r="AI35" s="44"/>
      <c r="AJ35" s="51"/>
      <c r="AK35" s="44"/>
      <c r="AL35" s="52">
        <v>18</v>
      </c>
      <c r="AM35" s="47" t="s">
        <v>50</v>
      </c>
      <c r="AN35" s="44" t="s">
        <v>51</v>
      </c>
      <c r="AO35" s="58"/>
      <c r="AP35" s="57"/>
    </row>
    <row r="36" spans="1:49" s="41" customFormat="1" ht="14.25" customHeight="1" x14ac:dyDescent="0.25">
      <c r="A36" s="118">
        <v>46095</v>
      </c>
      <c r="B36" s="43"/>
      <c r="C36" s="13" t="s">
        <v>52</v>
      </c>
      <c r="D36" s="14" t="s">
        <v>53</v>
      </c>
      <c r="E36" s="98">
        <v>7159</v>
      </c>
      <c r="F36" s="44" t="s">
        <v>54</v>
      </c>
      <c r="G36" s="106">
        <v>73198207</v>
      </c>
      <c r="H36" s="95" t="s">
        <v>437</v>
      </c>
      <c r="I36" s="52"/>
      <c r="J36" s="52"/>
      <c r="K36" s="53">
        <v>0</v>
      </c>
      <c r="L36" s="52"/>
      <c r="M36" s="52"/>
      <c r="N36" s="52"/>
      <c r="O36" s="52"/>
      <c r="P36" s="53">
        <f t="shared" si="0"/>
        <v>0</v>
      </c>
      <c r="Q36" s="75"/>
      <c r="R36" s="51"/>
      <c r="S36" s="44"/>
      <c r="T36" s="44"/>
      <c r="U36" s="44"/>
      <c r="V36" s="44" t="s">
        <v>47</v>
      </c>
      <c r="W36" s="52"/>
      <c r="X36" s="51">
        <v>46095</v>
      </c>
      <c r="Y36" s="15" t="s">
        <v>61</v>
      </c>
      <c r="Z36" s="44"/>
      <c r="AA36" s="44"/>
      <c r="AB36" s="44" t="s">
        <v>49</v>
      </c>
      <c r="AC36" s="44"/>
      <c r="AD36" s="44" t="s">
        <v>48</v>
      </c>
      <c r="AE36" s="55"/>
      <c r="AF36" s="52"/>
      <c r="AG36" s="52"/>
      <c r="AH36" s="44"/>
      <c r="AI36" s="44"/>
      <c r="AJ36" s="51"/>
      <c r="AK36" s="44"/>
      <c r="AL36" s="52">
        <v>18</v>
      </c>
      <c r="AM36" s="47" t="s">
        <v>64</v>
      </c>
      <c r="AN36" s="44" t="s">
        <v>51</v>
      </c>
      <c r="AO36" s="44"/>
      <c r="AP36" s="52"/>
    </row>
    <row r="37" spans="1:49" s="41" customFormat="1" ht="14.25" customHeight="1" x14ac:dyDescent="0.25">
      <c r="A37" s="118">
        <v>46095</v>
      </c>
      <c r="B37" s="43"/>
      <c r="C37" s="13" t="s">
        <v>52</v>
      </c>
      <c r="D37" s="14" t="s">
        <v>53</v>
      </c>
      <c r="E37" s="98">
        <v>7160</v>
      </c>
      <c r="F37" s="44" t="s">
        <v>54</v>
      </c>
      <c r="G37" s="106">
        <v>73082681</v>
      </c>
      <c r="H37" s="95" t="s">
        <v>438</v>
      </c>
      <c r="I37" s="52"/>
      <c r="J37" s="52"/>
      <c r="K37" s="53">
        <v>8380</v>
      </c>
      <c r="L37" s="52"/>
      <c r="M37" s="52"/>
      <c r="N37" s="52"/>
      <c r="O37" s="52"/>
      <c r="P37" s="53">
        <f t="shared" si="0"/>
        <v>8380</v>
      </c>
      <c r="R37" s="51"/>
      <c r="S37" s="44"/>
      <c r="T37" s="44"/>
      <c r="U37" s="44"/>
      <c r="V37" s="44" t="s">
        <v>47</v>
      </c>
      <c r="W37" s="52"/>
      <c r="X37" s="51">
        <v>46095</v>
      </c>
      <c r="Y37" s="15" t="s">
        <v>63</v>
      </c>
      <c r="Z37" s="26"/>
      <c r="AA37" s="26"/>
      <c r="AB37" s="15" t="s">
        <v>49</v>
      </c>
      <c r="AC37" s="26"/>
      <c r="AD37" s="44" t="s">
        <v>48</v>
      </c>
      <c r="AE37" s="27"/>
      <c r="AF37" s="24"/>
      <c r="AG37" s="24"/>
      <c r="AH37" s="26"/>
      <c r="AI37" s="26"/>
      <c r="AJ37" s="25"/>
      <c r="AK37" s="26"/>
      <c r="AL37" s="17">
        <v>18</v>
      </c>
      <c r="AM37" s="47" t="s">
        <v>50</v>
      </c>
      <c r="AN37" s="44" t="s">
        <v>51</v>
      </c>
      <c r="AO37" s="44"/>
      <c r="AP37" s="52"/>
    </row>
    <row r="38" spans="1:49" s="41" customFormat="1" ht="14.25" customHeight="1" x14ac:dyDescent="0.25">
      <c r="A38" s="118">
        <v>46095</v>
      </c>
      <c r="B38" s="43"/>
      <c r="C38" s="13" t="s">
        <v>52</v>
      </c>
      <c r="D38" s="14" t="s">
        <v>53</v>
      </c>
      <c r="E38" s="98">
        <v>7161</v>
      </c>
      <c r="F38" s="44" t="s">
        <v>54</v>
      </c>
      <c r="G38" s="106">
        <v>73082681</v>
      </c>
      <c r="H38" s="95" t="s">
        <v>438</v>
      </c>
      <c r="I38" s="52"/>
      <c r="J38" s="52"/>
      <c r="K38" s="53">
        <v>0</v>
      </c>
      <c r="L38" s="52"/>
      <c r="M38" s="52"/>
      <c r="N38" s="52"/>
      <c r="O38" s="52"/>
      <c r="P38" s="53">
        <f t="shared" si="0"/>
        <v>0</v>
      </c>
      <c r="Q38" s="75"/>
      <c r="R38" s="51"/>
      <c r="S38" s="44"/>
      <c r="T38" s="44"/>
      <c r="U38" s="44"/>
      <c r="V38" s="44" t="s">
        <v>47</v>
      </c>
      <c r="W38" s="52"/>
      <c r="X38" s="51">
        <v>46095</v>
      </c>
      <c r="Y38" s="15" t="s">
        <v>61</v>
      </c>
      <c r="Z38" s="44"/>
      <c r="AA38" s="44"/>
      <c r="AB38" s="44" t="s">
        <v>49</v>
      </c>
      <c r="AC38" s="44"/>
      <c r="AD38" s="44" t="s">
        <v>48</v>
      </c>
      <c r="AE38" s="55"/>
      <c r="AF38" s="52"/>
      <c r="AG38" s="52"/>
      <c r="AH38" s="44"/>
      <c r="AI38" s="44"/>
      <c r="AJ38" s="51"/>
      <c r="AK38" s="44"/>
      <c r="AL38" s="52">
        <v>18</v>
      </c>
      <c r="AM38" s="47" t="s">
        <v>64</v>
      </c>
      <c r="AN38" s="44" t="s">
        <v>51</v>
      </c>
      <c r="AO38" s="44"/>
      <c r="AP38" s="52"/>
    </row>
    <row r="39" spans="1:49" s="105" customFormat="1" ht="14.25" customHeight="1" x14ac:dyDescent="0.25">
      <c r="A39" s="118">
        <v>46095</v>
      </c>
      <c r="B39" s="18"/>
      <c r="C39" s="22" t="s">
        <v>52</v>
      </c>
      <c r="D39" s="23" t="s">
        <v>53</v>
      </c>
      <c r="E39" s="98">
        <v>7162</v>
      </c>
      <c r="F39" s="15" t="s">
        <v>54</v>
      </c>
      <c r="G39" s="106">
        <v>44221662</v>
      </c>
      <c r="H39" s="102" t="s">
        <v>439</v>
      </c>
      <c r="I39" s="17"/>
      <c r="J39" s="17"/>
      <c r="K39" s="16">
        <v>7780</v>
      </c>
      <c r="L39" s="17"/>
      <c r="M39" s="17"/>
      <c r="N39" s="17"/>
      <c r="O39" s="17"/>
      <c r="P39" s="16">
        <f t="shared" si="0"/>
        <v>7780</v>
      </c>
      <c r="Q39" s="103"/>
      <c r="R39" s="18"/>
      <c r="S39" s="15"/>
      <c r="T39" s="15"/>
      <c r="U39" s="15"/>
      <c r="V39" s="15" t="s">
        <v>47</v>
      </c>
      <c r="W39" s="17"/>
      <c r="X39" s="18">
        <v>46095</v>
      </c>
      <c r="Y39" s="15" t="s">
        <v>63</v>
      </c>
      <c r="Z39" s="26"/>
      <c r="AA39" s="26"/>
      <c r="AB39" s="15" t="s">
        <v>49</v>
      </c>
      <c r="AC39" s="26"/>
      <c r="AD39" s="44" t="s">
        <v>48</v>
      </c>
      <c r="AE39" s="27"/>
      <c r="AF39" s="24"/>
      <c r="AG39" s="24"/>
      <c r="AH39" s="26"/>
      <c r="AI39" s="26"/>
      <c r="AJ39" s="25"/>
      <c r="AK39" s="26"/>
      <c r="AL39" s="17">
        <v>18</v>
      </c>
      <c r="AM39" s="47" t="s">
        <v>50</v>
      </c>
      <c r="AN39" s="15" t="s">
        <v>51</v>
      </c>
      <c r="AO39" s="15"/>
      <c r="AP39" s="17"/>
      <c r="AW39" s="103"/>
    </row>
    <row r="40" spans="1:49" s="41" customFormat="1" ht="14.25" customHeight="1" x14ac:dyDescent="0.25">
      <c r="A40" s="118">
        <v>46095</v>
      </c>
      <c r="B40" s="43"/>
      <c r="C40" s="13" t="s">
        <v>52</v>
      </c>
      <c r="D40" s="14" t="s">
        <v>53</v>
      </c>
      <c r="E40" s="98">
        <v>7163</v>
      </c>
      <c r="F40" s="44" t="s">
        <v>54</v>
      </c>
      <c r="G40" s="106">
        <v>73361954</v>
      </c>
      <c r="H40" s="95" t="s">
        <v>440</v>
      </c>
      <c r="I40" s="52"/>
      <c r="J40" s="52"/>
      <c r="K40" s="53">
        <v>6200</v>
      </c>
      <c r="L40" s="52"/>
      <c r="M40" s="52"/>
      <c r="N40" s="52"/>
      <c r="O40" s="52"/>
      <c r="P40" s="53">
        <f t="shared" si="0"/>
        <v>6200</v>
      </c>
      <c r="Q40" s="75"/>
      <c r="R40" s="51"/>
      <c r="S40" s="44"/>
      <c r="T40" s="44"/>
      <c r="U40" s="44"/>
      <c r="V40" s="44" t="s">
        <v>47</v>
      </c>
      <c r="W40" s="52"/>
      <c r="X40" s="51">
        <v>46278</v>
      </c>
      <c r="Y40" s="15" t="s">
        <v>63</v>
      </c>
      <c r="Z40" s="44"/>
      <c r="AA40" s="44"/>
      <c r="AB40" s="44" t="s">
        <v>49</v>
      </c>
      <c r="AC40" s="44"/>
      <c r="AD40" s="44" t="s">
        <v>48</v>
      </c>
      <c r="AE40" s="55"/>
      <c r="AF40" s="52"/>
      <c r="AG40" s="52"/>
      <c r="AH40" s="44"/>
      <c r="AI40" s="44"/>
      <c r="AJ40" s="51"/>
      <c r="AK40" s="44"/>
      <c r="AL40" s="52">
        <v>18</v>
      </c>
      <c r="AM40" s="47" t="s">
        <v>50</v>
      </c>
      <c r="AN40" s="44" t="s">
        <v>51</v>
      </c>
      <c r="AO40" s="44"/>
      <c r="AP40" s="52"/>
    </row>
    <row r="41" spans="1:49" s="41" customFormat="1" ht="14.25" customHeight="1" x14ac:dyDescent="0.25">
      <c r="A41" s="118">
        <v>46095</v>
      </c>
      <c r="B41" s="43"/>
      <c r="C41" s="13" t="s">
        <v>52</v>
      </c>
      <c r="D41" s="14" t="s">
        <v>53</v>
      </c>
      <c r="E41" s="98">
        <v>7164</v>
      </c>
      <c r="F41" s="44" t="s">
        <v>54</v>
      </c>
      <c r="G41" s="106">
        <v>73361954</v>
      </c>
      <c r="H41" s="2" t="s">
        <v>440</v>
      </c>
      <c r="I41" s="52"/>
      <c r="J41" s="52"/>
      <c r="K41" s="53">
        <v>0</v>
      </c>
      <c r="L41" s="52"/>
      <c r="M41" s="52"/>
      <c r="N41" s="52"/>
      <c r="O41" s="52"/>
      <c r="P41" s="53">
        <f t="shared" si="0"/>
        <v>0</v>
      </c>
      <c r="Q41" s="75"/>
      <c r="R41" s="51"/>
      <c r="S41" s="44"/>
      <c r="T41" s="44"/>
      <c r="U41" s="44"/>
      <c r="V41" s="44" t="s">
        <v>47</v>
      </c>
      <c r="W41" s="52"/>
      <c r="X41" s="51">
        <v>46095</v>
      </c>
      <c r="Y41" s="15" t="s">
        <v>61</v>
      </c>
      <c r="Z41" s="26"/>
      <c r="AA41" s="26"/>
      <c r="AB41" s="15" t="s">
        <v>49</v>
      </c>
      <c r="AC41" s="26"/>
      <c r="AD41" s="44" t="s">
        <v>48</v>
      </c>
      <c r="AE41" s="27"/>
      <c r="AF41" s="24"/>
      <c r="AG41" s="24"/>
      <c r="AH41" s="26"/>
      <c r="AI41" s="26"/>
      <c r="AJ41" s="25"/>
      <c r="AK41" s="26"/>
      <c r="AL41" s="17">
        <v>18</v>
      </c>
      <c r="AM41" s="47" t="s">
        <v>64</v>
      </c>
      <c r="AN41" s="44" t="s">
        <v>51</v>
      </c>
      <c r="AO41" s="44"/>
      <c r="AP41" s="52"/>
    </row>
    <row r="42" spans="1:49" s="20" customFormat="1" ht="14.25" customHeight="1" x14ac:dyDescent="0.25">
      <c r="A42" s="118">
        <v>46095</v>
      </c>
      <c r="B42" s="43"/>
      <c r="C42" s="13" t="s">
        <v>52</v>
      </c>
      <c r="D42" s="14" t="s">
        <v>53</v>
      </c>
      <c r="E42" s="98">
        <v>7165</v>
      </c>
      <c r="F42" s="44" t="s">
        <v>54</v>
      </c>
      <c r="G42" s="106">
        <v>48501613</v>
      </c>
      <c r="H42" s="2" t="s">
        <v>441</v>
      </c>
      <c r="I42" s="57"/>
      <c r="J42" s="57"/>
      <c r="K42" s="53">
        <v>6480</v>
      </c>
      <c r="L42" s="57"/>
      <c r="M42" s="57"/>
      <c r="N42" s="57"/>
      <c r="O42" s="57"/>
      <c r="P42" s="53">
        <f t="shared" si="0"/>
        <v>6480</v>
      </c>
      <c r="Q42" s="75"/>
      <c r="R42" s="56"/>
      <c r="S42" s="58"/>
      <c r="T42" s="58"/>
      <c r="U42" s="58"/>
      <c r="V42" s="44" t="s">
        <v>47</v>
      </c>
      <c r="W42" s="57"/>
      <c r="X42" s="56">
        <v>46125</v>
      </c>
      <c r="Y42" s="15" t="s">
        <v>63</v>
      </c>
      <c r="Z42" s="44"/>
      <c r="AA42" s="44"/>
      <c r="AB42" s="44" t="s">
        <v>49</v>
      </c>
      <c r="AC42" s="44"/>
      <c r="AD42" s="44" t="s">
        <v>48</v>
      </c>
      <c r="AE42" s="55"/>
      <c r="AF42" s="52"/>
      <c r="AG42" s="52"/>
      <c r="AH42" s="44"/>
      <c r="AI42" s="44"/>
      <c r="AJ42" s="51"/>
      <c r="AK42" s="44"/>
      <c r="AL42" s="52">
        <v>18</v>
      </c>
      <c r="AM42" s="47" t="s">
        <v>50</v>
      </c>
      <c r="AN42" s="44" t="s">
        <v>51</v>
      </c>
      <c r="AO42" s="58"/>
      <c r="AP42" s="57"/>
    </row>
    <row r="43" spans="1:49" s="20" customFormat="1" ht="14.25" customHeight="1" x14ac:dyDescent="0.25">
      <c r="A43" s="118">
        <v>46095</v>
      </c>
      <c r="B43" s="43"/>
      <c r="C43" s="13" t="s">
        <v>52</v>
      </c>
      <c r="D43" s="14" t="s">
        <v>53</v>
      </c>
      <c r="E43" s="98">
        <v>7166</v>
      </c>
      <c r="F43" s="44" t="s">
        <v>54</v>
      </c>
      <c r="G43" s="106">
        <v>48501613</v>
      </c>
      <c r="H43" s="2" t="s">
        <v>441</v>
      </c>
      <c r="I43" s="57"/>
      <c r="J43" s="57"/>
      <c r="K43" s="53">
        <v>0</v>
      </c>
      <c r="L43" s="57"/>
      <c r="M43" s="57"/>
      <c r="N43" s="57"/>
      <c r="O43" s="57"/>
      <c r="P43" s="53">
        <f t="shared" si="0"/>
        <v>0</v>
      </c>
      <c r="Q43" s="75"/>
      <c r="R43" s="56"/>
      <c r="S43" s="58"/>
      <c r="T43" s="58"/>
      <c r="U43" s="58"/>
      <c r="V43" s="44" t="s">
        <v>47</v>
      </c>
      <c r="W43" s="57"/>
      <c r="X43" s="56">
        <v>46095</v>
      </c>
      <c r="Y43" s="15" t="s">
        <v>61</v>
      </c>
      <c r="Z43" s="26"/>
      <c r="AA43" s="26"/>
      <c r="AB43" s="15" t="s">
        <v>49</v>
      </c>
      <c r="AC43" s="26"/>
      <c r="AD43" s="44" t="s">
        <v>48</v>
      </c>
      <c r="AE43" s="27"/>
      <c r="AF43" s="24"/>
      <c r="AG43" s="24"/>
      <c r="AH43" s="26"/>
      <c r="AI43" s="26"/>
      <c r="AJ43" s="25"/>
      <c r="AK43" s="26"/>
      <c r="AL43" s="17">
        <v>18</v>
      </c>
      <c r="AM43" s="47" t="s">
        <v>64</v>
      </c>
      <c r="AN43" s="44" t="s">
        <v>51</v>
      </c>
      <c r="AO43" s="58"/>
      <c r="AP43" s="57"/>
    </row>
    <row r="44" spans="1:49" s="20" customFormat="1" ht="14.25" customHeight="1" x14ac:dyDescent="0.25">
      <c r="A44" s="118">
        <v>46095</v>
      </c>
      <c r="B44" s="43"/>
      <c r="C44" s="13" t="s">
        <v>52</v>
      </c>
      <c r="D44" s="14" t="s">
        <v>53</v>
      </c>
      <c r="E44" s="98">
        <v>7167</v>
      </c>
      <c r="F44" s="44" t="s">
        <v>54</v>
      </c>
      <c r="G44" s="106">
        <v>45152519</v>
      </c>
      <c r="H44" s="2" t="s">
        <v>442</v>
      </c>
      <c r="I44" s="57"/>
      <c r="J44" s="57"/>
      <c r="K44" s="53">
        <v>5570</v>
      </c>
      <c r="L44" s="57"/>
      <c r="M44" s="57"/>
      <c r="N44" s="57"/>
      <c r="O44" s="57"/>
      <c r="P44" s="53">
        <f t="shared" si="0"/>
        <v>5570</v>
      </c>
      <c r="Q44" s="75"/>
      <c r="R44" s="56"/>
      <c r="S44" s="58"/>
      <c r="T44" s="58"/>
      <c r="U44" s="58"/>
      <c r="V44" s="44" t="s">
        <v>47</v>
      </c>
      <c r="W44" s="57"/>
      <c r="X44" s="56">
        <v>46095</v>
      </c>
      <c r="Y44" s="15" t="s">
        <v>63</v>
      </c>
      <c r="Z44" s="44"/>
      <c r="AA44" s="44"/>
      <c r="AB44" s="44" t="s">
        <v>49</v>
      </c>
      <c r="AC44" s="44"/>
      <c r="AD44" s="44" t="s">
        <v>48</v>
      </c>
      <c r="AE44" s="55"/>
      <c r="AF44" s="52"/>
      <c r="AG44" s="52"/>
      <c r="AH44" s="44"/>
      <c r="AI44" s="44"/>
      <c r="AJ44" s="51"/>
      <c r="AK44" s="44"/>
      <c r="AL44" s="52">
        <v>18</v>
      </c>
      <c r="AM44" s="47" t="s">
        <v>50</v>
      </c>
      <c r="AN44" s="44" t="s">
        <v>51</v>
      </c>
      <c r="AO44" s="58"/>
      <c r="AP44" s="57"/>
    </row>
    <row r="45" spans="1:49" s="20" customFormat="1" ht="14.25" customHeight="1" x14ac:dyDescent="0.25">
      <c r="A45" s="118">
        <v>46095</v>
      </c>
      <c r="B45" s="43"/>
      <c r="C45" s="13" t="s">
        <v>52</v>
      </c>
      <c r="D45" s="14" t="s">
        <v>53</v>
      </c>
      <c r="E45" s="98">
        <v>7168</v>
      </c>
      <c r="F45" s="44" t="s">
        <v>54</v>
      </c>
      <c r="G45" s="106">
        <v>45152519</v>
      </c>
      <c r="H45" s="2" t="s">
        <v>442</v>
      </c>
      <c r="I45" s="57"/>
      <c r="J45" s="57"/>
      <c r="K45" s="53">
        <v>0</v>
      </c>
      <c r="L45" s="57"/>
      <c r="M45" s="57"/>
      <c r="N45" s="57"/>
      <c r="O45" s="57"/>
      <c r="P45" s="53">
        <f t="shared" si="0"/>
        <v>0</v>
      </c>
      <c r="Q45" s="75"/>
      <c r="R45" s="56"/>
      <c r="S45" s="58"/>
      <c r="T45" s="58"/>
      <c r="U45" s="58"/>
      <c r="V45" s="44" t="s">
        <v>47</v>
      </c>
      <c r="W45" s="57"/>
      <c r="X45" s="56">
        <v>46095</v>
      </c>
      <c r="Y45" s="15" t="s">
        <v>61</v>
      </c>
      <c r="Z45" s="26"/>
      <c r="AA45" s="26"/>
      <c r="AB45" s="15" t="s">
        <v>49</v>
      </c>
      <c r="AC45" s="26"/>
      <c r="AD45" s="44" t="s">
        <v>48</v>
      </c>
      <c r="AE45" s="27"/>
      <c r="AF45" s="24"/>
      <c r="AG45" s="24"/>
      <c r="AH45" s="26"/>
      <c r="AI45" s="26"/>
      <c r="AJ45" s="25"/>
      <c r="AK45" s="26"/>
      <c r="AL45" s="17">
        <v>18</v>
      </c>
      <c r="AM45" s="47" t="s">
        <v>64</v>
      </c>
      <c r="AN45" s="44" t="s">
        <v>51</v>
      </c>
      <c r="AO45" s="58"/>
      <c r="AP45" s="57"/>
    </row>
    <row r="46" spans="1:49" s="20" customFormat="1" ht="14.25" customHeight="1" x14ac:dyDescent="0.25">
      <c r="A46" s="118">
        <v>46095</v>
      </c>
      <c r="B46" s="43"/>
      <c r="C46" s="13" t="s">
        <v>52</v>
      </c>
      <c r="D46" s="14" t="s">
        <v>53</v>
      </c>
      <c r="E46" s="98">
        <v>7169</v>
      </c>
      <c r="F46" s="44" t="s">
        <v>54</v>
      </c>
      <c r="G46" s="106">
        <v>46376027</v>
      </c>
      <c r="H46" s="2" t="s">
        <v>443</v>
      </c>
      <c r="I46" s="57"/>
      <c r="J46" s="57"/>
      <c r="K46" s="53">
        <v>5420</v>
      </c>
      <c r="L46" s="57"/>
      <c r="M46" s="57"/>
      <c r="N46" s="57"/>
      <c r="O46" s="57"/>
      <c r="P46" s="53">
        <f t="shared" si="0"/>
        <v>5420</v>
      </c>
      <c r="Q46" s="75"/>
      <c r="R46" s="56"/>
      <c r="S46" s="58"/>
      <c r="T46" s="58"/>
      <c r="U46" s="58"/>
      <c r="V46" s="44" t="s">
        <v>47</v>
      </c>
      <c r="W46" s="57"/>
      <c r="X46" s="56">
        <v>46095</v>
      </c>
      <c r="Y46" s="15" t="s">
        <v>63</v>
      </c>
      <c r="Z46" s="44"/>
      <c r="AA46" s="44"/>
      <c r="AB46" s="44" t="s">
        <v>49</v>
      </c>
      <c r="AC46" s="44"/>
      <c r="AD46" s="44" t="s">
        <v>48</v>
      </c>
      <c r="AE46" s="55"/>
      <c r="AF46" s="52"/>
      <c r="AG46" s="52"/>
      <c r="AH46" s="44"/>
      <c r="AI46" s="44"/>
      <c r="AJ46" s="51"/>
      <c r="AK46" s="44"/>
      <c r="AL46" s="52">
        <v>18</v>
      </c>
      <c r="AM46" s="47" t="s">
        <v>50</v>
      </c>
      <c r="AN46" s="44" t="s">
        <v>51</v>
      </c>
      <c r="AO46" s="58"/>
      <c r="AP46" s="57"/>
    </row>
    <row r="47" spans="1:49" s="41" customFormat="1" ht="14.25" customHeight="1" x14ac:dyDescent="0.25">
      <c r="A47" s="118">
        <v>46095</v>
      </c>
      <c r="B47" s="43"/>
      <c r="C47" s="13" t="s">
        <v>52</v>
      </c>
      <c r="D47" s="14" t="s">
        <v>53</v>
      </c>
      <c r="E47" s="98">
        <v>7170</v>
      </c>
      <c r="F47" s="44" t="s">
        <v>54</v>
      </c>
      <c r="G47" s="106">
        <v>46376027</v>
      </c>
      <c r="H47" s="2" t="s">
        <v>443</v>
      </c>
      <c r="I47" s="52"/>
      <c r="J47" s="52"/>
      <c r="K47" s="53">
        <v>0</v>
      </c>
      <c r="L47" s="52"/>
      <c r="M47" s="52"/>
      <c r="N47" s="52"/>
      <c r="O47" s="52"/>
      <c r="P47" s="53">
        <f t="shared" si="0"/>
        <v>0</v>
      </c>
      <c r="Q47" s="75"/>
      <c r="R47" s="51"/>
      <c r="S47" s="44"/>
      <c r="T47" s="44"/>
      <c r="U47" s="44"/>
      <c r="V47" s="44" t="s">
        <v>47</v>
      </c>
      <c r="W47" s="52"/>
      <c r="X47" s="51">
        <v>46095</v>
      </c>
      <c r="Y47" s="15" t="s">
        <v>61</v>
      </c>
      <c r="Z47" s="44"/>
      <c r="AA47" s="44"/>
      <c r="AB47" s="44" t="s">
        <v>49</v>
      </c>
      <c r="AC47" s="44"/>
      <c r="AD47" s="44" t="s">
        <v>48</v>
      </c>
      <c r="AE47" s="55"/>
      <c r="AF47" s="52"/>
      <c r="AG47" s="52"/>
      <c r="AH47" s="44"/>
      <c r="AI47" s="44"/>
      <c r="AJ47" s="51"/>
      <c r="AK47" s="44"/>
      <c r="AL47" s="52">
        <v>18</v>
      </c>
      <c r="AM47" s="47" t="s">
        <v>64</v>
      </c>
      <c r="AN47" s="44" t="s">
        <v>51</v>
      </c>
      <c r="AO47" s="44"/>
      <c r="AP47" s="52"/>
    </row>
    <row r="48" spans="1:49" s="41" customFormat="1" ht="14.25" customHeight="1" x14ac:dyDescent="0.25">
      <c r="A48" s="118">
        <v>46095</v>
      </c>
      <c r="B48" s="51"/>
      <c r="C48" s="13" t="s">
        <v>52</v>
      </c>
      <c r="D48" s="14" t="s">
        <v>53</v>
      </c>
      <c r="E48" s="98">
        <v>7171</v>
      </c>
      <c r="F48" s="44" t="s">
        <v>54</v>
      </c>
      <c r="G48" s="106">
        <v>20998750</v>
      </c>
      <c r="H48" s="2" t="s">
        <v>444</v>
      </c>
      <c r="I48" s="52"/>
      <c r="J48" s="52"/>
      <c r="K48" s="53">
        <v>6230</v>
      </c>
      <c r="L48" s="52"/>
      <c r="M48" s="52"/>
      <c r="N48" s="52"/>
      <c r="O48" s="52"/>
      <c r="P48" s="53">
        <f t="shared" si="0"/>
        <v>6230</v>
      </c>
      <c r="Q48" s="75"/>
      <c r="R48" s="51"/>
      <c r="S48" s="44"/>
      <c r="T48" s="44"/>
      <c r="U48" s="44"/>
      <c r="V48" s="44" t="s">
        <v>47</v>
      </c>
      <c r="W48" s="52"/>
      <c r="X48" s="51">
        <v>46095</v>
      </c>
      <c r="Y48" s="15" t="s">
        <v>63</v>
      </c>
      <c r="Z48" s="44"/>
      <c r="AA48" s="44"/>
      <c r="AB48" s="44" t="s">
        <v>49</v>
      </c>
      <c r="AC48" s="44"/>
      <c r="AD48" s="44" t="s">
        <v>48</v>
      </c>
      <c r="AE48" s="55"/>
      <c r="AF48" s="52"/>
      <c r="AG48" s="52"/>
      <c r="AH48" s="44"/>
      <c r="AI48" s="44"/>
      <c r="AJ48" s="51"/>
      <c r="AK48" s="44"/>
      <c r="AL48" s="52">
        <v>18</v>
      </c>
      <c r="AM48" s="47" t="s">
        <v>50</v>
      </c>
      <c r="AN48" s="44" t="s">
        <v>51</v>
      </c>
      <c r="AO48" s="44"/>
      <c r="AP48" s="52"/>
    </row>
    <row r="49" spans="1:42" s="20" customFormat="1" ht="14.25" customHeight="1" x14ac:dyDescent="0.25">
      <c r="A49" s="118">
        <v>46095</v>
      </c>
      <c r="B49" s="43"/>
      <c r="C49" s="13" t="s">
        <v>52</v>
      </c>
      <c r="D49" s="14" t="s">
        <v>53</v>
      </c>
      <c r="E49" s="98">
        <v>7172</v>
      </c>
      <c r="F49" s="44" t="s">
        <v>54</v>
      </c>
      <c r="G49" s="107" t="s">
        <v>414</v>
      </c>
      <c r="H49" s="2" t="s">
        <v>444</v>
      </c>
      <c r="I49" s="57"/>
      <c r="J49" s="57"/>
      <c r="K49" s="53">
        <v>0</v>
      </c>
      <c r="L49" s="57"/>
      <c r="M49" s="57"/>
      <c r="N49" s="57"/>
      <c r="O49" s="57"/>
      <c r="P49" s="53">
        <f t="shared" si="0"/>
        <v>0</v>
      </c>
      <c r="Q49" s="75"/>
      <c r="R49" s="56"/>
      <c r="S49" s="58"/>
      <c r="T49" s="58"/>
      <c r="U49" s="58"/>
      <c r="V49" s="44" t="s">
        <v>47</v>
      </c>
      <c r="W49" s="57"/>
      <c r="X49" s="56">
        <v>46095</v>
      </c>
      <c r="Y49" s="15" t="s">
        <v>61</v>
      </c>
      <c r="Z49" s="44"/>
      <c r="AA49" s="44"/>
      <c r="AB49" s="44" t="s">
        <v>49</v>
      </c>
      <c r="AC49" s="44"/>
      <c r="AD49" s="44" t="s">
        <v>48</v>
      </c>
      <c r="AE49" s="55"/>
      <c r="AF49" s="52"/>
      <c r="AG49" s="52"/>
      <c r="AH49" s="44"/>
      <c r="AI49" s="44"/>
      <c r="AJ49" s="51"/>
      <c r="AK49" s="44"/>
      <c r="AL49" s="52">
        <v>18</v>
      </c>
      <c r="AM49" s="47" t="s">
        <v>64</v>
      </c>
      <c r="AN49" s="44" t="s">
        <v>51</v>
      </c>
      <c r="AO49" s="58"/>
      <c r="AP49" s="57"/>
    </row>
    <row r="50" spans="1:42" s="20" customFormat="1" ht="14.25" customHeight="1" x14ac:dyDescent="0.25">
      <c r="A50" s="118">
        <v>46095</v>
      </c>
      <c r="B50" s="43"/>
      <c r="C50" s="13" t="s">
        <v>52</v>
      </c>
      <c r="D50" s="14" t="s">
        <v>53</v>
      </c>
      <c r="E50" s="98">
        <v>7173</v>
      </c>
      <c r="F50" s="44" t="s">
        <v>54</v>
      </c>
      <c r="G50" s="107" t="s">
        <v>415</v>
      </c>
      <c r="H50" s="2" t="s">
        <v>445</v>
      </c>
      <c r="I50" s="57"/>
      <c r="J50" s="57"/>
      <c r="K50" s="53">
        <v>5330</v>
      </c>
      <c r="L50" s="57"/>
      <c r="M50" s="57"/>
      <c r="N50" s="57"/>
      <c r="O50" s="57"/>
      <c r="P50" s="53">
        <f t="shared" si="0"/>
        <v>5330</v>
      </c>
      <c r="Q50" s="75"/>
      <c r="R50" s="56"/>
      <c r="S50" s="58"/>
      <c r="T50" s="58"/>
      <c r="U50" s="58"/>
      <c r="V50" s="44" t="s">
        <v>47</v>
      </c>
      <c r="W50" s="57"/>
      <c r="X50" s="56">
        <v>46095</v>
      </c>
      <c r="Y50" s="15" t="s">
        <v>63</v>
      </c>
      <c r="Z50" s="26"/>
      <c r="AA50" s="26"/>
      <c r="AB50" s="15" t="s">
        <v>49</v>
      </c>
      <c r="AC50" s="26"/>
      <c r="AD50" s="44" t="s">
        <v>48</v>
      </c>
      <c r="AE50" s="27"/>
      <c r="AF50" s="24"/>
      <c r="AG50" s="24"/>
      <c r="AH50" s="26"/>
      <c r="AI50" s="26"/>
      <c r="AJ50" s="25"/>
      <c r="AK50" s="26"/>
      <c r="AL50" s="17">
        <v>18</v>
      </c>
      <c r="AM50" s="47" t="s">
        <v>50</v>
      </c>
      <c r="AN50" s="44" t="s">
        <v>51</v>
      </c>
      <c r="AO50" s="58"/>
      <c r="AP50" s="57"/>
    </row>
    <row r="51" spans="1:42" s="20" customFormat="1" ht="14.25" customHeight="1" x14ac:dyDescent="0.25">
      <c r="A51" s="118">
        <v>46095</v>
      </c>
      <c r="B51" s="43"/>
      <c r="C51" s="13" t="s">
        <v>52</v>
      </c>
      <c r="D51" s="14" t="s">
        <v>53</v>
      </c>
      <c r="E51" s="98">
        <v>7174</v>
      </c>
      <c r="F51" s="44" t="s">
        <v>54</v>
      </c>
      <c r="G51" s="106">
        <v>48258762</v>
      </c>
      <c r="H51" s="2" t="s">
        <v>445</v>
      </c>
      <c r="I51" s="57"/>
      <c r="J51" s="57"/>
      <c r="K51" s="53">
        <v>0</v>
      </c>
      <c r="L51" s="57"/>
      <c r="M51" s="57"/>
      <c r="N51" s="57"/>
      <c r="O51" s="57"/>
      <c r="P51" s="53">
        <f t="shared" si="0"/>
        <v>0</v>
      </c>
      <c r="Q51" s="75"/>
      <c r="R51" s="56"/>
      <c r="S51" s="58"/>
      <c r="T51" s="58"/>
      <c r="U51" s="58"/>
      <c r="V51" s="44" t="s">
        <v>47</v>
      </c>
      <c r="W51" s="57"/>
      <c r="X51" s="56">
        <v>46095</v>
      </c>
      <c r="Y51" s="15" t="s">
        <v>61</v>
      </c>
      <c r="Z51" s="44"/>
      <c r="AA51" s="44"/>
      <c r="AB51" s="44" t="s">
        <v>49</v>
      </c>
      <c r="AC51" s="44"/>
      <c r="AD51" s="44" t="s">
        <v>48</v>
      </c>
      <c r="AE51" s="55"/>
      <c r="AF51" s="52"/>
      <c r="AG51" s="52"/>
      <c r="AH51" s="44"/>
      <c r="AI51" s="44"/>
      <c r="AJ51" s="51"/>
      <c r="AK51" s="44"/>
      <c r="AL51" s="52">
        <v>18</v>
      </c>
      <c r="AM51" s="47" t="s">
        <v>64</v>
      </c>
      <c r="AN51" s="44" t="s">
        <v>51</v>
      </c>
      <c r="AO51" s="58"/>
      <c r="AP51" s="57"/>
    </row>
    <row r="52" spans="1:42" s="20" customFormat="1" ht="14.25" customHeight="1" x14ac:dyDescent="0.25">
      <c r="A52" s="118">
        <v>46099</v>
      </c>
      <c r="B52" s="43"/>
      <c r="C52" s="13" t="s">
        <v>52</v>
      </c>
      <c r="D52" s="14" t="s">
        <v>53</v>
      </c>
      <c r="E52" s="98">
        <v>7175</v>
      </c>
      <c r="F52" s="44" t="s">
        <v>54</v>
      </c>
      <c r="G52" s="106">
        <v>21006641</v>
      </c>
      <c r="H52" s="2" t="s">
        <v>446</v>
      </c>
      <c r="I52" s="57"/>
      <c r="J52" s="57"/>
      <c r="K52" s="53">
        <v>0</v>
      </c>
      <c r="L52" s="57"/>
      <c r="M52" s="57"/>
      <c r="N52" s="57"/>
      <c r="O52" s="57"/>
      <c r="P52" s="53">
        <f t="shared" si="0"/>
        <v>0</v>
      </c>
      <c r="Q52" s="75"/>
      <c r="R52" s="56"/>
      <c r="S52" s="58"/>
      <c r="T52" s="58"/>
      <c r="U52" s="58"/>
      <c r="V52" s="44" t="s">
        <v>47</v>
      </c>
      <c r="W52" s="57"/>
      <c r="X52" s="56">
        <v>46099</v>
      </c>
      <c r="Y52" s="15" t="s">
        <v>61</v>
      </c>
      <c r="Z52" s="44"/>
      <c r="AA52" s="44"/>
      <c r="AB52" s="44" t="s">
        <v>49</v>
      </c>
      <c r="AC52" s="44"/>
      <c r="AD52" s="44" t="s">
        <v>48</v>
      </c>
      <c r="AE52" s="55"/>
      <c r="AF52" s="52"/>
      <c r="AG52" s="52"/>
      <c r="AH52" s="44"/>
      <c r="AI52" s="44"/>
      <c r="AJ52" s="51"/>
      <c r="AK52" s="44"/>
      <c r="AL52" s="52">
        <v>18</v>
      </c>
      <c r="AM52" s="47" t="s">
        <v>64</v>
      </c>
      <c r="AN52" s="44" t="s">
        <v>51</v>
      </c>
      <c r="AO52" s="58"/>
      <c r="AP52" s="57"/>
    </row>
    <row r="53" spans="1:42" s="20" customFormat="1" ht="14.25" customHeight="1" x14ac:dyDescent="0.25">
      <c r="A53" s="118">
        <v>46099</v>
      </c>
      <c r="B53" s="43"/>
      <c r="C53" s="13" t="s">
        <v>52</v>
      </c>
      <c r="D53" s="14" t="s">
        <v>53</v>
      </c>
      <c r="E53" s="98">
        <v>7176</v>
      </c>
      <c r="F53" s="44" t="s">
        <v>54</v>
      </c>
      <c r="G53" s="106">
        <v>46326423</v>
      </c>
      <c r="H53" s="2" t="s">
        <v>447</v>
      </c>
      <c r="I53" s="57"/>
      <c r="J53" s="57"/>
      <c r="K53" s="53">
        <v>6280</v>
      </c>
      <c r="L53" s="57"/>
      <c r="M53" s="57"/>
      <c r="N53" s="57"/>
      <c r="O53" s="57"/>
      <c r="P53" s="53">
        <f t="shared" si="0"/>
        <v>6280</v>
      </c>
      <c r="Q53" s="75"/>
      <c r="R53" s="56"/>
      <c r="S53" s="58"/>
      <c r="T53" s="58"/>
      <c r="U53" s="58"/>
      <c r="V53" s="44" t="s">
        <v>47</v>
      </c>
      <c r="W53" s="57"/>
      <c r="X53" s="56">
        <v>46099</v>
      </c>
      <c r="Y53" s="15" t="s">
        <v>63</v>
      </c>
      <c r="Z53" s="44"/>
      <c r="AA53" s="44"/>
      <c r="AB53" s="44" t="s">
        <v>49</v>
      </c>
      <c r="AC53" s="44"/>
      <c r="AD53" s="44" t="s">
        <v>48</v>
      </c>
      <c r="AE53" s="55"/>
      <c r="AF53" s="52"/>
      <c r="AG53" s="52"/>
      <c r="AH53" s="44"/>
      <c r="AI53" s="44"/>
      <c r="AJ53" s="51"/>
      <c r="AK53" s="44"/>
      <c r="AL53" s="52">
        <v>18</v>
      </c>
      <c r="AM53" s="47" t="s">
        <v>50</v>
      </c>
      <c r="AN53" s="44" t="s">
        <v>51</v>
      </c>
      <c r="AO53" s="58"/>
      <c r="AP53" s="57"/>
    </row>
    <row r="54" spans="1:42" s="41" customFormat="1" ht="14.25" customHeight="1" x14ac:dyDescent="0.25">
      <c r="A54" s="118">
        <v>46099</v>
      </c>
      <c r="B54" s="43"/>
      <c r="C54" s="13" t="s">
        <v>52</v>
      </c>
      <c r="D54" s="14" t="s">
        <v>53</v>
      </c>
      <c r="E54" s="98">
        <v>7177</v>
      </c>
      <c r="F54" s="44" t="s">
        <v>54</v>
      </c>
      <c r="G54" s="106">
        <v>46326423</v>
      </c>
      <c r="H54" s="2" t="s">
        <v>447</v>
      </c>
      <c r="I54" s="52"/>
      <c r="J54" s="52"/>
      <c r="K54" s="53">
        <v>0</v>
      </c>
      <c r="L54" s="52"/>
      <c r="M54" s="52"/>
      <c r="N54" s="52"/>
      <c r="O54" s="52"/>
      <c r="P54" s="53">
        <f t="shared" si="0"/>
        <v>0</v>
      </c>
      <c r="Q54" s="75"/>
      <c r="R54" s="51"/>
      <c r="S54" s="44"/>
      <c r="T54" s="44"/>
      <c r="U54" s="44"/>
      <c r="V54" s="44" t="s">
        <v>47</v>
      </c>
      <c r="W54" s="52"/>
      <c r="X54" s="51">
        <v>46099</v>
      </c>
      <c r="Y54" s="15" t="s">
        <v>61</v>
      </c>
      <c r="Z54" s="26"/>
      <c r="AA54" s="26"/>
      <c r="AB54" s="15" t="s">
        <v>49</v>
      </c>
      <c r="AC54" s="26"/>
      <c r="AD54" s="44" t="s">
        <v>48</v>
      </c>
      <c r="AE54" s="27"/>
      <c r="AF54" s="24"/>
      <c r="AG54" s="24"/>
      <c r="AH54" s="26"/>
      <c r="AI54" s="26"/>
      <c r="AJ54" s="25"/>
      <c r="AK54" s="26"/>
      <c r="AL54" s="17">
        <v>18</v>
      </c>
      <c r="AM54" s="47" t="s">
        <v>64</v>
      </c>
      <c r="AN54" s="44" t="s">
        <v>51</v>
      </c>
      <c r="AO54" s="44"/>
      <c r="AP54" s="52"/>
    </row>
    <row r="55" spans="1:42" s="41" customFormat="1" ht="14.25" customHeight="1" x14ac:dyDescent="0.25">
      <c r="A55" s="118">
        <v>46099</v>
      </c>
      <c r="B55" s="43"/>
      <c r="C55" s="13" t="s">
        <v>52</v>
      </c>
      <c r="D55" s="14" t="s">
        <v>53</v>
      </c>
      <c r="E55" s="98">
        <v>7178</v>
      </c>
      <c r="F55" s="44" t="s">
        <v>54</v>
      </c>
      <c r="G55" s="106">
        <v>70786079</v>
      </c>
      <c r="H55" s="2" t="s">
        <v>474</v>
      </c>
      <c r="I55" s="52"/>
      <c r="J55" s="52"/>
      <c r="K55" s="53">
        <v>8270</v>
      </c>
      <c r="L55" s="52"/>
      <c r="M55" s="52"/>
      <c r="N55" s="52"/>
      <c r="O55" s="52"/>
      <c r="P55" s="53">
        <f t="shared" si="0"/>
        <v>8270</v>
      </c>
      <c r="Q55" s="75"/>
      <c r="R55" s="51"/>
      <c r="S55" s="44"/>
      <c r="T55" s="44"/>
      <c r="U55" s="44"/>
      <c r="V55" s="44" t="s">
        <v>47</v>
      </c>
      <c r="W55" s="52"/>
      <c r="X55" s="51">
        <v>46099</v>
      </c>
      <c r="Y55" s="15" t="s">
        <v>63</v>
      </c>
      <c r="Z55" s="44"/>
      <c r="AA55" s="44"/>
      <c r="AB55" s="44" t="s">
        <v>49</v>
      </c>
      <c r="AC55" s="44"/>
      <c r="AD55" s="44" t="s">
        <v>48</v>
      </c>
      <c r="AE55" s="55"/>
      <c r="AF55" s="52"/>
      <c r="AG55" s="52"/>
      <c r="AH55" s="44"/>
      <c r="AI55" s="44"/>
      <c r="AJ55" s="51"/>
      <c r="AK55" s="44"/>
      <c r="AL55" s="52">
        <v>18</v>
      </c>
      <c r="AM55" s="47" t="s">
        <v>50</v>
      </c>
      <c r="AN55" s="44" t="s">
        <v>51</v>
      </c>
      <c r="AO55" s="44"/>
      <c r="AP55" s="52"/>
    </row>
    <row r="56" spans="1:42" s="41" customFormat="1" ht="14.25" customHeight="1" x14ac:dyDescent="0.25">
      <c r="A56" s="118">
        <v>46099</v>
      </c>
      <c r="B56" s="43"/>
      <c r="C56" s="13" t="s">
        <v>52</v>
      </c>
      <c r="D56" s="14" t="s">
        <v>53</v>
      </c>
      <c r="E56" s="98">
        <v>7179</v>
      </c>
      <c r="F56" s="44" t="s">
        <v>54</v>
      </c>
      <c r="G56" s="106">
        <v>48862629</v>
      </c>
      <c r="H56" s="2" t="s">
        <v>475</v>
      </c>
      <c r="I56" s="52"/>
      <c r="J56" s="52"/>
      <c r="K56" s="53">
        <v>6180</v>
      </c>
      <c r="L56" s="52"/>
      <c r="M56" s="52"/>
      <c r="N56" s="52"/>
      <c r="O56" s="52"/>
      <c r="P56" s="53">
        <f t="shared" si="0"/>
        <v>6180</v>
      </c>
      <c r="Q56" s="75"/>
      <c r="R56" s="51"/>
      <c r="S56" s="44"/>
      <c r="T56" s="44"/>
      <c r="U56" s="44"/>
      <c r="V56" s="44" t="s">
        <v>47</v>
      </c>
      <c r="W56" s="52"/>
      <c r="X56" s="51">
        <v>46099</v>
      </c>
      <c r="Y56" s="15" t="s">
        <v>63</v>
      </c>
      <c r="Z56" s="44"/>
      <c r="AA56" s="44"/>
      <c r="AB56" s="44" t="s">
        <v>49</v>
      </c>
      <c r="AC56" s="44"/>
      <c r="AD56" s="44" t="s">
        <v>48</v>
      </c>
      <c r="AE56" s="55"/>
      <c r="AF56" s="52"/>
      <c r="AG56" s="52"/>
      <c r="AH56" s="44"/>
      <c r="AI56" s="44"/>
      <c r="AJ56" s="51"/>
      <c r="AK56" s="44"/>
      <c r="AL56" s="52">
        <v>18</v>
      </c>
      <c r="AM56" s="47" t="s">
        <v>50</v>
      </c>
      <c r="AN56" s="44" t="s">
        <v>51</v>
      </c>
      <c r="AO56" s="44"/>
      <c r="AP56" s="52"/>
    </row>
    <row r="57" spans="1:42" s="20" customFormat="1" ht="14.25" customHeight="1" x14ac:dyDescent="0.25">
      <c r="A57" s="118">
        <v>46099</v>
      </c>
      <c r="B57" s="43"/>
      <c r="C57" s="13" t="s">
        <v>52</v>
      </c>
      <c r="D57" s="14" t="s">
        <v>53</v>
      </c>
      <c r="E57" s="98">
        <v>7180</v>
      </c>
      <c r="F57" s="44" t="s">
        <v>54</v>
      </c>
      <c r="G57" s="106">
        <v>48862629</v>
      </c>
      <c r="H57" s="2" t="s">
        <v>475</v>
      </c>
      <c r="I57" s="57"/>
      <c r="J57" s="57"/>
      <c r="K57" s="53">
        <v>0</v>
      </c>
      <c r="L57" s="57"/>
      <c r="M57" s="57"/>
      <c r="N57" s="57"/>
      <c r="O57" s="57"/>
      <c r="P57" s="53">
        <f t="shared" si="0"/>
        <v>0</v>
      </c>
      <c r="Q57" s="75"/>
      <c r="R57" s="56"/>
      <c r="S57" s="58"/>
      <c r="T57" s="58"/>
      <c r="U57" s="58"/>
      <c r="V57" s="44" t="s">
        <v>47</v>
      </c>
      <c r="W57" s="57"/>
      <c r="X57" s="56">
        <v>46099</v>
      </c>
      <c r="Y57" s="15" t="s">
        <v>61</v>
      </c>
      <c r="Z57" s="26"/>
      <c r="AA57" s="26"/>
      <c r="AB57" s="15" t="s">
        <v>49</v>
      </c>
      <c r="AC57" s="26"/>
      <c r="AD57" s="44" t="s">
        <v>48</v>
      </c>
      <c r="AE57" s="27"/>
      <c r="AF57" s="24"/>
      <c r="AG57" s="24"/>
      <c r="AH57" s="26"/>
      <c r="AI57" s="26"/>
      <c r="AJ57" s="25"/>
      <c r="AK57" s="26"/>
      <c r="AL57" s="17">
        <v>18</v>
      </c>
      <c r="AM57" s="47" t="s">
        <v>64</v>
      </c>
      <c r="AN57" s="44" t="s">
        <v>51</v>
      </c>
      <c r="AO57" s="58"/>
      <c r="AP57" s="57"/>
    </row>
    <row r="58" spans="1:42" s="20" customFormat="1" ht="14.25" customHeight="1" x14ac:dyDescent="0.25">
      <c r="A58" s="118">
        <v>46100</v>
      </c>
      <c r="B58" s="43"/>
      <c r="C58" s="13" t="s">
        <v>52</v>
      </c>
      <c r="D58" s="14" t="s">
        <v>53</v>
      </c>
      <c r="E58" s="98">
        <v>7181</v>
      </c>
      <c r="F58" s="44" t="s">
        <v>54</v>
      </c>
      <c r="G58" s="106">
        <v>40676851</v>
      </c>
      <c r="H58" s="2" t="s">
        <v>448</v>
      </c>
      <c r="I58" s="57"/>
      <c r="J58" s="57"/>
      <c r="K58" s="53">
        <v>7180</v>
      </c>
      <c r="L58" s="57"/>
      <c r="M58" s="57"/>
      <c r="N58" s="57"/>
      <c r="O58" s="57"/>
      <c r="P58" s="53">
        <f t="shared" si="0"/>
        <v>7180</v>
      </c>
      <c r="Q58" s="75"/>
      <c r="R58" s="56"/>
      <c r="S58" s="58"/>
      <c r="T58" s="58"/>
      <c r="U58" s="58"/>
      <c r="V58" s="44" t="s">
        <v>47</v>
      </c>
      <c r="W58" s="57"/>
      <c r="X58" s="56">
        <v>46100</v>
      </c>
      <c r="Y58" s="15" t="s">
        <v>63</v>
      </c>
      <c r="Z58" s="44"/>
      <c r="AA58" s="44"/>
      <c r="AB58" s="44" t="s">
        <v>49</v>
      </c>
      <c r="AC58" s="44"/>
      <c r="AD58" s="44" t="s">
        <v>48</v>
      </c>
      <c r="AE58" s="55"/>
      <c r="AF58" s="52"/>
      <c r="AG58" s="52"/>
      <c r="AH58" s="44"/>
      <c r="AI58" s="44"/>
      <c r="AJ58" s="51"/>
      <c r="AK58" s="44"/>
      <c r="AL58" s="52">
        <v>18</v>
      </c>
      <c r="AM58" s="47" t="s">
        <v>50</v>
      </c>
      <c r="AN58" s="44" t="s">
        <v>51</v>
      </c>
      <c r="AO58" s="58"/>
      <c r="AP58" s="57"/>
    </row>
    <row r="59" spans="1:42" s="20" customFormat="1" ht="14.25" customHeight="1" x14ac:dyDescent="0.25">
      <c r="A59" s="118">
        <v>46101</v>
      </c>
      <c r="B59" s="43"/>
      <c r="C59" s="13" t="s">
        <v>52</v>
      </c>
      <c r="D59" s="14" t="s">
        <v>53</v>
      </c>
      <c r="E59" s="98">
        <v>7182</v>
      </c>
      <c r="F59" s="44" t="s">
        <v>54</v>
      </c>
      <c r="G59" s="106">
        <v>44901535</v>
      </c>
      <c r="H59" s="2" t="s">
        <v>449</v>
      </c>
      <c r="I59" s="57"/>
      <c r="J59" s="57"/>
      <c r="K59" s="53">
        <v>5280</v>
      </c>
      <c r="L59" s="57"/>
      <c r="M59" s="57"/>
      <c r="N59" s="57"/>
      <c r="O59" s="57"/>
      <c r="P59" s="53">
        <f t="shared" si="0"/>
        <v>5280</v>
      </c>
      <c r="Q59" s="75"/>
      <c r="R59" s="56"/>
      <c r="S59" s="58"/>
      <c r="T59" s="58"/>
      <c r="U59" s="58"/>
      <c r="V59" s="44" t="s">
        <v>47</v>
      </c>
      <c r="W59" s="57"/>
      <c r="X59" s="56">
        <v>46101</v>
      </c>
      <c r="Y59" s="15" t="s">
        <v>63</v>
      </c>
      <c r="Z59" s="44"/>
      <c r="AA59" s="44"/>
      <c r="AB59" s="44" t="s">
        <v>49</v>
      </c>
      <c r="AC59" s="44"/>
      <c r="AD59" s="44" t="s">
        <v>48</v>
      </c>
      <c r="AE59" s="55"/>
      <c r="AF59" s="52"/>
      <c r="AG59" s="52"/>
      <c r="AH59" s="44"/>
      <c r="AI59" s="44"/>
      <c r="AJ59" s="51"/>
      <c r="AK59" s="44"/>
      <c r="AL59" s="52">
        <v>18</v>
      </c>
      <c r="AM59" s="47" t="s">
        <v>50</v>
      </c>
      <c r="AN59" s="44" t="s">
        <v>51</v>
      </c>
      <c r="AO59" s="58"/>
      <c r="AP59" s="57"/>
    </row>
    <row r="60" spans="1:42" s="20" customFormat="1" ht="14.25" customHeight="1" x14ac:dyDescent="0.25">
      <c r="A60" s="118">
        <v>46101</v>
      </c>
      <c r="B60" s="43"/>
      <c r="C60" s="13" t="s">
        <v>52</v>
      </c>
      <c r="D60" s="14" t="s">
        <v>53</v>
      </c>
      <c r="E60" s="98">
        <v>7183</v>
      </c>
      <c r="F60" s="44" t="s">
        <v>54</v>
      </c>
      <c r="G60" s="106">
        <v>44901535</v>
      </c>
      <c r="H60" s="2" t="s">
        <v>449</v>
      </c>
      <c r="I60" s="57"/>
      <c r="J60" s="57"/>
      <c r="K60" s="53">
        <v>0</v>
      </c>
      <c r="L60" s="57"/>
      <c r="M60" s="57"/>
      <c r="N60" s="57"/>
      <c r="O60" s="57"/>
      <c r="P60" s="53">
        <f t="shared" si="0"/>
        <v>0</v>
      </c>
      <c r="Q60" s="75"/>
      <c r="R60" s="56"/>
      <c r="S60" s="58"/>
      <c r="T60" s="58"/>
      <c r="U60" s="58"/>
      <c r="V60" s="44" t="s">
        <v>47</v>
      </c>
      <c r="W60" s="57"/>
      <c r="X60" s="56">
        <v>46101</v>
      </c>
      <c r="Y60" s="15" t="s">
        <v>61</v>
      </c>
      <c r="Z60" s="44"/>
      <c r="AA60" s="44"/>
      <c r="AB60" s="44" t="s">
        <v>49</v>
      </c>
      <c r="AC60" s="44"/>
      <c r="AD60" s="44" t="s">
        <v>48</v>
      </c>
      <c r="AE60" s="55"/>
      <c r="AF60" s="52"/>
      <c r="AG60" s="52"/>
      <c r="AH60" s="44"/>
      <c r="AI60" s="44"/>
      <c r="AJ60" s="51"/>
      <c r="AK60" s="44"/>
      <c r="AL60" s="52">
        <v>18</v>
      </c>
      <c r="AM60" s="47" t="s">
        <v>64</v>
      </c>
      <c r="AN60" s="44" t="s">
        <v>51</v>
      </c>
      <c r="AO60" s="58"/>
      <c r="AP60" s="57"/>
    </row>
    <row r="61" spans="1:42" s="20" customFormat="1" ht="14.25" customHeight="1" x14ac:dyDescent="0.25">
      <c r="A61" s="118">
        <v>46101</v>
      </c>
      <c r="B61" s="43"/>
      <c r="C61" s="13" t="s">
        <v>52</v>
      </c>
      <c r="D61" s="14" t="s">
        <v>53</v>
      </c>
      <c r="E61" s="98">
        <v>7184</v>
      </c>
      <c r="F61" s="44" t="s">
        <v>54</v>
      </c>
      <c r="G61" s="106">
        <v>45626597</v>
      </c>
      <c r="H61" s="2" t="s">
        <v>450</v>
      </c>
      <c r="I61" s="57"/>
      <c r="J61" s="57"/>
      <c r="K61" s="53">
        <v>3535</v>
      </c>
      <c r="L61" s="57"/>
      <c r="M61" s="57"/>
      <c r="N61" s="57"/>
      <c r="O61" s="57"/>
      <c r="P61" s="53">
        <f t="shared" si="0"/>
        <v>3535</v>
      </c>
      <c r="Q61" s="75"/>
      <c r="R61" s="56"/>
      <c r="S61" s="58"/>
      <c r="T61" s="58"/>
      <c r="U61" s="58"/>
      <c r="V61" s="44" t="s">
        <v>47</v>
      </c>
      <c r="W61" s="57"/>
      <c r="X61" s="56">
        <v>46101</v>
      </c>
      <c r="Y61" s="15" t="s">
        <v>63</v>
      </c>
      <c r="Z61" s="44"/>
      <c r="AA61" s="44"/>
      <c r="AB61" s="44" t="s">
        <v>49</v>
      </c>
      <c r="AC61" s="44"/>
      <c r="AD61" s="44" t="s">
        <v>48</v>
      </c>
      <c r="AE61" s="55"/>
      <c r="AF61" s="52"/>
      <c r="AG61" s="52"/>
      <c r="AH61" s="44"/>
      <c r="AI61" s="44"/>
      <c r="AJ61" s="51"/>
      <c r="AK61" s="44"/>
      <c r="AL61" s="52">
        <v>18</v>
      </c>
      <c r="AM61" s="47" t="s">
        <v>50</v>
      </c>
      <c r="AN61" s="44" t="s">
        <v>51</v>
      </c>
      <c r="AO61" s="58"/>
      <c r="AP61" s="57"/>
    </row>
    <row r="62" spans="1:42" s="41" customFormat="1" ht="14.25" customHeight="1" x14ac:dyDescent="0.25">
      <c r="A62" s="118">
        <v>46102</v>
      </c>
      <c r="B62" s="43"/>
      <c r="C62" s="13" t="s">
        <v>52</v>
      </c>
      <c r="D62" s="14" t="s">
        <v>53</v>
      </c>
      <c r="E62" s="98">
        <v>7185</v>
      </c>
      <c r="F62" s="44" t="s">
        <v>54</v>
      </c>
      <c r="G62" s="106">
        <v>75102040</v>
      </c>
      <c r="H62" s="2" t="s">
        <v>451</v>
      </c>
      <c r="I62" s="52"/>
      <c r="J62" s="52"/>
      <c r="K62" s="53">
        <v>8270</v>
      </c>
      <c r="L62" s="52"/>
      <c r="M62" s="52"/>
      <c r="N62" s="52"/>
      <c r="O62" s="52"/>
      <c r="P62" s="53">
        <f t="shared" si="0"/>
        <v>8270</v>
      </c>
      <c r="Q62" s="75"/>
      <c r="R62" s="51"/>
      <c r="S62" s="44"/>
      <c r="T62" s="44"/>
      <c r="U62" s="44"/>
      <c r="V62" s="44" t="s">
        <v>47</v>
      </c>
      <c r="W62" s="52"/>
      <c r="X62" s="51">
        <v>46102</v>
      </c>
      <c r="Y62" s="15" t="s">
        <v>63</v>
      </c>
      <c r="Z62" s="26"/>
      <c r="AA62" s="26"/>
      <c r="AB62" s="15" t="s">
        <v>49</v>
      </c>
      <c r="AC62" s="26"/>
      <c r="AD62" s="44" t="s">
        <v>48</v>
      </c>
      <c r="AE62" s="27"/>
      <c r="AF62" s="24"/>
      <c r="AG62" s="24"/>
      <c r="AH62" s="26"/>
      <c r="AI62" s="26"/>
      <c r="AJ62" s="25"/>
      <c r="AK62" s="26"/>
      <c r="AL62" s="17">
        <v>18</v>
      </c>
      <c r="AM62" s="47" t="s">
        <v>50</v>
      </c>
      <c r="AN62" s="44" t="s">
        <v>51</v>
      </c>
      <c r="AO62" s="44"/>
      <c r="AP62" s="52"/>
    </row>
    <row r="63" spans="1:42" s="41" customFormat="1" ht="14.25" customHeight="1" x14ac:dyDescent="0.25">
      <c r="A63" s="118">
        <v>46102</v>
      </c>
      <c r="B63" s="43"/>
      <c r="C63" s="13" t="s">
        <v>52</v>
      </c>
      <c r="D63" s="14" t="s">
        <v>53</v>
      </c>
      <c r="E63" s="98">
        <v>7186</v>
      </c>
      <c r="F63" s="44" t="s">
        <v>54</v>
      </c>
      <c r="G63" s="119" t="s">
        <v>416</v>
      </c>
      <c r="H63" s="2" t="s">
        <v>452</v>
      </c>
      <c r="I63" s="52"/>
      <c r="J63" s="52"/>
      <c r="K63" s="53">
        <v>6230</v>
      </c>
      <c r="L63" s="52"/>
      <c r="M63" s="52"/>
      <c r="N63" s="52"/>
      <c r="O63" s="52"/>
      <c r="P63" s="53">
        <f t="shared" si="0"/>
        <v>6230</v>
      </c>
      <c r="Q63" s="75"/>
      <c r="R63" s="51"/>
      <c r="S63" s="44"/>
      <c r="T63" s="44"/>
      <c r="U63" s="44"/>
      <c r="V63" s="44" t="s">
        <v>47</v>
      </c>
      <c r="W63" s="52"/>
      <c r="X63" s="51">
        <v>46102</v>
      </c>
      <c r="Y63" s="15" t="s">
        <v>63</v>
      </c>
      <c r="Z63" s="44"/>
      <c r="AA63" s="44"/>
      <c r="AB63" s="44" t="s">
        <v>49</v>
      </c>
      <c r="AC63" s="44"/>
      <c r="AD63" s="44" t="s">
        <v>48</v>
      </c>
      <c r="AE63" s="55"/>
      <c r="AF63" s="52"/>
      <c r="AG63" s="52"/>
      <c r="AH63" s="44"/>
      <c r="AI63" s="44"/>
      <c r="AJ63" s="51"/>
      <c r="AK63" s="44"/>
      <c r="AL63" s="52">
        <v>18</v>
      </c>
      <c r="AM63" s="47" t="s">
        <v>50</v>
      </c>
      <c r="AN63" s="44" t="s">
        <v>51</v>
      </c>
      <c r="AO63" s="44"/>
      <c r="AP63" s="52"/>
    </row>
    <row r="64" spans="1:42" s="20" customFormat="1" ht="14.25" customHeight="1" x14ac:dyDescent="0.25">
      <c r="A64" s="118">
        <v>46102</v>
      </c>
      <c r="B64" s="43"/>
      <c r="C64" s="13" t="s">
        <v>52</v>
      </c>
      <c r="D64" s="14" t="s">
        <v>53</v>
      </c>
      <c r="E64" s="98">
        <v>7187</v>
      </c>
      <c r="F64" s="44" t="s">
        <v>54</v>
      </c>
      <c r="G64" s="119" t="s">
        <v>416</v>
      </c>
      <c r="H64" s="2" t="s">
        <v>452</v>
      </c>
      <c r="I64" s="57"/>
      <c r="J64" s="57"/>
      <c r="K64" s="53">
        <v>0</v>
      </c>
      <c r="L64" s="57"/>
      <c r="M64" s="57"/>
      <c r="N64" s="57"/>
      <c r="O64" s="57"/>
      <c r="P64" s="53">
        <f t="shared" si="0"/>
        <v>0</v>
      </c>
      <c r="Q64" s="75"/>
      <c r="R64" s="56"/>
      <c r="S64" s="58"/>
      <c r="T64" s="58"/>
      <c r="U64" s="58"/>
      <c r="V64" s="44" t="s">
        <v>47</v>
      </c>
      <c r="W64" s="57"/>
      <c r="X64" s="56">
        <v>46102</v>
      </c>
      <c r="Y64" s="15" t="s">
        <v>61</v>
      </c>
      <c r="Z64" s="26"/>
      <c r="AA64" s="26"/>
      <c r="AB64" s="15" t="s">
        <v>49</v>
      </c>
      <c r="AC64" s="26"/>
      <c r="AD64" s="44" t="s">
        <v>48</v>
      </c>
      <c r="AE64" s="27"/>
      <c r="AF64" s="24"/>
      <c r="AG64" s="24"/>
      <c r="AH64" s="26"/>
      <c r="AI64" s="26"/>
      <c r="AJ64" s="25"/>
      <c r="AK64" s="26"/>
      <c r="AL64" s="17">
        <v>18</v>
      </c>
      <c r="AM64" s="47" t="s">
        <v>64</v>
      </c>
      <c r="AN64" s="44" t="s">
        <v>51</v>
      </c>
      <c r="AO64" s="58"/>
      <c r="AP64" s="57"/>
    </row>
    <row r="65" spans="1:42" s="20" customFormat="1" ht="14.25" customHeight="1" x14ac:dyDescent="0.25">
      <c r="A65" s="118">
        <v>46102</v>
      </c>
      <c r="B65" s="43"/>
      <c r="C65" s="13" t="s">
        <v>52</v>
      </c>
      <c r="D65" s="14" t="s">
        <v>53</v>
      </c>
      <c r="E65" s="98">
        <v>7188</v>
      </c>
      <c r="F65" s="44" t="s">
        <v>54</v>
      </c>
      <c r="G65" s="106">
        <v>77425058</v>
      </c>
      <c r="H65" s="2" t="s">
        <v>453</v>
      </c>
      <c r="I65" s="57"/>
      <c r="J65" s="57"/>
      <c r="K65" s="53">
        <v>11780</v>
      </c>
      <c r="L65" s="57"/>
      <c r="M65" s="57"/>
      <c r="N65" s="57"/>
      <c r="O65" s="57"/>
      <c r="P65" s="53">
        <f t="shared" si="0"/>
        <v>11780</v>
      </c>
      <c r="Q65" s="75"/>
      <c r="R65" s="56"/>
      <c r="S65" s="58"/>
      <c r="T65" s="58"/>
      <c r="U65" s="58"/>
      <c r="V65" s="44" t="s">
        <v>47</v>
      </c>
      <c r="W65" s="57"/>
      <c r="X65" s="56">
        <v>46102</v>
      </c>
      <c r="Y65" s="15" t="s">
        <v>63</v>
      </c>
      <c r="Z65" s="44"/>
      <c r="AA65" s="44"/>
      <c r="AB65" s="44" t="s">
        <v>49</v>
      </c>
      <c r="AC65" s="44"/>
      <c r="AD65" s="44" t="s">
        <v>48</v>
      </c>
      <c r="AE65" s="55"/>
      <c r="AF65" s="52"/>
      <c r="AG65" s="52"/>
      <c r="AH65" s="44"/>
      <c r="AI65" s="44"/>
      <c r="AJ65" s="51"/>
      <c r="AK65" s="44"/>
      <c r="AL65" s="52">
        <v>18</v>
      </c>
      <c r="AM65" s="47" t="s">
        <v>50</v>
      </c>
      <c r="AN65" s="44" t="s">
        <v>51</v>
      </c>
      <c r="AO65" s="58"/>
      <c r="AP65" s="57"/>
    </row>
    <row r="66" spans="1:42" s="20" customFormat="1" ht="14.25" customHeight="1" x14ac:dyDescent="0.25">
      <c r="A66" s="118">
        <v>46102</v>
      </c>
      <c r="B66" s="56"/>
      <c r="C66" s="13" t="s">
        <v>52</v>
      </c>
      <c r="D66" s="14" t="s">
        <v>53</v>
      </c>
      <c r="E66" s="98">
        <v>7189</v>
      </c>
      <c r="F66" s="44" t="s">
        <v>54</v>
      </c>
      <c r="G66" s="106">
        <v>77425058</v>
      </c>
      <c r="H66" s="2" t="s">
        <v>453</v>
      </c>
      <c r="I66" s="57"/>
      <c r="J66" s="57"/>
      <c r="K66" s="53">
        <v>0</v>
      </c>
      <c r="L66" s="57"/>
      <c r="M66" s="57"/>
      <c r="N66" s="57"/>
      <c r="O66" s="57"/>
      <c r="P66" s="53">
        <f t="shared" si="0"/>
        <v>0</v>
      </c>
      <c r="Q66" s="75"/>
      <c r="R66" s="56"/>
      <c r="S66" s="58"/>
      <c r="T66" s="58"/>
      <c r="U66" s="58"/>
      <c r="V66" s="44" t="s">
        <v>47</v>
      </c>
      <c r="W66" s="57"/>
      <c r="X66" s="56">
        <v>46102</v>
      </c>
      <c r="Y66" s="15" t="s">
        <v>61</v>
      </c>
      <c r="Z66" s="26"/>
      <c r="AA66" s="26"/>
      <c r="AB66" s="15" t="s">
        <v>49</v>
      </c>
      <c r="AC66" s="26"/>
      <c r="AD66" s="44" t="s">
        <v>48</v>
      </c>
      <c r="AE66" s="27"/>
      <c r="AF66" s="24"/>
      <c r="AG66" s="24"/>
      <c r="AH66" s="26"/>
      <c r="AI66" s="26"/>
      <c r="AJ66" s="25"/>
      <c r="AK66" s="26"/>
      <c r="AL66" s="17">
        <v>18</v>
      </c>
      <c r="AM66" s="47" t="s">
        <v>64</v>
      </c>
      <c r="AN66" s="44" t="s">
        <v>51</v>
      </c>
      <c r="AO66" s="58"/>
      <c r="AP66" s="57"/>
    </row>
    <row r="67" spans="1:42" s="20" customFormat="1" ht="14.25" customHeight="1" x14ac:dyDescent="0.25">
      <c r="A67" s="118">
        <v>46102</v>
      </c>
      <c r="B67" s="43"/>
      <c r="C67" s="13" t="s">
        <v>52</v>
      </c>
      <c r="D67" s="14" t="s">
        <v>53</v>
      </c>
      <c r="E67" s="98">
        <v>7190</v>
      </c>
      <c r="F67" s="44" t="s">
        <v>54</v>
      </c>
      <c r="G67" s="106">
        <v>71506175</v>
      </c>
      <c r="H67" s="2" t="s">
        <v>476</v>
      </c>
      <c r="I67" s="57"/>
      <c r="J67" s="57"/>
      <c r="K67" s="53">
        <v>7350</v>
      </c>
      <c r="L67" s="57"/>
      <c r="M67" s="57"/>
      <c r="N67" s="57"/>
      <c r="O67" s="57"/>
      <c r="P67" s="53">
        <f t="shared" si="0"/>
        <v>7350</v>
      </c>
      <c r="Q67" s="75"/>
      <c r="R67" s="56"/>
      <c r="S67" s="58"/>
      <c r="T67" s="58"/>
      <c r="U67" s="58"/>
      <c r="V67" s="44" t="s">
        <v>47</v>
      </c>
      <c r="W67" s="57"/>
      <c r="X67" s="56">
        <v>46102</v>
      </c>
      <c r="Y67" s="15" t="s">
        <v>63</v>
      </c>
      <c r="Z67" s="44"/>
      <c r="AA67" s="44"/>
      <c r="AB67" s="44" t="s">
        <v>49</v>
      </c>
      <c r="AC67" s="44"/>
      <c r="AD67" s="44" t="s">
        <v>48</v>
      </c>
      <c r="AE67" s="55"/>
      <c r="AF67" s="52"/>
      <c r="AG67" s="52"/>
      <c r="AH67" s="44"/>
      <c r="AI67" s="44"/>
      <c r="AJ67" s="51"/>
      <c r="AK67" s="44"/>
      <c r="AL67" s="52">
        <v>18</v>
      </c>
      <c r="AM67" s="47" t="s">
        <v>50</v>
      </c>
      <c r="AN67" s="44" t="s">
        <v>51</v>
      </c>
      <c r="AO67" s="58"/>
      <c r="AP67" s="57"/>
    </row>
    <row r="68" spans="1:42" s="20" customFormat="1" ht="14.25" customHeight="1" x14ac:dyDescent="0.25">
      <c r="A68" s="118">
        <v>46102</v>
      </c>
      <c r="B68" s="56"/>
      <c r="C68" s="13" t="s">
        <v>52</v>
      </c>
      <c r="D68" s="14" t="s">
        <v>53</v>
      </c>
      <c r="E68" s="98">
        <v>7191</v>
      </c>
      <c r="F68" s="44" t="s">
        <v>54</v>
      </c>
      <c r="G68" s="106">
        <v>71506175</v>
      </c>
      <c r="H68" s="2" t="s">
        <v>476</v>
      </c>
      <c r="I68" s="57"/>
      <c r="J68" s="57"/>
      <c r="K68" s="53">
        <v>7350</v>
      </c>
      <c r="L68" s="57"/>
      <c r="M68" s="57"/>
      <c r="N68" s="57"/>
      <c r="O68" s="57"/>
      <c r="P68" s="53">
        <f t="shared" si="0"/>
        <v>7350</v>
      </c>
      <c r="Q68" s="75"/>
      <c r="R68" s="56"/>
      <c r="S68" s="58"/>
      <c r="T68" s="58"/>
      <c r="U68" s="58"/>
      <c r="V68" s="44" t="s">
        <v>47</v>
      </c>
      <c r="W68" s="57"/>
      <c r="X68" s="56">
        <v>46102</v>
      </c>
      <c r="Y68" s="15" t="s">
        <v>63</v>
      </c>
      <c r="Z68" s="26"/>
      <c r="AA68" s="26"/>
      <c r="AB68" s="15" t="s">
        <v>49</v>
      </c>
      <c r="AC68" s="26"/>
      <c r="AD68" s="44" t="s">
        <v>48</v>
      </c>
      <c r="AE68" s="27"/>
      <c r="AF68" s="24"/>
      <c r="AG68" s="24"/>
      <c r="AH68" s="26"/>
      <c r="AI68" s="26"/>
      <c r="AJ68" s="25"/>
      <c r="AK68" s="26"/>
      <c r="AL68" s="17">
        <v>18</v>
      </c>
      <c r="AM68" s="47" t="s">
        <v>50</v>
      </c>
      <c r="AN68" s="44" t="s">
        <v>51</v>
      </c>
      <c r="AO68" s="58"/>
      <c r="AP68" s="57"/>
    </row>
    <row r="69" spans="1:42" s="20" customFormat="1" ht="14.25" customHeight="1" x14ac:dyDescent="0.25">
      <c r="A69" s="118">
        <v>46102</v>
      </c>
      <c r="B69" s="43"/>
      <c r="C69" s="13" t="s">
        <v>52</v>
      </c>
      <c r="D69" s="14" t="s">
        <v>53</v>
      </c>
      <c r="E69" s="98">
        <v>7192</v>
      </c>
      <c r="F69" s="44" t="s">
        <v>54</v>
      </c>
      <c r="G69" s="106">
        <v>71506175</v>
      </c>
      <c r="H69" s="2" t="s">
        <v>476</v>
      </c>
      <c r="I69" s="57"/>
      <c r="J69" s="57"/>
      <c r="K69" s="53">
        <v>7350</v>
      </c>
      <c r="L69" s="57"/>
      <c r="M69" s="57"/>
      <c r="N69" s="57"/>
      <c r="O69" s="57"/>
      <c r="P69" s="53">
        <f t="shared" si="0"/>
        <v>7350</v>
      </c>
      <c r="Q69" s="75"/>
      <c r="R69" s="56"/>
      <c r="S69" s="58"/>
      <c r="T69" s="58"/>
      <c r="U69" s="58"/>
      <c r="V69" s="44" t="s">
        <v>47</v>
      </c>
      <c r="W69" s="57"/>
      <c r="X69" s="56">
        <v>46102</v>
      </c>
      <c r="Y69" s="15" t="s">
        <v>63</v>
      </c>
      <c r="Z69" s="26"/>
      <c r="AA69" s="26"/>
      <c r="AB69" s="15" t="s">
        <v>49</v>
      </c>
      <c r="AC69" s="26"/>
      <c r="AD69" s="44" t="s">
        <v>48</v>
      </c>
      <c r="AE69" s="27"/>
      <c r="AF69" s="24"/>
      <c r="AG69" s="24"/>
      <c r="AH69" s="26"/>
      <c r="AI69" s="26"/>
      <c r="AJ69" s="25"/>
      <c r="AK69" s="26"/>
      <c r="AL69" s="17">
        <v>18</v>
      </c>
      <c r="AM69" s="47" t="s">
        <v>50</v>
      </c>
      <c r="AN69" s="44" t="s">
        <v>51</v>
      </c>
      <c r="AO69" s="58"/>
      <c r="AP69" s="57"/>
    </row>
    <row r="70" spans="1:42" s="20" customFormat="1" ht="14.25" customHeight="1" x14ac:dyDescent="0.25">
      <c r="A70" s="118">
        <v>46104</v>
      </c>
      <c r="B70" s="43"/>
      <c r="C70" s="13" t="s">
        <v>52</v>
      </c>
      <c r="D70" s="14" t="s">
        <v>53</v>
      </c>
      <c r="E70" s="98">
        <v>7193</v>
      </c>
      <c r="F70" s="44" t="s">
        <v>54</v>
      </c>
      <c r="G70" s="106">
        <v>21004821</v>
      </c>
      <c r="H70" s="2" t="s">
        <v>477</v>
      </c>
      <c r="I70" s="57"/>
      <c r="J70" s="57"/>
      <c r="K70" s="53">
        <v>7780</v>
      </c>
      <c r="L70" s="57"/>
      <c r="M70" s="57"/>
      <c r="N70" s="57"/>
      <c r="O70" s="57"/>
      <c r="P70" s="53">
        <f t="shared" ref="P70:P111" si="1">K70</f>
        <v>7780</v>
      </c>
      <c r="Q70" s="75"/>
      <c r="R70" s="56"/>
      <c r="S70" s="58"/>
      <c r="T70" s="58"/>
      <c r="U70" s="58"/>
      <c r="V70" s="44" t="s">
        <v>47</v>
      </c>
      <c r="W70" s="57"/>
      <c r="X70" s="56">
        <v>46104</v>
      </c>
      <c r="Y70" s="15" t="s">
        <v>63</v>
      </c>
      <c r="Z70" s="44"/>
      <c r="AA70" s="44"/>
      <c r="AB70" s="44" t="s">
        <v>49</v>
      </c>
      <c r="AC70" s="44"/>
      <c r="AD70" s="44" t="s">
        <v>48</v>
      </c>
      <c r="AE70" s="55"/>
      <c r="AF70" s="52"/>
      <c r="AG70" s="52"/>
      <c r="AH70" s="44"/>
      <c r="AI70" s="44"/>
      <c r="AJ70" s="51"/>
      <c r="AK70" s="44"/>
      <c r="AL70" s="52">
        <v>18</v>
      </c>
      <c r="AM70" s="47" t="s">
        <v>50</v>
      </c>
      <c r="AN70" s="44" t="s">
        <v>51</v>
      </c>
      <c r="AO70" s="58"/>
      <c r="AP70" s="57"/>
    </row>
    <row r="71" spans="1:42" s="20" customFormat="1" ht="14.25" customHeight="1" x14ac:dyDescent="0.25">
      <c r="A71" s="118">
        <v>46104</v>
      </c>
      <c r="B71" s="43"/>
      <c r="C71" s="13" t="s">
        <v>52</v>
      </c>
      <c r="D71" s="14" t="s">
        <v>53</v>
      </c>
      <c r="E71" s="98">
        <v>7194</v>
      </c>
      <c r="F71" s="44" t="s">
        <v>54</v>
      </c>
      <c r="G71" s="106">
        <v>75017922</v>
      </c>
      <c r="H71" s="2" t="s">
        <v>454</v>
      </c>
      <c r="I71" s="57"/>
      <c r="J71" s="57"/>
      <c r="K71" s="53">
        <v>6180</v>
      </c>
      <c r="L71" s="57"/>
      <c r="M71" s="57"/>
      <c r="N71" s="57"/>
      <c r="O71" s="57"/>
      <c r="P71" s="53">
        <f t="shared" si="1"/>
        <v>6180</v>
      </c>
      <c r="Q71" s="75"/>
      <c r="R71" s="56"/>
      <c r="S71" s="58"/>
      <c r="T71" s="58"/>
      <c r="U71" s="58"/>
      <c r="V71" s="44" t="s">
        <v>47</v>
      </c>
      <c r="W71" s="57"/>
      <c r="X71" s="56">
        <v>46104</v>
      </c>
      <c r="Y71" s="15" t="s">
        <v>63</v>
      </c>
      <c r="Z71" s="44"/>
      <c r="AA71" s="44"/>
      <c r="AB71" s="44" t="s">
        <v>49</v>
      </c>
      <c r="AC71" s="44"/>
      <c r="AD71" s="44" t="s">
        <v>48</v>
      </c>
      <c r="AE71" s="55"/>
      <c r="AF71" s="52"/>
      <c r="AG71" s="52"/>
      <c r="AH71" s="44"/>
      <c r="AI71" s="44"/>
      <c r="AJ71" s="51"/>
      <c r="AK71" s="44"/>
      <c r="AL71" s="52">
        <v>18</v>
      </c>
      <c r="AM71" s="47" t="s">
        <v>50</v>
      </c>
      <c r="AN71" s="44" t="s">
        <v>51</v>
      </c>
      <c r="AO71" s="58"/>
      <c r="AP71" s="57"/>
    </row>
    <row r="72" spans="1:42" s="20" customFormat="1" ht="14.25" customHeight="1" x14ac:dyDescent="0.25">
      <c r="A72" s="118">
        <v>46104</v>
      </c>
      <c r="B72" s="43"/>
      <c r="C72" s="13" t="s">
        <v>52</v>
      </c>
      <c r="D72" s="14" t="s">
        <v>53</v>
      </c>
      <c r="E72" s="98">
        <v>7195</v>
      </c>
      <c r="F72" s="44" t="s">
        <v>54</v>
      </c>
      <c r="G72" s="106">
        <v>75017922</v>
      </c>
      <c r="H72" s="2" t="s">
        <v>454</v>
      </c>
      <c r="I72" s="45"/>
      <c r="J72" s="57"/>
      <c r="K72" s="53">
        <v>0</v>
      </c>
      <c r="L72" s="57"/>
      <c r="M72" s="57"/>
      <c r="N72" s="57"/>
      <c r="O72" s="57"/>
      <c r="P72" s="53">
        <f t="shared" si="1"/>
        <v>0</v>
      </c>
      <c r="Q72" s="75"/>
      <c r="R72" s="56"/>
      <c r="S72" s="58"/>
      <c r="T72" s="58"/>
      <c r="U72" s="58"/>
      <c r="V72" s="44" t="s">
        <v>47</v>
      </c>
      <c r="W72" s="57"/>
      <c r="X72" s="56">
        <v>46104</v>
      </c>
      <c r="Y72" s="15" t="s">
        <v>61</v>
      </c>
      <c r="Z72" s="26"/>
      <c r="AA72" s="26"/>
      <c r="AB72" s="15" t="s">
        <v>49</v>
      </c>
      <c r="AC72" s="26"/>
      <c r="AD72" s="44" t="s">
        <v>48</v>
      </c>
      <c r="AE72" s="27"/>
      <c r="AF72" s="24"/>
      <c r="AG72" s="24"/>
      <c r="AH72" s="26"/>
      <c r="AI72" s="26"/>
      <c r="AJ72" s="25"/>
      <c r="AK72" s="26"/>
      <c r="AL72" s="17">
        <v>18</v>
      </c>
      <c r="AM72" s="47" t="s">
        <v>64</v>
      </c>
      <c r="AN72" s="44" t="s">
        <v>51</v>
      </c>
      <c r="AO72" s="58"/>
      <c r="AP72" s="57"/>
    </row>
    <row r="73" spans="1:42" s="20" customFormat="1" ht="14.25" customHeight="1" x14ac:dyDescent="0.25">
      <c r="A73" s="118">
        <v>46104</v>
      </c>
      <c r="B73" s="43"/>
      <c r="C73" s="13" t="s">
        <v>52</v>
      </c>
      <c r="D73" s="14" t="s">
        <v>53</v>
      </c>
      <c r="E73" s="98">
        <v>7196</v>
      </c>
      <c r="F73" s="44" t="s">
        <v>54</v>
      </c>
      <c r="G73" s="106">
        <v>61256035</v>
      </c>
      <c r="H73" s="2" t="s">
        <v>455</v>
      </c>
      <c r="I73" s="57"/>
      <c r="J73" s="96"/>
      <c r="K73" s="53">
        <v>7780</v>
      </c>
      <c r="L73" s="57"/>
      <c r="M73" s="57"/>
      <c r="N73" s="57"/>
      <c r="O73" s="57"/>
      <c r="P73" s="53">
        <f t="shared" si="1"/>
        <v>7780</v>
      </c>
      <c r="Q73" s="75"/>
      <c r="R73" s="56"/>
      <c r="S73" s="58"/>
      <c r="T73" s="58"/>
      <c r="U73" s="58"/>
      <c r="V73" s="44" t="s">
        <v>47</v>
      </c>
      <c r="W73" s="57"/>
      <c r="X73" s="56">
        <v>46112</v>
      </c>
      <c r="Y73" s="15" t="s">
        <v>63</v>
      </c>
      <c r="Z73" s="44"/>
      <c r="AA73" s="44"/>
      <c r="AB73" s="44" t="s">
        <v>49</v>
      </c>
      <c r="AC73" s="44"/>
      <c r="AD73" s="44" t="s">
        <v>48</v>
      </c>
      <c r="AE73" s="55"/>
      <c r="AF73" s="52"/>
      <c r="AG73" s="52"/>
      <c r="AH73" s="44"/>
      <c r="AI73" s="44"/>
      <c r="AJ73" s="51"/>
      <c r="AK73" s="44"/>
      <c r="AL73" s="52">
        <v>18</v>
      </c>
      <c r="AM73" s="47" t="s">
        <v>50</v>
      </c>
      <c r="AN73" s="44" t="s">
        <v>51</v>
      </c>
      <c r="AO73" s="58"/>
      <c r="AP73" s="57"/>
    </row>
    <row r="74" spans="1:42" s="36" customFormat="1" ht="14.25" customHeight="1" x14ac:dyDescent="0.25">
      <c r="A74" s="120">
        <v>46104</v>
      </c>
      <c r="B74" s="50"/>
      <c r="C74" s="121" t="s">
        <v>52</v>
      </c>
      <c r="D74" s="42" t="s">
        <v>53</v>
      </c>
      <c r="E74" s="99">
        <v>7197</v>
      </c>
      <c r="F74" s="30" t="s">
        <v>54</v>
      </c>
      <c r="G74" s="109">
        <v>42446575</v>
      </c>
      <c r="H74" s="110" t="s">
        <v>478</v>
      </c>
      <c r="I74" s="32"/>
      <c r="J74" s="32"/>
      <c r="K74" s="112">
        <v>8280</v>
      </c>
      <c r="L74" s="32"/>
      <c r="M74" s="32"/>
      <c r="N74" s="32"/>
      <c r="O74" s="32"/>
      <c r="P74" s="112">
        <f t="shared" si="1"/>
        <v>8280</v>
      </c>
      <c r="Q74" s="122"/>
      <c r="R74" s="29"/>
      <c r="S74" s="33"/>
      <c r="T74" s="33"/>
      <c r="U74" s="33"/>
      <c r="V74" s="30" t="s">
        <v>47</v>
      </c>
      <c r="W74" s="32"/>
      <c r="X74" s="29">
        <v>46104</v>
      </c>
      <c r="Y74" s="30" t="s">
        <v>63</v>
      </c>
      <c r="Z74" s="33"/>
      <c r="AA74" s="33"/>
      <c r="AB74" s="30" t="s">
        <v>49</v>
      </c>
      <c r="AC74" s="33"/>
      <c r="AD74" s="30" t="s">
        <v>48</v>
      </c>
      <c r="AE74" s="34"/>
      <c r="AF74" s="32"/>
      <c r="AG74" s="32"/>
      <c r="AH74" s="33"/>
      <c r="AI74" s="33"/>
      <c r="AJ74" s="29"/>
      <c r="AK74" s="33"/>
      <c r="AL74" s="35">
        <v>18</v>
      </c>
      <c r="AM74" s="31" t="s">
        <v>50</v>
      </c>
      <c r="AN74" s="30" t="s">
        <v>51</v>
      </c>
      <c r="AO74" s="33"/>
      <c r="AP74" s="32"/>
    </row>
    <row r="75" spans="1:42" s="20" customFormat="1" ht="14.25" customHeight="1" x14ac:dyDescent="0.25">
      <c r="A75" s="118">
        <v>46104</v>
      </c>
      <c r="B75" s="43"/>
      <c r="C75" s="13" t="s">
        <v>52</v>
      </c>
      <c r="D75" s="14" t="s">
        <v>53</v>
      </c>
      <c r="E75" s="98">
        <v>7198</v>
      </c>
      <c r="F75" s="44" t="s">
        <v>54</v>
      </c>
      <c r="G75" s="106">
        <v>70468233</v>
      </c>
      <c r="H75" s="2" t="s">
        <v>456</v>
      </c>
      <c r="I75" s="57"/>
      <c r="J75" s="57"/>
      <c r="K75" s="53">
        <v>13136</v>
      </c>
      <c r="L75" s="57"/>
      <c r="M75" s="57"/>
      <c r="N75" s="57"/>
      <c r="O75" s="57"/>
      <c r="P75" s="53">
        <f t="shared" si="1"/>
        <v>13136</v>
      </c>
      <c r="Q75" s="75"/>
      <c r="R75" s="56"/>
      <c r="S75" s="58"/>
      <c r="T75" s="58"/>
      <c r="U75" s="58"/>
      <c r="V75" s="44" t="s">
        <v>47</v>
      </c>
      <c r="W75" s="57"/>
      <c r="X75" s="56">
        <v>46104</v>
      </c>
      <c r="Y75" s="15" t="s">
        <v>63</v>
      </c>
      <c r="Z75" s="44"/>
      <c r="AA75" s="44"/>
      <c r="AB75" s="44" t="s">
        <v>49</v>
      </c>
      <c r="AC75" s="44"/>
      <c r="AD75" s="44" t="s">
        <v>48</v>
      </c>
      <c r="AE75" s="55"/>
      <c r="AF75" s="52"/>
      <c r="AG75" s="52"/>
      <c r="AH75" s="44"/>
      <c r="AI75" s="44"/>
      <c r="AJ75" s="51"/>
      <c r="AK75" s="44"/>
      <c r="AL75" s="52">
        <v>18</v>
      </c>
      <c r="AM75" s="47" t="s">
        <v>50</v>
      </c>
      <c r="AN75" s="44" t="s">
        <v>51</v>
      </c>
      <c r="AO75" s="58"/>
      <c r="AP75" s="57"/>
    </row>
    <row r="76" spans="1:42" s="20" customFormat="1" ht="14.25" customHeight="1" x14ac:dyDescent="0.25">
      <c r="A76" s="118">
        <v>46104</v>
      </c>
      <c r="B76" s="43"/>
      <c r="C76" s="13" t="s">
        <v>52</v>
      </c>
      <c r="D76" s="14" t="s">
        <v>53</v>
      </c>
      <c r="E76" s="98">
        <v>7199</v>
      </c>
      <c r="F76" s="44" t="s">
        <v>54</v>
      </c>
      <c r="G76" s="106">
        <v>70468233</v>
      </c>
      <c r="H76" s="2" t="s">
        <v>456</v>
      </c>
      <c r="I76" s="57"/>
      <c r="J76" s="57"/>
      <c r="K76" s="53">
        <v>0</v>
      </c>
      <c r="L76" s="57"/>
      <c r="M76" s="57"/>
      <c r="N76" s="57"/>
      <c r="O76" s="57"/>
      <c r="P76" s="53">
        <f t="shared" si="1"/>
        <v>0</v>
      </c>
      <c r="Q76" s="75"/>
      <c r="R76" s="56"/>
      <c r="S76" s="58"/>
      <c r="T76" s="58"/>
      <c r="U76" s="58"/>
      <c r="V76" s="44" t="s">
        <v>47</v>
      </c>
      <c r="W76" s="57"/>
      <c r="X76" s="56">
        <v>46104</v>
      </c>
      <c r="Y76" s="15" t="s">
        <v>61</v>
      </c>
      <c r="Z76" s="44"/>
      <c r="AA76" s="44"/>
      <c r="AB76" s="44" t="s">
        <v>49</v>
      </c>
      <c r="AC76" s="44"/>
      <c r="AD76" s="44" t="s">
        <v>48</v>
      </c>
      <c r="AE76" s="55"/>
      <c r="AF76" s="52"/>
      <c r="AG76" s="52"/>
      <c r="AH76" s="44"/>
      <c r="AI76" s="44"/>
      <c r="AJ76" s="51"/>
      <c r="AK76" s="44"/>
      <c r="AL76" s="52">
        <v>18</v>
      </c>
      <c r="AM76" s="47" t="s">
        <v>64</v>
      </c>
      <c r="AN76" s="44" t="s">
        <v>51</v>
      </c>
      <c r="AO76" s="58"/>
      <c r="AP76" s="57"/>
    </row>
    <row r="77" spans="1:42" s="20" customFormat="1" ht="14.25" customHeight="1" x14ac:dyDescent="0.25">
      <c r="A77" s="118">
        <v>46104</v>
      </c>
      <c r="B77" s="43"/>
      <c r="C77" s="13" t="s">
        <v>52</v>
      </c>
      <c r="D77" s="14" t="s">
        <v>53</v>
      </c>
      <c r="E77" s="98">
        <v>7200</v>
      </c>
      <c r="F77" s="44" t="s">
        <v>54</v>
      </c>
      <c r="G77" s="106">
        <v>41412050</v>
      </c>
      <c r="H77" s="2" t="s">
        <v>457</v>
      </c>
      <c r="I77" s="57"/>
      <c r="J77" s="57"/>
      <c r="K77" s="53">
        <v>6280</v>
      </c>
      <c r="L77" s="57"/>
      <c r="M77" s="57"/>
      <c r="N77" s="57"/>
      <c r="O77" s="57"/>
      <c r="P77" s="53">
        <f t="shared" si="1"/>
        <v>6280</v>
      </c>
      <c r="Q77" s="75"/>
      <c r="R77" s="56"/>
      <c r="S77" s="58"/>
      <c r="T77" s="58"/>
      <c r="U77" s="58"/>
      <c r="V77" s="44" t="s">
        <v>47</v>
      </c>
      <c r="W77" s="57"/>
      <c r="X77" s="56">
        <v>46104</v>
      </c>
      <c r="Y77" s="15" t="s">
        <v>63</v>
      </c>
      <c r="Z77" s="44"/>
      <c r="AA77" s="44"/>
      <c r="AB77" s="44" t="s">
        <v>49</v>
      </c>
      <c r="AC77" s="44"/>
      <c r="AD77" s="44" t="s">
        <v>48</v>
      </c>
      <c r="AE77" s="55"/>
      <c r="AF77" s="52"/>
      <c r="AG77" s="52"/>
      <c r="AH77" s="44"/>
      <c r="AI77" s="44"/>
      <c r="AJ77" s="51"/>
      <c r="AK77" s="44"/>
      <c r="AL77" s="52">
        <v>18</v>
      </c>
      <c r="AM77" s="47" t="s">
        <v>50</v>
      </c>
      <c r="AN77" s="44" t="s">
        <v>51</v>
      </c>
      <c r="AO77" s="58"/>
      <c r="AP77" s="57"/>
    </row>
    <row r="78" spans="1:42" s="20" customFormat="1" ht="14.25" customHeight="1" x14ac:dyDescent="0.25">
      <c r="A78" s="118">
        <v>46105</v>
      </c>
      <c r="B78" s="43"/>
      <c r="C78" s="13" t="s">
        <v>52</v>
      </c>
      <c r="D78" s="14" t="s">
        <v>53</v>
      </c>
      <c r="E78" s="98">
        <v>7201</v>
      </c>
      <c r="F78" s="44" t="s">
        <v>54</v>
      </c>
      <c r="G78" s="106">
        <v>73361954</v>
      </c>
      <c r="H78" s="2" t="s">
        <v>440</v>
      </c>
      <c r="I78" s="57"/>
      <c r="J78" s="57"/>
      <c r="K78" s="53">
        <v>5430</v>
      </c>
      <c r="L78" s="57"/>
      <c r="M78" s="57"/>
      <c r="N78" s="57"/>
      <c r="O78" s="57"/>
      <c r="P78" s="53">
        <f t="shared" si="1"/>
        <v>5430</v>
      </c>
      <c r="Q78" s="75"/>
      <c r="R78" s="56"/>
      <c r="S78" s="58"/>
      <c r="T78" s="58"/>
      <c r="U78" s="58"/>
      <c r="V78" s="44" t="s">
        <v>47</v>
      </c>
      <c r="W78" s="57"/>
      <c r="X78" s="56">
        <v>46105</v>
      </c>
      <c r="Y78" s="15" t="s">
        <v>63</v>
      </c>
      <c r="Z78" s="26"/>
      <c r="AA78" s="26"/>
      <c r="AB78" s="15" t="s">
        <v>49</v>
      </c>
      <c r="AC78" s="26"/>
      <c r="AD78" s="44" t="s">
        <v>48</v>
      </c>
      <c r="AE78" s="27"/>
      <c r="AF78" s="24"/>
      <c r="AG78" s="24"/>
      <c r="AH78" s="26"/>
      <c r="AI78" s="26"/>
      <c r="AJ78" s="25"/>
      <c r="AK78" s="26"/>
      <c r="AL78" s="17">
        <v>18</v>
      </c>
      <c r="AM78" s="47" t="s">
        <v>50</v>
      </c>
      <c r="AN78" s="44" t="s">
        <v>51</v>
      </c>
      <c r="AO78" s="58"/>
      <c r="AP78" s="57"/>
    </row>
    <row r="79" spans="1:42" s="20" customFormat="1" ht="14.25" customHeight="1" x14ac:dyDescent="0.25">
      <c r="A79" s="118">
        <v>46105</v>
      </c>
      <c r="B79" s="43"/>
      <c r="C79" s="13" t="s">
        <v>52</v>
      </c>
      <c r="D79" s="14" t="s">
        <v>53</v>
      </c>
      <c r="E79" s="98">
        <v>7202</v>
      </c>
      <c r="F79" s="44" t="s">
        <v>54</v>
      </c>
      <c r="G79" s="106">
        <v>48746193</v>
      </c>
      <c r="H79" s="2" t="s">
        <v>458</v>
      </c>
      <c r="I79" s="57"/>
      <c r="J79" s="57"/>
      <c r="K79" s="53">
        <v>5280</v>
      </c>
      <c r="L79" s="57"/>
      <c r="M79" s="57"/>
      <c r="N79" s="57"/>
      <c r="O79" s="57"/>
      <c r="P79" s="53">
        <f t="shared" si="1"/>
        <v>5280</v>
      </c>
      <c r="Q79" s="75"/>
      <c r="R79" s="56"/>
      <c r="S79" s="58"/>
      <c r="T79" s="58"/>
      <c r="U79" s="58"/>
      <c r="V79" s="44" t="s">
        <v>47</v>
      </c>
      <c r="W79" s="57"/>
      <c r="X79" s="56">
        <v>46105</v>
      </c>
      <c r="Y79" s="15" t="s">
        <v>63</v>
      </c>
      <c r="Z79" s="44"/>
      <c r="AA79" s="44"/>
      <c r="AB79" s="44" t="s">
        <v>49</v>
      </c>
      <c r="AC79" s="44"/>
      <c r="AD79" s="44" t="s">
        <v>48</v>
      </c>
      <c r="AE79" s="55"/>
      <c r="AF79" s="52"/>
      <c r="AG79" s="52"/>
      <c r="AH79" s="44"/>
      <c r="AI79" s="44"/>
      <c r="AJ79" s="51"/>
      <c r="AK79" s="44"/>
      <c r="AL79" s="52">
        <v>18</v>
      </c>
      <c r="AM79" s="47" t="s">
        <v>50</v>
      </c>
      <c r="AN79" s="44" t="s">
        <v>51</v>
      </c>
      <c r="AO79" s="58"/>
      <c r="AP79" s="57"/>
    </row>
    <row r="80" spans="1:42" s="20" customFormat="1" ht="14.25" customHeight="1" x14ac:dyDescent="0.25">
      <c r="A80" s="118">
        <v>46105</v>
      </c>
      <c r="B80" s="56"/>
      <c r="C80" s="13" t="s">
        <v>52</v>
      </c>
      <c r="D80" s="14" t="s">
        <v>53</v>
      </c>
      <c r="E80" s="98">
        <v>7203</v>
      </c>
      <c r="F80" s="44" t="s">
        <v>54</v>
      </c>
      <c r="G80" s="106">
        <v>48746193</v>
      </c>
      <c r="H80" s="2" t="s">
        <v>458</v>
      </c>
      <c r="I80" s="57"/>
      <c r="J80" s="57"/>
      <c r="K80" s="53">
        <v>0</v>
      </c>
      <c r="L80" s="57"/>
      <c r="M80" s="57"/>
      <c r="N80" s="57"/>
      <c r="O80" s="57"/>
      <c r="P80" s="53">
        <f t="shared" si="1"/>
        <v>0</v>
      </c>
      <c r="Q80" s="75"/>
      <c r="R80" s="56"/>
      <c r="S80" s="58"/>
      <c r="T80" s="58"/>
      <c r="U80" s="58"/>
      <c r="V80" s="44" t="s">
        <v>47</v>
      </c>
      <c r="W80" s="57"/>
      <c r="X80" s="56">
        <v>46105</v>
      </c>
      <c r="Y80" s="15" t="s">
        <v>61</v>
      </c>
      <c r="Z80" s="44"/>
      <c r="AA80" s="44"/>
      <c r="AB80" s="44" t="s">
        <v>49</v>
      </c>
      <c r="AC80" s="44"/>
      <c r="AD80" s="44" t="s">
        <v>48</v>
      </c>
      <c r="AE80" s="55"/>
      <c r="AF80" s="52"/>
      <c r="AG80" s="52"/>
      <c r="AH80" s="44"/>
      <c r="AI80" s="44"/>
      <c r="AJ80" s="51"/>
      <c r="AK80" s="44"/>
      <c r="AL80" s="52">
        <v>18</v>
      </c>
      <c r="AM80" s="47" t="s">
        <v>64</v>
      </c>
      <c r="AN80" s="44" t="s">
        <v>51</v>
      </c>
      <c r="AO80" s="58"/>
      <c r="AP80" s="57"/>
    </row>
    <row r="81" spans="1:42" s="20" customFormat="1" ht="14.25" customHeight="1" x14ac:dyDescent="0.25">
      <c r="A81" s="118">
        <v>46105</v>
      </c>
      <c r="B81" s="43"/>
      <c r="C81" s="13" t="s">
        <v>52</v>
      </c>
      <c r="D81" s="14" t="s">
        <v>53</v>
      </c>
      <c r="E81" s="98">
        <v>7204</v>
      </c>
      <c r="F81" s="44" t="s">
        <v>54</v>
      </c>
      <c r="G81" s="106">
        <v>75529216</v>
      </c>
      <c r="H81" s="2" t="s">
        <v>459</v>
      </c>
      <c r="I81" s="57"/>
      <c r="J81" s="57"/>
      <c r="K81" s="53">
        <v>6180</v>
      </c>
      <c r="L81" s="57"/>
      <c r="M81" s="57"/>
      <c r="N81" s="57"/>
      <c r="O81" s="57"/>
      <c r="P81" s="53">
        <f t="shared" si="1"/>
        <v>6180</v>
      </c>
      <c r="Q81" s="75"/>
      <c r="R81" s="56"/>
      <c r="S81" s="58"/>
      <c r="T81" s="58"/>
      <c r="U81" s="58"/>
      <c r="V81" s="44" t="s">
        <v>47</v>
      </c>
      <c r="W81" s="57"/>
      <c r="X81" s="56">
        <v>46105</v>
      </c>
      <c r="Y81" s="15" t="s">
        <v>63</v>
      </c>
      <c r="Z81" s="26"/>
      <c r="AA81" s="26"/>
      <c r="AB81" s="15" t="s">
        <v>49</v>
      </c>
      <c r="AC81" s="26"/>
      <c r="AD81" s="44" t="s">
        <v>48</v>
      </c>
      <c r="AE81" s="27"/>
      <c r="AF81" s="24"/>
      <c r="AG81" s="24"/>
      <c r="AH81" s="26"/>
      <c r="AI81" s="26"/>
      <c r="AJ81" s="25"/>
      <c r="AK81" s="26"/>
      <c r="AL81" s="17">
        <v>18</v>
      </c>
      <c r="AM81" s="47" t="s">
        <v>50</v>
      </c>
      <c r="AN81" s="44" t="s">
        <v>51</v>
      </c>
      <c r="AO81" s="58"/>
      <c r="AP81" s="57"/>
    </row>
    <row r="82" spans="1:42" s="20" customFormat="1" ht="14.25" customHeight="1" x14ac:dyDescent="0.25">
      <c r="A82" s="118">
        <v>46105</v>
      </c>
      <c r="B82" s="43"/>
      <c r="C82" s="13" t="s">
        <v>52</v>
      </c>
      <c r="D82" s="14" t="s">
        <v>53</v>
      </c>
      <c r="E82" s="98">
        <v>7205</v>
      </c>
      <c r="F82" s="44" t="s">
        <v>54</v>
      </c>
      <c r="G82" s="106">
        <v>75529216</v>
      </c>
      <c r="H82" s="2" t="s">
        <v>459</v>
      </c>
      <c r="I82" s="57"/>
      <c r="J82" s="57"/>
      <c r="K82" s="53">
        <v>0</v>
      </c>
      <c r="L82" s="57"/>
      <c r="M82" s="57"/>
      <c r="N82" s="57"/>
      <c r="O82" s="57"/>
      <c r="P82" s="53">
        <f t="shared" si="1"/>
        <v>0</v>
      </c>
      <c r="Q82" s="75"/>
      <c r="R82" s="56"/>
      <c r="S82" s="58"/>
      <c r="T82" s="58"/>
      <c r="U82" s="58"/>
      <c r="V82" s="44" t="s">
        <v>47</v>
      </c>
      <c r="W82" s="57"/>
      <c r="X82" s="56">
        <v>46105</v>
      </c>
      <c r="Y82" s="15" t="s">
        <v>61</v>
      </c>
      <c r="Z82" s="44"/>
      <c r="AA82" s="44"/>
      <c r="AB82" s="44" t="s">
        <v>49</v>
      </c>
      <c r="AC82" s="44"/>
      <c r="AD82" s="44" t="s">
        <v>48</v>
      </c>
      <c r="AE82" s="55"/>
      <c r="AF82" s="52"/>
      <c r="AG82" s="52"/>
      <c r="AH82" s="44"/>
      <c r="AI82" s="44"/>
      <c r="AJ82" s="51"/>
      <c r="AK82" s="44"/>
      <c r="AL82" s="52">
        <v>18</v>
      </c>
      <c r="AM82" s="47" t="s">
        <v>64</v>
      </c>
      <c r="AN82" s="44" t="s">
        <v>51</v>
      </c>
      <c r="AO82" s="58"/>
      <c r="AP82" s="57"/>
    </row>
    <row r="83" spans="1:42" s="20" customFormat="1" ht="14.25" customHeight="1" x14ac:dyDescent="0.25">
      <c r="A83" s="118">
        <v>46105</v>
      </c>
      <c r="B83" s="43"/>
      <c r="C83" s="13" t="s">
        <v>52</v>
      </c>
      <c r="D83" s="14" t="s">
        <v>53</v>
      </c>
      <c r="E83" s="98">
        <v>7206</v>
      </c>
      <c r="F83" s="44" t="s">
        <v>54</v>
      </c>
      <c r="G83" s="106">
        <v>43605107</v>
      </c>
      <c r="H83" s="2" t="s">
        <v>460</v>
      </c>
      <c r="I83" s="45"/>
      <c r="J83" s="57"/>
      <c r="K83" s="53">
        <v>6900</v>
      </c>
      <c r="L83" s="57"/>
      <c r="M83" s="57"/>
      <c r="N83" s="57"/>
      <c r="O83" s="57"/>
      <c r="P83" s="53">
        <f t="shared" si="1"/>
        <v>6900</v>
      </c>
      <c r="Q83" s="75"/>
      <c r="R83" s="56"/>
      <c r="S83" s="58"/>
      <c r="T83" s="58"/>
      <c r="U83" s="58"/>
      <c r="V83" s="44" t="s">
        <v>47</v>
      </c>
      <c r="W83" s="57"/>
      <c r="X83" s="56">
        <v>46289</v>
      </c>
      <c r="Y83" s="15" t="s">
        <v>63</v>
      </c>
      <c r="Z83" s="44"/>
      <c r="AA83" s="44"/>
      <c r="AB83" s="44" t="s">
        <v>49</v>
      </c>
      <c r="AC83" s="44"/>
      <c r="AD83" s="44" t="s">
        <v>48</v>
      </c>
      <c r="AE83" s="55"/>
      <c r="AF83" s="52"/>
      <c r="AG83" s="52"/>
      <c r="AH83" s="44"/>
      <c r="AI83" s="44"/>
      <c r="AJ83" s="51"/>
      <c r="AK83" s="44"/>
      <c r="AL83" s="52">
        <v>18</v>
      </c>
      <c r="AM83" s="47" t="s">
        <v>50</v>
      </c>
      <c r="AN83" s="44" t="s">
        <v>51</v>
      </c>
      <c r="AO83" s="58"/>
      <c r="AP83" s="57"/>
    </row>
    <row r="84" spans="1:42" s="20" customFormat="1" ht="14.25" customHeight="1" x14ac:dyDescent="0.25">
      <c r="A84" s="118">
        <v>46105</v>
      </c>
      <c r="B84" s="43"/>
      <c r="C84" s="13" t="s">
        <v>52</v>
      </c>
      <c r="D84" s="14" t="s">
        <v>53</v>
      </c>
      <c r="E84" s="98">
        <v>7207</v>
      </c>
      <c r="F84" s="44" t="s">
        <v>54</v>
      </c>
      <c r="G84" s="106">
        <v>43605107</v>
      </c>
      <c r="H84" s="2" t="s">
        <v>460</v>
      </c>
      <c r="I84" s="57"/>
      <c r="J84" s="96"/>
      <c r="K84" s="53">
        <v>0</v>
      </c>
      <c r="L84" s="57"/>
      <c r="M84" s="57"/>
      <c r="N84" s="57"/>
      <c r="O84" s="57"/>
      <c r="P84" s="53">
        <f t="shared" si="1"/>
        <v>0</v>
      </c>
      <c r="Q84" s="75"/>
      <c r="R84" s="56"/>
      <c r="S84" s="58"/>
      <c r="T84" s="58"/>
      <c r="U84" s="58"/>
      <c r="V84" s="44" t="s">
        <v>47</v>
      </c>
      <c r="W84" s="57"/>
      <c r="X84" s="56">
        <v>46105</v>
      </c>
      <c r="Y84" s="15" t="s">
        <v>61</v>
      </c>
      <c r="Z84" s="26"/>
      <c r="AA84" s="26"/>
      <c r="AB84" s="15" t="s">
        <v>49</v>
      </c>
      <c r="AC84" s="26"/>
      <c r="AD84" s="44" t="s">
        <v>48</v>
      </c>
      <c r="AE84" s="27"/>
      <c r="AF84" s="24"/>
      <c r="AG84" s="24"/>
      <c r="AH84" s="26"/>
      <c r="AI84" s="26"/>
      <c r="AJ84" s="25"/>
      <c r="AK84" s="26"/>
      <c r="AL84" s="17">
        <v>18</v>
      </c>
      <c r="AM84" s="47" t="s">
        <v>64</v>
      </c>
      <c r="AN84" s="44" t="s">
        <v>51</v>
      </c>
      <c r="AO84" s="58"/>
      <c r="AP84" s="57"/>
    </row>
    <row r="85" spans="1:42" s="20" customFormat="1" ht="14.25" customHeight="1" x14ac:dyDescent="0.25">
      <c r="A85" s="118">
        <v>46105</v>
      </c>
      <c r="B85" s="43"/>
      <c r="C85" s="13" t="s">
        <v>52</v>
      </c>
      <c r="D85" s="14" t="s">
        <v>53</v>
      </c>
      <c r="E85" s="98">
        <v>7208</v>
      </c>
      <c r="F85" s="44" t="s">
        <v>54</v>
      </c>
      <c r="G85" s="106">
        <v>47431793</v>
      </c>
      <c r="H85" s="2" t="s">
        <v>479</v>
      </c>
      <c r="I85" s="57"/>
      <c r="J85" s="57"/>
      <c r="K85" s="53">
        <v>6700</v>
      </c>
      <c r="L85" s="57"/>
      <c r="M85" s="57"/>
      <c r="N85" s="57"/>
      <c r="O85" s="57"/>
      <c r="P85" s="53">
        <f t="shared" si="1"/>
        <v>6700</v>
      </c>
      <c r="Q85" s="75"/>
      <c r="R85" s="56"/>
      <c r="S85" s="58"/>
      <c r="T85" s="58"/>
      <c r="U85" s="58"/>
      <c r="V85" s="44" t="s">
        <v>47</v>
      </c>
      <c r="W85" s="57"/>
      <c r="X85" s="56">
        <v>46197</v>
      </c>
      <c r="Y85" s="15" t="s">
        <v>63</v>
      </c>
      <c r="Z85" s="44"/>
      <c r="AA85" s="44"/>
      <c r="AB85" s="44" t="s">
        <v>49</v>
      </c>
      <c r="AC85" s="44"/>
      <c r="AD85" s="44" t="s">
        <v>48</v>
      </c>
      <c r="AE85" s="55"/>
      <c r="AF85" s="52"/>
      <c r="AG85" s="52"/>
      <c r="AH85" s="44"/>
      <c r="AI85" s="44"/>
      <c r="AJ85" s="51"/>
      <c r="AK85" s="44"/>
      <c r="AL85" s="52">
        <v>18</v>
      </c>
      <c r="AM85" s="47" t="s">
        <v>50</v>
      </c>
      <c r="AN85" s="44" t="s">
        <v>51</v>
      </c>
      <c r="AO85" s="58"/>
      <c r="AP85" s="57"/>
    </row>
    <row r="86" spans="1:42" s="20" customFormat="1" ht="14.25" customHeight="1" x14ac:dyDescent="0.25">
      <c r="A86" s="118">
        <v>46105</v>
      </c>
      <c r="B86" s="43"/>
      <c r="C86" s="13" t="s">
        <v>52</v>
      </c>
      <c r="D86" s="14" t="s">
        <v>53</v>
      </c>
      <c r="E86" s="98">
        <v>7209</v>
      </c>
      <c r="F86" s="44" t="s">
        <v>54</v>
      </c>
      <c r="G86" s="106">
        <v>47431793</v>
      </c>
      <c r="H86" s="2" t="s">
        <v>479</v>
      </c>
      <c r="I86" s="57"/>
      <c r="J86" s="57"/>
      <c r="K86" s="53">
        <v>0</v>
      </c>
      <c r="L86" s="57"/>
      <c r="M86" s="57"/>
      <c r="N86" s="57"/>
      <c r="O86" s="57"/>
      <c r="P86" s="53">
        <f t="shared" si="1"/>
        <v>0</v>
      </c>
      <c r="Q86" s="75"/>
      <c r="R86" s="56"/>
      <c r="S86" s="58"/>
      <c r="T86" s="58"/>
      <c r="U86" s="58"/>
      <c r="V86" s="44" t="s">
        <v>47</v>
      </c>
      <c r="W86" s="57"/>
      <c r="X86" s="56">
        <v>46105</v>
      </c>
      <c r="Y86" s="15" t="s">
        <v>61</v>
      </c>
      <c r="Z86" s="26"/>
      <c r="AA86" s="26"/>
      <c r="AB86" s="15" t="s">
        <v>49</v>
      </c>
      <c r="AC86" s="26"/>
      <c r="AD86" s="44" t="s">
        <v>48</v>
      </c>
      <c r="AE86" s="27"/>
      <c r="AF86" s="24"/>
      <c r="AG86" s="24"/>
      <c r="AH86" s="26"/>
      <c r="AI86" s="26"/>
      <c r="AJ86" s="25"/>
      <c r="AK86" s="26"/>
      <c r="AL86" s="17">
        <v>18</v>
      </c>
      <c r="AM86" s="47" t="s">
        <v>64</v>
      </c>
      <c r="AN86" s="44" t="s">
        <v>51</v>
      </c>
      <c r="AO86" s="58"/>
      <c r="AP86" s="57"/>
    </row>
    <row r="87" spans="1:42" s="20" customFormat="1" ht="14.25" customHeight="1" x14ac:dyDescent="0.25">
      <c r="A87" s="118">
        <v>46106</v>
      </c>
      <c r="B87" s="43"/>
      <c r="C87" s="13" t="s">
        <v>52</v>
      </c>
      <c r="D87" s="14" t="s">
        <v>53</v>
      </c>
      <c r="E87" s="98">
        <v>7210</v>
      </c>
      <c r="F87" s="44" t="s">
        <v>54</v>
      </c>
      <c r="G87" s="106">
        <v>46100054</v>
      </c>
      <c r="H87" s="2" t="s">
        <v>480</v>
      </c>
      <c r="I87" s="57"/>
      <c r="J87" s="57"/>
      <c r="K87" s="53">
        <v>7480</v>
      </c>
      <c r="L87" s="57"/>
      <c r="M87" s="57"/>
      <c r="N87" s="57"/>
      <c r="O87" s="57"/>
      <c r="P87" s="53">
        <f t="shared" si="1"/>
        <v>7480</v>
      </c>
      <c r="Q87" s="75"/>
      <c r="R87" s="56"/>
      <c r="S87" s="58"/>
      <c r="T87" s="58"/>
      <c r="U87" s="58"/>
      <c r="V87" s="44" t="s">
        <v>47</v>
      </c>
      <c r="W87" s="57"/>
      <c r="X87" s="56">
        <v>46106</v>
      </c>
      <c r="Y87" s="15" t="s">
        <v>63</v>
      </c>
      <c r="Z87" s="44"/>
      <c r="AA87" s="44"/>
      <c r="AB87" s="44" t="s">
        <v>49</v>
      </c>
      <c r="AC87" s="44"/>
      <c r="AD87" s="44" t="s">
        <v>48</v>
      </c>
      <c r="AE87" s="55"/>
      <c r="AF87" s="52"/>
      <c r="AG87" s="52"/>
      <c r="AH87" s="44"/>
      <c r="AI87" s="44"/>
      <c r="AJ87" s="51"/>
      <c r="AK87" s="44"/>
      <c r="AL87" s="52">
        <v>18</v>
      </c>
      <c r="AM87" s="47" t="s">
        <v>50</v>
      </c>
      <c r="AN87" s="44" t="s">
        <v>51</v>
      </c>
      <c r="AO87" s="58"/>
      <c r="AP87" s="57"/>
    </row>
    <row r="88" spans="1:42" s="20" customFormat="1" ht="14.25" customHeight="1" x14ac:dyDescent="0.25">
      <c r="A88" s="118">
        <v>46106</v>
      </c>
      <c r="B88" s="43"/>
      <c r="C88" s="13" t="s">
        <v>52</v>
      </c>
      <c r="D88" s="14" t="s">
        <v>53</v>
      </c>
      <c r="E88" s="98">
        <v>7211</v>
      </c>
      <c r="F88" s="44" t="s">
        <v>54</v>
      </c>
      <c r="G88" s="106">
        <v>77682895</v>
      </c>
      <c r="H88" s="2" t="s">
        <v>461</v>
      </c>
      <c r="I88" s="57"/>
      <c r="J88" s="57"/>
      <c r="K88" s="53">
        <v>8230</v>
      </c>
      <c r="L88" s="57"/>
      <c r="M88" s="57"/>
      <c r="N88" s="57"/>
      <c r="O88" s="57"/>
      <c r="P88" s="53">
        <f t="shared" si="1"/>
        <v>8230</v>
      </c>
      <c r="Q88" s="75"/>
      <c r="R88" s="56"/>
      <c r="S88" s="58"/>
      <c r="T88" s="58"/>
      <c r="U88" s="58"/>
      <c r="V88" s="44" t="s">
        <v>47</v>
      </c>
      <c r="W88" s="57"/>
      <c r="X88" s="56">
        <v>46106</v>
      </c>
      <c r="Y88" s="15" t="s">
        <v>63</v>
      </c>
      <c r="Z88" s="26"/>
      <c r="AA88" s="26"/>
      <c r="AB88" s="15" t="s">
        <v>49</v>
      </c>
      <c r="AC88" s="26"/>
      <c r="AD88" s="44" t="s">
        <v>48</v>
      </c>
      <c r="AE88" s="27"/>
      <c r="AF88" s="24"/>
      <c r="AG88" s="24"/>
      <c r="AH88" s="26"/>
      <c r="AI88" s="26"/>
      <c r="AJ88" s="25"/>
      <c r="AK88" s="26"/>
      <c r="AL88" s="17">
        <v>18</v>
      </c>
      <c r="AM88" s="47" t="s">
        <v>50</v>
      </c>
      <c r="AN88" s="44" t="s">
        <v>51</v>
      </c>
      <c r="AO88" s="58"/>
      <c r="AP88" s="57"/>
    </row>
    <row r="89" spans="1:42" s="20" customFormat="1" ht="14.25" customHeight="1" x14ac:dyDescent="0.25">
      <c r="A89" s="118">
        <v>46106</v>
      </c>
      <c r="B89" s="43"/>
      <c r="C89" s="13" t="s">
        <v>52</v>
      </c>
      <c r="D89" s="14" t="s">
        <v>53</v>
      </c>
      <c r="E89" s="98">
        <v>7212</v>
      </c>
      <c r="F89" s="44" t="s">
        <v>54</v>
      </c>
      <c r="G89" s="106">
        <v>73183264</v>
      </c>
      <c r="H89" s="2" t="s">
        <v>462</v>
      </c>
      <c r="I89" s="57"/>
      <c r="J89" s="57"/>
      <c r="K89" s="53">
        <v>13380</v>
      </c>
      <c r="L89" s="57"/>
      <c r="M89" s="57"/>
      <c r="N89" s="57"/>
      <c r="O89" s="57"/>
      <c r="P89" s="53">
        <f t="shared" si="1"/>
        <v>13380</v>
      </c>
      <c r="Q89" s="75"/>
      <c r="R89" s="56"/>
      <c r="S89" s="58"/>
      <c r="T89" s="58"/>
      <c r="U89" s="58"/>
      <c r="V89" s="44" t="s">
        <v>47</v>
      </c>
      <c r="W89" s="57"/>
      <c r="X89" s="56">
        <v>46106</v>
      </c>
      <c r="Y89" s="15" t="s">
        <v>63</v>
      </c>
      <c r="Z89" s="44"/>
      <c r="AA89" s="44"/>
      <c r="AB89" s="44" t="s">
        <v>49</v>
      </c>
      <c r="AC89" s="44"/>
      <c r="AD89" s="44" t="s">
        <v>48</v>
      </c>
      <c r="AE89" s="55"/>
      <c r="AF89" s="52"/>
      <c r="AG89" s="52"/>
      <c r="AH89" s="44"/>
      <c r="AI89" s="44"/>
      <c r="AJ89" s="51"/>
      <c r="AK89" s="44"/>
      <c r="AL89" s="52">
        <v>18</v>
      </c>
      <c r="AM89" s="47" t="s">
        <v>50</v>
      </c>
      <c r="AN89" s="44" t="s">
        <v>51</v>
      </c>
      <c r="AO89" s="58"/>
      <c r="AP89" s="57"/>
    </row>
    <row r="90" spans="1:42" s="20" customFormat="1" ht="14.25" customHeight="1" x14ac:dyDescent="0.25">
      <c r="A90" s="118">
        <v>46106</v>
      </c>
      <c r="B90" s="43"/>
      <c r="C90" s="21" t="s">
        <v>52</v>
      </c>
      <c r="D90" s="14" t="s">
        <v>53</v>
      </c>
      <c r="E90" s="98">
        <v>7213</v>
      </c>
      <c r="F90" s="46" t="s">
        <v>54</v>
      </c>
      <c r="G90" s="106">
        <v>60103662</v>
      </c>
      <c r="H90" s="2" t="s">
        <v>463</v>
      </c>
      <c r="I90" s="45"/>
      <c r="J90" s="45"/>
      <c r="K90" s="53">
        <v>11230</v>
      </c>
      <c r="L90" s="45"/>
      <c r="M90" s="45"/>
      <c r="N90" s="45"/>
      <c r="O90" s="45"/>
      <c r="P90" s="53">
        <f t="shared" si="1"/>
        <v>11230</v>
      </c>
      <c r="Q90" s="75"/>
      <c r="R90" s="56"/>
      <c r="S90" s="58"/>
      <c r="T90" s="58"/>
      <c r="U90" s="58"/>
      <c r="V90" s="44" t="s">
        <v>47</v>
      </c>
      <c r="W90" s="57"/>
      <c r="X90" s="56">
        <v>46106</v>
      </c>
      <c r="Y90" s="15" t="s">
        <v>63</v>
      </c>
      <c r="Z90" s="26"/>
      <c r="AA90" s="26"/>
      <c r="AB90" s="15" t="s">
        <v>49</v>
      </c>
      <c r="AC90" s="26"/>
      <c r="AD90" s="44" t="s">
        <v>48</v>
      </c>
      <c r="AE90" s="27"/>
      <c r="AF90" s="24"/>
      <c r="AG90" s="24"/>
      <c r="AH90" s="26"/>
      <c r="AI90" s="26"/>
      <c r="AJ90" s="25"/>
      <c r="AK90" s="26"/>
      <c r="AL90" s="17">
        <v>18</v>
      </c>
      <c r="AM90" s="47" t="s">
        <v>50</v>
      </c>
      <c r="AN90" s="44" t="s">
        <v>51</v>
      </c>
      <c r="AO90" s="58"/>
      <c r="AP90" s="57"/>
    </row>
    <row r="91" spans="1:42" s="20" customFormat="1" ht="14.25" customHeight="1" x14ac:dyDescent="0.25">
      <c r="A91" s="118">
        <v>46107</v>
      </c>
      <c r="B91" s="43"/>
      <c r="C91" s="21" t="s">
        <v>52</v>
      </c>
      <c r="D91" s="14" t="s">
        <v>53</v>
      </c>
      <c r="E91" s="98">
        <v>7214</v>
      </c>
      <c r="F91" s="44" t="s">
        <v>54</v>
      </c>
      <c r="G91" s="106">
        <v>77348638</v>
      </c>
      <c r="H91" s="2" t="s">
        <v>464</v>
      </c>
      <c r="I91" s="45"/>
      <c r="J91" s="45"/>
      <c r="K91" s="53">
        <v>8270</v>
      </c>
      <c r="L91" s="45"/>
      <c r="M91" s="45"/>
      <c r="N91" s="45"/>
      <c r="O91" s="45"/>
      <c r="P91" s="53">
        <f t="shared" si="1"/>
        <v>8270</v>
      </c>
      <c r="Q91" s="75"/>
      <c r="R91" s="56"/>
      <c r="S91" s="58"/>
      <c r="T91" s="58"/>
      <c r="U91" s="58"/>
      <c r="V91" s="44" t="s">
        <v>47</v>
      </c>
      <c r="W91" s="57"/>
      <c r="X91" s="56">
        <v>46107</v>
      </c>
      <c r="Y91" s="15" t="s">
        <v>63</v>
      </c>
      <c r="Z91" s="44"/>
      <c r="AA91" s="44"/>
      <c r="AB91" s="44" t="s">
        <v>49</v>
      </c>
      <c r="AC91" s="44"/>
      <c r="AD91" s="44" t="s">
        <v>48</v>
      </c>
      <c r="AE91" s="55"/>
      <c r="AF91" s="52"/>
      <c r="AG91" s="52"/>
      <c r="AH91" s="44"/>
      <c r="AI91" s="44"/>
      <c r="AJ91" s="51"/>
      <c r="AK91" s="44"/>
      <c r="AL91" s="52">
        <v>18</v>
      </c>
      <c r="AM91" s="47" t="s">
        <v>50</v>
      </c>
      <c r="AN91" s="44" t="s">
        <v>51</v>
      </c>
      <c r="AO91" s="58"/>
      <c r="AP91" s="57"/>
    </row>
    <row r="92" spans="1:42" s="20" customFormat="1" ht="14.25" customHeight="1" x14ac:dyDescent="0.25">
      <c r="A92" s="118">
        <v>46107</v>
      </c>
      <c r="B92" s="43"/>
      <c r="C92" s="21" t="s">
        <v>52</v>
      </c>
      <c r="D92" s="14" t="s">
        <v>53</v>
      </c>
      <c r="E92" s="98">
        <v>7215</v>
      </c>
      <c r="F92" s="46" t="s">
        <v>54</v>
      </c>
      <c r="G92" s="106">
        <v>74221426</v>
      </c>
      <c r="H92" s="2" t="s">
        <v>465</v>
      </c>
      <c r="I92" s="45"/>
      <c r="J92" s="45"/>
      <c r="K92" s="53">
        <v>5280</v>
      </c>
      <c r="L92" s="45"/>
      <c r="M92" s="45"/>
      <c r="N92" s="45"/>
      <c r="O92" s="45"/>
      <c r="P92" s="53">
        <f t="shared" si="1"/>
        <v>5280</v>
      </c>
      <c r="Q92" s="75"/>
      <c r="R92" s="56"/>
      <c r="S92" s="58"/>
      <c r="T92" s="58"/>
      <c r="U92" s="58"/>
      <c r="V92" s="44" t="s">
        <v>47</v>
      </c>
      <c r="W92" s="57"/>
      <c r="X92" s="56">
        <v>46107</v>
      </c>
      <c r="Y92" s="15" t="s">
        <v>63</v>
      </c>
      <c r="Z92" s="26"/>
      <c r="AA92" s="26"/>
      <c r="AB92" s="15" t="s">
        <v>49</v>
      </c>
      <c r="AC92" s="26"/>
      <c r="AD92" s="44" t="s">
        <v>48</v>
      </c>
      <c r="AE92" s="27"/>
      <c r="AF92" s="24"/>
      <c r="AG92" s="24"/>
      <c r="AH92" s="26"/>
      <c r="AI92" s="26"/>
      <c r="AJ92" s="25"/>
      <c r="AK92" s="26"/>
      <c r="AL92" s="17">
        <v>18</v>
      </c>
      <c r="AM92" s="47" t="s">
        <v>50</v>
      </c>
      <c r="AN92" s="44" t="s">
        <v>51</v>
      </c>
      <c r="AO92" s="58"/>
      <c r="AP92" s="57"/>
    </row>
    <row r="93" spans="1:42" s="20" customFormat="1" ht="14.25" customHeight="1" x14ac:dyDescent="0.25">
      <c r="A93" s="118">
        <v>46107</v>
      </c>
      <c r="B93" s="97"/>
      <c r="C93" s="21" t="s">
        <v>52</v>
      </c>
      <c r="D93" s="14" t="s">
        <v>53</v>
      </c>
      <c r="E93" s="98">
        <v>7216</v>
      </c>
      <c r="F93" s="44" t="s">
        <v>54</v>
      </c>
      <c r="G93" s="106">
        <v>74221426</v>
      </c>
      <c r="H93" s="2" t="s">
        <v>465</v>
      </c>
      <c r="I93" s="45"/>
      <c r="J93" s="45"/>
      <c r="K93" s="53">
        <v>0</v>
      </c>
      <c r="L93" s="45"/>
      <c r="M93" s="45"/>
      <c r="N93" s="45"/>
      <c r="O93" s="45"/>
      <c r="P93" s="53">
        <f t="shared" si="1"/>
        <v>0</v>
      </c>
      <c r="Q93" s="75"/>
      <c r="R93" s="56"/>
      <c r="S93" s="58"/>
      <c r="T93" s="58"/>
      <c r="U93" s="58"/>
      <c r="V93" s="44" t="s">
        <v>47</v>
      </c>
      <c r="W93" s="57"/>
      <c r="X93" s="56">
        <v>46107</v>
      </c>
      <c r="Y93" s="15" t="s">
        <v>61</v>
      </c>
      <c r="Z93" s="44"/>
      <c r="AA93" s="44"/>
      <c r="AB93" s="44" t="s">
        <v>49</v>
      </c>
      <c r="AC93" s="44"/>
      <c r="AD93" s="44" t="s">
        <v>48</v>
      </c>
      <c r="AE93" s="55"/>
      <c r="AF93" s="52"/>
      <c r="AG93" s="52"/>
      <c r="AH93" s="44"/>
      <c r="AI93" s="44"/>
      <c r="AJ93" s="51"/>
      <c r="AK93" s="44"/>
      <c r="AL93" s="52">
        <v>18</v>
      </c>
      <c r="AM93" s="47" t="s">
        <v>64</v>
      </c>
      <c r="AN93" s="44" t="s">
        <v>51</v>
      </c>
      <c r="AO93" s="58"/>
      <c r="AP93" s="57"/>
    </row>
    <row r="94" spans="1:42" s="20" customFormat="1" ht="14.25" customHeight="1" x14ac:dyDescent="0.25">
      <c r="A94" s="118">
        <v>46107</v>
      </c>
      <c r="B94" s="43"/>
      <c r="C94" s="21" t="s">
        <v>52</v>
      </c>
      <c r="D94" s="14" t="s">
        <v>53</v>
      </c>
      <c r="E94" s="98">
        <v>7217</v>
      </c>
      <c r="F94" s="46" t="s">
        <v>54</v>
      </c>
      <c r="G94" s="106">
        <v>46058195</v>
      </c>
      <c r="H94" s="2" t="s">
        <v>466</v>
      </c>
      <c r="I94" s="45"/>
      <c r="J94" s="45"/>
      <c r="K94" s="53">
        <v>8180</v>
      </c>
      <c r="L94" s="45"/>
      <c r="M94" s="45"/>
      <c r="N94" s="45"/>
      <c r="O94" s="45"/>
      <c r="P94" s="53">
        <f t="shared" si="1"/>
        <v>8180</v>
      </c>
      <c r="Q94" s="75"/>
      <c r="R94" s="56"/>
      <c r="S94" s="58"/>
      <c r="T94" s="58"/>
      <c r="U94" s="58"/>
      <c r="V94" s="44" t="s">
        <v>47</v>
      </c>
      <c r="W94" s="57"/>
      <c r="X94" s="56">
        <v>46107</v>
      </c>
      <c r="Y94" s="15" t="s">
        <v>63</v>
      </c>
      <c r="Z94" s="26"/>
      <c r="AA94" s="26"/>
      <c r="AB94" s="15" t="s">
        <v>49</v>
      </c>
      <c r="AC94" s="26"/>
      <c r="AD94" s="44" t="s">
        <v>48</v>
      </c>
      <c r="AE94" s="27"/>
      <c r="AF94" s="24"/>
      <c r="AG94" s="24"/>
      <c r="AH94" s="26"/>
      <c r="AI94" s="26"/>
      <c r="AJ94" s="25"/>
      <c r="AK94" s="26"/>
      <c r="AL94" s="17">
        <v>18</v>
      </c>
      <c r="AM94" s="47" t="s">
        <v>50</v>
      </c>
      <c r="AN94" s="44" t="s">
        <v>51</v>
      </c>
      <c r="AO94" s="58"/>
      <c r="AP94" s="57"/>
    </row>
    <row r="95" spans="1:42" s="20" customFormat="1" ht="14.25" customHeight="1" x14ac:dyDescent="0.25">
      <c r="A95" s="118">
        <v>46107</v>
      </c>
      <c r="B95" s="43"/>
      <c r="C95" s="21" t="s">
        <v>52</v>
      </c>
      <c r="D95" s="14" t="s">
        <v>53</v>
      </c>
      <c r="E95" s="98">
        <v>7218</v>
      </c>
      <c r="F95" s="46" t="s">
        <v>54</v>
      </c>
      <c r="G95" s="106">
        <v>47512882</v>
      </c>
      <c r="H95" s="2" t="s">
        <v>467</v>
      </c>
      <c r="I95" s="45"/>
      <c r="J95" s="45"/>
      <c r="K95" s="53">
        <v>7830</v>
      </c>
      <c r="L95" s="45"/>
      <c r="M95" s="45"/>
      <c r="N95" s="45"/>
      <c r="O95" s="45"/>
      <c r="P95" s="53">
        <f t="shared" si="1"/>
        <v>7830</v>
      </c>
      <c r="Q95" s="75"/>
      <c r="R95" s="56"/>
      <c r="S95" s="58"/>
      <c r="T95" s="58"/>
      <c r="U95" s="58"/>
      <c r="V95" s="44" t="s">
        <v>47</v>
      </c>
      <c r="W95" s="57"/>
      <c r="X95" s="56">
        <v>46107</v>
      </c>
      <c r="Y95" s="15" t="s">
        <v>63</v>
      </c>
      <c r="Z95" s="44"/>
      <c r="AA95" s="44"/>
      <c r="AB95" s="44" t="s">
        <v>49</v>
      </c>
      <c r="AC95" s="44"/>
      <c r="AD95" s="44" t="s">
        <v>48</v>
      </c>
      <c r="AE95" s="55"/>
      <c r="AF95" s="52"/>
      <c r="AG95" s="52"/>
      <c r="AH95" s="44"/>
      <c r="AI95" s="44"/>
      <c r="AJ95" s="51"/>
      <c r="AK95" s="44"/>
      <c r="AL95" s="52">
        <v>18</v>
      </c>
      <c r="AM95" s="47" t="s">
        <v>50</v>
      </c>
      <c r="AN95" s="44" t="s">
        <v>51</v>
      </c>
      <c r="AO95" s="58"/>
      <c r="AP95" s="57"/>
    </row>
    <row r="96" spans="1:42" s="20" customFormat="1" ht="14.25" customHeight="1" x14ac:dyDescent="0.25">
      <c r="A96" s="118">
        <v>46107</v>
      </c>
      <c r="B96" s="43"/>
      <c r="C96" s="21" t="s">
        <v>52</v>
      </c>
      <c r="D96" s="14" t="s">
        <v>53</v>
      </c>
      <c r="E96" s="98">
        <v>7219</v>
      </c>
      <c r="F96" s="44" t="s">
        <v>54</v>
      </c>
      <c r="G96" s="106">
        <v>47512882</v>
      </c>
      <c r="H96" s="2" t="s">
        <v>467</v>
      </c>
      <c r="I96" s="45"/>
      <c r="J96" s="45"/>
      <c r="K96" s="53">
        <v>7830</v>
      </c>
      <c r="L96" s="45"/>
      <c r="M96" s="45"/>
      <c r="N96" s="45"/>
      <c r="O96" s="45"/>
      <c r="P96" s="53">
        <f t="shared" si="1"/>
        <v>7830</v>
      </c>
      <c r="Q96" s="75"/>
      <c r="R96" s="56"/>
      <c r="S96" s="58"/>
      <c r="T96" s="58"/>
      <c r="U96" s="58"/>
      <c r="V96" s="44" t="s">
        <v>47</v>
      </c>
      <c r="W96" s="57"/>
      <c r="X96" s="56">
        <v>46107</v>
      </c>
      <c r="Y96" s="15" t="s">
        <v>63</v>
      </c>
      <c r="Z96" s="26"/>
      <c r="AA96" s="26"/>
      <c r="AB96" s="15" t="s">
        <v>49</v>
      </c>
      <c r="AC96" s="26"/>
      <c r="AD96" s="44" t="s">
        <v>48</v>
      </c>
      <c r="AE96" s="27"/>
      <c r="AF96" s="24"/>
      <c r="AG96" s="24"/>
      <c r="AH96" s="26"/>
      <c r="AI96" s="26"/>
      <c r="AJ96" s="25"/>
      <c r="AK96" s="26"/>
      <c r="AL96" s="17">
        <v>18</v>
      </c>
      <c r="AM96" s="47" t="s">
        <v>50</v>
      </c>
      <c r="AN96" s="44" t="s">
        <v>51</v>
      </c>
      <c r="AO96" s="58"/>
      <c r="AP96" s="57"/>
    </row>
    <row r="97" spans="1:42" s="20" customFormat="1" ht="14.25" customHeight="1" x14ac:dyDescent="0.25">
      <c r="A97" s="118">
        <v>46107</v>
      </c>
      <c r="B97" s="43"/>
      <c r="C97" s="21" t="s">
        <v>52</v>
      </c>
      <c r="D97" s="14" t="s">
        <v>53</v>
      </c>
      <c r="E97" s="98">
        <v>7220</v>
      </c>
      <c r="F97" s="46" t="s">
        <v>54</v>
      </c>
      <c r="G97" s="106">
        <v>71312963</v>
      </c>
      <c r="H97" s="2" t="s">
        <v>424</v>
      </c>
      <c r="I97" s="45"/>
      <c r="J97" s="45"/>
      <c r="K97" s="53">
        <v>8030</v>
      </c>
      <c r="L97" s="45"/>
      <c r="M97" s="45"/>
      <c r="N97" s="45"/>
      <c r="O97" s="45"/>
      <c r="P97" s="53">
        <f t="shared" si="1"/>
        <v>8030</v>
      </c>
      <c r="Q97" s="75"/>
      <c r="R97" s="56"/>
      <c r="S97" s="58"/>
      <c r="T97" s="58"/>
      <c r="U97" s="58"/>
      <c r="V97" s="44" t="s">
        <v>47</v>
      </c>
      <c r="W97" s="57"/>
      <c r="X97" s="56">
        <v>46107</v>
      </c>
      <c r="Y97" s="15" t="s">
        <v>63</v>
      </c>
      <c r="Z97" s="26"/>
      <c r="AA97" s="26"/>
      <c r="AB97" s="15" t="s">
        <v>49</v>
      </c>
      <c r="AC97" s="26"/>
      <c r="AD97" s="44" t="s">
        <v>48</v>
      </c>
      <c r="AE97" s="27"/>
      <c r="AF97" s="24"/>
      <c r="AG97" s="24"/>
      <c r="AH97" s="26"/>
      <c r="AI97" s="26"/>
      <c r="AJ97" s="25"/>
      <c r="AK97" s="26"/>
      <c r="AL97" s="17">
        <v>18</v>
      </c>
      <c r="AM97" s="47" t="s">
        <v>50</v>
      </c>
      <c r="AN97" s="44" t="s">
        <v>51</v>
      </c>
      <c r="AO97" s="58"/>
      <c r="AP97" s="57"/>
    </row>
    <row r="98" spans="1:42" s="20" customFormat="1" ht="14.25" customHeight="1" x14ac:dyDescent="0.25">
      <c r="A98" s="118">
        <v>46107</v>
      </c>
      <c r="B98" s="97"/>
      <c r="C98" s="21" t="s">
        <v>52</v>
      </c>
      <c r="D98" s="14" t="s">
        <v>53</v>
      </c>
      <c r="E98" s="98">
        <v>7221</v>
      </c>
      <c r="F98" s="44" t="s">
        <v>54</v>
      </c>
      <c r="G98" s="106">
        <v>73357573</v>
      </c>
      <c r="H98" s="2" t="s">
        <v>468</v>
      </c>
      <c r="I98" s="45"/>
      <c r="J98" s="45"/>
      <c r="K98" s="53">
        <v>13080</v>
      </c>
      <c r="L98" s="45"/>
      <c r="M98" s="45"/>
      <c r="N98" s="45"/>
      <c r="O98" s="45"/>
      <c r="P98" s="53">
        <f t="shared" si="1"/>
        <v>13080</v>
      </c>
      <c r="Q98" s="75"/>
      <c r="R98" s="56"/>
      <c r="S98" s="58"/>
      <c r="T98" s="58"/>
      <c r="U98" s="58"/>
      <c r="V98" s="44" t="s">
        <v>47</v>
      </c>
      <c r="W98" s="57"/>
      <c r="X98" s="56">
        <v>46107</v>
      </c>
      <c r="Y98" s="15" t="s">
        <v>63</v>
      </c>
      <c r="Z98" s="44"/>
      <c r="AA98" s="44"/>
      <c r="AB98" s="44" t="s">
        <v>49</v>
      </c>
      <c r="AC98" s="44"/>
      <c r="AD98" s="44" t="s">
        <v>48</v>
      </c>
      <c r="AE98" s="55"/>
      <c r="AF98" s="52"/>
      <c r="AG98" s="52"/>
      <c r="AH98" s="44"/>
      <c r="AI98" s="44"/>
      <c r="AJ98" s="51"/>
      <c r="AK98" s="44"/>
      <c r="AL98" s="52">
        <v>18</v>
      </c>
      <c r="AM98" s="47" t="s">
        <v>50</v>
      </c>
      <c r="AN98" s="44" t="s">
        <v>51</v>
      </c>
      <c r="AO98" s="58"/>
      <c r="AP98" s="57"/>
    </row>
    <row r="99" spans="1:42" s="20" customFormat="1" ht="15" customHeight="1" x14ac:dyDescent="0.25">
      <c r="A99" s="118">
        <v>46107</v>
      </c>
      <c r="B99" s="43"/>
      <c r="C99" s="21" t="s">
        <v>52</v>
      </c>
      <c r="D99" s="14" t="s">
        <v>53</v>
      </c>
      <c r="E99" s="98">
        <v>7222</v>
      </c>
      <c r="F99" s="46" t="s">
        <v>54</v>
      </c>
      <c r="G99" s="106">
        <v>73357573</v>
      </c>
      <c r="H99" s="2" t="s">
        <v>468</v>
      </c>
      <c r="I99" s="45"/>
      <c r="J99" s="45"/>
      <c r="K99" s="53">
        <v>0</v>
      </c>
      <c r="L99" s="45"/>
      <c r="M99" s="45"/>
      <c r="N99" s="45"/>
      <c r="O99" s="54"/>
      <c r="P99" s="53">
        <f t="shared" si="1"/>
        <v>0</v>
      </c>
      <c r="Q99" s="76"/>
      <c r="R99" s="58"/>
      <c r="S99" s="58"/>
      <c r="T99" s="44"/>
      <c r="U99" s="57"/>
      <c r="V99" s="44" t="s">
        <v>47</v>
      </c>
      <c r="W99" s="58"/>
      <c r="X99" s="56">
        <v>46107</v>
      </c>
      <c r="Y99" s="15" t="s">
        <v>61</v>
      </c>
      <c r="Z99" s="26"/>
      <c r="AA99" s="26"/>
      <c r="AB99" s="15" t="s">
        <v>49</v>
      </c>
      <c r="AC99" s="26"/>
      <c r="AD99" s="44" t="s">
        <v>48</v>
      </c>
      <c r="AE99" s="27"/>
      <c r="AF99" s="24"/>
      <c r="AG99" s="24"/>
      <c r="AH99" s="26"/>
      <c r="AI99" s="26"/>
      <c r="AJ99" s="25"/>
      <c r="AK99" s="26"/>
      <c r="AL99" s="17">
        <v>18</v>
      </c>
      <c r="AM99" s="47" t="s">
        <v>64</v>
      </c>
      <c r="AN99" s="44" t="s">
        <v>51</v>
      </c>
      <c r="AO99" s="85"/>
      <c r="AP99" s="85"/>
    </row>
    <row r="100" spans="1:42" s="20" customFormat="1" ht="14.25" customHeight="1" x14ac:dyDescent="0.25">
      <c r="A100" s="118">
        <v>46108</v>
      </c>
      <c r="B100" s="97"/>
      <c r="C100" s="21" t="s">
        <v>52</v>
      </c>
      <c r="D100" s="14" t="s">
        <v>53</v>
      </c>
      <c r="E100" s="98">
        <v>7223</v>
      </c>
      <c r="F100" s="44" t="s">
        <v>54</v>
      </c>
      <c r="G100" s="106">
        <v>44464620</v>
      </c>
      <c r="H100" s="2" t="s">
        <v>469</v>
      </c>
      <c r="I100" s="45"/>
      <c r="J100" s="45"/>
      <c r="K100" s="53">
        <v>7860</v>
      </c>
      <c r="L100" s="45"/>
      <c r="M100" s="45"/>
      <c r="N100" s="45"/>
      <c r="O100" s="54"/>
      <c r="P100" s="53">
        <f t="shared" si="1"/>
        <v>7860</v>
      </c>
      <c r="Q100" s="76"/>
      <c r="R100" s="58"/>
      <c r="S100" s="58"/>
      <c r="T100" s="44"/>
      <c r="U100" s="57"/>
      <c r="V100" s="44" t="s">
        <v>47</v>
      </c>
      <c r="W100" s="58"/>
      <c r="X100" s="56">
        <v>46108</v>
      </c>
      <c r="Y100" s="15" t="s">
        <v>63</v>
      </c>
      <c r="Z100" s="44"/>
      <c r="AA100" s="44"/>
      <c r="AB100" s="44" t="s">
        <v>49</v>
      </c>
      <c r="AC100" s="44"/>
      <c r="AD100" s="44" t="s">
        <v>48</v>
      </c>
      <c r="AE100" s="55"/>
      <c r="AF100" s="52"/>
      <c r="AG100" s="52"/>
      <c r="AH100" s="44"/>
      <c r="AI100" s="44"/>
      <c r="AJ100" s="51"/>
      <c r="AK100" s="44"/>
      <c r="AL100" s="52">
        <v>18</v>
      </c>
      <c r="AM100" s="47" t="s">
        <v>50</v>
      </c>
      <c r="AN100" s="44" t="s">
        <v>51</v>
      </c>
      <c r="AO100" s="85"/>
      <c r="AP100" s="85"/>
    </row>
    <row r="101" spans="1:42" s="20" customFormat="1" ht="14.25" customHeight="1" x14ac:dyDescent="0.25">
      <c r="A101" s="118">
        <v>46108</v>
      </c>
      <c r="B101" s="43"/>
      <c r="C101" s="21" t="s">
        <v>52</v>
      </c>
      <c r="D101" s="14" t="s">
        <v>53</v>
      </c>
      <c r="E101" s="98">
        <v>7224</v>
      </c>
      <c r="F101" s="46" t="s">
        <v>54</v>
      </c>
      <c r="G101" s="106">
        <v>74554597</v>
      </c>
      <c r="H101" s="2" t="s">
        <v>470</v>
      </c>
      <c r="I101" s="45"/>
      <c r="J101" s="45"/>
      <c r="K101" s="53">
        <v>6130</v>
      </c>
      <c r="L101" s="45"/>
      <c r="M101" s="45"/>
      <c r="N101" s="45"/>
      <c r="O101" s="54"/>
      <c r="P101" s="53">
        <f t="shared" si="1"/>
        <v>6130</v>
      </c>
      <c r="Q101" s="76"/>
      <c r="R101" s="58"/>
      <c r="S101" s="58"/>
      <c r="T101" s="44"/>
      <c r="U101" s="57"/>
      <c r="V101" s="44" t="s">
        <v>47</v>
      </c>
      <c r="W101" s="58"/>
      <c r="X101" s="56">
        <v>46108</v>
      </c>
      <c r="Y101" s="15" t="s">
        <v>63</v>
      </c>
      <c r="Z101" s="44"/>
      <c r="AA101" s="44"/>
      <c r="AB101" s="44" t="s">
        <v>49</v>
      </c>
      <c r="AC101" s="44"/>
      <c r="AD101" s="44" t="s">
        <v>48</v>
      </c>
      <c r="AE101" s="55"/>
      <c r="AF101" s="52"/>
      <c r="AG101" s="52"/>
      <c r="AH101" s="44"/>
      <c r="AI101" s="44"/>
      <c r="AJ101" s="51"/>
      <c r="AK101" s="44"/>
      <c r="AL101" s="52">
        <v>18</v>
      </c>
      <c r="AM101" s="47" t="s">
        <v>50</v>
      </c>
      <c r="AN101" s="44" t="s">
        <v>51</v>
      </c>
      <c r="AO101" s="85"/>
      <c r="AP101" s="85"/>
    </row>
    <row r="102" spans="1:42" s="20" customFormat="1" ht="14.25" customHeight="1" x14ac:dyDescent="0.25">
      <c r="A102" s="118">
        <v>46108</v>
      </c>
      <c r="B102" s="43"/>
      <c r="C102" s="21" t="s">
        <v>52</v>
      </c>
      <c r="D102" s="14" t="s">
        <v>53</v>
      </c>
      <c r="E102" s="98">
        <v>7225</v>
      </c>
      <c r="F102" s="44" t="s">
        <v>54</v>
      </c>
      <c r="G102" s="106">
        <v>74554597</v>
      </c>
      <c r="H102" s="2" t="s">
        <v>470</v>
      </c>
      <c r="I102" s="45"/>
      <c r="J102" s="45"/>
      <c r="K102" s="53">
        <v>0</v>
      </c>
      <c r="L102" s="45"/>
      <c r="M102" s="45"/>
      <c r="N102" s="45"/>
      <c r="O102" s="54"/>
      <c r="P102" s="53">
        <f t="shared" si="1"/>
        <v>0</v>
      </c>
      <c r="Q102" s="76"/>
      <c r="R102" s="58"/>
      <c r="S102" s="58"/>
      <c r="T102" s="44"/>
      <c r="U102" s="57"/>
      <c r="V102" s="44" t="s">
        <v>47</v>
      </c>
      <c r="W102" s="58"/>
      <c r="X102" s="56">
        <v>46108</v>
      </c>
      <c r="Y102" s="15" t="s">
        <v>61</v>
      </c>
      <c r="Z102" s="44"/>
      <c r="AA102" s="44"/>
      <c r="AB102" s="44" t="s">
        <v>49</v>
      </c>
      <c r="AC102" s="44"/>
      <c r="AD102" s="44" t="s">
        <v>48</v>
      </c>
      <c r="AE102" s="55"/>
      <c r="AF102" s="52"/>
      <c r="AG102" s="52"/>
      <c r="AH102" s="44"/>
      <c r="AI102" s="44"/>
      <c r="AJ102" s="51"/>
      <c r="AK102" s="44"/>
      <c r="AL102" s="52">
        <v>18</v>
      </c>
      <c r="AM102" s="47" t="s">
        <v>64</v>
      </c>
      <c r="AN102" s="44" t="s">
        <v>51</v>
      </c>
      <c r="AO102" s="85"/>
      <c r="AP102" s="85"/>
    </row>
    <row r="103" spans="1:42" s="20" customFormat="1" ht="14.25" customHeight="1" x14ac:dyDescent="0.25">
      <c r="A103" s="118">
        <v>46109</v>
      </c>
      <c r="B103" s="43"/>
      <c r="C103" s="21" t="s">
        <v>52</v>
      </c>
      <c r="D103" s="14" t="s">
        <v>53</v>
      </c>
      <c r="E103" s="98">
        <v>7226</v>
      </c>
      <c r="F103" s="46" t="s">
        <v>46</v>
      </c>
      <c r="G103" s="107" t="s">
        <v>417</v>
      </c>
      <c r="H103" s="2" t="s">
        <v>471</v>
      </c>
      <c r="I103" s="45"/>
      <c r="J103" s="45"/>
      <c r="K103" s="53">
        <v>8380</v>
      </c>
      <c r="L103" s="45"/>
      <c r="M103" s="45"/>
      <c r="N103" s="45"/>
      <c r="O103" s="54"/>
      <c r="P103" s="53">
        <f t="shared" si="1"/>
        <v>8380</v>
      </c>
      <c r="Q103" s="76"/>
      <c r="R103" s="58"/>
      <c r="S103" s="58"/>
      <c r="T103" s="44"/>
      <c r="U103" s="57"/>
      <c r="V103" s="44" t="s">
        <v>47</v>
      </c>
      <c r="W103" s="58"/>
      <c r="X103" s="56">
        <v>46140</v>
      </c>
      <c r="Y103" s="15" t="s">
        <v>63</v>
      </c>
      <c r="Z103" s="44"/>
      <c r="AA103" s="44"/>
      <c r="AB103" s="44" t="s">
        <v>49</v>
      </c>
      <c r="AC103" s="44"/>
      <c r="AD103" s="44" t="s">
        <v>48</v>
      </c>
      <c r="AE103" s="55"/>
      <c r="AF103" s="52"/>
      <c r="AG103" s="52"/>
      <c r="AH103" s="44"/>
      <c r="AI103" s="44"/>
      <c r="AJ103" s="51"/>
      <c r="AK103" s="44"/>
      <c r="AL103" s="52">
        <v>18</v>
      </c>
      <c r="AM103" s="47" t="s">
        <v>50</v>
      </c>
      <c r="AN103" s="44" t="s">
        <v>51</v>
      </c>
      <c r="AO103" s="85"/>
      <c r="AP103" s="85"/>
    </row>
    <row r="104" spans="1:42" s="20" customFormat="1" ht="14.25" customHeight="1" x14ac:dyDescent="0.25">
      <c r="A104" s="118">
        <v>46109</v>
      </c>
      <c r="B104" s="43"/>
      <c r="C104" s="21" t="s">
        <v>52</v>
      </c>
      <c r="D104" s="14" t="s">
        <v>53</v>
      </c>
      <c r="E104" s="98">
        <v>7227</v>
      </c>
      <c r="F104" s="46" t="s">
        <v>54</v>
      </c>
      <c r="G104" s="106">
        <v>73011414</v>
      </c>
      <c r="H104" s="2" t="s">
        <v>472</v>
      </c>
      <c r="I104" s="45"/>
      <c r="J104" s="45"/>
      <c r="K104" s="53">
        <v>5380</v>
      </c>
      <c r="L104" s="45"/>
      <c r="M104" s="45"/>
      <c r="N104" s="45"/>
      <c r="O104" s="45"/>
      <c r="P104" s="53">
        <f t="shared" si="1"/>
        <v>5380</v>
      </c>
      <c r="Q104" s="75"/>
      <c r="R104" s="56"/>
      <c r="S104" s="58"/>
      <c r="T104" s="58"/>
      <c r="U104" s="58"/>
      <c r="V104" s="44" t="s">
        <v>47</v>
      </c>
      <c r="W104" s="57"/>
      <c r="X104" s="56">
        <v>46109</v>
      </c>
      <c r="Y104" s="15" t="s">
        <v>63</v>
      </c>
      <c r="Z104" s="44"/>
      <c r="AA104" s="44"/>
      <c r="AB104" s="44" t="s">
        <v>49</v>
      </c>
      <c r="AC104" s="44"/>
      <c r="AD104" s="44" t="s">
        <v>48</v>
      </c>
      <c r="AE104" s="55"/>
      <c r="AF104" s="52"/>
      <c r="AG104" s="52"/>
      <c r="AH104" s="44"/>
      <c r="AI104" s="44"/>
      <c r="AJ104" s="51"/>
      <c r="AK104" s="44"/>
      <c r="AL104" s="52">
        <v>18</v>
      </c>
      <c r="AM104" s="47" t="s">
        <v>50</v>
      </c>
      <c r="AN104" s="44" t="s">
        <v>51</v>
      </c>
      <c r="AO104" s="58"/>
      <c r="AP104" s="57"/>
    </row>
    <row r="105" spans="1:42" s="20" customFormat="1" ht="14.25" customHeight="1" x14ac:dyDescent="0.25">
      <c r="A105" s="118">
        <v>46109</v>
      </c>
      <c r="B105" s="43"/>
      <c r="C105" s="21" t="s">
        <v>52</v>
      </c>
      <c r="D105" s="14" t="s">
        <v>53</v>
      </c>
      <c r="E105" s="98">
        <v>7228</v>
      </c>
      <c r="F105" s="44" t="s">
        <v>54</v>
      </c>
      <c r="G105" s="106">
        <v>73011414</v>
      </c>
      <c r="H105" s="2" t="s">
        <v>472</v>
      </c>
      <c r="I105" s="45"/>
      <c r="J105" s="45"/>
      <c r="K105" s="53">
        <v>0</v>
      </c>
      <c r="L105" s="45"/>
      <c r="M105" s="45"/>
      <c r="N105" s="45"/>
      <c r="O105" s="45"/>
      <c r="P105" s="53">
        <f t="shared" si="1"/>
        <v>0</v>
      </c>
      <c r="Q105" s="75"/>
      <c r="R105" s="56"/>
      <c r="S105" s="58"/>
      <c r="T105" s="58"/>
      <c r="U105" s="58"/>
      <c r="V105" s="44" t="s">
        <v>47</v>
      </c>
      <c r="W105" s="57"/>
      <c r="X105" s="56">
        <v>46109</v>
      </c>
      <c r="Y105" s="15" t="s">
        <v>61</v>
      </c>
      <c r="Z105" s="44"/>
      <c r="AA105" s="44"/>
      <c r="AB105" s="44" t="s">
        <v>49</v>
      </c>
      <c r="AC105" s="44"/>
      <c r="AD105" s="44" t="s">
        <v>48</v>
      </c>
      <c r="AE105" s="55"/>
      <c r="AF105" s="52"/>
      <c r="AG105" s="52"/>
      <c r="AH105" s="44"/>
      <c r="AI105" s="44"/>
      <c r="AJ105" s="51"/>
      <c r="AK105" s="44"/>
      <c r="AL105" s="52">
        <v>18</v>
      </c>
      <c r="AM105" s="47" t="s">
        <v>64</v>
      </c>
      <c r="AN105" s="44" t="s">
        <v>51</v>
      </c>
      <c r="AO105" s="58"/>
      <c r="AP105" s="57"/>
    </row>
    <row r="106" spans="1:42" s="20" customFormat="1" ht="15" customHeight="1" x14ac:dyDescent="0.25">
      <c r="A106" s="118">
        <v>46109</v>
      </c>
      <c r="B106" s="43"/>
      <c r="C106" s="21" t="s">
        <v>52</v>
      </c>
      <c r="D106" s="14" t="s">
        <v>53</v>
      </c>
      <c r="E106" s="98">
        <v>7229</v>
      </c>
      <c r="F106" s="46" t="s">
        <v>54</v>
      </c>
      <c r="G106" s="106">
        <v>73531751</v>
      </c>
      <c r="H106" s="2" t="s">
        <v>481</v>
      </c>
      <c r="I106" s="45"/>
      <c r="J106" s="45"/>
      <c r="K106" s="53">
        <v>5330</v>
      </c>
      <c r="L106" s="45"/>
      <c r="M106" s="45"/>
      <c r="N106" s="45"/>
      <c r="O106" s="54"/>
      <c r="P106" s="53">
        <f t="shared" si="1"/>
        <v>5330</v>
      </c>
      <c r="Q106" s="76"/>
      <c r="R106" s="58"/>
      <c r="S106" s="58"/>
      <c r="T106" s="44"/>
      <c r="U106" s="57"/>
      <c r="V106" s="44" t="s">
        <v>47</v>
      </c>
      <c r="W106" s="58"/>
      <c r="X106" s="56">
        <v>46109</v>
      </c>
      <c r="Y106" s="15" t="s">
        <v>63</v>
      </c>
      <c r="Z106" s="44"/>
      <c r="AA106" s="44"/>
      <c r="AB106" s="44" t="s">
        <v>49</v>
      </c>
      <c r="AC106" s="44"/>
      <c r="AD106" s="44" t="s">
        <v>48</v>
      </c>
      <c r="AE106" s="55"/>
      <c r="AF106" s="52"/>
      <c r="AG106" s="52"/>
      <c r="AH106" s="44"/>
      <c r="AI106" s="44"/>
      <c r="AJ106" s="51"/>
      <c r="AK106" s="44"/>
      <c r="AL106" s="52">
        <v>18</v>
      </c>
      <c r="AM106" s="47" t="s">
        <v>50</v>
      </c>
      <c r="AN106" s="44" t="s">
        <v>51</v>
      </c>
      <c r="AO106" s="85"/>
      <c r="AP106" s="85"/>
    </row>
    <row r="107" spans="1:42" s="20" customFormat="1" ht="14.25" customHeight="1" x14ac:dyDescent="0.25">
      <c r="A107" s="118">
        <v>46109</v>
      </c>
      <c r="B107" s="43"/>
      <c r="C107" s="21" t="s">
        <v>52</v>
      </c>
      <c r="D107" s="14" t="s">
        <v>53</v>
      </c>
      <c r="E107" s="98">
        <v>7230</v>
      </c>
      <c r="F107" s="44" t="s">
        <v>54</v>
      </c>
      <c r="G107" s="106">
        <v>73531751</v>
      </c>
      <c r="H107" s="2" t="s">
        <v>481</v>
      </c>
      <c r="I107" s="45"/>
      <c r="J107" s="45"/>
      <c r="K107" s="53">
        <v>0</v>
      </c>
      <c r="L107" s="45"/>
      <c r="M107" s="45"/>
      <c r="N107" s="45"/>
      <c r="O107" s="54"/>
      <c r="P107" s="53">
        <f t="shared" si="1"/>
        <v>0</v>
      </c>
      <c r="Q107" s="76"/>
      <c r="R107" s="58"/>
      <c r="S107" s="58"/>
      <c r="T107" s="44"/>
      <c r="U107" s="57"/>
      <c r="V107" s="44" t="s">
        <v>47</v>
      </c>
      <c r="W107" s="58"/>
      <c r="X107" s="56">
        <v>46109</v>
      </c>
      <c r="Y107" s="15" t="s">
        <v>61</v>
      </c>
      <c r="Z107" s="44"/>
      <c r="AA107" s="44"/>
      <c r="AB107" s="44" t="s">
        <v>49</v>
      </c>
      <c r="AC107" s="44"/>
      <c r="AD107" s="44" t="s">
        <v>48</v>
      </c>
      <c r="AE107" s="55"/>
      <c r="AF107" s="52"/>
      <c r="AG107" s="52"/>
      <c r="AH107" s="44"/>
      <c r="AI107" s="44"/>
      <c r="AJ107" s="51"/>
      <c r="AK107" s="44"/>
      <c r="AL107" s="52">
        <v>18</v>
      </c>
      <c r="AM107" s="47" t="s">
        <v>64</v>
      </c>
      <c r="AN107" s="44" t="s">
        <v>51</v>
      </c>
      <c r="AO107" s="85"/>
      <c r="AP107" s="85"/>
    </row>
    <row r="108" spans="1:42" s="20" customFormat="1" ht="14.25" customHeight="1" x14ac:dyDescent="0.25">
      <c r="A108" s="118">
        <v>46111</v>
      </c>
      <c r="B108" s="43"/>
      <c r="C108" s="21" t="s">
        <v>52</v>
      </c>
      <c r="D108" s="14" t="s">
        <v>53</v>
      </c>
      <c r="E108" s="98">
        <v>7231</v>
      </c>
      <c r="F108" s="46" t="s">
        <v>54</v>
      </c>
      <c r="G108" s="106">
        <v>41725982</v>
      </c>
      <c r="H108" s="2" t="s">
        <v>473</v>
      </c>
      <c r="I108" s="45"/>
      <c r="J108" s="45"/>
      <c r="K108" s="53">
        <v>6180</v>
      </c>
      <c r="L108" s="45"/>
      <c r="M108" s="45"/>
      <c r="N108" s="45"/>
      <c r="O108" s="54"/>
      <c r="P108" s="53">
        <f t="shared" si="1"/>
        <v>6180</v>
      </c>
      <c r="Q108" s="76"/>
      <c r="R108" s="58"/>
      <c r="S108" s="58"/>
      <c r="T108" s="44"/>
      <c r="U108" s="57"/>
      <c r="V108" s="44" t="s">
        <v>47</v>
      </c>
      <c r="W108" s="58"/>
      <c r="X108" s="56">
        <v>46111</v>
      </c>
      <c r="Y108" s="15" t="s">
        <v>63</v>
      </c>
      <c r="Z108" s="44"/>
      <c r="AA108" s="44"/>
      <c r="AB108" s="44" t="s">
        <v>49</v>
      </c>
      <c r="AC108" s="44"/>
      <c r="AD108" s="44" t="s">
        <v>48</v>
      </c>
      <c r="AE108" s="55"/>
      <c r="AF108" s="52"/>
      <c r="AG108" s="52"/>
      <c r="AH108" s="44"/>
      <c r="AI108" s="44"/>
      <c r="AJ108" s="51"/>
      <c r="AK108" s="44"/>
      <c r="AL108" s="52">
        <v>18</v>
      </c>
      <c r="AM108" s="47" t="s">
        <v>50</v>
      </c>
      <c r="AN108" s="44" t="s">
        <v>51</v>
      </c>
      <c r="AO108" s="85"/>
      <c r="AP108" s="85"/>
    </row>
    <row r="109" spans="1:42" s="20" customFormat="1" ht="14.25" customHeight="1" x14ac:dyDescent="0.25">
      <c r="A109" s="118">
        <v>46111</v>
      </c>
      <c r="B109" s="43"/>
      <c r="C109" s="21" t="s">
        <v>52</v>
      </c>
      <c r="D109" s="14" t="s">
        <v>53</v>
      </c>
      <c r="E109" s="98">
        <v>7232</v>
      </c>
      <c r="F109" s="44" t="s">
        <v>54</v>
      </c>
      <c r="G109" s="106">
        <v>41725982</v>
      </c>
      <c r="H109" s="2" t="s">
        <v>473</v>
      </c>
      <c r="I109" s="45"/>
      <c r="J109" s="45"/>
      <c r="K109" s="53">
        <v>0</v>
      </c>
      <c r="L109" s="45"/>
      <c r="M109" s="45"/>
      <c r="N109" s="45"/>
      <c r="O109" s="54"/>
      <c r="P109" s="53">
        <f t="shared" si="1"/>
        <v>0</v>
      </c>
      <c r="Q109" s="76"/>
      <c r="R109" s="58"/>
      <c r="S109" s="58"/>
      <c r="T109" s="44"/>
      <c r="U109" s="57"/>
      <c r="V109" s="44" t="s">
        <v>47</v>
      </c>
      <c r="W109" s="58"/>
      <c r="X109" s="56">
        <v>46111</v>
      </c>
      <c r="Y109" s="15" t="s">
        <v>61</v>
      </c>
      <c r="Z109" s="44"/>
      <c r="AA109" s="44"/>
      <c r="AB109" s="44" t="s">
        <v>49</v>
      </c>
      <c r="AC109" s="44"/>
      <c r="AD109" s="44" t="s">
        <v>48</v>
      </c>
      <c r="AE109" s="55"/>
      <c r="AF109" s="52"/>
      <c r="AG109" s="52"/>
      <c r="AH109" s="44"/>
      <c r="AI109" s="44"/>
      <c r="AJ109" s="51"/>
      <c r="AK109" s="44"/>
      <c r="AL109" s="52">
        <v>18</v>
      </c>
      <c r="AM109" s="47" t="s">
        <v>64</v>
      </c>
      <c r="AN109" s="44" t="s">
        <v>51</v>
      </c>
      <c r="AO109" s="85"/>
      <c r="AP109" s="85"/>
    </row>
    <row r="110" spans="1:42" s="20" customFormat="1" ht="14.25" customHeight="1" x14ac:dyDescent="0.25">
      <c r="A110" s="118">
        <v>46111</v>
      </c>
      <c r="B110" s="43"/>
      <c r="C110" s="21" t="s">
        <v>52</v>
      </c>
      <c r="D110" s="14" t="s">
        <v>53</v>
      </c>
      <c r="E110" s="98">
        <v>7233</v>
      </c>
      <c r="F110" s="46" t="s">
        <v>54</v>
      </c>
      <c r="G110" s="106">
        <v>48124768</v>
      </c>
      <c r="H110" s="2" t="s">
        <v>337</v>
      </c>
      <c r="I110" s="45"/>
      <c r="J110" s="45"/>
      <c r="K110" s="53">
        <v>6180</v>
      </c>
      <c r="L110" s="45"/>
      <c r="M110" s="45"/>
      <c r="N110" s="45"/>
      <c r="O110" s="54"/>
      <c r="P110" s="53">
        <f t="shared" si="1"/>
        <v>6180</v>
      </c>
      <c r="Q110" s="76"/>
      <c r="R110" s="58"/>
      <c r="S110" s="58"/>
      <c r="T110" s="44"/>
      <c r="U110" s="57"/>
      <c r="V110" s="44" t="s">
        <v>47</v>
      </c>
      <c r="W110" s="58"/>
      <c r="X110" s="56">
        <v>46111</v>
      </c>
      <c r="Y110" s="15" t="s">
        <v>63</v>
      </c>
      <c r="Z110" s="44"/>
      <c r="AA110" s="44"/>
      <c r="AB110" s="44" t="s">
        <v>49</v>
      </c>
      <c r="AC110" s="44"/>
      <c r="AD110" s="44" t="s">
        <v>48</v>
      </c>
      <c r="AE110" s="55"/>
      <c r="AF110" s="52"/>
      <c r="AG110" s="52"/>
      <c r="AH110" s="44"/>
      <c r="AI110" s="44"/>
      <c r="AJ110" s="51"/>
      <c r="AK110" s="44"/>
      <c r="AL110" s="52">
        <v>18</v>
      </c>
      <c r="AM110" s="47" t="s">
        <v>50</v>
      </c>
      <c r="AN110" s="44" t="s">
        <v>51</v>
      </c>
      <c r="AO110" s="85"/>
      <c r="AP110" s="85"/>
    </row>
    <row r="111" spans="1:42" s="20" customFormat="1" ht="14.25" customHeight="1" x14ac:dyDescent="0.25">
      <c r="A111" s="118">
        <v>46111</v>
      </c>
      <c r="B111" s="43"/>
      <c r="C111" s="21" t="s">
        <v>52</v>
      </c>
      <c r="D111" s="14" t="s">
        <v>53</v>
      </c>
      <c r="E111" s="98">
        <v>7234</v>
      </c>
      <c r="F111" s="44" t="s">
        <v>54</v>
      </c>
      <c r="G111" s="106">
        <v>48124768</v>
      </c>
      <c r="H111" s="2" t="s">
        <v>337</v>
      </c>
      <c r="I111" s="45"/>
      <c r="J111" s="45"/>
      <c r="K111" s="53">
        <v>0</v>
      </c>
      <c r="L111" s="45"/>
      <c r="M111" s="45"/>
      <c r="N111" s="45"/>
      <c r="O111" s="54"/>
      <c r="P111" s="53">
        <f t="shared" si="1"/>
        <v>0</v>
      </c>
      <c r="Q111" s="76"/>
      <c r="R111" s="58"/>
      <c r="S111" s="58"/>
      <c r="T111" s="44"/>
      <c r="U111" s="57"/>
      <c r="V111" s="44" t="s">
        <v>47</v>
      </c>
      <c r="W111" s="58"/>
      <c r="X111" s="56">
        <v>46111</v>
      </c>
      <c r="Y111" s="15" t="s">
        <v>61</v>
      </c>
      <c r="Z111" s="26"/>
      <c r="AA111" s="26"/>
      <c r="AB111" s="15" t="s">
        <v>49</v>
      </c>
      <c r="AC111" s="26"/>
      <c r="AD111" s="44" t="s">
        <v>48</v>
      </c>
      <c r="AE111" s="27"/>
      <c r="AF111" s="24"/>
      <c r="AG111" s="24"/>
      <c r="AH111" s="26"/>
      <c r="AI111" s="26"/>
      <c r="AJ111" s="25"/>
      <c r="AK111" s="26"/>
      <c r="AL111" s="17">
        <v>18</v>
      </c>
      <c r="AM111" s="47" t="s">
        <v>64</v>
      </c>
      <c r="AN111" s="44" t="s">
        <v>51</v>
      </c>
      <c r="AO111" s="85"/>
      <c r="AP111" s="85"/>
    </row>
    <row r="112" spans="1:42" s="37" customFormat="1" ht="15.75" customHeight="1" x14ac:dyDescent="0.25">
      <c r="A112" s="40"/>
      <c r="B112" s="40"/>
      <c r="C112" s="40"/>
      <c r="D112" s="40"/>
      <c r="E112" s="40"/>
      <c r="F112" s="40"/>
      <c r="G112" s="40"/>
      <c r="H112" s="40"/>
      <c r="I112" s="40"/>
      <c r="J112" s="40"/>
      <c r="K112" s="40"/>
      <c r="L112" s="40"/>
      <c r="M112" s="40"/>
      <c r="N112" s="40"/>
      <c r="O112" s="40"/>
      <c r="P112" s="40"/>
      <c r="Q112" s="77"/>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row>
    <row r="113" spans="1:42" s="28" customFormat="1" ht="15" customHeight="1" x14ac:dyDescent="0.25">
      <c r="A113" s="43">
        <v>46084</v>
      </c>
      <c r="B113" s="18"/>
      <c r="C113" s="22" t="s">
        <v>45</v>
      </c>
      <c r="D113" s="23" t="s">
        <v>55</v>
      </c>
      <c r="E113" s="98">
        <v>855</v>
      </c>
      <c r="F113" s="15" t="s">
        <v>46</v>
      </c>
      <c r="G113" s="23" t="s">
        <v>482</v>
      </c>
      <c r="H113" s="71" t="s">
        <v>483</v>
      </c>
      <c r="I113" s="17"/>
      <c r="J113" s="17"/>
      <c r="K113" s="53">
        <v>6180</v>
      </c>
      <c r="L113" s="24"/>
      <c r="M113" s="24"/>
      <c r="N113" s="24"/>
      <c r="O113" s="24"/>
      <c r="P113" s="16">
        <f t="shared" ref="P113:P119" si="2">K113</f>
        <v>6180</v>
      </c>
      <c r="Q113" s="78"/>
      <c r="R113" s="25"/>
      <c r="S113" s="26"/>
      <c r="T113" s="26"/>
      <c r="U113" s="26"/>
      <c r="V113" s="15" t="s">
        <v>47</v>
      </c>
      <c r="W113" s="24"/>
      <c r="X113" s="25">
        <v>46084</v>
      </c>
      <c r="Y113" s="15" t="s">
        <v>63</v>
      </c>
      <c r="Z113" s="26"/>
      <c r="AA113" s="26"/>
      <c r="AB113" s="15" t="s">
        <v>49</v>
      </c>
      <c r="AC113" s="26"/>
      <c r="AD113" s="44" t="s">
        <v>48</v>
      </c>
      <c r="AE113" s="27"/>
      <c r="AF113" s="24"/>
      <c r="AG113" s="24"/>
      <c r="AH113" s="26"/>
      <c r="AI113" s="26"/>
      <c r="AJ113" s="25"/>
      <c r="AK113" s="26"/>
      <c r="AL113" s="17">
        <v>18</v>
      </c>
      <c r="AM113" s="19" t="s">
        <v>50</v>
      </c>
      <c r="AN113" s="15" t="s">
        <v>51</v>
      </c>
      <c r="AO113" s="26"/>
      <c r="AP113" s="24"/>
    </row>
    <row r="114" spans="1:42" s="28" customFormat="1" ht="15" customHeight="1" x14ac:dyDescent="0.25">
      <c r="A114" s="43">
        <v>46084</v>
      </c>
      <c r="B114" s="18"/>
      <c r="C114" s="22" t="s">
        <v>45</v>
      </c>
      <c r="D114" s="23" t="s">
        <v>55</v>
      </c>
      <c r="E114" s="98">
        <v>856</v>
      </c>
      <c r="F114" s="15" t="s">
        <v>46</v>
      </c>
      <c r="G114" s="23" t="s">
        <v>482</v>
      </c>
      <c r="H114" s="71" t="s">
        <v>483</v>
      </c>
      <c r="I114" s="17"/>
      <c r="J114" s="17"/>
      <c r="K114" s="53">
        <v>0</v>
      </c>
      <c r="L114" s="24"/>
      <c r="M114" s="24"/>
      <c r="N114" s="24"/>
      <c r="O114" s="24"/>
      <c r="P114" s="16">
        <f t="shared" ref="P114:P116" si="3">K114</f>
        <v>0</v>
      </c>
      <c r="Q114" s="78"/>
      <c r="R114" s="25"/>
      <c r="S114" s="26"/>
      <c r="T114" s="26"/>
      <c r="U114" s="26"/>
      <c r="V114" s="15" t="s">
        <v>47</v>
      </c>
      <c r="W114" s="24"/>
      <c r="X114" s="25">
        <v>46084</v>
      </c>
      <c r="Y114" s="15" t="s">
        <v>61</v>
      </c>
      <c r="Z114" s="26"/>
      <c r="AA114" s="26"/>
      <c r="AB114" s="15" t="s">
        <v>49</v>
      </c>
      <c r="AC114" s="26"/>
      <c r="AD114" s="44" t="s">
        <v>48</v>
      </c>
      <c r="AE114" s="27"/>
      <c r="AF114" s="24"/>
      <c r="AG114" s="24"/>
      <c r="AH114" s="26"/>
      <c r="AI114" s="26"/>
      <c r="AJ114" s="25"/>
      <c r="AK114" s="26"/>
      <c r="AL114" s="17">
        <v>18</v>
      </c>
      <c r="AM114" s="47" t="s">
        <v>64</v>
      </c>
      <c r="AN114" s="15" t="s">
        <v>51</v>
      </c>
      <c r="AO114" s="26"/>
      <c r="AP114" s="24"/>
    </row>
    <row r="115" spans="1:42" s="28" customFormat="1" ht="15" customHeight="1" x14ac:dyDescent="0.25">
      <c r="A115" s="43">
        <v>46087</v>
      </c>
      <c r="B115" s="18"/>
      <c r="C115" s="22" t="s">
        <v>45</v>
      </c>
      <c r="D115" s="23" t="s">
        <v>55</v>
      </c>
      <c r="E115" s="98">
        <v>857</v>
      </c>
      <c r="F115" s="15" t="s">
        <v>46</v>
      </c>
      <c r="G115" s="23" t="s">
        <v>484</v>
      </c>
      <c r="H115" s="71" t="s">
        <v>485</v>
      </c>
      <c r="I115" s="17"/>
      <c r="J115" s="17"/>
      <c r="K115" s="53">
        <v>5380</v>
      </c>
      <c r="L115" s="24"/>
      <c r="M115" s="24"/>
      <c r="N115" s="24"/>
      <c r="O115" s="24"/>
      <c r="P115" s="16">
        <f t="shared" si="3"/>
        <v>5380</v>
      </c>
      <c r="Q115" s="78"/>
      <c r="R115" s="25"/>
      <c r="S115" s="26"/>
      <c r="T115" s="26"/>
      <c r="U115" s="26"/>
      <c r="V115" s="15" t="s">
        <v>47</v>
      </c>
      <c r="W115" s="24"/>
      <c r="X115" s="25">
        <v>46087</v>
      </c>
      <c r="Y115" s="15" t="s">
        <v>63</v>
      </c>
      <c r="Z115" s="26"/>
      <c r="AA115" s="26"/>
      <c r="AB115" s="15" t="s">
        <v>49</v>
      </c>
      <c r="AC115" s="26"/>
      <c r="AD115" s="44" t="s">
        <v>48</v>
      </c>
      <c r="AE115" s="27"/>
      <c r="AF115" s="24"/>
      <c r="AG115" s="24"/>
      <c r="AH115" s="26"/>
      <c r="AI115" s="26"/>
      <c r="AJ115" s="25"/>
      <c r="AK115" s="26"/>
      <c r="AL115" s="17">
        <v>18</v>
      </c>
      <c r="AM115" s="19" t="s">
        <v>50</v>
      </c>
      <c r="AN115" s="15" t="s">
        <v>51</v>
      </c>
      <c r="AO115" s="26"/>
      <c r="AP115" s="24"/>
    </row>
    <row r="116" spans="1:42" s="28" customFormat="1" ht="15" customHeight="1" x14ac:dyDescent="0.25">
      <c r="A116" s="43">
        <v>46087</v>
      </c>
      <c r="B116" s="18"/>
      <c r="C116" s="22" t="s">
        <v>45</v>
      </c>
      <c r="D116" s="23" t="s">
        <v>55</v>
      </c>
      <c r="E116" s="98">
        <v>858</v>
      </c>
      <c r="F116" s="15" t="s">
        <v>46</v>
      </c>
      <c r="G116" s="23" t="s">
        <v>484</v>
      </c>
      <c r="H116" s="71" t="s">
        <v>485</v>
      </c>
      <c r="I116" s="17"/>
      <c r="J116" s="17"/>
      <c r="K116" s="53">
        <v>0</v>
      </c>
      <c r="L116" s="24"/>
      <c r="M116" s="24"/>
      <c r="N116" s="24"/>
      <c r="O116" s="24"/>
      <c r="P116" s="16">
        <f t="shared" si="3"/>
        <v>0</v>
      </c>
      <c r="Q116" s="78"/>
      <c r="R116" s="25"/>
      <c r="S116" s="26"/>
      <c r="T116" s="26"/>
      <c r="U116" s="26"/>
      <c r="V116" s="15" t="s">
        <v>47</v>
      </c>
      <c r="W116" s="24"/>
      <c r="X116" s="25">
        <v>46087</v>
      </c>
      <c r="Y116" s="15" t="s">
        <v>61</v>
      </c>
      <c r="Z116" s="26"/>
      <c r="AA116" s="26"/>
      <c r="AB116" s="15" t="s">
        <v>49</v>
      </c>
      <c r="AC116" s="26"/>
      <c r="AD116" s="44" t="s">
        <v>48</v>
      </c>
      <c r="AE116" s="27"/>
      <c r="AF116" s="24"/>
      <c r="AG116" s="24"/>
      <c r="AH116" s="26"/>
      <c r="AI116" s="26"/>
      <c r="AJ116" s="25"/>
      <c r="AK116" s="26"/>
      <c r="AL116" s="17">
        <v>18</v>
      </c>
      <c r="AM116" s="47" t="s">
        <v>64</v>
      </c>
      <c r="AN116" s="15" t="s">
        <v>51</v>
      </c>
      <c r="AO116" s="26"/>
      <c r="AP116" s="24"/>
    </row>
    <row r="117" spans="1:42" s="28" customFormat="1" ht="15" customHeight="1" x14ac:dyDescent="0.25">
      <c r="A117" s="43">
        <v>46105</v>
      </c>
      <c r="B117" s="18"/>
      <c r="C117" s="22" t="s">
        <v>45</v>
      </c>
      <c r="D117" s="23" t="s">
        <v>55</v>
      </c>
      <c r="E117" s="98">
        <v>859</v>
      </c>
      <c r="F117" s="15" t="s">
        <v>46</v>
      </c>
      <c r="G117" s="23" t="s">
        <v>486</v>
      </c>
      <c r="H117" s="71" t="s">
        <v>487</v>
      </c>
      <c r="I117" s="17"/>
      <c r="J117" s="17"/>
      <c r="K117" s="53">
        <v>6500</v>
      </c>
      <c r="L117" s="24"/>
      <c r="M117" s="24"/>
      <c r="N117" s="24"/>
      <c r="O117" s="24"/>
      <c r="P117" s="16">
        <f t="shared" si="2"/>
        <v>6500</v>
      </c>
      <c r="Q117" s="78"/>
      <c r="R117" s="25"/>
      <c r="S117" s="26"/>
      <c r="T117" s="26"/>
      <c r="U117" s="26"/>
      <c r="V117" s="15" t="s">
        <v>47</v>
      </c>
      <c r="W117" s="24"/>
      <c r="X117" s="25">
        <v>46105</v>
      </c>
      <c r="Y117" s="15" t="s">
        <v>63</v>
      </c>
      <c r="Z117" s="26"/>
      <c r="AA117" s="26"/>
      <c r="AB117" s="15" t="s">
        <v>49</v>
      </c>
      <c r="AC117" s="26"/>
      <c r="AD117" s="44" t="s">
        <v>48</v>
      </c>
      <c r="AE117" s="27"/>
      <c r="AF117" s="24"/>
      <c r="AG117" s="24"/>
      <c r="AH117" s="26"/>
      <c r="AI117" s="26"/>
      <c r="AJ117" s="25"/>
      <c r="AK117" s="26"/>
      <c r="AL117" s="17">
        <v>18</v>
      </c>
      <c r="AM117" s="19" t="s">
        <v>50</v>
      </c>
      <c r="AN117" s="15" t="s">
        <v>51</v>
      </c>
      <c r="AO117" s="26"/>
      <c r="AP117" s="24"/>
    </row>
    <row r="118" spans="1:42" s="28" customFormat="1" ht="15" customHeight="1" x14ac:dyDescent="0.25">
      <c r="A118" s="43">
        <v>46111</v>
      </c>
      <c r="B118" s="18"/>
      <c r="C118" s="22" t="s">
        <v>45</v>
      </c>
      <c r="D118" s="23" t="s">
        <v>55</v>
      </c>
      <c r="E118" s="98">
        <v>860</v>
      </c>
      <c r="F118" s="15" t="s">
        <v>46</v>
      </c>
      <c r="G118" s="23" t="s">
        <v>488</v>
      </c>
      <c r="H118" s="71" t="s">
        <v>489</v>
      </c>
      <c r="I118" s="17"/>
      <c r="J118" s="17"/>
      <c r="K118" s="53">
        <v>4230</v>
      </c>
      <c r="L118" s="24"/>
      <c r="M118" s="24"/>
      <c r="N118" s="24"/>
      <c r="O118" s="24"/>
      <c r="P118" s="16">
        <f t="shared" si="2"/>
        <v>4230</v>
      </c>
      <c r="Q118" s="78"/>
      <c r="R118" s="25"/>
      <c r="S118" s="26"/>
      <c r="T118" s="26"/>
      <c r="U118" s="26"/>
      <c r="V118" s="15" t="s">
        <v>47</v>
      </c>
      <c r="W118" s="24"/>
      <c r="X118" s="25">
        <v>46111</v>
      </c>
      <c r="Y118" s="15" t="s">
        <v>63</v>
      </c>
      <c r="Z118" s="26"/>
      <c r="AA118" s="26"/>
      <c r="AB118" s="15" t="s">
        <v>49</v>
      </c>
      <c r="AC118" s="26"/>
      <c r="AD118" s="44" t="s">
        <v>48</v>
      </c>
      <c r="AE118" s="27"/>
      <c r="AF118" s="24"/>
      <c r="AG118" s="24"/>
      <c r="AH118" s="26"/>
      <c r="AI118" s="26"/>
      <c r="AJ118" s="25"/>
      <c r="AK118" s="26"/>
      <c r="AL118" s="17">
        <v>18</v>
      </c>
      <c r="AM118" s="19" t="s">
        <v>50</v>
      </c>
      <c r="AN118" s="15" t="s">
        <v>51</v>
      </c>
      <c r="AO118" s="26"/>
      <c r="AP118" s="24"/>
    </row>
    <row r="119" spans="1:42" s="28" customFormat="1" ht="15" customHeight="1" x14ac:dyDescent="0.25">
      <c r="A119" s="43">
        <v>46111</v>
      </c>
      <c r="B119" s="18"/>
      <c r="C119" s="22" t="s">
        <v>45</v>
      </c>
      <c r="D119" s="23" t="s">
        <v>55</v>
      </c>
      <c r="E119" s="98">
        <v>861</v>
      </c>
      <c r="F119" s="15" t="s">
        <v>46</v>
      </c>
      <c r="G119" s="23" t="s">
        <v>488</v>
      </c>
      <c r="H119" s="71" t="s">
        <v>489</v>
      </c>
      <c r="I119" s="17"/>
      <c r="J119" s="17"/>
      <c r="K119" s="53">
        <v>0</v>
      </c>
      <c r="L119" s="24"/>
      <c r="M119" s="24"/>
      <c r="N119" s="24"/>
      <c r="O119" s="24"/>
      <c r="P119" s="16">
        <f t="shared" si="2"/>
        <v>0</v>
      </c>
      <c r="Q119" s="78"/>
      <c r="R119" s="25"/>
      <c r="S119" s="26"/>
      <c r="T119" s="26"/>
      <c r="U119" s="26"/>
      <c r="V119" s="15" t="s">
        <v>47</v>
      </c>
      <c r="W119" s="24"/>
      <c r="X119" s="25">
        <v>46111</v>
      </c>
      <c r="Y119" s="15" t="s">
        <v>61</v>
      </c>
      <c r="Z119" s="26"/>
      <c r="AA119" s="26"/>
      <c r="AB119" s="15" t="s">
        <v>49</v>
      </c>
      <c r="AC119" s="26"/>
      <c r="AD119" s="44" t="s">
        <v>48</v>
      </c>
      <c r="AE119" s="27"/>
      <c r="AF119" s="24"/>
      <c r="AG119" s="24"/>
      <c r="AH119" s="26"/>
      <c r="AI119" s="26"/>
      <c r="AJ119" s="25"/>
      <c r="AK119" s="26"/>
      <c r="AL119" s="17">
        <v>18</v>
      </c>
      <c r="AM119" s="47" t="s">
        <v>64</v>
      </c>
      <c r="AN119" s="15" t="s">
        <v>51</v>
      </c>
      <c r="AO119" s="26"/>
      <c r="AP119" s="24"/>
    </row>
    <row r="120" spans="1:42" s="74" customFormat="1" ht="15.75" customHeight="1" x14ac:dyDescent="0.25">
      <c r="A120" s="73"/>
      <c r="B120" s="73"/>
      <c r="C120" s="73"/>
      <c r="D120" s="73"/>
      <c r="E120" s="73"/>
      <c r="F120" s="73"/>
      <c r="G120" s="73"/>
      <c r="H120" s="73"/>
      <c r="I120" s="73"/>
      <c r="J120" s="73"/>
      <c r="K120" s="73"/>
      <c r="L120" s="73"/>
      <c r="M120" s="73"/>
      <c r="N120" s="73"/>
      <c r="O120" s="73"/>
      <c r="P120" s="73"/>
      <c r="Q120" s="79"/>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row>
    <row r="121" spans="1:42" s="70" customFormat="1" ht="15" customHeight="1" x14ac:dyDescent="0.25">
      <c r="A121" s="50">
        <v>46105</v>
      </c>
      <c r="B121" s="62"/>
      <c r="C121" s="63" t="s">
        <v>56</v>
      </c>
      <c r="D121" s="64" t="s">
        <v>53</v>
      </c>
      <c r="E121" s="99">
        <v>172</v>
      </c>
      <c r="F121" s="63" t="s">
        <v>60</v>
      </c>
      <c r="G121" s="42" t="s">
        <v>493</v>
      </c>
      <c r="H121" s="72" t="s">
        <v>440</v>
      </c>
      <c r="I121" s="66"/>
      <c r="J121" s="66"/>
      <c r="K121" s="67">
        <v>-6200</v>
      </c>
      <c r="L121" s="66"/>
      <c r="M121" s="66"/>
      <c r="N121" s="66"/>
      <c r="O121" s="66"/>
      <c r="P121" s="67">
        <f>K121</f>
        <v>-6200</v>
      </c>
      <c r="Q121" s="80"/>
      <c r="R121" s="29">
        <v>46095</v>
      </c>
      <c r="S121" s="69" t="s">
        <v>52</v>
      </c>
      <c r="T121" s="69" t="s">
        <v>79</v>
      </c>
      <c r="U121" s="33">
        <v>7163</v>
      </c>
      <c r="V121" s="65" t="s">
        <v>47</v>
      </c>
      <c r="W121" s="66"/>
      <c r="X121" s="68">
        <v>46105</v>
      </c>
      <c r="Y121" s="65" t="s">
        <v>63</v>
      </c>
      <c r="Z121" s="69"/>
      <c r="AA121" s="69"/>
      <c r="AB121" s="65" t="s">
        <v>49</v>
      </c>
      <c r="AC121" s="69"/>
      <c r="AD121" s="65" t="s">
        <v>48</v>
      </c>
      <c r="AE121" s="86"/>
      <c r="AF121" s="66"/>
      <c r="AG121" s="66"/>
      <c r="AH121" s="69"/>
      <c r="AI121" s="69"/>
      <c r="AJ121" s="68"/>
      <c r="AK121" s="69"/>
      <c r="AL121" s="87">
        <v>18</v>
      </c>
      <c r="AM121" s="88" t="s">
        <v>57</v>
      </c>
      <c r="AN121" s="65" t="s">
        <v>51</v>
      </c>
      <c r="AO121" s="69"/>
      <c r="AP121" s="66"/>
    </row>
    <row r="122" spans="1:42" s="74" customFormat="1" ht="15.75" customHeight="1" x14ac:dyDescent="0.25">
      <c r="A122" s="73"/>
      <c r="B122" s="73"/>
      <c r="C122" s="73"/>
      <c r="D122" s="73"/>
      <c r="E122" s="73"/>
      <c r="F122" s="73"/>
      <c r="G122" s="73"/>
      <c r="H122" s="73"/>
      <c r="I122" s="73"/>
      <c r="J122" s="73"/>
      <c r="K122" s="73"/>
      <c r="L122" s="73"/>
      <c r="M122" s="73"/>
      <c r="N122" s="73"/>
      <c r="O122" s="73"/>
      <c r="P122" s="73"/>
      <c r="Q122" s="79"/>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row>
    <row r="123" spans="1:42" s="70" customFormat="1" ht="15" customHeight="1" x14ac:dyDescent="0.25">
      <c r="A123" s="50"/>
      <c r="B123" s="62"/>
      <c r="C123" s="63" t="s">
        <v>58</v>
      </c>
      <c r="D123" s="64" t="s">
        <v>55</v>
      </c>
      <c r="E123" s="99">
        <v>35</v>
      </c>
      <c r="F123" s="63" t="s">
        <v>46</v>
      </c>
      <c r="G123" s="42"/>
      <c r="H123" s="72"/>
      <c r="I123" s="66"/>
      <c r="J123" s="66"/>
      <c r="K123" s="67"/>
      <c r="L123" s="66"/>
      <c r="M123" s="66"/>
      <c r="N123" s="66"/>
      <c r="O123" s="66"/>
      <c r="P123" s="67">
        <f>K123</f>
        <v>0</v>
      </c>
      <c r="Q123" s="80"/>
      <c r="R123" s="68"/>
      <c r="S123" s="69"/>
      <c r="T123" s="69"/>
      <c r="U123" s="69"/>
      <c r="V123" s="65" t="s">
        <v>47</v>
      </c>
      <c r="W123" s="66"/>
      <c r="X123" s="68"/>
      <c r="Y123" s="65" t="s">
        <v>63</v>
      </c>
      <c r="Z123" s="69"/>
      <c r="AA123" s="69"/>
      <c r="AB123" s="65" t="s">
        <v>49</v>
      </c>
      <c r="AC123" s="69"/>
      <c r="AD123" s="65" t="s">
        <v>48</v>
      </c>
      <c r="AE123" s="86"/>
      <c r="AF123" s="66"/>
      <c r="AG123" s="66"/>
      <c r="AH123" s="69"/>
      <c r="AI123" s="69"/>
      <c r="AJ123" s="68"/>
      <c r="AK123" s="69"/>
      <c r="AL123" s="87">
        <v>18</v>
      </c>
      <c r="AM123" s="88" t="s">
        <v>59</v>
      </c>
      <c r="AN123" s="65" t="s">
        <v>51</v>
      </c>
      <c r="AO123" s="69"/>
      <c r="AP123" s="66"/>
    </row>
    <row r="124" spans="1:42" s="74" customFormat="1" ht="15.75" customHeight="1" x14ac:dyDescent="0.25">
      <c r="A124" s="73"/>
      <c r="B124" s="73"/>
      <c r="C124" s="73"/>
      <c r="D124" s="73"/>
      <c r="E124" s="73"/>
      <c r="F124" s="73"/>
      <c r="G124" s="73"/>
      <c r="H124" s="73"/>
      <c r="I124" s="73"/>
      <c r="J124" s="73"/>
      <c r="K124" s="73"/>
      <c r="L124" s="73"/>
      <c r="M124" s="73"/>
      <c r="N124" s="73"/>
      <c r="O124" s="73"/>
      <c r="P124" s="73"/>
      <c r="Q124" s="79"/>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row>
    <row r="125" spans="1:42" s="36" customFormat="1" ht="15.75" customHeight="1" x14ac:dyDescent="0.25">
      <c r="A125" s="50">
        <v>46104</v>
      </c>
      <c r="B125" s="29"/>
      <c r="C125" s="30" t="s">
        <v>58</v>
      </c>
      <c r="D125" s="31" t="s">
        <v>53</v>
      </c>
      <c r="E125" s="99">
        <v>478</v>
      </c>
      <c r="F125" s="30" t="s">
        <v>60</v>
      </c>
      <c r="G125" s="42" t="s">
        <v>146</v>
      </c>
      <c r="H125" s="72" t="s">
        <v>389</v>
      </c>
      <c r="I125" s="32"/>
      <c r="J125" s="32"/>
      <c r="K125" s="39">
        <v>193</v>
      </c>
      <c r="L125" s="38"/>
      <c r="M125" s="38"/>
      <c r="N125" s="38"/>
      <c r="O125" s="38"/>
      <c r="P125" s="39">
        <f t="shared" ref="P125:P141" si="4">K125</f>
        <v>193</v>
      </c>
      <c r="Q125" s="81"/>
      <c r="R125" s="29">
        <v>46034</v>
      </c>
      <c r="S125" s="33" t="s">
        <v>52</v>
      </c>
      <c r="T125" s="69" t="s">
        <v>79</v>
      </c>
      <c r="U125" s="33" t="s">
        <v>408</v>
      </c>
      <c r="V125" s="30" t="s">
        <v>47</v>
      </c>
      <c r="W125" s="32"/>
      <c r="X125" s="29">
        <v>46104</v>
      </c>
      <c r="Y125" s="65" t="s">
        <v>63</v>
      </c>
      <c r="Z125" s="33"/>
      <c r="AA125" s="33"/>
      <c r="AB125" s="30" t="s">
        <v>66</v>
      </c>
      <c r="AC125" s="33"/>
      <c r="AD125" s="30" t="s">
        <v>48</v>
      </c>
      <c r="AE125" s="34"/>
      <c r="AF125" s="32"/>
      <c r="AG125" s="32"/>
      <c r="AH125" s="33"/>
      <c r="AI125" s="33"/>
      <c r="AJ125" s="29"/>
      <c r="AK125" s="33"/>
      <c r="AL125" s="35">
        <v>18</v>
      </c>
      <c r="AM125" s="31" t="s">
        <v>59</v>
      </c>
      <c r="AN125" s="30" t="s">
        <v>51</v>
      </c>
      <c r="AO125" s="33"/>
      <c r="AP125" s="32"/>
    </row>
    <row r="126" spans="1:42" s="36" customFormat="1" ht="15.75" customHeight="1" x14ac:dyDescent="0.25">
      <c r="A126" s="50">
        <v>46104</v>
      </c>
      <c r="B126" s="29"/>
      <c r="C126" s="30" t="s">
        <v>58</v>
      </c>
      <c r="D126" s="31" t="s">
        <v>53</v>
      </c>
      <c r="E126" s="99">
        <v>479</v>
      </c>
      <c r="F126" s="30" t="s">
        <v>60</v>
      </c>
      <c r="G126" s="42" t="s">
        <v>263</v>
      </c>
      <c r="H126" s="72" t="s">
        <v>394</v>
      </c>
      <c r="I126" s="32"/>
      <c r="J126" s="32"/>
      <c r="K126" s="39">
        <v>194.32</v>
      </c>
      <c r="L126" s="38"/>
      <c r="M126" s="38"/>
      <c r="N126" s="38"/>
      <c r="O126" s="38"/>
      <c r="P126" s="39">
        <f t="shared" si="4"/>
        <v>194.32</v>
      </c>
      <c r="Q126" s="81"/>
      <c r="R126" s="29">
        <v>46009</v>
      </c>
      <c r="S126" s="33" t="s">
        <v>52</v>
      </c>
      <c r="T126" s="69" t="s">
        <v>79</v>
      </c>
      <c r="U126" s="33" t="s">
        <v>287</v>
      </c>
      <c r="V126" s="30" t="s">
        <v>47</v>
      </c>
      <c r="W126" s="32"/>
      <c r="X126" s="29">
        <v>46104</v>
      </c>
      <c r="Y126" s="65" t="s">
        <v>63</v>
      </c>
      <c r="Z126" s="33"/>
      <c r="AA126" s="33"/>
      <c r="AB126" s="30" t="s">
        <v>66</v>
      </c>
      <c r="AC126" s="33"/>
      <c r="AD126" s="30" t="s">
        <v>48</v>
      </c>
      <c r="AE126" s="34"/>
      <c r="AF126" s="32"/>
      <c r="AG126" s="32"/>
      <c r="AH126" s="33"/>
      <c r="AI126" s="33"/>
      <c r="AJ126" s="29"/>
      <c r="AK126" s="33"/>
      <c r="AL126" s="35">
        <v>18</v>
      </c>
      <c r="AM126" s="31" t="s">
        <v>59</v>
      </c>
      <c r="AN126" s="30" t="s">
        <v>51</v>
      </c>
      <c r="AO126" s="33"/>
      <c r="AP126" s="32"/>
    </row>
    <row r="127" spans="1:42" s="36" customFormat="1" ht="15.75" customHeight="1" x14ac:dyDescent="0.25">
      <c r="A127" s="50">
        <v>46104</v>
      </c>
      <c r="B127" s="29"/>
      <c r="C127" s="30" t="s">
        <v>58</v>
      </c>
      <c r="D127" s="31" t="s">
        <v>53</v>
      </c>
      <c r="E127" s="99">
        <v>480</v>
      </c>
      <c r="F127" s="30" t="s">
        <v>60</v>
      </c>
      <c r="G127" s="42" t="s">
        <v>299</v>
      </c>
      <c r="H127" s="72" t="s">
        <v>313</v>
      </c>
      <c r="I127" s="32"/>
      <c r="J127" s="32"/>
      <c r="K127" s="39">
        <v>191</v>
      </c>
      <c r="L127" s="38"/>
      <c r="M127" s="38"/>
      <c r="N127" s="38"/>
      <c r="O127" s="38"/>
      <c r="P127" s="39">
        <f t="shared" si="4"/>
        <v>191</v>
      </c>
      <c r="Q127" s="81"/>
      <c r="R127" s="29">
        <v>46067</v>
      </c>
      <c r="S127" s="33" t="s">
        <v>52</v>
      </c>
      <c r="T127" s="69" t="s">
        <v>79</v>
      </c>
      <c r="U127" s="33" t="s">
        <v>411</v>
      </c>
      <c r="V127" s="30" t="s">
        <v>47</v>
      </c>
      <c r="W127" s="32"/>
      <c r="X127" s="29">
        <v>46104</v>
      </c>
      <c r="Y127" s="65" t="s">
        <v>63</v>
      </c>
      <c r="Z127" s="33"/>
      <c r="AA127" s="33"/>
      <c r="AB127" s="30" t="s">
        <v>66</v>
      </c>
      <c r="AC127" s="33"/>
      <c r="AD127" s="30" t="s">
        <v>48</v>
      </c>
      <c r="AE127" s="34"/>
      <c r="AF127" s="32"/>
      <c r="AG127" s="32"/>
      <c r="AH127" s="33"/>
      <c r="AI127" s="33"/>
      <c r="AJ127" s="29"/>
      <c r="AK127" s="33"/>
      <c r="AL127" s="35">
        <v>18</v>
      </c>
      <c r="AM127" s="31" t="s">
        <v>59</v>
      </c>
      <c r="AN127" s="30" t="s">
        <v>51</v>
      </c>
      <c r="AO127" s="33"/>
      <c r="AP127" s="32"/>
    </row>
    <row r="128" spans="1:42" s="36" customFormat="1" ht="15.75" customHeight="1" x14ac:dyDescent="0.25">
      <c r="A128" s="50">
        <v>46104</v>
      </c>
      <c r="B128" s="29"/>
      <c r="C128" s="30" t="s">
        <v>58</v>
      </c>
      <c r="D128" s="31" t="s">
        <v>53</v>
      </c>
      <c r="E128" s="99">
        <v>481</v>
      </c>
      <c r="F128" s="30" t="s">
        <v>60</v>
      </c>
      <c r="G128" s="42" t="s">
        <v>269</v>
      </c>
      <c r="H128" s="72" t="s">
        <v>391</v>
      </c>
      <c r="I128" s="32"/>
      <c r="J128" s="32"/>
      <c r="K128" s="39">
        <v>106.85</v>
      </c>
      <c r="L128" s="38"/>
      <c r="M128" s="38"/>
      <c r="N128" s="38"/>
      <c r="O128" s="38"/>
      <c r="P128" s="39">
        <f t="shared" si="4"/>
        <v>106.85</v>
      </c>
      <c r="Q128" s="81"/>
      <c r="R128" s="29">
        <v>45932</v>
      </c>
      <c r="S128" s="33" t="s">
        <v>52</v>
      </c>
      <c r="T128" s="69" t="s">
        <v>79</v>
      </c>
      <c r="U128" s="33" t="s">
        <v>83</v>
      </c>
      <c r="V128" s="30" t="s">
        <v>47</v>
      </c>
      <c r="W128" s="32"/>
      <c r="X128" s="29">
        <v>46104</v>
      </c>
      <c r="Y128" s="65" t="s">
        <v>63</v>
      </c>
      <c r="Z128" s="33"/>
      <c r="AA128" s="33"/>
      <c r="AB128" s="30" t="s">
        <v>66</v>
      </c>
      <c r="AC128" s="33"/>
      <c r="AD128" s="30" t="s">
        <v>48</v>
      </c>
      <c r="AE128" s="34"/>
      <c r="AF128" s="32"/>
      <c r="AG128" s="32"/>
      <c r="AH128" s="33"/>
      <c r="AI128" s="33"/>
      <c r="AJ128" s="29"/>
      <c r="AK128" s="33"/>
      <c r="AL128" s="35">
        <v>18</v>
      </c>
      <c r="AM128" s="31" t="s">
        <v>59</v>
      </c>
      <c r="AN128" s="30" t="s">
        <v>51</v>
      </c>
      <c r="AO128" s="33"/>
      <c r="AP128" s="32"/>
    </row>
    <row r="129" spans="1:48" s="36" customFormat="1" ht="15.75" customHeight="1" x14ac:dyDescent="0.25">
      <c r="A129" s="50">
        <v>46104</v>
      </c>
      <c r="B129" s="29"/>
      <c r="C129" s="30" t="s">
        <v>58</v>
      </c>
      <c r="D129" s="31" t="s">
        <v>53</v>
      </c>
      <c r="E129" s="99">
        <v>482</v>
      </c>
      <c r="F129" s="30" t="s">
        <v>60</v>
      </c>
      <c r="G129" s="42" t="s">
        <v>298</v>
      </c>
      <c r="H129" s="72" t="s">
        <v>362</v>
      </c>
      <c r="I129" s="32"/>
      <c r="J129" s="32"/>
      <c r="K129" s="39">
        <v>280</v>
      </c>
      <c r="L129" s="38"/>
      <c r="M129" s="38"/>
      <c r="N129" s="38"/>
      <c r="O129" s="38"/>
      <c r="P129" s="39">
        <f t="shared" si="4"/>
        <v>280</v>
      </c>
      <c r="Q129" s="81"/>
      <c r="R129" s="29">
        <v>46067</v>
      </c>
      <c r="S129" s="33" t="s">
        <v>52</v>
      </c>
      <c r="T129" s="69" t="s">
        <v>79</v>
      </c>
      <c r="U129" s="33" t="s">
        <v>412</v>
      </c>
      <c r="V129" s="30" t="s">
        <v>47</v>
      </c>
      <c r="W129" s="32"/>
      <c r="X129" s="29">
        <v>46104</v>
      </c>
      <c r="Y129" s="65" t="s">
        <v>63</v>
      </c>
      <c r="Z129" s="33"/>
      <c r="AA129" s="33"/>
      <c r="AB129" s="30" t="s">
        <v>66</v>
      </c>
      <c r="AC129" s="33"/>
      <c r="AD129" s="30" t="s">
        <v>48</v>
      </c>
      <c r="AE129" s="34"/>
      <c r="AF129" s="32"/>
      <c r="AG129" s="32"/>
      <c r="AH129" s="33"/>
      <c r="AI129" s="33"/>
      <c r="AJ129" s="29"/>
      <c r="AK129" s="33"/>
      <c r="AL129" s="35">
        <v>18</v>
      </c>
      <c r="AM129" s="31" t="s">
        <v>59</v>
      </c>
      <c r="AN129" s="30" t="s">
        <v>51</v>
      </c>
      <c r="AO129" s="33"/>
      <c r="AP129" s="32"/>
    </row>
    <row r="130" spans="1:48" s="36" customFormat="1" ht="15.75" customHeight="1" x14ac:dyDescent="0.25">
      <c r="A130" s="50">
        <v>46104</v>
      </c>
      <c r="B130" s="29"/>
      <c r="C130" s="30" t="s">
        <v>58</v>
      </c>
      <c r="D130" s="31" t="s">
        <v>53</v>
      </c>
      <c r="E130" s="99">
        <v>483</v>
      </c>
      <c r="F130" s="30" t="s">
        <v>60</v>
      </c>
      <c r="G130" s="42" t="s">
        <v>266</v>
      </c>
      <c r="H130" s="72" t="s">
        <v>390</v>
      </c>
      <c r="I130" s="32"/>
      <c r="J130" s="32"/>
      <c r="K130" s="39">
        <v>290</v>
      </c>
      <c r="L130" s="38"/>
      <c r="M130" s="38"/>
      <c r="N130" s="38"/>
      <c r="O130" s="38"/>
      <c r="P130" s="39">
        <f t="shared" si="4"/>
        <v>290</v>
      </c>
      <c r="Q130" s="81"/>
      <c r="R130" s="29">
        <v>45994</v>
      </c>
      <c r="S130" s="33" t="s">
        <v>52</v>
      </c>
      <c r="T130" s="69" t="s">
        <v>79</v>
      </c>
      <c r="U130" s="33" t="s">
        <v>288</v>
      </c>
      <c r="V130" s="30" t="s">
        <v>47</v>
      </c>
      <c r="W130" s="32"/>
      <c r="X130" s="29">
        <v>46104</v>
      </c>
      <c r="Y130" s="65" t="s">
        <v>63</v>
      </c>
      <c r="Z130" s="33"/>
      <c r="AA130" s="33"/>
      <c r="AB130" s="30" t="s">
        <v>66</v>
      </c>
      <c r="AC130" s="33"/>
      <c r="AD130" s="30" t="s">
        <v>48</v>
      </c>
      <c r="AE130" s="34"/>
      <c r="AF130" s="32"/>
      <c r="AG130" s="32"/>
      <c r="AH130" s="33"/>
      <c r="AI130" s="33"/>
      <c r="AJ130" s="29"/>
      <c r="AK130" s="33"/>
      <c r="AL130" s="35">
        <v>18</v>
      </c>
      <c r="AM130" s="31" t="s">
        <v>59</v>
      </c>
      <c r="AN130" s="30" t="s">
        <v>51</v>
      </c>
      <c r="AO130" s="33"/>
      <c r="AP130" s="32"/>
    </row>
    <row r="131" spans="1:48" s="36" customFormat="1" ht="15.75" customHeight="1" x14ac:dyDescent="0.25">
      <c r="A131" s="50">
        <v>46105</v>
      </c>
      <c r="B131" s="29"/>
      <c r="C131" s="30" t="s">
        <v>58</v>
      </c>
      <c r="D131" s="31" t="s">
        <v>53</v>
      </c>
      <c r="E131" s="99">
        <v>484</v>
      </c>
      <c r="F131" s="30" t="s">
        <v>60</v>
      </c>
      <c r="G131" s="42" t="s">
        <v>252</v>
      </c>
      <c r="H131" s="72" t="s">
        <v>393</v>
      </c>
      <c r="I131" s="32"/>
      <c r="J131" s="32"/>
      <c r="K131" s="39">
        <v>180</v>
      </c>
      <c r="L131" s="38"/>
      <c r="M131" s="38"/>
      <c r="N131" s="38"/>
      <c r="O131" s="38"/>
      <c r="P131" s="39">
        <f t="shared" si="4"/>
        <v>180</v>
      </c>
      <c r="Q131" s="81"/>
      <c r="R131" s="29">
        <v>45846</v>
      </c>
      <c r="S131" s="33" t="s">
        <v>52</v>
      </c>
      <c r="T131" s="69" t="s">
        <v>79</v>
      </c>
      <c r="U131" s="33" t="s">
        <v>67</v>
      </c>
      <c r="V131" s="30" t="s">
        <v>47</v>
      </c>
      <c r="W131" s="32"/>
      <c r="X131" s="29">
        <v>46105</v>
      </c>
      <c r="Y131" s="65" t="s">
        <v>63</v>
      </c>
      <c r="Z131" s="33"/>
      <c r="AA131" s="33"/>
      <c r="AB131" s="30" t="s">
        <v>66</v>
      </c>
      <c r="AC131" s="33"/>
      <c r="AD131" s="30" t="s">
        <v>48</v>
      </c>
      <c r="AE131" s="34"/>
      <c r="AF131" s="32"/>
      <c r="AG131" s="32"/>
      <c r="AH131" s="33"/>
      <c r="AI131" s="33"/>
      <c r="AJ131" s="29"/>
      <c r="AK131" s="33"/>
      <c r="AL131" s="35">
        <v>18</v>
      </c>
      <c r="AM131" s="31" t="s">
        <v>59</v>
      </c>
      <c r="AN131" s="30" t="s">
        <v>51</v>
      </c>
      <c r="AO131" s="33"/>
      <c r="AP131" s="32"/>
    </row>
    <row r="132" spans="1:48" s="36" customFormat="1" ht="15.75" customHeight="1" x14ac:dyDescent="0.25">
      <c r="A132" s="50">
        <v>46105</v>
      </c>
      <c r="B132" s="29"/>
      <c r="C132" s="30" t="s">
        <v>58</v>
      </c>
      <c r="D132" s="31" t="s">
        <v>53</v>
      </c>
      <c r="E132" s="99">
        <v>485</v>
      </c>
      <c r="F132" s="30" t="s">
        <v>60</v>
      </c>
      <c r="G132" s="42" t="s">
        <v>258</v>
      </c>
      <c r="H132" s="72" t="s">
        <v>87</v>
      </c>
      <c r="I132" s="32"/>
      <c r="J132" s="32"/>
      <c r="K132" s="39">
        <v>165</v>
      </c>
      <c r="L132" s="38"/>
      <c r="M132" s="38"/>
      <c r="N132" s="38"/>
      <c r="O132" s="38"/>
      <c r="P132" s="39">
        <f t="shared" si="4"/>
        <v>165</v>
      </c>
      <c r="Q132" s="81"/>
      <c r="R132" s="29">
        <v>45965</v>
      </c>
      <c r="S132" s="33" t="s">
        <v>52</v>
      </c>
      <c r="T132" s="69" t="s">
        <v>79</v>
      </c>
      <c r="U132" s="33" t="s">
        <v>285</v>
      </c>
      <c r="V132" s="30" t="s">
        <v>47</v>
      </c>
      <c r="W132" s="32"/>
      <c r="X132" s="29">
        <v>46105</v>
      </c>
      <c r="Y132" s="65" t="s">
        <v>63</v>
      </c>
      <c r="Z132" s="33"/>
      <c r="AA132" s="33"/>
      <c r="AB132" s="30" t="s">
        <v>66</v>
      </c>
      <c r="AC132" s="33"/>
      <c r="AD132" s="30" t="s">
        <v>48</v>
      </c>
      <c r="AE132" s="34"/>
      <c r="AF132" s="32"/>
      <c r="AG132" s="32"/>
      <c r="AH132" s="33"/>
      <c r="AI132" s="33"/>
      <c r="AJ132" s="29"/>
      <c r="AK132" s="33"/>
      <c r="AL132" s="35">
        <v>18</v>
      </c>
      <c r="AM132" s="31" t="s">
        <v>59</v>
      </c>
      <c r="AN132" s="30" t="s">
        <v>51</v>
      </c>
      <c r="AO132" s="33"/>
      <c r="AP132" s="32"/>
    </row>
    <row r="133" spans="1:48" s="36" customFormat="1" ht="15.75" customHeight="1" x14ac:dyDescent="0.25">
      <c r="A133" s="50">
        <v>46105</v>
      </c>
      <c r="B133" s="29"/>
      <c r="C133" s="30" t="s">
        <v>58</v>
      </c>
      <c r="D133" s="31" t="s">
        <v>53</v>
      </c>
      <c r="E133" s="99">
        <v>486</v>
      </c>
      <c r="F133" s="30" t="s">
        <v>60</v>
      </c>
      <c r="G133" s="42" t="s">
        <v>260</v>
      </c>
      <c r="H133" s="72" t="s">
        <v>400</v>
      </c>
      <c r="I133" s="32"/>
      <c r="J133" s="32"/>
      <c r="K133" s="39">
        <v>91</v>
      </c>
      <c r="L133" s="38"/>
      <c r="M133" s="38"/>
      <c r="N133" s="38"/>
      <c r="O133" s="38"/>
      <c r="P133" s="39">
        <f t="shared" si="4"/>
        <v>91</v>
      </c>
      <c r="Q133" s="81"/>
      <c r="R133" s="29">
        <v>45997</v>
      </c>
      <c r="S133" s="33" t="s">
        <v>52</v>
      </c>
      <c r="T133" s="69" t="s">
        <v>79</v>
      </c>
      <c r="U133" s="33" t="s">
        <v>286</v>
      </c>
      <c r="V133" s="30" t="s">
        <v>47</v>
      </c>
      <c r="W133" s="32"/>
      <c r="X133" s="29">
        <v>46105</v>
      </c>
      <c r="Y133" s="65" t="s">
        <v>63</v>
      </c>
      <c r="Z133" s="33"/>
      <c r="AA133" s="33"/>
      <c r="AB133" s="30" t="s">
        <v>66</v>
      </c>
      <c r="AC133" s="33"/>
      <c r="AD133" s="30" t="s">
        <v>48</v>
      </c>
      <c r="AE133" s="34"/>
      <c r="AF133" s="32"/>
      <c r="AG133" s="32"/>
      <c r="AH133" s="33"/>
      <c r="AI133" s="33"/>
      <c r="AJ133" s="29"/>
      <c r="AK133" s="33"/>
      <c r="AL133" s="35">
        <v>18</v>
      </c>
      <c r="AM133" s="31" t="s">
        <v>59</v>
      </c>
      <c r="AN133" s="30" t="s">
        <v>51</v>
      </c>
      <c r="AO133" s="33"/>
      <c r="AP133" s="32"/>
    </row>
    <row r="134" spans="1:48" s="36" customFormat="1" ht="15.75" customHeight="1" x14ac:dyDescent="0.25">
      <c r="A134" s="50">
        <v>46105</v>
      </c>
      <c r="B134" s="29"/>
      <c r="C134" s="30" t="s">
        <v>58</v>
      </c>
      <c r="D134" s="31" t="s">
        <v>53</v>
      </c>
      <c r="E134" s="99">
        <v>487</v>
      </c>
      <c r="F134" s="30" t="s">
        <v>60</v>
      </c>
      <c r="G134" s="42" t="s">
        <v>257</v>
      </c>
      <c r="H134" s="72" t="s">
        <v>401</v>
      </c>
      <c r="I134" s="32"/>
      <c r="J134" s="32"/>
      <c r="K134" s="39">
        <v>103.33</v>
      </c>
      <c r="L134" s="38"/>
      <c r="M134" s="38"/>
      <c r="N134" s="38"/>
      <c r="O134" s="38"/>
      <c r="P134" s="39">
        <f t="shared" si="4"/>
        <v>103.33</v>
      </c>
      <c r="Q134" s="81"/>
      <c r="R134" s="29">
        <v>45940</v>
      </c>
      <c r="S134" s="33" t="s">
        <v>52</v>
      </c>
      <c r="T134" s="69" t="s">
        <v>79</v>
      </c>
      <c r="U134" s="33" t="s">
        <v>98</v>
      </c>
      <c r="V134" s="30" t="s">
        <v>47</v>
      </c>
      <c r="W134" s="32"/>
      <c r="X134" s="29">
        <v>46105</v>
      </c>
      <c r="Y134" s="65" t="s">
        <v>63</v>
      </c>
      <c r="Z134" s="33"/>
      <c r="AA134" s="33"/>
      <c r="AB134" s="30" t="s">
        <v>66</v>
      </c>
      <c r="AC134" s="33"/>
      <c r="AD134" s="30" t="s">
        <v>48</v>
      </c>
      <c r="AE134" s="34"/>
      <c r="AF134" s="32"/>
      <c r="AG134" s="32"/>
      <c r="AH134" s="33"/>
      <c r="AI134" s="33"/>
      <c r="AJ134" s="29"/>
      <c r="AK134" s="33"/>
      <c r="AL134" s="35">
        <v>18</v>
      </c>
      <c r="AM134" s="31" t="s">
        <v>59</v>
      </c>
      <c r="AN134" s="30" t="s">
        <v>51</v>
      </c>
      <c r="AO134" s="33"/>
      <c r="AP134" s="32"/>
    </row>
    <row r="135" spans="1:48" s="36" customFormat="1" ht="15.75" customHeight="1" x14ac:dyDescent="0.25">
      <c r="A135" s="50">
        <v>46105</v>
      </c>
      <c r="B135" s="29"/>
      <c r="C135" s="30" t="s">
        <v>58</v>
      </c>
      <c r="D135" s="31" t="s">
        <v>53</v>
      </c>
      <c r="E135" s="99">
        <v>488</v>
      </c>
      <c r="F135" s="30" t="s">
        <v>60</v>
      </c>
      <c r="G135" s="42" t="s">
        <v>270</v>
      </c>
      <c r="H135" s="72" t="s">
        <v>89</v>
      </c>
      <c r="I135" s="32"/>
      <c r="J135" s="32"/>
      <c r="K135" s="39">
        <v>240.5</v>
      </c>
      <c r="L135" s="38"/>
      <c r="M135" s="38"/>
      <c r="N135" s="38"/>
      <c r="O135" s="38"/>
      <c r="P135" s="39">
        <f t="shared" si="4"/>
        <v>240.5</v>
      </c>
      <c r="Q135" s="81"/>
      <c r="R135" s="29">
        <v>45969</v>
      </c>
      <c r="S135" s="33" t="s">
        <v>52</v>
      </c>
      <c r="T135" s="69" t="s">
        <v>79</v>
      </c>
      <c r="U135" s="33" t="s">
        <v>99</v>
      </c>
      <c r="V135" s="30" t="s">
        <v>47</v>
      </c>
      <c r="W135" s="32"/>
      <c r="X135" s="29">
        <v>46105</v>
      </c>
      <c r="Y135" s="65" t="s">
        <v>63</v>
      </c>
      <c r="Z135" s="33"/>
      <c r="AA135" s="33"/>
      <c r="AB135" s="30" t="s">
        <v>66</v>
      </c>
      <c r="AC135" s="33"/>
      <c r="AD135" s="30" t="s">
        <v>48</v>
      </c>
      <c r="AE135" s="34"/>
      <c r="AF135" s="32"/>
      <c r="AG135" s="32"/>
      <c r="AH135" s="33"/>
      <c r="AI135" s="33"/>
      <c r="AJ135" s="29"/>
      <c r="AK135" s="33"/>
      <c r="AL135" s="35">
        <v>18</v>
      </c>
      <c r="AM135" s="31" t="s">
        <v>59</v>
      </c>
      <c r="AN135" s="30" t="s">
        <v>51</v>
      </c>
      <c r="AO135" s="33"/>
      <c r="AP135" s="32"/>
    </row>
    <row r="136" spans="1:48" s="36" customFormat="1" ht="15.75" customHeight="1" x14ac:dyDescent="0.25">
      <c r="A136" s="50">
        <v>46106</v>
      </c>
      <c r="B136" s="29"/>
      <c r="C136" s="30" t="s">
        <v>58</v>
      </c>
      <c r="D136" s="31" t="s">
        <v>53</v>
      </c>
      <c r="E136" s="99">
        <v>489</v>
      </c>
      <c r="F136" s="30" t="s">
        <v>60</v>
      </c>
      <c r="G136" s="42" t="s">
        <v>255</v>
      </c>
      <c r="H136" s="72" t="s">
        <v>490</v>
      </c>
      <c r="I136" s="32"/>
      <c r="J136" s="32"/>
      <c r="K136" s="39">
        <v>155</v>
      </c>
      <c r="L136" s="38"/>
      <c r="M136" s="38"/>
      <c r="N136" s="38"/>
      <c r="O136" s="38"/>
      <c r="P136" s="39">
        <f t="shared" si="4"/>
        <v>155</v>
      </c>
      <c r="Q136" s="81"/>
      <c r="R136" s="29">
        <v>45958</v>
      </c>
      <c r="S136" s="33" t="s">
        <v>52</v>
      </c>
      <c r="T136" s="69" t="s">
        <v>79</v>
      </c>
      <c r="U136" s="33" t="s">
        <v>97</v>
      </c>
      <c r="V136" s="30" t="s">
        <v>47</v>
      </c>
      <c r="W136" s="32"/>
      <c r="X136" s="29">
        <v>46106</v>
      </c>
      <c r="Y136" s="65" t="s">
        <v>63</v>
      </c>
      <c r="Z136" s="33"/>
      <c r="AA136" s="33"/>
      <c r="AB136" s="30" t="s">
        <v>66</v>
      </c>
      <c r="AC136" s="33"/>
      <c r="AD136" s="30" t="s">
        <v>48</v>
      </c>
      <c r="AE136" s="34"/>
      <c r="AF136" s="32"/>
      <c r="AG136" s="32"/>
      <c r="AH136" s="33"/>
      <c r="AI136" s="33"/>
      <c r="AJ136" s="29"/>
      <c r="AK136" s="33"/>
      <c r="AL136" s="35">
        <v>18</v>
      </c>
      <c r="AM136" s="31" t="s">
        <v>59</v>
      </c>
      <c r="AN136" s="30" t="s">
        <v>51</v>
      </c>
      <c r="AO136" s="33"/>
      <c r="AP136" s="32"/>
    </row>
    <row r="137" spans="1:48" s="36" customFormat="1" ht="15.75" customHeight="1" x14ac:dyDescent="0.25">
      <c r="A137" s="50">
        <v>46106</v>
      </c>
      <c r="B137" s="29"/>
      <c r="C137" s="30" t="s">
        <v>58</v>
      </c>
      <c r="D137" s="31" t="s">
        <v>53</v>
      </c>
      <c r="E137" s="99">
        <v>490</v>
      </c>
      <c r="F137" s="30" t="s">
        <v>60</v>
      </c>
      <c r="G137" s="42" t="s">
        <v>272</v>
      </c>
      <c r="H137" s="72" t="s">
        <v>399</v>
      </c>
      <c r="I137" s="32"/>
      <c r="J137" s="32"/>
      <c r="K137" s="39">
        <v>93.17</v>
      </c>
      <c r="L137" s="38"/>
      <c r="M137" s="38"/>
      <c r="N137" s="38"/>
      <c r="O137" s="38"/>
      <c r="P137" s="39">
        <f t="shared" si="4"/>
        <v>93.17</v>
      </c>
      <c r="Q137" s="81"/>
      <c r="R137" s="29">
        <v>45846</v>
      </c>
      <c r="S137" s="33" t="s">
        <v>52</v>
      </c>
      <c r="T137" s="69" t="s">
        <v>79</v>
      </c>
      <c r="U137" s="33" t="s">
        <v>65</v>
      </c>
      <c r="V137" s="30" t="s">
        <v>47</v>
      </c>
      <c r="W137" s="32"/>
      <c r="X137" s="29">
        <v>46106</v>
      </c>
      <c r="Y137" s="65" t="s">
        <v>63</v>
      </c>
      <c r="Z137" s="33"/>
      <c r="AA137" s="33"/>
      <c r="AB137" s="30" t="s">
        <v>66</v>
      </c>
      <c r="AC137" s="33"/>
      <c r="AD137" s="30" t="s">
        <v>48</v>
      </c>
      <c r="AE137" s="34"/>
      <c r="AF137" s="32"/>
      <c r="AG137" s="32"/>
      <c r="AH137" s="33"/>
      <c r="AI137" s="33"/>
      <c r="AJ137" s="29"/>
      <c r="AK137" s="33"/>
      <c r="AL137" s="35">
        <v>18</v>
      </c>
      <c r="AM137" s="31" t="s">
        <v>59</v>
      </c>
      <c r="AN137" s="30" t="s">
        <v>51</v>
      </c>
      <c r="AO137" s="33"/>
      <c r="AP137" s="32"/>
    </row>
    <row r="138" spans="1:48" s="36" customFormat="1" ht="15.75" customHeight="1" x14ac:dyDescent="0.25">
      <c r="A138" s="50">
        <v>46106</v>
      </c>
      <c r="B138" s="29"/>
      <c r="C138" s="30" t="s">
        <v>58</v>
      </c>
      <c r="D138" s="31" t="s">
        <v>53</v>
      </c>
      <c r="E138" s="99">
        <v>491</v>
      </c>
      <c r="F138" s="30" t="s">
        <v>60</v>
      </c>
      <c r="G138" s="42" t="s">
        <v>407</v>
      </c>
      <c r="H138" s="72" t="s">
        <v>402</v>
      </c>
      <c r="I138" s="32"/>
      <c r="J138" s="32"/>
      <c r="K138" s="39">
        <v>109</v>
      </c>
      <c r="L138" s="38"/>
      <c r="M138" s="38"/>
      <c r="N138" s="38"/>
      <c r="O138" s="38"/>
      <c r="P138" s="39">
        <f t="shared" si="4"/>
        <v>109</v>
      </c>
      <c r="Q138" s="81"/>
      <c r="R138" s="29">
        <v>45945</v>
      </c>
      <c r="S138" s="33" t="s">
        <v>52</v>
      </c>
      <c r="T138" s="69" t="s">
        <v>79</v>
      </c>
      <c r="U138" s="33" t="s">
        <v>410</v>
      </c>
      <c r="V138" s="30" t="s">
        <v>47</v>
      </c>
      <c r="W138" s="32"/>
      <c r="X138" s="29">
        <v>46106</v>
      </c>
      <c r="Y138" s="65" t="s">
        <v>63</v>
      </c>
      <c r="Z138" s="33"/>
      <c r="AA138" s="33"/>
      <c r="AB138" s="30" t="s">
        <v>66</v>
      </c>
      <c r="AC138" s="33"/>
      <c r="AD138" s="30" t="s">
        <v>48</v>
      </c>
      <c r="AE138" s="34"/>
      <c r="AF138" s="32"/>
      <c r="AG138" s="32"/>
      <c r="AH138" s="33"/>
      <c r="AI138" s="33"/>
      <c r="AJ138" s="29"/>
      <c r="AK138" s="33"/>
      <c r="AL138" s="35">
        <v>18</v>
      </c>
      <c r="AM138" s="31" t="s">
        <v>59</v>
      </c>
      <c r="AN138" s="30" t="s">
        <v>51</v>
      </c>
      <c r="AO138" s="33"/>
      <c r="AP138" s="32"/>
    </row>
    <row r="139" spans="1:48" s="36" customFormat="1" ht="15.75" customHeight="1" x14ac:dyDescent="0.25">
      <c r="A139" s="50">
        <v>46106</v>
      </c>
      <c r="B139" s="29"/>
      <c r="C139" s="30" t="s">
        <v>58</v>
      </c>
      <c r="D139" s="31" t="s">
        <v>53</v>
      </c>
      <c r="E139" s="99">
        <v>492</v>
      </c>
      <c r="F139" s="30" t="s">
        <v>60</v>
      </c>
      <c r="G139" s="42" t="s">
        <v>213</v>
      </c>
      <c r="H139" s="72" t="s">
        <v>491</v>
      </c>
      <c r="I139" s="32"/>
      <c r="J139" s="32"/>
      <c r="K139" s="39">
        <v>144</v>
      </c>
      <c r="L139" s="38"/>
      <c r="M139" s="38"/>
      <c r="N139" s="38"/>
      <c r="O139" s="38"/>
      <c r="P139" s="39">
        <f t="shared" si="4"/>
        <v>144</v>
      </c>
      <c r="Q139" s="81"/>
      <c r="R139" s="29">
        <v>46052</v>
      </c>
      <c r="S139" s="33" t="s">
        <v>52</v>
      </c>
      <c r="T139" s="69" t="s">
        <v>79</v>
      </c>
      <c r="U139" s="33" t="s">
        <v>492</v>
      </c>
      <c r="V139" s="30" t="s">
        <v>47</v>
      </c>
      <c r="W139" s="32"/>
      <c r="X139" s="29">
        <v>46106</v>
      </c>
      <c r="Y139" s="65" t="s">
        <v>63</v>
      </c>
      <c r="Z139" s="33"/>
      <c r="AA139" s="33"/>
      <c r="AB139" s="30" t="s">
        <v>66</v>
      </c>
      <c r="AC139" s="33"/>
      <c r="AD139" s="30" t="s">
        <v>48</v>
      </c>
      <c r="AE139" s="34"/>
      <c r="AF139" s="32"/>
      <c r="AG139" s="32"/>
      <c r="AH139" s="33"/>
      <c r="AI139" s="33"/>
      <c r="AJ139" s="29"/>
      <c r="AK139" s="33"/>
      <c r="AL139" s="35">
        <v>18</v>
      </c>
      <c r="AM139" s="31" t="s">
        <v>59</v>
      </c>
      <c r="AN139" s="30" t="s">
        <v>51</v>
      </c>
      <c r="AO139" s="33"/>
      <c r="AP139" s="32"/>
    </row>
    <row r="140" spans="1:48" s="36" customFormat="1" ht="15.75" customHeight="1" x14ac:dyDescent="0.25">
      <c r="A140" s="50">
        <v>46106</v>
      </c>
      <c r="B140" s="29"/>
      <c r="C140" s="30" t="s">
        <v>58</v>
      </c>
      <c r="D140" s="31" t="s">
        <v>53</v>
      </c>
      <c r="E140" s="99">
        <v>493</v>
      </c>
      <c r="F140" s="30" t="s">
        <v>60</v>
      </c>
      <c r="G140" s="42" t="s">
        <v>271</v>
      </c>
      <c r="H140" s="72" t="s">
        <v>403</v>
      </c>
      <c r="I140" s="32"/>
      <c r="J140" s="32"/>
      <c r="K140" s="39">
        <v>159.57</v>
      </c>
      <c r="L140" s="38"/>
      <c r="M140" s="38"/>
      <c r="N140" s="38"/>
      <c r="O140" s="38"/>
      <c r="P140" s="39">
        <f t="shared" si="4"/>
        <v>159.57</v>
      </c>
      <c r="Q140" s="81"/>
      <c r="R140" s="29">
        <v>45870</v>
      </c>
      <c r="S140" s="33" t="s">
        <v>52</v>
      </c>
      <c r="T140" s="69" t="s">
        <v>79</v>
      </c>
      <c r="U140" s="33" t="s">
        <v>80</v>
      </c>
      <c r="V140" s="30" t="s">
        <v>47</v>
      </c>
      <c r="W140" s="32"/>
      <c r="X140" s="29">
        <v>46106</v>
      </c>
      <c r="Y140" s="65" t="s">
        <v>63</v>
      </c>
      <c r="Z140" s="33"/>
      <c r="AA140" s="33"/>
      <c r="AB140" s="30" t="s">
        <v>66</v>
      </c>
      <c r="AC140" s="33"/>
      <c r="AD140" s="30" t="s">
        <v>48</v>
      </c>
      <c r="AE140" s="34"/>
      <c r="AF140" s="32"/>
      <c r="AG140" s="32"/>
      <c r="AH140" s="33"/>
      <c r="AI140" s="33"/>
      <c r="AJ140" s="29"/>
      <c r="AK140" s="33"/>
      <c r="AL140" s="35">
        <v>18</v>
      </c>
      <c r="AM140" s="31" t="s">
        <v>59</v>
      </c>
      <c r="AN140" s="30" t="s">
        <v>51</v>
      </c>
      <c r="AO140" s="33"/>
      <c r="AP140" s="32"/>
    </row>
    <row r="141" spans="1:48" s="36" customFormat="1" ht="15.75" customHeight="1" x14ac:dyDescent="0.25">
      <c r="A141" s="50">
        <v>46106</v>
      </c>
      <c r="B141" s="29"/>
      <c r="C141" s="30" t="s">
        <v>58</v>
      </c>
      <c r="D141" s="31" t="s">
        <v>53</v>
      </c>
      <c r="E141" s="99">
        <v>494</v>
      </c>
      <c r="F141" s="30" t="s">
        <v>60</v>
      </c>
      <c r="G141" s="42" t="s">
        <v>280</v>
      </c>
      <c r="H141" s="72" t="s">
        <v>398</v>
      </c>
      <c r="I141" s="32"/>
      <c r="J141" s="32"/>
      <c r="K141" s="39">
        <v>222</v>
      </c>
      <c r="L141" s="38"/>
      <c r="M141" s="38"/>
      <c r="N141" s="38"/>
      <c r="O141" s="38"/>
      <c r="P141" s="39">
        <f t="shared" si="4"/>
        <v>222</v>
      </c>
      <c r="Q141" s="81"/>
      <c r="R141" s="29">
        <v>45824</v>
      </c>
      <c r="S141" s="33" t="s">
        <v>52</v>
      </c>
      <c r="T141" s="69" t="s">
        <v>79</v>
      </c>
      <c r="U141" s="33" t="s">
        <v>291</v>
      </c>
      <c r="V141" s="30" t="s">
        <v>47</v>
      </c>
      <c r="W141" s="32"/>
      <c r="X141" s="29">
        <v>46106</v>
      </c>
      <c r="Y141" s="65" t="s">
        <v>63</v>
      </c>
      <c r="Z141" s="33"/>
      <c r="AA141" s="33"/>
      <c r="AB141" s="30" t="s">
        <v>66</v>
      </c>
      <c r="AC141" s="33"/>
      <c r="AD141" s="30" t="s">
        <v>48</v>
      </c>
      <c r="AE141" s="34"/>
      <c r="AF141" s="32"/>
      <c r="AG141" s="32"/>
      <c r="AH141" s="33"/>
      <c r="AI141" s="33"/>
      <c r="AJ141" s="29"/>
      <c r="AK141" s="33"/>
      <c r="AL141" s="35">
        <v>18</v>
      </c>
      <c r="AM141" s="31" t="s">
        <v>59</v>
      </c>
      <c r="AN141" s="30" t="s">
        <v>51</v>
      </c>
      <c r="AO141" s="33"/>
      <c r="AP141" s="32"/>
    </row>
    <row r="142" spans="1:48" s="6" customFormat="1" x14ac:dyDescent="0.2">
      <c r="A142" s="8"/>
      <c r="B142" s="8"/>
      <c r="C142" s="9"/>
      <c r="D142" s="9"/>
      <c r="E142" s="9"/>
      <c r="F142" s="9"/>
      <c r="G142" s="9"/>
      <c r="H142" s="9"/>
      <c r="I142" s="10"/>
      <c r="J142" s="12">
        <f>SUM(J36:J141)</f>
        <v>0</v>
      </c>
      <c r="K142" s="12">
        <f>SUM(K6:K141)</f>
        <v>514406.74</v>
      </c>
      <c r="L142" s="11"/>
      <c r="M142" s="11"/>
      <c r="N142" s="12">
        <f>SUM(N36:N141)</f>
        <v>0</v>
      </c>
      <c r="O142" s="12">
        <f>SUM(O36:O141)</f>
        <v>0</v>
      </c>
      <c r="P142" s="12">
        <f>SUM(P6:P141)</f>
        <v>514406.74</v>
      </c>
      <c r="Q142" s="82"/>
      <c r="R142" s="89"/>
      <c r="S142" s="90"/>
      <c r="T142" s="90"/>
      <c r="U142" s="90"/>
      <c r="V142" s="90"/>
      <c r="W142" s="91"/>
      <c r="X142" s="89"/>
      <c r="Y142" s="90"/>
      <c r="Z142" s="90"/>
      <c r="AA142" s="90"/>
      <c r="AB142" s="90"/>
      <c r="AC142" s="90"/>
      <c r="AD142" s="90"/>
      <c r="AE142" s="92"/>
      <c r="AF142" s="91"/>
      <c r="AG142" s="91"/>
      <c r="AH142" s="90"/>
      <c r="AI142" s="90"/>
      <c r="AJ142" s="89"/>
      <c r="AK142" s="90"/>
      <c r="AL142" s="91"/>
      <c r="AM142" s="90"/>
      <c r="AN142" s="90"/>
      <c r="AO142" s="90"/>
      <c r="AP142" s="91"/>
    </row>
    <row r="144" spans="1:48" s="2" customFormat="1" x14ac:dyDescent="0.25">
      <c r="A144" s="1"/>
      <c r="B144" s="1"/>
      <c r="I144" s="3"/>
      <c r="J144" s="3"/>
      <c r="K144" s="3"/>
      <c r="L144" s="3"/>
      <c r="M144" s="3"/>
      <c r="N144" s="3"/>
      <c r="O144" s="3"/>
      <c r="P144" s="3"/>
      <c r="Q144" s="4"/>
      <c r="R144" s="1"/>
      <c r="W144" s="3"/>
      <c r="X144" s="1"/>
      <c r="AE144" s="5"/>
      <c r="AF144" s="3"/>
      <c r="AG144" s="3"/>
      <c r="AJ144" s="1"/>
      <c r="AL144" s="3"/>
      <c r="AP144" s="3"/>
      <c r="AQ144"/>
      <c r="AR144"/>
      <c r="AS144"/>
      <c r="AT144"/>
      <c r="AU144"/>
      <c r="AV144"/>
    </row>
  </sheetData>
  <autoFilter ref="A5:AW111" xr:uid="{00000000-0009-0000-0000-000002000000}"/>
  <mergeCells count="37">
    <mergeCell ref="W3:W5"/>
    <mergeCell ref="A1:AP1"/>
    <mergeCell ref="A3:A5"/>
    <mergeCell ref="B3:B5"/>
    <mergeCell ref="C3:E4"/>
    <mergeCell ref="F3:H3"/>
    <mergeCell ref="I3:I5"/>
    <mergeCell ref="J3:J5"/>
    <mergeCell ref="K3:L4"/>
    <mergeCell ref="M3:M5"/>
    <mergeCell ref="N3:N5"/>
    <mergeCell ref="O3:O5"/>
    <mergeCell ref="P3:P5"/>
    <mergeCell ref="Q3:Q5"/>
    <mergeCell ref="R3:U4"/>
    <mergeCell ref="V3:V5"/>
    <mergeCell ref="Y3:Y5"/>
    <mergeCell ref="Z3:Z5"/>
    <mergeCell ref="AA3:AA5"/>
    <mergeCell ref="AB3:AB5"/>
    <mergeCell ref="AC3:AC5"/>
    <mergeCell ref="AP3:AP5"/>
    <mergeCell ref="F4:G4"/>
    <mergeCell ref="H4:H5"/>
    <mergeCell ref="AJ3:AJ5"/>
    <mergeCell ref="AK3:AK5"/>
    <mergeCell ref="AL3:AL5"/>
    <mergeCell ref="AM3:AM5"/>
    <mergeCell ref="AN3:AN5"/>
    <mergeCell ref="AO3:AO5"/>
    <mergeCell ref="AD3:AD5"/>
    <mergeCell ref="AE3:AE5"/>
    <mergeCell ref="AF3:AF5"/>
    <mergeCell ref="AG3:AG5"/>
    <mergeCell ref="AH3:AH5"/>
    <mergeCell ref="AI3:AI5"/>
    <mergeCell ref="X3:X5"/>
  </mergeCells>
  <pageMargins left="0.7" right="0.7" top="0.75" bottom="0.75" header="0.3" footer="0.3"/>
  <pageSetup paperSize="9" scale="79" orientation="portrait" horizontalDpi="360" verticalDpi="360" r:id="rId1"/>
  <colBreaks count="2" manualBreakCount="2">
    <brk id="7" max="114" man="1"/>
    <brk id="18" max="114"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AW146"/>
  <sheetViews>
    <sheetView zoomScaleNormal="100" zoomScaleSheetLayoutView="100" workbookViewId="0">
      <pane xSplit="6" ySplit="1" topLeftCell="P125" activePane="bottomRight" state="frozen"/>
      <selection pane="topRight" activeCell="G1" sqref="G1"/>
      <selection pane="bottomLeft" activeCell="A2" sqref="A2"/>
      <selection pane="bottomRight" activeCell="A116" sqref="A116:XFD116"/>
    </sheetView>
  </sheetViews>
  <sheetFormatPr baseColWidth="10" defaultRowHeight="15" x14ac:dyDescent="0.25"/>
  <cols>
    <col min="1" max="1" width="10.28515625" style="1" customWidth="1"/>
    <col min="2" max="2" width="11.140625" style="1" customWidth="1"/>
    <col min="3" max="3" width="4.85546875" style="2" customWidth="1"/>
    <col min="4" max="4" width="6.7109375" style="2" customWidth="1"/>
    <col min="5" max="5" width="14.28515625" style="2" customWidth="1"/>
    <col min="6" max="6" width="3.140625" style="2" customWidth="1"/>
    <col min="7" max="7" width="12.140625" style="2" customWidth="1"/>
    <col min="8" max="8" width="30.7109375" style="2" customWidth="1"/>
    <col min="9" max="9" width="0.5703125" style="3" customWidth="1"/>
    <col min="10" max="10" width="13.7109375" style="3" customWidth="1"/>
    <col min="11" max="11" width="14.28515625" style="3" customWidth="1"/>
    <col min="12" max="13" width="0.5703125" style="3" customWidth="1"/>
    <col min="14" max="14" width="13.5703125" style="3" bestFit="1" customWidth="1"/>
    <col min="15" max="15" width="0.7109375" style="3" customWidth="1"/>
    <col min="16" max="16" width="13.42578125" style="3" customWidth="1"/>
    <col min="17" max="17" width="12.140625" style="4" customWidth="1"/>
    <col min="18" max="18" width="11" style="1" customWidth="1"/>
    <col min="19" max="19" width="7" style="2" customWidth="1"/>
    <col min="20" max="20" width="12.5703125" style="2" customWidth="1"/>
    <col min="21" max="21" width="10.85546875" style="2" customWidth="1"/>
    <col min="22" max="22" width="7" style="2" customWidth="1"/>
    <col min="23" max="23" width="0.85546875" style="3" customWidth="1"/>
    <col min="24" max="24" width="13.140625" style="1" customWidth="1"/>
    <col min="25" max="25" width="9.42578125" style="2" customWidth="1"/>
    <col min="26" max="27" width="0.5703125" style="2" customWidth="1"/>
    <col min="28" max="28" width="6.85546875" style="2" customWidth="1"/>
    <col min="29" max="29" width="1.140625" style="2" customWidth="1"/>
    <col min="30" max="30" width="4.85546875" style="2" customWidth="1"/>
    <col min="31" max="31" width="0.42578125" style="5" customWidth="1"/>
    <col min="32" max="33" width="0.42578125" style="3" customWidth="1"/>
    <col min="34" max="35" width="0.42578125" style="2" customWidth="1"/>
    <col min="36" max="36" width="0.42578125" style="1" customWidth="1"/>
    <col min="37" max="37" width="0.42578125" style="2" customWidth="1"/>
    <col min="38" max="38" width="5.5703125" style="3" customWidth="1"/>
    <col min="39" max="39" width="25.85546875" style="2" customWidth="1"/>
    <col min="40" max="40" width="3.85546875" style="2" customWidth="1"/>
    <col min="41" max="41" width="4.28515625" style="2" customWidth="1"/>
    <col min="42" max="42" width="9.5703125" style="3" customWidth="1"/>
  </cols>
  <sheetData>
    <row r="1" spans="1:49" ht="15.75" x14ac:dyDescent="0.25">
      <c r="A1" s="353" t="s">
        <v>44</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row>
    <row r="3" spans="1:49" ht="21.95" customHeight="1" x14ac:dyDescent="0.25">
      <c r="A3" s="354" t="s">
        <v>0</v>
      </c>
      <c r="B3" s="354" t="s">
        <v>1</v>
      </c>
      <c r="C3" s="356" t="s">
        <v>2</v>
      </c>
      <c r="D3" s="356"/>
      <c r="E3" s="356"/>
      <c r="F3" s="356" t="s">
        <v>6</v>
      </c>
      <c r="G3" s="356"/>
      <c r="H3" s="356"/>
      <c r="I3" s="357" t="s">
        <v>9</v>
      </c>
      <c r="J3" s="357" t="s">
        <v>10</v>
      </c>
      <c r="K3" s="357" t="s">
        <v>11</v>
      </c>
      <c r="L3" s="357"/>
      <c r="M3" s="357" t="s">
        <v>14</v>
      </c>
      <c r="N3" s="357" t="s">
        <v>15</v>
      </c>
      <c r="O3" s="357" t="s">
        <v>16</v>
      </c>
      <c r="P3" s="357" t="s">
        <v>17</v>
      </c>
      <c r="Q3" s="359" t="s">
        <v>18</v>
      </c>
      <c r="R3" s="361" t="s">
        <v>19</v>
      </c>
      <c r="S3" s="361"/>
      <c r="T3" s="361"/>
      <c r="U3" s="361"/>
      <c r="V3" s="362" t="s">
        <v>23</v>
      </c>
      <c r="W3" s="352" t="s">
        <v>24</v>
      </c>
      <c r="X3" s="364" t="s">
        <v>25</v>
      </c>
      <c r="Y3" s="362" t="s">
        <v>26</v>
      </c>
      <c r="Z3" s="362" t="s">
        <v>27</v>
      </c>
      <c r="AA3" s="362" t="s">
        <v>28</v>
      </c>
      <c r="AB3" s="362" t="s">
        <v>29</v>
      </c>
      <c r="AC3" s="362" t="s">
        <v>30</v>
      </c>
      <c r="AD3" s="362" t="s">
        <v>31</v>
      </c>
      <c r="AE3" s="365" t="s">
        <v>32</v>
      </c>
      <c r="AF3" s="352" t="s">
        <v>33</v>
      </c>
      <c r="AG3" s="352" t="s">
        <v>34</v>
      </c>
      <c r="AH3" s="362" t="s">
        <v>35</v>
      </c>
      <c r="AI3" s="362" t="s">
        <v>36</v>
      </c>
      <c r="AJ3" s="364" t="s">
        <v>37</v>
      </c>
      <c r="AK3" s="362" t="s">
        <v>38</v>
      </c>
      <c r="AL3" s="352" t="s">
        <v>39</v>
      </c>
      <c r="AM3" s="362" t="s">
        <v>40</v>
      </c>
      <c r="AN3" s="362" t="s">
        <v>41</v>
      </c>
      <c r="AO3" s="362" t="s">
        <v>42</v>
      </c>
      <c r="AP3" s="352" t="s">
        <v>43</v>
      </c>
      <c r="AQ3" s="7"/>
    </row>
    <row r="4" spans="1:49" ht="21.95" customHeight="1" x14ac:dyDescent="0.25">
      <c r="A4" s="354"/>
      <c r="B4" s="354"/>
      <c r="C4" s="356"/>
      <c r="D4" s="356"/>
      <c r="E4" s="356"/>
      <c r="F4" s="356" t="s">
        <v>7</v>
      </c>
      <c r="G4" s="356"/>
      <c r="H4" s="356" t="s">
        <v>8</v>
      </c>
      <c r="I4" s="357"/>
      <c r="J4" s="357"/>
      <c r="K4" s="357"/>
      <c r="L4" s="357"/>
      <c r="M4" s="357"/>
      <c r="N4" s="357"/>
      <c r="O4" s="357"/>
      <c r="P4" s="357"/>
      <c r="Q4" s="359"/>
      <c r="R4" s="361"/>
      <c r="S4" s="361"/>
      <c r="T4" s="361"/>
      <c r="U4" s="361"/>
      <c r="V4" s="362"/>
      <c r="W4" s="352"/>
      <c r="X4" s="364"/>
      <c r="Y4" s="362"/>
      <c r="Z4" s="362"/>
      <c r="AA4" s="362"/>
      <c r="AB4" s="362"/>
      <c r="AC4" s="362"/>
      <c r="AD4" s="362"/>
      <c r="AE4" s="365"/>
      <c r="AF4" s="352"/>
      <c r="AG4" s="352"/>
      <c r="AH4" s="362"/>
      <c r="AI4" s="362"/>
      <c r="AJ4" s="364"/>
      <c r="AK4" s="362"/>
      <c r="AL4" s="352"/>
      <c r="AM4" s="362"/>
      <c r="AN4" s="362"/>
      <c r="AO4" s="362"/>
      <c r="AP4" s="352"/>
      <c r="AQ4" s="7"/>
    </row>
    <row r="5" spans="1:49" ht="51" customHeight="1" x14ac:dyDescent="0.25">
      <c r="A5" s="355"/>
      <c r="B5" s="355"/>
      <c r="C5" s="48" t="s">
        <v>3</v>
      </c>
      <c r="D5" s="48" t="s">
        <v>4</v>
      </c>
      <c r="E5" s="48" t="s">
        <v>5</v>
      </c>
      <c r="F5" s="48" t="s">
        <v>3</v>
      </c>
      <c r="G5" s="48" t="s">
        <v>5</v>
      </c>
      <c r="H5" s="363"/>
      <c r="I5" s="358"/>
      <c r="J5" s="358"/>
      <c r="K5" s="49" t="s">
        <v>12</v>
      </c>
      <c r="L5" s="49" t="s">
        <v>13</v>
      </c>
      <c r="M5" s="358"/>
      <c r="N5" s="358"/>
      <c r="O5" s="358"/>
      <c r="P5" s="358"/>
      <c r="Q5" s="360"/>
      <c r="R5" s="83" t="s">
        <v>20</v>
      </c>
      <c r="S5" s="84" t="s">
        <v>3</v>
      </c>
      <c r="T5" s="84" t="s">
        <v>21</v>
      </c>
      <c r="U5" s="84" t="s">
        <v>22</v>
      </c>
      <c r="V5" s="362"/>
      <c r="W5" s="352"/>
      <c r="X5" s="364"/>
      <c r="Y5" s="362"/>
      <c r="Z5" s="362"/>
      <c r="AA5" s="362"/>
      <c r="AB5" s="362"/>
      <c r="AC5" s="362"/>
      <c r="AD5" s="362"/>
      <c r="AE5" s="365"/>
      <c r="AF5" s="352"/>
      <c r="AG5" s="352"/>
      <c r="AH5" s="362"/>
      <c r="AI5" s="362"/>
      <c r="AJ5" s="364"/>
      <c r="AK5" s="362"/>
      <c r="AL5" s="352"/>
      <c r="AM5" s="362"/>
      <c r="AN5" s="362"/>
      <c r="AO5" s="362"/>
      <c r="AP5" s="352"/>
      <c r="AQ5" s="7"/>
    </row>
    <row r="6" spans="1:49" s="41" customFormat="1" ht="14.25" customHeight="1" x14ac:dyDescent="0.25">
      <c r="A6" s="118">
        <v>46113</v>
      </c>
      <c r="B6" s="43"/>
      <c r="C6" s="13" t="s">
        <v>52</v>
      </c>
      <c r="D6" s="14" t="s">
        <v>53</v>
      </c>
      <c r="E6" s="98">
        <v>7235</v>
      </c>
      <c r="F6" s="44" t="s">
        <v>54</v>
      </c>
      <c r="G6" s="106">
        <v>73991056</v>
      </c>
      <c r="H6" s="95" t="s">
        <v>500</v>
      </c>
      <c r="I6" s="52"/>
      <c r="J6" s="52"/>
      <c r="K6" s="53">
        <v>7860</v>
      </c>
      <c r="L6" s="52"/>
      <c r="M6" s="52"/>
      <c r="N6" s="52"/>
      <c r="O6" s="52"/>
      <c r="P6" s="53">
        <f t="shared" ref="P6:P69" si="0">K6</f>
        <v>7860</v>
      </c>
      <c r="Q6" s="75"/>
      <c r="R6" s="51"/>
      <c r="S6" s="44"/>
      <c r="T6" s="44"/>
      <c r="U6" s="44"/>
      <c r="V6" s="44" t="s">
        <v>47</v>
      </c>
      <c r="W6" s="52"/>
      <c r="X6" s="118">
        <v>46113</v>
      </c>
      <c r="Y6" s="15" t="s">
        <v>61</v>
      </c>
      <c r="Z6" s="44"/>
      <c r="AA6" s="44"/>
      <c r="AB6" s="44" t="s">
        <v>49</v>
      </c>
      <c r="AC6" s="44"/>
      <c r="AD6" s="44" t="s">
        <v>48</v>
      </c>
      <c r="AE6" s="55"/>
      <c r="AF6" s="52"/>
      <c r="AG6" s="52"/>
      <c r="AH6" s="44"/>
      <c r="AI6" s="44"/>
      <c r="AJ6" s="51"/>
      <c r="AK6" s="44"/>
      <c r="AL6" s="52">
        <v>18</v>
      </c>
      <c r="AM6" s="19" t="s">
        <v>50</v>
      </c>
      <c r="AN6" s="44" t="s">
        <v>51</v>
      </c>
      <c r="AO6" s="44"/>
      <c r="AP6" s="52"/>
    </row>
    <row r="7" spans="1:49" s="41" customFormat="1" ht="14.25" customHeight="1" x14ac:dyDescent="0.25">
      <c r="A7" s="118">
        <v>46113</v>
      </c>
      <c r="B7" s="43"/>
      <c r="C7" s="13" t="s">
        <v>52</v>
      </c>
      <c r="D7" s="14" t="s">
        <v>53</v>
      </c>
      <c r="E7" s="98">
        <v>7236</v>
      </c>
      <c r="F7" s="44" t="s">
        <v>54</v>
      </c>
      <c r="G7" s="106">
        <v>71748492</v>
      </c>
      <c r="H7" s="95" t="s">
        <v>501</v>
      </c>
      <c r="I7" s="52"/>
      <c r="J7" s="52"/>
      <c r="K7" s="53">
        <v>6180</v>
      </c>
      <c r="L7" s="52"/>
      <c r="M7" s="52"/>
      <c r="N7" s="52"/>
      <c r="O7" s="52"/>
      <c r="P7" s="53">
        <f t="shared" si="0"/>
        <v>6180</v>
      </c>
      <c r="R7" s="51"/>
      <c r="S7" s="44"/>
      <c r="T7" s="44"/>
      <c r="U7" s="44"/>
      <c r="V7" s="44" t="s">
        <v>47</v>
      </c>
      <c r="W7" s="52"/>
      <c r="X7" s="118">
        <v>46113</v>
      </c>
      <c r="Y7" s="15" t="s">
        <v>61</v>
      </c>
      <c r="Z7" s="44"/>
      <c r="AA7" s="44"/>
      <c r="AB7" s="44" t="s">
        <v>49</v>
      </c>
      <c r="AC7" s="44"/>
      <c r="AD7" s="44" t="s">
        <v>48</v>
      </c>
      <c r="AE7" s="55"/>
      <c r="AF7" s="52"/>
      <c r="AG7" s="52"/>
      <c r="AH7" s="44"/>
      <c r="AI7" s="44"/>
      <c r="AJ7" s="51"/>
      <c r="AK7" s="44"/>
      <c r="AL7" s="52">
        <v>18</v>
      </c>
      <c r="AM7" s="19" t="s">
        <v>50</v>
      </c>
      <c r="AN7" s="44" t="s">
        <v>51</v>
      </c>
      <c r="AO7" s="44"/>
      <c r="AP7" s="52"/>
    </row>
    <row r="8" spans="1:49" s="41" customFormat="1" ht="14.25" customHeight="1" x14ac:dyDescent="0.25">
      <c r="A8" s="118">
        <v>46113</v>
      </c>
      <c r="B8" s="43"/>
      <c r="C8" s="13" t="s">
        <v>52</v>
      </c>
      <c r="D8" s="14" t="s">
        <v>53</v>
      </c>
      <c r="E8" s="98">
        <v>7237</v>
      </c>
      <c r="F8" s="44" t="s">
        <v>54</v>
      </c>
      <c r="G8" s="106">
        <v>71748492</v>
      </c>
      <c r="H8" s="95" t="s">
        <v>501</v>
      </c>
      <c r="I8" s="52"/>
      <c r="J8" s="52"/>
      <c r="K8" s="53">
        <v>0</v>
      </c>
      <c r="L8" s="52"/>
      <c r="M8" s="52"/>
      <c r="N8" s="52"/>
      <c r="O8" s="52"/>
      <c r="P8" s="53">
        <f t="shared" si="0"/>
        <v>0</v>
      </c>
      <c r="Q8" s="75"/>
      <c r="R8" s="51"/>
      <c r="S8" s="44"/>
      <c r="T8" s="44"/>
      <c r="U8" s="44"/>
      <c r="V8" s="44" t="s">
        <v>47</v>
      </c>
      <c r="W8" s="52"/>
      <c r="X8" s="118">
        <v>46113</v>
      </c>
      <c r="Y8" s="15" t="s">
        <v>61</v>
      </c>
      <c r="Z8" s="26"/>
      <c r="AA8" s="26"/>
      <c r="AB8" s="15" t="s">
        <v>49</v>
      </c>
      <c r="AC8" s="26"/>
      <c r="AD8" s="44" t="s">
        <v>48</v>
      </c>
      <c r="AE8" s="27"/>
      <c r="AF8" s="24"/>
      <c r="AG8" s="24"/>
      <c r="AH8" s="26"/>
      <c r="AI8" s="26"/>
      <c r="AJ8" s="25"/>
      <c r="AK8" s="26"/>
      <c r="AL8" s="17">
        <v>18</v>
      </c>
      <c r="AM8" s="47" t="s">
        <v>64</v>
      </c>
      <c r="AN8" s="44" t="s">
        <v>51</v>
      </c>
      <c r="AO8" s="44"/>
      <c r="AP8" s="52"/>
    </row>
    <row r="9" spans="1:49" s="105" customFormat="1" ht="14.25" customHeight="1" x14ac:dyDescent="0.25">
      <c r="A9" s="118">
        <v>46113</v>
      </c>
      <c r="B9" s="18"/>
      <c r="C9" s="22" t="s">
        <v>52</v>
      </c>
      <c r="D9" s="23" t="s">
        <v>53</v>
      </c>
      <c r="E9" s="98">
        <v>7238</v>
      </c>
      <c r="F9" s="15" t="s">
        <v>54</v>
      </c>
      <c r="G9" s="106">
        <v>49058981</v>
      </c>
      <c r="H9" s="102" t="s">
        <v>502</v>
      </c>
      <c r="I9" s="17"/>
      <c r="J9" s="17"/>
      <c r="K9" s="53">
        <v>11980</v>
      </c>
      <c r="L9" s="17"/>
      <c r="M9" s="17"/>
      <c r="N9" s="17"/>
      <c r="O9" s="17"/>
      <c r="P9" s="16">
        <f t="shared" si="0"/>
        <v>11980</v>
      </c>
      <c r="Q9" s="103"/>
      <c r="R9" s="18"/>
      <c r="S9" s="15"/>
      <c r="T9" s="15"/>
      <c r="U9" s="15"/>
      <c r="V9" s="15" t="s">
        <v>47</v>
      </c>
      <c r="W9" s="17"/>
      <c r="X9" s="118">
        <v>46113</v>
      </c>
      <c r="Y9" s="15" t="s">
        <v>61</v>
      </c>
      <c r="Z9" s="44"/>
      <c r="AA9" s="44"/>
      <c r="AB9" s="44" t="s">
        <v>49</v>
      </c>
      <c r="AC9" s="44"/>
      <c r="AD9" s="44" t="s">
        <v>48</v>
      </c>
      <c r="AE9" s="55"/>
      <c r="AF9" s="52"/>
      <c r="AG9" s="52"/>
      <c r="AH9" s="44"/>
      <c r="AI9" s="44"/>
      <c r="AJ9" s="51"/>
      <c r="AK9" s="44"/>
      <c r="AL9" s="52">
        <v>18</v>
      </c>
      <c r="AM9" s="19" t="s">
        <v>50</v>
      </c>
      <c r="AN9" s="15" t="s">
        <v>51</v>
      </c>
      <c r="AO9" s="15"/>
      <c r="AP9" s="17"/>
      <c r="AW9" s="103"/>
    </row>
    <row r="10" spans="1:49" s="41" customFormat="1" ht="14.25" customHeight="1" x14ac:dyDescent="0.25">
      <c r="A10" s="118">
        <v>46113</v>
      </c>
      <c r="B10" s="43"/>
      <c r="C10" s="13" t="s">
        <v>52</v>
      </c>
      <c r="D10" s="14" t="s">
        <v>53</v>
      </c>
      <c r="E10" s="98">
        <v>7239</v>
      </c>
      <c r="F10" s="44" t="s">
        <v>54</v>
      </c>
      <c r="G10" s="106">
        <v>49058981</v>
      </c>
      <c r="H10" s="95" t="s">
        <v>502</v>
      </c>
      <c r="I10" s="52"/>
      <c r="J10" s="52"/>
      <c r="K10" s="53">
        <v>0</v>
      </c>
      <c r="L10" s="52"/>
      <c r="M10" s="52"/>
      <c r="N10" s="52"/>
      <c r="O10" s="52"/>
      <c r="P10" s="53">
        <f t="shared" si="0"/>
        <v>0</v>
      </c>
      <c r="Q10" s="75"/>
      <c r="R10" s="51"/>
      <c r="S10" s="44"/>
      <c r="T10" s="44"/>
      <c r="U10" s="44"/>
      <c r="V10" s="44" t="s">
        <v>47</v>
      </c>
      <c r="W10" s="52"/>
      <c r="X10" s="118">
        <v>46113</v>
      </c>
      <c r="Y10" s="15" t="s">
        <v>61</v>
      </c>
      <c r="Z10" s="26"/>
      <c r="AA10" s="26"/>
      <c r="AB10" s="15" t="s">
        <v>49</v>
      </c>
      <c r="AC10" s="26"/>
      <c r="AD10" s="44" t="s">
        <v>48</v>
      </c>
      <c r="AE10" s="27"/>
      <c r="AF10" s="24"/>
      <c r="AG10" s="24"/>
      <c r="AH10" s="26"/>
      <c r="AI10" s="26"/>
      <c r="AJ10" s="25"/>
      <c r="AK10" s="26"/>
      <c r="AL10" s="17">
        <v>18</v>
      </c>
      <c r="AM10" s="47" t="s">
        <v>64</v>
      </c>
      <c r="AN10" s="44" t="s">
        <v>51</v>
      </c>
      <c r="AO10" s="44"/>
      <c r="AP10" s="52"/>
    </row>
    <row r="11" spans="1:49" s="41" customFormat="1" ht="14.25" customHeight="1" x14ac:dyDescent="0.25">
      <c r="A11" s="118">
        <v>46113</v>
      </c>
      <c r="B11" s="43"/>
      <c r="C11" s="13" t="s">
        <v>52</v>
      </c>
      <c r="D11" s="14" t="s">
        <v>53</v>
      </c>
      <c r="E11" s="98">
        <v>7240</v>
      </c>
      <c r="F11" s="44" t="s">
        <v>54</v>
      </c>
      <c r="G11" s="106">
        <v>47482961</v>
      </c>
      <c r="H11" s="2" t="s">
        <v>503</v>
      </c>
      <c r="I11" s="52"/>
      <c r="J11" s="52"/>
      <c r="K11" s="53">
        <v>5410</v>
      </c>
      <c r="L11" s="52"/>
      <c r="M11" s="52"/>
      <c r="N11" s="52"/>
      <c r="O11" s="52"/>
      <c r="P11" s="53">
        <f t="shared" si="0"/>
        <v>5410</v>
      </c>
      <c r="Q11" s="75"/>
      <c r="R11" s="51"/>
      <c r="S11" s="44"/>
      <c r="T11" s="44"/>
      <c r="U11" s="44"/>
      <c r="V11" s="44" t="s">
        <v>47</v>
      </c>
      <c r="W11" s="52"/>
      <c r="X11" s="118">
        <v>46113</v>
      </c>
      <c r="Y11" s="15" t="s">
        <v>61</v>
      </c>
      <c r="Z11" s="26"/>
      <c r="AA11" s="26"/>
      <c r="AB11" s="15" t="s">
        <v>49</v>
      </c>
      <c r="AC11" s="26"/>
      <c r="AD11" s="44" t="s">
        <v>48</v>
      </c>
      <c r="AE11" s="27"/>
      <c r="AF11" s="24"/>
      <c r="AG11" s="24"/>
      <c r="AH11" s="26"/>
      <c r="AI11" s="26"/>
      <c r="AJ11" s="25"/>
      <c r="AK11" s="26"/>
      <c r="AL11" s="17">
        <v>18</v>
      </c>
      <c r="AM11" s="19" t="s">
        <v>50</v>
      </c>
      <c r="AN11" s="44" t="s">
        <v>51</v>
      </c>
      <c r="AO11" s="44"/>
      <c r="AP11" s="52"/>
    </row>
    <row r="12" spans="1:49" s="20" customFormat="1" ht="14.25" customHeight="1" x14ac:dyDescent="0.25">
      <c r="A12" s="118">
        <v>46113</v>
      </c>
      <c r="B12" s="43"/>
      <c r="C12" s="13" t="s">
        <v>52</v>
      </c>
      <c r="D12" s="14" t="s">
        <v>53</v>
      </c>
      <c r="E12" s="98">
        <v>7241</v>
      </c>
      <c r="F12" s="44" t="s">
        <v>54</v>
      </c>
      <c r="G12" s="106">
        <v>47482961</v>
      </c>
      <c r="H12" s="2" t="s">
        <v>503</v>
      </c>
      <c r="I12" s="57"/>
      <c r="J12" s="57"/>
      <c r="K12" s="53">
        <v>0</v>
      </c>
      <c r="L12" s="57"/>
      <c r="M12" s="57"/>
      <c r="N12" s="57"/>
      <c r="O12" s="57"/>
      <c r="P12" s="53">
        <f t="shared" si="0"/>
        <v>0</v>
      </c>
      <c r="Q12" s="75"/>
      <c r="R12" s="56"/>
      <c r="S12" s="58"/>
      <c r="T12" s="58"/>
      <c r="U12" s="58"/>
      <c r="V12" s="44" t="s">
        <v>47</v>
      </c>
      <c r="W12" s="57"/>
      <c r="X12" s="118">
        <v>46113</v>
      </c>
      <c r="Y12" s="15" t="s">
        <v>61</v>
      </c>
      <c r="Z12" s="44"/>
      <c r="AA12" s="44"/>
      <c r="AB12" s="44" t="s">
        <v>49</v>
      </c>
      <c r="AC12" s="44"/>
      <c r="AD12" s="44" t="s">
        <v>48</v>
      </c>
      <c r="AE12" s="55"/>
      <c r="AF12" s="52"/>
      <c r="AG12" s="52"/>
      <c r="AH12" s="44"/>
      <c r="AI12" s="44"/>
      <c r="AJ12" s="51"/>
      <c r="AK12" s="44"/>
      <c r="AL12" s="52">
        <v>18</v>
      </c>
      <c r="AM12" s="47" t="s">
        <v>64</v>
      </c>
      <c r="AN12" s="44" t="s">
        <v>51</v>
      </c>
      <c r="AO12" s="58"/>
      <c r="AP12" s="57"/>
    </row>
    <row r="13" spans="1:49" s="20" customFormat="1" ht="14.25" customHeight="1" x14ac:dyDescent="0.25">
      <c r="A13" s="118">
        <v>46114</v>
      </c>
      <c r="B13" s="43"/>
      <c r="C13" s="13" t="s">
        <v>52</v>
      </c>
      <c r="D13" s="14" t="s">
        <v>53</v>
      </c>
      <c r="E13" s="98">
        <v>7242</v>
      </c>
      <c r="F13" s="44" t="s">
        <v>54</v>
      </c>
      <c r="G13" s="106">
        <v>75720197</v>
      </c>
      <c r="H13" s="2" t="s">
        <v>504</v>
      </c>
      <c r="I13" s="57"/>
      <c r="J13" s="57"/>
      <c r="K13" s="53">
        <v>13080</v>
      </c>
      <c r="L13" s="57"/>
      <c r="M13" s="57"/>
      <c r="N13" s="57"/>
      <c r="O13" s="57"/>
      <c r="P13" s="53">
        <f t="shared" si="0"/>
        <v>13080</v>
      </c>
      <c r="Q13" s="75"/>
      <c r="R13" s="56"/>
      <c r="S13" s="58"/>
      <c r="T13" s="58"/>
      <c r="U13" s="58"/>
      <c r="V13" s="44" t="s">
        <v>47</v>
      </c>
      <c r="W13" s="57"/>
      <c r="X13" s="118">
        <v>46114</v>
      </c>
      <c r="Y13" s="15" t="s">
        <v>61</v>
      </c>
      <c r="Z13" s="26"/>
      <c r="AA13" s="26"/>
      <c r="AB13" s="15" t="s">
        <v>49</v>
      </c>
      <c r="AC13" s="26"/>
      <c r="AD13" s="44" t="s">
        <v>48</v>
      </c>
      <c r="AE13" s="27"/>
      <c r="AF13" s="24"/>
      <c r="AG13" s="24"/>
      <c r="AH13" s="26"/>
      <c r="AI13" s="26"/>
      <c r="AJ13" s="25"/>
      <c r="AK13" s="26"/>
      <c r="AL13" s="17">
        <v>18</v>
      </c>
      <c r="AM13" s="19" t="s">
        <v>50</v>
      </c>
      <c r="AN13" s="44" t="s">
        <v>51</v>
      </c>
      <c r="AO13" s="58"/>
      <c r="AP13" s="57"/>
    </row>
    <row r="14" spans="1:49" s="20" customFormat="1" ht="14.25" customHeight="1" x14ac:dyDescent="0.25">
      <c r="A14" s="118">
        <v>46114</v>
      </c>
      <c r="B14" s="43"/>
      <c r="C14" s="13" t="s">
        <v>52</v>
      </c>
      <c r="D14" s="14" t="s">
        <v>53</v>
      </c>
      <c r="E14" s="98">
        <v>7243</v>
      </c>
      <c r="F14" s="44" t="s">
        <v>54</v>
      </c>
      <c r="G14" s="106">
        <v>75720197</v>
      </c>
      <c r="H14" s="2" t="s">
        <v>504</v>
      </c>
      <c r="I14" s="57"/>
      <c r="J14" s="57"/>
      <c r="K14" s="53">
        <v>0</v>
      </c>
      <c r="L14" s="57"/>
      <c r="M14" s="57"/>
      <c r="N14" s="57"/>
      <c r="O14" s="57"/>
      <c r="P14" s="53">
        <f t="shared" si="0"/>
        <v>0</v>
      </c>
      <c r="Q14" s="75"/>
      <c r="R14" s="56"/>
      <c r="S14" s="58"/>
      <c r="T14" s="58"/>
      <c r="U14" s="58"/>
      <c r="V14" s="44" t="s">
        <v>47</v>
      </c>
      <c r="W14" s="57"/>
      <c r="X14" s="118">
        <v>46114</v>
      </c>
      <c r="Y14" s="15" t="s">
        <v>61</v>
      </c>
      <c r="Z14" s="44"/>
      <c r="AA14" s="44"/>
      <c r="AB14" s="44" t="s">
        <v>49</v>
      </c>
      <c r="AC14" s="44"/>
      <c r="AD14" s="44" t="s">
        <v>48</v>
      </c>
      <c r="AE14" s="55"/>
      <c r="AF14" s="52"/>
      <c r="AG14" s="52"/>
      <c r="AH14" s="44"/>
      <c r="AI14" s="44"/>
      <c r="AJ14" s="51"/>
      <c r="AK14" s="44"/>
      <c r="AL14" s="52">
        <v>18</v>
      </c>
      <c r="AM14" s="47" t="s">
        <v>64</v>
      </c>
      <c r="AN14" s="44" t="s">
        <v>51</v>
      </c>
      <c r="AO14" s="58"/>
      <c r="AP14" s="57"/>
    </row>
    <row r="15" spans="1:49" s="20" customFormat="1" ht="14.25" customHeight="1" x14ac:dyDescent="0.25">
      <c r="A15" s="118">
        <v>46114</v>
      </c>
      <c r="B15" s="43"/>
      <c r="C15" s="13" t="s">
        <v>52</v>
      </c>
      <c r="D15" s="14" t="s">
        <v>53</v>
      </c>
      <c r="E15" s="98">
        <v>7244</v>
      </c>
      <c r="F15" s="44" t="s">
        <v>54</v>
      </c>
      <c r="G15" s="106">
        <v>72184336</v>
      </c>
      <c r="H15" s="2" t="s">
        <v>505</v>
      </c>
      <c r="I15" s="57"/>
      <c r="J15" s="57"/>
      <c r="K15" s="53">
        <v>8280</v>
      </c>
      <c r="L15" s="57"/>
      <c r="M15" s="57"/>
      <c r="N15" s="57"/>
      <c r="O15" s="57"/>
      <c r="P15" s="53">
        <f t="shared" si="0"/>
        <v>8280</v>
      </c>
      <c r="Q15" s="75"/>
      <c r="R15" s="56"/>
      <c r="S15" s="58"/>
      <c r="T15" s="58"/>
      <c r="U15" s="58"/>
      <c r="V15" s="44" t="s">
        <v>47</v>
      </c>
      <c r="W15" s="57"/>
      <c r="X15" s="118">
        <v>46114</v>
      </c>
      <c r="Y15" s="15" t="s">
        <v>61</v>
      </c>
      <c r="Z15" s="26"/>
      <c r="AA15" s="26"/>
      <c r="AB15" s="15" t="s">
        <v>49</v>
      </c>
      <c r="AC15" s="26"/>
      <c r="AD15" s="44" t="s">
        <v>48</v>
      </c>
      <c r="AE15" s="27"/>
      <c r="AF15" s="24"/>
      <c r="AG15" s="24"/>
      <c r="AH15" s="26"/>
      <c r="AI15" s="26"/>
      <c r="AJ15" s="25"/>
      <c r="AK15" s="26"/>
      <c r="AL15" s="17">
        <v>18</v>
      </c>
      <c r="AM15" s="19" t="s">
        <v>50</v>
      </c>
      <c r="AN15" s="44" t="s">
        <v>51</v>
      </c>
      <c r="AO15" s="58"/>
      <c r="AP15" s="57"/>
    </row>
    <row r="16" spans="1:49" s="20" customFormat="1" ht="14.25" customHeight="1" x14ac:dyDescent="0.25">
      <c r="A16" s="118">
        <v>46114</v>
      </c>
      <c r="B16" s="43"/>
      <c r="C16" s="13" t="s">
        <v>52</v>
      </c>
      <c r="D16" s="14" t="s">
        <v>53</v>
      </c>
      <c r="E16" s="98">
        <v>7245</v>
      </c>
      <c r="F16" s="44" t="s">
        <v>54</v>
      </c>
      <c r="G16" s="106">
        <v>20995502</v>
      </c>
      <c r="H16" s="2" t="s">
        <v>506</v>
      </c>
      <c r="I16" s="57"/>
      <c r="J16" s="57"/>
      <c r="K16" s="53">
        <v>7270</v>
      </c>
      <c r="L16" s="57"/>
      <c r="M16" s="57"/>
      <c r="N16" s="57"/>
      <c r="O16" s="57"/>
      <c r="P16" s="53">
        <f t="shared" si="0"/>
        <v>7270</v>
      </c>
      <c r="Q16" s="75"/>
      <c r="R16" s="56"/>
      <c r="S16" s="58"/>
      <c r="T16" s="58"/>
      <c r="U16" s="58"/>
      <c r="V16" s="44" t="s">
        <v>47</v>
      </c>
      <c r="W16" s="57"/>
      <c r="X16" s="118">
        <v>46114</v>
      </c>
      <c r="Y16" s="15" t="s">
        <v>61</v>
      </c>
      <c r="Z16" s="44"/>
      <c r="AA16" s="44"/>
      <c r="AB16" s="44" t="s">
        <v>49</v>
      </c>
      <c r="AC16" s="44"/>
      <c r="AD16" s="44" t="s">
        <v>48</v>
      </c>
      <c r="AE16" s="55"/>
      <c r="AF16" s="52"/>
      <c r="AG16" s="52"/>
      <c r="AH16" s="44"/>
      <c r="AI16" s="44"/>
      <c r="AJ16" s="51"/>
      <c r="AK16" s="44"/>
      <c r="AL16" s="52">
        <v>18</v>
      </c>
      <c r="AM16" s="19" t="s">
        <v>50</v>
      </c>
      <c r="AN16" s="44" t="s">
        <v>51</v>
      </c>
      <c r="AO16" s="58"/>
      <c r="AP16" s="57"/>
    </row>
    <row r="17" spans="1:42" s="41" customFormat="1" ht="14.25" customHeight="1" x14ac:dyDescent="0.25">
      <c r="A17" s="118">
        <v>46115</v>
      </c>
      <c r="B17" s="43"/>
      <c r="C17" s="13" t="s">
        <v>52</v>
      </c>
      <c r="D17" s="14" t="s">
        <v>53</v>
      </c>
      <c r="E17" s="98">
        <v>7246</v>
      </c>
      <c r="F17" s="44" t="s">
        <v>54</v>
      </c>
      <c r="G17" s="106">
        <v>76866038</v>
      </c>
      <c r="H17" s="2" t="s">
        <v>507</v>
      </c>
      <c r="I17" s="52"/>
      <c r="J17" s="52"/>
      <c r="K17" s="53">
        <v>5470</v>
      </c>
      <c r="L17" s="52"/>
      <c r="M17" s="52"/>
      <c r="N17" s="52"/>
      <c r="O17" s="52"/>
      <c r="P17" s="53">
        <f t="shared" si="0"/>
        <v>5470</v>
      </c>
      <c r="Q17" s="75"/>
      <c r="R17" s="51"/>
      <c r="S17" s="44"/>
      <c r="T17" s="44"/>
      <c r="U17" s="44"/>
      <c r="V17" s="44" t="s">
        <v>47</v>
      </c>
      <c r="W17" s="52"/>
      <c r="X17" s="118">
        <v>46115</v>
      </c>
      <c r="Y17" s="15" t="s">
        <v>61</v>
      </c>
      <c r="Z17" s="26"/>
      <c r="AA17" s="26"/>
      <c r="AB17" s="15" t="s">
        <v>49</v>
      </c>
      <c r="AC17" s="26"/>
      <c r="AD17" s="44" t="s">
        <v>48</v>
      </c>
      <c r="AE17" s="27"/>
      <c r="AF17" s="24"/>
      <c r="AG17" s="24"/>
      <c r="AH17" s="26"/>
      <c r="AI17" s="26"/>
      <c r="AJ17" s="25"/>
      <c r="AK17" s="26"/>
      <c r="AL17" s="17">
        <v>18</v>
      </c>
      <c r="AM17" s="19" t="s">
        <v>50</v>
      </c>
      <c r="AN17" s="44" t="s">
        <v>51</v>
      </c>
      <c r="AO17" s="44"/>
      <c r="AP17" s="52"/>
    </row>
    <row r="18" spans="1:42" s="41" customFormat="1" ht="14.25" customHeight="1" x14ac:dyDescent="0.25">
      <c r="A18" s="118">
        <v>46116</v>
      </c>
      <c r="B18" s="51"/>
      <c r="C18" s="13" t="s">
        <v>52</v>
      </c>
      <c r="D18" s="14" t="s">
        <v>53</v>
      </c>
      <c r="E18" s="98">
        <v>7247</v>
      </c>
      <c r="F18" s="44" t="s">
        <v>54</v>
      </c>
      <c r="G18" s="106">
        <v>20582515</v>
      </c>
      <c r="H18" s="2" t="s">
        <v>508</v>
      </c>
      <c r="I18" s="52"/>
      <c r="J18" s="52"/>
      <c r="K18" s="53">
        <v>8990</v>
      </c>
      <c r="L18" s="52"/>
      <c r="M18" s="52"/>
      <c r="N18" s="52"/>
      <c r="O18" s="52"/>
      <c r="P18" s="53">
        <f t="shared" si="0"/>
        <v>8990</v>
      </c>
      <c r="Q18" s="75"/>
      <c r="R18" s="51"/>
      <c r="S18" s="44"/>
      <c r="T18" s="44"/>
      <c r="U18" s="44"/>
      <c r="V18" s="44" t="s">
        <v>47</v>
      </c>
      <c r="W18" s="52"/>
      <c r="X18" s="118">
        <v>46272</v>
      </c>
      <c r="Y18" s="15" t="s">
        <v>63</v>
      </c>
      <c r="Z18" s="44"/>
      <c r="AA18" s="44"/>
      <c r="AB18" s="44" t="s">
        <v>49</v>
      </c>
      <c r="AC18" s="44"/>
      <c r="AD18" s="44" t="s">
        <v>48</v>
      </c>
      <c r="AE18" s="55"/>
      <c r="AF18" s="52"/>
      <c r="AG18" s="52"/>
      <c r="AH18" s="44"/>
      <c r="AI18" s="44"/>
      <c r="AJ18" s="51"/>
      <c r="AK18" s="44"/>
      <c r="AL18" s="52">
        <v>18</v>
      </c>
      <c r="AM18" s="19" t="s">
        <v>50</v>
      </c>
      <c r="AN18" s="44" t="s">
        <v>51</v>
      </c>
      <c r="AO18" s="44"/>
      <c r="AP18" s="52"/>
    </row>
    <row r="19" spans="1:42" s="20" customFormat="1" ht="14.25" customHeight="1" x14ac:dyDescent="0.25">
      <c r="A19" s="118">
        <v>46116</v>
      </c>
      <c r="B19" s="43"/>
      <c r="C19" s="13" t="s">
        <v>52</v>
      </c>
      <c r="D19" s="14" t="s">
        <v>53</v>
      </c>
      <c r="E19" s="98">
        <v>7248</v>
      </c>
      <c r="F19" s="44" t="s">
        <v>54</v>
      </c>
      <c r="G19" s="106">
        <v>46883040</v>
      </c>
      <c r="H19" s="2" t="s">
        <v>509</v>
      </c>
      <c r="I19" s="57"/>
      <c r="J19" s="57"/>
      <c r="K19" s="53">
        <v>5380</v>
      </c>
      <c r="L19" s="57"/>
      <c r="M19" s="57"/>
      <c r="N19" s="57"/>
      <c r="O19" s="57"/>
      <c r="P19" s="53">
        <f t="shared" si="0"/>
        <v>5380</v>
      </c>
      <c r="Q19" s="75"/>
      <c r="R19" s="56"/>
      <c r="S19" s="58"/>
      <c r="T19" s="58"/>
      <c r="U19" s="58"/>
      <c r="V19" s="44" t="s">
        <v>47</v>
      </c>
      <c r="W19" s="57"/>
      <c r="X19" s="118">
        <v>46116</v>
      </c>
      <c r="Y19" s="15" t="s">
        <v>61</v>
      </c>
      <c r="Z19" s="26"/>
      <c r="AA19" s="26"/>
      <c r="AB19" s="15" t="s">
        <v>49</v>
      </c>
      <c r="AC19" s="26"/>
      <c r="AD19" s="44" t="s">
        <v>48</v>
      </c>
      <c r="AE19" s="27"/>
      <c r="AF19" s="24"/>
      <c r="AG19" s="24"/>
      <c r="AH19" s="26"/>
      <c r="AI19" s="26"/>
      <c r="AJ19" s="25"/>
      <c r="AK19" s="26"/>
      <c r="AL19" s="17">
        <v>18</v>
      </c>
      <c r="AM19" s="19" t="s">
        <v>50</v>
      </c>
      <c r="AN19" s="44" t="s">
        <v>51</v>
      </c>
      <c r="AO19" s="58"/>
      <c r="AP19" s="57"/>
    </row>
    <row r="20" spans="1:42" s="20" customFormat="1" ht="14.25" customHeight="1" x14ac:dyDescent="0.25">
      <c r="A20" s="118">
        <v>46116</v>
      </c>
      <c r="B20" s="43"/>
      <c r="C20" s="13" t="s">
        <v>52</v>
      </c>
      <c r="D20" s="14" t="s">
        <v>53</v>
      </c>
      <c r="E20" s="98">
        <v>7249</v>
      </c>
      <c r="F20" s="44" t="s">
        <v>54</v>
      </c>
      <c r="G20" s="106">
        <v>46883040</v>
      </c>
      <c r="H20" s="2" t="s">
        <v>509</v>
      </c>
      <c r="I20" s="57"/>
      <c r="J20" s="57"/>
      <c r="K20" s="53">
        <v>0</v>
      </c>
      <c r="L20" s="57"/>
      <c r="M20" s="57"/>
      <c r="N20" s="57"/>
      <c r="O20" s="57"/>
      <c r="P20" s="53">
        <f t="shared" si="0"/>
        <v>0</v>
      </c>
      <c r="Q20" s="75"/>
      <c r="R20" s="56"/>
      <c r="S20" s="58"/>
      <c r="T20" s="58"/>
      <c r="U20" s="58"/>
      <c r="V20" s="44" t="s">
        <v>47</v>
      </c>
      <c r="W20" s="57"/>
      <c r="X20" s="118">
        <v>46116</v>
      </c>
      <c r="Y20" s="15" t="s">
        <v>61</v>
      </c>
      <c r="Z20" s="44"/>
      <c r="AA20" s="44"/>
      <c r="AB20" s="44" t="s">
        <v>49</v>
      </c>
      <c r="AC20" s="44"/>
      <c r="AD20" s="44" t="s">
        <v>48</v>
      </c>
      <c r="AE20" s="55"/>
      <c r="AF20" s="52"/>
      <c r="AG20" s="52"/>
      <c r="AH20" s="44"/>
      <c r="AI20" s="44"/>
      <c r="AJ20" s="51"/>
      <c r="AK20" s="44"/>
      <c r="AL20" s="52">
        <v>18</v>
      </c>
      <c r="AM20" s="47" t="s">
        <v>64</v>
      </c>
      <c r="AN20" s="44" t="s">
        <v>51</v>
      </c>
      <c r="AO20" s="58"/>
      <c r="AP20" s="57"/>
    </row>
    <row r="21" spans="1:42" s="20" customFormat="1" ht="14.25" customHeight="1" x14ac:dyDescent="0.25">
      <c r="A21" s="118">
        <v>46116</v>
      </c>
      <c r="B21" s="43"/>
      <c r="C21" s="13" t="s">
        <v>52</v>
      </c>
      <c r="D21" s="14" t="s">
        <v>53</v>
      </c>
      <c r="E21" s="98">
        <v>7250</v>
      </c>
      <c r="F21" s="44" t="s">
        <v>54</v>
      </c>
      <c r="G21" s="106">
        <v>74411170</v>
      </c>
      <c r="H21" s="2" t="s">
        <v>568</v>
      </c>
      <c r="I21" s="57"/>
      <c r="J21" s="57"/>
      <c r="K21" s="53">
        <v>6180</v>
      </c>
      <c r="L21" s="57"/>
      <c r="M21" s="57"/>
      <c r="N21" s="57"/>
      <c r="O21" s="57"/>
      <c r="P21" s="53">
        <f t="shared" si="0"/>
        <v>6180</v>
      </c>
      <c r="Q21" s="75"/>
      <c r="R21" s="56"/>
      <c r="S21" s="58"/>
      <c r="T21" s="58"/>
      <c r="U21" s="58"/>
      <c r="V21" s="44" t="s">
        <v>47</v>
      </c>
      <c r="W21" s="57"/>
      <c r="X21" s="118">
        <v>46116</v>
      </c>
      <c r="Y21" s="15" t="s">
        <v>61</v>
      </c>
      <c r="Z21" s="26"/>
      <c r="AA21" s="26"/>
      <c r="AB21" s="15" t="s">
        <v>49</v>
      </c>
      <c r="AC21" s="26"/>
      <c r="AD21" s="44" t="s">
        <v>48</v>
      </c>
      <c r="AE21" s="27"/>
      <c r="AF21" s="24"/>
      <c r="AG21" s="24"/>
      <c r="AH21" s="26"/>
      <c r="AI21" s="26"/>
      <c r="AJ21" s="25"/>
      <c r="AK21" s="26"/>
      <c r="AL21" s="17">
        <v>18</v>
      </c>
      <c r="AM21" s="19" t="s">
        <v>50</v>
      </c>
      <c r="AN21" s="44" t="s">
        <v>51</v>
      </c>
      <c r="AO21" s="58"/>
      <c r="AP21" s="57"/>
    </row>
    <row r="22" spans="1:42" s="20" customFormat="1" ht="14.25" customHeight="1" x14ac:dyDescent="0.25">
      <c r="A22" s="118">
        <v>46116</v>
      </c>
      <c r="B22" s="43"/>
      <c r="C22" s="13" t="s">
        <v>52</v>
      </c>
      <c r="D22" s="14" t="s">
        <v>53</v>
      </c>
      <c r="E22" s="98">
        <v>7251</v>
      </c>
      <c r="F22" s="44" t="s">
        <v>54</v>
      </c>
      <c r="G22" s="106">
        <v>74411170</v>
      </c>
      <c r="H22" s="2" t="s">
        <v>568</v>
      </c>
      <c r="I22" s="57"/>
      <c r="J22" s="57"/>
      <c r="K22" s="53">
        <v>0</v>
      </c>
      <c r="L22" s="57"/>
      <c r="M22" s="57"/>
      <c r="N22" s="57"/>
      <c r="O22" s="57"/>
      <c r="P22" s="53">
        <f t="shared" si="0"/>
        <v>0</v>
      </c>
      <c r="Q22" s="75"/>
      <c r="R22" s="56"/>
      <c r="S22" s="58"/>
      <c r="T22" s="58"/>
      <c r="U22" s="58"/>
      <c r="V22" s="44" t="s">
        <v>47</v>
      </c>
      <c r="W22" s="57"/>
      <c r="X22" s="118">
        <v>46116</v>
      </c>
      <c r="Y22" s="15" t="s">
        <v>61</v>
      </c>
      <c r="Z22" s="44"/>
      <c r="AA22" s="44"/>
      <c r="AB22" s="44" t="s">
        <v>49</v>
      </c>
      <c r="AC22" s="44"/>
      <c r="AD22" s="44" t="s">
        <v>48</v>
      </c>
      <c r="AE22" s="55"/>
      <c r="AF22" s="52"/>
      <c r="AG22" s="52"/>
      <c r="AH22" s="44"/>
      <c r="AI22" s="44"/>
      <c r="AJ22" s="51"/>
      <c r="AK22" s="44"/>
      <c r="AL22" s="52">
        <v>18</v>
      </c>
      <c r="AM22" s="47" t="s">
        <v>64</v>
      </c>
      <c r="AN22" s="44" t="s">
        <v>51</v>
      </c>
      <c r="AO22" s="58"/>
      <c r="AP22" s="57"/>
    </row>
    <row r="23" spans="1:42" s="20" customFormat="1" ht="14.25" customHeight="1" x14ac:dyDescent="0.25">
      <c r="A23" s="118">
        <v>46118</v>
      </c>
      <c r="B23" s="43"/>
      <c r="C23" s="13" t="s">
        <v>52</v>
      </c>
      <c r="D23" s="14" t="s">
        <v>53</v>
      </c>
      <c r="E23" s="98">
        <v>7252</v>
      </c>
      <c r="F23" s="44" t="s">
        <v>54</v>
      </c>
      <c r="G23" s="106">
        <v>48275858</v>
      </c>
      <c r="H23" s="2" t="s">
        <v>510</v>
      </c>
      <c r="I23" s="57"/>
      <c r="J23" s="57"/>
      <c r="K23" s="53">
        <v>5280</v>
      </c>
      <c r="L23" s="57"/>
      <c r="M23" s="57"/>
      <c r="N23" s="57"/>
      <c r="O23" s="57"/>
      <c r="P23" s="53">
        <f t="shared" si="0"/>
        <v>5280</v>
      </c>
      <c r="Q23" s="75"/>
      <c r="R23" s="56"/>
      <c r="S23" s="58"/>
      <c r="T23" s="58"/>
      <c r="U23" s="58"/>
      <c r="V23" s="44" t="s">
        <v>47</v>
      </c>
      <c r="W23" s="57"/>
      <c r="X23" s="118">
        <v>46118</v>
      </c>
      <c r="Y23" s="15" t="s">
        <v>61</v>
      </c>
      <c r="Z23" s="44"/>
      <c r="AA23" s="44"/>
      <c r="AB23" s="44" t="s">
        <v>49</v>
      </c>
      <c r="AC23" s="44"/>
      <c r="AD23" s="44" t="s">
        <v>48</v>
      </c>
      <c r="AE23" s="55"/>
      <c r="AF23" s="52"/>
      <c r="AG23" s="52"/>
      <c r="AH23" s="44"/>
      <c r="AI23" s="44"/>
      <c r="AJ23" s="51"/>
      <c r="AK23" s="44"/>
      <c r="AL23" s="52">
        <v>18</v>
      </c>
      <c r="AM23" s="19" t="s">
        <v>50</v>
      </c>
      <c r="AN23" s="44" t="s">
        <v>51</v>
      </c>
      <c r="AO23" s="58"/>
      <c r="AP23" s="57"/>
    </row>
    <row r="24" spans="1:42" s="41" customFormat="1" ht="14.25" customHeight="1" x14ac:dyDescent="0.25">
      <c r="A24" s="118">
        <v>46118</v>
      </c>
      <c r="B24" s="43"/>
      <c r="C24" s="13" t="s">
        <v>52</v>
      </c>
      <c r="D24" s="14" t="s">
        <v>53</v>
      </c>
      <c r="E24" s="98">
        <v>7253</v>
      </c>
      <c r="F24" s="44" t="s">
        <v>54</v>
      </c>
      <c r="G24" s="106">
        <v>48275858</v>
      </c>
      <c r="H24" s="2" t="s">
        <v>510</v>
      </c>
      <c r="I24" s="52"/>
      <c r="J24" s="52"/>
      <c r="K24" s="53">
        <v>0</v>
      </c>
      <c r="L24" s="52"/>
      <c r="M24" s="52"/>
      <c r="N24" s="52"/>
      <c r="O24" s="52"/>
      <c r="P24" s="53">
        <f t="shared" si="0"/>
        <v>0</v>
      </c>
      <c r="Q24" s="75"/>
      <c r="R24" s="51"/>
      <c r="S24" s="44"/>
      <c r="T24" s="44"/>
      <c r="U24" s="44"/>
      <c r="V24" s="44" t="s">
        <v>47</v>
      </c>
      <c r="W24" s="52"/>
      <c r="X24" s="118">
        <v>46118</v>
      </c>
      <c r="Y24" s="15" t="s">
        <v>61</v>
      </c>
      <c r="Z24" s="26"/>
      <c r="AA24" s="26"/>
      <c r="AB24" s="15" t="s">
        <v>49</v>
      </c>
      <c r="AC24" s="26"/>
      <c r="AD24" s="44" t="s">
        <v>48</v>
      </c>
      <c r="AE24" s="27"/>
      <c r="AF24" s="24"/>
      <c r="AG24" s="24"/>
      <c r="AH24" s="26"/>
      <c r="AI24" s="26"/>
      <c r="AJ24" s="25"/>
      <c r="AK24" s="26"/>
      <c r="AL24" s="17">
        <v>18</v>
      </c>
      <c r="AM24" s="47" t="s">
        <v>64</v>
      </c>
      <c r="AN24" s="44" t="s">
        <v>51</v>
      </c>
      <c r="AO24" s="44"/>
      <c r="AP24" s="52"/>
    </row>
    <row r="25" spans="1:42" s="41" customFormat="1" ht="14.25" customHeight="1" x14ac:dyDescent="0.25">
      <c r="A25" s="118">
        <v>46118</v>
      </c>
      <c r="B25" s="43"/>
      <c r="C25" s="13" t="s">
        <v>52</v>
      </c>
      <c r="D25" s="14" t="s">
        <v>53</v>
      </c>
      <c r="E25" s="98">
        <v>7254</v>
      </c>
      <c r="F25" s="44" t="s">
        <v>54</v>
      </c>
      <c r="G25" s="106">
        <v>73664447</v>
      </c>
      <c r="H25" s="2" t="s">
        <v>511</v>
      </c>
      <c r="I25" s="52"/>
      <c r="J25" s="52"/>
      <c r="K25" s="53">
        <v>6180</v>
      </c>
      <c r="L25" s="52"/>
      <c r="M25" s="52"/>
      <c r="N25" s="52"/>
      <c r="O25" s="52"/>
      <c r="P25" s="53">
        <f t="shared" si="0"/>
        <v>6180</v>
      </c>
      <c r="Q25" s="75"/>
      <c r="R25" s="51"/>
      <c r="S25" s="44"/>
      <c r="T25" s="44"/>
      <c r="U25" s="44"/>
      <c r="V25" s="44" t="s">
        <v>47</v>
      </c>
      <c r="W25" s="52"/>
      <c r="X25" s="118">
        <v>46118</v>
      </c>
      <c r="Y25" s="15" t="s">
        <v>61</v>
      </c>
      <c r="Z25" s="44"/>
      <c r="AA25" s="44"/>
      <c r="AB25" s="44" t="s">
        <v>49</v>
      </c>
      <c r="AC25" s="44"/>
      <c r="AD25" s="44" t="s">
        <v>48</v>
      </c>
      <c r="AE25" s="55"/>
      <c r="AF25" s="52"/>
      <c r="AG25" s="52"/>
      <c r="AH25" s="44"/>
      <c r="AI25" s="44"/>
      <c r="AJ25" s="51"/>
      <c r="AK25" s="44"/>
      <c r="AL25" s="52">
        <v>18</v>
      </c>
      <c r="AM25" s="19" t="s">
        <v>50</v>
      </c>
      <c r="AN25" s="44" t="s">
        <v>51</v>
      </c>
      <c r="AO25" s="44"/>
      <c r="AP25" s="52"/>
    </row>
    <row r="26" spans="1:42" s="41" customFormat="1" ht="14.25" customHeight="1" x14ac:dyDescent="0.25">
      <c r="A26" s="118">
        <v>46118</v>
      </c>
      <c r="B26" s="43"/>
      <c r="C26" s="13" t="s">
        <v>52</v>
      </c>
      <c r="D26" s="14" t="s">
        <v>53</v>
      </c>
      <c r="E26" s="98">
        <v>7255</v>
      </c>
      <c r="F26" s="44" t="s">
        <v>54</v>
      </c>
      <c r="G26" s="106">
        <v>73664447</v>
      </c>
      <c r="H26" s="2" t="s">
        <v>511</v>
      </c>
      <c r="I26" s="52"/>
      <c r="J26" s="52"/>
      <c r="K26" s="53">
        <v>0</v>
      </c>
      <c r="L26" s="52"/>
      <c r="M26" s="52"/>
      <c r="N26" s="52"/>
      <c r="O26" s="52"/>
      <c r="P26" s="53">
        <f t="shared" si="0"/>
        <v>0</v>
      </c>
      <c r="Q26" s="75"/>
      <c r="R26" s="51"/>
      <c r="S26" s="44"/>
      <c r="T26" s="44"/>
      <c r="U26" s="44"/>
      <c r="V26" s="44" t="s">
        <v>47</v>
      </c>
      <c r="W26" s="52"/>
      <c r="X26" s="118">
        <v>46118</v>
      </c>
      <c r="Y26" s="15" t="s">
        <v>61</v>
      </c>
      <c r="Z26" s="26"/>
      <c r="AA26" s="26"/>
      <c r="AB26" s="15" t="s">
        <v>49</v>
      </c>
      <c r="AC26" s="26"/>
      <c r="AD26" s="44" t="s">
        <v>48</v>
      </c>
      <c r="AE26" s="27"/>
      <c r="AF26" s="24"/>
      <c r="AG26" s="24"/>
      <c r="AH26" s="26"/>
      <c r="AI26" s="26"/>
      <c r="AJ26" s="25"/>
      <c r="AK26" s="26"/>
      <c r="AL26" s="17">
        <v>18</v>
      </c>
      <c r="AM26" s="47" t="s">
        <v>64</v>
      </c>
      <c r="AN26" s="44" t="s">
        <v>51</v>
      </c>
      <c r="AO26" s="44"/>
      <c r="AP26" s="52"/>
    </row>
    <row r="27" spans="1:42" s="20" customFormat="1" ht="14.25" customHeight="1" x14ac:dyDescent="0.25">
      <c r="A27" s="118">
        <v>46118</v>
      </c>
      <c r="B27" s="43"/>
      <c r="C27" s="13" t="s">
        <v>52</v>
      </c>
      <c r="D27" s="14" t="s">
        <v>53</v>
      </c>
      <c r="E27" s="98">
        <v>7256</v>
      </c>
      <c r="F27" s="44" t="s">
        <v>54</v>
      </c>
      <c r="G27" s="106">
        <v>41898443</v>
      </c>
      <c r="H27" s="2" t="s">
        <v>512</v>
      </c>
      <c r="I27" s="57"/>
      <c r="J27" s="57"/>
      <c r="K27" s="53">
        <v>8080</v>
      </c>
      <c r="L27" s="57"/>
      <c r="M27" s="57"/>
      <c r="N27" s="57"/>
      <c r="O27" s="57"/>
      <c r="P27" s="53">
        <f t="shared" si="0"/>
        <v>8080</v>
      </c>
      <c r="Q27" s="75"/>
      <c r="R27" s="56"/>
      <c r="S27" s="58"/>
      <c r="T27" s="58"/>
      <c r="U27" s="58"/>
      <c r="V27" s="44" t="s">
        <v>47</v>
      </c>
      <c r="W27" s="57"/>
      <c r="X27" s="118">
        <v>46118</v>
      </c>
      <c r="Y27" s="15" t="s">
        <v>61</v>
      </c>
      <c r="Z27" s="44"/>
      <c r="AA27" s="44"/>
      <c r="AB27" s="44" t="s">
        <v>49</v>
      </c>
      <c r="AC27" s="44"/>
      <c r="AD27" s="44" t="s">
        <v>48</v>
      </c>
      <c r="AE27" s="55"/>
      <c r="AF27" s="52"/>
      <c r="AG27" s="52"/>
      <c r="AH27" s="44"/>
      <c r="AI27" s="44"/>
      <c r="AJ27" s="51"/>
      <c r="AK27" s="44"/>
      <c r="AL27" s="52">
        <v>18</v>
      </c>
      <c r="AM27" s="19" t="s">
        <v>50</v>
      </c>
      <c r="AN27" s="44" t="s">
        <v>51</v>
      </c>
      <c r="AO27" s="58"/>
      <c r="AP27" s="57"/>
    </row>
    <row r="28" spans="1:42" s="20" customFormat="1" ht="14.25" customHeight="1" x14ac:dyDescent="0.25">
      <c r="A28" s="118">
        <v>46118</v>
      </c>
      <c r="B28" s="43"/>
      <c r="C28" s="13" t="s">
        <v>52</v>
      </c>
      <c r="D28" s="14" t="s">
        <v>53</v>
      </c>
      <c r="E28" s="98">
        <v>7257</v>
      </c>
      <c r="F28" s="44" t="s">
        <v>54</v>
      </c>
      <c r="G28" s="106">
        <v>43480195</v>
      </c>
      <c r="H28" s="2" t="s">
        <v>586</v>
      </c>
      <c r="I28" s="57"/>
      <c r="J28" s="57"/>
      <c r="K28" s="53">
        <v>6560</v>
      </c>
      <c r="L28" s="57"/>
      <c r="M28" s="57"/>
      <c r="N28" s="57"/>
      <c r="O28" s="57"/>
      <c r="P28" s="53">
        <f t="shared" si="0"/>
        <v>6560</v>
      </c>
      <c r="Q28" s="75"/>
      <c r="R28" s="56"/>
      <c r="S28" s="58"/>
      <c r="T28" s="58"/>
      <c r="U28" s="58"/>
      <c r="V28" s="44" t="s">
        <v>47</v>
      </c>
      <c r="W28" s="57"/>
      <c r="X28" s="118">
        <v>46118</v>
      </c>
      <c r="Y28" s="15" t="s">
        <v>61</v>
      </c>
      <c r="Z28" s="26"/>
      <c r="AA28" s="26"/>
      <c r="AB28" s="15" t="s">
        <v>49</v>
      </c>
      <c r="AC28" s="26"/>
      <c r="AD28" s="44" t="s">
        <v>48</v>
      </c>
      <c r="AE28" s="27"/>
      <c r="AF28" s="24"/>
      <c r="AG28" s="24"/>
      <c r="AH28" s="26"/>
      <c r="AI28" s="26"/>
      <c r="AJ28" s="25"/>
      <c r="AK28" s="26"/>
      <c r="AL28" s="17">
        <v>18</v>
      </c>
      <c r="AM28" s="19" t="s">
        <v>50</v>
      </c>
      <c r="AN28" s="44" t="s">
        <v>51</v>
      </c>
      <c r="AO28" s="58"/>
      <c r="AP28" s="57"/>
    </row>
    <row r="29" spans="1:42" s="20" customFormat="1" ht="14.25" customHeight="1" x14ac:dyDescent="0.25">
      <c r="A29" s="118">
        <v>46118</v>
      </c>
      <c r="B29" s="43"/>
      <c r="C29" s="13" t="s">
        <v>52</v>
      </c>
      <c r="D29" s="14" t="s">
        <v>53</v>
      </c>
      <c r="E29" s="98">
        <v>7258</v>
      </c>
      <c r="F29" s="44" t="s">
        <v>54</v>
      </c>
      <c r="G29" s="106">
        <v>45358109</v>
      </c>
      <c r="H29" s="2" t="s">
        <v>514</v>
      </c>
      <c r="I29" s="57"/>
      <c r="J29" s="57"/>
      <c r="K29" s="53">
        <v>6400</v>
      </c>
      <c r="L29" s="57"/>
      <c r="M29" s="57"/>
      <c r="N29" s="57"/>
      <c r="O29" s="57"/>
      <c r="P29" s="53">
        <f t="shared" si="0"/>
        <v>6400</v>
      </c>
      <c r="Q29" s="75"/>
      <c r="R29" s="56"/>
      <c r="S29" s="58"/>
      <c r="T29" s="58"/>
      <c r="U29" s="58"/>
      <c r="V29" s="44" t="s">
        <v>47</v>
      </c>
      <c r="W29" s="57"/>
      <c r="X29" s="118">
        <v>46148</v>
      </c>
      <c r="Y29" s="15" t="s">
        <v>63</v>
      </c>
      <c r="Z29" s="44"/>
      <c r="AA29" s="44"/>
      <c r="AB29" s="44" t="s">
        <v>49</v>
      </c>
      <c r="AC29" s="44"/>
      <c r="AD29" s="44" t="s">
        <v>48</v>
      </c>
      <c r="AE29" s="55"/>
      <c r="AF29" s="52"/>
      <c r="AG29" s="52"/>
      <c r="AH29" s="44"/>
      <c r="AI29" s="44"/>
      <c r="AJ29" s="51"/>
      <c r="AK29" s="44"/>
      <c r="AL29" s="52">
        <v>18</v>
      </c>
      <c r="AM29" s="19" t="s">
        <v>50</v>
      </c>
      <c r="AN29" s="44" t="s">
        <v>51</v>
      </c>
      <c r="AO29" s="58"/>
      <c r="AP29" s="57"/>
    </row>
    <row r="30" spans="1:42" s="20" customFormat="1" ht="14.25" customHeight="1" x14ac:dyDescent="0.25">
      <c r="A30" s="118">
        <v>46118</v>
      </c>
      <c r="B30" s="43"/>
      <c r="C30" s="13" t="s">
        <v>52</v>
      </c>
      <c r="D30" s="14" t="s">
        <v>53</v>
      </c>
      <c r="E30" s="98">
        <v>7259</v>
      </c>
      <c r="F30" s="44" t="s">
        <v>54</v>
      </c>
      <c r="G30" s="106">
        <v>45358109</v>
      </c>
      <c r="H30" s="2" t="s">
        <v>514</v>
      </c>
      <c r="I30" s="57"/>
      <c r="J30" s="57"/>
      <c r="K30" s="53">
        <v>0</v>
      </c>
      <c r="L30" s="57"/>
      <c r="M30" s="57"/>
      <c r="N30" s="57"/>
      <c r="O30" s="57"/>
      <c r="P30" s="53">
        <f t="shared" si="0"/>
        <v>0</v>
      </c>
      <c r="Q30" s="75"/>
      <c r="R30" s="56"/>
      <c r="S30" s="58"/>
      <c r="T30" s="58"/>
      <c r="U30" s="58"/>
      <c r="V30" s="44" t="s">
        <v>47</v>
      </c>
      <c r="W30" s="57"/>
      <c r="X30" s="118">
        <v>46118</v>
      </c>
      <c r="Y30" s="15" t="s">
        <v>61</v>
      </c>
      <c r="Z30" s="26"/>
      <c r="AA30" s="26"/>
      <c r="AB30" s="15" t="s">
        <v>49</v>
      </c>
      <c r="AC30" s="26"/>
      <c r="AD30" s="44" t="s">
        <v>48</v>
      </c>
      <c r="AE30" s="27"/>
      <c r="AF30" s="24"/>
      <c r="AG30" s="24"/>
      <c r="AH30" s="26"/>
      <c r="AI30" s="26"/>
      <c r="AJ30" s="25"/>
      <c r="AK30" s="26"/>
      <c r="AL30" s="17">
        <v>18</v>
      </c>
      <c r="AM30" s="47" t="s">
        <v>64</v>
      </c>
      <c r="AN30" s="44" t="s">
        <v>51</v>
      </c>
      <c r="AO30" s="58"/>
      <c r="AP30" s="57"/>
    </row>
    <row r="31" spans="1:42" s="20" customFormat="1" ht="14.25" customHeight="1" x14ac:dyDescent="0.25">
      <c r="A31" s="118">
        <v>46118</v>
      </c>
      <c r="B31" s="43"/>
      <c r="C31" s="13" t="s">
        <v>52</v>
      </c>
      <c r="D31" s="14" t="s">
        <v>53</v>
      </c>
      <c r="E31" s="98">
        <v>7260</v>
      </c>
      <c r="F31" s="44" t="s">
        <v>54</v>
      </c>
      <c r="G31" s="106">
        <v>43409712</v>
      </c>
      <c r="H31" s="2" t="s">
        <v>515</v>
      </c>
      <c r="I31" s="57"/>
      <c r="J31" s="57"/>
      <c r="K31" s="53">
        <v>11230</v>
      </c>
      <c r="L31" s="57"/>
      <c r="M31" s="57"/>
      <c r="N31" s="57"/>
      <c r="O31" s="57"/>
      <c r="P31" s="53">
        <f t="shared" si="0"/>
        <v>11230</v>
      </c>
      <c r="Q31" s="75"/>
      <c r="R31" s="56"/>
      <c r="S31" s="58"/>
      <c r="T31" s="58"/>
      <c r="U31" s="58"/>
      <c r="V31" s="44" t="s">
        <v>47</v>
      </c>
      <c r="W31" s="57"/>
      <c r="X31" s="118">
        <v>46118</v>
      </c>
      <c r="Y31" s="15" t="s">
        <v>61</v>
      </c>
      <c r="Z31" s="44"/>
      <c r="AA31" s="44"/>
      <c r="AB31" s="44" t="s">
        <v>49</v>
      </c>
      <c r="AC31" s="44"/>
      <c r="AD31" s="44" t="s">
        <v>48</v>
      </c>
      <c r="AE31" s="55"/>
      <c r="AF31" s="52"/>
      <c r="AG31" s="52"/>
      <c r="AH31" s="44"/>
      <c r="AI31" s="44"/>
      <c r="AJ31" s="51"/>
      <c r="AK31" s="44"/>
      <c r="AL31" s="52">
        <v>18</v>
      </c>
      <c r="AM31" s="19" t="s">
        <v>50</v>
      </c>
      <c r="AN31" s="44" t="s">
        <v>51</v>
      </c>
      <c r="AO31" s="58"/>
      <c r="AP31" s="57"/>
    </row>
    <row r="32" spans="1:42" s="41" customFormat="1" ht="14.25" customHeight="1" x14ac:dyDescent="0.25">
      <c r="A32" s="118">
        <v>46118</v>
      </c>
      <c r="B32" s="43"/>
      <c r="C32" s="13" t="s">
        <v>52</v>
      </c>
      <c r="D32" s="14" t="s">
        <v>53</v>
      </c>
      <c r="E32" s="98">
        <v>7261</v>
      </c>
      <c r="F32" s="44" t="s">
        <v>54</v>
      </c>
      <c r="G32" s="106">
        <v>43409712</v>
      </c>
      <c r="H32" s="2" t="s">
        <v>515</v>
      </c>
      <c r="I32" s="52"/>
      <c r="J32" s="52"/>
      <c r="K32" s="53">
        <v>0</v>
      </c>
      <c r="L32" s="52"/>
      <c r="M32" s="52"/>
      <c r="N32" s="52"/>
      <c r="O32" s="52"/>
      <c r="P32" s="53">
        <f t="shared" si="0"/>
        <v>0</v>
      </c>
      <c r="Q32" s="75"/>
      <c r="R32" s="51"/>
      <c r="S32" s="44"/>
      <c r="T32" s="44"/>
      <c r="U32" s="44"/>
      <c r="V32" s="44" t="s">
        <v>47</v>
      </c>
      <c r="W32" s="52"/>
      <c r="X32" s="118">
        <v>46118</v>
      </c>
      <c r="Y32" s="15" t="s">
        <v>61</v>
      </c>
      <c r="Z32" s="26"/>
      <c r="AA32" s="26"/>
      <c r="AB32" s="15" t="s">
        <v>49</v>
      </c>
      <c r="AC32" s="26"/>
      <c r="AD32" s="44" t="s">
        <v>48</v>
      </c>
      <c r="AE32" s="27"/>
      <c r="AF32" s="24"/>
      <c r="AG32" s="24"/>
      <c r="AH32" s="26"/>
      <c r="AI32" s="26"/>
      <c r="AJ32" s="25"/>
      <c r="AK32" s="26"/>
      <c r="AL32" s="17">
        <v>18</v>
      </c>
      <c r="AM32" s="47" t="s">
        <v>64</v>
      </c>
      <c r="AN32" s="44" t="s">
        <v>51</v>
      </c>
      <c r="AO32" s="44"/>
      <c r="AP32" s="52"/>
    </row>
    <row r="33" spans="1:49" s="41" customFormat="1" ht="14.25" customHeight="1" x14ac:dyDescent="0.25">
      <c r="A33" s="118">
        <v>46119</v>
      </c>
      <c r="B33" s="43"/>
      <c r="C33" s="13" t="s">
        <v>52</v>
      </c>
      <c r="D33" s="14" t="s">
        <v>53</v>
      </c>
      <c r="E33" s="98">
        <v>7262</v>
      </c>
      <c r="F33" s="44" t="s">
        <v>54</v>
      </c>
      <c r="G33" s="106">
        <v>74318538</v>
      </c>
      <c r="H33" s="2" t="s">
        <v>516</v>
      </c>
      <c r="I33" s="52"/>
      <c r="J33" s="52"/>
      <c r="K33" s="53">
        <v>11980</v>
      </c>
      <c r="L33" s="52"/>
      <c r="M33" s="52"/>
      <c r="N33" s="52"/>
      <c r="O33" s="52"/>
      <c r="P33" s="53">
        <f t="shared" si="0"/>
        <v>11980</v>
      </c>
      <c r="Q33" s="75"/>
      <c r="R33" s="51"/>
      <c r="S33" s="44"/>
      <c r="T33" s="44"/>
      <c r="U33" s="44"/>
      <c r="V33" s="44" t="s">
        <v>47</v>
      </c>
      <c r="W33" s="52"/>
      <c r="X33" s="118">
        <v>46119</v>
      </c>
      <c r="Y33" s="15" t="s">
        <v>61</v>
      </c>
      <c r="Z33" s="44"/>
      <c r="AA33" s="44"/>
      <c r="AB33" s="44" t="s">
        <v>49</v>
      </c>
      <c r="AC33" s="44"/>
      <c r="AD33" s="44" t="s">
        <v>48</v>
      </c>
      <c r="AE33" s="55"/>
      <c r="AF33" s="52"/>
      <c r="AG33" s="52"/>
      <c r="AH33" s="44"/>
      <c r="AI33" s="44"/>
      <c r="AJ33" s="51"/>
      <c r="AK33" s="44"/>
      <c r="AL33" s="52">
        <v>18</v>
      </c>
      <c r="AM33" s="19" t="s">
        <v>50</v>
      </c>
      <c r="AN33" s="44" t="s">
        <v>51</v>
      </c>
      <c r="AO33" s="44"/>
      <c r="AP33" s="52"/>
    </row>
    <row r="34" spans="1:49" s="20" customFormat="1" ht="14.25" customHeight="1" x14ac:dyDescent="0.25">
      <c r="A34" s="118">
        <v>46119</v>
      </c>
      <c r="B34" s="43"/>
      <c r="C34" s="13" t="s">
        <v>52</v>
      </c>
      <c r="D34" s="14" t="s">
        <v>53</v>
      </c>
      <c r="E34" s="98">
        <v>7263</v>
      </c>
      <c r="F34" s="44" t="s">
        <v>54</v>
      </c>
      <c r="G34" s="106">
        <v>74318538</v>
      </c>
      <c r="H34" s="2" t="s">
        <v>516</v>
      </c>
      <c r="I34" s="57"/>
      <c r="J34" s="57"/>
      <c r="K34" s="53">
        <v>0</v>
      </c>
      <c r="L34" s="57"/>
      <c r="M34" s="57"/>
      <c r="N34" s="57"/>
      <c r="O34" s="57"/>
      <c r="P34" s="53">
        <f t="shared" si="0"/>
        <v>0</v>
      </c>
      <c r="Q34" s="75"/>
      <c r="R34" s="56"/>
      <c r="S34" s="58"/>
      <c r="T34" s="58"/>
      <c r="U34" s="58"/>
      <c r="V34" s="44" t="s">
        <v>47</v>
      </c>
      <c r="W34" s="57"/>
      <c r="X34" s="118">
        <v>46119</v>
      </c>
      <c r="Y34" s="15" t="s">
        <v>61</v>
      </c>
      <c r="Z34" s="26"/>
      <c r="AA34" s="26"/>
      <c r="AB34" s="15" t="s">
        <v>49</v>
      </c>
      <c r="AC34" s="26"/>
      <c r="AD34" s="44" t="s">
        <v>48</v>
      </c>
      <c r="AE34" s="27"/>
      <c r="AF34" s="24"/>
      <c r="AG34" s="24"/>
      <c r="AH34" s="26"/>
      <c r="AI34" s="26"/>
      <c r="AJ34" s="25"/>
      <c r="AK34" s="26"/>
      <c r="AL34" s="17">
        <v>18</v>
      </c>
      <c r="AM34" s="47" t="s">
        <v>64</v>
      </c>
      <c r="AN34" s="44" t="s">
        <v>51</v>
      </c>
      <c r="AO34" s="58"/>
      <c r="AP34" s="57"/>
    </row>
    <row r="35" spans="1:49" s="20" customFormat="1" ht="14.25" customHeight="1" x14ac:dyDescent="0.25">
      <c r="A35" s="118">
        <v>46119</v>
      </c>
      <c r="B35" s="43"/>
      <c r="C35" s="13" t="s">
        <v>52</v>
      </c>
      <c r="D35" s="14" t="s">
        <v>53</v>
      </c>
      <c r="E35" s="98">
        <v>7264</v>
      </c>
      <c r="F35" s="44" t="s">
        <v>54</v>
      </c>
      <c r="G35" s="106">
        <v>75843639</v>
      </c>
      <c r="H35" s="2" t="s">
        <v>517</v>
      </c>
      <c r="I35" s="57"/>
      <c r="J35" s="57"/>
      <c r="K35" s="53">
        <v>5280</v>
      </c>
      <c r="L35" s="57"/>
      <c r="M35" s="57"/>
      <c r="N35" s="57"/>
      <c r="O35" s="57"/>
      <c r="P35" s="53">
        <f t="shared" si="0"/>
        <v>5280</v>
      </c>
      <c r="Q35" s="75"/>
      <c r="R35" s="56"/>
      <c r="S35" s="58"/>
      <c r="T35" s="58"/>
      <c r="U35" s="58"/>
      <c r="V35" s="44" t="s">
        <v>47</v>
      </c>
      <c r="W35" s="57"/>
      <c r="X35" s="118">
        <v>46119</v>
      </c>
      <c r="Y35" s="15" t="s">
        <v>61</v>
      </c>
      <c r="Z35" s="44"/>
      <c r="AA35" s="44"/>
      <c r="AB35" s="44" t="s">
        <v>49</v>
      </c>
      <c r="AC35" s="44"/>
      <c r="AD35" s="44" t="s">
        <v>48</v>
      </c>
      <c r="AE35" s="55"/>
      <c r="AF35" s="52"/>
      <c r="AG35" s="52"/>
      <c r="AH35" s="44"/>
      <c r="AI35" s="44"/>
      <c r="AJ35" s="51"/>
      <c r="AK35" s="44"/>
      <c r="AL35" s="52">
        <v>18</v>
      </c>
      <c r="AM35" s="19" t="s">
        <v>50</v>
      </c>
      <c r="AN35" s="44" t="s">
        <v>51</v>
      </c>
      <c r="AO35" s="58"/>
      <c r="AP35" s="57"/>
    </row>
    <row r="36" spans="1:49" s="41" customFormat="1" ht="14.25" customHeight="1" x14ac:dyDescent="0.25">
      <c r="A36" s="118">
        <v>46120</v>
      </c>
      <c r="B36" s="43"/>
      <c r="C36" s="13" t="s">
        <v>52</v>
      </c>
      <c r="D36" s="14" t="s">
        <v>53</v>
      </c>
      <c r="E36" s="98">
        <v>7265</v>
      </c>
      <c r="F36" s="44" t="s">
        <v>54</v>
      </c>
      <c r="G36" s="106">
        <v>75813881</v>
      </c>
      <c r="H36" s="95" t="s">
        <v>518</v>
      </c>
      <c r="I36" s="52"/>
      <c r="J36" s="52"/>
      <c r="K36" s="53">
        <v>13280</v>
      </c>
      <c r="L36" s="52"/>
      <c r="M36" s="52"/>
      <c r="N36" s="52"/>
      <c r="O36" s="52"/>
      <c r="P36" s="53">
        <f t="shared" si="0"/>
        <v>13280</v>
      </c>
      <c r="Q36" s="75"/>
      <c r="R36" s="51"/>
      <c r="S36" s="44"/>
      <c r="T36" s="44"/>
      <c r="U36" s="44"/>
      <c r="V36" s="44" t="s">
        <v>47</v>
      </c>
      <c r="W36" s="52"/>
      <c r="X36" s="118">
        <v>46150</v>
      </c>
      <c r="Y36" s="15" t="s">
        <v>63</v>
      </c>
      <c r="Z36" s="44"/>
      <c r="AA36" s="44"/>
      <c r="AB36" s="44" t="s">
        <v>49</v>
      </c>
      <c r="AC36" s="44"/>
      <c r="AD36" s="44" t="s">
        <v>48</v>
      </c>
      <c r="AE36" s="55"/>
      <c r="AF36" s="52"/>
      <c r="AG36" s="52"/>
      <c r="AH36" s="44"/>
      <c r="AI36" s="44"/>
      <c r="AJ36" s="51"/>
      <c r="AK36" s="44"/>
      <c r="AL36" s="52">
        <v>18</v>
      </c>
      <c r="AM36" s="19" t="s">
        <v>50</v>
      </c>
      <c r="AN36" s="44" t="s">
        <v>51</v>
      </c>
      <c r="AO36" s="44"/>
      <c r="AP36" s="52"/>
    </row>
    <row r="37" spans="1:49" s="41" customFormat="1" ht="14.25" customHeight="1" x14ac:dyDescent="0.25">
      <c r="A37" s="118">
        <v>46120</v>
      </c>
      <c r="B37" s="43"/>
      <c r="C37" s="13" t="s">
        <v>52</v>
      </c>
      <c r="D37" s="14" t="s">
        <v>53</v>
      </c>
      <c r="E37" s="98">
        <v>7266</v>
      </c>
      <c r="F37" s="44" t="s">
        <v>54</v>
      </c>
      <c r="G37" s="106">
        <v>75813881</v>
      </c>
      <c r="H37" s="95" t="s">
        <v>518</v>
      </c>
      <c r="I37" s="52"/>
      <c r="J37" s="52"/>
      <c r="K37" s="53">
        <v>0</v>
      </c>
      <c r="L37" s="52"/>
      <c r="M37" s="52"/>
      <c r="N37" s="52"/>
      <c r="O37" s="52"/>
      <c r="P37" s="53">
        <f t="shared" si="0"/>
        <v>0</v>
      </c>
      <c r="R37" s="51"/>
      <c r="S37" s="44"/>
      <c r="T37" s="44"/>
      <c r="U37" s="44"/>
      <c r="V37" s="44" t="s">
        <v>47</v>
      </c>
      <c r="W37" s="52"/>
      <c r="X37" s="118">
        <v>46120</v>
      </c>
      <c r="Y37" s="15" t="s">
        <v>61</v>
      </c>
      <c r="Z37" s="26"/>
      <c r="AA37" s="26"/>
      <c r="AB37" s="15" t="s">
        <v>49</v>
      </c>
      <c r="AC37" s="26"/>
      <c r="AD37" s="44" t="s">
        <v>48</v>
      </c>
      <c r="AE37" s="27"/>
      <c r="AF37" s="24"/>
      <c r="AG37" s="24"/>
      <c r="AH37" s="26"/>
      <c r="AI37" s="26"/>
      <c r="AJ37" s="25"/>
      <c r="AK37" s="26"/>
      <c r="AL37" s="17">
        <v>18</v>
      </c>
      <c r="AM37" s="47" t="s">
        <v>64</v>
      </c>
      <c r="AN37" s="44" t="s">
        <v>51</v>
      </c>
      <c r="AO37" s="44"/>
      <c r="AP37" s="52"/>
    </row>
    <row r="38" spans="1:49" s="41" customFormat="1" ht="14.25" customHeight="1" x14ac:dyDescent="0.25">
      <c r="A38" s="118">
        <v>46120</v>
      </c>
      <c r="B38" s="43"/>
      <c r="C38" s="13" t="s">
        <v>52</v>
      </c>
      <c r="D38" s="14" t="s">
        <v>53</v>
      </c>
      <c r="E38" s="98">
        <v>7267</v>
      </c>
      <c r="F38" s="44" t="s">
        <v>54</v>
      </c>
      <c r="G38" s="106">
        <v>47721463</v>
      </c>
      <c r="H38" s="95" t="s">
        <v>519</v>
      </c>
      <c r="I38" s="52"/>
      <c r="J38" s="52"/>
      <c r="K38" s="53">
        <v>8080</v>
      </c>
      <c r="L38" s="52"/>
      <c r="M38" s="52"/>
      <c r="N38" s="52"/>
      <c r="O38" s="52"/>
      <c r="P38" s="53">
        <f t="shared" si="0"/>
        <v>8080</v>
      </c>
      <c r="Q38" s="75"/>
      <c r="R38" s="51"/>
      <c r="S38" s="44"/>
      <c r="T38" s="44"/>
      <c r="U38" s="44"/>
      <c r="V38" s="44" t="s">
        <v>47</v>
      </c>
      <c r="W38" s="52"/>
      <c r="X38" s="118">
        <v>46120</v>
      </c>
      <c r="Y38" s="15" t="s">
        <v>61</v>
      </c>
      <c r="Z38" s="44"/>
      <c r="AA38" s="44"/>
      <c r="AB38" s="44" t="s">
        <v>49</v>
      </c>
      <c r="AC38" s="44"/>
      <c r="AD38" s="44" t="s">
        <v>48</v>
      </c>
      <c r="AE38" s="55"/>
      <c r="AF38" s="52"/>
      <c r="AG38" s="52"/>
      <c r="AH38" s="44"/>
      <c r="AI38" s="44"/>
      <c r="AJ38" s="51"/>
      <c r="AK38" s="44"/>
      <c r="AL38" s="52">
        <v>18</v>
      </c>
      <c r="AM38" s="19" t="s">
        <v>50</v>
      </c>
      <c r="AN38" s="44" t="s">
        <v>51</v>
      </c>
      <c r="AO38" s="44"/>
      <c r="AP38" s="52"/>
    </row>
    <row r="39" spans="1:49" s="105" customFormat="1" ht="14.25" customHeight="1" x14ac:dyDescent="0.25">
      <c r="A39" s="118">
        <v>46120</v>
      </c>
      <c r="B39" s="18"/>
      <c r="C39" s="22" t="s">
        <v>52</v>
      </c>
      <c r="D39" s="23" t="s">
        <v>53</v>
      </c>
      <c r="E39" s="98">
        <v>7268</v>
      </c>
      <c r="F39" s="15" t="s">
        <v>54</v>
      </c>
      <c r="G39" s="106">
        <v>73391085</v>
      </c>
      <c r="H39" s="102" t="s">
        <v>520</v>
      </c>
      <c r="I39" s="17"/>
      <c r="J39" s="17"/>
      <c r="K39" s="53">
        <v>8080</v>
      </c>
      <c r="L39" s="17"/>
      <c r="M39" s="17"/>
      <c r="N39" s="17"/>
      <c r="O39" s="17"/>
      <c r="P39" s="16">
        <f t="shared" si="0"/>
        <v>8080</v>
      </c>
      <c r="Q39" s="103"/>
      <c r="R39" s="18"/>
      <c r="S39" s="15"/>
      <c r="T39" s="15"/>
      <c r="U39" s="15"/>
      <c r="V39" s="15" t="s">
        <v>47</v>
      </c>
      <c r="W39" s="17"/>
      <c r="X39" s="118">
        <v>46120</v>
      </c>
      <c r="Y39" s="15" t="s">
        <v>61</v>
      </c>
      <c r="Z39" s="26"/>
      <c r="AA39" s="26"/>
      <c r="AB39" s="15" t="s">
        <v>49</v>
      </c>
      <c r="AC39" s="26"/>
      <c r="AD39" s="44" t="s">
        <v>48</v>
      </c>
      <c r="AE39" s="27"/>
      <c r="AF39" s="24"/>
      <c r="AG39" s="24"/>
      <c r="AH39" s="26"/>
      <c r="AI39" s="26"/>
      <c r="AJ39" s="25"/>
      <c r="AK39" s="26"/>
      <c r="AL39" s="17">
        <v>18</v>
      </c>
      <c r="AM39" s="19" t="s">
        <v>50</v>
      </c>
      <c r="AN39" s="15" t="s">
        <v>51</v>
      </c>
      <c r="AO39" s="15"/>
      <c r="AP39" s="17"/>
      <c r="AW39" s="103"/>
    </row>
    <row r="40" spans="1:49" s="41" customFormat="1" ht="14.25" customHeight="1" x14ac:dyDescent="0.25">
      <c r="A40" s="118">
        <v>46120</v>
      </c>
      <c r="B40" s="43"/>
      <c r="C40" s="13" t="s">
        <v>52</v>
      </c>
      <c r="D40" s="14" t="s">
        <v>53</v>
      </c>
      <c r="E40" s="98">
        <v>7269</v>
      </c>
      <c r="F40" s="44" t="s">
        <v>54</v>
      </c>
      <c r="G40" s="106">
        <v>76465561</v>
      </c>
      <c r="H40" s="95" t="s">
        <v>521</v>
      </c>
      <c r="I40" s="52"/>
      <c r="J40" s="52"/>
      <c r="K40" s="53">
        <v>8080</v>
      </c>
      <c r="L40" s="52"/>
      <c r="M40" s="52"/>
      <c r="N40" s="52"/>
      <c r="O40" s="52"/>
      <c r="P40" s="53">
        <f t="shared" si="0"/>
        <v>8080</v>
      </c>
      <c r="Q40" s="75"/>
      <c r="R40" s="51"/>
      <c r="S40" s="44"/>
      <c r="T40" s="44"/>
      <c r="U40" s="44"/>
      <c r="V40" s="44" t="s">
        <v>47</v>
      </c>
      <c r="W40" s="52"/>
      <c r="X40" s="118">
        <v>46120</v>
      </c>
      <c r="Y40" s="15" t="s">
        <v>61</v>
      </c>
      <c r="Z40" s="44"/>
      <c r="AA40" s="44"/>
      <c r="AB40" s="44" t="s">
        <v>49</v>
      </c>
      <c r="AC40" s="44"/>
      <c r="AD40" s="44" t="s">
        <v>48</v>
      </c>
      <c r="AE40" s="55"/>
      <c r="AF40" s="52"/>
      <c r="AG40" s="52"/>
      <c r="AH40" s="44"/>
      <c r="AI40" s="44"/>
      <c r="AJ40" s="51"/>
      <c r="AK40" s="44"/>
      <c r="AL40" s="52">
        <v>18</v>
      </c>
      <c r="AM40" s="19" t="s">
        <v>50</v>
      </c>
      <c r="AN40" s="44" t="s">
        <v>51</v>
      </c>
      <c r="AO40" s="44"/>
      <c r="AP40" s="52"/>
    </row>
    <row r="41" spans="1:49" s="41" customFormat="1" ht="14.25" customHeight="1" x14ac:dyDescent="0.25">
      <c r="A41" s="118">
        <v>46120</v>
      </c>
      <c r="B41" s="43"/>
      <c r="C41" s="13" t="s">
        <v>52</v>
      </c>
      <c r="D41" s="14" t="s">
        <v>53</v>
      </c>
      <c r="E41" s="98">
        <v>7270</v>
      </c>
      <c r="F41" s="44" t="s">
        <v>54</v>
      </c>
      <c r="G41" s="106">
        <v>76552273</v>
      </c>
      <c r="H41" s="2" t="s">
        <v>569</v>
      </c>
      <c r="I41" s="52"/>
      <c r="J41" s="52"/>
      <c r="K41" s="53">
        <v>6180</v>
      </c>
      <c r="L41" s="52"/>
      <c r="M41" s="52"/>
      <c r="N41" s="52"/>
      <c r="O41" s="52"/>
      <c r="P41" s="53">
        <f t="shared" si="0"/>
        <v>6180</v>
      </c>
      <c r="Q41" s="75"/>
      <c r="R41" s="51"/>
      <c r="S41" s="44"/>
      <c r="T41" s="44"/>
      <c r="U41" s="44"/>
      <c r="V41" s="44" t="s">
        <v>47</v>
      </c>
      <c r="W41" s="52"/>
      <c r="X41" s="118">
        <v>46120</v>
      </c>
      <c r="Y41" s="15" t="s">
        <v>61</v>
      </c>
      <c r="Z41" s="26"/>
      <c r="AA41" s="26"/>
      <c r="AB41" s="15" t="s">
        <v>49</v>
      </c>
      <c r="AC41" s="26"/>
      <c r="AD41" s="44" t="s">
        <v>48</v>
      </c>
      <c r="AE41" s="27"/>
      <c r="AF41" s="24"/>
      <c r="AG41" s="24"/>
      <c r="AH41" s="26"/>
      <c r="AI41" s="26"/>
      <c r="AJ41" s="25"/>
      <c r="AK41" s="26"/>
      <c r="AL41" s="17">
        <v>18</v>
      </c>
      <c r="AM41" s="19" t="s">
        <v>50</v>
      </c>
      <c r="AN41" s="44" t="s">
        <v>51</v>
      </c>
      <c r="AO41" s="44"/>
      <c r="AP41" s="52"/>
    </row>
    <row r="42" spans="1:49" s="20" customFormat="1" ht="14.25" customHeight="1" x14ac:dyDescent="0.25">
      <c r="A42" s="118">
        <v>46120</v>
      </c>
      <c r="B42" s="43"/>
      <c r="C42" s="13" t="s">
        <v>52</v>
      </c>
      <c r="D42" s="14" t="s">
        <v>53</v>
      </c>
      <c r="E42" s="98">
        <v>7271</v>
      </c>
      <c r="F42" s="44" t="s">
        <v>54</v>
      </c>
      <c r="G42" s="106">
        <v>76552273</v>
      </c>
      <c r="H42" s="2" t="s">
        <v>569</v>
      </c>
      <c r="I42" s="57"/>
      <c r="J42" s="57"/>
      <c r="K42" s="53">
        <v>0</v>
      </c>
      <c r="L42" s="57"/>
      <c r="M42" s="57"/>
      <c r="N42" s="57"/>
      <c r="O42" s="57"/>
      <c r="P42" s="53">
        <f t="shared" si="0"/>
        <v>0</v>
      </c>
      <c r="Q42" s="75"/>
      <c r="R42" s="56"/>
      <c r="S42" s="58"/>
      <c r="T42" s="58"/>
      <c r="U42" s="58"/>
      <c r="V42" s="44" t="s">
        <v>47</v>
      </c>
      <c r="W42" s="57"/>
      <c r="X42" s="118">
        <v>46120</v>
      </c>
      <c r="Y42" s="15" t="s">
        <v>61</v>
      </c>
      <c r="Z42" s="44"/>
      <c r="AA42" s="44"/>
      <c r="AB42" s="44" t="s">
        <v>49</v>
      </c>
      <c r="AC42" s="44"/>
      <c r="AD42" s="44" t="s">
        <v>48</v>
      </c>
      <c r="AE42" s="55"/>
      <c r="AF42" s="52"/>
      <c r="AG42" s="52"/>
      <c r="AH42" s="44"/>
      <c r="AI42" s="44"/>
      <c r="AJ42" s="51"/>
      <c r="AK42" s="44"/>
      <c r="AL42" s="52">
        <v>18</v>
      </c>
      <c r="AM42" s="47" t="s">
        <v>64</v>
      </c>
      <c r="AN42" s="44" t="s">
        <v>51</v>
      </c>
      <c r="AO42" s="58"/>
      <c r="AP42" s="57"/>
    </row>
    <row r="43" spans="1:49" s="20" customFormat="1" ht="14.25" customHeight="1" x14ac:dyDescent="0.25">
      <c r="A43" s="118">
        <v>46120</v>
      </c>
      <c r="B43" s="43"/>
      <c r="C43" s="13" t="s">
        <v>52</v>
      </c>
      <c r="D43" s="14" t="s">
        <v>53</v>
      </c>
      <c r="E43" s="98">
        <v>7272</v>
      </c>
      <c r="F43" s="44" t="s">
        <v>54</v>
      </c>
      <c r="G43" s="106">
        <v>48813718</v>
      </c>
      <c r="H43" s="2" t="s">
        <v>522</v>
      </c>
      <c r="I43" s="57"/>
      <c r="J43" s="57"/>
      <c r="K43" s="53">
        <v>6180</v>
      </c>
      <c r="L43" s="57"/>
      <c r="M43" s="57"/>
      <c r="N43" s="57"/>
      <c r="O43" s="57"/>
      <c r="P43" s="53">
        <f t="shared" si="0"/>
        <v>6180</v>
      </c>
      <c r="Q43" s="75"/>
      <c r="R43" s="56"/>
      <c r="S43" s="58"/>
      <c r="T43" s="58"/>
      <c r="U43" s="58"/>
      <c r="V43" s="44" t="s">
        <v>47</v>
      </c>
      <c r="W43" s="57"/>
      <c r="X43" s="118">
        <v>46120</v>
      </c>
      <c r="Y43" s="15" t="s">
        <v>61</v>
      </c>
      <c r="Z43" s="26"/>
      <c r="AA43" s="26"/>
      <c r="AB43" s="15" t="s">
        <v>49</v>
      </c>
      <c r="AC43" s="26"/>
      <c r="AD43" s="44" t="s">
        <v>48</v>
      </c>
      <c r="AE43" s="27"/>
      <c r="AF43" s="24"/>
      <c r="AG43" s="24"/>
      <c r="AH43" s="26"/>
      <c r="AI43" s="26"/>
      <c r="AJ43" s="25"/>
      <c r="AK43" s="26"/>
      <c r="AL43" s="17">
        <v>18</v>
      </c>
      <c r="AM43" s="19" t="s">
        <v>50</v>
      </c>
      <c r="AN43" s="44" t="s">
        <v>51</v>
      </c>
      <c r="AO43" s="58"/>
      <c r="AP43" s="57"/>
    </row>
    <row r="44" spans="1:49" s="20" customFormat="1" ht="14.25" customHeight="1" x14ac:dyDescent="0.25">
      <c r="A44" s="118">
        <v>46120</v>
      </c>
      <c r="B44" s="43"/>
      <c r="C44" s="13" t="s">
        <v>52</v>
      </c>
      <c r="D44" s="14" t="s">
        <v>53</v>
      </c>
      <c r="E44" s="98">
        <v>7273</v>
      </c>
      <c r="F44" s="44" t="s">
        <v>54</v>
      </c>
      <c r="G44" s="106">
        <v>48813718</v>
      </c>
      <c r="H44" s="2" t="s">
        <v>522</v>
      </c>
      <c r="I44" s="57"/>
      <c r="J44" s="57"/>
      <c r="K44" s="53">
        <v>0</v>
      </c>
      <c r="L44" s="57"/>
      <c r="M44" s="57"/>
      <c r="N44" s="57"/>
      <c r="O44" s="57"/>
      <c r="P44" s="53">
        <f t="shared" si="0"/>
        <v>0</v>
      </c>
      <c r="Q44" s="75"/>
      <c r="R44" s="56"/>
      <c r="S44" s="58"/>
      <c r="T44" s="58"/>
      <c r="U44" s="58"/>
      <c r="V44" s="44" t="s">
        <v>47</v>
      </c>
      <c r="W44" s="57"/>
      <c r="X44" s="118">
        <v>46120</v>
      </c>
      <c r="Y44" s="15" t="s">
        <v>61</v>
      </c>
      <c r="Z44" s="44"/>
      <c r="AA44" s="44"/>
      <c r="AB44" s="44" t="s">
        <v>49</v>
      </c>
      <c r="AC44" s="44"/>
      <c r="AD44" s="44" t="s">
        <v>48</v>
      </c>
      <c r="AE44" s="55"/>
      <c r="AF44" s="52"/>
      <c r="AG44" s="52"/>
      <c r="AH44" s="44"/>
      <c r="AI44" s="44"/>
      <c r="AJ44" s="51"/>
      <c r="AK44" s="44"/>
      <c r="AL44" s="52">
        <v>18</v>
      </c>
      <c r="AM44" s="47" t="s">
        <v>64</v>
      </c>
      <c r="AN44" s="44" t="s">
        <v>51</v>
      </c>
      <c r="AO44" s="58"/>
      <c r="AP44" s="57"/>
    </row>
    <row r="45" spans="1:49" s="20" customFormat="1" ht="14.25" customHeight="1" x14ac:dyDescent="0.25">
      <c r="A45" s="118">
        <v>46120</v>
      </c>
      <c r="B45" s="43"/>
      <c r="C45" s="13" t="s">
        <v>52</v>
      </c>
      <c r="D45" s="14" t="s">
        <v>53</v>
      </c>
      <c r="E45" s="98">
        <v>7274</v>
      </c>
      <c r="F45" s="44" t="s">
        <v>54</v>
      </c>
      <c r="G45" s="106">
        <v>47256793</v>
      </c>
      <c r="H45" s="2" t="s">
        <v>523</v>
      </c>
      <c r="I45" s="57"/>
      <c r="J45" s="57"/>
      <c r="K45" s="53">
        <v>8180</v>
      </c>
      <c r="L45" s="57"/>
      <c r="M45" s="57"/>
      <c r="N45" s="57"/>
      <c r="O45" s="57"/>
      <c r="P45" s="53">
        <f t="shared" si="0"/>
        <v>8180</v>
      </c>
      <c r="Q45" s="75"/>
      <c r="R45" s="56"/>
      <c r="S45" s="58"/>
      <c r="T45" s="58"/>
      <c r="U45" s="58"/>
      <c r="V45" s="44" t="s">
        <v>47</v>
      </c>
      <c r="W45" s="57"/>
      <c r="X45" s="118">
        <v>46120</v>
      </c>
      <c r="Y45" s="15" t="s">
        <v>61</v>
      </c>
      <c r="Z45" s="26"/>
      <c r="AA45" s="26"/>
      <c r="AB45" s="15" t="s">
        <v>49</v>
      </c>
      <c r="AC45" s="26"/>
      <c r="AD45" s="44" t="s">
        <v>48</v>
      </c>
      <c r="AE45" s="27"/>
      <c r="AF45" s="24"/>
      <c r="AG45" s="24"/>
      <c r="AH45" s="26"/>
      <c r="AI45" s="26"/>
      <c r="AJ45" s="25"/>
      <c r="AK45" s="26"/>
      <c r="AL45" s="17">
        <v>18</v>
      </c>
      <c r="AM45" s="19" t="s">
        <v>50</v>
      </c>
      <c r="AN45" s="44" t="s">
        <v>51</v>
      </c>
      <c r="AO45" s="58"/>
      <c r="AP45" s="57"/>
    </row>
    <row r="46" spans="1:49" s="20" customFormat="1" ht="14.25" customHeight="1" x14ac:dyDescent="0.25">
      <c r="A46" s="118">
        <v>46120</v>
      </c>
      <c r="B46" s="43"/>
      <c r="C46" s="13" t="s">
        <v>52</v>
      </c>
      <c r="D46" s="14" t="s">
        <v>53</v>
      </c>
      <c r="E46" s="98">
        <v>7275</v>
      </c>
      <c r="F46" s="44" t="s">
        <v>54</v>
      </c>
      <c r="G46" s="106">
        <v>47256793</v>
      </c>
      <c r="H46" s="2" t="s">
        <v>523</v>
      </c>
      <c r="I46" s="57"/>
      <c r="J46" s="57"/>
      <c r="K46" s="53">
        <v>0</v>
      </c>
      <c r="L46" s="57"/>
      <c r="M46" s="57"/>
      <c r="N46" s="57"/>
      <c r="O46" s="57"/>
      <c r="P46" s="53">
        <f t="shared" si="0"/>
        <v>0</v>
      </c>
      <c r="Q46" s="75"/>
      <c r="R46" s="56"/>
      <c r="S46" s="58"/>
      <c r="T46" s="58"/>
      <c r="U46" s="58"/>
      <c r="V46" s="44" t="s">
        <v>47</v>
      </c>
      <c r="W46" s="57"/>
      <c r="X46" s="118">
        <v>46120</v>
      </c>
      <c r="Y46" s="15" t="s">
        <v>61</v>
      </c>
      <c r="Z46" s="44"/>
      <c r="AA46" s="44"/>
      <c r="AB46" s="44" t="s">
        <v>49</v>
      </c>
      <c r="AC46" s="44"/>
      <c r="AD46" s="44" t="s">
        <v>48</v>
      </c>
      <c r="AE46" s="55"/>
      <c r="AF46" s="52"/>
      <c r="AG46" s="52"/>
      <c r="AH46" s="44"/>
      <c r="AI46" s="44"/>
      <c r="AJ46" s="51"/>
      <c r="AK46" s="44"/>
      <c r="AL46" s="52">
        <v>18</v>
      </c>
      <c r="AM46" s="47" t="s">
        <v>64</v>
      </c>
      <c r="AN46" s="44" t="s">
        <v>51</v>
      </c>
      <c r="AO46" s="58"/>
      <c r="AP46" s="57"/>
    </row>
    <row r="47" spans="1:49" s="41" customFormat="1" ht="14.25" customHeight="1" x14ac:dyDescent="0.25">
      <c r="A47" s="118">
        <v>46120</v>
      </c>
      <c r="B47" s="43"/>
      <c r="C47" s="13" t="s">
        <v>52</v>
      </c>
      <c r="D47" s="14" t="s">
        <v>53</v>
      </c>
      <c r="E47" s="98">
        <v>7276</v>
      </c>
      <c r="F47" s="44" t="s">
        <v>54</v>
      </c>
      <c r="G47" s="106">
        <v>73183264</v>
      </c>
      <c r="H47" s="2" t="s">
        <v>462</v>
      </c>
      <c r="I47" s="52"/>
      <c r="J47" s="52"/>
      <c r="K47" s="53">
        <v>0</v>
      </c>
      <c r="L47" s="52"/>
      <c r="M47" s="52"/>
      <c r="N47" s="52"/>
      <c r="O47" s="52"/>
      <c r="P47" s="53">
        <f t="shared" si="0"/>
        <v>0</v>
      </c>
      <c r="Q47" s="75"/>
      <c r="R47" s="51"/>
      <c r="S47" s="44"/>
      <c r="T47" s="44"/>
      <c r="U47" s="44"/>
      <c r="V47" s="44" t="s">
        <v>47</v>
      </c>
      <c r="W47" s="52"/>
      <c r="X47" s="118">
        <v>46120</v>
      </c>
      <c r="Y47" s="15" t="s">
        <v>61</v>
      </c>
      <c r="Z47" s="44"/>
      <c r="AA47" s="44"/>
      <c r="AB47" s="44" t="s">
        <v>49</v>
      </c>
      <c r="AC47" s="44"/>
      <c r="AD47" s="44" t="s">
        <v>48</v>
      </c>
      <c r="AE47" s="55"/>
      <c r="AF47" s="52"/>
      <c r="AG47" s="52"/>
      <c r="AH47" s="44"/>
      <c r="AI47" s="44"/>
      <c r="AJ47" s="51"/>
      <c r="AK47" s="44"/>
      <c r="AL47" s="52">
        <v>18</v>
      </c>
      <c r="AM47" s="47" t="s">
        <v>64</v>
      </c>
      <c r="AN47" s="44" t="s">
        <v>51</v>
      </c>
      <c r="AO47" s="44"/>
      <c r="AP47" s="52"/>
    </row>
    <row r="48" spans="1:49" s="41" customFormat="1" ht="14.25" customHeight="1" x14ac:dyDescent="0.25">
      <c r="A48" s="118">
        <v>46122</v>
      </c>
      <c r="B48" s="51"/>
      <c r="C48" s="13" t="s">
        <v>52</v>
      </c>
      <c r="D48" s="14" t="s">
        <v>53</v>
      </c>
      <c r="E48" s="98">
        <v>7277</v>
      </c>
      <c r="F48" s="44" t="s">
        <v>54</v>
      </c>
      <c r="G48" s="106">
        <v>71555877</v>
      </c>
      <c r="H48" s="2" t="s">
        <v>524</v>
      </c>
      <c r="I48" s="52"/>
      <c r="J48" s="52"/>
      <c r="K48" s="53">
        <v>7860</v>
      </c>
      <c r="L48" s="52"/>
      <c r="M48" s="52"/>
      <c r="N48" s="52"/>
      <c r="O48" s="52"/>
      <c r="P48" s="53">
        <f t="shared" si="0"/>
        <v>7860</v>
      </c>
      <c r="Q48" s="75"/>
      <c r="R48" s="51"/>
      <c r="S48" s="44"/>
      <c r="T48" s="44"/>
      <c r="U48" s="44"/>
      <c r="V48" s="44" t="s">
        <v>47</v>
      </c>
      <c r="W48" s="52"/>
      <c r="X48" s="118">
        <v>46122</v>
      </c>
      <c r="Y48" s="15" t="s">
        <v>61</v>
      </c>
      <c r="Z48" s="44"/>
      <c r="AA48" s="44"/>
      <c r="AB48" s="44" t="s">
        <v>49</v>
      </c>
      <c r="AC48" s="44"/>
      <c r="AD48" s="44" t="s">
        <v>48</v>
      </c>
      <c r="AE48" s="55"/>
      <c r="AF48" s="52"/>
      <c r="AG48" s="52"/>
      <c r="AH48" s="44"/>
      <c r="AI48" s="44"/>
      <c r="AJ48" s="51"/>
      <c r="AK48" s="44"/>
      <c r="AL48" s="52">
        <v>18</v>
      </c>
      <c r="AM48" s="19" t="s">
        <v>50</v>
      </c>
      <c r="AN48" s="44" t="s">
        <v>51</v>
      </c>
      <c r="AO48" s="44"/>
      <c r="AP48" s="52"/>
    </row>
    <row r="49" spans="1:42" s="20" customFormat="1" ht="14.25" customHeight="1" x14ac:dyDescent="0.25">
      <c r="A49" s="118">
        <v>46122</v>
      </c>
      <c r="B49" s="43"/>
      <c r="C49" s="13" t="s">
        <v>52</v>
      </c>
      <c r="D49" s="14" t="s">
        <v>53</v>
      </c>
      <c r="E49" s="98">
        <v>7278</v>
      </c>
      <c r="F49" s="44" t="s">
        <v>54</v>
      </c>
      <c r="G49" s="107" t="s">
        <v>494</v>
      </c>
      <c r="H49" s="2" t="s">
        <v>525</v>
      </c>
      <c r="I49" s="57"/>
      <c r="J49" s="57"/>
      <c r="K49" s="53">
        <v>7260</v>
      </c>
      <c r="L49" s="57"/>
      <c r="M49" s="57"/>
      <c r="N49" s="57"/>
      <c r="O49" s="57"/>
      <c r="P49" s="53">
        <f t="shared" si="0"/>
        <v>7260</v>
      </c>
      <c r="Q49" s="75"/>
      <c r="R49" s="56"/>
      <c r="S49" s="58"/>
      <c r="T49" s="58"/>
      <c r="U49" s="58"/>
      <c r="V49" s="44" t="s">
        <v>47</v>
      </c>
      <c r="W49" s="57"/>
      <c r="X49" s="118">
        <v>46122</v>
      </c>
      <c r="Y49" s="15" t="s">
        <v>61</v>
      </c>
      <c r="Z49" s="44"/>
      <c r="AA49" s="44"/>
      <c r="AB49" s="44" t="s">
        <v>49</v>
      </c>
      <c r="AC49" s="44"/>
      <c r="AD49" s="44" t="s">
        <v>48</v>
      </c>
      <c r="AE49" s="55"/>
      <c r="AF49" s="52"/>
      <c r="AG49" s="52"/>
      <c r="AH49" s="44"/>
      <c r="AI49" s="44"/>
      <c r="AJ49" s="51"/>
      <c r="AK49" s="44"/>
      <c r="AL49" s="52">
        <v>18</v>
      </c>
      <c r="AM49" s="19" t="s">
        <v>50</v>
      </c>
      <c r="AN49" s="44" t="s">
        <v>51</v>
      </c>
      <c r="AO49" s="58"/>
      <c r="AP49" s="57"/>
    </row>
    <row r="50" spans="1:42" s="20" customFormat="1" ht="14.25" customHeight="1" x14ac:dyDescent="0.25">
      <c r="A50" s="118">
        <v>46122</v>
      </c>
      <c r="B50" s="43"/>
      <c r="C50" s="13" t="s">
        <v>52</v>
      </c>
      <c r="D50" s="14" t="s">
        <v>53</v>
      </c>
      <c r="E50" s="98">
        <v>7279</v>
      </c>
      <c r="F50" s="44" t="s">
        <v>54</v>
      </c>
      <c r="G50" s="107" t="s">
        <v>495</v>
      </c>
      <c r="H50" s="2" t="s">
        <v>570</v>
      </c>
      <c r="I50" s="57"/>
      <c r="J50" s="57"/>
      <c r="K50" s="53">
        <v>4180</v>
      </c>
      <c r="L50" s="57"/>
      <c r="M50" s="57"/>
      <c r="N50" s="57"/>
      <c r="O50" s="57"/>
      <c r="P50" s="53">
        <f t="shared" si="0"/>
        <v>4180</v>
      </c>
      <c r="Q50" s="75"/>
      <c r="R50" s="56"/>
      <c r="S50" s="58"/>
      <c r="T50" s="58"/>
      <c r="U50" s="58"/>
      <c r="V50" s="44" t="s">
        <v>47</v>
      </c>
      <c r="W50" s="57"/>
      <c r="X50" s="118">
        <v>46122</v>
      </c>
      <c r="Y50" s="15" t="s">
        <v>61</v>
      </c>
      <c r="Z50" s="26"/>
      <c r="AA50" s="26"/>
      <c r="AB50" s="15" t="s">
        <v>49</v>
      </c>
      <c r="AC50" s="26"/>
      <c r="AD50" s="44" t="s">
        <v>48</v>
      </c>
      <c r="AE50" s="27"/>
      <c r="AF50" s="24"/>
      <c r="AG50" s="24"/>
      <c r="AH50" s="26"/>
      <c r="AI50" s="26"/>
      <c r="AJ50" s="25"/>
      <c r="AK50" s="26"/>
      <c r="AL50" s="17">
        <v>18</v>
      </c>
      <c r="AM50" s="19" t="s">
        <v>50</v>
      </c>
      <c r="AN50" s="44" t="s">
        <v>51</v>
      </c>
      <c r="AO50" s="58"/>
      <c r="AP50" s="57"/>
    </row>
    <row r="51" spans="1:42" s="20" customFormat="1" ht="14.25" customHeight="1" x14ac:dyDescent="0.25">
      <c r="A51" s="118">
        <v>46122</v>
      </c>
      <c r="B51" s="43"/>
      <c r="C51" s="13" t="s">
        <v>52</v>
      </c>
      <c r="D51" s="14" t="s">
        <v>53</v>
      </c>
      <c r="E51" s="98">
        <v>7280</v>
      </c>
      <c r="F51" s="44" t="s">
        <v>54</v>
      </c>
      <c r="G51" s="106">
        <v>74413595</v>
      </c>
      <c r="H51" s="2" t="s">
        <v>570</v>
      </c>
      <c r="I51" s="57"/>
      <c r="J51" s="57"/>
      <c r="K51" s="53">
        <v>0</v>
      </c>
      <c r="L51" s="57"/>
      <c r="M51" s="57"/>
      <c r="N51" s="57"/>
      <c r="O51" s="57"/>
      <c r="P51" s="53">
        <f t="shared" si="0"/>
        <v>0</v>
      </c>
      <c r="Q51" s="75"/>
      <c r="R51" s="56"/>
      <c r="S51" s="58"/>
      <c r="T51" s="58"/>
      <c r="U51" s="58"/>
      <c r="V51" s="44" t="s">
        <v>47</v>
      </c>
      <c r="W51" s="57"/>
      <c r="X51" s="118">
        <v>46122</v>
      </c>
      <c r="Y51" s="15" t="s">
        <v>61</v>
      </c>
      <c r="Z51" s="44"/>
      <c r="AA51" s="44"/>
      <c r="AB51" s="44" t="s">
        <v>49</v>
      </c>
      <c r="AC51" s="44"/>
      <c r="AD51" s="44" t="s">
        <v>48</v>
      </c>
      <c r="AE51" s="55"/>
      <c r="AF51" s="52"/>
      <c r="AG51" s="52"/>
      <c r="AH51" s="44"/>
      <c r="AI51" s="44"/>
      <c r="AJ51" s="51"/>
      <c r="AK51" s="44"/>
      <c r="AL51" s="52">
        <v>18</v>
      </c>
      <c r="AM51" s="47" t="s">
        <v>64</v>
      </c>
      <c r="AN51" s="44" t="s">
        <v>51</v>
      </c>
      <c r="AO51" s="58"/>
      <c r="AP51" s="57"/>
    </row>
    <row r="52" spans="1:42" s="20" customFormat="1" ht="14.25" customHeight="1" x14ac:dyDescent="0.25">
      <c r="A52" s="118">
        <v>46122</v>
      </c>
      <c r="B52" s="43"/>
      <c r="C52" s="13" t="s">
        <v>52</v>
      </c>
      <c r="D52" s="14" t="s">
        <v>53</v>
      </c>
      <c r="E52" s="98">
        <v>7281</v>
      </c>
      <c r="F52" s="44" t="s">
        <v>54</v>
      </c>
      <c r="G52" s="106">
        <v>42880788</v>
      </c>
      <c r="H52" s="2" t="s">
        <v>526</v>
      </c>
      <c r="I52" s="57"/>
      <c r="J52" s="57"/>
      <c r="K52" s="53">
        <v>6280</v>
      </c>
      <c r="L52" s="57"/>
      <c r="M52" s="57"/>
      <c r="N52" s="57"/>
      <c r="O52" s="57"/>
      <c r="P52" s="53">
        <f t="shared" si="0"/>
        <v>6280</v>
      </c>
      <c r="Q52" s="75"/>
      <c r="R52" s="56"/>
      <c r="S52" s="58"/>
      <c r="T52" s="58"/>
      <c r="U52" s="58"/>
      <c r="V52" s="44" t="s">
        <v>47</v>
      </c>
      <c r="W52" s="57"/>
      <c r="X52" s="118">
        <v>46122</v>
      </c>
      <c r="Y52" s="15" t="s">
        <v>61</v>
      </c>
      <c r="Z52" s="44"/>
      <c r="AA52" s="44"/>
      <c r="AB52" s="44" t="s">
        <v>49</v>
      </c>
      <c r="AC52" s="44"/>
      <c r="AD52" s="44" t="s">
        <v>48</v>
      </c>
      <c r="AE52" s="55"/>
      <c r="AF52" s="52"/>
      <c r="AG52" s="52"/>
      <c r="AH52" s="44"/>
      <c r="AI52" s="44"/>
      <c r="AJ52" s="51"/>
      <c r="AK52" s="44"/>
      <c r="AL52" s="52">
        <v>18</v>
      </c>
      <c r="AM52" s="19" t="s">
        <v>50</v>
      </c>
      <c r="AN52" s="44" t="s">
        <v>51</v>
      </c>
      <c r="AO52" s="58"/>
      <c r="AP52" s="57"/>
    </row>
    <row r="53" spans="1:42" s="20" customFormat="1" ht="14.25" customHeight="1" x14ac:dyDescent="0.25">
      <c r="A53" s="118">
        <v>46122</v>
      </c>
      <c r="B53" s="43"/>
      <c r="C53" s="13" t="s">
        <v>52</v>
      </c>
      <c r="D53" s="14" t="s">
        <v>53</v>
      </c>
      <c r="E53" s="98">
        <v>7282</v>
      </c>
      <c r="F53" s="44" t="s">
        <v>54</v>
      </c>
      <c r="G53" s="106">
        <v>42880788</v>
      </c>
      <c r="H53" s="2" t="s">
        <v>526</v>
      </c>
      <c r="I53" s="57"/>
      <c r="J53" s="57"/>
      <c r="K53" s="53">
        <v>0</v>
      </c>
      <c r="L53" s="57"/>
      <c r="M53" s="57"/>
      <c r="N53" s="57"/>
      <c r="O53" s="57"/>
      <c r="P53" s="53">
        <f t="shared" si="0"/>
        <v>0</v>
      </c>
      <c r="Q53" s="75"/>
      <c r="R53" s="56"/>
      <c r="S53" s="58"/>
      <c r="T53" s="58"/>
      <c r="U53" s="58"/>
      <c r="V53" s="44" t="s">
        <v>47</v>
      </c>
      <c r="W53" s="57"/>
      <c r="X53" s="118">
        <v>46122</v>
      </c>
      <c r="Y53" s="15" t="s">
        <v>61</v>
      </c>
      <c r="Z53" s="44"/>
      <c r="AA53" s="44"/>
      <c r="AB53" s="44" t="s">
        <v>49</v>
      </c>
      <c r="AC53" s="44"/>
      <c r="AD53" s="44" t="s">
        <v>48</v>
      </c>
      <c r="AE53" s="55"/>
      <c r="AF53" s="52"/>
      <c r="AG53" s="52"/>
      <c r="AH53" s="44"/>
      <c r="AI53" s="44"/>
      <c r="AJ53" s="51"/>
      <c r="AK53" s="44"/>
      <c r="AL53" s="52">
        <v>18</v>
      </c>
      <c r="AM53" s="47" t="s">
        <v>64</v>
      </c>
      <c r="AN53" s="44" t="s">
        <v>51</v>
      </c>
      <c r="AO53" s="58"/>
      <c r="AP53" s="57"/>
    </row>
    <row r="54" spans="1:42" s="41" customFormat="1" ht="14.25" customHeight="1" x14ac:dyDescent="0.25">
      <c r="A54" s="118">
        <v>46122</v>
      </c>
      <c r="B54" s="43"/>
      <c r="C54" s="13" t="s">
        <v>52</v>
      </c>
      <c r="D54" s="14" t="s">
        <v>53</v>
      </c>
      <c r="E54" s="98">
        <v>7283</v>
      </c>
      <c r="F54" s="44" t="s">
        <v>54</v>
      </c>
      <c r="G54" s="106">
        <v>73515964</v>
      </c>
      <c r="H54" s="2" t="s">
        <v>527</v>
      </c>
      <c r="I54" s="52"/>
      <c r="J54" s="52"/>
      <c r="K54" s="53">
        <v>6380</v>
      </c>
      <c r="L54" s="52"/>
      <c r="M54" s="52"/>
      <c r="N54" s="52"/>
      <c r="O54" s="52"/>
      <c r="P54" s="53">
        <f t="shared" si="0"/>
        <v>6380</v>
      </c>
      <c r="Q54" s="75"/>
      <c r="R54" s="51"/>
      <c r="S54" s="44"/>
      <c r="T54" s="44"/>
      <c r="U54" s="44"/>
      <c r="V54" s="44" t="s">
        <v>47</v>
      </c>
      <c r="W54" s="52"/>
      <c r="X54" s="118">
        <v>46122</v>
      </c>
      <c r="Y54" s="15" t="s">
        <v>61</v>
      </c>
      <c r="Z54" s="26"/>
      <c r="AA54" s="26"/>
      <c r="AB54" s="15" t="s">
        <v>49</v>
      </c>
      <c r="AC54" s="26"/>
      <c r="AD54" s="44" t="s">
        <v>48</v>
      </c>
      <c r="AE54" s="27"/>
      <c r="AF54" s="24"/>
      <c r="AG54" s="24"/>
      <c r="AH54" s="26"/>
      <c r="AI54" s="26"/>
      <c r="AJ54" s="25"/>
      <c r="AK54" s="26"/>
      <c r="AL54" s="17">
        <v>18</v>
      </c>
      <c r="AM54" s="19" t="s">
        <v>50</v>
      </c>
      <c r="AN54" s="44" t="s">
        <v>51</v>
      </c>
      <c r="AO54" s="44"/>
      <c r="AP54" s="52"/>
    </row>
    <row r="55" spans="1:42" s="41" customFormat="1" ht="14.25" customHeight="1" x14ac:dyDescent="0.25">
      <c r="A55" s="118">
        <v>46122</v>
      </c>
      <c r="B55" s="43"/>
      <c r="C55" s="13" t="s">
        <v>52</v>
      </c>
      <c r="D55" s="14" t="s">
        <v>53</v>
      </c>
      <c r="E55" s="98">
        <v>7284</v>
      </c>
      <c r="F55" s="44" t="s">
        <v>54</v>
      </c>
      <c r="G55" s="106">
        <v>73515964</v>
      </c>
      <c r="H55" s="2" t="s">
        <v>527</v>
      </c>
      <c r="I55" s="52"/>
      <c r="J55" s="52"/>
      <c r="K55" s="53">
        <v>0</v>
      </c>
      <c r="L55" s="52"/>
      <c r="M55" s="52"/>
      <c r="N55" s="52"/>
      <c r="O55" s="52"/>
      <c r="P55" s="53">
        <f t="shared" si="0"/>
        <v>0</v>
      </c>
      <c r="Q55" s="75"/>
      <c r="R55" s="51"/>
      <c r="S55" s="44"/>
      <c r="T55" s="44"/>
      <c r="U55" s="44"/>
      <c r="V55" s="44" t="s">
        <v>47</v>
      </c>
      <c r="W55" s="52"/>
      <c r="X55" s="118">
        <v>46122</v>
      </c>
      <c r="Y55" s="15" t="s">
        <v>61</v>
      </c>
      <c r="Z55" s="44"/>
      <c r="AA55" s="44"/>
      <c r="AB55" s="44" t="s">
        <v>49</v>
      </c>
      <c r="AC55" s="44"/>
      <c r="AD55" s="44" t="s">
        <v>48</v>
      </c>
      <c r="AE55" s="55"/>
      <c r="AF55" s="52"/>
      <c r="AG55" s="52"/>
      <c r="AH55" s="44"/>
      <c r="AI55" s="44"/>
      <c r="AJ55" s="51"/>
      <c r="AK55" s="44"/>
      <c r="AL55" s="52">
        <v>18</v>
      </c>
      <c r="AM55" s="47" t="s">
        <v>64</v>
      </c>
      <c r="AN55" s="44" t="s">
        <v>51</v>
      </c>
      <c r="AO55" s="44"/>
      <c r="AP55" s="52"/>
    </row>
    <row r="56" spans="1:42" s="41" customFormat="1" ht="14.25" customHeight="1" x14ac:dyDescent="0.25">
      <c r="A56" s="118">
        <v>46123</v>
      </c>
      <c r="B56" s="43"/>
      <c r="C56" s="13" t="s">
        <v>52</v>
      </c>
      <c r="D56" s="14" t="s">
        <v>53</v>
      </c>
      <c r="E56" s="98">
        <v>7285</v>
      </c>
      <c r="F56" s="44" t="s">
        <v>54</v>
      </c>
      <c r="G56" s="106">
        <v>72348670</v>
      </c>
      <c r="H56" s="2" t="s">
        <v>528</v>
      </c>
      <c r="I56" s="52"/>
      <c r="J56" s="52"/>
      <c r="K56" s="53">
        <v>8490</v>
      </c>
      <c r="L56" s="52"/>
      <c r="M56" s="52"/>
      <c r="N56" s="52"/>
      <c r="O56" s="52"/>
      <c r="P56" s="53">
        <f t="shared" si="0"/>
        <v>8490</v>
      </c>
      <c r="Q56" s="75"/>
      <c r="R56" s="51"/>
      <c r="S56" s="44"/>
      <c r="T56" s="44"/>
      <c r="U56" s="44"/>
      <c r="V56" s="44" t="s">
        <v>47</v>
      </c>
      <c r="W56" s="52"/>
      <c r="X56" s="118">
        <v>46308</v>
      </c>
      <c r="Y56" s="15" t="s">
        <v>63</v>
      </c>
      <c r="Z56" s="44"/>
      <c r="AA56" s="44"/>
      <c r="AB56" s="44" t="s">
        <v>49</v>
      </c>
      <c r="AC56" s="44"/>
      <c r="AD56" s="44" t="s">
        <v>48</v>
      </c>
      <c r="AE56" s="55"/>
      <c r="AF56" s="52"/>
      <c r="AG56" s="52"/>
      <c r="AH56" s="44"/>
      <c r="AI56" s="44"/>
      <c r="AJ56" s="51"/>
      <c r="AK56" s="44"/>
      <c r="AL56" s="52">
        <v>18</v>
      </c>
      <c r="AM56" s="19" t="s">
        <v>50</v>
      </c>
      <c r="AN56" s="44" t="s">
        <v>51</v>
      </c>
      <c r="AO56" s="44"/>
      <c r="AP56" s="52"/>
    </row>
    <row r="57" spans="1:42" s="20" customFormat="1" ht="14.25" customHeight="1" x14ac:dyDescent="0.25">
      <c r="A57" s="118">
        <v>46125</v>
      </c>
      <c r="B57" s="43"/>
      <c r="C57" s="13" t="s">
        <v>52</v>
      </c>
      <c r="D57" s="14" t="s">
        <v>53</v>
      </c>
      <c r="E57" s="98">
        <v>7286</v>
      </c>
      <c r="F57" s="44" t="s">
        <v>54</v>
      </c>
      <c r="G57" s="106">
        <v>73531751</v>
      </c>
      <c r="H57" s="2" t="s">
        <v>529</v>
      </c>
      <c r="I57" s="57"/>
      <c r="J57" s="57"/>
      <c r="K57" s="53">
        <v>5350</v>
      </c>
      <c r="L57" s="57"/>
      <c r="M57" s="57"/>
      <c r="N57" s="57"/>
      <c r="O57" s="57"/>
      <c r="P57" s="53">
        <f t="shared" si="0"/>
        <v>5350</v>
      </c>
      <c r="Q57" s="75"/>
      <c r="R57" s="56"/>
      <c r="S57" s="58"/>
      <c r="T57" s="58"/>
      <c r="U57" s="58"/>
      <c r="V57" s="44" t="s">
        <v>47</v>
      </c>
      <c r="W57" s="57"/>
      <c r="X57" s="118">
        <v>46125</v>
      </c>
      <c r="Y57" s="15" t="s">
        <v>61</v>
      </c>
      <c r="Z57" s="26"/>
      <c r="AA57" s="26"/>
      <c r="AB57" s="15" t="s">
        <v>49</v>
      </c>
      <c r="AC57" s="26"/>
      <c r="AD57" s="44" t="s">
        <v>48</v>
      </c>
      <c r="AE57" s="27"/>
      <c r="AF57" s="24"/>
      <c r="AG57" s="24"/>
      <c r="AH57" s="26"/>
      <c r="AI57" s="26"/>
      <c r="AJ57" s="25"/>
      <c r="AK57" s="26"/>
      <c r="AL57" s="17">
        <v>18</v>
      </c>
      <c r="AM57" s="19" t="s">
        <v>50</v>
      </c>
      <c r="AN57" s="44" t="s">
        <v>51</v>
      </c>
      <c r="AO57" s="58"/>
      <c r="AP57" s="57"/>
    </row>
    <row r="58" spans="1:42" s="20" customFormat="1" ht="14.25" customHeight="1" x14ac:dyDescent="0.25">
      <c r="A58" s="118">
        <v>46125</v>
      </c>
      <c r="B58" s="43"/>
      <c r="C58" s="13" t="s">
        <v>52</v>
      </c>
      <c r="D58" s="14" t="s">
        <v>53</v>
      </c>
      <c r="E58" s="98">
        <v>7287</v>
      </c>
      <c r="F58" s="44" t="s">
        <v>54</v>
      </c>
      <c r="G58" s="106">
        <v>44760674</v>
      </c>
      <c r="H58" s="2" t="s">
        <v>530</v>
      </c>
      <c r="I58" s="57"/>
      <c r="J58" s="57"/>
      <c r="K58" s="53">
        <v>4630</v>
      </c>
      <c r="L58" s="57"/>
      <c r="M58" s="57"/>
      <c r="N58" s="57"/>
      <c r="O58" s="57"/>
      <c r="P58" s="53">
        <f t="shared" si="0"/>
        <v>4630</v>
      </c>
      <c r="Q58" s="75"/>
      <c r="R58" s="56"/>
      <c r="S58" s="58"/>
      <c r="T58" s="58"/>
      <c r="U58" s="58"/>
      <c r="V58" s="44" t="s">
        <v>47</v>
      </c>
      <c r="W58" s="57"/>
      <c r="X58" s="118">
        <v>46125</v>
      </c>
      <c r="Y58" s="15" t="s">
        <v>61</v>
      </c>
      <c r="Z58" s="44"/>
      <c r="AA58" s="44"/>
      <c r="AB58" s="44" t="s">
        <v>49</v>
      </c>
      <c r="AC58" s="44"/>
      <c r="AD58" s="44" t="s">
        <v>48</v>
      </c>
      <c r="AE58" s="55"/>
      <c r="AF58" s="52"/>
      <c r="AG58" s="52"/>
      <c r="AH58" s="44"/>
      <c r="AI58" s="44"/>
      <c r="AJ58" s="51"/>
      <c r="AK58" s="44"/>
      <c r="AL58" s="52">
        <v>18</v>
      </c>
      <c r="AM58" s="19" t="s">
        <v>50</v>
      </c>
      <c r="AN58" s="44" t="s">
        <v>51</v>
      </c>
      <c r="AO58" s="58"/>
      <c r="AP58" s="57"/>
    </row>
    <row r="59" spans="1:42" s="20" customFormat="1" ht="14.25" customHeight="1" x14ac:dyDescent="0.25">
      <c r="A59" s="118">
        <v>46126</v>
      </c>
      <c r="B59" s="43"/>
      <c r="C59" s="13" t="s">
        <v>52</v>
      </c>
      <c r="D59" s="14" t="s">
        <v>53</v>
      </c>
      <c r="E59" s="98">
        <v>7288</v>
      </c>
      <c r="F59" s="44" t="s">
        <v>54</v>
      </c>
      <c r="G59" s="106">
        <v>76677606</v>
      </c>
      <c r="H59" s="2" t="s">
        <v>531</v>
      </c>
      <c r="I59" s="57"/>
      <c r="J59" s="57"/>
      <c r="K59" s="53">
        <v>0</v>
      </c>
      <c r="L59" s="57"/>
      <c r="M59" s="57"/>
      <c r="N59" s="57"/>
      <c r="O59" s="57"/>
      <c r="P59" s="53">
        <f t="shared" si="0"/>
        <v>0</v>
      </c>
      <c r="Q59" s="75"/>
      <c r="R59" s="56"/>
      <c r="S59" s="58"/>
      <c r="T59" s="58"/>
      <c r="U59" s="58"/>
      <c r="V59" s="44" t="s">
        <v>47</v>
      </c>
      <c r="W59" s="57"/>
      <c r="X59" s="118">
        <v>46126</v>
      </c>
      <c r="Y59" s="15" t="s">
        <v>61</v>
      </c>
      <c r="Z59" s="44"/>
      <c r="AA59" s="44"/>
      <c r="AB59" s="44" t="s">
        <v>49</v>
      </c>
      <c r="AC59" s="44"/>
      <c r="AD59" s="44" t="s">
        <v>48</v>
      </c>
      <c r="AE59" s="55"/>
      <c r="AF59" s="52"/>
      <c r="AG59" s="52"/>
      <c r="AH59" s="44"/>
      <c r="AI59" s="44"/>
      <c r="AJ59" s="51"/>
      <c r="AK59" s="44"/>
      <c r="AL59" s="52">
        <v>18</v>
      </c>
      <c r="AM59" s="47" t="s">
        <v>64</v>
      </c>
      <c r="AN59" s="44" t="s">
        <v>51</v>
      </c>
      <c r="AO59" s="58"/>
      <c r="AP59" s="57"/>
    </row>
    <row r="60" spans="1:42" s="20" customFormat="1" ht="14.25" customHeight="1" x14ac:dyDescent="0.25">
      <c r="A60" s="118">
        <v>46126</v>
      </c>
      <c r="B60" s="43"/>
      <c r="C60" s="13" t="s">
        <v>52</v>
      </c>
      <c r="D60" s="14" t="s">
        <v>53</v>
      </c>
      <c r="E60" s="98">
        <v>7289</v>
      </c>
      <c r="F60" s="44" t="s">
        <v>54</v>
      </c>
      <c r="G60" s="106">
        <v>75848754</v>
      </c>
      <c r="H60" s="2" t="s">
        <v>532</v>
      </c>
      <c r="I60" s="57"/>
      <c r="J60" s="57"/>
      <c r="K60" s="53">
        <v>13080</v>
      </c>
      <c r="L60" s="57"/>
      <c r="M60" s="57"/>
      <c r="N60" s="57"/>
      <c r="O60" s="57"/>
      <c r="P60" s="53">
        <f t="shared" si="0"/>
        <v>13080</v>
      </c>
      <c r="Q60" s="75"/>
      <c r="R60" s="56"/>
      <c r="S60" s="58"/>
      <c r="T60" s="58"/>
      <c r="U60" s="58"/>
      <c r="V60" s="44" t="s">
        <v>47</v>
      </c>
      <c r="W60" s="57"/>
      <c r="X60" s="118">
        <v>46126</v>
      </c>
      <c r="Y60" s="15" t="s">
        <v>61</v>
      </c>
      <c r="Z60" s="44"/>
      <c r="AA60" s="44"/>
      <c r="AB60" s="44" t="s">
        <v>49</v>
      </c>
      <c r="AC60" s="44"/>
      <c r="AD60" s="44" t="s">
        <v>48</v>
      </c>
      <c r="AE60" s="55"/>
      <c r="AF60" s="52"/>
      <c r="AG60" s="52"/>
      <c r="AH60" s="44"/>
      <c r="AI60" s="44"/>
      <c r="AJ60" s="51"/>
      <c r="AK60" s="44"/>
      <c r="AL60" s="52">
        <v>18</v>
      </c>
      <c r="AM60" s="19" t="s">
        <v>50</v>
      </c>
      <c r="AN60" s="44" t="s">
        <v>51</v>
      </c>
      <c r="AO60" s="58"/>
      <c r="AP60" s="57"/>
    </row>
    <row r="61" spans="1:42" s="20" customFormat="1" ht="14.25" customHeight="1" x14ac:dyDescent="0.25">
      <c r="A61" s="118">
        <v>46126</v>
      </c>
      <c r="B61" s="43"/>
      <c r="C61" s="13" t="s">
        <v>52</v>
      </c>
      <c r="D61" s="14" t="s">
        <v>53</v>
      </c>
      <c r="E61" s="98">
        <v>7290</v>
      </c>
      <c r="F61" s="44" t="s">
        <v>54</v>
      </c>
      <c r="G61" s="106">
        <v>75848754</v>
      </c>
      <c r="H61" s="2" t="s">
        <v>532</v>
      </c>
      <c r="I61" s="57"/>
      <c r="J61" s="57"/>
      <c r="K61" s="53">
        <v>0</v>
      </c>
      <c r="L61" s="57"/>
      <c r="M61" s="57"/>
      <c r="N61" s="57"/>
      <c r="O61" s="57"/>
      <c r="P61" s="53">
        <f t="shared" si="0"/>
        <v>0</v>
      </c>
      <c r="Q61" s="75"/>
      <c r="R61" s="56"/>
      <c r="S61" s="58"/>
      <c r="T61" s="58"/>
      <c r="U61" s="58"/>
      <c r="V61" s="44" t="s">
        <v>47</v>
      </c>
      <c r="W61" s="57"/>
      <c r="X61" s="118">
        <v>46126</v>
      </c>
      <c r="Y61" s="15" t="s">
        <v>61</v>
      </c>
      <c r="Z61" s="44"/>
      <c r="AA61" s="44"/>
      <c r="AB61" s="44" t="s">
        <v>49</v>
      </c>
      <c r="AC61" s="44"/>
      <c r="AD61" s="44" t="s">
        <v>48</v>
      </c>
      <c r="AE61" s="55"/>
      <c r="AF61" s="52"/>
      <c r="AG61" s="52"/>
      <c r="AH61" s="44"/>
      <c r="AI61" s="44"/>
      <c r="AJ61" s="51"/>
      <c r="AK61" s="44"/>
      <c r="AL61" s="52">
        <v>18</v>
      </c>
      <c r="AM61" s="47" t="s">
        <v>64</v>
      </c>
      <c r="AN61" s="44" t="s">
        <v>51</v>
      </c>
      <c r="AO61" s="58"/>
      <c r="AP61" s="57"/>
    </row>
    <row r="62" spans="1:42" s="41" customFormat="1" ht="14.25" customHeight="1" x14ac:dyDescent="0.25">
      <c r="A62" s="118">
        <v>46126</v>
      </c>
      <c r="B62" s="43"/>
      <c r="C62" s="13" t="s">
        <v>52</v>
      </c>
      <c r="D62" s="14" t="s">
        <v>53</v>
      </c>
      <c r="E62" s="98">
        <v>7291</v>
      </c>
      <c r="F62" s="44" t="s">
        <v>54</v>
      </c>
      <c r="G62" s="106">
        <v>73949289</v>
      </c>
      <c r="H62" s="2" t="s">
        <v>533</v>
      </c>
      <c r="I62" s="52"/>
      <c r="J62" s="52"/>
      <c r="K62" s="53">
        <v>5330</v>
      </c>
      <c r="L62" s="52"/>
      <c r="M62" s="52"/>
      <c r="N62" s="52"/>
      <c r="O62" s="52"/>
      <c r="P62" s="53">
        <f t="shared" si="0"/>
        <v>5330</v>
      </c>
      <c r="Q62" s="75"/>
      <c r="R62" s="51"/>
      <c r="S62" s="44"/>
      <c r="T62" s="44"/>
      <c r="U62" s="44"/>
      <c r="V62" s="44" t="s">
        <v>47</v>
      </c>
      <c r="W62" s="52"/>
      <c r="X62" s="118">
        <v>46126</v>
      </c>
      <c r="Y62" s="15" t="s">
        <v>61</v>
      </c>
      <c r="Z62" s="26"/>
      <c r="AA62" s="26"/>
      <c r="AB62" s="15" t="s">
        <v>49</v>
      </c>
      <c r="AC62" s="26"/>
      <c r="AD62" s="44" t="s">
        <v>48</v>
      </c>
      <c r="AE62" s="27"/>
      <c r="AF62" s="24"/>
      <c r="AG62" s="24"/>
      <c r="AH62" s="26"/>
      <c r="AI62" s="26"/>
      <c r="AJ62" s="25"/>
      <c r="AK62" s="26"/>
      <c r="AL62" s="17">
        <v>18</v>
      </c>
      <c r="AM62" s="19" t="s">
        <v>50</v>
      </c>
      <c r="AN62" s="44" t="s">
        <v>51</v>
      </c>
      <c r="AO62" s="44"/>
      <c r="AP62" s="52"/>
    </row>
    <row r="63" spans="1:42" s="41" customFormat="1" ht="14.25" customHeight="1" x14ac:dyDescent="0.25">
      <c r="A63" s="118">
        <v>46126</v>
      </c>
      <c r="B63" s="43"/>
      <c r="C63" s="13" t="s">
        <v>52</v>
      </c>
      <c r="D63" s="14" t="s">
        <v>53</v>
      </c>
      <c r="E63" s="98">
        <v>7292</v>
      </c>
      <c r="F63" s="44" t="s">
        <v>54</v>
      </c>
      <c r="G63" s="119" t="s">
        <v>496</v>
      </c>
      <c r="H63" s="2" t="s">
        <v>533</v>
      </c>
      <c r="I63" s="52"/>
      <c r="J63" s="52"/>
      <c r="K63" s="53">
        <v>0</v>
      </c>
      <c r="L63" s="52"/>
      <c r="M63" s="52"/>
      <c r="N63" s="52"/>
      <c r="O63" s="52"/>
      <c r="P63" s="53">
        <f t="shared" si="0"/>
        <v>0</v>
      </c>
      <c r="Q63" s="75"/>
      <c r="R63" s="51"/>
      <c r="S63" s="44"/>
      <c r="T63" s="44"/>
      <c r="U63" s="44"/>
      <c r="V63" s="44" t="s">
        <v>47</v>
      </c>
      <c r="W63" s="52"/>
      <c r="X63" s="118">
        <v>46126</v>
      </c>
      <c r="Y63" s="15" t="s">
        <v>61</v>
      </c>
      <c r="Z63" s="44"/>
      <c r="AA63" s="44"/>
      <c r="AB63" s="44" t="s">
        <v>49</v>
      </c>
      <c r="AC63" s="44"/>
      <c r="AD63" s="44" t="s">
        <v>48</v>
      </c>
      <c r="AE63" s="55"/>
      <c r="AF63" s="52"/>
      <c r="AG63" s="52"/>
      <c r="AH63" s="44"/>
      <c r="AI63" s="44"/>
      <c r="AJ63" s="51"/>
      <c r="AK63" s="44"/>
      <c r="AL63" s="52">
        <v>18</v>
      </c>
      <c r="AM63" s="47" t="s">
        <v>64</v>
      </c>
      <c r="AN63" s="44" t="s">
        <v>51</v>
      </c>
      <c r="AO63" s="44"/>
      <c r="AP63" s="52"/>
    </row>
    <row r="64" spans="1:42" s="20" customFormat="1" ht="14.25" customHeight="1" x14ac:dyDescent="0.25">
      <c r="A64" s="118">
        <v>46126</v>
      </c>
      <c r="B64" s="43"/>
      <c r="C64" s="13" t="s">
        <v>52</v>
      </c>
      <c r="D64" s="14" t="s">
        <v>53</v>
      </c>
      <c r="E64" s="98">
        <v>7293</v>
      </c>
      <c r="F64" s="44" t="s">
        <v>54</v>
      </c>
      <c r="G64" s="119" t="s">
        <v>497</v>
      </c>
      <c r="H64" s="2" t="s">
        <v>534</v>
      </c>
      <c r="I64" s="57"/>
      <c r="J64" s="57"/>
      <c r="K64" s="53">
        <v>11300</v>
      </c>
      <c r="L64" s="57"/>
      <c r="M64" s="57"/>
      <c r="N64" s="57"/>
      <c r="O64" s="57"/>
      <c r="P64" s="53">
        <f t="shared" si="0"/>
        <v>11300</v>
      </c>
      <c r="Q64" s="75"/>
      <c r="R64" s="56"/>
      <c r="S64" s="58"/>
      <c r="T64" s="58"/>
      <c r="U64" s="58"/>
      <c r="V64" s="44" t="s">
        <v>47</v>
      </c>
      <c r="W64" s="57"/>
      <c r="X64" s="118">
        <v>46156</v>
      </c>
      <c r="Y64" s="15" t="s">
        <v>63</v>
      </c>
      <c r="Z64" s="26"/>
      <c r="AA64" s="26"/>
      <c r="AB64" s="15" t="s">
        <v>49</v>
      </c>
      <c r="AC64" s="26"/>
      <c r="AD64" s="44" t="s">
        <v>48</v>
      </c>
      <c r="AE64" s="27"/>
      <c r="AF64" s="24"/>
      <c r="AG64" s="24"/>
      <c r="AH64" s="26"/>
      <c r="AI64" s="26"/>
      <c r="AJ64" s="25"/>
      <c r="AK64" s="26"/>
      <c r="AL64" s="17">
        <v>18</v>
      </c>
      <c r="AM64" s="19" t="s">
        <v>50</v>
      </c>
      <c r="AN64" s="44" t="s">
        <v>51</v>
      </c>
      <c r="AO64" s="58"/>
      <c r="AP64" s="57"/>
    </row>
    <row r="65" spans="1:42" s="20" customFormat="1" ht="14.25" customHeight="1" x14ac:dyDescent="0.25">
      <c r="A65" s="118">
        <v>46126</v>
      </c>
      <c r="B65" s="43"/>
      <c r="C65" s="13" t="s">
        <v>52</v>
      </c>
      <c r="D65" s="14" t="s">
        <v>53</v>
      </c>
      <c r="E65" s="98">
        <v>7294</v>
      </c>
      <c r="F65" s="44" t="s">
        <v>54</v>
      </c>
      <c r="G65" s="106">
        <v>47807612</v>
      </c>
      <c r="H65" s="2" t="s">
        <v>534</v>
      </c>
      <c r="I65" s="57"/>
      <c r="J65" s="57"/>
      <c r="K65" s="53">
        <v>0</v>
      </c>
      <c r="L65" s="57"/>
      <c r="M65" s="57"/>
      <c r="N65" s="57"/>
      <c r="O65" s="57"/>
      <c r="P65" s="53">
        <f t="shared" si="0"/>
        <v>0</v>
      </c>
      <c r="Q65" s="75"/>
      <c r="R65" s="56"/>
      <c r="S65" s="58"/>
      <c r="T65" s="58"/>
      <c r="U65" s="58"/>
      <c r="V65" s="44" t="s">
        <v>47</v>
      </c>
      <c r="W65" s="57"/>
      <c r="X65" s="118">
        <v>46126</v>
      </c>
      <c r="Y65" s="15" t="s">
        <v>61</v>
      </c>
      <c r="Z65" s="44"/>
      <c r="AA65" s="44"/>
      <c r="AB65" s="44" t="s">
        <v>49</v>
      </c>
      <c r="AC65" s="44"/>
      <c r="AD65" s="44" t="s">
        <v>48</v>
      </c>
      <c r="AE65" s="55"/>
      <c r="AF65" s="52"/>
      <c r="AG65" s="52"/>
      <c r="AH65" s="44"/>
      <c r="AI65" s="44"/>
      <c r="AJ65" s="51"/>
      <c r="AK65" s="44"/>
      <c r="AL65" s="52">
        <v>18</v>
      </c>
      <c r="AM65" s="47" t="s">
        <v>64</v>
      </c>
      <c r="AN65" s="44" t="s">
        <v>51</v>
      </c>
      <c r="AO65" s="58"/>
      <c r="AP65" s="57"/>
    </row>
    <row r="66" spans="1:42" s="20" customFormat="1" ht="14.25" customHeight="1" x14ac:dyDescent="0.25">
      <c r="A66" s="118">
        <v>46126</v>
      </c>
      <c r="B66" s="56"/>
      <c r="C66" s="13" t="s">
        <v>52</v>
      </c>
      <c r="D66" s="14" t="s">
        <v>53</v>
      </c>
      <c r="E66" s="98">
        <v>7295</v>
      </c>
      <c r="F66" s="44" t="s">
        <v>54</v>
      </c>
      <c r="G66" s="106">
        <v>76866038</v>
      </c>
      <c r="H66" s="2" t="s">
        <v>507</v>
      </c>
      <c r="I66" s="57"/>
      <c r="J66" s="57"/>
      <c r="K66" s="53">
        <v>5471</v>
      </c>
      <c r="L66" s="57"/>
      <c r="M66" s="57"/>
      <c r="N66" s="57"/>
      <c r="O66" s="57"/>
      <c r="P66" s="53">
        <f t="shared" si="0"/>
        <v>5471</v>
      </c>
      <c r="Q66" s="75"/>
      <c r="R66" s="56"/>
      <c r="S66" s="58"/>
      <c r="T66" s="58"/>
      <c r="U66" s="58"/>
      <c r="V66" s="44" t="s">
        <v>47</v>
      </c>
      <c r="W66" s="57"/>
      <c r="X66" s="118">
        <v>46126</v>
      </c>
      <c r="Y66" s="15" t="s">
        <v>61</v>
      </c>
      <c r="Z66" s="26"/>
      <c r="AA66" s="26"/>
      <c r="AB66" s="15" t="s">
        <v>49</v>
      </c>
      <c r="AC66" s="26"/>
      <c r="AD66" s="44" t="s">
        <v>48</v>
      </c>
      <c r="AE66" s="27"/>
      <c r="AF66" s="24"/>
      <c r="AG66" s="24"/>
      <c r="AH66" s="26"/>
      <c r="AI66" s="26"/>
      <c r="AJ66" s="25"/>
      <c r="AK66" s="26"/>
      <c r="AL66" s="17">
        <v>18</v>
      </c>
      <c r="AM66" s="19" t="s">
        <v>50</v>
      </c>
      <c r="AN66" s="44" t="s">
        <v>51</v>
      </c>
      <c r="AO66" s="58"/>
      <c r="AP66" s="57"/>
    </row>
    <row r="67" spans="1:42" s="20" customFormat="1" ht="14.25" customHeight="1" x14ac:dyDescent="0.25">
      <c r="A67" s="118">
        <v>46127</v>
      </c>
      <c r="B67" s="43"/>
      <c r="C67" s="13" t="s">
        <v>52</v>
      </c>
      <c r="D67" s="14" t="s">
        <v>53</v>
      </c>
      <c r="E67" s="98">
        <v>7296</v>
      </c>
      <c r="F67" s="44" t="s">
        <v>54</v>
      </c>
      <c r="G67" s="106">
        <v>21002002</v>
      </c>
      <c r="H67" s="2" t="s">
        <v>571</v>
      </c>
      <c r="I67" s="57"/>
      <c r="J67" s="57"/>
      <c r="K67" s="53">
        <v>5380</v>
      </c>
      <c r="L67" s="57"/>
      <c r="M67" s="57"/>
      <c r="N67" s="57"/>
      <c r="O67" s="57"/>
      <c r="P67" s="53">
        <f t="shared" si="0"/>
        <v>5380</v>
      </c>
      <c r="Q67" s="75"/>
      <c r="R67" s="56"/>
      <c r="S67" s="58"/>
      <c r="T67" s="58"/>
      <c r="U67" s="58"/>
      <c r="V67" s="44" t="s">
        <v>47</v>
      </c>
      <c r="W67" s="57"/>
      <c r="X67" s="118">
        <v>46127</v>
      </c>
      <c r="Y67" s="15" t="s">
        <v>61</v>
      </c>
      <c r="Z67" s="44"/>
      <c r="AA67" s="44"/>
      <c r="AB67" s="44" t="s">
        <v>49</v>
      </c>
      <c r="AC67" s="44"/>
      <c r="AD67" s="44" t="s">
        <v>48</v>
      </c>
      <c r="AE67" s="55"/>
      <c r="AF67" s="52"/>
      <c r="AG67" s="52"/>
      <c r="AH67" s="44"/>
      <c r="AI67" s="44"/>
      <c r="AJ67" s="51"/>
      <c r="AK67" s="44"/>
      <c r="AL67" s="52">
        <v>18</v>
      </c>
      <c r="AM67" s="19" t="s">
        <v>50</v>
      </c>
      <c r="AN67" s="44" t="s">
        <v>51</v>
      </c>
      <c r="AO67" s="58"/>
      <c r="AP67" s="57"/>
    </row>
    <row r="68" spans="1:42" s="20" customFormat="1" ht="14.25" customHeight="1" x14ac:dyDescent="0.25">
      <c r="A68" s="118">
        <v>46127</v>
      </c>
      <c r="B68" s="56"/>
      <c r="C68" s="13" t="s">
        <v>52</v>
      </c>
      <c r="D68" s="14" t="s">
        <v>53</v>
      </c>
      <c r="E68" s="98">
        <v>7297</v>
      </c>
      <c r="F68" s="44" t="s">
        <v>54</v>
      </c>
      <c r="G68" s="106">
        <v>21002002</v>
      </c>
      <c r="H68" s="2" t="s">
        <v>571</v>
      </c>
      <c r="I68" s="57"/>
      <c r="J68" s="57"/>
      <c r="K68" s="53">
        <v>0</v>
      </c>
      <c r="L68" s="57"/>
      <c r="M68" s="57"/>
      <c r="N68" s="57"/>
      <c r="O68" s="57"/>
      <c r="P68" s="53">
        <f t="shared" si="0"/>
        <v>0</v>
      </c>
      <c r="Q68" s="75"/>
      <c r="R68" s="56"/>
      <c r="S68" s="58"/>
      <c r="T68" s="58"/>
      <c r="U68" s="58"/>
      <c r="V68" s="44" t="s">
        <v>47</v>
      </c>
      <c r="W68" s="57"/>
      <c r="X68" s="118">
        <v>46127</v>
      </c>
      <c r="Y68" s="15" t="s">
        <v>61</v>
      </c>
      <c r="Z68" s="26"/>
      <c r="AA68" s="26"/>
      <c r="AB68" s="15" t="s">
        <v>49</v>
      </c>
      <c r="AC68" s="26"/>
      <c r="AD68" s="44" t="s">
        <v>48</v>
      </c>
      <c r="AE68" s="27"/>
      <c r="AF68" s="24"/>
      <c r="AG68" s="24"/>
      <c r="AH68" s="26"/>
      <c r="AI68" s="26"/>
      <c r="AJ68" s="25"/>
      <c r="AK68" s="26"/>
      <c r="AL68" s="17">
        <v>18</v>
      </c>
      <c r="AM68" s="47" t="s">
        <v>64</v>
      </c>
      <c r="AN68" s="44" t="s">
        <v>51</v>
      </c>
      <c r="AO68" s="58"/>
      <c r="AP68" s="57"/>
    </row>
    <row r="69" spans="1:42" s="20" customFormat="1" ht="14.25" customHeight="1" x14ac:dyDescent="0.25">
      <c r="A69" s="118">
        <v>46127</v>
      </c>
      <c r="B69" s="43"/>
      <c r="C69" s="13" t="s">
        <v>52</v>
      </c>
      <c r="D69" s="14" t="s">
        <v>53</v>
      </c>
      <c r="E69" s="98">
        <v>7298</v>
      </c>
      <c r="F69" s="44" t="s">
        <v>54</v>
      </c>
      <c r="G69" s="106">
        <v>74410372</v>
      </c>
      <c r="H69" s="2" t="s">
        <v>535</v>
      </c>
      <c r="I69" s="57"/>
      <c r="J69" s="57"/>
      <c r="K69" s="53">
        <v>12980</v>
      </c>
      <c r="L69" s="57"/>
      <c r="M69" s="57"/>
      <c r="N69" s="57"/>
      <c r="O69" s="57"/>
      <c r="P69" s="53">
        <f t="shared" si="0"/>
        <v>12980</v>
      </c>
      <c r="Q69" s="75"/>
      <c r="R69" s="56"/>
      <c r="S69" s="58"/>
      <c r="T69" s="58"/>
      <c r="U69" s="58"/>
      <c r="V69" s="44" t="s">
        <v>47</v>
      </c>
      <c r="W69" s="57"/>
      <c r="X69" s="118">
        <v>46127</v>
      </c>
      <c r="Y69" s="15" t="s">
        <v>61</v>
      </c>
      <c r="Z69" s="26"/>
      <c r="AA69" s="26"/>
      <c r="AB69" s="15" t="s">
        <v>49</v>
      </c>
      <c r="AC69" s="26"/>
      <c r="AD69" s="44" t="s">
        <v>48</v>
      </c>
      <c r="AE69" s="27"/>
      <c r="AF69" s="24"/>
      <c r="AG69" s="24"/>
      <c r="AH69" s="26"/>
      <c r="AI69" s="26"/>
      <c r="AJ69" s="25"/>
      <c r="AK69" s="26"/>
      <c r="AL69" s="17">
        <v>18</v>
      </c>
      <c r="AM69" s="19" t="s">
        <v>50</v>
      </c>
      <c r="AN69" s="44" t="s">
        <v>51</v>
      </c>
      <c r="AO69" s="58"/>
      <c r="AP69" s="57"/>
    </row>
    <row r="70" spans="1:42" s="20" customFormat="1" ht="14.25" customHeight="1" x14ac:dyDescent="0.25">
      <c r="A70" s="118">
        <v>46127</v>
      </c>
      <c r="B70" s="43"/>
      <c r="C70" s="13" t="s">
        <v>52</v>
      </c>
      <c r="D70" s="14" t="s">
        <v>53</v>
      </c>
      <c r="E70" s="98">
        <v>7299</v>
      </c>
      <c r="F70" s="44" t="s">
        <v>54</v>
      </c>
      <c r="G70" s="106">
        <v>74410372</v>
      </c>
      <c r="H70" s="2" t="s">
        <v>535</v>
      </c>
      <c r="I70" s="57"/>
      <c r="J70" s="57"/>
      <c r="K70" s="53">
        <v>0</v>
      </c>
      <c r="L70" s="57"/>
      <c r="M70" s="57"/>
      <c r="N70" s="57"/>
      <c r="O70" s="57"/>
      <c r="P70" s="53">
        <f t="shared" ref="P70:P124" si="1">K70</f>
        <v>0</v>
      </c>
      <c r="Q70" s="75"/>
      <c r="R70" s="56"/>
      <c r="S70" s="58"/>
      <c r="T70" s="58"/>
      <c r="U70" s="58"/>
      <c r="V70" s="44" t="s">
        <v>47</v>
      </c>
      <c r="W70" s="57"/>
      <c r="X70" s="118">
        <v>46127</v>
      </c>
      <c r="Y70" s="15" t="s">
        <v>61</v>
      </c>
      <c r="Z70" s="44"/>
      <c r="AA70" s="44"/>
      <c r="AB70" s="44" t="s">
        <v>49</v>
      </c>
      <c r="AC70" s="44"/>
      <c r="AD70" s="44" t="s">
        <v>48</v>
      </c>
      <c r="AE70" s="55"/>
      <c r="AF70" s="52"/>
      <c r="AG70" s="52"/>
      <c r="AH70" s="44"/>
      <c r="AI70" s="44"/>
      <c r="AJ70" s="51"/>
      <c r="AK70" s="44"/>
      <c r="AL70" s="52">
        <v>18</v>
      </c>
      <c r="AM70" s="47" t="s">
        <v>64</v>
      </c>
      <c r="AN70" s="44" t="s">
        <v>51</v>
      </c>
      <c r="AO70" s="58"/>
      <c r="AP70" s="57"/>
    </row>
    <row r="71" spans="1:42" s="20" customFormat="1" ht="14.25" customHeight="1" x14ac:dyDescent="0.25">
      <c r="A71" s="118">
        <v>46127</v>
      </c>
      <c r="B71" s="43"/>
      <c r="C71" s="13" t="s">
        <v>52</v>
      </c>
      <c r="D71" s="14" t="s">
        <v>53</v>
      </c>
      <c r="E71" s="98">
        <v>7300</v>
      </c>
      <c r="F71" s="44" t="s">
        <v>54</v>
      </c>
      <c r="G71" s="106">
        <v>47647820</v>
      </c>
      <c r="H71" s="2" t="s">
        <v>536</v>
      </c>
      <c r="I71" s="57"/>
      <c r="J71" s="57"/>
      <c r="K71" s="53">
        <v>6380</v>
      </c>
      <c r="L71" s="57"/>
      <c r="M71" s="57"/>
      <c r="N71" s="57"/>
      <c r="O71" s="57"/>
      <c r="P71" s="53">
        <f t="shared" si="1"/>
        <v>6380</v>
      </c>
      <c r="Q71" s="75"/>
      <c r="R71" s="56"/>
      <c r="S71" s="58"/>
      <c r="T71" s="58"/>
      <c r="U71" s="58"/>
      <c r="V71" s="44" t="s">
        <v>47</v>
      </c>
      <c r="W71" s="57"/>
      <c r="X71" s="118">
        <v>46127</v>
      </c>
      <c r="Y71" s="15" t="s">
        <v>61</v>
      </c>
      <c r="Z71" s="44"/>
      <c r="AA71" s="44"/>
      <c r="AB71" s="44" t="s">
        <v>49</v>
      </c>
      <c r="AC71" s="44"/>
      <c r="AD71" s="44" t="s">
        <v>48</v>
      </c>
      <c r="AE71" s="55"/>
      <c r="AF71" s="52"/>
      <c r="AG71" s="52"/>
      <c r="AH71" s="44"/>
      <c r="AI71" s="44"/>
      <c r="AJ71" s="51"/>
      <c r="AK71" s="44"/>
      <c r="AL71" s="52">
        <v>18</v>
      </c>
      <c r="AM71" s="19" t="s">
        <v>50</v>
      </c>
      <c r="AN71" s="44" t="s">
        <v>51</v>
      </c>
      <c r="AO71" s="58"/>
      <c r="AP71" s="57"/>
    </row>
    <row r="72" spans="1:42" s="20" customFormat="1" ht="14.25" customHeight="1" x14ac:dyDescent="0.25">
      <c r="A72" s="118">
        <v>46127</v>
      </c>
      <c r="B72" s="43"/>
      <c r="C72" s="13" t="s">
        <v>52</v>
      </c>
      <c r="D72" s="14" t="s">
        <v>53</v>
      </c>
      <c r="E72" s="98">
        <v>7301</v>
      </c>
      <c r="F72" s="44" t="s">
        <v>54</v>
      </c>
      <c r="G72" s="106">
        <v>47647820</v>
      </c>
      <c r="H72" s="2" t="s">
        <v>536</v>
      </c>
      <c r="I72" s="45"/>
      <c r="J72" s="57"/>
      <c r="K72" s="53">
        <v>0</v>
      </c>
      <c r="L72" s="57"/>
      <c r="M72" s="57"/>
      <c r="N72" s="57"/>
      <c r="O72" s="57"/>
      <c r="P72" s="53">
        <f t="shared" si="1"/>
        <v>0</v>
      </c>
      <c r="Q72" s="75"/>
      <c r="R72" s="56"/>
      <c r="S72" s="58"/>
      <c r="T72" s="58"/>
      <c r="U72" s="58"/>
      <c r="V72" s="44" t="s">
        <v>47</v>
      </c>
      <c r="W72" s="57"/>
      <c r="X72" s="118">
        <v>46127</v>
      </c>
      <c r="Y72" s="15" t="s">
        <v>61</v>
      </c>
      <c r="Z72" s="26"/>
      <c r="AA72" s="26"/>
      <c r="AB72" s="15" t="s">
        <v>49</v>
      </c>
      <c r="AC72" s="26"/>
      <c r="AD72" s="44" t="s">
        <v>48</v>
      </c>
      <c r="AE72" s="27"/>
      <c r="AF72" s="24"/>
      <c r="AG72" s="24"/>
      <c r="AH72" s="26"/>
      <c r="AI72" s="26"/>
      <c r="AJ72" s="25"/>
      <c r="AK72" s="26"/>
      <c r="AL72" s="17">
        <v>18</v>
      </c>
      <c r="AM72" s="47" t="s">
        <v>64</v>
      </c>
      <c r="AN72" s="44" t="s">
        <v>51</v>
      </c>
      <c r="AO72" s="58"/>
      <c r="AP72" s="57"/>
    </row>
    <row r="73" spans="1:42" s="20" customFormat="1" ht="14.25" customHeight="1" x14ac:dyDescent="0.25">
      <c r="A73" s="118">
        <v>46128</v>
      </c>
      <c r="B73" s="43"/>
      <c r="C73" s="13" t="s">
        <v>52</v>
      </c>
      <c r="D73" s="14" t="s">
        <v>53</v>
      </c>
      <c r="E73" s="98">
        <v>7302</v>
      </c>
      <c r="F73" s="44" t="s">
        <v>54</v>
      </c>
      <c r="G73" s="106">
        <v>42446575</v>
      </c>
      <c r="H73" s="2" t="s">
        <v>537</v>
      </c>
      <c r="I73" s="57"/>
      <c r="J73" s="96"/>
      <c r="K73" s="53">
        <v>7260</v>
      </c>
      <c r="L73" s="57"/>
      <c r="M73" s="57"/>
      <c r="N73" s="57"/>
      <c r="O73" s="57"/>
      <c r="P73" s="53">
        <f t="shared" si="1"/>
        <v>7260</v>
      </c>
      <c r="Q73" s="75"/>
      <c r="R73" s="56"/>
      <c r="S73" s="58"/>
      <c r="T73" s="58"/>
      <c r="U73" s="58"/>
      <c r="V73" s="44" t="s">
        <v>47</v>
      </c>
      <c r="W73" s="57"/>
      <c r="X73" s="118">
        <v>46128</v>
      </c>
      <c r="Y73" s="15" t="s">
        <v>61</v>
      </c>
      <c r="Z73" s="44"/>
      <c r="AA73" s="44"/>
      <c r="AB73" s="44" t="s">
        <v>49</v>
      </c>
      <c r="AC73" s="44"/>
      <c r="AD73" s="44" t="s">
        <v>48</v>
      </c>
      <c r="AE73" s="55"/>
      <c r="AF73" s="52"/>
      <c r="AG73" s="52"/>
      <c r="AH73" s="44"/>
      <c r="AI73" s="44"/>
      <c r="AJ73" s="51"/>
      <c r="AK73" s="44"/>
      <c r="AL73" s="52">
        <v>18</v>
      </c>
      <c r="AM73" s="19" t="s">
        <v>50</v>
      </c>
      <c r="AN73" s="44" t="s">
        <v>51</v>
      </c>
      <c r="AO73" s="58"/>
      <c r="AP73" s="57"/>
    </row>
    <row r="74" spans="1:42" s="36" customFormat="1" ht="14.25" customHeight="1" x14ac:dyDescent="0.25">
      <c r="A74" s="120">
        <v>46128</v>
      </c>
      <c r="B74" s="50"/>
      <c r="C74" s="121" t="s">
        <v>52</v>
      </c>
      <c r="D74" s="42" t="s">
        <v>53</v>
      </c>
      <c r="E74" s="98">
        <v>7303</v>
      </c>
      <c r="F74" s="30" t="s">
        <v>54</v>
      </c>
      <c r="G74" s="109">
        <v>75528824</v>
      </c>
      <c r="H74" s="110" t="s">
        <v>572</v>
      </c>
      <c r="I74" s="32"/>
      <c r="J74" s="32"/>
      <c r="K74" s="53">
        <v>5350</v>
      </c>
      <c r="L74" s="32"/>
      <c r="M74" s="32"/>
      <c r="N74" s="32"/>
      <c r="O74" s="32"/>
      <c r="P74" s="112">
        <f t="shared" si="1"/>
        <v>5350</v>
      </c>
      <c r="Q74" s="122"/>
      <c r="R74" s="29"/>
      <c r="S74" s="33"/>
      <c r="T74" s="33"/>
      <c r="U74" s="33"/>
      <c r="V74" s="30" t="s">
        <v>47</v>
      </c>
      <c r="W74" s="32"/>
      <c r="X74" s="120">
        <v>46128</v>
      </c>
      <c r="Y74" s="15" t="s">
        <v>61</v>
      </c>
      <c r="Z74" s="33"/>
      <c r="AA74" s="33"/>
      <c r="AB74" s="30" t="s">
        <v>49</v>
      </c>
      <c r="AC74" s="33"/>
      <c r="AD74" s="30" t="s">
        <v>48</v>
      </c>
      <c r="AE74" s="34"/>
      <c r="AF74" s="32"/>
      <c r="AG74" s="32"/>
      <c r="AH74" s="33"/>
      <c r="AI74" s="33"/>
      <c r="AJ74" s="29"/>
      <c r="AK74" s="33"/>
      <c r="AL74" s="35">
        <v>18</v>
      </c>
      <c r="AM74" s="19" t="s">
        <v>50</v>
      </c>
      <c r="AN74" s="30" t="s">
        <v>51</v>
      </c>
      <c r="AO74" s="33"/>
      <c r="AP74" s="32"/>
    </row>
    <row r="75" spans="1:42" s="20" customFormat="1" ht="14.25" customHeight="1" x14ac:dyDescent="0.25">
      <c r="A75" s="118">
        <v>46128</v>
      </c>
      <c r="B75" s="43"/>
      <c r="C75" s="13" t="s">
        <v>52</v>
      </c>
      <c r="D75" s="14" t="s">
        <v>53</v>
      </c>
      <c r="E75" s="98">
        <v>7304</v>
      </c>
      <c r="F75" s="44" t="s">
        <v>54</v>
      </c>
      <c r="G75" s="106">
        <v>75528824</v>
      </c>
      <c r="H75" s="2" t="s">
        <v>572</v>
      </c>
      <c r="I75" s="57"/>
      <c r="J75" s="57"/>
      <c r="K75" s="53">
        <v>0</v>
      </c>
      <c r="L75" s="57"/>
      <c r="M75" s="57"/>
      <c r="N75" s="57"/>
      <c r="O75" s="57"/>
      <c r="P75" s="53">
        <f t="shared" si="1"/>
        <v>0</v>
      </c>
      <c r="Q75" s="75"/>
      <c r="R75" s="56"/>
      <c r="S75" s="58"/>
      <c r="T75" s="58"/>
      <c r="U75" s="58"/>
      <c r="V75" s="44" t="s">
        <v>47</v>
      </c>
      <c r="W75" s="57"/>
      <c r="X75" s="118">
        <v>46128</v>
      </c>
      <c r="Y75" s="15" t="s">
        <v>61</v>
      </c>
      <c r="Z75" s="44"/>
      <c r="AA75" s="44"/>
      <c r="AB75" s="44" t="s">
        <v>49</v>
      </c>
      <c r="AC75" s="44"/>
      <c r="AD75" s="44" t="s">
        <v>48</v>
      </c>
      <c r="AE75" s="55"/>
      <c r="AF75" s="52"/>
      <c r="AG75" s="52"/>
      <c r="AH75" s="44"/>
      <c r="AI75" s="44"/>
      <c r="AJ75" s="51"/>
      <c r="AK75" s="44"/>
      <c r="AL75" s="52">
        <v>18</v>
      </c>
      <c r="AM75" s="47" t="s">
        <v>64</v>
      </c>
      <c r="AN75" s="44" t="s">
        <v>51</v>
      </c>
      <c r="AO75" s="58"/>
      <c r="AP75" s="57"/>
    </row>
    <row r="76" spans="1:42" s="20" customFormat="1" ht="14.25" customHeight="1" x14ac:dyDescent="0.25">
      <c r="A76" s="118">
        <v>46128</v>
      </c>
      <c r="B76" s="43"/>
      <c r="C76" s="13" t="s">
        <v>52</v>
      </c>
      <c r="D76" s="14" t="s">
        <v>53</v>
      </c>
      <c r="E76" s="98">
        <v>7305</v>
      </c>
      <c r="F76" s="44" t="s">
        <v>54</v>
      </c>
      <c r="G76" s="106">
        <v>45030585</v>
      </c>
      <c r="H76" s="2" t="s">
        <v>538</v>
      </c>
      <c r="I76" s="57"/>
      <c r="J76" s="57"/>
      <c r="K76" s="53">
        <v>5430</v>
      </c>
      <c r="L76" s="57"/>
      <c r="M76" s="57"/>
      <c r="N76" s="57"/>
      <c r="O76" s="57"/>
      <c r="P76" s="53">
        <f t="shared" si="1"/>
        <v>5430</v>
      </c>
      <c r="Q76" s="75"/>
      <c r="R76" s="56"/>
      <c r="S76" s="58"/>
      <c r="T76" s="58"/>
      <c r="U76" s="58"/>
      <c r="V76" s="44" t="s">
        <v>47</v>
      </c>
      <c r="W76" s="57"/>
      <c r="X76" s="118">
        <v>46128</v>
      </c>
      <c r="Y76" s="15" t="s">
        <v>61</v>
      </c>
      <c r="Z76" s="44"/>
      <c r="AA76" s="44"/>
      <c r="AB76" s="44" t="s">
        <v>49</v>
      </c>
      <c r="AC76" s="44"/>
      <c r="AD76" s="44" t="s">
        <v>48</v>
      </c>
      <c r="AE76" s="55"/>
      <c r="AF76" s="52"/>
      <c r="AG76" s="52"/>
      <c r="AH76" s="44"/>
      <c r="AI76" s="44"/>
      <c r="AJ76" s="51"/>
      <c r="AK76" s="44"/>
      <c r="AL76" s="52">
        <v>18</v>
      </c>
      <c r="AM76" s="19" t="s">
        <v>50</v>
      </c>
      <c r="AN76" s="44" t="s">
        <v>51</v>
      </c>
      <c r="AO76" s="58"/>
      <c r="AP76" s="57"/>
    </row>
    <row r="77" spans="1:42" s="20" customFormat="1" ht="14.25" customHeight="1" x14ac:dyDescent="0.25">
      <c r="A77" s="118">
        <v>46128</v>
      </c>
      <c r="B77" s="43"/>
      <c r="C77" s="13" t="s">
        <v>52</v>
      </c>
      <c r="D77" s="14" t="s">
        <v>53</v>
      </c>
      <c r="E77" s="98">
        <v>7306</v>
      </c>
      <c r="F77" s="44" t="s">
        <v>54</v>
      </c>
      <c r="G77" s="106">
        <v>45030585</v>
      </c>
      <c r="H77" s="2" t="s">
        <v>538</v>
      </c>
      <c r="I77" s="57"/>
      <c r="J77" s="57"/>
      <c r="K77" s="53">
        <v>0</v>
      </c>
      <c r="L77" s="57"/>
      <c r="M77" s="57"/>
      <c r="N77" s="57"/>
      <c r="O77" s="57"/>
      <c r="P77" s="53">
        <f t="shared" si="1"/>
        <v>0</v>
      </c>
      <c r="Q77" s="75"/>
      <c r="R77" s="56"/>
      <c r="S77" s="58"/>
      <c r="T77" s="58"/>
      <c r="U77" s="58"/>
      <c r="V77" s="44" t="s">
        <v>47</v>
      </c>
      <c r="W77" s="57"/>
      <c r="X77" s="118">
        <v>46128</v>
      </c>
      <c r="Y77" s="15" t="s">
        <v>61</v>
      </c>
      <c r="Z77" s="44"/>
      <c r="AA77" s="44"/>
      <c r="AB77" s="44" t="s">
        <v>49</v>
      </c>
      <c r="AC77" s="44"/>
      <c r="AD77" s="44" t="s">
        <v>48</v>
      </c>
      <c r="AE77" s="55"/>
      <c r="AF77" s="52"/>
      <c r="AG77" s="52"/>
      <c r="AH77" s="44"/>
      <c r="AI77" s="44"/>
      <c r="AJ77" s="51"/>
      <c r="AK77" s="44"/>
      <c r="AL77" s="52">
        <v>18</v>
      </c>
      <c r="AM77" s="47" t="s">
        <v>64</v>
      </c>
      <c r="AN77" s="44" t="s">
        <v>51</v>
      </c>
      <c r="AO77" s="58"/>
      <c r="AP77" s="57"/>
    </row>
    <row r="78" spans="1:42" s="20" customFormat="1" ht="14.25" customHeight="1" x14ac:dyDescent="0.25">
      <c r="A78" s="118">
        <v>46129</v>
      </c>
      <c r="B78" s="43"/>
      <c r="C78" s="13" t="s">
        <v>52</v>
      </c>
      <c r="D78" s="14" t="s">
        <v>53</v>
      </c>
      <c r="E78" s="98">
        <v>7307</v>
      </c>
      <c r="F78" s="44" t="s">
        <v>54</v>
      </c>
      <c r="G78" s="106">
        <v>75015424</v>
      </c>
      <c r="H78" s="2" t="s">
        <v>525</v>
      </c>
      <c r="I78" s="57"/>
      <c r="J78" s="57"/>
      <c r="K78" s="53">
        <v>7262</v>
      </c>
      <c r="L78" s="57"/>
      <c r="M78" s="57"/>
      <c r="N78" s="57"/>
      <c r="O78" s="57"/>
      <c r="P78" s="53">
        <f t="shared" si="1"/>
        <v>7262</v>
      </c>
      <c r="Q78" s="75"/>
      <c r="R78" s="56"/>
      <c r="S78" s="58"/>
      <c r="T78" s="58"/>
      <c r="U78" s="58"/>
      <c r="V78" s="44" t="s">
        <v>47</v>
      </c>
      <c r="W78" s="57"/>
      <c r="X78" s="118">
        <v>46129</v>
      </c>
      <c r="Y78" s="15" t="s">
        <v>61</v>
      </c>
      <c r="Z78" s="26"/>
      <c r="AA78" s="26"/>
      <c r="AB78" s="15" t="s">
        <v>49</v>
      </c>
      <c r="AC78" s="26"/>
      <c r="AD78" s="44" t="s">
        <v>48</v>
      </c>
      <c r="AE78" s="27"/>
      <c r="AF78" s="24"/>
      <c r="AG78" s="24"/>
      <c r="AH78" s="26"/>
      <c r="AI78" s="26"/>
      <c r="AJ78" s="25"/>
      <c r="AK78" s="26"/>
      <c r="AL78" s="17">
        <v>18</v>
      </c>
      <c r="AM78" s="19" t="s">
        <v>50</v>
      </c>
      <c r="AN78" s="44" t="s">
        <v>51</v>
      </c>
      <c r="AO78" s="58"/>
      <c r="AP78" s="57"/>
    </row>
    <row r="79" spans="1:42" s="20" customFormat="1" ht="14.25" customHeight="1" x14ac:dyDescent="0.25">
      <c r="A79" s="118">
        <v>46130</v>
      </c>
      <c r="B79" s="43"/>
      <c r="C79" s="13" t="s">
        <v>52</v>
      </c>
      <c r="D79" s="14" t="s">
        <v>53</v>
      </c>
      <c r="E79" s="98">
        <v>7308</v>
      </c>
      <c r="F79" s="44" t="s">
        <v>54</v>
      </c>
      <c r="G79" s="106">
        <v>76515322</v>
      </c>
      <c r="H79" s="2" t="s">
        <v>539</v>
      </c>
      <c r="I79" s="57"/>
      <c r="J79" s="57"/>
      <c r="K79" s="53">
        <v>6500</v>
      </c>
      <c r="L79" s="57"/>
      <c r="M79" s="57"/>
      <c r="N79" s="57"/>
      <c r="O79" s="57"/>
      <c r="P79" s="53">
        <f t="shared" si="1"/>
        <v>6500</v>
      </c>
      <c r="Q79" s="75"/>
      <c r="R79" s="56"/>
      <c r="S79" s="58"/>
      <c r="T79" s="58"/>
      <c r="U79" s="58"/>
      <c r="V79" s="44" t="s">
        <v>47</v>
      </c>
      <c r="W79" s="57"/>
      <c r="X79" s="118">
        <v>46374</v>
      </c>
      <c r="Y79" s="15" t="s">
        <v>63</v>
      </c>
      <c r="Z79" s="44"/>
      <c r="AA79" s="44"/>
      <c r="AB79" s="44" t="s">
        <v>49</v>
      </c>
      <c r="AC79" s="44"/>
      <c r="AD79" s="44" t="s">
        <v>48</v>
      </c>
      <c r="AE79" s="55"/>
      <c r="AF79" s="52"/>
      <c r="AG79" s="52"/>
      <c r="AH79" s="44"/>
      <c r="AI79" s="44"/>
      <c r="AJ79" s="51"/>
      <c r="AK79" s="44"/>
      <c r="AL79" s="52">
        <v>18</v>
      </c>
      <c r="AM79" s="19" t="s">
        <v>50</v>
      </c>
      <c r="AN79" s="44" t="s">
        <v>51</v>
      </c>
      <c r="AO79" s="58"/>
      <c r="AP79" s="57"/>
    </row>
    <row r="80" spans="1:42" s="20" customFormat="1" ht="14.25" customHeight="1" x14ac:dyDescent="0.25">
      <c r="A80" s="118">
        <v>46130</v>
      </c>
      <c r="B80" s="56"/>
      <c r="C80" s="13" t="s">
        <v>52</v>
      </c>
      <c r="D80" s="14" t="s">
        <v>53</v>
      </c>
      <c r="E80" s="98">
        <v>7309</v>
      </c>
      <c r="F80" s="44" t="s">
        <v>54</v>
      </c>
      <c r="G80" s="106">
        <v>42533787</v>
      </c>
      <c r="H80" s="2" t="s">
        <v>540</v>
      </c>
      <c r="I80" s="57"/>
      <c r="J80" s="57"/>
      <c r="K80" s="53">
        <v>6080</v>
      </c>
      <c r="L80" s="57"/>
      <c r="M80" s="57"/>
      <c r="N80" s="57"/>
      <c r="O80" s="57"/>
      <c r="P80" s="53">
        <f t="shared" si="1"/>
        <v>6080</v>
      </c>
      <c r="Q80" s="75"/>
      <c r="R80" s="56"/>
      <c r="S80" s="58"/>
      <c r="T80" s="58"/>
      <c r="U80" s="58"/>
      <c r="V80" s="44" t="s">
        <v>47</v>
      </c>
      <c r="W80" s="57"/>
      <c r="X80" s="118">
        <v>46130</v>
      </c>
      <c r="Y80" s="15" t="s">
        <v>61</v>
      </c>
      <c r="Z80" s="44"/>
      <c r="AA80" s="44"/>
      <c r="AB80" s="44" t="s">
        <v>49</v>
      </c>
      <c r="AC80" s="44"/>
      <c r="AD80" s="44" t="s">
        <v>48</v>
      </c>
      <c r="AE80" s="55"/>
      <c r="AF80" s="52"/>
      <c r="AG80" s="52"/>
      <c r="AH80" s="44"/>
      <c r="AI80" s="44"/>
      <c r="AJ80" s="51"/>
      <c r="AK80" s="44"/>
      <c r="AL80" s="52">
        <v>18</v>
      </c>
      <c r="AM80" s="19" t="s">
        <v>50</v>
      </c>
      <c r="AN80" s="44" t="s">
        <v>51</v>
      </c>
      <c r="AO80" s="58"/>
      <c r="AP80" s="57"/>
    </row>
    <row r="81" spans="1:42" s="20" customFormat="1" ht="14.25" customHeight="1" x14ac:dyDescent="0.25">
      <c r="A81" s="118">
        <v>46130</v>
      </c>
      <c r="B81" s="43"/>
      <c r="C81" s="13" t="s">
        <v>52</v>
      </c>
      <c r="D81" s="14" t="s">
        <v>53</v>
      </c>
      <c r="E81" s="98">
        <v>7310</v>
      </c>
      <c r="F81" s="44" t="s">
        <v>54</v>
      </c>
      <c r="G81" s="106">
        <v>42533787</v>
      </c>
      <c r="H81" s="2" t="s">
        <v>540</v>
      </c>
      <c r="I81" s="57"/>
      <c r="J81" s="57"/>
      <c r="K81" s="53">
        <v>0</v>
      </c>
      <c r="L81" s="57"/>
      <c r="M81" s="57"/>
      <c r="N81" s="57"/>
      <c r="O81" s="57"/>
      <c r="P81" s="53">
        <f t="shared" si="1"/>
        <v>0</v>
      </c>
      <c r="Q81" s="75"/>
      <c r="R81" s="56"/>
      <c r="S81" s="58"/>
      <c r="T81" s="58"/>
      <c r="U81" s="58"/>
      <c r="V81" s="44" t="s">
        <v>47</v>
      </c>
      <c r="W81" s="57"/>
      <c r="X81" s="118">
        <v>46130</v>
      </c>
      <c r="Y81" s="15" t="s">
        <v>61</v>
      </c>
      <c r="Z81" s="26"/>
      <c r="AA81" s="26"/>
      <c r="AB81" s="15" t="s">
        <v>49</v>
      </c>
      <c r="AC81" s="26"/>
      <c r="AD81" s="44" t="s">
        <v>48</v>
      </c>
      <c r="AE81" s="27"/>
      <c r="AF81" s="24"/>
      <c r="AG81" s="24"/>
      <c r="AH81" s="26"/>
      <c r="AI81" s="26"/>
      <c r="AJ81" s="25"/>
      <c r="AK81" s="26"/>
      <c r="AL81" s="17">
        <v>18</v>
      </c>
      <c r="AM81" s="47" t="s">
        <v>64</v>
      </c>
      <c r="AN81" s="44" t="s">
        <v>51</v>
      </c>
      <c r="AO81" s="58"/>
      <c r="AP81" s="57"/>
    </row>
    <row r="82" spans="1:42" s="20" customFormat="1" ht="14.25" customHeight="1" x14ac:dyDescent="0.25">
      <c r="A82" s="118">
        <v>46130</v>
      </c>
      <c r="B82" s="43"/>
      <c r="C82" s="13" t="s">
        <v>52</v>
      </c>
      <c r="D82" s="14" t="s">
        <v>53</v>
      </c>
      <c r="E82" s="98">
        <v>7311</v>
      </c>
      <c r="F82" s="44" t="s">
        <v>54</v>
      </c>
      <c r="G82" s="106">
        <v>20032129</v>
      </c>
      <c r="H82" s="2" t="s">
        <v>541</v>
      </c>
      <c r="I82" s="57"/>
      <c r="J82" s="57"/>
      <c r="K82" s="53">
        <v>10280</v>
      </c>
      <c r="L82" s="57"/>
      <c r="M82" s="57"/>
      <c r="N82" s="57"/>
      <c r="O82" s="57"/>
      <c r="P82" s="53">
        <f t="shared" si="1"/>
        <v>10280</v>
      </c>
      <c r="Q82" s="75"/>
      <c r="R82" s="56"/>
      <c r="S82" s="58"/>
      <c r="T82" s="58"/>
      <c r="U82" s="58"/>
      <c r="V82" s="44" t="s">
        <v>47</v>
      </c>
      <c r="W82" s="57"/>
      <c r="X82" s="118">
        <v>46130</v>
      </c>
      <c r="Y82" s="15" t="s">
        <v>61</v>
      </c>
      <c r="Z82" s="44"/>
      <c r="AA82" s="44"/>
      <c r="AB82" s="44" t="s">
        <v>49</v>
      </c>
      <c r="AC82" s="44"/>
      <c r="AD82" s="44" t="s">
        <v>48</v>
      </c>
      <c r="AE82" s="55"/>
      <c r="AF82" s="52"/>
      <c r="AG82" s="52"/>
      <c r="AH82" s="44"/>
      <c r="AI82" s="44"/>
      <c r="AJ82" s="51"/>
      <c r="AK82" s="44"/>
      <c r="AL82" s="52">
        <v>18</v>
      </c>
      <c r="AM82" s="19" t="s">
        <v>50</v>
      </c>
      <c r="AN82" s="44" t="s">
        <v>51</v>
      </c>
      <c r="AO82" s="58"/>
      <c r="AP82" s="57"/>
    </row>
    <row r="83" spans="1:42" s="20" customFormat="1" ht="14.25" customHeight="1" x14ac:dyDescent="0.25">
      <c r="A83" s="118">
        <v>46130</v>
      </c>
      <c r="B83" s="43"/>
      <c r="C83" s="13" t="s">
        <v>52</v>
      </c>
      <c r="D83" s="14" t="s">
        <v>53</v>
      </c>
      <c r="E83" s="98">
        <v>7312</v>
      </c>
      <c r="F83" s="44" t="s">
        <v>54</v>
      </c>
      <c r="G83" s="106">
        <v>20032129</v>
      </c>
      <c r="H83" s="2" t="s">
        <v>541</v>
      </c>
      <c r="I83" s="45"/>
      <c r="J83" s="57"/>
      <c r="K83" s="53">
        <v>0</v>
      </c>
      <c r="L83" s="57"/>
      <c r="M83" s="57"/>
      <c r="N83" s="57"/>
      <c r="O83" s="57"/>
      <c r="P83" s="53">
        <f t="shared" si="1"/>
        <v>0</v>
      </c>
      <c r="Q83" s="75"/>
      <c r="R83" s="56"/>
      <c r="S83" s="58"/>
      <c r="T83" s="58"/>
      <c r="U83" s="58"/>
      <c r="V83" s="44" t="s">
        <v>47</v>
      </c>
      <c r="W83" s="57"/>
      <c r="X83" s="118">
        <v>46130</v>
      </c>
      <c r="Y83" s="15" t="s">
        <v>61</v>
      </c>
      <c r="Z83" s="44"/>
      <c r="AA83" s="44"/>
      <c r="AB83" s="44" t="s">
        <v>49</v>
      </c>
      <c r="AC83" s="44"/>
      <c r="AD83" s="44" t="s">
        <v>48</v>
      </c>
      <c r="AE83" s="55"/>
      <c r="AF83" s="52"/>
      <c r="AG83" s="52"/>
      <c r="AH83" s="44"/>
      <c r="AI83" s="44"/>
      <c r="AJ83" s="51"/>
      <c r="AK83" s="44"/>
      <c r="AL83" s="52">
        <v>18</v>
      </c>
      <c r="AM83" s="47" t="s">
        <v>64</v>
      </c>
      <c r="AN83" s="44" t="s">
        <v>51</v>
      </c>
      <c r="AO83" s="58"/>
      <c r="AP83" s="57"/>
    </row>
    <row r="84" spans="1:42" s="20" customFormat="1" ht="14.25" customHeight="1" x14ac:dyDescent="0.25">
      <c r="A84" s="118">
        <v>46133</v>
      </c>
      <c r="B84" s="43"/>
      <c r="C84" s="13" t="s">
        <v>52</v>
      </c>
      <c r="D84" s="14" t="s">
        <v>53</v>
      </c>
      <c r="E84" s="98">
        <v>7313</v>
      </c>
      <c r="F84" s="44" t="s">
        <v>54</v>
      </c>
      <c r="G84" s="106">
        <v>61055545</v>
      </c>
      <c r="H84" s="2" t="s">
        <v>542</v>
      </c>
      <c r="I84" s="57"/>
      <c r="J84" s="96"/>
      <c r="K84" s="53">
        <v>8080</v>
      </c>
      <c r="L84" s="57"/>
      <c r="M84" s="57"/>
      <c r="N84" s="57"/>
      <c r="O84" s="57"/>
      <c r="P84" s="53">
        <f t="shared" si="1"/>
        <v>8080</v>
      </c>
      <c r="Q84" s="75"/>
      <c r="R84" s="56"/>
      <c r="S84" s="58"/>
      <c r="T84" s="58"/>
      <c r="U84" s="58"/>
      <c r="V84" s="44" t="s">
        <v>47</v>
      </c>
      <c r="W84" s="57"/>
      <c r="X84" s="118">
        <v>46133</v>
      </c>
      <c r="Y84" s="15" t="s">
        <v>61</v>
      </c>
      <c r="Z84" s="26"/>
      <c r="AA84" s="26"/>
      <c r="AB84" s="15" t="s">
        <v>49</v>
      </c>
      <c r="AC84" s="26"/>
      <c r="AD84" s="44" t="s">
        <v>48</v>
      </c>
      <c r="AE84" s="27"/>
      <c r="AF84" s="24"/>
      <c r="AG84" s="24"/>
      <c r="AH84" s="26"/>
      <c r="AI84" s="26"/>
      <c r="AJ84" s="25"/>
      <c r="AK84" s="26"/>
      <c r="AL84" s="17">
        <v>18</v>
      </c>
      <c r="AM84" s="19" t="s">
        <v>50</v>
      </c>
      <c r="AN84" s="44" t="s">
        <v>51</v>
      </c>
      <c r="AO84" s="58"/>
      <c r="AP84" s="57"/>
    </row>
    <row r="85" spans="1:42" s="20" customFormat="1" ht="14.25" customHeight="1" x14ac:dyDescent="0.25">
      <c r="A85" s="118">
        <v>46134</v>
      </c>
      <c r="B85" s="43"/>
      <c r="C85" s="13" t="s">
        <v>52</v>
      </c>
      <c r="D85" s="14" t="s">
        <v>53</v>
      </c>
      <c r="E85" s="98">
        <v>7314</v>
      </c>
      <c r="F85" s="44" t="s">
        <v>54</v>
      </c>
      <c r="G85" s="106">
        <v>73179110</v>
      </c>
      <c r="H85" s="2" t="s">
        <v>543</v>
      </c>
      <c r="I85" s="57"/>
      <c r="J85" s="57"/>
      <c r="K85" s="53">
        <v>5800</v>
      </c>
      <c r="L85" s="57"/>
      <c r="M85" s="57"/>
      <c r="N85" s="57"/>
      <c r="O85" s="57"/>
      <c r="P85" s="53">
        <f t="shared" si="1"/>
        <v>5800</v>
      </c>
      <c r="Q85" s="75"/>
      <c r="R85" s="56"/>
      <c r="S85" s="58"/>
      <c r="T85" s="58"/>
      <c r="U85" s="58"/>
      <c r="V85" s="44" t="s">
        <v>47</v>
      </c>
      <c r="W85" s="57"/>
      <c r="X85" s="118">
        <v>46317</v>
      </c>
      <c r="Y85" s="15" t="s">
        <v>63</v>
      </c>
      <c r="Z85" s="44"/>
      <c r="AA85" s="44"/>
      <c r="AB85" s="44" t="s">
        <v>49</v>
      </c>
      <c r="AC85" s="44"/>
      <c r="AD85" s="44" t="s">
        <v>48</v>
      </c>
      <c r="AE85" s="55"/>
      <c r="AF85" s="52"/>
      <c r="AG85" s="52"/>
      <c r="AH85" s="44"/>
      <c r="AI85" s="44"/>
      <c r="AJ85" s="51"/>
      <c r="AK85" s="44"/>
      <c r="AL85" s="52">
        <v>18</v>
      </c>
      <c r="AM85" s="19" t="s">
        <v>50</v>
      </c>
      <c r="AN85" s="44" t="s">
        <v>51</v>
      </c>
      <c r="AO85" s="58"/>
      <c r="AP85" s="57"/>
    </row>
    <row r="86" spans="1:42" s="20" customFormat="1" ht="14.25" customHeight="1" x14ac:dyDescent="0.25">
      <c r="A86" s="118">
        <v>46134</v>
      </c>
      <c r="B86" s="43"/>
      <c r="C86" s="13" t="s">
        <v>52</v>
      </c>
      <c r="D86" s="14" t="s">
        <v>53</v>
      </c>
      <c r="E86" s="98">
        <v>7315</v>
      </c>
      <c r="F86" s="44" t="s">
        <v>54</v>
      </c>
      <c r="G86" s="106">
        <v>46694526</v>
      </c>
      <c r="H86" s="2" t="s">
        <v>573</v>
      </c>
      <c r="I86" s="57"/>
      <c r="J86" s="57"/>
      <c r="K86" s="53">
        <v>5280</v>
      </c>
      <c r="L86" s="57"/>
      <c r="M86" s="57"/>
      <c r="N86" s="57"/>
      <c r="O86" s="57"/>
      <c r="P86" s="53">
        <f t="shared" si="1"/>
        <v>5280</v>
      </c>
      <c r="Q86" s="75"/>
      <c r="R86" s="56"/>
      <c r="S86" s="58"/>
      <c r="T86" s="58"/>
      <c r="U86" s="58"/>
      <c r="V86" s="44" t="s">
        <v>47</v>
      </c>
      <c r="W86" s="57"/>
      <c r="X86" s="118">
        <v>46134</v>
      </c>
      <c r="Y86" s="15" t="s">
        <v>61</v>
      </c>
      <c r="Z86" s="26"/>
      <c r="AA86" s="26"/>
      <c r="AB86" s="15" t="s">
        <v>49</v>
      </c>
      <c r="AC86" s="26"/>
      <c r="AD86" s="44" t="s">
        <v>48</v>
      </c>
      <c r="AE86" s="27"/>
      <c r="AF86" s="24"/>
      <c r="AG86" s="24"/>
      <c r="AH86" s="26"/>
      <c r="AI86" s="26"/>
      <c r="AJ86" s="25"/>
      <c r="AK86" s="26"/>
      <c r="AL86" s="17">
        <v>18</v>
      </c>
      <c r="AM86" s="19" t="s">
        <v>50</v>
      </c>
      <c r="AN86" s="44" t="s">
        <v>51</v>
      </c>
      <c r="AO86" s="58"/>
      <c r="AP86" s="57"/>
    </row>
    <row r="87" spans="1:42" s="20" customFormat="1" ht="14.25" customHeight="1" x14ac:dyDescent="0.25">
      <c r="A87" s="118">
        <v>46134</v>
      </c>
      <c r="B87" s="43"/>
      <c r="C87" s="13" t="s">
        <v>52</v>
      </c>
      <c r="D87" s="14" t="s">
        <v>53</v>
      </c>
      <c r="E87" s="98">
        <v>7316</v>
      </c>
      <c r="F87" s="44" t="s">
        <v>54</v>
      </c>
      <c r="G87" s="106">
        <v>75860988</v>
      </c>
      <c r="H87" s="2" t="s">
        <v>544</v>
      </c>
      <c r="I87" s="57"/>
      <c r="J87" s="57"/>
      <c r="K87" s="53">
        <v>5330</v>
      </c>
      <c r="L87" s="57"/>
      <c r="M87" s="57"/>
      <c r="N87" s="57"/>
      <c r="O87" s="57"/>
      <c r="P87" s="53">
        <f t="shared" si="1"/>
        <v>5330</v>
      </c>
      <c r="Q87" s="75"/>
      <c r="R87" s="56"/>
      <c r="S87" s="58"/>
      <c r="T87" s="58"/>
      <c r="U87" s="58"/>
      <c r="V87" s="44" t="s">
        <v>47</v>
      </c>
      <c r="W87" s="57"/>
      <c r="X87" s="118">
        <v>46134</v>
      </c>
      <c r="Y87" s="15" t="s">
        <v>61</v>
      </c>
      <c r="Z87" s="44"/>
      <c r="AA87" s="44"/>
      <c r="AB87" s="44" t="s">
        <v>49</v>
      </c>
      <c r="AC87" s="44"/>
      <c r="AD87" s="44" t="s">
        <v>48</v>
      </c>
      <c r="AE87" s="55"/>
      <c r="AF87" s="52"/>
      <c r="AG87" s="52"/>
      <c r="AH87" s="44"/>
      <c r="AI87" s="44"/>
      <c r="AJ87" s="51"/>
      <c r="AK87" s="44"/>
      <c r="AL87" s="52">
        <v>18</v>
      </c>
      <c r="AM87" s="19" t="s">
        <v>50</v>
      </c>
      <c r="AN87" s="44" t="s">
        <v>51</v>
      </c>
      <c r="AO87" s="58"/>
      <c r="AP87" s="57"/>
    </row>
    <row r="88" spans="1:42" s="20" customFormat="1" ht="14.25" customHeight="1" x14ac:dyDescent="0.25">
      <c r="A88" s="118">
        <v>46135</v>
      </c>
      <c r="B88" s="43"/>
      <c r="C88" s="13" t="s">
        <v>52</v>
      </c>
      <c r="D88" s="14" t="s">
        <v>53</v>
      </c>
      <c r="E88" s="98">
        <v>7317</v>
      </c>
      <c r="F88" s="44" t="s">
        <v>54</v>
      </c>
      <c r="G88" s="106">
        <v>60514947</v>
      </c>
      <c r="H88" s="2" t="s">
        <v>545</v>
      </c>
      <c r="I88" s="57"/>
      <c r="J88" s="57"/>
      <c r="K88" s="53">
        <v>8800</v>
      </c>
      <c r="L88" s="57"/>
      <c r="M88" s="57"/>
      <c r="N88" s="57"/>
      <c r="O88" s="57"/>
      <c r="P88" s="53">
        <f t="shared" si="1"/>
        <v>8800</v>
      </c>
      <c r="Q88" s="75"/>
      <c r="R88" s="56"/>
      <c r="S88" s="58"/>
      <c r="T88" s="58"/>
      <c r="U88" s="58"/>
      <c r="V88" s="44" t="s">
        <v>47</v>
      </c>
      <c r="W88" s="57"/>
      <c r="X88" s="118">
        <v>46321</v>
      </c>
      <c r="Y88" s="15" t="s">
        <v>63</v>
      </c>
      <c r="Z88" s="26"/>
      <c r="AA88" s="26"/>
      <c r="AB88" s="15" t="s">
        <v>49</v>
      </c>
      <c r="AC88" s="26"/>
      <c r="AD88" s="44" t="s">
        <v>48</v>
      </c>
      <c r="AE88" s="27"/>
      <c r="AF88" s="24"/>
      <c r="AG88" s="24"/>
      <c r="AH88" s="26"/>
      <c r="AI88" s="26"/>
      <c r="AJ88" s="25"/>
      <c r="AK88" s="26"/>
      <c r="AL88" s="17">
        <v>18</v>
      </c>
      <c r="AM88" s="19" t="s">
        <v>50</v>
      </c>
      <c r="AN88" s="44" t="s">
        <v>51</v>
      </c>
      <c r="AO88" s="58"/>
      <c r="AP88" s="57"/>
    </row>
    <row r="89" spans="1:42" s="20" customFormat="1" ht="14.25" customHeight="1" x14ac:dyDescent="0.25">
      <c r="A89" s="118">
        <v>46135</v>
      </c>
      <c r="B89" s="43"/>
      <c r="C89" s="13" t="s">
        <v>52</v>
      </c>
      <c r="D89" s="14" t="s">
        <v>53</v>
      </c>
      <c r="E89" s="98">
        <v>7318</v>
      </c>
      <c r="F89" s="44" t="s">
        <v>54</v>
      </c>
      <c r="G89" s="106">
        <v>48822669</v>
      </c>
      <c r="H89" s="2" t="s">
        <v>546</v>
      </c>
      <c r="I89" s="57"/>
      <c r="J89" s="57"/>
      <c r="K89" s="53">
        <v>6180</v>
      </c>
      <c r="L89" s="57"/>
      <c r="M89" s="57"/>
      <c r="N89" s="57"/>
      <c r="O89" s="57"/>
      <c r="P89" s="53">
        <f t="shared" si="1"/>
        <v>6180</v>
      </c>
      <c r="Q89" s="75"/>
      <c r="R89" s="56"/>
      <c r="S89" s="58"/>
      <c r="T89" s="58"/>
      <c r="U89" s="58"/>
      <c r="V89" s="44" t="s">
        <v>47</v>
      </c>
      <c r="W89" s="57"/>
      <c r="X89" s="118">
        <v>46135</v>
      </c>
      <c r="Y89" s="15" t="s">
        <v>61</v>
      </c>
      <c r="Z89" s="44"/>
      <c r="AA89" s="44"/>
      <c r="AB89" s="44" t="s">
        <v>49</v>
      </c>
      <c r="AC89" s="44"/>
      <c r="AD89" s="44" t="s">
        <v>48</v>
      </c>
      <c r="AE89" s="55"/>
      <c r="AF89" s="52"/>
      <c r="AG89" s="52"/>
      <c r="AH89" s="44"/>
      <c r="AI89" s="44"/>
      <c r="AJ89" s="51"/>
      <c r="AK89" s="44"/>
      <c r="AL89" s="52">
        <v>18</v>
      </c>
      <c r="AM89" s="19" t="s">
        <v>50</v>
      </c>
      <c r="AN89" s="44" t="s">
        <v>51</v>
      </c>
      <c r="AO89" s="58"/>
      <c r="AP89" s="57"/>
    </row>
    <row r="90" spans="1:42" s="20" customFormat="1" ht="14.25" customHeight="1" x14ac:dyDescent="0.25">
      <c r="A90" s="118">
        <v>46136</v>
      </c>
      <c r="B90" s="43"/>
      <c r="C90" s="21" t="s">
        <v>52</v>
      </c>
      <c r="D90" s="14" t="s">
        <v>53</v>
      </c>
      <c r="E90" s="98">
        <v>7319</v>
      </c>
      <c r="F90" s="46" t="s">
        <v>54</v>
      </c>
      <c r="G90" s="106">
        <v>43480195</v>
      </c>
      <c r="H90" s="2" t="s">
        <v>513</v>
      </c>
      <c r="I90" s="45"/>
      <c r="J90" s="45"/>
      <c r="K90" s="53">
        <v>6560</v>
      </c>
      <c r="L90" s="45"/>
      <c r="M90" s="45"/>
      <c r="N90" s="45"/>
      <c r="O90" s="45"/>
      <c r="P90" s="53">
        <f t="shared" si="1"/>
        <v>6560</v>
      </c>
      <c r="Q90" s="75"/>
      <c r="R90" s="56"/>
      <c r="S90" s="58"/>
      <c r="T90" s="58"/>
      <c r="U90" s="58"/>
      <c r="V90" s="44" t="s">
        <v>47</v>
      </c>
      <c r="W90" s="57"/>
      <c r="X90" s="118">
        <v>46136</v>
      </c>
      <c r="Y90" s="15" t="s">
        <v>61</v>
      </c>
      <c r="Z90" s="26"/>
      <c r="AA90" s="26"/>
      <c r="AB90" s="15" t="s">
        <v>49</v>
      </c>
      <c r="AC90" s="26"/>
      <c r="AD90" s="44" t="s">
        <v>48</v>
      </c>
      <c r="AE90" s="27"/>
      <c r="AF90" s="24"/>
      <c r="AG90" s="24"/>
      <c r="AH90" s="26"/>
      <c r="AI90" s="26"/>
      <c r="AJ90" s="25"/>
      <c r="AK90" s="26"/>
      <c r="AL90" s="17">
        <v>18</v>
      </c>
      <c r="AM90" s="19" t="s">
        <v>50</v>
      </c>
      <c r="AN90" s="44" t="s">
        <v>51</v>
      </c>
      <c r="AO90" s="58"/>
      <c r="AP90" s="57"/>
    </row>
    <row r="91" spans="1:42" s="20" customFormat="1" ht="14.25" customHeight="1" x14ac:dyDescent="0.25">
      <c r="A91" s="118">
        <v>46136</v>
      </c>
      <c r="B91" s="43"/>
      <c r="C91" s="21" t="s">
        <v>52</v>
      </c>
      <c r="D91" s="14" t="s">
        <v>53</v>
      </c>
      <c r="E91" s="98">
        <v>7320</v>
      </c>
      <c r="F91" s="44" t="s">
        <v>54</v>
      </c>
      <c r="G91" s="106">
        <v>20999830</v>
      </c>
      <c r="H91" s="2" t="s">
        <v>547</v>
      </c>
      <c r="I91" s="45"/>
      <c r="J91" s="45"/>
      <c r="K91" s="53">
        <v>6280</v>
      </c>
      <c r="L91" s="45"/>
      <c r="M91" s="45"/>
      <c r="N91" s="45"/>
      <c r="O91" s="45"/>
      <c r="P91" s="53">
        <f t="shared" si="1"/>
        <v>6280</v>
      </c>
      <c r="Q91" s="75"/>
      <c r="R91" s="56"/>
      <c r="S91" s="58"/>
      <c r="T91" s="58"/>
      <c r="U91" s="58"/>
      <c r="V91" s="44" t="s">
        <v>47</v>
      </c>
      <c r="W91" s="57"/>
      <c r="X91" s="118">
        <v>46136</v>
      </c>
      <c r="Y91" s="15" t="s">
        <v>61</v>
      </c>
      <c r="Z91" s="44"/>
      <c r="AA91" s="44"/>
      <c r="AB91" s="44" t="s">
        <v>49</v>
      </c>
      <c r="AC91" s="44"/>
      <c r="AD91" s="44" t="s">
        <v>48</v>
      </c>
      <c r="AE91" s="55"/>
      <c r="AF91" s="52"/>
      <c r="AG91" s="52"/>
      <c r="AH91" s="44"/>
      <c r="AI91" s="44"/>
      <c r="AJ91" s="51"/>
      <c r="AK91" s="44"/>
      <c r="AL91" s="52">
        <v>18</v>
      </c>
      <c r="AM91" s="19" t="s">
        <v>50</v>
      </c>
      <c r="AN91" s="44" t="s">
        <v>51</v>
      </c>
      <c r="AO91" s="58"/>
      <c r="AP91" s="57"/>
    </row>
    <row r="92" spans="1:42" s="20" customFormat="1" ht="14.25" customHeight="1" x14ac:dyDescent="0.25">
      <c r="A92" s="118">
        <v>46136</v>
      </c>
      <c r="B92" s="43"/>
      <c r="C92" s="21" t="s">
        <v>52</v>
      </c>
      <c r="D92" s="14" t="s">
        <v>53</v>
      </c>
      <c r="E92" s="98">
        <v>7321</v>
      </c>
      <c r="F92" s="46" t="s">
        <v>54</v>
      </c>
      <c r="G92" s="106">
        <v>20999830</v>
      </c>
      <c r="H92" s="2" t="s">
        <v>547</v>
      </c>
      <c r="I92" s="45"/>
      <c r="J92" s="45"/>
      <c r="K92" s="53">
        <v>0</v>
      </c>
      <c r="L92" s="45"/>
      <c r="M92" s="45"/>
      <c r="N92" s="45"/>
      <c r="O92" s="45"/>
      <c r="P92" s="53">
        <f t="shared" si="1"/>
        <v>0</v>
      </c>
      <c r="Q92" s="75"/>
      <c r="R92" s="56"/>
      <c r="S92" s="58"/>
      <c r="T92" s="58"/>
      <c r="U92" s="58"/>
      <c r="V92" s="44" t="s">
        <v>47</v>
      </c>
      <c r="W92" s="57"/>
      <c r="X92" s="118">
        <v>46136</v>
      </c>
      <c r="Y92" s="15" t="s">
        <v>61</v>
      </c>
      <c r="Z92" s="26"/>
      <c r="AA92" s="26"/>
      <c r="AB92" s="15" t="s">
        <v>49</v>
      </c>
      <c r="AC92" s="26"/>
      <c r="AD92" s="44" t="s">
        <v>48</v>
      </c>
      <c r="AE92" s="27"/>
      <c r="AF92" s="24"/>
      <c r="AG92" s="24"/>
      <c r="AH92" s="26"/>
      <c r="AI92" s="26"/>
      <c r="AJ92" s="25"/>
      <c r="AK92" s="26"/>
      <c r="AL92" s="17">
        <v>18</v>
      </c>
      <c r="AM92" s="47" t="s">
        <v>64</v>
      </c>
      <c r="AN92" s="44" t="s">
        <v>51</v>
      </c>
      <c r="AO92" s="58"/>
      <c r="AP92" s="57"/>
    </row>
    <row r="93" spans="1:42" s="20" customFormat="1" ht="14.25" customHeight="1" x14ac:dyDescent="0.25">
      <c r="A93" s="118">
        <v>46136</v>
      </c>
      <c r="B93" s="97"/>
      <c r="C93" s="21" t="s">
        <v>52</v>
      </c>
      <c r="D93" s="14" t="s">
        <v>53</v>
      </c>
      <c r="E93" s="98">
        <v>7322</v>
      </c>
      <c r="F93" s="44" t="s">
        <v>54</v>
      </c>
      <c r="G93" s="106">
        <v>72376058</v>
      </c>
      <c r="H93" s="2" t="s">
        <v>548</v>
      </c>
      <c r="I93" s="45"/>
      <c r="J93" s="45"/>
      <c r="K93" s="53">
        <v>6280</v>
      </c>
      <c r="L93" s="45"/>
      <c r="M93" s="45"/>
      <c r="N93" s="45"/>
      <c r="O93" s="45"/>
      <c r="P93" s="53">
        <f t="shared" si="1"/>
        <v>6280</v>
      </c>
      <c r="Q93" s="75"/>
      <c r="R93" s="56"/>
      <c r="S93" s="58"/>
      <c r="T93" s="58"/>
      <c r="U93" s="58"/>
      <c r="V93" s="44" t="s">
        <v>47</v>
      </c>
      <c r="W93" s="57"/>
      <c r="X93" s="118">
        <v>46136</v>
      </c>
      <c r="Y93" s="15" t="s">
        <v>61</v>
      </c>
      <c r="Z93" s="44"/>
      <c r="AA93" s="44"/>
      <c r="AB93" s="44" t="s">
        <v>49</v>
      </c>
      <c r="AC93" s="44"/>
      <c r="AD93" s="44" t="s">
        <v>48</v>
      </c>
      <c r="AE93" s="55"/>
      <c r="AF93" s="52"/>
      <c r="AG93" s="52"/>
      <c r="AH93" s="44"/>
      <c r="AI93" s="44"/>
      <c r="AJ93" s="51"/>
      <c r="AK93" s="44"/>
      <c r="AL93" s="52">
        <v>18</v>
      </c>
      <c r="AM93" s="19" t="s">
        <v>50</v>
      </c>
      <c r="AN93" s="44" t="s">
        <v>51</v>
      </c>
      <c r="AO93" s="58"/>
      <c r="AP93" s="57"/>
    </row>
    <row r="94" spans="1:42" s="20" customFormat="1" ht="14.25" customHeight="1" x14ac:dyDescent="0.25">
      <c r="A94" s="118">
        <v>46136</v>
      </c>
      <c r="B94" s="43"/>
      <c r="C94" s="21" t="s">
        <v>52</v>
      </c>
      <c r="D94" s="14" t="s">
        <v>53</v>
      </c>
      <c r="E94" s="98">
        <v>7323</v>
      </c>
      <c r="F94" s="46" t="s">
        <v>54</v>
      </c>
      <c r="G94" s="106">
        <v>72376058</v>
      </c>
      <c r="H94" s="2" t="s">
        <v>548</v>
      </c>
      <c r="I94" s="45"/>
      <c r="J94" s="45"/>
      <c r="K94" s="53">
        <v>0</v>
      </c>
      <c r="L94" s="45"/>
      <c r="M94" s="45"/>
      <c r="N94" s="45"/>
      <c r="O94" s="45"/>
      <c r="P94" s="53">
        <f t="shared" si="1"/>
        <v>0</v>
      </c>
      <c r="Q94" s="75"/>
      <c r="R94" s="56"/>
      <c r="S94" s="58"/>
      <c r="T94" s="58"/>
      <c r="U94" s="58"/>
      <c r="V94" s="44" t="s">
        <v>47</v>
      </c>
      <c r="W94" s="57"/>
      <c r="X94" s="118">
        <v>46136</v>
      </c>
      <c r="Y94" s="15" t="s">
        <v>61</v>
      </c>
      <c r="Z94" s="26"/>
      <c r="AA94" s="26"/>
      <c r="AB94" s="15" t="s">
        <v>49</v>
      </c>
      <c r="AC94" s="26"/>
      <c r="AD94" s="44" t="s">
        <v>48</v>
      </c>
      <c r="AE94" s="27"/>
      <c r="AF94" s="24"/>
      <c r="AG94" s="24"/>
      <c r="AH94" s="26"/>
      <c r="AI94" s="26"/>
      <c r="AJ94" s="25"/>
      <c r="AK94" s="26"/>
      <c r="AL94" s="17">
        <v>18</v>
      </c>
      <c r="AM94" s="47" t="s">
        <v>64</v>
      </c>
      <c r="AN94" s="44" t="s">
        <v>51</v>
      </c>
      <c r="AO94" s="58"/>
      <c r="AP94" s="57"/>
    </row>
    <row r="95" spans="1:42" s="20" customFormat="1" ht="14.25" customHeight="1" x14ac:dyDescent="0.25">
      <c r="A95" s="118">
        <v>46136</v>
      </c>
      <c r="B95" s="43"/>
      <c r="C95" s="21" t="s">
        <v>52</v>
      </c>
      <c r="D95" s="14" t="s">
        <v>53</v>
      </c>
      <c r="E95" s="98">
        <v>7324</v>
      </c>
      <c r="F95" s="46" t="s">
        <v>54</v>
      </c>
      <c r="G95" s="106">
        <v>20420913</v>
      </c>
      <c r="H95" s="2" t="s">
        <v>549</v>
      </c>
      <c r="I95" s="45"/>
      <c r="J95" s="45"/>
      <c r="K95" s="53">
        <v>6480</v>
      </c>
      <c r="L95" s="45"/>
      <c r="M95" s="45"/>
      <c r="N95" s="45"/>
      <c r="O95" s="45"/>
      <c r="P95" s="53">
        <f t="shared" ref="P95:P111" si="2">K95</f>
        <v>6480</v>
      </c>
      <c r="Q95" s="75"/>
      <c r="R95" s="56"/>
      <c r="S95" s="58"/>
      <c r="T95" s="58"/>
      <c r="U95" s="58"/>
      <c r="V95" s="44" t="s">
        <v>47</v>
      </c>
      <c r="W95" s="57"/>
      <c r="X95" s="118">
        <v>46136</v>
      </c>
      <c r="Y95" s="15" t="s">
        <v>61</v>
      </c>
      <c r="Z95" s="44"/>
      <c r="AA95" s="44"/>
      <c r="AB95" s="44" t="s">
        <v>49</v>
      </c>
      <c r="AC95" s="44"/>
      <c r="AD95" s="44" t="s">
        <v>48</v>
      </c>
      <c r="AE95" s="55"/>
      <c r="AF95" s="52"/>
      <c r="AG95" s="52"/>
      <c r="AH95" s="44"/>
      <c r="AI95" s="44"/>
      <c r="AJ95" s="51"/>
      <c r="AK95" s="44"/>
      <c r="AL95" s="52">
        <v>18</v>
      </c>
      <c r="AM95" s="19" t="s">
        <v>50</v>
      </c>
      <c r="AN95" s="44" t="s">
        <v>51</v>
      </c>
      <c r="AO95" s="58"/>
      <c r="AP95" s="57"/>
    </row>
    <row r="96" spans="1:42" s="20" customFormat="1" ht="14.25" customHeight="1" x14ac:dyDescent="0.25">
      <c r="A96" s="118">
        <v>46136</v>
      </c>
      <c r="B96" s="43"/>
      <c r="C96" s="21" t="s">
        <v>52</v>
      </c>
      <c r="D96" s="14" t="s">
        <v>53</v>
      </c>
      <c r="E96" s="98">
        <v>7325</v>
      </c>
      <c r="F96" s="44" t="s">
        <v>54</v>
      </c>
      <c r="G96" s="106">
        <v>47358134</v>
      </c>
      <c r="H96" s="2" t="s">
        <v>550</v>
      </c>
      <c r="I96" s="45"/>
      <c r="J96" s="45"/>
      <c r="K96" s="53">
        <v>6380</v>
      </c>
      <c r="L96" s="45"/>
      <c r="M96" s="45"/>
      <c r="N96" s="45"/>
      <c r="O96" s="45"/>
      <c r="P96" s="53">
        <f t="shared" si="2"/>
        <v>6380</v>
      </c>
      <c r="Q96" s="75"/>
      <c r="R96" s="56"/>
      <c r="S96" s="58"/>
      <c r="T96" s="58"/>
      <c r="U96" s="58"/>
      <c r="V96" s="44" t="s">
        <v>47</v>
      </c>
      <c r="W96" s="57"/>
      <c r="X96" s="118">
        <v>46136</v>
      </c>
      <c r="Y96" s="15" t="s">
        <v>61</v>
      </c>
      <c r="Z96" s="26"/>
      <c r="AA96" s="26"/>
      <c r="AB96" s="15" t="s">
        <v>49</v>
      </c>
      <c r="AC96" s="26"/>
      <c r="AD96" s="44" t="s">
        <v>48</v>
      </c>
      <c r="AE96" s="27"/>
      <c r="AF96" s="24"/>
      <c r="AG96" s="24"/>
      <c r="AH96" s="26"/>
      <c r="AI96" s="26"/>
      <c r="AJ96" s="25"/>
      <c r="AK96" s="26"/>
      <c r="AL96" s="17">
        <v>18</v>
      </c>
      <c r="AM96" s="19" t="s">
        <v>50</v>
      </c>
      <c r="AN96" s="44" t="s">
        <v>51</v>
      </c>
      <c r="AO96" s="58"/>
      <c r="AP96" s="57"/>
    </row>
    <row r="97" spans="1:42" s="20" customFormat="1" ht="14.25" customHeight="1" x14ac:dyDescent="0.25">
      <c r="A97" s="118">
        <v>46136</v>
      </c>
      <c r="B97" s="43"/>
      <c r="C97" s="21" t="s">
        <v>52</v>
      </c>
      <c r="D97" s="14" t="s">
        <v>53</v>
      </c>
      <c r="E97" s="98">
        <v>7326</v>
      </c>
      <c r="F97" s="46" t="s">
        <v>54</v>
      </c>
      <c r="G97" s="106">
        <v>47358134</v>
      </c>
      <c r="H97" s="2" t="s">
        <v>550</v>
      </c>
      <c r="I97" s="45"/>
      <c r="J97" s="45"/>
      <c r="K97" s="53">
        <v>0</v>
      </c>
      <c r="L97" s="45"/>
      <c r="M97" s="45"/>
      <c r="N97" s="45"/>
      <c r="O97" s="45"/>
      <c r="P97" s="53">
        <f t="shared" si="2"/>
        <v>0</v>
      </c>
      <c r="Q97" s="75"/>
      <c r="R97" s="56"/>
      <c r="S97" s="58"/>
      <c r="T97" s="58"/>
      <c r="U97" s="58"/>
      <c r="V97" s="44" t="s">
        <v>47</v>
      </c>
      <c r="W97" s="57"/>
      <c r="X97" s="118">
        <v>46136</v>
      </c>
      <c r="Y97" s="15" t="s">
        <v>61</v>
      </c>
      <c r="Z97" s="26"/>
      <c r="AA97" s="26"/>
      <c r="AB97" s="15" t="s">
        <v>49</v>
      </c>
      <c r="AC97" s="26"/>
      <c r="AD97" s="44" t="s">
        <v>48</v>
      </c>
      <c r="AE97" s="27"/>
      <c r="AF97" s="24"/>
      <c r="AG97" s="24"/>
      <c r="AH97" s="26"/>
      <c r="AI97" s="26"/>
      <c r="AJ97" s="25"/>
      <c r="AK97" s="26"/>
      <c r="AL97" s="17">
        <v>18</v>
      </c>
      <c r="AM97" s="47" t="s">
        <v>64</v>
      </c>
      <c r="AN97" s="44" t="s">
        <v>51</v>
      </c>
      <c r="AO97" s="58"/>
      <c r="AP97" s="57"/>
    </row>
    <row r="98" spans="1:42" s="20" customFormat="1" ht="14.25" customHeight="1" x14ac:dyDescent="0.25">
      <c r="A98" s="118">
        <v>46137</v>
      </c>
      <c r="B98" s="97"/>
      <c r="C98" s="21" t="s">
        <v>52</v>
      </c>
      <c r="D98" s="14" t="s">
        <v>53</v>
      </c>
      <c r="E98" s="98">
        <v>7327</v>
      </c>
      <c r="F98" s="44" t="s">
        <v>54</v>
      </c>
      <c r="G98" s="106">
        <v>61256393</v>
      </c>
      <c r="H98" s="2" t="s">
        <v>574</v>
      </c>
      <c r="I98" s="45"/>
      <c r="J98" s="45"/>
      <c r="K98" s="53">
        <v>6230</v>
      </c>
      <c r="L98" s="45"/>
      <c r="M98" s="45"/>
      <c r="N98" s="45"/>
      <c r="O98" s="45"/>
      <c r="P98" s="53">
        <f t="shared" si="2"/>
        <v>6230</v>
      </c>
      <c r="Q98" s="75"/>
      <c r="R98" s="56"/>
      <c r="S98" s="58"/>
      <c r="T98" s="58"/>
      <c r="U98" s="58"/>
      <c r="V98" s="44" t="s">
        <v>47</v>
      </c>
      <c r="W98" s="57"/>
      <c r="X98" s="118">
        <v>46137</v>
      </c>
      <c r="Y98" s="15" t="s">
        <v>61</v>
      </c>
      <c r="Z98" s="44"/>
      <c r="AA98" s="44"/>
      <c r="AB98" s="44" t="s">
        <v>49</v>
      </c>
      <c r="AC98" s="44"/>
      <c r="AD98" s="44" t="s">
        <v>48</v>
      </c>
      <c r="AE98" s="55"/>
      <c r="AF98" s="52"/>
      <c r="AG98" s="52"/>
      <c r="AH98" s="44"/>
      <c r="AI98" s="44"/>
      <c r="AJ98" s="51"/>
      <c r="AK98" s="44"/>
      <c r="AL98" s="52">
        <v>18</v>
      </c>
      <c r="AM98" s="19" t="s">
        <v>50</v>
      </c>
      <c r="AN98" s="44" t="s">
        <v>51</v>
      </c>
      <c r="AO98" s="58"/>
      <c r="AP98" s="57"/>
    </row>
    <row r="99" spans="1:42" s="20" customFormat="1" ht="15" customHeight="1" x14ac:dyDescent="0.25">
      <c r="A99" s="118">
        <v>46137</v>
      </c>
      <c r="B99" s="43"/>
      <c r="C99" s="21" t="s">
        <v>52</v>
      </c>
      <c r="D99" s="14" t="s">
        <v>53</v>
      </c>
      <c r="E99" s="98">
        <v>7328</v>
      </c>
      <c r="F99" s="46" t="s">
        <v>54</v>
      </c>
      <c r="G99" s="106">
        <v>61256393</v>
      </c>
      <c r="H99" s="2" t="s">
        <v>574</v>
      </c>
      <c r="I99" s="45"/>
      <c r="J99" s="45"/>
      <c r="K99" s="53">
        <v>0</v>
      </c>
      <c r="L99" s="45"/>
      <c r="M99" s="45"/>
      <c r="N99" s="45"/>
      <c r="O99" s="54"/>
      <c r="P99" s="53">
        <f t="shared" si="2"/>
        <v>0</v>
      </c>
      <c r="Q99" s="76"/>
      <c r="R99" s="58"/>
      <c r="S99" s="58"/>
      <c r="T99" s="44"/>
      <c r="U99" s="57"/>
      <c r="V99" s="44" t="s">
        <v>47</v>
      </c>
      <c r="W99" s="58"/>
      <c r="X99" s="118">
        <v>46137</v>
      </c>
      <c r="Y99" s="15" t="s">
        <v>61</v>
      </c>
      <c r="Z99" s="26"/>
      <c r="AA99" s="26"/>
      <c r="AB99" s="15" t="s">
        <v>49</v>
      </c>
      <c r="AC99" s="26"/>
      <c r="AD99" s="44" t="s">
        <v>48</v>
      </c>
      <c r="AE99" s="27"/>
      <c r="AF99" s="24"/>
      <c r="AG99" s="24"/>
      <c r="AH99" s="26"/>
      <c r="AI99" s="26"/>
      <c r="AJ99" s="25"/>
      <c r="AK99" s="26"/>
      <c r="AL99" s="17">
        <v>18</v>
      </c>
      <c r="AM99" s="47" t="s">
        <v>64</v>
      </c>
      <c r="AN99" s="44" t="s">
        <v>51</v>
      </c>
      <c r="AO99" s="85"/>
      <c r="AP99" s="85"/>
    </row>
    <row r="100" spans="1:42" s="20" customFormat="1" ht="14.25" customHeight="1" x14ac:dyDescent="0.25">
      <c r="A100" s="118">
        <v>46137</v>
      </c>
      <c r="B100" s="97"/>
      <c r="C100" s="21" t="s">
        <v>52</v>
      </c>
      <c r="D100" s="14" t="s">
        <v>53</v>
      </c>
      <c r="E100" s="98">
        <v>7329</v>
      </c>
      <c r="F100" s="44" t="s">
        <v>54</v>
      </c>
      <c r="G100" s="106">
        <v>47722521</v>
      </c>
      <c r="H100" s="2" t="s">
        <v>551</v>
      </c>
      <c r="I100" s="45"/>
      <c r="J100" s="45"/>
      <c r="K100" s="53">
        <v>11600</v>
      </c>
      <c r="L100" s="45"/>
      <c r="M100" s="45"/>
      <c r="N100" s="45"/>
      <c r="O100" s="54"/>
      <c r="P100" s="53">
        <f t="shared" si="2"/>
        <v>11600</v>
      </c>
      <c r="Q100" s="76"/>
      <c r="R100" s="58"/>
      <c r="S100" s="58"/>
      <c r="T100" s="44"/>
      <c r="U100" s="57"/>
      <c r="V100" s="44" t="s">
        <v>47</v>
      </c>
      <c r="W100" s="58"/>
      <c r="X100" s="118">
        <v>46137</v>
      </c>
      <c r="Y100" s="15" t="s">
        <v>61</v>
      </c>
      <c r="Z100" s="44"/>
      <c r="AA100" s="44"/>
      <c r="AB100" s="44" t="s">
        <v>49</v>
      </c>
      <c r="AC100" s="44"/>
      <c r="AD100" s="44" t="s">
        <v>48</v>
      </c>
      <c r="AE100" s="55"/>
      <c r="AF100" s="52"/>
      <c r="AG100" s="52"/>
      <c r="AH100" s="44"/>
      <c r="AI100" s="44"/>
      <c r="AJ100" s="51"/>
      <c r="AK100" s="44"/>
      <c r="AL100" s="52">
        <v>18</v>
      </c>
      <c r="AM100" s="19" t="s">
        <v>50</v>
      </c>
      <c r="AN100" s="44" t="s">
        <v>51</v>
      </c>
      <c r="AO100" s="85"/>
      <c r="AP100" s="85"/>
    </row>
    <row r="101" spans="1:42" s="20" customFormat="1" ht="14.25" customHeight="1" x14ac:dyDescent="0.25">
      <c r="A101" s="118">
        <v>46137</v>
      </c>
      <c r="B101" s="43"/>
      <c r="C101" s="21" t="s">
        <v>52</v>
      </c>
      <c r="D101" s="14" t="s">
        <v>53</v>
      </c>
      <c r="E101" s="98">
        <v>7330</v>
      </c>
      <c r="F101" s="46" t="s">
        <v>54</v>
      </c>
      <c r="G101" s="106">
        <v>47722521</v>
      </c>
      <c r="H101" s="2" t="s">
        <v>551</v>
      </c>
      <c r="I101" s="45"/>
      <c r="J101" s="45"/>
      <c r="K101" s="53">
        <v>0</v>
      </c>
      <c r="L101" s="45"/>
      <c r="M101" s="45"/>
      <c r="N101" s="45"/>
      <c r="O101" s="54"/>
      <c r="P101" s="53">
        <f t="shared" si="2"/>
        <v>0</v>
      </c>
      <c r="Q101" s="76"/>
      <c r="R101" s="58"/>
      <c r="S101" s="58"/>
      <c r="T101" s="44"/>
      <c r="U101" s="57"/>
      <c r="V101" s="44" t="s">
        <v>47</v>
      </c>
      <c r="W101" s="58"/>
      <c r="X101" s="118">
        <v>46137</v>
      </c>
      <c r="Y101" s="15" t="s">
        <v>61</v>
      </c>
      <c r="Z101" s="44"/>
      <c r="AA101" s="44"/>
      <c r="AB101" s="44" t="s">
        <v>49</v>
      </c>
      <c r="AC101" s="44"/>
      <c r="AD101" s="44" t="s">
        <v>48</v>
      </c>
      <c r="AE101" s="55"/>
      <c r="AF101" s="52"/>
      <c r="AG101" s="52"/>
      <c r="AH101" s="44"/>
      <c r="AI101" s="44"/>
      <c r="AJ101" s="51"/>
      <c r="AK101" s="44"/>
      <c r="AL101" s="52">
        <v>18</v>
      </c>
      <c r="AM101" s="47" t="s">
        <v>64</v>
      </c>
      <c r="AN101" s="44" t="s">
        <v>51</v>
      </c>
      <c r="AO101" s="85"/>
      <c r="AP101" s="85"/>
    </row>
    <row r="102" spans="1:42" s="20" customFormat="1" ht="14.25" customHeight="1" x14ac:dyDescent="0.25">
      <c r="A102" s="118">
        <v>46137</v>
      </c>
      <c r="B102" s="43"/>
      <c r="C102" s="21" t="s">
        <v>52</v>
      </c>
      <c r="D102" s="14" t="s">
        <v>53</v>
      </c>
      <c r="E102" s="98">
        <v>7331</v>
      </c>
      <c r="F102" s="44" t="s">
        <v>54</v>
      </c>
      <c r="G102" s="106">
        <v>73660261</v>
      </c>
      <c r="H102" s="2" t="s">
        <v>552</v>
      </c>
      <c r="I102" s="45"/>
      <c r="J102" s="45"/>
      <c r="K102" s="53">
        <v>5380</v>
      </c>
      <c r="L102" s="45"/>
      <c r="M102" s="45"/>
      <c r="N102" s="45"/>
      <c r="O102" s="54"/>
      <c r="P102" s="53">
        <f t="shared" si="2"/>
        <v>5380</v>
      </c>
      <c r="Q102" s="76"/>
      <c r="R102" s="58"/>
      <c r="S102" s="58"/>
      <c r="T102" s="44"/>
      <c r="U102" s="57"/>
      <c r="V102" s="44" t="s">
        <v>47</v>
      </c>
      <c r="W102" s="58"/>
      <c r="X102" s="118">
        <v>46137</v>
      </c>
      <c r="Y102" s="15" t="s">
        <v>61</v>
      </c>
      <c r="Z102" s="44"/>
      <c r="AA102" s="44"/>
      <c r="AB102" s="44" t="s">
        <v>49</v>
      </c>
      <c r="AC102" s="44"/>
      <c r="AD102" s="44" t="s">
        <v>48</v>
      </c>
      <c r="AE102" s="55"/>
      <c r="AF102" s="52"/>
      <c r="AG102" s="52"/>
      <c r="AH102" s="44"/>
      <c r="AI102" s="44"/>
      <c r="AJ102" s="51"/>
      <c r="AK102" s="44"/>
      <c r="AL102" s="52">
        <v>18</v>
      </c>
      <c r="AM102" s="19" t="s">
        <v>50</v>
      </c>
      <c r="AN102" s="44" t="s">
        <v>51</v>
      </c>
      <c r="AO102" s="85"/>
      <c r="AP102" s="85"/>
    </row>
    <row r="103" spans="1:42" s="20" customFormat="1" ht="14.25" customHeight="1" x14ac:dyDescent="0.25">
      <c r="A103" s="118">
        <v>46137</v>
      </c>
      <c r="B103" s="43"/>
      <c r="C103" s="21" t="s">
        <v>52</v>
      </c>
      <c r="D103" s="14" t="s">
        <v>53</v>
      </c>
      <c r="E103" s="98">
        <v>7332</v>
      </c>
      <c r="F103" s="46" t="s">
        <v>46</v>
      </c>
      <c r="G103" s="107" t="s">
        <v>498</v>
      </c>
      <c r="H103" s="2" t="s">
        <v>552</v>
      </c>
      <c r="I103" s="45"/>
      <c r="J103" s="45"/>
      <c r="K103" s="53">
        <v>0</v>
      </c>
      <c r="L103" s="45"/>
      <c r="M103" s="45"/>
      <c r="N103" s="45"/>
      <c r="O103" s="54"/>
      <c r="P103" s="53">
        <f t="shared" si="2"/>
        <v>0</v>
      </c>
      <c r="Q103" s="76"/>
      <c r="R103" s="58"/>
      <c r="S103" s="58"/>
      <c r="T103" s="44"/>
      <c r="U103" s="57"/>
      <c r="V103" s="44" t="s">
        <v>47</v>
      </c>
      <c r="W103" s="58"/>
      <c r="X103" s="118">
        <v>46137</v>
      </c>
      <c r="Y103" s="15" t="s">
        <v>61</v>
      </c>
      <c r="Z103" s="44"/>
      <c r="AA103" s="44"/>
      <c r="AB103" s="44" t="s">
        <v>49</v>
      </c>
      <c r="AC103" s="44"/>
      <c r="AD103" s="44" t="s">
        <v>48</v>
      </c>
      <c r="AE103" s="55"/>
      <c r="AF103" s="52"/>
      <c r="AG103" s="52"/>
      <c r="AH103" s="44"/>
      <c r="AI103" s="44"/>
      <c r="AJ103" s="51"/>
      <c r="AK103" s="44"/>
      <c r="AL103" s="52">
        <v>18</v>
      </c>
      <c r="AM103" s="47" t="s">
        <v>64</v>
      </c>
      <c r="AN103" s="44" t="s">
        <v>51</v>
      </c>
      <c r="AO103" s="85"/>
      <c r="AP103" s="85"/>
    </row>
    <row r="104" spans="1:42" s="20" customFormat="1" ht="14.25" customHeight="1" x14ac:dyDescent="0.25">
      <c r="A104" s="118">
        <v>46137</v>
      </c>
      <c r="B104" s="43"/>
      <c r="C104" s="21" t="s">
        <v>52</v>
      </c>
      <c r="D104" s="14" t="s">
        <v>53</v>
      </c>
      <c r="E104" s="98">
        <v>7333</v>
      </c>
      <c r="F104" s="46" t="s">
        <v>54</v>
      </c>
      <c r="G104" s="106">
        <v>20984609</v>
      </c>
      <c r="H104" s="2" t="s">
        <v>553</v>
      </c>
      <c r="I104" s="45"/>
      <c r="J104" s="45"/>
      <c r="K104" s="53">
        <v>8280</v>
      </c>
      <c r="L104" s="45"/>
      <c r="M104" s="45"/>
      <c r="N104" s="45"/>
      <c r="O104" s="45"/>
      <c r="P104" s="53">
        <f t="shared" si="2"/>
        <v>8280</v>
      </c>
      <c r="Q104" s="75"/>
      <c r="R104" s="56"/>
      <c r="S104" s="58"/>
      <c r="T104" s="58"/>
      <c r="U104" s="58"/>
      <c r="V104" s="44" t="s">
        <v>47</v>
      </c>
      <c r="W104" s="57"/>
      <c r="X104" s="118">
        <v>46137</v>
      </c>
      <c r="Y104" s="15" t="s">
        <v>61</v>
      </c>
      <c r="Z104" s="44"/>
      <c r="AA104" s="44"/>
      <c r="AB104" s="44" t="s">
        <v>49</v>
      </c>
      <c r="AC104" s="44"/>
      <c r="AD104" s="44" t="s">
        <v>48</v>
      </c>
      <c r="AE104" s="55"/>
      <c r="AF104" s="52"/>
      <c r="AG104" s="52"/>
      <c r="AH104" s="44"/>
      <c r="AI104" s="44"/>
      <c r="AJ104" s="51"/>
      <c r="AK104" s="44"/>
      <c r="AL104" s="52">
        <v>18</v>
      </c>
      <c r="AM104" s="19" t="s">
        <v>50</v>
      </c>
      <c r="AN104" s="44" t="s">
        <v>51</v>
      </c>
      <c r="AO104" s="58"/>
      <c r="AP104" s="57"/>
    </row>
    <row r="105" spans="1:42" s="20" customFormat="1" ht="14.25" customHeight="1" x14ac:dyDescent="0.25">
      <c r="A105" s="118">
        <v>46137</v>
      </c>
      <c r="B105" s="43"/>
      <c r="C105" s="21" t="s">
        <v>52</v>
      </c>
      <c r="D105" s="14" t="s">
        <v>53</v>
      </c>
      <c r="E105" s="98">
        <v>7334</v>
      </c>
      <c r="F105" s="44" t="s">
        <v>54</v>
      </c>
      <c r="G105" s="106">
        <v>73443252</v>
      </c>
      <c r="H105" s="2" t="s">
        <v>554</v>
      </c>
      <c r="I105" s="45"/>
      <c r="J105" s="45"/>
      <c r="K105" s="53">
        <v>6600</v>
      </c>
      <c r="L105" s="45"/>
      <c r="M105" s="45"/>
      <c r="N105" s="45"/>
      <c r="O105" s="45"/>
      <c r="P105" s="53">
        <f t="shared" si="2"/>
        <v>6600</v>
      </c>
      <c r="Q105" s="75"/>
      <c r="R105" s="56"/>
      <c r="S105" s="58"/>
      <c r="T105" s="58"/>
      <c r="U105" s="58"/>
      <c r="V105" s="44" t="s">
        <v>47</v>
      </c>
      <c r="W105" s="57"/>
      <c r="X105" s="118">
        <v>46137</v>
      </c>
      <c r="Y105" s="15" t="s">
        <v>61</v>
      </c>
      <c r="Z105" s="44"/>
      <c r="AA105" s="44"/>
      <c r="AB105" s="44" t="s">
        <v>49</v>
      </c>
      <c r="AC105" s="44"/>
      <c r="AD105" s="44" t="s">
        <v>48</v>
      </c>
      <c r="AE105" s="55"/>
      <c r="AF105" s="52"/>
      <c r="AG105" s="52"/>
      <c r="AH105" s="44"/>
      <c r="AI105" s="44"/>
      <c r="AJ105" s="51"/>
      <c r="AK105" s="44"/>
      <c r="AL105" s="52">
        <v>18</v>
      </c>
      <c r="AM105" s="19" t="s">
        <v>50</v>
      </c>
      <c r="AN105" s="44" t="s">
        <v>51</v>
      </c>
      <c r="AO105" s="58"/>
      <c r="AP105" s="57"/>
    </row>
    <row r="106" spans="1:42" s="20" customFormat="1" ht="15" customHeight="1" x14ac:dyDescent="0.25">
      <c r="A106" s="118">
        <v>46137</v>
      </c>
      <c r="B106" s="43"/>
      <c r="C106" s="21" t="s">
        <v>52</v>
      </c>
      <c r="D106" s="14" t="s">
        <v>53</v>
      </c>
      <c r="E106" s="98">
        <v>7335</v>
      </c>
      <c r="F106" s="46" t="s">
        <v>54</v>
      </c>
      <c r="G106" s="106">
        <v>73443252</v>
      </c>
      <c r="H106" s="2" t="s">
        <v>554</v>
      </c>
      <c r="I106" s="45"/>
      <c r="J106" s="45"/>
      <c r="K106" s="53">
        <v>0</v>
      </c>
      <c r="L106" s="45"/>
      <c r="M106" s="45"/>
      <c r="N106" s="45"/>
      <c r="O106" s="54"/>
      <c r="P106" s="53">
        <f t="shared" si="2"/>
        <v>0</v>
      </c>
      <c r="Q106" s="76"/>
      <c r="R106" s="58"/>
      <c r="S106" s="58"/>
      <c r="T106" s="44"/>
      <c r="U106" s="57"/>
      <c r="V106" s="44" t="s">
        <v>47</v>
      </c>
      <c r="W106" s="58"/>
      <c r="X106" s="118">
        <v>46137</v>
      </c>
      <c r="Y106" s="15" t="s">
        <v>61</v>
      </c>
      <c r="Z106" s="44"/>
      <c r="AA106" s="44"/>
      <c r="AB106" s="44" t="s">
        <v>49</v>
      </c>
      <c r="AC106" s="44"/>
      <c r="AD106" s="44" t="s">
        <v>48</v>
      </c>
      <c r="AE106" s="55"/>
      <c r="AF106" s="52"/>
      <c r="AG106" s="52"/>
      <c r="AH106" s="44"/>
      <c r="AI106" s="44"/>
      <c r="AJ106" s="51"/>
      <c r="AK106" s="44"/>
      <c r="AL106" s="52">
        <v>18</v>
      </c>
      <c r="AM106" s="47" t="s">
        <v>64</v>
      </c>
      <c r="AN106" s="44" t="s">
        <v>51</v>
      </c>
      <c r="AO106" s="85"/>
      <c r="AP106" s="85"/>
    </row>
    <row r="107" spans="1:42" s="20" customFormat="1" ht="14.25" customHeight="1" x14ac:dyDescent="0.25">
      <c r="A107" s="118">
        <v>46139</v>
      </c>
      <c r="B107" s="43"/>
      <c r="C107" s="21" t="s">
        <v>52</v>
      </c>
      <c r="D107" s="14" t="s">
        <v>53</v>
      </c>
      <c r="E107" s="98">
        <v>7336</v>
      </c>
      <c r="F107" s="44" t="s">
        <v>54</v>
      </c>
      <c r="G107" s="106">
        <v>70234955</v>
      </c>
      <c r="H107" s="2" t="s">
        <v>555</v>
      </c>
      <c r="I107" s="45"/>
      <c r="J107" s="45"/>
      <c r="K107" s="53">
        <v>7780</v>
      </c>
      <c r="L107" s="45"/>
      <c r="M107" s="45"/>
      <c r="N107" s="45"/>
      <c r="O107" s="54"/>
      <c r="P107" s="53">
        <f t="shared" si="2"/>
        <v>7780</v>
      </c>
      <c r="Q107" s="76"/>
      <c r="R107" s="58"/>
      <c r="S107" s="58"/>
      <c r="T107" s="44"/>
      <c r="U107" s="57"/>
      <c r="V107" s="44" t="s">
        <v>47</v>
      </c>
      <c r="W107" s="58"/>
      <c r="X107" s="118">
        <v>46139</v>
      </c>
      <c r="Y107" s="15" t="s">
        <v>61</v>
      </c>
      <c r="Z107" s="44"/>
      <c r="AA107" s="44"/>
      <c r="AB107" s="44" t="s">
        <v>49</v>
      </c>
      <c r="AC107" s="44"/>
      <c r="AD107" s="44" t="s">
        <v>48</v>
      </c>
      <c r="AE107" s="55"/>
      <c r="AF107" s="52"/>
      <c r="AG107" s="52"/>
      <c r="AH107" s="44"/>
      <c r="AI107" s="44"/>
      <c r="AJ107" s="51"/>
      <c r="AK107" s="44"/>
      <c r="AL107" s="52">
        <v>18</v>
      </c>
      <c r="AM107" s="19" t="s">
        <v>50</v>
      </c>
      <c r="AN107" s="44" t="s">
        <v>51</v>
      </c>
      <c r="AO107" s="85"/>
      <c r="AP107" s="85"/>
    </row>
    <row r="108" spans="1:42" s="20" customFormat="1" ht="14.25" customHeight="1" x14ac:dyDescent="0.25">
      <c r="A108" s="118">
        <v>46139</v>
      </c>
      <c r="B108" s="43"/>
      <c r="C108" s="21" t="s">
        <v>52</v>
      </c>
      <c r="D108" s="14" t="s">
        <v>53</v>
      </c>
      <c r="E108" s="98">
        <v>7337</v>
      </c>
      <c r="F108" s="46" t="s">
        <v>54</v>
      </c>
      <c r="G108" s="106">
        <v>62952238</v>
      </c>
      <c r="H108" s="2" t="s">
        <v>556</v>
      </c>
      <c r="I108" s="45"/>
      <c r="J108" s="45"/>
      <c r="K108" s="53">
        <v>6180</v>
      </c>
      <c r="L108" s="45"/>
      <c r="M108" s="45"/>
      <c r="N108" s="45"/>
      <c r="O108" s="54"/>
      <c r="P108" s="53">
        <f t="shared" si="2"/>
        <v>6180</v>
      </c>
      <c r="Q108" s="76"/>
      <c r="R108" s="58"/>
      <c r="S108" s="58"/>
      <c r="T108" s="44"/>
      <c r="U108" s="57"/>
      <c r="V108" s="44" t="s">
        <v>47</v>
      </c>
      <c r="W108" s="58"/>
      <c r="X108" s="118">
        <v>46139</v>
      </c>
      <c r="Y108" s="15" t="s">
        <v>61</v>
      </c>
      <c r="Z108" s="44"/>
      <c r="AA108" s="44"/>
      <c r="AB108" s="44" t="s">
        <v>49</v>
      </c>
      <c r="AC108" s="44"/>
      <c r="AD108" s="44" t="s">
        <v>48</v>
      </c>
      <c r="AE108" s="55"/>
      <c r="AF108" s="52"/>
      <c r="AG108" s="52"/>
      <c r="AH108" s="44"/>
      <c r="AI108" s="44"/>
      <c r="AJ108" s="51"/>
      <c r="AK108" s="44"/>
      <c r="AL108" s="52">
        <v>18</v>
      </c>
      <c r="AM108" s="19" t="s">
        <v>50</v>
      </c>
      <c r="AN108" s="44" t="s">
        <v>51</v>
      </c>
      <c r="AO108" s="85"/>
      <c r="AP108" s="85"/>
    </row>
    <row r="109" spans="1:42" s="20" customFormat="1" ht="14.25" customHeight="1" x14ac:dyDescent="0.25">
      <c r="A109" s="118">
        <v>46139</v>
      </c>
      <c r="B109" s="43"/>
      <c r="C109" s="21" t="s">
        <v>52</v>
      </c>
      <c r="D109" s="14" t="s">
        <v>53</v>
      </c>
      <c r="E109" s="98">
        <v>7338</v>
      </c>
      <c r="F109" s="44" t="s">
        <v>54</v>
      </c>
      <c r="G109" s="106">
        <v>62952238</v>
      </c>
      <c r="H109" s="2" t="s">
        <v>556</v>
      </c>
      <c r="I109" s="45"/>
      <c r="J109" s="45"/>
      <c r="K109" s="53">
        <v>0</v>
      </c>
      <c r="L109" s="45"/>
      <c r="M109" s="45"/>
      <c r="N109" s="45"/>
      <c r="O109" s="54"/>
      <c r="P109" s="53">
        <f t="shared" si="2"/>
        <v>0</v>
      </c>
      <c r="Q109" s="76"/>
      <c r="R109" s="58"/>
      <c r="S109" s="58"/>
      <c r="T109" s="44"/>
      <c r="U109" s="57"/>
      <c r="V109" s="44" t="s">
        <v>47</v>
      </c>
      <c r="W109" s="58"/>
      <c r="X109" s="118">
        <v>46139</v>
      </c>
      <c r="Y109" s="15" t="s">
        <v>61</v>
      </c>
      <c r="Z109" s="44"/>
      <c r="AA109" s="44"/>
      <c r="AB109" s="44" t="s">
        <v>49</v>
      </c>
      <c r="AC109" s="44"/>
      <c r="AD109" s="44" t="s">
        <v>48</v>
      </c>
      <c r="AE109" s="55"/>
      <c r="AF109" s="52"/>
      <c r="AG109" s="52"/>
      <c r="AH109" s="44"/>
      <c r="AI109" s="44"/>
      <c r="AJ109" s="51"/>
      <c r="AK109" s="44"/>
      <c r="AL109" s="52">
        <v>18</v>
      </c>
      <c r="AM109" s="47" t="s">
        <v>64</v>
      </c>
      <c r="AN109" s="44" t="s">
        <v>51</v>
      </c>
      <c r="AO109" s="85"/>
      <c r="AP109" s="85"/>
    </row>
    <row r="110" spans="1:42" s="20" customFormat="1" ht="14.25" customHeight="1" x14ac:dyDescent="0.25">
      <c r="A110" s="118">
        <v>46139</v>
      </c>
      <c r="B110" s="43"/>
      <c r="C110" s="21" t="s">
        <v>52</v>
      </c>
      <c r="D110" s="14" t="s">
        <v>53</v>
      </c>
      <c r="E110" s="98">
        <v>7339</v>
      </c>
      <c r="F110" s="46" t="s">
        <v>54</v>
      </c>
      <c r="G110" s="106">
        <v>74650960</v>
      </c>
      <c r="H110" s="2" t="s">
        <v>557</v>
      </c>
      <c r="I110" s="45"/>
      <c r="J110" s="45"/>
      <c r="K110" s="53">
        <v>5552</v>
      </c>
      <c r="L110" s="45"/>
      <c r="M110" s="45"/>
      <c r="N110" s="45"/>
      <c r="O110" s="54"/>
      <c r="P110" s="53">
        <f t="shared" si="2"/>
        <v>5552</v>
      </c>
      <c r="Q110" s="76"/>
      <c r="R110" s="58"/>
      <c r="S110" s="58"/>
      <c r="T110" s="44"/>
      <c r="U110" s="57"/>
      <c r="V110" s="44" t="s">
        <v>47</v>
      </c>
      <c r="W110" s="58"/>
      <c r="X110" s="118">
        <v>46169</v>
      </c>
      <c r="Y110" s="15" t="s">
        <v>63</v>
      </c>
      <c r="Z110" s="44"/>
      <c r="AA110" s="44"/>
      <c r="AB110" s="44" t="s">
        <v>49</v>
      </c>
      <c r="AC110" s="44"/>
      <c r="AD110" s="44" t="s">
        <v>48</v>
      </c>
      <c r="AE110" s="55"/>
      <c r="AF110" s="52"/>
      <c r="AG110" s="52"/>
      <c r="AH110" s="44"/>
      <c r="AI110" s="44"/>
      <c r="AJ110" s="51"/>
      <c r="AK110" s="44"/>
      <c r="AL110" s="52">
        <v>18</v>
      </c>
      <c r="AM110" s="19" t="s">
        <v>50</v>
      </c>
      <c r="AN110" s="44" t="s">
        <v>51</v>
      </c>
      <c r="AO110" s="85"/>
      <c r="AP110" s="85"/>
    </row>
    <row r="111" spans="1:42" s="20" customFormat="1" ht="14.25" customHeight="1" x14ac:dyDescent="0.25">
      <c r="A111" s="118">
        <v>46139</v>
      </c>
      <c r="B111" s="43"/>
      <c r="C111" s="21" t="s">
        <v>52</v>
      </c>
      <c r="D111" s="14" t="s">
        <v>53</v>
      </c>
      <c r="E111" s="98">
        <v>7340</v>
      </c>
      <c r="F111" s="44" t="s">
        <v>54</v>
      </c>
      <c r="G111" s="106">
        <v>76068764</v>
      </c>
      <c r="H111" s="2" t="s">
        <v>558</v>
      </c>
      <c r="I111" s="45"/>
      <c r="J111" s="45"/>
      <c r="K111" s="53">
        <v>5180</v>
      </c>
      <c r="L111" s="45"/>
      <c r="M111" s="45"/>
      <c r="N111" s="45"/>
      <c r="O111" s="54"/>
      <c r="P111" s="53">
        <f t="shared" si="2"/>
        <v>5180</v>
      </c>
      <c r="Q111" s="76"/>
      <c r="R111" s="58"/>
      <c r="S111" s="58"/>
      <c r="T111" s="44"/>
      <c r="U111" s="57"/>
      <c r="V111" s="44" t="s">
        <v>47</v>
      </c>
      <c r="W111" s="58"/>
      <c r="X111" s="118">
        <v>46139</v>
      </c>
      <c r="Y111" s="15" t="s">
        <v>61</v>
      </c>
      <c r="Z111" s="26"/>
      <c r="AA111" s="26"/>
      <c r="AB111" s="15" t="s">
        <v>49</v>
      </c>
      <c r="AC111" s="26"/>
      <c r="AD111" s="44" t="s">
        <v>48</v>
      </c>
      <c r="AE111" s="27"/>
      <c r="AF111" s="24"/>
      <c r="AG111" s="24"/>
      <c r="AH111" s="26"/>
      <c r="AI111" s="26"/>
      <c r="AJ111" s="25"/>
      <c r="AK111" s="26"/>
      <c r="AL111" s="17">
        <v>18</v>
      </c>
      <c r="AM111" s="19" t="s">
        <v>50</v>
      </c>
      <c r="AN111" s="44" t="s">
        <v>51</v>
      </c>
      <c r="AO111" s="85"/>
      <c r="AP111" s="85"/>
    </row>
    <row r="112" spans="1:42" s="20" customFormat="1" ht="14.25" customHeight="1" x14ac:dyDescent="0.25">
      <c r="A112" s="118">
        <v>46139</v>
      </c>
      <c r="B112" s="43"/>
      <c r="C112" s="21" t="s">
        <v>52</v>
      </c>
      <c r="D112" s="14" t="s">
        <v>53</v>
      </c>
      <c r="E112" s="98">
        <v>7341</v>
      </c>
      <c r="F112" s="46" t="s">
        <v>54</v>
      </c>
      <c r="G112" s="106">
        <v>76068764</v>
      </c>
      <c r="H112" s="2" t="s">
        <v>558</v>
      </c>
      <c r="I112" s="45"/>
      <c r="J112" s="45"/>
      <c r="K112" s="53">
        <v>0</v>
      </c>
      <c r="L112" s="45"/>
      <c r="M112" s="45"/>
      <c r="N112" s="45"/>
      <c r="O112" s="45"/>
      <c r="P112" s="53">
        <f t="shared" si="1"/>
        <v>0</v>
      </c>
      <c r="Q112" s="75"/>
      <c r="R112" s="56"/>
      <c r="S112" s="58"/>
      <c r="T112" s="58"/>
      <c r="U112" s="58"/>
      <c r="V112" s="44" t="s">
        <v>47</v>
      </c>
      <c r="W112" s="57"/>
      <c r="X112" s="118">
        <v>46139</v>
      </c>
      <c r="Y112" s="15" t="s">
        <v>61</v>
      </c>
      <c r="Z112" s="44"/>
      <c r="AA112" s="44"/>
      <c r="AB112" s="44" t="s">
        <v>49</v>
      </c>
      <c r="AC112" s="44"/>
      <c r="AD112" s="44" t="s">
        <v>48</v>
      </c>
      <c r="AE112" s="55"/>
      <c r="AF112" s="52"/>
      <c r="AG112" s="52"/>
      <c r="AH112" s="44"/>
      <c r="AI112" s="44"/>
      <c r="AJ112" s="51"/>
      <c r="AK112" s="44"/>
      <c r="AL112" s="52">
        <v>18</v>
      </c>
      <c r="AM112" s="47" t="s">
        <v>64</v>
      </c>
      <c r="AN112" s="44" t="s">
        <v>51</v>
      </c>
      <c r="AO112" s="58"/>
      <c r="AP112" s="57"/>
    </row>
    <row r="113" spans="1:42" s="20" customFormat="1" ht="14.25" customHeight="1" x14ac:dyDescent="0.25">
      <c r="A113" s="118">
        <v>46140</v>
      </c>
      <c r="B113" s="43"/>
      <c r="C113" s="21" t="s">
        <v>52</v>
      </c>
      <c r="D113" s="14" t="s">
        <v>53</v>
      </c>
      <c r="E113" s="98">
        <v>7342</v>
      </c>
      <c r="F113" s="44" t="s">
        <v>54</v>
      </c>
      <c r="G113" s="106">
        <v>45043637</v>
      </c>
      <c r="H113" s="2" t="s">
        <v>559</v>
      </c>
      <c r="I113" s="45"/>
      <c r="J113" s="45"/>
      <c r="K113" s="53">
        <v>8180</v>
      </c>
      <c r="L113" s="45"/>
      <c r="M113" s="45"/>
      <c r="N113" s="45"/>
      <c r="O113" s="45"/>
      <c r="P113" s="53">
        <f t="shared" si="1"/>
        <v>8180</v>
      </c>
      <c r="Q113" s="75"/>
      <c r="R113" s="56"/>
      <c r="S113" s="58"/>
      <c r="T113" s="58"/>
      <c r="U113" s="58"/>
      <c r="V113" s="44" t="s">
        <v>47</v>
      </c>
      <c r="W113" s="57"/>
      <c r="X113" s="118">
        <v>46140</v>
      </c>
      <c r="Y113" s="15" t="s">
        <v>61</v>
      </c>
      <c r="Z113" s="26"/>
      <c r="AA113" s="26"/>
      <c r="AB113" s="15" t="s">
        <v>49</v>
      </c>
      <c r="AC113" s="26"/>
      <c r="AD113" s="44" t="s">
        <v>48</v>
      </c>
      <c r="AE113" s="27"/>
      <c r="AF113" s="24"/>
      <c r="AG113" s="24"/>
      <c r="AH113" s="26"/>
      <c r="AI113" s="26"/>
      <c r="AJ113" s="25"/>
      <c r="AK113" s="26"/>
      <c r="AL113" s="17">
        <v>18</v>
      </c>
      <c r="AM113" s="19" t="s">
        <v>50</v>
      </c>
      <c r="AN113" s="44" t="s">
        <v>51</v>
      </c>
      <c r="AO113" s="58"/>
      <c r="AP113" s="57"/>
    </row>
    <row r="114" spans="1:42" s="20" customFormat="1" ht="14.25" customHeight="1" x14ac:dyDescent="0.25">
      <c r="A114" s="118">
        <v>46140</v>
      </c>
      <c r="B114" s="43"/>
      <c r="C114" s="21" t="s">
        <v>52</v>
      </c>
      <c r="D114" s="14" t="s">
        <v>53</v>
      </c>
      <c r="E114" s="98">
        <v>7343</v>
      </c>
      <c r="F114" s="46" t="s">
        <v>54</v>
      </c>
      <c r="G114" s="106">
        <v>72654300</v>
      </c>
      <c r="H114" s="2" t="s">
        <v>560</v>
      </c>
      <c r="I114" s="45"/>
      <c r="J114" s="45"/>
      <c r="K114" s="53">
        <v>8180</v>
      </c>
      <c r="L114" s="45"/>
      <c r="M114" s="45"/>
      <c r="N114" s="45"/>
      <c r="O114" s="45"/>
      <c r="P114" s="53">
        <f t="shared" si="1"/>
        <v>8180</v>
      </c>
      <c r="Q114" s="75"/>
      <c r="R114" s="56"/>
      <c r="S114" s="58"/>
      <c r="T114" s="58"/>
      <c r="U114" s="58"/>
      <c r="V114" s="44" t="s">
        <v>47</v>
      </c>
      <c r="W114" s="57"/>
      <c r="X114" s="118">
        <v>46140</v>
      </c>
      <c r="Y114" s="15" t="s">
        <v>61</v>
      </c>
      <c r="Z114" s="26"/>
      <c r="AA114" s="26"/>
      <c r="AB114" s="15" t="s">
        <v>49</v>
      </c>
      <c r="AC114" s="26"/>
      <c r="AD114" s="44" t="s">
        <v>48</v>
      </c>
      <c r="AE114" s="27"/>
      <c r="AF114" s="24"/>
      <c r="AG114" s="24"/>
      <c r="AH114" s="26"/>
      <c r="AI114" s="26"/>
      <c r="AJ114" s="25"/>
      <c r="AK114" s="26"/>
      <c r="AL114" s="17">
        <v>18</v>
      </c>
      <c r="AM114" s="19" t="s">
        <v>50</v>
      </c>
      <c r="AN114" s="44" t="s">
        <v>51</v>
      </c>
      <c r="AO114" s="58"/>
      <c r="AP114" s="57"/>
    </row>
    <row r="115" spans="1:42" s="20" customFormat="1" ht="14.25" customHeight="1" x14ac:dyDescent="0.25">
      <c r="A115" s="118">
        <v>46140</v>
      </c>
      <c r="B115" s="97"/>
      <c r="C115" s="21" t="s">
        <v>52</v>
      </c>
      <c r="D115" s="14" t="s">
        <v>53</v>
      </c>
      <c r="E115" s="98">
        <v>7344</v>
      </c>
      <c r="F115" s="44" t="s">
        <v>54</v>
      </c>
      <c r="G115" s="106">
        <v>44002313</v>
      </c>
      <c r="H115" s="2" t="s">
        <v>561</v>
      </c>
      <c r="I115" s="45"/>
      <c r="J115" s="45"/>
      <c r="K115" s="53">
        <v>7263</v>
      </c>
      <c r="L115" s="45"/>
      <c r="M115" s="45"/>
      <c r="N115" s="45"/>
      <c r="O115" s="45"/>
      <c r="P115" s="53">
        <f t="shared" si="1"/>
        <v>7263</v>
      </c>
      <c r="Q115" s="75"/>
      <c r="R115" s="56"/>
      <c r="S115" s="58"/>
      <c r="T115" s="58"/>
      <c r="U115" s="58"/>
      <c r="V115" s="44" t="s">
        <v>47</v>
      </c>
      <c r="W115" s="57"/>
      <c r="X115" s="118">
        <v>46140</v>
      </c>
      <c r="Y115" s="15" t="s">
        <v>61</v>
      </c>
      <c r="Z115" s="44"/>
      <c r="AA115" s="44"/>
      <c r="AB115" s="44" t="s">
        <v>49</v>
      </c>
      <c r="AC115" s="44"/>
      <c r="AD115" s="44" t="s">
        <v>48</v>
      </c>
      <c r="AE115" s="55"/>
      <c r="AF115" s="52"/>
      <c r="AG115" s="52"/>
      <c r="AH115" s="44"/>
      <c r="AI115" s="44"/>
      <c r="AJ115" s="51"/>
      <c r="AK115" s="44"/>
      <c r="AL115" s="52">
        <v>18</v>
      </c>
      <c r="AM115" s="19" t="s">
        <v>50</v>
      </c>
      <c r="AN115" s="44" t="s">
        <v>51</v>
      </c>
      <c r="AO115" s="58"/>
      <c r="AP115" s="57"/>
    </row>
    <row r="116" spans="1:42" s="20" customFormat="1" ht="15" customHeight="1" x14ac:dyDescent="0.25">
      <c r="A116" s="118">
        <v>46140</v>
      </c>
      <c r="B116" s="43"/>
      <c r="C116" s="21" t="s">
        <v>52</v>
      </c>
      <c r="D116" s="14" t="s">
        <v>53</v>
      </c>
      <c r="E116" s="98">
        <v>7345</v>
      </c>
      <c r="F116" s="46" t="s">
        <v>54</v>
      </c>
      <c r="G116" s="106">
        <v>40623102</v>
      </c>
      <c r="H116" s="2" t="s">
        <v>562</v>
      </c>
      <c r="I116" s="45"/>
      <c r="J116" s="45"/>
      <c r="K116" s="53">
        <v>7302</v>
      </c>
      <c r="L116" s="45"/>
      <c r="M116" s="45"/>
      <c r="N116" s="45"/>
      <c r="O116" s="54"/>
      <c r="P116" s="53">
        <f t="shared" si="1"/>
        <v>7302</v>
      </c>
      <c r="Q116" s="76"/>
      <c r="R116" s="58"/>
      <c r="S116" s="58"/>
      <c r="T116" s="44"/>
      <c r="U116" s="57"/>
      <c r="V116" s="44" t="s">
        <v>47</v>
      </c>
      <c r="W116" s="58"/>
      <c r="X116" s="118">
        <v>46170</v>
      </c>
      <c r="Y116" s="15" t="s">
        <v>63</v>
      </c>
      <c r="Z116" s="26"/>
      <c r="AA116" s="26"/>
      <c r="AB116" s="15" t="s">
        <v>49</v>
      </c>
      <c r="AC116" s="26"/>
      <c r="AD116" s="44" t="s">
        <v>48</v>
      </c>
      <c r="AE116" s="27"/>
      <c r="AF116" s="24"/>
      <c r="AG116" s="24"/>
      <c r="AH116" s="26"/>
      <c r="AI116" s="26"/>
      <c r="AJ116" s="25"/>
      <c r="AK116" s="26"/>
      <c r="AL116" s="17">
        <v>18</v>
      </c>
      <c r="AM116" s="19" t="s">
        <v>50</v>
      </c>
      <c r="AN116" s="44" t="s">
        <v>51</v>
      </c>
      <c r="AO116" s="85"/>
      <c r="AP116" s="85"/>
    </row>
    <row r="117" spans="1:42" s="20" customFormat="1" ht="14.25" customHeight="1" x14ac:dyDescent="0.25">
      <c r="A117" s="118">
        <v>46140</v>
      </c>
      <c r="B117" s="97"/>
      <c r="C117" s="21" t="s">
        <v>52</v>
      </c>
      <c r="D117" s="14" t="s">
        <v>53</v>
      </c>
      <c r="E117" s="98">
        <v>7346</v>
      </c>
      <c r="F117" s="44" t="s">
        <v>54</v>
      </c>
      <c r="G117" s="106">
        <v>71659238</v>
      </c>
      <c r="H117" s="2" t="s">
        <v>563</v>
      </c>
      <c r="I117" s="45"/>
      <c r="J117" s="45"/>
      <c r="K117" s="53">
        <v>8180</v>
      </c>
      <c r="L117" s="45"/>
      <c r="M117" s="45"/>
      <c r="N117" s="45"/>
      <c r="O117" s="54"/>
      <c r="P117" s="53">
        <f t="shared" si="1"/>
        <v>8180</v>
      </c>
      <c r="Q117" s="76"/>
      <c r="R117" s="58"/>
      <c r="S117" s="58"/>
      <c r="T117" s="44"/>
      <c r="U117" s="57"/>
      <c r="V117" s="44" t="s">
        <v>47</v>
      </c>
      <c r="W117" s="58"/>
      <c r="X117" s="118">
        <v>46172</v>
      </c>
      <c r="Y117" s="15" t="s">
        <v>63</v>
      </c>
      <c r="Z117" s="44"/>
      <c r="AA117" s="44"/>
      <c r="AB117" s="44" t="s">
        <v>49</v>
      </c>
      <c r="AC117" s="44"/>
      <c r="AD117" s="44" t="s">
        <v>48</v>
      </c>
      <c r="AE117" s="55"/>
      <c r="AF117" s="52"/>
      <c r="AG117" s="52"/>
      <c r="AH117" s="44"/>
      <c r="AI117" s="44"/>
      <c r="AJ117" s="51"/>
      <c r="AK117" s="44"/>
      <c r="AL117" s="52">
        <v>18</v>
      </c>
      <c r="AM117" s="19" t="s">
        <v>50</v>
      </c>
      <c r="AN117" s="44" t="s">
        <v>51</v>
      </c>
      <c r="AO117" s="85"/>
      <c r="AP117" s="85"/>
    </row>
    <row r="118" spans="1:42" s="20" customFormat="1" ht="14.25" customHeight="1" x14ac:dyDescent="0.25">
      <c r="A118" s="118">
        <v>46140</v>
      </c>
      <c r="B118" s="43"/>
      <c r="C118" s="21" t="s">
        <v>52</v>
      </c>
      <c r="D118" s="14" t="s">
        <v>53</v>
      </c>
      <c r="E118" s="98">
        <v>7347</v>
      </c>
      <c r="F118" s="46" t="s">
        <v>54</v>
      </c>
      <c r="G118" s="106">
        <v>42152168</v>
      </c>
      <c r="H118" s="2" t="s">
        <v>564</v>
      </c>
      <c r="I118" s="45"/>
      <c r="J118" s="45"/>
      <c r="K118" s="53">
        <v>13180</v>
      </c>
      <c r="L118" s="45"/>
      <c r="M118" s="45"/>
      <c r="N118" s="45"/>
      <c r="O118" s="54"/>
      <c r="P118" s="53">
        <f t="shared" si="1"/>
        <v>13180</v>
      </c>
      <c r="Q118" s="76"/>
      <c r="R118" s="58"/>
      <c r="S118" s="58"/>
      <c r="T118" s="44"/>
      <c r="U118" s="57"/>
      <c r="V118" s="44" t="s">
        <v>47</v>
      </c>
      <c r="W118" s="58"/>
      <c r="X118" s="118">
        <v>46141</v>
      </c>
      <c r="Y118" s="15" t="s">
        <v>63</v>
      </c>
      <c r="Z118" s="44"/>
      <c r="AA118" s="44"/>
      <c r="AB118" s="44" t="s">
        <v>49</v>
      </c>
      <c r="AC118" s="44"/>
      <c r="AD118" s="44" t="s">
        <v>48</v>
      </c>
      <c r="AE118" s="55"/>
      <c r="AF118" s="52"/>
      <c r="AG118" s="52"/>
      <c r="AH118" s="44"/>
      <c r="AI118" s="44"/>
      <c r="AJ118" s="51"/>
      <c r="AK118" s="44"/>
      <c r="AL118" s="52">
        <v>18</v>
      </c>
      <c r="AM118" s="19" t="s">
        <v>50</v>
      </c>
      <c r="AN118" s="44" t="s">
        <v>51</v>
      </c>
      <c r="AO118" s="85"/>
      <c r="AP118" s="85"/>
    </row>
    <row r="119" spans="1:42" s="20" customFormat="1" ht="14.25" customHeight="1" x14ac:dyDescent="0.25">
      <c r="A119" s="118">
        <v>46140</v>
      </c>
      <c r="B119" s="43"/>
      <c r="C119" s="21" t="s">
        <v>52</v>
      </c>
      <c r="D119" s="14" t="s">
        <v>53</v>
      </c>
      <c r="E119" s="98">
        <v>7348</v>
      </c>
      <c r="F119" s="44" t="s">
        <v>54</v>
      </c>
      <c r="G119" s="106">
        <v>42152168</v>
      </c>
      <c r="H119" s="2" t="s">
        <v>564</v>
      </c>
      <c r="I119" s="45"/>
      <c r="J119" s="45"/>
      <c r="K119" s="53">
        <v>0</v>
      </c>
      <c r="L119" s="45"/>
      <c r="M119" s="45"/>
      <c r="N119" s="45"/>
      <c r="O119" s="54"/>
      <c r="P119" s="53">
        <f t="shared" si="1"/>
        <v>0</v>
      </c>
      <c r="Q119" s="76"/>
      <c r="R119" s="58"/>
      <c r="S119" s="58"/>
      <c r="T119" s="44"/>
      <c r="U119" s="57"/>
      <c r="V119" s="44" t="s">
        <v>47</v>
      </c>
      <c r="W119" s="58"/>
      <c r="X119" s="118">
        <v>46140</v>
      </c>
      <c r="Y119" s="15" t="s">
        <v>61</v>
      </c>
      <c r="Z119" s="44"/>
      <c r="AA119" s="44"/>
      <c r="AB119" s="44" t="s">
        <v>49</v>
      </c>
      <c r="AC119" s="44"/>
      <c r="AD119" s="44" t="s">
        <v>48</v>
      </c>
      <c r="AE119" s="55"/>
      <c r="AF119" s="52"/>
      <c r="AG119" s="52"/>
      <c r="AH119" s="44"/>
      <c r="AI119" s="44"/>
      <c r="AJ119" s="51"/>
      <c r="AK119" s="44"/>
      <c r="AL119" s="52">
        <v>18</v>
      </c>
      <c r="AM119" s="47" t="s">
        <v>64</v>
      </c>
      <c r="AN119" s="44" t="s">
        <v>51</v>
      </c>
      <c r="AO119" s="85"/>
      <c r="AP119" s="85"/>
    </row>
    <row r="120" spans="1:42" s="20" customFormat="1" ht="14.25" customHeight="1" x14ac:dyDescent="0.25">
      <c r="A120" s="118">
        <v>46140</v>
      </c>
      <c r="B120" s="43"/>
      <c r="C120" s="21" t="s">
        <v>52</v>
      </c>
      <c r="D120" s="14" t="s">
        <v>53</v>
      </c>
      <c r="E120" s="98">
        <v>7349</v>
      </c>
      <c r="F120" s="46" t="s">
        <v>46</v>
      </c>
      <c r="G120" s="107" t="s">
        <v>499</v>
      </c>
      <c r="H120" s="2" t="s">
        <v>565</v>
      </c>
      <c r="I120" s="45"/>
      <c r="J120" s="45"/>
      <c r="K120" s="53">
        <v>6180</v>
      </c>
      <c r="L120" s="45"/>
      <c r="M120" s="45"/>
      <c r="N120" s="45"/>
      <c r="O120" s="54"/>
      <c r="P120" s="53">
        <f t="shared" si="1"/>
        <v>6180</v>
      </c>
      <c r="Q120" s="76"/>
      <c r="R120" s="58"/>
      <c r="S120" s="58"/>
      <c r="T120" s="44"/>
      <c r="U120" s="57"/>
      <c r="V120" s="44" t="s">
        <v>47</v>
      </c>
      <c r="W120" s="58"/>
      <c r="X120" s="118">
        <v>46140</v>
      </c>
      <c r="Y120" s="15" t="s">
        <v>61</v>
      </c>
      <c r="Z120" s="44"/>
      <c r="AA120" s="44"/>
      <c r="AB120" s="44" t="s">
        <v>49</v>
      </c>
      <c r="AC120" s="44"/>
      <c r="AD120" s="44" t="s">
        <v>48</v>
      </c>
      <c r="AE120" s="55"/>
      <c r="AF120" s="52"/>
      <c r="AG120" s="52"/>
      <c r="AH120" s="44"/>
      <c r="AI120" s="44"/>
      <c r="AJ120" s="51"/>
      <c r="AK120" s="44"/>
      <c r="AL120" s="52">
        <v>18</v>
      </c>
      <c r="AM120" s="19" t="s">
        <v>50</v>
      </c>
      <c r="AN120" s="44" t="s">
        <v>51</v>
      </c>
      <c r="AO120" s="85"/>
      <c r="AP120" s="85"/>
    </row>
    <row r="121" spans="1:42" s="20" customFormat="1" ht="14.25" customHeight="1" x14ac:dyDescent="0.25">
      <c r="A121" s="118">
        <v>46140</v>
      </c>
      <c r="B121" s="43"/>
      <c r="C121" s="21" t="s">
        <v>52</v>
      </c>
      <c r="D121" s="14" t="s">
        <v>53</v>
      </c>
      <c r="E121" s="98">
        <v>7350</v>
      </c>
      <c r="F121" s="46" t="s">
        <v>54</v>
      </c>
      <c r="G121" s="106">
        <v>46944671</v>
      </c>
      <c r="H121" s="2" t="s">
        <v>565</v>
      </c>
      <c r="I121" s="45"/>
      <c r="J121" s="45"/>
      <c r="K121" s="53">
        <v>0</v>
      </c>
      <c r="L121" s="45"/>
      <c r="M121" s="45"/>
      <c r="N121" s="45"/>
      <c r="O121" s="45"/>
      <c r="P121" s="53">
        <f t="shared" si="1"/>
        <v>0</v>
      </c>
      <c r="Q121" s="75"/>
      <c r="R121" s="56"/>
      <c r="S121" s="58"/>
      <c r="T121" s="58"/>
      <c r="U121" s="58"/>
      <c r="V121" s="44" t="s">
        <v>47</v>
      </c>
      <c r="W121" s="57"/>
      <c r="X121" s="118">
        <v>46140</v>
      </c>
      <c r="Y121" s="15" t="s">
        <v>61</v>
      </c>
      <c r="Z121" s="44"/>
      <c r="AA121" s="44"/>
      <c r="AB121" s="44" t="s">
        <v>49</v>
      </c>
      <c r="AC121" s="44"/>
      <c r="AD121" s="44" t="s">
        <v>48</v>
      </c>
      <c r="AE121" s="55"/>
      <c r="AF121" s="52"/>
      <c r="AG121" s="52"/>
      <c r="AH121" s="44"/>
      <c r="AI121" s="44"/>
      <c r="AJ121" s="51"/>
      <c r="AK121" s="44"/>
      <c r="AL121" s="52">
        <v>18</v>
      </c>
      <c r="AM121" s="47" t="s">
        <v>64</v>
      </c>
      <c r="AN121" s="44" t="s">
        <v>51</v>
      </c>
      <c r="AO121" s="58"/>
      <c r="AP121" s="57"/>
    </row>
    <row r="122" spans="1:42" s="20" customFormat="1" ht="14.25" customHeight="1" x14ac:dyDescent="0.25">
      <c r="A122" s="118">
        <v>46140</v>
      </c>
      <c r="B122" s="43"/>
      <c r="C122" s="21" t="s">
        <v>52</v>
      </c>
      <c r="D122" s="14" t="s">
        <v>53</v>
      </c>
      <c r="E122" s="98">
        <v>7351</v>
      </c>
      <c r="F122" s="44" t="s">
        <v>54</v>
      </c>
      <c r="G122" s="106">
        <v>72082150</v>
      </c>
      <c r="H122" s="2" t="s">
        <v>566</v>
      </c>
      <c r="I122" s="45"/>
      <c r="J122" s="45"/>
      <c r="K122" s="53">
        <v>6280</v>
      </c>
      <c r="L122" s="45"/>
      <c r="M122" s="45"/>
      <c r="N122" s="45"/>
      <c r="O122" s="45"/>
      <c r="P122" s="53">
        <f t="shared" si="1"/>
        <v>6280</v>
      </c>
      <c r="Q122" s="75"/>
      <c r="R122" s="56"/>
      <c r="S122" s="58"/>
      <c r="T122" s="58"/>
      <c r="U122" s="58"/>
      <c r="V122" s="44" t="s">
        <v>47</v>
      </c>
      <c r="W122" s="57"/>
      <c r="X122" s="118">
        <v>46140</v>
      </c>
      <c r="Y122" s="15" t="s">
        <v>61</v>
      </c>
      <c r="Z122" s="44"/>
      <c r="AA122" s="44"/>
      <c r="AB122" s="44" t="s">
        <v>49</v>
      </c>
      <c r="AC122" s="44"/>
      <c r="AD122" s="44" t="s">
        <v>48</v>
      </c>
      <c r="AE122" s="55"/>
      <c r="AF122" s="52"/>
      <c r="AG122" s="52"/>
      <c r="AH122" s="44"/>
      <c r="AI122" s="44"/>
      <c r="AJ122" s="51"/>
      <c r="AK122" s="44"/>
      <c r="AL122" s="52">
        <v>18</v>
      </c>
      <c r="AM122" s="19" t="s">
        <v>50</v>
      </c>
      <c r="AN122" s="44" t="s">
        <v>51</v>
      </c>
      <c r="AO122" s="58"/>
      <c r="AP122" s="57"/>
    </row>
    <row r="123" spans="1:42" s="20" customFormat="1" ht="15" customHeight="1" x14ac:dyDescent="0.25">
      <c r="A123" s="118">
        <v>46140</v>
      </c>
      <c r="B123" s="43"/>
      <c r="C123" s="21" t="s">
        <v>52</v>
      </c>
      <c r="D123" s="14" t="s">
        <v>53</v>
      </c>
      <c r="E123" s="98">
        <v>7352</v>
      </c>
      <c r="F123" s="46" t="s">
        <v>54</v>
      </c>
      <c r="G123" s="106">
        <v>72082150</v>
      </c>
      <c r="H123" s="2" t="s">
        <v>566</v>
      </c>
      <c r="I123" s="45"/>
      <c r="J123" s="45"/>
      <c r="K123" s="53">
        <v>0</v>
      </c>
      <c r="L123" s="45"/>
      <c r="M123" s="45"/>
      <c r="N123" s="45"/>
      <c r="O123" s="54"/>
      <c r="P123" s="53">
        <f t="shared" si="1"/>
        <v>0</v>
      </c>
      <c r="Q123" s="76"/>
      <c r="R123" s="58"/>
      <c r="S123" s="58"/>
      <c r="T123" s="44"/>
      <c r="U123" s="57"/>
      <c r="V123" s="44" t="s">
        <v>47</v>
      </c>
      <c r="W123" s="58"/>
      <c r="X123" s="118">
        <v>46140</v>
      </c>
      <c r="Y123" s="15" t="s">
        <v>61</v>
      </c>
      <c r="Z123" s="44"/>
      <c r="AA123" s="44"/>
      <c r="AB123" s="44" t="s">
        <v>49</v>
      </c>
      <c r="AC123" s="44"/>
      <c r="AD123" s="44" t="s">
        <v>48</v>
      </c>
      <c r="AE123" s="55"/>
      <c r="AF123" s="52"/>
      <c r="AG123" s="52"/>
      <c r="AH123" s="44"/>
      <c r="AI123" s="44"/>
      <c r="AJ123" s="51"/>
      <c r="AK123" s="44"/>
      <c r="AL123" s="52">
        <v>18</v>
      </c>
      <c r="AM123" s="47" t="s">
        <v>64</v>
      </c>
      <c r="AN123" s="44" t="s">
        <v>51</v>
      </c>
      <c r="AO123" s="85"/>
      <c r="AP123" s="85"/>
    </row>
    <row r="124" spans="1:42" s="20" customFormat="1" ht="14.25" customHeight="1" x14ac:dyDescent="0.25">
      <c r="A124" s="118">
        <v>46141</v>
      </c>
      <c r="B124" s="43"/>
      <c r="C124" s="21" t="s">
        <v>52</v>
      </c>
      <c r="D124" s="14" t="s">
        <v>53</v>
      </c>
      <c r="E124" s="98">
        <v>7353</v>
      </c>
      <c r="F124" s="44" t="s">
        <v>54</v>
      </c>
      <c r="G124" s="106">
        <v>48080280</v>
      </c>
      <c r="H124" s="2" t="s">
        <v>567</v>
      </c>
      <c r="I124" s="45"/>
      <c r="J124" s="45"/>
      <c r="K124" s="53">
        <v>7780</v>
      </c>
      <c r="L124" s="45"/>
      <c r="M124" s="45"/>
      <c r="N124" s="45"/>
      <c r="O124" s="54"/>
      <c r="P124" s="53">
        <f t="shared" si="1"/>
        <v>7780</v>
      </c>
      <c r="Q124" s="76"/>
      <c r="R124" s="58"/>
      <c r="S124" s="58"/>
      <c r="T124" s="44"/>
      <c r="U124" s="57"/>
      <c r="V124" s="44" t="s">
        <v>47</v>
      </c>
      <c r="W124" s="58"/>
      <c r="X124" s="118">
        <v>46141</v>
      </c>
      <c r="Y124" s="15" t="s">
        <v>61</v>
      </c>
      <c r="Z124" s="44"/>
      <c r="AA124" s="44"/>
      <c r="AB124" s="44" t="s">
        <v>49</v>
      </c>
      <c r="AC124" s="44"/>
      <c r="AD124" s="44" t="s">
        <v>48</v>
      </c>
      <c r="AE124" s="55"/>
      <c r="AF124" s="52"/>
      <c r="AG124" s="52"/>
      <c r="AH124" s="44"/>
      <c r="AI124" s="44"/>
      <c r="AJ124" s="51"/>
      <c r="AK124" s="44"/>
      <c r="AL124" s="52">
        <v>18</v>
      </c>
      <c r="AM124" s="19" t="s">
        <v>50</v>
      </c>
      <c r="AN124" s="44" t="s">
        <v>51</v>
      </c>
      <c r="AO124" s="85"/>
      <c r="AP124" s="85"/>
    </row>
    <row r="125" spans="1:42" s="37" customFormat="1" ht="15.75" customHeight="1" x14ac:dyDescent="0.25">
      <c r="A125" s="40"/>
      <c r="B125" s="40"/>
      <c r="C125" s="40"/>
      <c r="D125" s="40"/>
      <c r="E125" s="40"/>
      <c r="F125" s="40"/>
      <c r="G125" s="40"/>
      <c r="H125" s="40"/>
      <c r="I125" s="40"/>
      <c r="J125" s="40"/>
      <c r="K125" s="40"/>
      <c r="L125" s="40"/>
      <c r="M125" s="40"/>
      <c r="N125" s="40"/>
      <c r="O125" s="40"/>
      <c r="P125" s="40"/>
      <c r="Q125" s="77"/>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row>
    <row r="126" spans="1:42" s="28" customFormat="1" ht="15" customHeight="1" x14ac:dyDescent="0.25">
      <c r="A126" s="118">
        <v>46125</v>
      </c>
      <c r="B126" s="18"/>
      <c r="C126" s="22" t="s">
        <v>45</v>
      </c>
      <c r="D126" s="23" t="s">
        <v>55</v>
      </c>
      <c r="E126" s="98">
        <v>862</v>
      </c>
      <c r="F126" s="15" t="s">
        <v>46</v>
      </c>
      <c r="G126" s="106">
        <v>10210066719</v>
      </c>
      <c r="H126" s="2" t="s">
        <v>575</v>
      </c>
      <c r="I126" s="17"/>
      <c r="J126" s="17"/>
      <c r="K126" s="53">
        <v>4180</v>
      </c>
      <c r="L126" s="24"/>
      <c r="M126" s="24"/>
      <c r="N126" s="24"/>
      <c r="O126" s="24"/>
      <c r="P126" s="16">
        <f t="shared" ref="P126:P132" si="3">K126</f>
        <v>4180</v>
      </c>
      <c r="Q126" s="78"/>
      <c r="R126" s="25"/>
      <c r="S126" s="26"/>
      <c r="T126" s="26"/>
      <c r="U126" s="26"/>
      <c r="V126" s="15" t="s">
        <v>47</v>
      </c>
      <c r="W126" s="24"/>
      <c r="X126" s="118">
        <v>46125</v>
      </c>
      <c r="Y126" s="15" t="s">
        <v>61</v>
      </c>
      <c r="Z126" s="26"/>
      <c r="AA126" s="26"/>
      <c r="AB126" s="15" t="s">
        <v>49</v>
      </c>
      <c r="AC126" s="26"/>
      <c r="AD126" s="44" t="s">
        <v>48</v>
      </c>
      <c r="AE126" s="27"/>
      <c r="AF126" s="24"/>
      <c r="AG126" s="24"/>
      <c r="AH126" s="26"/>
      <c r="AI126" s="26"/>
      <c r="AJ126" s="25"/>
      <c r="AK126" s="26"/>
      <c r="AL126" s="17">
        <v>18</v>
      </c>
      <c r="AM126" s="19" t="s">
        <v>50</v>
      </c>
      <c r="AN126" s="15" t="s">
        <v>51</v>
      </c>
      <c r="AO126" s="26"/>
      <c r="AP126" s="24"/>
    </row>
    <row r="127" spans="1:42" s="28" customFormat="1" ht="15" customHeight="1" x14ac:dyDescent="0.25">
      <c r="A127" s="118">
        <v>46125</v>
      </c>
      <c r="B127" s="18"/>
      <c r="C127" s="22" t="s">
        <v>45</v>
      </c>
      <c r="D127" s="23" t="s">
        <v>55</v>
      </c>
      <c r="E127" s="98">
        <v>863</v>
      </c>
      <c r="F127" s="15" t="s">
        <v>46</v>
      </c>
      <c r="G127" s="106">
        <v>10210066719</v>
      </c>
      <c r="H127" s="2" t="s">
        <v>575</v>
      </c>
      <c r="I127" s="17"/>
      <c r="J127" s="17"/>
      <c r="K127" s="53">
        <v>0</v>
      </c>
      <c r="L127" s="24"/>
      <c r="M127" s="24"/>
      <c r="N127" s="24"/>
      <c r="O127" s="24"/>
      <c r="P127" s="16">
        <f t="shared" si="3"/>
        <v>0</v>
      </c>
      <c r="Q127" s="78"/>
      <c r="R127" s="25"/>
      <c r="S127" s="26"/>
      <c r="T127" s="26"/>
      <c r="U127" s="26"/>
      <c r="V127" s="15" t="s">
        <v>47</v>
      </c>
      <c r="W127" s="24"/>
      <c r="X127" s="118">
        <v>46125</v>
      </c>
      <c r="Y127" s="15" t="s">
        <v>61</v>
      </c>
      <c r="Z127" s="26"/>
      <c r="AA127" s="26"/>
      <c r="AB127" s="15" t="s">
        <v>49</v>
      </c>
      <c r="AC127" s="26"/>
      <c r="AD127" s="44" t="s">
        <v>48</v>
      </c>
      <c r="AE127" s="27"/>
      <c r="AF127" s="24"/>
      <c r="AG127" s="24"/>
      <c r="AH127" s="26"/>
      <c r="AI127" s="26"/>
      <c r="AJ127" s="25"/>
      <c r="AK127" s="26"/>
      <c r="AL127" s="17">
        <v>18</v>
      </c>
      <c r="AM127" s="47" t="s">
        <v>64</v>
      </c>
      <c r="AN127" s="15" t="s">
        <v>51</v>
      </c>
      <c r="AO127" s="26"/>
      <c r="AP127" s="24"/>
    </row>
    <row r="128" spans="1:42" s="28" customFormat="1" ht="15" customHeight="1" x14ac:dyDescent="0.25">
      <c r="A128" s="118">
        <v>46132</v>
      </c>
      <c r="B128" s="18"/>
      <c r="C128" s="22" t="s">
        <v>45</v>
      </c>
      <c r="D128" s="23" t="s">
        <v>55</v>
      </c>
      <c r="E128" s="98">
        <v>864</v>
      </c>
      <c r="F128" s="15" t="s">
        <v>46</v>
      </c>
      <c r="G128" s="106">
        <v>20600039840</v>
      </c>
      <c r="H128" s="2" t="s">
        <v>576</v>
      </c>
      <c r="I128" s="17"/>
      <c r="J128" s="17"/>
      <c r="K128" s="53">
        <v>13500</v>
      </c>
      <c r="L128" s="24"/>
      <c r="M128" s="24"/>
      <c r="N128" s="24"/>
      <c r="O128" s="24"/>
      <c r="P128" s="16">
        <f t="shared" si="3"/>
        <v>13500</v>
      </c>
      <c r="Q128" s="78"/>
      <c r="R128" s="25"/>
      <c r="S128" s="26"/>
      <c r="T128" s="26"/>
      <c r="U128" s="26"/>
      <c r="V128" s="15" t="s">
        <v>47</v>
      </c>
      <c r="W128" s="24"/>
      <c r="X128" s="118">
        <v>46132</v>
      </c>
      <c r="Y128" s="15" t="s">
        <v>61</v>
      </c>
      <c r="Z128" s="26"/>
      <c r="AA128" s="26"/>
      <c r="AB128" s="15" t="s">
        <v>49</v>
      </c>
      <c r="AC128" s="26"/>
      <c r="AD128" s="44" t="s">
        <v>48</v>
      </c>
      <c r="AE128" s="27"/>
      <c r="AF128" s="24"/>
      <c r="AG128" s="24"/>
      <c r="AH128" s="26"/>
      <c r="AI128" s="26"/>
      <c r="AJ128" s="25"/>
      <c r="AK128" s="26"/>
      <c r="AL128" s="17">
        <v>18</v>
      </c>
      <c r="AM128" s="19" t="s">
        <v>50</v>
      </c>
      <c r="AN128" s="15" t="s">
        <v>51</v>
      </c>
      <c r="AO128" s="26"/>
      <c r="AP128" s="24"/>
    </row>
    <row r="129" spans="1:42" s="28" customFormat="1" ht="15" customHeight="1" x14ac:dyDescent="0.25">
      <c r="A129" s="118">
        <v>46132</v>
      </c>
      <c r="B129" s="18"/>
      <c r="C129" s="22" t="s">
        <v>45</v>
      </c>
      <c r="D129" s="23" t="s">
        <v>55</v>
      </c>
      <c r="E129" s="98">
        <v>865</v>
      </c>
      <c r="F129" s="15" t="s">
        <v>46</v>
      </c>
      <c r="G129" s="106">
        <v>20600039840</v>
      </c>
      <c r="H129" s="2" t="s">
        <v>576</v>
      </c>
      <c r="I129" s="17"/>
      <c r="J129" s="17"/>
      <c r="K129" s="53">
        <v>0</v>
      </c>
      <c r="L129" s="24"/>
      <c r="M129" s="24"/>
      <c r="N129" s="24"/>
      <c r="O129" s="24"/>
      <c r="P129" s="16">
        <f t="shared" si="3"/>
        <v>0</v>
      </c>
      <c r="Q129" s="78"/>
      <c r="R129" s="25"/>
      <c r="S129" s="26"/>
      <c r="T129" s="26"/>
      <c r="U129" s="26"/>
      <c r="V129" s="15" t="s">
        <v>47</v>
      </c>
      <c r="W129" s="24"/>
      <c r="X129" s="118">
        <v>46132</v>
      </c>
      <c r="Y129" s="15" t="s">
        <v>61</v>
      </c>
      <c r="Z129" s="26"/>
      <c r="AA129" s="26"/>
      <c r="AB129" s="15" t="s">
        <v>49</v>
      </c>
      <c r="AC129" s="26"/>
      <c r="AD129" s="44" t="s">
        <v>48</v>
      </c>
      <c r="AE129" s="27"/>
      <c r="AF129" s="24"/>
      <c r="AG129" s="24"/>
      <c r="AH129" s="26"/>
      <c r="AI129" s="26"/>
      <c r="AJ129" s="25"/>
      <c r="AK129" s="26"/>
      <c r="AL129" s="17">
        <v>18</v>
      </c>
      <c r="AM129" s="47" t="s">
        <v>64</v>
      </c>
      <c r="AN129" s="15" t="s">
        <v>51</v>
      </c>
      <c r="AO129" s="26"/>
      <c r="AP129" s="24"/>
    </row>
    <row r="130" spans="1:42" s="28" customFormat="1" ht="15" customHeight="1" x14ac:dyDescent="0.25">
      <c r="A130" s="118">
        <v>46134</v>
      </c>
      <c r="B130" s="18"/>
      <c r="C130" s="22" t="s">
        <v>45</v>
      </c>
      <c r="D130" s="23" t="s">
        <v>55</v>
      </c>
      <c r="E130" s="98">
        <v>866</v>
      </c>
      <c r="F130" s="15" t="s">
        <v>46</v>
      </c>
      <c r="G130" s="106">
        <v>20606014008</v>
      </c>
      <c r="H130" s="2" t="s">
        <v>577</v>
      </c>
      <c r="I130" s="17"/>
      <c r="J130" s="17"/>
      <c r="K130" s="53">
        <v>6300</v>
      </c>
      <c r="L130" s="24"/>
      <c r="M130" s="24"/>
      <c r="N130" s="24"/>
      <c r="O130" s="24"/>
      <c r="P130" s="16">
        <f t="shared" si="3"/>
        <v>6300</v>
      </c>
      <c r="Q130" s="78"/>
      <c r="R130" s="25"/>
      <c r="S130" s="26"/>
      <c r="T130" s="26"/>
      <c r="U130" s="26"/>
      <c r="V130" s="15" t="s">
        <v>47</v>
      </c>
      <c r="W130" s="24"/>
      <c r="X130" s="118">
        <v>46134</v>
      </c>
      <c r="Y130" s="15" t="s">
        <v>61</v>
      </c>
      <c r="Z130" s="26"/>
      <c r="AA130" s="26"/>
      <c r="AB130" s="15" t="s">
        <v>49</v>
      </c>
      <c r="AC130" s="26"/>
      <c r="AD130" s="44" t="s">
        <v>48</v>
      </c>
      <c r="AE130" s="27"/>
      <c r="AF130" s="24"/>
      <c r="AG130" s="24"/>
      <c r="AH130" s="26"/>
      <c r="AI130" s="26"/>
      <c r="AJ130" s="25"/>
      <c r="AK130" s="26"/>
      <c r="AL130" s="17">
        <v>18</v>
      </c>
      <c r="AM130" s="19" t="s">
        <v>50</v>
      </c>
      <c r="AN130" s="15" t="s">
        <v>51</v>
      </c>
      <c r="AO130" s="26"/>
      <c r="AP130" s="24"/>
    </row>
    <row r="131" spans="1:42" s="28" customFormat="1" ht="15" customHeight="1" x14ac:dyDescent="0.25">
      <c r="A131" s="118">
        <v>46139</v>
      </c>
      <c r="B131" s="18"/>
      <c r="C131" s="22" t="s">
        <v>45</v>
      </c>
      <c r="D131" s="23" t="s">
        <v>55</v>
      </c>
      <c r="E131" s="98">
        <v>867</v>
      </c>
      <c r="F131" s="15" t="s">
        <v>46</v>
      </c>
      <c r="G131" s="106">
        <v>20604194211</v>
      </c>
      <c r="H131" s="2" t="s">
        <v>578</v>
      </c>
      <c r="I131" s="17"/>
      <c r="J131" s="17"/>
      <c r="K131" s="53">
        <v>8180</v>
      </c>
      <c r="L131" s="24"/>
      <c r="M131" s="24"/>
      <c r="N131" s="24"/>
      <c r="O131" s="24"/>
      <c r="P131" s="16">
        <f t="shared" si="3"/>
        <v>8180</v>
      </c>
      <c r="Q131" s="78"/>
      <c r="R131" s="25"/>
      <c r="S131" s="26"/>
      <c r="T131" s="26"/>
      <c r="U131" s="26"/>
      <c r="V131" s="15" t="s">
        <v>47</v>
      </c>
      <c r="W131" s="24"/>
      <c r="X131" s="118">
        <v>46139</v>
      </c>
      <c r="Y131" s="15" t="s">
        <v>61</v>
      </c>
      <c r="Z131" s="26"/>
      <c r="AA131" s="26"/>
      <c r="AB131" s="15" t="s">
        <v>49</v>
      </c>
      <c r="AC131" s="26"/>
      <c r="AD131" s="44" t="s">
        <v>48</v>
      </c>
      <c r="AE131" s="27"/>
      <c r="AF131" s="24"/>
      <c r="AG131" s="24"/>
      <c r="AH131" s="26"/>
      <c r="AI131" s="26"/>
      <c r="AJ131" s="25"/>
      <c r="AK131" s="26"/>
      <c r="AL131" s="17">
        <v>18</v>
      </c>
      <c r="AM131" s="19" t="s">
        <v>50</v>
      </c>
      <c r="AN131" s="15" t="s">
        <v>51</v>
      </c>
      <c r="AO131" s="26"/>
      <c r="AP131" s="24"/>
    </row>
    <row r="132" spans="1:42" s="28" customFormat="1" ht="15" customHeight="1" x14ac:dyDescent="0.25">
      <c r="A132" s="118">
        <v>46140</v>
      </c>
      <c r="B132" s="18"/>
      <c r="C132" s="22" t="s">
        <v>45</v>
      </c>
      <c r="D132" s="23" t="s">
        <v>55</v>
      </c>
      <c r="E132" s="98">
        <v>868</v>
      </c>
      <c r="F132" s="15" t="s">
        <v>46</v>
      </c>
      <c r="G132" s="106">
        <v>20604024219</v>
      </c>
      <c r="H132" s="2" t="s">
        <v>487</v>
      </c>
      <c r="I132" s="17"/>
      <c r="J132" s="17"/>
      <c r="K132" s="53">
        <v>0</v>
      </c>
      <c r="L132" s="24"/>
      <c r="M132" s="24"/>
      <c r="N132" s="24"/>
      <c r="O132" s="24"/>
      <c r="P132" s="16">
        <f t="shared" si="3"/>
        <v>0</v>
      </c>
      <c r="Q132" s="78"/>
      <c r="R132" s="25"/>
      <c r="S132" s="26"/>
      <c r="T132" s="26"/>
      <c r="U132" s="26"/>
      <c r="V132" s="15" t="s">
        <v>47</v>
      </c>
      <c r="W132" s="24"/>
      <c r="X132" s="118">
        <v>46140</v>
      </c>
      <c r="Y132" s="15" t="s">
        <v>61</v>
      </c>
      <c r="Z132" s="26"/>
      <c r="AA132" s="26"/>
      <c r="AB132" s="15" t="s">
        <v>49</v>
      </c>
      <c r="AC132" s="26"/>
      <c r="AD132" s="44" t="s">
        <v>48</v>
      </c>
      <c r="AE132" s="27"/>
      <c r="AF132" s="24"/>
      <c r="AG132" s="24"/>
      <c r="AH132" s="26"/>
      <c r="AI132" s="26"/>
      <c r="AJ132" s="25"/>
      <c r="AK132" s="26"/>
      <c r="AL132" s="17">
        <v>18</v>
      </c>
      <c r="AM132" s="47" t="s">
        <v>64</v>
      </c>
      <c r="AN132" s="15" t="s">
        <v>51</v>
      </c>
      <c r="AO132" s="26"/>
      <c r="AP132" s="24"/>
    </row>
    <row r="133" spans="1:42" s="74" customFormat="1" ht="15.75" customHeight="1" x14ac:dyDescent="0.25">
      <c r="A133" s="73"/>
      <c r="B133" s="73"/>
      <c r="C133" s="73"/>
      <c r="D133" s="73"/>
      <c r="E133" s="73"/>
      <c r="F133" s="73"/>
      <c r="G133" s="73"/>
      <c r="H133" s="73"/>
      <c r="I133" s="73"/>
      <c r="J133" s="73"/>
      <c r="K133" s="73"/>
      <c r="L133" s="73"/>
      <c r="M133" s="73"/>
      <c r="N133" s="73"/>
      <c r="O133" s="73"/>
      <c r="P133" s="73"/>
      <c r="Q133" s="79"/>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row>
    <row r="134" spans="1:42" s="70" customFormat="1" ht="15" customHeight="1" x14ac:dyDescent="0.2">
      <c r="A134" s="50">
        <v>46125</v>
      </c>
      <c r="B134" s="62"/>
      <c r="C134" s="63" t="s">
        <v>56</v>
      </c>
      <c r="D134" s="64" t="s">
        <v>53</v>
      </c>
      <c r="E134" s="99">
        <v>173</v>
      </c>
      <c r="F134" s="63" t="s">
        <v>60</v>
      </c>
      <c r="G134" s="109">
        <v>73531751</v>
      </c>
      <c r="H134" s="109" t="s">
        <v>481</v>
      </c>
      <c r="I134" s="66"/>
      <c r="J134" s="66"/>
      <c r="K134" s="112">
        <v>-5330</v>
      </c>
      <c r="L134" s="66"/>
      <c r="M134" s="66"/>
      <c r="N134" s="66"/>
      <c r="O134" s="66"/>
      <c r="P134" s="67">
        <f t="shared" ref="P134:P139" si="4">K134</f>
        <v>-5330</v>
      </c>
      <c r="Q134" s="80"/>
      <c r="R134" s="29">
        <v>46109</v>
      </c>
      <c r="S134" s="69" t="s">
        <v>52</v>
      </c>
      <c r="T134" s="69" t="s">
        <v>79</v>
      </c>
      <c r="U134" s="33" t="s">
        <v>580</v>
      </c>
      <c r="V134" s="65" t="s">
        <v>47</v>
      </c>
      <c r="W134" s="66"/>
      <c r="X134" s="123">
        <v>46125</v>
      </c>
      <c r="Y134" s="65" t="s">
        <v>63</v>
      </c>
      <c r="Z134" s="69"/>
      <c r="AA134" s="69"/>
      <c r="AB134" s="65" t="s">
        <v>49</v>
      </c>
      <c r="AC134" s="69"/>
      <c r="AD134" s="65" t="s">
        <v>48</v>
      </c>
      <c r="AE134" s="86"/>
      <c r="AF134" s="66"/>
      <c r="AG134" s="66"/>
      <c r="AH134" s="69"/>
      <c r="AI134" s="69"/>
      <c r="AJ134" s="68"/>
      <c r="AK134" s="69"/>
      <c r="AL134" s="87">
        <v>18</v>
      </c>
      <c r="AM134" s="88" t="s">
        <v>57</v>
      </c>
      <c r="AN134" s="65" t="s">
        <v>51</v>
      </c>
      <c r="AO134" s="69"/>
      <c r="AP134" s="66"/>
    </row>
    <row r="135" spans="1:42" s="70" customFormat="1" ht="15" customHeight="1" x14ac:dyDescent="0.2">
      <c r="A135" s="50">
        <v>46126</v>
      </c>
      <c r="B135" s="62"/>
      <c r="C135" s="63" t="s">
        <v>56</v>
      </c>
      <c r="D135" s="64" t="s">
        <v>53</v>
      </c>
      <c r="E135" s="99">
        <v>174</v>
      </c>
      <c r="F135" s="63" t="s">
        <v>60</v>
      </c>
      <c r="G135" s="109">
        <v>76866038</v>
      </c>
      <c r="H135" s="109" t="s">
        <v>507</v>
      </c>
      <c r="I135" s="66"/>
      <c r="J135" s="66"/>
      <c r="K135" s="112">
        <v>-5470</v>
      </c>
      <c r="L135" s="66"/>
      <c r="M135" s="66"/>
      <c r="N135" s="66"/>
      <c r="O135" s="66"/>
      <c r="P135" s="67">
        <f t="shared" si="4"/>
        <v>-5470</v>
      </c>
      <c r="Q135" s="80"/>
      <c r="R135" s="29">
        <v>46115</v>
      </c>
      <c r="S135" s="69" t="s">
        <v>52</v>
      </c>
      <c r="T135" s="69" t="s">
        <v>79</v>
      </c>
      <c r="U135" s="33" t="s">
        <v>581</v>
      </c>
      <c r="V135" s="65" t="s">
        <v>47</v>
      </c>
      <c r="W135" s="66"/>
      <c r="X135" s="123">
        <v>46126</v>
      </c>
      <c r="Y135" s="65" t="s">
        <v>63</v>
      </c>
      <c r="Z135" s="69"/>
      <c r="AA135" s="69"/>
      <c r="AB135" s="65" t="s">
        <v>49</v>
      </c>
      <c r="AC135" s="69"/>
      <c r="AD135" s="65" t="s">
        <v>48</v>
      </c>
      <c r="AE135" s="86"/>
      <c r="AF135" s="66"/>
      <c r="AG135" s="66"/>
      <c r="AH135" s="69"/>
      <c r="AI135" s="69"/>
      <c r="AJ135" s="68"/>
      <c r="AK135" s="69"/>
      <c r="AL135" s="87">
        <v>18</v>
      </c>
      <c r="AM135" s="88" t="s">
        <v>57</v>
      </c>
      <c r="AN135" s="65" t="s">
        <v>51</v>
      </c>
      <c r="AO135" s="69"/>
      <c r="AP135" s="66"/>
    </row>
    <row r="136" spans="1:42" s="70" customFormat="1" ht="15" customHeight="1" x14ac:dyDescent="0.2">
      <c r="A136" s="50">
        <v>46128</v>
      </c>
      <c r="B136" s="62"/>
      <c r="C136" s="63" t="s">
        <v>56</v>
      </c>
      <c r="D136" s="64" t="s">
        <v>53</v>
      </c>
      <c r="E136" s="99">
        <v>175</v>
      </c>
      <c r="F136" s="63" t="s">
        <v>60</v>
      </c>
      <c r="G136" s="109">
        <v>42446575</v>
      </c>
      <c r="H136" s="109" t="s">
        <v>537</v>
      </c>
      <c r="I136" s="66"/>
      <c r="J136" s="66"/>
      <c r="K136" s="112">
        <v>-7260</v>
      </c>
      <c r="L136" s="66"/>
      <c r="M136" s="66"/>
      <c r="N136" s="66"/>
      <c r="O136" s="66"/>
      <c r="P136" s="67">
        <f t="shared" si="4"/>
        <v>-7260</v>
      </c>
      <c r="Q136" s="80"/>
      <c r="R136" s="29">
        <v>46104</v>
      </c>
      <c r="S136" s="69" t="s">
        <v>52</v>
      </c>
      <c r="T136" s="69" t="s">
        <v>79</v>
      </c>
      <c r="U136" s="33" t="s">
        <v>582</v>
      </c>
      <c r="V136" s="65" t="s">
        <v>47</v>
      </c>
      <c r="W136" s="66"/>
      <c r="X136" s="123">
        <v>46128</v>
      </c>
      <c r="Y136" s="65" t="s">
        <v>63</v>
      </c>
      <c r="Z136" s="69"/>
      <c r="AA136" s="69"/>
      <c r="AB136" s="65" t="s">
        <v>49</v>
      </c>
      <c r="AC136" s="69"/>
      <c r="AD136" s="65" t="s">
        <v>48</v>
      </c>
      <c r="AE136" s="86"/>
      <c r="AF136" s="66"/>
      <c r="AG136" s="66"/>
      <c r="AH136" s="69"/>
      <c r="AI136" s="69"/>
      <c r="AJ136" s="68"/>
      <c r="AK136" s="69"/>
      <c r="AL136" s="87">
        <v>18</v>
      </c>
      <c r="AM136" s="88" t="s">
        <v>57</v>
      </c>
      <c r="AN136" s="65" t="s">
        <v>51</v>
      </c>
      <c r="AO136" s="69"/>
      <c r="AP136" s="66"/>
    </row>
    <row r="137" spans="1:42" s="70" customFormat="1" ht="15" customHeight="1" x14ac:dyDescent="0.2">
      <c r="A137" s="50">
        <v>46129</v>
      </c>
      <c r="B137" s="62"/>
      <c r="C137" s="63" t="s">
        <v>56</v>
      </c>
      <c r="D137" s="64" t="s">
        <v>53</v>
      </c>
      <c r="E137" s="99">
        <v>176</v>
      </c>
      <c r="F137" s="63" t="s">
        <v>60</v>
      </c>
      <c r="G137" s="109">
        <v>75015424</v>
      </c>
      <c r="H137" s="109" t="s">
        <v>525</v>
      </c>
      <c r="I137" s="66"/>
      <c r="J137" s="66"/>
      <c r="K137" s="112">
        <v>-7260</v>
      </c>
      <c r="L137" s="66"/>
      <c r="M137" s="66"/>
      <c r="N137" s="66"/>
      <c r="O137" s="66"/>
      <c r="P137" s="67">
        <f t="shared" si="4"/>
        <v>-7260</v>
      </c>
      <c r="Q137" s="80"/>
      <c r="R137" s="29">
        <v>46122</v>
      </c>
      <c r="S137" s="69" t="s">
        <v>52</v>
      </c>
      <c r="T137" s="69" t="s">
        <v>79</v>
      </c>
      <c r="U137" s="33" t="s">
        <v>583</v>
      </c>
      <c r="V137" s="65" t="s">
        <v>47</v>
      </c>
      <c r="W137" s="66"/>
      <c r="X137" s="123">
        <v>46129</v>
      </c>
      <c r="Y137" s="65" t="s">
        <v>63</v>
      </c>
      <c r="Z137" s="69"/>
      <c r="AA137" s="69"/>
      <c r="AB137" s="65" t="s">
        <v>49</v>
      </c>
      <c r="AC137" s="69"/>
      <c r="AD137" s="65" t="s">
        <v>48</v>
      </c>
      <c r="AE137" s="86"/>
      <c r="AF137" s="66"/>
      <c r="AG137" s="66"/>
      <c r="AH137" s="69"/>
      <c r="AI137" s="69"/>
      <c r="AJ137" s="68"/>
      <c r="AK137" s="69"/>
      <c r="AL137" s="87">
        <v>18</v>
      </c>
      <c r="AM137" s="88" t="s">
        <v>57</v>
      </c>
      <c r="AN137" s="65" t="s">
        <v>51</v>
      </c>
      <c r="AO137" s="69"/>
      <c r="AP137" s="66"/>
    </row>
    <row r="138" spans="1:42" s="70" customFormat="1" ht="15" customHeight="1" x14ac:dyDescent="0.2">
      <c r="A138" s="50">
        <v>46135</v>
      </c>
      <c r="B138" s="62"/>
      <c r="C138" s="63" t="s">
        <v>56</v>
      </c>
      <c r="D138" s="64" t="s">
        <v>53</v>
      </c>
      <c r="E138" s="99">
        <v>177</v>
      </c>
      <c r="F138" s="63" t="s">
        <v>60</v>
      </c>
      <c r="G138" s="109">
        <v>48862629</v>
      </c>
      <c r="H138" s="109" t="s">
        <v>579</v>
      </c>
      <c r="I138" s="66"/>
      <c r="J138" s="66"/>
      <c r="K138" s="112">
        <v>-6180</v>
      </c>
      <c r="L138" s="66"/>
      <c r="M138" s="66"/>
      <c r="N138" s="66"/>
      <c r="O138" s="66"/>
      <c r="P138" s="67">
        <f t="shared" si="4"/>
        <v>-6180</v>
      </c>
      <c r="Q138" s="80"/>
      <c r="R138" s="29">
        <v>46099</v>
      </c>
      <c r="S138" s="69" t="s">
        <v>52</v>
      </c>
      <c r="T138" s="69" t="s">
        <v>79</v>
      </c>
      <c r="U138" s="33" t="s">
        <v>584</v>
      </c>
      <c r="V138" s="65" t="s">
        <v>47</v>
      </c>
      <c r="W138" s="66"/>
      <c r="X138" s="123">
        <v>46135</v>
      </c>
      <c r="Y138" s="65" t="s">
        <v>63</v>
      </c>
      <c r="Z138" s="69"/>
      <c r="AA138" s="69"/>
      <c r="AB138" s="65" t="s">
        <v>49</v>
      </c>
      <c r="AC138" s="69"/>
      <c r="AD138" s="65" t="s">
        <v>48</v>
      </c>
      <c r="AE138" s="86"/>
      <c r="AF138" s="66"/>
      <c r="AG138" s="66"/>
      <c r="AH138" s="69"/>
      <c r="AI138" s="69"/>
      <c r="AJ138" s="68"/>
      <c r="AK138" s="69"/>
      <c r="AL138" s="87">
        <v>18</v>
      </c>
      <c r="AM138" s="88" t="s">
        <v>57</v>
      </c>
      <c r="AN138" s="65" t="s">
        <v>51</v>
      </c>
      <c r="AO138" s="69"/>
      <c r="AP138" s="66"/>
    </row>
    <row r="139" spans="1:42" s="70" customFormat="1" ht="15" customHeight="1" x14ac:dyDescent="0.2">
      <c r="A139" s="50">
        <v>46135</v>
      </c>
      <c r="B139" s="62"/>
      <c r="C139" s="63" t="s">
        <v>56</v>
      </c>
      <c r="D139" s="64" t="s">
        <v>53</v>
      </c>
      <c r="E139" s="99">
        <v>178</v>
      </c>
      <c r="F139" s="63" t="s">
        <v>60</v>
      </c>
      <c r="G139" s="109">
        <v>43480195</v>
      </c>
      <c r="H139" s="109" t="s">
        <v>513</v>
      </c>
      <c r="I139" s="66"/>
      <c r="J139" s="66"/>
      <c r="K139" s="112">
        <v>-6560</v>
      </c>
      <c r="L139" s="66"/>
      <c r="M139" s="66"/>
      <c r="N139" s="66"/>
      <c r="O139" s="66"/>
      <c r="P139" s="67">
        <f t="shared" si="4"/>
        <v>-6560</v>
      </c>
      <c r="Q139" s="80"/>
      <c r="R139" s="29">
        <v>46118</v>
      </c>
      <c r="S139" s="69" t="s">
        <v>52</v>
      </c>
      <c r="T139" s="69" t="s">
        <v>79</v>
      </c>
      <c r="U139" s="33" t="s">
        <v>585</v>
      </c>
      <c r="V139" s="65" t="s">
        <v>47</v>
      </c>
      <c r="W139" s="66"/>
      <c r="X139" s="123">
        <v>46135</v>
      </c>
      <c r="Y139" s="65" t="s">
        <v>63</v>
      </c>
      <c r="Z139" s="69"/>
      <c r="AA139" s="69"/>
      <c r="AB139" s="65" t="s">
        <v>49</v>
      </c>
      <c r="AC139" s="69"/>
      <c r="AD139" s="65" t="s">
        <v>48</v>
      </c>
      <c r="AE139" s="86"/>
      <c r="AF139" s="66"/>
      <c r="AG139" s="66"/>
      <c r="AH139" s="69"/>
      <c r="AI139" s="69"/>
      <c r="AJ139" s="68"/>
      <c r="AK139" s="69"/>
      <c r="AL139" s="87">
        <v>18</v>
      </c>
      <c r="AM139" s="88" t="s">
        <v>57</v>
      </c>
      <c r="AN139" s="65" t="s">
        <v>51</v>
      </c>
      <c r="AO139" s="69"/>
      <c r="AP139" s="66"/>
    </row>
    <row r="140" spans="1:42" s="74" customFormat="1" ht="15.75" customHeight="1" x14ac:dyDescent="0.25">
      <c r="A140" s="73"/>
      <c r="B140" s="73"/>
      <c r="C140" s="73"/>
      <c r="D140" s="73"/>
      <c r="E140" s="73"/>
      <c r="F140" s="73"/>
      <c r="G140" s="73"/>
      <c r="H140" s="73"/>
      <c r="I140" s="73"/>
      <c r="J140" s="73"/>
      <c r="K140" s="73"/>
      <c r="L140" s="73"/>
      <c r="M140" s="73"/>
      <c r="N140" s="73"/>
      <c r="O140" s="73"/>
      <c r="P140" s="73"/>
      <c r="Q140" s="79"/>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row>
    <row r="141" spans="1:42" s="70" customFormat="1" ht="15" customHeight="1" x14ac:dyDescent="0.25">
      <c r="A141" s="50"/>
      <c r="B141" s="62"/>
      <c r="C141" s="63" t="s">
        <v>58</v>
      </c>
      <c r="D141" s="64" t="s">
        <v>55</v>
      </c>
      <c r="E141" s="99">
        <v>0</v>
      </c>
      <c r="F141" s="63" t="s">
        <v>46</v>
      </c>
      <c r="G141" s="42"/>
      <c r="H141" s="72"/>
      <c r="I141" s="66"/>
      <c r="J141" s="66"/>
      <c r="K141" s="53">
        <v>0</v>
      </c>
      <c r="L141" s="66"/>
      <c r="M141" s="66"/>
      <c r="N141" s="66"/>
      <c r="O141" s="66"/>
      <c r="P141" s="67">
        <f>K141</f>
        <v>0</v>
      </c>
      <c r="Q141" s="80"/>
      <c r="R141" s="68"/>
      <c r="S141" s="69"/>
      <c r="T141" s="69"/>
      <c r="U141" s="69"/>
      <c r="V141" s="65" t="s">
        <v>47</v>
      </c>
      <c r="W141" s="66"/>
      <c r="X141" s="68"/>
      <c r="Y141" s="65" t="s">
        <v>63</v>
      </c>
      <c r="Z141" s="69"/>
      <c r="AA141" s="69"/>
      <c r="AB141" s="65" t="s">
        <v>49</v>
      </c>
      <c r="AC141" s="69"/>
      <c r="AD141" s="65" t="s">
        <v>48</v>
      </c>
      <c r="AE141" s="86"/>
      <c r="AF141" s="66"/>
      <c r="AG141" s="66"/>
      <c r="AH141" s="69"/>
      <c r="AI141" s="69"/>
      <c r="AJ141" s="68"/>
      <c r="AK141" s="69"/>
      <c r="AL141" s="87">
        <v>18</v>
      </c>
      <c r="AM141" s="88" t="s">
        <v>59</v>
      </c>
      <c r="AN141" s="65" t="s">
        <v>51</v>
      </c>
      <c r="AO141" s="69"/>
      <c r="AP141" s="66"/>
    </row>
    <row r="142" spans="1:42" s="74" customFormat="1" ht="15.75" customHeight="1" x14ac:dyDescent="0.25">
      <c r="A142" s="73"/>
      <c r="B142" s="73"/>
      <c r="C142" s="73"/>
      <c r="D142" s="73"/>
      <c r="E142" s="73"/>
      <c r="F142" s="73"/>
      <c r="G142" s="73"/>
      <c r="H142" s="73"/>
      <c r="I142" s="73"/>
      <c r="J142" s="73"/>
      <c r="K142" s="53">
        <v>0</v>
      </c>
      <c r="L142" s="73"/>
      <c r="M142" s="73"/>
      <c r="N142" s="73"/>
      <c r="O142" s="73"/>
      <c r="P142" s="73"/>
      <c r="Q142" s="79"/>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row>
    <row r="143" spans="1:42" s="36" customFormat="1" ht="15.75" customHeight="1" x14ac:dyDescent="0.25">
      <c r="A143" s="50"/>
      <c r="B143" s="29"/>
      <c r="C143" s="30" t="s">
        <v>58</v>
      </c>
      <c r="D143" s="31" t="s">
        <v>53</v>
      </c>
      <c r="E143" s="99">
        <v>0</v>
      </c>
      <c r="F143" s="30" t="s">
        <v>60</v>
      </c>
      <c r="G143" s="42"/>
      <c r="H143" s="72"/>
      <c r="I143" s="32"/>
      <c r="J143" s="32"/>
      <c r="K143" s="53">
        <v>0</v>
      </c>
      <c r="L143" s="38"/>
      <c r="M143" s="38"/>
      <c r="N143" s="38"/>
      <c r="O143" s="38"/>
      <c r="P143" s="39">
        <f t="shared" ref="P143" si="5">K143</f>
        <v>0</v>
      </c>
      <c r="Q143" s="81"/>
      <c r="R143" s="29"/>
      <c r="S143" s="33"/>
      <c r="T143" s="69"/>
      <c r="U143" s="33"/>
      <c r="V143" s="30" t="s">
        <v>47</v>
      </c>
      <c r="W143" s="32"/>
      <c r="X143" s="29"/>
      <c r="Y143" s="65" t="s">
        <v>63</v>
      </c>
      <c r="Z143" s="33"/>
      <c r="AA143" s="33"/>
      <c r="AB143" s="30" t="s">
        <v>66</v>
      </c>
      <c r="AC143" s="33"/>
      <c r="AD143" s="30" t="s">
        <v>48</v>
      </c>
      <c r="AE143" s="34"/>
      <c r="AF143" s="32"/>
      <c r="AG143" s="32"/>
      <c r="AH143" s="33"/>
      <c r="AI143" s="33"/>
      <c r="AJ143" s="29"/>
      <c r="AK143" s="33"/>
      <c r="AL143" s="35">
        <v>18</v>
      </c>
      <c r="AM143" s="31" t="s">
        <v>59</v>
      </c>
      <c r="AN143" s="30" t="s">
        <v>51</v>
      </c>
      <c r="AO143" s="33"/>
      <c r="AP143" s="32"/>
    </row>
    <row r="144" spans="1:42" s="6" customFormat="1" x14ac:dyDescent="0.2">
      <c r="A144" s="8"/>
      <c r="B144" s="8"/>
      <c r="C144" s="9"/>
      <c r="D144" s="9"/>
      <c r="E144" s="9"/>
      <c r="F144" s="9"/>
      <c r="G144" s="9"/>
      <c r="H144" s="9"/>
      <c r="I144" s="10"/>
      <c r="J144" s="12">
        <f>SUM(J36:J143)</f>
        <v>0</v>
      </c>
      <c r="K144" s="12">
        <f>SUM(K6:K143)</f>
        <v>564500</v>
      </c>
      <c r="L144" s="11"/>
      <c r="M144" s="11"/>
      <c r="N144" s="12">
        <f>SUM(N36:N143)</f>
        <v>0</v>
      </c>
      <c r="O144" s="12">
        <f>SUM(O36:O143)</f>
        <v>0</v>
      </c>
      <c r="P144" s="12">
        <f>SUM(P6:P143)</f>
        <v>564500</v>
      </c>
      <c r="Q144" s="82"/>
      <c r="R144" s="89"/>
      <c r="S144" s="90"/>
      <c r="T144" s="90"/>
      <c r="U144" s="90"/>
      <c r="V144" s="90"/>
      <c r="W144" s="91"/>
      <c r="X144" s="89"/>
      <c r="Y144" s="90"/>
      <c r="Z144" s="90"/>
      <c r="AA144" s="90"/>
      <c r="AB144" s="90"/>
      <c r="AC144" s="90"/>
      <c r="AD144" s="90"/>
      <c r="AE144" s="92"/>
      <c r="AF144" s="91"/>
      <c r="AG144" s="91"/>
      <c r="AH144" s="90"/>
      <c r="AI144" s="90"/>
      <c r="AJ144" s="89"/>
      <c r="AK144" s="90"/>
      <c r="AL144" s="91"/>
      <c r="AM144" s="90"/>
      <c r="AN144" s="90"/>
      <c r="AO144" s="90"/>
      <c r="AP144" s="91"/>
    </row>
    <row r="146" spans="1:48" s="2" customFormat="1" x14ac:dyDescent="0.25">
      <c r="A146" s="1"/>
      <c r="B146" s="1"/>
      <c r="I146" s="3"/>
      <c r="J146" s="3"/>
      <c r="K146" s="3"/>
      <c r="L146" s="3"/>
      <c r="M146" s="3"/>
      <c r="N146" s="3"/>
      <c r="O146" s="3"/>
      <c r="P146" s="3"/>
      <c r="Q146" s="4"/>
      <c r="R146" s="1"/>
      <c r="W146" s="3"/>
      <c r="X146" s="1"/>
      <c r="AE146" s="5"/>
      <c r="AF146" s="3"/>
      <c r="AG146" s="3"/>
      <c r="AJ146" s="1"/>
      <c r="AL146" s="3"/>
      <c r="AP146" s="3"/>
      <c r="AQ146"/>
      <c r="AR146"/>
      <c r="AS146"/>
      <c r="AT146"/>
      <c r="AU146"/>
      <c r="AV146"/>
    </row>
  </sheetData>
  <mergeCells count="37">
    <mergeCell ref="AP3:AP5"/>
    <mergeCell ref="F4:G4"/>
    <mergeCell ref="H4:H5"/>
    <mergeCell ref="AJ3:AJ5"/>
    <mergeCell ref="AK3:AK5"/>
    <mergeCell ref="AL3:AL5"/>
    <mergeCell ref="AM3:AM5"/>
    <mergeCell ref="AN3:AN5"/>
    <mergeCell ref="AO3:AO5"/>
    <mergeCell ref="AD3:AD5"/>
    <mergeCell ref="AE3:AE5"/>
    <mergeCell ref="AF3:AF5"/>
    <mergeCell ref="AG3:AG5"/>
    <mergeCell ref="AH3:AH5"/>
    <mergeCell ref="AI3:AI5"/>
    <mergeCell ref="X3:X5"/>
    <mergeCell ref="Y3:Y5"/>
    <mergeCell ref="Z3:Z5"/>
    <mergeCell ref="AA3:AA5"/>
    <mergeCell ref="AB3:AB5"/>
    <mergeCell ref="AC3:AC5"/>
    <mergeCell ref="W3:W5"/>
    <mergeCell ref="A1:AP1"/>
    <mergeCell ref="A3:A5"/>
    <mergeCell ref="B3:B5"/>
    <mergeCell ref="C3:E4"/>
    <mergeCell ref="F3:H3"/>
    <mergeCell ref="I3:I5"/>
    <mergeCell ref="J3:J5"/>
    <mergeCell ref="K3:L4"/>
    <mergeCell ref="M3:M5"/>
    <mergeCell ref="N3:N5"/>
    <mergeCell ref="O3:O5"/>
    <mergeCell ref="P3:P5"/>
    <mergeCell ref="Q3:Q5"/>
    <mergeCell ref="R3:U4"/>
    <mergeCell ref="V3:V5"/>
  </mergeCells>
  <pageMargins left="0.7" right="0.7" top="0.75" bottom="0.75" header="0.3" footer="0.3"/>
  <pageSetup paperSize="9" scale="79" orientation="portrait" horizontalDpi="360" verticalDpi="360" r:id="rId1"/>
  <colBreaks count="2" manualBreakCount="2">
    <brk id="7" max="114" man="1"/>
    <brk id="18" max="114"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W218"/>
  <sheetViews>
    <sheetView topLeftCell="G1" zoomScale="112" zoomScaleNormal="112" zoomScaleSheetLayoutView="100" workbookViewId="0">
      <pane ySplit="5" topLeftCell="A6" activePane="bottomLeft" state="frozen"/>
      <selection pane="bottomLeft" activeCell="C181" sqref="C181"/>
    </sheetView>
  </sheetViews>
  <sheetFormatPr baseColWidth="10" defaultRowHeight="15" x14ac:dyDescent="0.25"/>
  <cols>
    <col min="1" max="1" width="11.28515625" style="168" customWidth="1"/>
    <col min="2" max="2" width="11.140625" style="1" customWidth="1"/>
    <col min="3" max="3" width="4.85546875" style="2" customWidth="1"/>
    <col min="4" max="4" width="8.28515625" style="181" customWidth="1"/>
    <col min="5" max="5" width="16.7109375" style="181" customWidth="1"/>
    <col min="6" max="6" width="3.140625" style="181" customWidth="1"/>
    <col min="7" max="7" width="13.5703125" style="181" customWidth="1"/>
    <col min="8" max="8" width="30.7109375" style="181" customWidth="1"/>
    <col min="9" max="9" width="0.5703125" style="217" customWidth="1"/>
    <col min="10" max="10" width="13.7109375" style="217" customWidth="1"/>
    <col min="11" max="11" width="14.28515625" style="217" customWidth="1"/>
    <col min="12" max="13" width="0.5703125" style="217" customWidth="1"/>
    <col min="14" max="14" width="13.5703125" style="217" bestFit="1" customWidth="1"/>
    <col min="15" max="15" width="0.7109375" style="217" customWidth="1"/>
    <col min="16" max="16" width="13.42578125" style="217" customWidth="1"/>
    <col min="17" max="17" width="12.140625" style="4" customWidth="1"/>
    <col min="18" max="18" width="11" style="168" customWidth="1"/>
    <col min="19" max="19" width="7" style="181" customWidth="1"/>
    <col min="20" max="20" width="12.5703125" style="181" customWidth="1"/>
    <col min="21" max="21" width="10.85546875" style="181" customWidth="1"/>
    <col min="22" max="22" width="7" style="181" customWidth="1"/>
    <col min="23" max="23" width="0.85546875" style="217" customWidth="1"/>
    <col min="24" max="24" width="13.140625" style="168" customWidth="1"/>
    <col min="25" max="25" width="9.42578125" style="181" customWidth="1"/>
    <col min="26" max="27" width="0.5703125" style="181" customWidth="1"/>
    <col min="28" max="28" width="6.85546875" style="181" customWidth="1"/>
    <col min="29" max="29" width="1.140625" style="181" customWidth="1"/>
    <col min="30" max="30" width="4.85546875" style="181" customWidth="1"/>
    <col min="31" max="31" width="0.42578125" style="246" customWidth="1"/>
    <col min="32" max="33" width="0.42578125" style="217" customWidth="1"/>
    <col min="34" max="35" width="0.42578125" style="181" customWidth="1"/>
    <col min="36" max="36" width="0.42578125" style="168" customWidth="1"/>
    <col min="37" max="37" width="0.42578125" style="181" customWidth="1"/>
    <col min="38" max="38" width="7.42578125" style="217" customWidth="1"/>
    <col min="39" max="39" width="30.28515625" style="181" customWidth="1"/>
    <col min="40" max="40" width="5.140625" style="181" customWidth="1"/>
    <col min="41" max="41" width="4.28515625" style="2" customWidth="1"/>
    <col min="42" max="42" width="9.5703125" style="3" customWidth="1"/>
  </cols>
  <sheetData>
    <row r="1" spans="1:49" ht="15.75" x14ac:dyDescent="0.25">
      <c r="A1" s="353" t="s">
        <v>44</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row>
    <row r="3" spans="1:49" ht="21.95" customHeight="1" x14ac:dyDescent="0.25">
      <c r="A3" s="354" t="s">
        <v>0</v>
      </c>
      <c r="B3" s="354" t="s">
        <v>1</v>
      </c>
      <c r="C3" s="356" t="s">
        <v>2</v>
      </c>
      <c r="D3" s="356"/>
      <c r="E3" s="356"/>
      <c r="F3" s="356" t="s">
        <v>6</v>
      </c>
      <c r="G3" s="356"/>
      <c r="H3" s="356"/>
      <c r="I3" s="357" t="s">
        <v>9</v>
      </c>
      <c r="J3" s="357" t="s">
        <v>10</v>
      </c>
      <c r="K3" s="357" t="s">
        <v>11</v>
      </c>
      <c r="L3" s="357"/>
      <c r="M3" s="357" t="s">
        <v>14</v>
      </c>
      <c r="N3" s="357" t="s">
        <v>15</v>
      </c>
      <c r="O3" s="357" t="s">
        <v>16</v>
      </c>
      <c r="P3" s="357" t="s">
        <v>17</v>
      </c>
      <c r="Q3" s="359" t="s">
        <v>18</v>
      </c>
      <c r="R3" s="361" t="s">
        <v>19</v>
      </c>
      <c r="S3" s="361"/>
      <c r="T3" s="361"/>
      <c r="U3" s="361"/>
      <c r="V3" s="362" t="s">
        <v>23</v>
      </c>
      <c r="W3" s="352" t="s">
        <v>24</v>
      </c>
      <c r="X3" s="364" t="s">
        <v>25</v>
      </c>
      <c r="Y3" s="362" t="s">
        <v>26</v>
      </c>
      <c r="Z3" s="362" t="s">
        <v>27</v>
      </c>
      <c r="AA3" s="362" t="s">
        <v>28</v>
      </c>
      <c r="AB3" s="362" t="s">
        <v>29</v>
      </c>
      <c r="AC3" s="362" t="s">
        <v>30</v>
      </c>
      <c r="AD3" s="362" t="s">
        <v>31</v>
      </c>
      <c r="AE3" s="365" t="s">
        <v>32</v>
      </c>
      <c r="AF3" s="352" t="s">
        <v>33</v>
      </c>
      <c r="AG3" s="352" t="s">
        <v>34</v>
      </c>
      <c r="AH3" s="362" t="s">
        <v>35</v>
      </c>
      <c r="AI3" s="362" t="s">
        <v>36</v>
      </c>
      <c r="AJ3" s="364" t="s">
        <v>37</v>
      </c>
      <c r="AK3" s="362" t="s">
        <v>38</v>
      </c>
      <c r="AL3" s="352" t="s">
        <v>39</v>
      </c>
      <c r="AM3" s="362" t="s">
        <v>40</v>
      </c>
      <c r="AN3" s="362" t="s">
        <v>41</v>
      </c>
      <c r="AO3" s="362" t="s">
        <v>42</v>
      </c>
      <c r="AP3" s="352" t="s">
        <v>43</v>
      </c>
      <c r="AQ3" s="7"/>
    </row>
    <row r="4" spans="1:49" ht="30.75" customHeight="1" x14ac:dyDescent="0.25">
      <c r="A4" s="354"/>
      <c r="B4" s="354"/>
      <c r="C4" s="356"/>
      <c r="D4" s="356"/>
      <c r="E4" s="356"/>
      <c r="F4" s="356" t="s">
        <v>7</v>
      </c>
      <c r="G4" s="356"/>
      <c r="H4" s="356" t="s">
        <v>8</v>
      </c>
      <c r="I4" s="357"/>
      <c r="J4" s="357"/>
      <c r="K4" s="357"/>
      <c r="L4" s="357"/>
      <c r="M4" s="357"/>
      <c r="N4" s="357"/>
      <c r="O4" s="357"/>
      <c r="P4" s="357"/>
      <c r="Q4" s="359"/>
      <c r="R4" s="361"/>
      <c r="S4" s="361"/>
      <c r="T4" s="361"/>
      <c r="U4" s="361"/>
      <c r="V4" s="362"/>
      <c r="W4" s="352"/>
      <c r="X4" s="364"/>
      <c r="Y4" s="362"/>
      <c r="Z4" s="362"/>
      <c r="AA4" s="362"/>
      <c r="AB4" s="362"/>
      <c r="AC4" s="362"/>
      <c r="AD4" s="362"/>
      <c r="AE4" s="365"/>
      <c r="AF4" s="352"/>
      <c r="AG4" s="352"/>
      <c r="AH4" s="362"/>
      <c r="AI4" s="362"/>
      <c r="AJ4" s="364"/>
      <c r="AK4" s="362"/>
      <c r="AL4" s="352"/>
      <c r="AM4" s="362"/>
      <c r="AN4" s="362"/>
      <c r="AO4" s="362"/>
      <c r="AP4" s="352"/>
      <c r="AQ4" s="7"/>
    </row>
    <row r="5" spans="1:49" ht="51" customHeight="1" x14ac:dyDescent="0.25">
      <c r="A5" s="355"/>
      <c r="B5" s="355"/>
      <c r="C5" s="48" t="s">
        <v>3</v>
      </c>
      <c r="D5" s="48" t="s">
        <v>4</v>
      </c>
      <c r="E5" s="169" t="s">
        <v>5</v>
      </c>
      <c r="F5" s="48" t="s">
        <v>3</v>
      </c>
      <c r="G5" s="48" t="s">
        <v>5</v>
      </c>
      <c r="H5" s="363"/>
      <c r="I5" s="358"/>
      <c r="J5" s="358"/>
      <c r="K5" s="49" t="s">
        <v>12</v>
      </c>
      <c r="L5" s="49" t="s">
        <v>13</v>
      </c>
      <c r="M5" s="358"/>
      <c r="N5" s="358"/>
      <c r="O5" s="358"/>
      <c r="P5" s="358"/>
      <c r="Q5" s="360"/>
      <c r="R5" s="83" t="s">
        <v>20</v>
      </c>
      <c r="S5" s="84" t="s">
        <v>3</v>
      </c>
      <c r="T5" s="84" t="s">
        <v>21</v>
      </c>
      <c r="U5" s="84" t="s">
        <v>22</v>
      </c>
      <c r="V5" s="362"/>
      <c r="W5" s="352"/>
      <c r="X5" s="364"/>
      <c r="Y5" s="362"/>
      <c r="Z5" s="362"/>
      <c r="AA5" s="362"/>
      <c r="AB5" s="362"/>
      <c r="AC5" s="362"/>
      <c r="AD5" s="362"/>
      <c r="AE5" s="365"/>
      <c r="AF5" s="352"/>
      <c r="AG5" s="352"/>
      <c r="AH5" s="362"/>
      <c r="AI5" s="362"/>
      <c r="AJ5" s="364"/>
      <c r="AK5" s="362"/>
      <c r="AL5" s="352"/>
      <c r="AM5" s="362"/>
      <c r="AN5" s="362"/>
      <c r="AO5" s="362"/>
      <c r="AP5" s="352"/>
      <c r="AQ5" s="7"/>
    </row>
    <row r="6" spans="1:49" s="41" customFormat="1" ht="14.25" customHeight="1" x14ac:dyDescent="0.2">
      <c r="A6" s="161">
        <v>46143</v>
      </c>
      <c r="B6" s="124"/>
      <c r="C6" s="125" t="s">
        <v>52</v>
      </c>
      <c r="D6" s="170" t="s">
        <v>53</v>
      </c>
      <c r="E6" s="171">
        <v>7354</v>
      </c>
      <c r="F6" s="58" t="s">
        <v>54</v>
      </c>
      <c r="G6" s="268">
        <v>44278219</v>
      </c>
      <c r="H6" s="182" t="s">
        <v>587</v>
      </c>
      <c r="I6" s="57"/>
      <c r="J6" s="57"/>
      <c r="K6" s="183">
        <v>5470</v>
      </c>
      <c r="L6" s="184"/>
      <c r="M6" s="184"/>
      <c r="N6" s="184"/>
      <c r="O6" s="184"/>
      <c r="P6" s="185">
        <f t="shared" ref="P6:P69" si="0">K6</f>
        <v>5470</v>
      </c>
      <c r="Q6" s="130"/>
      <c r="R6" s="56"/>
      <c r="S6" s="58"/>
      <c r="T6" s="58"/>
      <c r="U6" s="58"/>
      <c r="V6" s="58" t="s">
        <v>47</v>
      </c>
      <c r="W6" s="57"/>
      <c r="X6" s="161">
        <v>46143</v>
      </c>
      <c r="Y6" s="26" t="s">
        <v>63</v>
      </c>
      <c r="Z6" s="58"/>
      <c r="AA6" s="58"/>
      <c r="AB6" s="58" t="s">
        <v>49</v>
      </c>
      <c r="AC6" s="58"/>
      <c r="AD6" s="254" t="s">
        <v>48</v>
      </c>
      <c r="AE6" s="59"/>
      <c r="AF6" s="57"/>
      <c r="AG6" s="57"/>
      <c r="AH6" s="58"/>
      <c r="AI6" s="58"/>
      <c r="AJ6" s="56"/>
      <c r="AK6" s="58"/>
      <c r="AL6" s="57">
        <v>18</v>
      </c>
      <c r="AM6" s="224" t="s">
        <v>50</v>
      </c>
      <c r="AN6" s="254" t="s">
        <v>51</v>
      </c>
      <c r="AO6" s="126"/>
      <c r="AP6" s="129"/>
    </row>
    <row r="7" spans="1:49" s="41" customFormat="1" ht="14.25" customHeight="1" x14ac:dyDescent="0.2">
      <c r="A7" s="161">
        <v>46143</v>
      </c>
      <c r="B7" s="124"/>
      <c r="C7" s="125" t="s">
        <v>52</v>
      </c>
      <c r="D7" s="170" t="s">
        <v>53</v>
      </c>
      <c r="E7" s="171">
        <v>7355</v>
      </c>
      <c r="F7" s="58" t="s">
        <v>54</v>
      </c>
      <c r="G7" s="268">
        <v>44278219</v>
      </c>
      <c r="H7" s="85" t="s">
        <v>587</v>
      </c>
      <c r="I7" s="57"/>
      <c r="J7" s="57"/>
      <c r="K7" s="186">
        <v>0</v>
      </c>
      <c r="L7" s="57"/>
      <c r="M7" s="57"/>
      <c r="N7" s="57"/>
      <c r="O7" s="57"/>
      <c r="P7" s="185">
        <f t="shared" si="0"/>
        <v>0</v>
      </c>
      <c r="Q7" s="106"/>
      <c r="R7" s="56"/>
      <c r="S7" s="58"/>
      <c r="T7" s="58"/>
      <c r="U7" s="58"/>
      <c r="V7" s="58" t="s">
        <v>47</v>
      </c>
      <c r="W7" s="57"/>
      <c r="X7" s="161">
        <v>46143</v>
      </c>
      <c r="Y7" s="26" t="s">
        <v>61</v>
      </c>
      <c r="Z7" s="58"/>
      <c r="AA7" s="58"/>
      <c r="AB7" s="58" t="s">
        <v>49</v>
      </c>
      <c r="AC7" s="58"/>
      <c r="AD7" s="254" t="s">
        <v>48</v>
      </c>
      <c r="AE7" s="59"/>
      <c r="AF7" s="57"/>
      <c r="AG7" s="57"/>
      <c r="AH7" s="58"/>
      <c r="AI7" s="58"/>
      <c r="AJ7" s="56"/>
      <c r="AK7" s="58"/>
      <c r="AL7" s="57">
        <v>18</v>
      </c>
      <c r="AM7" s="225" t="s">
        <v>588</v>
      </c>
      <c r="AN7" s="254" t="s">
        <v>51</v>
      </c>
      <c r="AO7" s="126"/>
      <c r="AP7" s="129"/>
    </row>
    <row r="8" spans="1:49" s="41" customFormat="1" ht="14.25" customHeight="1" x14ac:dyDescent="0.2">
      <c r="A8" s="161">
        <v>46143</v>
      </c>
      <c r="B8" s="124"/>
      <c r="C8" s="125" t="s">
        <v>52</v>
      </c>
      <c r="D8" s="170" t="s">
        <v>53</v>
      </c>
      <c r="E8" s="171">
        <v>7356</v>
      </c>
      <c r="F8" s="58" t="s">
        <v>54</v>
      </c>
      <c r="G8" s="268">
        <v>44463325</v>
      </c>
      <c r="H8" s="85" t="s">
        <v>589</v>
      </c>
      <c r="I8" s="57"/>
      <c r="J8" s="57"/>
      <c r="K8" s="183">
        <v>8080</v>
      </c>
      <c r="L8" s="184"/>
      <c r="M8" s="184"/>
      <c r="N8" s="184"/>
      <c r="O8" s="184"/>
      <c r="P8" s="185">
        <f t="shared" si="0"/>
        <v>8080</v>
      </c>
      <c r="Q8" s="130"/>
      <c r="R8" s="56"/>
      <c r="S8" s="58"/>
      <c r="T8" s="58"/>
      <c r="U8" s="58"/>
      <c r="V8" s="58" t="s">
        <v>47</v>
      </c>
      <c r="W8" s="57"/>
      <c r="X8" s="161">
        <v>46143</v>
      </c>
      <c r="Y8" s="26" t="s">
        <v>63</v>
      </c>
      <c r="Z8" s="26"/>
      <c r="AA8" s="26"/>
      <c r="AB8" s="26" t="s">
        <v>49</v>
      </c>
      <c r="AC8" s="26"/>
      <c r="AD8" s="254" t="s">
        <v>48</v>
      </c>
      <c r="AE8" s="27"/>
      <c r="AF8" s="24"/>
      <c r="AG8" s="24"/>
      <c r="AH8" s="26"/>
      <c r="AI8" s="26"/>
      <c r="AJ8" s="25"/>
      <c r="AK8" s="26"/>
      <c r="AL8" s="24">
        <v>18</v>
      </c>
      <c r="AM8" s="224" t="s">
        <v>50</v>
      </c>
      <c r="AN8" s="254" t="s">
        <v>51</v>
      </c>
      <c r="AO8" s="126"/>
      <c r="AP8" s="129"/>
    </row>
    <row r="9" spans="1:49" s="105" customFormat="1" ht="14.25" customHeight="1" x14ac:dyDescent="0.2">
      <c r="A9" s="161">
        <v>46143</v>
      </c>
      <c r="B9" s="133"/>
      <c r="C9" s="134" t="s">
        <v>52</v>
      </c>
      <c r="D9" s="172" t="s">
        <v>53</v>
      </c>
      <c r="E9" s="171">
        <v>7357</v>
      </c>
      <c r="F9" s="26" t="s">
        <v>54</v>
      </c>
      <c r="G9" s="268">
        <v>61071181</v>
      </c>
      <c r="H9" s="85" t="s">
        <v>590</v>
      </c>
      <c r="I9" s="24"/>
      <c r="J9" s="24"/>
      <c r="K9" s="183">
        <v>6180</v>
      </c>
      <c r="L9" s="187"/>
      <c r="M9" s="187"/>
      <c r="N9" s="187"/>
      <c r="O9" s="187"/>
      <c r="P9" s="185">
        <f t="shared" si="0"/>
        <v>6180</v>
      </c>
      <c r="Q9" s="135"/>
      <c r="R9" s="25"/>
      <c r="S9" s="26"/>
      <c r="T9" s="26"/>
      <c r="U9" s="26"/>
      <c r="V9" s="26" t="s">
        <v>47</v>
      </c>
      <c r="W9" s="24"/>
      <c r="X9" s="161">
        <v>46143</v>
      </c>
      <c r="Y9" s="26" t="s">
        <v>63</v>
      </c>
      <c r="Z9" s="58"/>
      <c r="AA9" s="58"/>
      <c r="AB9" s="58" t="s">
        <v>49</v>
      </c>
      <c r="AC9" s="58"/>
      <c r="AD9" s="254" t="s">
        <v>48</v>
      </c>
      <c r="AE9" s="59"/>
      <c r="AF9" s="57"/>
      <c r="AG9" s="57"/>
      <c r="AH9" s="58"/>
      <c r="AI9" s="58"/>
      <c r="AJ9" s="56"/>
      <c r="AK9" s="58"/>
      <c r="AL9" s="57">
        <v>18</v>
      </c>
      <c r="AM9" s="224" t="s">
        <v>50</v>
      </c>
      <c r="AN9" s="255" t="s">
        <v>51</v>
      </c>
      <c r="AO9" s="131"/>
      <c r="AP9" s="132"/>
      <c r="AW9" s="103"/>
    </row>
    <row r="10" spans="1:49" s="41" customFormat="1" ht="14.25" customHeight="1" x14ac:dyDescent="0.2">
      <c r="A10" s="161">
        <v>46143</v>
      </c>
      <c r="B10" s="124"/>
      <c r="C10" s="125" t="s">
        <v>52</v>
      </c>
      <c r="D10" s="170" t="s">
        <v>53</v>
      </c>
      <c r="E10" s="171">
        <v>7358</v>
      </c>
      <c r="F10" s="58" t="s">
        <v>54</v>
      </c>
      <c r="G10" s="268">
        <v>61071181</v>
      </c>
      <c r="H10" s="85" t="s">
        <v>590</v>
      </c>
      <c r="I10" s="57"/>
      <c r="J10" s="57"/>
      <c r="K10" s="186">
        <v>0</v>
      </c>
      <c r="L10" s="57"/>
      <c r="M10" s="57"/>
      <c r="N10" s="57"/>
      <c r="O10" s="57"/>
      <c r="P10" s="185">
        <f t="shared" si="0"/>
        <v>0</v>
      </c>
      <c r="Q10" s="130"/>
      <c r="R10" s="56"/>
      <c r="S10" s="58"/>
      <c r="T10" s="58"/>
      <c r="U10" s="58"/>
      <c r="V10" s="58" t="s">
        <v>47</v>
      </c>
      <c r="W10" s="57"/>
      <c r="X10" s="161">
        <v>46143</v>
      </c>
      <c r="Y10" s="26" t="s">
        <v>61</v>
      </c>
      <c r="Z10" s="26"/>
      <c r="AA10" s="26"/>
      <c r="AB10" s="26" t="s">
        <v>49</v>
      </c>
      <c r="AC10" s="26"/>
      <c r="AD10" s="254" t="s">
        <v>48</v>
      </c>
      <c r="AE10" s="27"/>
      <c r="AF10" s="24"/>
      <c r="AG10" s="24"/>
      <c r="AH10" s="26"/>
      <c r="AI10" s="26"/>
      <c r="AJ10" s="25"/>
      <c r="AK10" s="26"/>
      <c r="AL10" s="24">
        <v>18</v>
      </c>
      <c r="AM10" s="225" t="s">
        <v>588</v>
      </c>
      <c r="AN10" s="254" t="s">
        <v>51</v>
      </c>
      <c r="AO10" s="126"/>
      <c r="AP10" s="129"/>
    </row>
    <row r="11" spans="1:49" s="41" customFormat="1" ht="14.25" customHeight="1" x14ac:dyDescent="0.2">
      <c r="A11" s="161">
        <v>46143</v>
      </c>
      <c r="B11" s="124"/>
      <c r="C11" s="125" t="s">
        <v>52</v>
      </c>
      <c r="D11" s="170" t="s">
        <v>53</v>
      </c>
      <c r="E11" s="171">
        <v>7359</v>
      </c>
      <c r="F11" s="58" t="s">
        <v>54</v>
      </c>
      <c r="G11" s="268">
        <v>72198643</v>
      </c>
      <c r="H11" s="85" t="s">
        <v>591</v>
      </c>
      <c r="I11" s="57"/>
      <c r="J11" s="57"/>
      <c r="K11" s="183">
        <v>5540</v>
      </c>
      <c r="L11" s="188"/>
      <c r="M11" s="188"/>
      <c r="N11" s="188"/>
      <c r="O11" s="188"/>
      <c r="P11" s="185">
        <f t="shared" si="0"/>
        <v>5540</v>
      </c>
      <c r="Q11" s="130"/>
      <c r="R11" s="56"/>
      <c r="S11" s="58"/>
      <c r="T11" s="58"/>
      <c r="U11" s="58"/>
      <c r="V11" s="58" t="s">
        <v>47</v>
      </c>
      <c r="W11" s="57"/>
      <c r="X11" s="161">
        <v>46143</v>
      </c>
      <c r="Y11" s="26" t="s">
        <v>63</v>
      </c>
      <c r="Z11" s="26"/>
      <c r="AA11" s="26"/>
      <c r="AB11" s="26" t="s">
        <v>49</v>
      </c>
      <c r="AC11" s="26"/>
      <c r="AD11" s="254" t="s">
        <v>48</v>
      </c>
      <c r="AE11" s="27"/>
      <c r="AF11" s="24"/>
      <c r="AG11" s="24"/>
      <c r="AH11" s="26"/>
      <c r="AI11" s="26"/>
      <c r="AJ11" s="25"/>
      <c r="AK11" s="26"/>
      <c r="AL11" s="24">
        <v>18</v>
      </c>
      <c r="AM11" s="224" t="s">
        <v>50</v>
      </c>
      <c r="AN11" s="254" t="s">
        <v>51</v>
      </c>
      <c r="AO11" s="126"/>
      <c r="AP11" s="129"/>
    </row>
    <row r="12" spans="1:49" s="20" customFormat="1" ht="14.25" customHeight="1" x14ac:dyDescent="0.2">
      <c r="A12" s="161">
        <v>46143</v>
      </c>
      <c r="B12" s="124"/>
      <c r="C12" s="125" t="s">
        <v>52</v>
      </c>
      <c r="D12" s="170" t="s">
        <v>53</v>
      </c>
      <c r="E12" s="171">
        <v>7360</v>
      </c>
      <c r="F12" s="58" t="s">
        <v>54</v>
      </c>
      <c r="G12" s="268">
        <v>72198643</v>
      </c>
      <c r="H12" s="85" t="s">
        <v>591</v>
      </c>
      <c r="I12" s="57"/>
      <c r="J12" s="57"/>
      <c r="K12" s="186">
        <v>0</v>
      </c>
      <c r="L12" s="57"/>
      <c r="M12" s="57"/>
      <c r="N12" s="57"/>
      <c r="O12" s="57"/>
      <c r="P12" s="185">
        <f t="shared" si="0"/>
        <v>0</v>
      </c>
      <c r="Q12" s="130"/>
      <c r="R12" s="56"/>
      <c r="S12" s="58"/>
      <c r="T12" s="58"/>
      <c r="U12" s="58"/>
      <c r="V12" s="58" t="s">
        <v>47</v>
      </c>
      <c r="W12" s="57"/>
      <c r="X12" s="161">
        <v>46143</v>
      </c>
      <c r="Y12" s="26" t="s">
        <v>61</v>
      </c>
      <c r="Z12" s="58"/>
      <c r="AA12" s="58"/>
      <c r="AB12" s="58" t="s">
        <v>49</v>
      </c>
      <c r="AC12" s="58"/>
      <c r="AD12" s="254" t="s">
        <v>48</v>
      </c>
      <c r="AE12" s="59"/>
      <c r="AF12" s="57"/>
      <c r="AG12" s="57"/>
      <c r="AH12" s="58"/>
      <c r="AI12" s="58"/>
      <c r="AJ12" s="56"/>
      <c r="AK12" s="58"/>
      <c r="AL12" s="57">
        <v>18</v>
      </c>
      <c r="AM12" s="225" t="s">
        <v>588</v>
      </c>
      <c r="AN12" s="254" t="s">
        <v>51</v>
      </c>
      <c r="AO12" s="126"/>
      <c r="AP12" s="129"/>
    </row>
    <row r="13" spans="1:49" s="20" customFormat="1" ht="14.25" customHeight="1" x14ac:dyDescent="0.2">
      <c r="A13" s="161">
        <v>46143</v>
      </c>
      <c r="B13" s="124"/>
      <c r="C13" s="125" t="s">
        <v>52</v>
      </c>
      <c r="D13" s="170" t="s">
        <v>53</v>
      </c>
      <c r="E13" s="171">
        <v>7361</v>
      </c>
      <c r="F13" s="58" t="s">
        <v>54</v>
      </c>
      <c r="G13" s="268">
        <v>44344010</v>
      </c>
      <c r="H13" s="85" t="s">
        <v>592</v>
      </c>
      <c r="I13" s="57"/>
      <c r="J13" s="57"/>
      <c r="K13" s="183">
        <v>6130</v>
      </c>
      <c r="L13" s="188"/>
      <c r="M13" s="188"/>
      <c r="N13" s="188"/>
      <c r="O13" s="188"/>
      <c r="P13" s="185">
        <f t="shared" si="0"/>
        <v>6130</v>
      </c>
      <c r="Q13" s="130"/>
      <c r="R13" s="56"/>
      <c r="S13" s="58"/>
      <c r="T13" s="58"/>
      <c r="U13" s="58"/>
      <c r="V13" s="58" t="s">
        <v>47</v>
      </c>
      <c r="W13" s="57"/>
      <c r="X13" s="161">
        <v>46143</v>
      </c>
      <c r="Y13" s="26" t="s">
        <v>63</v>
      </c>
      <c r="Z13" s="26"/>
      <c r="AA13" s="26"/>
      <c r="AB13" s="26" t="s">
        <v>49</v>
      </c>
      <c r="AC13" s="26"/>
      <c r="AD13" s="254" t="s">
        <v>48</v>
      </c>
      <c r="AE13" s="27"/>
      <c r="AF13" s="24"/>
      <c r="AG13" s="24"/>
      <c r="AH13" s="26"/>
      <c r="AI13" s="26"/>
      <c r="AJ13" s="25"/>
      <c r="AK13" s="26"/>
      <c r="AL13" s="24">
        <v>18</v>
      </c>
      <c r="AM13" s="224" t="s">
        <v>50</v>
      </c>
      <c r="AN13" s="254" t="s">
        <v>51</v>
      </c>
      <c r="AO13" s="126"/>
      <c r="AP13" s="129"/>
    </row>
    <row r="14" spans="1:49" s="20" customFormat="1" ht="14.25" customHeight="1" x14ac:dyDescent="0.2">
      <c r="A14" s="161">
        <v>46143</v>
      </c>
      <c r="B14" s="124"/>
      <c r="C14" s="125" t="s">
        <v>52</v>
      </c>
      <c r="D14" s="170" t="s">
        <v>53</v>
      </c>
      <c r="E14" s="171">
        <v>7362</v>
      </c>
      <c r="F14" s="58" t="s">
        <v>54</v>
      </c>
      <c r="G14" s="268">
        <v>44344010</v>
      </c>
      <c r="H14" s="85" t="s">
        <v>592</v>
      </c>
      <c r="I14" s="57"/>
      <c r="J14" s="57"/>
      <c r="K14" s="186">
        <v>0</v>
      </c>
      <c r="L14" s="57"/>
      <c r="M14" s="57"/>
      <c r="N14" s="57"/>
      <c r="O14" s="57"/>
      <c r="P14" s="185">
        <f t="shared" si="0"/>
        <v>0</v>
      </c>
      <c r="Q14" s="130"/>
      <c r="R14" s="56"/>
      <c r="S14" s="58"/>
      <c r="T14" s="58"/>
      <c r="U14" s="58"/>
      <c r="V14" s="58" t="s">
        <v>47</v>
      </c>
      <c r="W14" s="57"/>
      <c r="X14" s="161">
        <v>46143</v>
      </c>
      <c r="Y14" s="26" t="s">
        <v>61</v>
      </c>
      <c r="Z14" s="58"/>
      <c r="AA14" s="58"/>
      <c r="AB14" s="58" t="s">
        <v>49</v>
      </c>
      <c r="AC14" s="58"/>
      <c r="AD14" s="254" t="s">
        <v>48</v>
      </c>
      <c r="AE14" s="59"/>
      <c r="AF14" s="57"/>
      <c r="AG14" s="57"/>
      <c r="AH14" s="58"/>
      <c r="AI14" s="58"/>
      <c r="AJ14" s="56"/>
      <c r="AK14" s="58"/>
      <c r="AL14" s="57">
        <v>18</v>
      </c>
      <c r="AM14" s="225" t="s">
        <v>588</v>
      </c>
      <c r="AN14" s="254" t="s">
        <v>51</v>
      </c>
      <c r="AO14" s="126"/>
      <c r="AP14" s="129"/>
    </row>
    <row r="15" spans="1:49" s="20" customFormat="1" ht="14.25" customHeight="1" x14ac:dyDescent="0.2">
      <c r="A15" s="161">
        <v>46143</v>
      </c>
      <c r="B15" s="124"/>
      <c r="C15" s="125" t="s">
        <v>52</v>
      </c>
      <c r="D15" s="170" t="s">
        <v>53</v>
      </c>
      <c r="E15" s="171">
        <v>7363</v>
      </c>
      <c r="F15" s="58" t="s">
        <v>54</v>
      </c>
      <c r="G15" s="268">
        <v>76523842</v>
      </c>
      <c r="H15" s="85" t="s">
        <v>593</v>
      </c>
      <c r="I15" s="57"/>
      <c r="J15" s="57"/>
      <c r="K15" s="183">
        <v>6380</v>
      </c>
      <c r="L15" s="188"/>
      <c r="M15" s="188"/>
      <c r="N15" s="188"/>
      <c r="O15" s="188"/>
      <c r="P15" s="185">
        <f t="shared" si="0"/>
        <v>6380</v>
      </c>
      <c r="Q15" s="130"/>
      <c r="R15" s="56"/>
      <c r="S15" s="58"/>
      <c r="T15" s="58"/>
      <c r="U15" s="58"/>
      <c r="V15" s="58" t="s">
        <v>47</v>
      </c>
      <c r="W15" s="57"/>
      <c r="X15" s="161">
        <v>46143</v>
      </c>
      <c r="Y15" s="26" t="s">
        <v>63</v>
      </c>
      <c r="Z15" s="26"/>
      <c r="AA15" s="26"/>
      <c r="AB15" s="26" t="s">
        <v>49</v>
      </c>
      <c r="AC15" s="26"/>
      <c r="AD15" s="254" t="s">
        <v>48</v>
      </c>
      <c r="AE15" s="27"/>
      <c r="AF15" s="24"/>
      <c r="AG15" s="24"/>
      <c r="AH15" s="26"/>
      <c r="AI15" s="26"/>
      <c r="AJ15" s="25"/>
      <c r="AK15" s="26"/>
      <c r="AL15" s="24">
        <v>18</v>
      </c>
      <c r="AM15" s="224" t="s">
        <v>50</v>
      </c>
      <c r="AN15" s="254" t="s">
        <v>51</v>
      </c>
      <c r="AO15" s="126"/>
      <c r="AP15" s="129"/>
    </row>
    <row r="16" spans="1:49" s="20" customFormat="1" ht="14.25" customHeight="1" x14ac:dyDescent="0.2">
      <c r="A16" s="161">
        <v>46143</v>
      </c>
      <c r="B16" s="124"/>
      <c r="C16" s="125" t="s">
        <v>52</v>
      </c>
      <c r="D16" s="170" t="s">
        <v>53</v>
      </c>
      <c r="E16" s="171">
        <v>7364</v>
      </c>
      <c r="F16" s="58" t="s">
        <v>54</v>
      </c>
      <c r="G16" s="268">
        <v>76523842</v>
      </c>
      <c r="H16" s="85" t="s">
        <v>593</v>
      </c>
      <c r="I16" s="57"/>
      <c r="J16" s="57"/>
      <c r="K16" s="186">
        <v>0</v>
      </c>
      <c r="L16" s="57"/>
      <c r="M16" s="57"/>
      <c r="N16" s="57"/>
      <c r="O16" s="57"/>
      <c r="P16" s="185">
        <f t="shared" si="0"/>
        <v>0</v>
      </c>
      <c r="Q16" s="130"/>
      <c r="R16" s="56"/>
      <c r="S16" s="58"/>
      <c r="T16" s="58"/>
      <c r="U16" s="58"/>
      <c r="V16" s="58" t="s">
        <v>47</v>
      </c>
      <c r="W16" s="57"/>
      <c r="X16" s="161">
        <v>46143</v>
      </c>
      <c r="Y16" s="26" t="s">
        <v>61</v>
      </c>
      <c r="Z16" s="58"/>
      <c r="AA16" s="58"/>
      <c r="AB16" s="58" t="s">
        <v>49</v>
      </c>
      <c r="AC16" s="58"/>
      <c r="AD16" s="254" t="s">
        <v>48</v>
      </c>
      <c r="AE16" s="59"/>
      <c r="AF16" s="57"/>
      <c r="AG16" s="57"/>
      <c r="AH16" s="58"/>
      <c r="AI16" s="58"/>
      <c r="AJ16" s="56"/>
      <c r="AK16" s="58"/>
      <c r="AL16" s="57">
        <v>18</v>
      </c>
      <c r="AM16" s="225" t="s">
        <v>588</v>
      </c>
      <c r="AN16" s="254" t="s">
        <v>51</v>
      </c>
      <c r="AO16" s="126"/>
      <c r="AP16" s="129"/>
    </row>
    <row r="17" spans="1:42" s="41" customFormat="1" ht="14.25" customHeight="1" x14ac:dyDescent="0.2">
      <c r="A17" s="161">
        <v>46143</v>
      </c>
      <c r="B17" s="124"/>
      <c r="C17" s="125" t="s">
        <v>52</v>
      </c>
      <c r="D17" s="170" t="s">
        <v>53</v>
      </c>
      <c r="E17" s="171">
        <v>7365</v>
      </c>
      <c r="F17" s="58" t="s">
        <v>54</v>
      </c>
      <c r="G17" s="268">
        <v>72884390</v>
      </c>
      <c r="H17" s="85" t="s">
        <v>594</v>
      </c>
      <c r="I17" s="57"/>
      <c r="J17" s="57"/>
      <c r="K17" s="183">
        <v>5280</v>
      </c>
      <c r="L17" s="188"/>
      <c r="M17" s="188"/>
      <c r="N17" s="188"/>
      <c r="O17" s="188"/>
      <c r="P17" s="185">
        <f t="shared" si="0"/>
        <v>5280</v>
      </c>
      <c r="Q17" s="130"/>
      <c r="R17" s="56"/>
      <c r="S17" s="58"/>
      <c r="T17" s="58"/>
      <c r="U17" s="58"/>
      <c r="V17" s="58" t="s">
        <v>47</v>
      </c>
      <c r="W17" s="57"/>
      <c r="X17" s="161">
        <v>46143</v>
      </c>
      <c r="Y17" s="26" t="s">
        <v>63</v>
      </c>
      <c r="Z17" s="26"/>
      <c r="AA17" s="26"/>
      <c r="AB17" s="26" t="s">
        <v>49</v>
      </c>
      <c r="AC17" s="26"/>
      <c r="AD17" s="254" t="s">
        <v>48</v>
      </c>
      <c r="AE17" s="27"/>
      <c r="AF17" s="24"/>
      <c r="AG17" s="24"/>
      <c r="AH17" s="26"/>
      <c r="AI17" s="26"/>
      <c r="AJ17" s="25"/>
      <c r="AK17" s="26"/>
      <c r="AL17" s="24">
        <v>18</v>
      </c>
      <c r="AM17" s="224" t="s">
        <v>50</v>
      </c>
      <c r="AN17" s="254" t="s">
        <v>51</v>
      </c>
      <c r="AO17" s="126"/>
      <c r="AP17" s="129"/>
    </row>
    <row r="18" spans="1:42" s="41" customFormat="1" ht="14.25" customHeight="1" x14ac:dyDescent="0.2">
      <c r="A18" s="161">
        <v>46143</v>
      </c>
      <c r="B18" s="136"/>
      <c r="C18" s="125" t="s">
        <v>52</v>
      </c>
      <c r="D18" s="170" t="s">
        <v>53</v>
      </c>
      <c r="E18" s="171">
        <v>7366</v>
      </c>
      <c r="F18" s="58" t="s">
        <v>54</v>
      </c>
      <c r="G18" s="268">
        <v>72884390</v>
      </c>
      <c r="H18" s="85" t="s">
        <v>594</v>
      </c>
      <c r="I18" s="57"/>
      <c r="J18" s="57"/>
      <c r="K18" s="186">
        <v>0</v>
      </c>
      <c r="L18" s="57"/>
      <c r="M18" s="57"/>
      <c r="N18" s="57"/>
      <c r="O18" s="57"/>
      <c r="P18" s="185">
        <f t="shared" si="0"/>
        <v>0</v>
      </c>
      <c r="Q18" s="130"/>
      <c r="R18" s="56"/>
      <c r="S18" s="58"/>
      <c r="T18" s="58"/>
      <c r="U18" s="58"/>
      <c r="V18" s="58" t="s">
        <v>47</v>
      </c>
      <c r="W18" s="57"/>
      <c r="X18" s="161">
        <v>46143</v>
      </c>
      <c r="Y18" s="26" t="s">
        <v>61</v>
      </c>
      <c r="Z18" s="58"/>
      <c r="AA18" s="58"/>
      <c r="AB18" s="58" t="s">
        <v>49</v>
      </c>
      <c r="AC18" s="58"/>
      <c r="AD18" s="254" t="s">
        <v>48</v>
      </c>
      <c r="AE18" s="59"/>
      <c r="AF18" s="57"/>
      <c r="AG18" s="57"/>
      <c r="AH18" s="58"/>
      <c r="AI18" s="58"/>
      <c r="AJ18" s="56"/>
      <c r="AK18" s="58"/>
      <c r="AL18" s="57">
        <v>18</v>
      </c>
      <c r="AM18" s="225" t="s">
        <v>588</v>
      </c>
      <c r="AN18" s="254" t="s">
        <v>51</v>
      </c>
      <c r="AO18" s="126"/>
      <c r="AP18" s="129"/>
    </row>
    <row r="19" spans="1:42" s="20" customFormat="1" ht="14.25" customHeight="1" x14ac:dyDescent="0.2">
      <c r="A19" s="161">
        <v>46143</v>
      </c>
      <c r="B19" s="124"/>
      <c r="C19" s="125" t="s">
        <v>52</v>
      </c>
      <c r="D19" s="170" t="s">
        <v>53</v>
      </c>
      <c r="E19" s="171">
        <v>7367</v>
      </c>
      <c r="F19" s="58" t="s">
        <v>54</v>
      </c>
      <c r="G19" s="268">
        <v>21005810</v>
      </c>
      <c r="H19" s="85" t="s">
        <v>595</v>
      </c>
      <c r="I19" s="57"/>
      <c r="J19" s="57"/>
      <c r="K19" s="183">
        <v>7980</v>
      </c>
      <c r="L19" s="188"/>
      <c r="M19" s="188"/>
      <c r="N19" s="188"/>
      <c r="O19" s="188"/>
      <c r="P19" s="185">
        <f t="shared" si="0"/>
        <v>7980</v>
      </c>
      <c r="Q19" s="130"/>
      <c r="R19" s="56"/>
      <c r="S19" s="58"/>
      <c r="T19" s="58"/>
      <c r="U19" s="58"/>
      <c r="V19" s="58" t="s">
        <v>47</v>
      </c>
      <c r="W19" s="57"/>
      <c r="X19" s="161">
        <v>46143</v>
      </c>
      <c r="Y19" s="26" t="s">
        <v>63</v>
      </c>
      <c r="Z19" s="26"/>
      <c r="AA19" s="26"/>
      <c r="AB19" s="26" t="s">
        <v>49</v>
      </c>
      <c r="AC19" s="26"/>
      <c r="AD19" s="254" t="s">
        <v>48</v>
      </c>
      <c r="AE19" s="27"/>
      <c r="AF19" s="24"/>
      <c r="AG19" s="24"/>
      <c r="AH19" s="26"/>
      <c r="AI19" s="26"/>
      <c r="AJ19" s="25"/>
      <c r="AK19" s="26"/>
      <c r="AL19" s="24">
        <v>18</v>
      </c>
      <c r="AM19" s="224" t="s">
        <v>50</v>
      </c>
      <c r="AN19" s="254" t="s">
        <v>51</v>
      </c>
      <c r="AO19" s="126"/>
      <c r="AP19" s="129"/>
    </row>
    <row r="20" spans="1:42" s="20" customFormat="1" ht="14.25" customHeight="1" x14ac:dyDescent="0.2">
      <c r="A20" s="161">
        <v>46143</v>
      </c>
      <c r="B20" s="124"/>
      <c r="C20" s="125" t="s">
        <v>52</v>
      </c>
      <c r="D20" s="170" t="s">
        <v>53</v>
      </c>
      <c r="E20" s="171">
        <v>7368</v>
      </c>
      <c r="F20" s="58" t="s">
        <v>54</v>
      </c>
      <c r="G20" s="268">
        <v>75753387</v>
      </c>
      <c r="H20" s="85" t="s">
        <v>596</v>
      </c>
      <c r="I20" s="57"/>
      <c r="J20" s="57"/>
      <c r="K20" s="183">
        <v>7980</v>
      </c>
      <c r="L20" s="188"/>
      <c r="M20" s="188"/>
      <c r="N20" s="188"/>
      <c r="O20" s="188"/>
      <c r="P20" s="185">
        <f t="shared" si="0"/>
        <v>7980</v>
      </c>
      <c r="Q20" s="130"/>
      <c r="R20" s="56"/>
      <c r="S20" s="58"/>
      <c r="T20" s="58"/>
      <c r="U20" s="58"/>
      <c r="V20" s="58" t="s">
        <v>47</v>
      </c>
      <c r="W20" s="57"/>
      <c r="X20" s="161">
        <v>46143</v>
      </c>
      <c r="Y20" s="26" t="s">
        <v>63</v>
      </c>
      <c r="Z20" s="58"/>
      <c r="AA20" s="58"/>
      <c r="AB20" s="58" t="s">
        <v>49</v>
      </c>
      <c r="AC20" s="58"/>
      <c r="AD20" s="254" t="s">
        <v>48</v>
      </c>
      <c r="AE20" s="59"/>
      <c r="AF20" s="57"/>
      <c r="AG20" s="57"/>
      <c r="AH20" s="58"/>
      <c r="AI20" s="58"/>
      <c r="AJ20" s="56"/>
      <c r="AK20" s="58"/>
      <c r="AL20" s="57">
        <v>18</v>
      </c>
      <c r="AM20" s="224" t="s">
        <v>50</v>
      </c>
      <c r="AN20" s="254" t="s">
        <v>51</v>
      </c>
      <c r="AO20" s="126"/>
      <c r="AP20" s="129"/>
    </row>
    <row r="21" spans="1:42" s="20" customFormat="1" ht="14.25" customHeight="1" x14ac:dyDescent="0.2">
      <c r="A21" s="161">
        <v>46143</v>
      </c>
      <c r="B21" s="124"/>
      <c r="C21" s="125" t="s">
        <v>52</v>
      </c>
      <c r="D21" s="170" t="s">
        <v>53</v>
      </c>
      <c r="E21" s="171">
        <v>7369</v>
      </c>
      <c r="F21" s="58" t="s">
        <v>54</v>
      </c>
      <c r="G21" s="268">
        <v>76357309</v>
      </c>
      <c r="H21" s="85" t="s">
        <v>597</v>
      </c>
      <c r="I21" s="57"/>
      <c r="J21" s="57"/>
      <c r="K21" s="183">
        <v>7390</v>
      </c>
      <c r="L21" s="188"/>
      <c r="M21" s="188"/>
      <c r="N21" s="188"/>
      <c r="O21" s="188"/>
      <c r="P21" s="185">
        <f t="shared" si="0"/>
        <v>7390</v>
      </c>
      <c r="Q21" s="130"/>
      <c r="R21" s="56"/>
      <c r="S21" s="58"/>
      <c r="T21" s="58"/>
      <c r="U21" s="58"/>
      <c r="V21" s="58" t="s">
        <v>47</v>
      </c>
      <c r="W21" s="57"/>
      <c r="X21" s="226">
        <v>46174</v>
      </c>
      <c r="Y21" s="26" t="s">
        <v>63</v>
      </c>
      <c r="Z21" s="26"/>
      <c r="AA21" s="26"/>
      <c r="AB21" s="26" t="s">
        <v>49</v>
      </c>
      <c r="AC21" s="26"/>
      <c r="AD21" s="254" t="s">
        <v>48</v>
      </c>
      <c r="AE21" s="27"/>
      <c r="AF21" s="24"/>
      <c r="AG21" s="24"/>
      <c r="AH21" s="26"/>
      <c r="AI21" s="26"/>
      <c r="AJ21" s="25"/>
      <c r="AK21" s="26"/>
      <c r="AL21" s="24">
        <v>18</v>
      </c>
      <c r="AM21" s="224" t="s">
        <v>50</v>
      </c>
      <c r="AN21" s="254" t="s">
        <v>51</v>
      </c>
      <c r="AO21" s="126"/>
      <c r="AP21" s="129"/>
    </row>
    <row r="22" spans="1:42" s="20" customFormat="1" ht="14.25" customHeight="1" x14ac:dyDescent="0.2">
      <c r="A22" s="161">
        <v>46143</v>
      </c>
      <c r="B22" s="124"/>
      <c r="C22" s="125" t="s">
        <v>52</v>
      </c>
      <c r="D22" s="170" t="s">
        <v>53</v>
      </c>
      <c r="E22" s="171">
        <v>7370</v>
      </c>
      <c r="F22" s="58" t="s">
        <v>54</v>
      </c>
      <c r="G22" s="268">
        <v>74382932</v>
      </c>
      <c r="H22" s="85" t="s">
        <v>598</v>
      </c>
      <c r="I22" s="57"/>
      <c r="J22" s="57"/>
      <c r="K22" s="183">
        <v>6480</v>
      </c>
      <c r="L22" s="188"/>
      <c r="M22" s="188"/>
      <c r="N22" s="188"/>
      <c r="O22" s="188"/>
      <c r="P22" s="185">
        <f t="shared" si="0"/>
        <v>6480</v>
      </c>
      <c r="Q22" s="130"/>
      <c r="R22" s="56"/>
      <c r="S22" s="58"/>
      <c r="T22" s="58"/>
      <c r="U22" s="58"/>
      <c r="V22" s="58" t="s">
        <v>47</v>
      </c>
      <c r="W22" s="57"/>
      <c r="X22" s="161">
        <v>46143</v>
      </c>
      <c r="Y22" s="26" t="s">
        <v>63</v>
      </c>
      <c r="Z22" s="58"/>
      <c r="AA22" s="58"/>
      <c r="AB22" s="58" t="s">
        <v>49</v>
      </c>
      <c r="AC22" s="58"/>
      <c r="AD22" s="254" t="s">
        <v>48</v>
      </c>
      <c r="AE22" s="59"/>
      <c r="AF22" s="57"/>
      <c r="AG22" s="57"/>
      <c r="AH22" s="58"/>
      <c r="AI22" s="58"/>
      <c r="AJ22" s="56"/>
      <c r="AK22" s="58"/>
      <c r="AL22" s="57">
        <v>18</v>
      </c>
      <c r="AM22" s="224" t="s">
        <v>50</v>
      </c>
      <c r="AN22" s="254" t="s">
        <v>51</v>
      </c>
      <c r="AO22" s="126"/>
      <c r="AP22" s="129"/>
    </row>
    <row r="23" spans="1:42" s="20" customFormat="1" ht="14.25" customHeight="1" x14ac:dyDescent="0.2">
      <c r="A23" s="161">
        <v>46143</v>
      </c>
      <c r="B23" s="124"/>
      <c r="C23" s="125" t="s">
        <v>52</v>
      </c>
      <c r="D23" s="170" t="s">
        <v>53</v>
      </c>
      <c r="E23" s="171">
        <v>7371</v>
      </c>
      <c r="F23" s="58" t="s">
        <v>54</v>
      </c>
      <c r="G23" s="268">
        <v>74382932</v>
      </c>
      <c r="H23" s="85" t="s">
        <v>598</v>
      </c>
      <c r="I23" s="57"/>
      <c r="J23" s="57"/>
      <c r="K23" s="186">
        <v>0</v>
      </c>
      <c r="L23" s="57"/>
      <c r="M23" s="57"/>
      <c r="N23" s="57"/>
      <c r="O23" s="57"/>
      <c r="P23" s="185">
        <f t="shared" si="0"/>
        <v>0</v>
      </c>
      <c r="Q23" s="130"/>
      <c r="R23" s="56"/>
      <c r="S23" s="58"/>
      <c r="T23" s="58"/>
      <c r="U23" s="58"/>
      <c r="V23" s="58" t="s">
        <v>47</v>
      </c>
      <c r="W23" s="57"/>
      <c r="X23" s="161">
        <v>46143</v>
      </c>
      <c r="Y23" s="26" t="s">
        <v>61</v>
      </c>
      <c r="Z23" s="58"/>
      <c r="AA23" s="58"/>
      <c r="AB23" s="58" t="s">
        <v>49</v>
      </c>
      <c r="AC23" s="58"/>
      <c r="AD23" s="254" t="s">
        <v>48</v>
      </c>
      <c r="AE23" s="59"/>
      <c r="AF23" s="57"/>
      <c r="AG23" s="57"/>
      <c r="AH23" s="58"/>
      <c r="AI23" s="58"/>
      <c r="AJ23" s="56"/>
      <c r="AK23" s="58"/>
      <c r="AL23" s="57">
        <v>18</v>
      </c>
      <c r="AM23" s="225" t="s">
        <v>588</v>
      </c>
      <c r="AN23" s="254" t="s">
        <v>51</v>
      </c>
      <c r="AO23" s="126"/>
      <c r="AP23" s="129"/>
    </row>
    <row r="24" spans="1:42" s="41" customFormat="1" ht="14.25" customHeight="1" x14ac:dyDescent="0.2">
      <c r="A24" s="161">
        <v>46143</v>
      </c>
      <c r="B24" s="124"/>
      <c r="C24" s="125" t="s">
        <v>52</v>
      </c>
      <c r="D24" s="170" t="s">
        <v>53</v>
      </c>
      <c r="E24" s="171">
        <v>7372</v>
      </c>
      <c r="F24" s="58" t="s">
        <v>54</v>
      </c>
      <c r="G24" s="268">
        <v>60248605</v>
      </c>
      <c r="H24" s="85" t="s">
        <v>599</v>
      </c>
      <c r="I24" s="57"/>
      <c r="J24" s="57"/>
      <c r="K24" s="183">
        <v>5380</v>
      </c>
      <c r="L24" s="188"/>
      <c r="M24" s="188"/>
      <c r="N24" s="188"/>
      <c r="O24" s="188"/>
      <c r="P24" s="185">
        <f t="shared" si="0"/>
        <v>5380</v>
      </c>
      <c r="Q24" s="130"/>
      <c r="R24" s="56"/>
      <c r="S24" s="58"/>
      <c r="T24" s="58"/>
      <c r="U24" s="58"/>
      <c r="V24" s="58" t="s">
        <v>47</v>
      </c>
      <c r="W24" s="57"/>
      <c r="X24" s="161">
        <v>46143</v>
      </c>
      <c r="Y24" s="26" t="s">
        <v>63</v>
      </c>
      <c r="Z24" s="26"/>
      <c r="AA24" s="26"/>
      <c r="AB24" s="26" t="s">
        <v>49</v>
      </c>
      <c r="AC24" s="26"/>
      <c r="AD24" s="254" t="s">
        <v>48</v>
      </c>
      <c r="AE24" s="27"/>
      <c r="AF24" s="24"/>
      <c r="AG24" s="24"/>
      <c r="AH24" s="26"/>
      <c r="AI24" s="26"/>
      <c r="AJ24" s="25"/>
      <c r="AK24" s="26"/>
      <c r="AL24" s="24">
        <v>18</v>
      </c>
      <c r="AM24" s="224" t="s">
        <v>50</v>
      </c>
      <c r="AN24" s="254" t="s">
        <v>51</v>
      </c>
      <c r="AO24" s="126"/>
      <c r="AP24" s="129"/>
    </row>
    <row r="25" spans="1:42" s="41" customFormat="1" ht="14.25" customHeight="1" x14ac:dyDescent="0.2">
      <c r="A25" s="161">
        <v>46143</v>
      </c>
      <c r="B25" s="124"/>
      <c r="C25" s="125" t="s">
        <v>52</v>
      </c>
      <c r="D25" s="170" t="s">
        <v>53</v>
      </c>
      <c r="E25" s="171">
        <v>7373</v>
      </c>
      <c r="F25" s="58" t="s">
        <v>54</v>
      </c>
      <c r="G25" s="268">
        <v>60248605</v>
      </c>
      <c r="H25" s="85" t="s">
        <v>600</v>
      </c>
      <c r="I25" s="57"/>
      <c r="J25" s="57"/>
      <c r="K25" s="186">
        <v>0</v>
      </c>
      <c r="L25" s="57"/>
      <c r="M25" s="57"/>
      <c r="N25" s="57"/>
      <c r="O25" s="57"/>
      <c r="P25" s="185">
        <f t="shared" si="0"/>
        <v>0</v>
      </c>
      <c r="Q25" s="130"/>
      <c r="R25" s="56"/>
      <c r="S25" s="58"/>
      <c r="T25" s="58"/>
      <c r="U25" s="58"/>
      <c r="V25" s="58" t="s">
        <v>47</v>
      </c>
      <c r="W25" s="57"/>
      <c r="X25" s="161">
        <v>46143</v>
      </c>
      <c r="Y25" s="26" t="s">
        <v>61</v>
      </c>
      <c r="Z25" s="58"/>
      <c r="AA25" s="58"/>
      <c r="AB25" s="58" t="s">
        <v>49</v>
      </c>
      <c r="AC25" s="58"/>
      <c r="AD25" s="254" t="s">
        <v>48</v>
      </c>
      <c r="AE25" s="59"/>
      <c r="AF25" s="57"/>
      <c r="AG25" s="57"/>
      <c r="AH25" s="58"/>
      <c r="AI25" s="58"/>
      <c r="AJ25" s="56"/>
      <c r="AK25" s="58"/>
      <c r="AL25" s="57">
        <v>18</v>
      </c>
      <c r="AM25" s="225" t="s">
        <v>588</v>
      </c>
      <c r="AN25" s="254" t="s">
        <v>51</v>
      </c>
      <c r="AO25" s="126"/>
      <c r="AP25" s="129"/>
    </row>
    <row r="26" spans="1:42" s="41" customFormat="1" ht="14.25" customHeight="1" x14ac:dyDescent="0.2">
      <c r="A26" s="161">
        <v>46143</v>
      </c>
      <c r="B26" s="124"/>
      <c r="C26" s="125" t="s">
        <v>52</v>
      </c>
      <c r="D26" s="170" t="s">
        <v>53</v>
      </c>
      <c r="E26" s="171">
        <v>7374</v>
      </c>
      <c r="F26" s="58" t="s">
        <v>54</v>
      </c>
      <c r="G26" s="268">
        <v>41821471</v>
      </c>
      <c r="H26" s="85" t="s">
        <v>601</v>
      </c>
      <c r="I26" s="57"/>
      <c r="J26" s="57"/>
      <c r="K26" s="183">
        <v>5330</v>
      </c>
      <c r="L26" s="188"/>
      <c r="M26" s="188"/>
      <c r="N26" s="188"/>
      <c r="O26" s="188"/>
      <c r="P26" s="185">
        <f t="shared" si="0"/>
        <v>5330</v>
      </c>
      <c r="Q26" s="130"/>
      <c r="R26" s="56"/>
      <c r="S26" s="58"/>
      <c r="T26" s="58"/>
      <c r="U26" s="58"/>
      <c r="V26" s="58" t="s">
        <v>47</v>
      </c>
      <c r="W26" s="57"/>
      <c r="X26" s="161">
        <v>46143</v>
      </c>
      <c r="Y26" s="26" t="s">
        <v>63</v>
      </c>
      <c r="Z26" s="26"/>
      <c r="AA26" s="26"/>
      <c r="AB26" s="26" t="s">
        <v>49</v>
      </c>
      <c r="AC26" s="26"/>
      <c r="AD26" s="254" t="s">
        <v>48</v>
      </c>
      <c r="AE26" s="27"/>
      <c r="AF26" s="24"/>
      <c r="AG26" s="24"/>
      <c r="AH26" s="26"/>
      <c r="AI26" s="26"/>
      <c r="AJ26" s="25"/>
      <c r="AK26" s="26"/>
      <c r="AL26" s="24">
        <v>18</v>
      </c>
      <c r="AM26" s="224" t="s">
        <v>50</v>
      </c>
      <c r="AN26" s="254" t="s">
        <v>51</v>
      </c>
      <c r="AO26" s="126"/>
      <c r="AP26" s="129"/>
    </row>
    <row r="27" spans="1:42" s="20" customFormat="1" ht="14.25" customHeight="1" x14ac:dyDescent="0.2">
      <c r="A27" s="161">
        <v>46143</v>
      </c>
      <c r="B27" s="124"/>
      <c r="C27" s="125" t="s">
        <v>52</v>
      </c>
      <c r="D27" s="170" t="s">
        <v>53</v>
      </c>
      <c r="E27" s="171">
        <v>7375</v>
      </c>
      <c r="F27" s="58" t="s">
        <v>54</v>
      </c>
      <c r="G27" s="268">
        <v>41821471</v>
      </c>
      <c r="H27" s="85" t="s">
        <v>601</v>
      </c>
      <c r="I27" s="57"/>
      <c r="J27" s="57"/>
      <c r="K27" s="186">
        <v>0</v>
      </c>
      <c r="L27" s="57"/>
      <c r="M27" s="57"/>
      <c r="N27" s="57"/>
      <c r="O27" s="57"/>
      <c r="P27" s="185">
        <f t="shared" si="0"/>
        <v>0</v>
      </c>
      <c r="Q27" s="130"/>
      <c r="R27" s="56"/>
      <c r="S27" s="58"/>
      <c r="T27" s="58"/>
      <c r="U27" s="58"/>
      <c r="V27" s="58" t="s">
        <v>47</v>
      </c>
      <c r="W27" s="57"/>
      <c r="X27" s="161">
        <v>46143</v>
      </c>
      <c r="Y27" s="26" t="s">
        <v>61</v>
      </c>
      <c r="Z27" s="58"/>
      <c r="AA27" s="58"/>
      <c r="AB27" s="58" t="s">
        <v>49</v>
      </c>
      <c r="AC27" s="58"/>
      <c r="AD27" s="254" t="s">
        <v>48</v>
      </c>
      <c r="AE27" s="59"/>
      <c r="AF27" s="57"/>
      <c r="AG27" s="57"/>
      <c r="AH27" s="58"/>
      <c r="AI27" s="58"/>
      <c r="AJ27" s="56"/>
      <c r="AK27" s="58"/>
      <c r="AL27" s="57">
        <v>18</v>
      </c>
      <c r="AM27" s="225" t="s">
        <v>588</v>
      </c>
      <c r="AN27" s="254" t="s">
        <v>51</v>
      </c>
      <c r="AO27" s="126"/>
      <c r="AP27" s="129"/>
    </row>
    <row r="28" spans="1:42" s="20" customFormat="1" ht="14.25" customHeight="1" x14ac:dyDescent="0.2">
      <c r="A28" s="161">
        <v>46144</v>
      </c>
      <c r="B28" s="124"/>
      <c r="C28" s="125" t="s">
        <v>52</v>
      </c>
      <c r="D28" s="170" t="s">
        <v>53</v>
      </c>
      <c r="E28" s="171">
        <v>7376</v>
      </c>
      <c r="F28" s="58" t="s">
        <v>54</v>
      </c>
      <c r="G28" s="268">
        <v>46788222</v>
      </c>
      <c r="H28" s="85" t="s">
        <v>602</v>
      </c>
      <c r="I28" s="57"/>
      <c r="J28" s="57"/>
      <c r="K28" s="183">
        <v>8080</v>
      </c>
      <c r="L28" s="188"/>
      <c r="M28" s="188"/>
      <c r="N28" s="188"/>
      <c r="O28" s="188"/>
      <c r="P28" s="185">
        <f t="shared" si="0"/>
        <v>8080</v>
      </c>
      <c r="Q28" s="130"/>
      <c r="R28" s="56"/>
      <c r="S28" s="58"/>
      <c r="T28" s="58"/>
      <c r="U28" s="58"/>
      <c r="V28" s="58" t="s">
        <v>47</v>
      </c>
      <c r="W28" s="57"/>
      <c r="X28" s="161">
        <v>46144</v>
      </c>
      <c r="Y28" s="26" t="s">
        <v>63</v>
      </c>
      <c r="Z28" s="26"/>
      <c r="AA28" s="26"/>
      <c r="AB28" s="26" t="s">
        <v>49</v>
      </c>
      <c r="AC28" s="26"/>
      <c r="AD28" s="254" t="s">
        <v>48</v>
      </c>
      <c r="AE28" s="27"/>
      <c r="AF28" s="24"/>
      <c r="AG28" s="24"/>
      <c r="AH28" s="26"/>
      <c r="AI28" s="26"/>
      <c r="AJ28" s="25"/>
      <c r="AK28" s="26"/>
      <c r="AL28" s="24">
        <v>18</v>
      </c>
      <c r="AM28" s="224" t="s">
        <v>50</v>
      </c>
      <c r="AN28" s="254" t="s">
        <v>51</v>
      </c>
      <c r="AO28" s="126"/>
      <c r="AP28" s="129"/>
    </row>
    <row r="29" spans="1:42" s="20" customFormat="1" ht="14.25" customHeight="1" x14ac:dyDescent="0.2">
      <c r="A29" s="161">
        <v>46144</v>
      </c>
      <c r="B29" s="124"/>
      <c r="C29" s="125" t="s">
        <v>52</v>
      </c>
      <c r="D29" s="170" t="s">
        <v>53</v>
      </c>
      <c r="E29" s="171">
        <v>7377</v>
      </c>
      <c r="F29" s="58" t="s">
        <v>54</v>
      </c>
      <c r="G29" s="268">
        <v>46788222</v>
      </c>
      <c r="H29" s="85" t="s">
        <v>602</v>
      </c>
      <c r="I29" s="57"/>
      <c r="J29" s="57"/>
      <c r="K29" s="186">
        <v>0</v>
      </c>
      <c r="L29" s="57"/>
      <c r="M29" s="57"/>
      <c r="N29" s="57"/>
      <c r="O29" s="57"/>
      <c r="P29" s="185">
        <f t="shared" si="0"/>
        <v>0</v>
      </c>
      <c r="Q29" s="130"/>
      <c r="R29" s="56"/>
      <c r="S29" s="58"/>
      <c r="T29" s="58"/>
      <c r="U29" s="58"/>
      <c r="V29" s="58" t="s">
        <v>47</v>
      </c>
      <c r="W29" s="57"/>
      <c r="X29" s="161">
        <v>46144</v>
      </c>
      <c r="Y29" s="26" t="s">
        <v>61</v>
      </c>
      <c r="Z29" s="58"/>
      <c r="AA29" s="58"/>
      <c r="AB29" s="58" t="s">
        <v>49</v>
      </c>
      <c r="AC29" s="58"/>
      <c r="AD29" s="254" t="s">
        <v>48</v>
      </c>
      <c r="AE29" s="59"/>
      <c r="AF29" s="57"/>
      <c r="AG29" s="57"/>
      <c r="AH29" s="58"/>
      <c r="AI29" s="58"/>
      <c r="AJ29" s="56"/>
      <c r="AK29" s="58"/>
      <c r="AL29" s="57">
        <v>18</v>
      </c>
      <c r="AM29" s="225" t="s">
        <v>588</v>
      </c>
      <c r="AN29" s="254" t="s">
        <v>51</v>
      </c>
      <c r="AO29" s="126"/>
      <c r="AP29" s="129"/>
    </row>
    <row r="30" spans="1:42" s="20" customFormat="1" ht="14.25" customHeight="1" x14ac:dyDescent="0.2">
      <c r="A30" s="161">
        <v>46146</v>
      </c>
      <c r="B30" s="124"/>
      <c r="C30" s="125" t="s">
        <v>52</v>
      </c>
      <c r="D30" s="170" t="s">
        <v>53</v>
      </c>
      <c r="E30" s="171">
        <v>7378</v>
      </c>
      <c r="F30" s="58" t="s">
        <v>54</v>
      </c>
      <c r="G30" s="268">
        <v>75513539</v>
      </c>
      <c r="H30" s="85" t="s">
        <v>603</v>
      </c>
      <c r="I30" s="57"/>
      <c r="J30" s="57"/>
      <c r="K30" s="183">
        <v>6530</v>
      </c>
      <c r="L30" s="188"/>
      <c r="M30" s="188"/>
      <c r="N30" s="188"/>
      <c r="O30" s="188"/>
      <c r="P30" s="185">
        <f t="shared" si="0"/>
        <v>6530</v>
      </c>
      <c r="Q30" s="130"/>
      <c r="R30" s="56"/>
      <c r="S30" s="58"/>
      <c r="T30" s="58"/>
      <c r="U30" s="58"/>
      <c r="V30" s="58" t="s">
        <v>47</v>
      </c>
      <c r="W30" s="57"/>
      <c r="X30" s="161">
        <v>46146</v>
      </c>
      <c r="Y30" s="26" t="s">
        <v>63</v>
      </c>
      <c r="Z30" s="26"/>
      <c r="AA30" s="26"/>
      <c r="AB30" s="26" t="s">
        <v>49</v>
      </c>
      <c r="AC30" s="26"/>
      <c r="AD30" s="254" t="s">
        <v>48</v>
      </c>
      <c r="AE30" s="27"/>
      <c r="AF30" s="24"/>
      <c r="AG30" s="24"/>
      <c r="AH30" s="26"/>
      <c r="AI30" s="26"/>
      <c r="AJ30" s="25"/>
      <c r="AK30" s="26"/>
      <c r="AL30" s="24">
        <v>18</v>
      </c>
      <c r="AM30" s="224" t="s">
        <v>50</v>
      </c>
      <c r="AN30" s="254" t="s">
        <v>51</v>
      </c>
      <c r="AO30" s="126"/>
      <c r="AP30" s="129"/>
    </row>
    <row r="31" spans="1:42" s="20" customFormat="1" ht="14.25" customHeight="1" x14ac:dyDescent="0.2">
      <c r="A31" s="161">
        <v>46146</v>
      </c>
      <c r="B31" s="124"/>
      <c r="C31" s="125" t="s">
        <v>52</v>
      </c>
      <c r="D31" s="170" t="s">
        <v>53</v>
      </c>
      <c r="E31" s="171">
        <v>7379</v>
      </c>
      <c r="F31" s="58" t="s">
        <v>54</v>
      </c>
      <c r="G31" s="268">
        <v>75513539</v>
      </c>
      <c r="H31" s="85" t="s">
        <v>603</v>
      </c>
      <c r="I31" s="57"/>
      <c r="J31" s="57"/>
      <c r="K31" s="186">
        <v>0</v>
      </c>
      <c r="L31" s="57"/>
      <c r="M31" s="57"/>
      <c r="N31" s="57"/>
      <c r="O31" s="57"/>
      <c r="P31" s="185">
        <f t="shared" si="0"/>
        <v>0</v>
      </c>
      <c r="Q31" s="130"/>
      <c r="R31" s="56"/>
      <c r="S31" s="58"/>
      <c r="T31" s="58"/>
      <c r="U31" s="58"/>
      <c r="V31" s="58" t="s">
        <v>47</v>
      </c>
      <c r="W31" s="57"/>
      <c r="X31" s="161">
        <v>46146</v>
      </c>
      <c r="Y31" s="26" t="s">
        <v>61</v>
      </c>
      <c r="Z31" s="58"/>
      <c r="AA31" s="58"/>
      <c r="AB31" s="58" t="s">
        <v>49</v>
      </c>
      <c r="AC31" s="58"/>
      <c r="AD31" s="254" t="s">
        <v>48</v>
      </c>
      <c r="AE31" s="59"/>
      <c r="AF31" s="57"/>
      <c r="AG31" s="57"/>
      <c r="AH31" s="58"/>
      <c r="AI31" s="58"/>
      <c r="AJ31" s="56"/>
      <c r="AK31" s="58"/>
      <c r="AL31" s="57">
        <v>18</v>
      </c>
      <c r="AM31" s="225" t="s">
        <v>588</v>
      </c>
      <c r="AN31" s="254" t="s">
        <v>51</v>
      </c>
      <c r="AO31" s="126"/>
      <c r="AP31" s="129"/>
    </row>
    <row r="32" spans="1:42" s="41" customFormat="1" ht="14.25" customHeight="1" x14ac:dyDescent="0.2">
      <c r="A32" s="161">
        <v>46146</v>
      </c>
      <c r="B32" s="124"/>
      <c r="C32" s="125" t="s">
        <v>52</v>
      </c>
      <c r="D32" s="170" t="s">
        <v>53</v>
      </c>
      <c r="E32" s="171">
        <v>7380</v>
      </c>
      <c r="F32" s="58" t="s">
        <v>54</v>
      </c>
      <c r="G32" s="268">
        <v>20975861</v>
      </c>
      <c r="H32" s="85" t="s">
        <v>604</v>
      </c>
      <c r="I32" s="57"/>
      <c r="J32" s="57"/>
      <c r="K32" s="183">
        <v>7263</v>
      </c>
      <c r="L32" s="188"/>
      <c r="M32" s="188"/>
      <c r="N32" s="188"/>
      <c r="O32" s="188"/>
      <c r="P32" s="185">
        <f t="shared" si="0"/>
        <v>7263</v>
      </c>
      <c r="Q32" s="130"/>
      <c r="R32" s="56"/>
      <c r="S32" s="58"/>
      <c r="T32" s="58"/>
      <c r="U32" s="58"/>
      <c r="V32" s="58" t="s">
        <v>47</v>
      </c>
      <c r="W32" s="57"/>
      <c r="X32" s="161">
        <v>46146</v>
      </c>
      <c r="Y32" s="26" t="s">
        <v>63</v>
      </c>
      <c r="Z32" s="26"/>
      <c r="AA32" s="26"/>
      <c r="AB32" s="26" t="s">
        <v>49</v>
      </c>
      <c r="AC32" s="26"/>
      <c r="AD32" s="254" t="s">
        <v>48</v>
      </c>
      <c r="AE32" s="27"/>
      <c r="AF32" s="24"/>
      <c r="AG32" s="24"/>
      <c r="AH32" s="26"/>
      <c r="AI32" s="26"/>
      <c r="AJ32" s="25"/>
      <c r="AK32" s="26"/>
      <c r="AL32" s="24">
        <v>18</v>
      </c>
      <c r="AM32" s="224" t="s">
        <v>50</v>
      </c>
      <c r="AN32" s="254" t="s">
        <v>51</v>
      </c>
      <c r="AO32" s="126"/>
      <c r="AP32" s="129"/>
    </row>
    <row r="33" spans="1:49" s="41" customFormat="1" ht="14.25" customHeight="1" x14ac:dyDescent="0.2">
      <c r="A33" s="161">
        <v>46146</v>
      </c>
      <c r="B33" s="124"/>
      <c r="C33" s="125" t="s">
        <v>52</v>
      </c>
      <c r="D33" s="170" t="s">
        <v>53</v>
      </c>
      <c r="E33" s="171">
        <v>7381</v>
      </c>
      <c r="F33" s="58" t="s">
        <v>54</v>
      </c>
      <c r="G33" s="268">
        <v>48289856</v>
      </c>
      <c r="H33" s="85" t="s">
        <v>605</v>
      </c>
      <c r="I33" s="57"/>
      <c r="J33" s="57"/>
      <c r="K33" s="183">
        <v>5280</v>
      </c>
      <c r="L33" s="188"/>
      <c r="M33" s="188"/>
      <c r="N33" s="188"/>
      <c r="O33" s="188"/>
      <c r="P33" s="185">
        <f t="shared" si="0"/>
        <v>5280</v>
      </c>
      <c r="Q33" s="130"/>
      <c r="R33" s="56"/>
      <c r="S33" s="58"/>
      <c r="T33" s="58"/>
      <c r="U33" s="58"/>
      <c r="V33" s="58" t="s">
        <v>47</v>
      </c>
      <c r="W33" s="57"/>
      <c r="X33" s="161">
        <v>46146</v>
      </c>
      <c r="Y33" s="26" t="s">
        <v>63</v>
      </c>
      <c r="Z33" s="58"/>
      <c r="AA33" s="58"/>
      <c r="AB33" s="58" t="s">
        <v>49</v>
      </c>
      <c r="AC33" s="58"/>
      <c r="AD33" s="254" t="s">
        <v>48</v>
      </c>
      <c r="AE33" s="59"/>
      <c r="AF33" s="57"/>
      <c r="AG33" s="57"/>
      <c r="AH33" s="58"/>
      <c r="AI33" s="58"/>
      <c r="AJ33" s="56"/>
      <c r="AK33" s="58"/>
      <c r="AL33" s="57">
        <v>18</v>
      </c>
      <c r="AM33" s="224" t="s">
        <v>50</v>
      </c>
      <c r="AN33" s="254" t="s">
        <v>51</v>
      </c>
      <c r="AO33" s="126"/>
      <c r="AP33" s="129"/>
    </row>
    <row r="34" spans="1:49" s="20" customFormat="1" ht="14.25" customHeight="1" x14ac:dyDescent="0.2">
      <c r="A34" s="161">
        <v>46146</v>
      </c>
      <c r="B34" s="124"/>
      <c r="C34" s="125" t="s">
        <v>52</v>
      </c>
      <c r="D34" s="170" t="s">
        <v>53</v>
      </c>
      <c r="E34" s="171">
        <v>7382</v>
      </c>
      <c r="F34" s="58" t="s">
        <v>54</v>
      </c>
      <c r="G34" s="268">
        <v>48289856</v>
      </c>
      <c r="H34" s="85" t="s">
        <v>605</v>
      </c>
      <c r="I34" s="57"/>
      <c r="J34" s="57"/>
      <c r="K34" s="186">
        <v>0</v>
      </c>
      <c r="L34" s="57"/>
      <c r="M34" s="57"/>
      <c r="N34" s="57"/>
      <c r="O34" s="57"/>
      <c r="P34" s="185">
        <f t="shared" si="0"/>
        <v>0</v>
      </c>
      <c r="Q34" s="130"/>
      <c r="R34" s="56"/>
      <c r="S34" s="58"/>
      <c r="T34" s="58"/>
      <c r="U34" s="58"/>
      <c r="V34" s="58" t="s">
        <v>47</v>
      </c>
      <c r="W34" s="57"/>
      <c r="X34" s="161">
        <v>46146</v>
      </c>
      <c r="Y34" s="26" t="s">
        <v>61</v>
      </c>
      <c r="Z34" s="26"/>
      <c r="AA34" s="26"/>
      <c r="AB34" s="26" t="s">
        <v>49</v>
      </c>
      <c r="AC34" s="26"/>
      <c r="AD34" s="254" t="s">
        <v>48</v>
      </c>
      <c r="AE34" s="27"/>
      <c r="AF34" s="24"/>
      <c r="AG34" s="24"/>
      <c r="AH34" s="26"/>
      <c r="AI34" s="26"/>
      <c r="AJ34" s="25"/>
      <c r="AK34" s="26"/>
      <c r="AL34" s="24">
        <v>18</v>
      </c>
      <c r="AM34" s="225" t="s">
        <v>588</v>
      </c>
      <c r="AN34" s="254" t="s">
        <v>51</v>
      </c>
      <c r="AO34" s="126"/>
      <c r="AP34" s="129"/>
    </row>
    <row r="35" spans="1:49" s="20" customFormat="1" ht="14.25" customHeight="1" x14ac:dyDescent="0.2">
      <c r="A35" s="161">
        <v>46146</v>
      </c>
      <c r="B35" s="124"/>
      <c r="C35" s="125" t="s">
        <v>52</v>
      </c>
      <c r="D35" s="170" t="s">
        <v>53</v>
      </c>
      <c r="E35" s="171">
        <v>7383</v>
      </c>
      <c r="F35" s="58" t="s">
        <v>54</v>
      </c>
      <c r="G35" s="268">
        <v>40909453</v>
      </c>
      <c r="H35" s="85" t="s">
        <v>606</v>
      </c>
      <c r="I35" s="57"/>
      <c r="J35" s="57"/>
      <c r="K35" s="183">
        <v>6180</v>
      </c>
      <c r="L35" s="188"/>
      <c r="M35" s="188"/>
      <c r="N35" s="188"/>
      <c r="O35" s="188"/>
      <c r="P35" s="185">
        <f t="shared" si="0"/>
        <v>6180</v>
      </c>
      <c r="Q35" s="130"/>
      <c r="R35" s="56"/>
      <c r="S35" s="58"/>
      <c r="T35" s="58"/>
      <c r="U35" s="58"/>
      <c r="V35" s="58" t="s">
        <v>47</v>
      </c>
      <c r="W35" s="57"/>
      <c r="X35" s="161">
        <v>46146</v>
      </c>
      <c r="Y35" s="26" t="s">
        <v>63</v>
      </c>
      <c r="Z35" s="58"/>
      <c r="AA35" s="58"/>
      <c r="AB35" s="58" t="s">
        <v>49</v>
      </c>
      <c r="AC35" s="58"/>
      <c r="AD35" s="254" t="s">
        <v>48</v>
      </c>
      <c r="AE35" s="59"/>
      <c r="AF35" s="57"/>
      <c r="AG35" s="57"/>
      <c r="AH35" s="58"/>
      <c r="AI35" s="58"/>
      <c r="AJ35" s="56"/>
      <c r="AK35" s="58"/>
      <c r="AL35" s="57">
        <v>18</v>
      </c>
      <c r="AM35" s="224" t="s">
        <v>50</v>
      </c>
      <c r="AN35" s="254" t="s">
        <v>51</v>
      </c>
      <c r="AO35" s="126"/>
      <c r="AP35" s="129"/>
    </row>
    <row r="36" spans="1:49" s="41" customFormat="1" ht="14.25" customHeight="1" x14ac:dyDescent="0.2">
      <c r="A36" s="161">
        <v>46146</v>
      </c>
      <c r="B36" s="124"/>
      <c r="C36" s="125" t="s">
        <v>52</v>
      </c>
      <c r="D36" s="170" t="s">
        <v>53</v>
      </c>
      <c r="E36" s="171">
        <v>7384</v>
      </c>
      <c r="F36" s="58" t="s">
        <v>54</v>
      </c>
      <c r="G36" s="268">
        <v>40909453</v>
      </c>
      <c r="H36" s="85" t="s">
        <v>606</v>
      </c>
      <c r="I36" s="57"/>
      <c r="J36" s="57"/>
      <c r="K36" s="186">
        <v>0</v>
      </c>
      <c r="L36" s="57"/>
      <c r="M36" s="57"/>
      <c r="N36" s="57"/>
      <c r="O36" s="57"/>
      <c r="P36" s="185">
        <f t="shared" si="0"/>
        <v>0</v>
      </c>
      <c r="Q36" s="130"/>
      <c r="R36" s="56"/>
      <c r="S36" s="58"/>
      <c r="T36" s="58"/>
      <c r="U36" s="58"/>
      <c r="V36" s="58" t="s">
        <v>47</v>
      </c>
      <c r="W36" s="57"/>
      <c r="X36" s="161">
        <v>46146</v>
      </c>
      <c r="Y36" s="26" t="s">
        <v>61</v>
      </c>
      <c r="Z36" s="58"/>
      <c r="AA36" s="58"/>
      <c r="AB36" s="58" t="s">
        <v>49</v>
      </c>
      <c r="AC36" s="58"/>
      <c r="AD36" s="254" t="s">
        <v>48</v>
      </c>
      <c r="AE36" s="59"/>
      <c r="AF36" s="57"/>
      <c r="AG36" s="57"/>
      <c r="AH36" s="58"/>
      <c r="AI36" s="58"/>
      <c r="AJ36" s="56"/>
      <c r="AK36" s="58"/>
      <c r="AL36" s="57">
        <v>18</v>
      </c>
      <c r="AM36" s="225" t="s">
        <v>588</v>
      </c>
      <c r="AN36" s="254" t="s">
        <v>51</v>
      </c>
      <c r="AO36" s="126"/>
      <c r="AP36" s="129"/>
    </row>
    <row r="37" spans="1:49" s="41" customFormat="1" ht="14.25" customHeight="1" x14ac:dyDescent="0.2">
      <c r="A37" s="161">
        <v>46147</v>
      </c>
      <c r="B37" s="124"/>
      <c r="C37" s="125" t="s">
        <v>52</v>
      </c>
      <c r="D37" s="170" t="s">
        <v>53</v>
      </c>
      <c r="E37" s="171">
        <v>7385</v>
      </c>
      <c r="F37" s="58" t="s">
        <v>54</v>
      </c>
      <c r="G37" s="268">
        <v>48435616</v>
      </c>
      <c r="H37" s="85" t="s">
        <v>607</v>
      </c>
      <c r="I37" s="57"/>
      <c r="J37" s="57"/>
      <c r="K37" s="183">
        <v>5280</v>
      </c>
      <c r="L37" s="184"/>
      <c r="M37" s="184"/>
      <c r="N37" s="184"/>
      <c r="O37" s="184"/>
      <c r="P37" s="185">
        <f t="shared" si="0"/>
        <v>5280</v>
      </c>
      <c r="Q37" s="106"/>
      <c r="R37" s="56"/>
      <c r="S37" s="58"/>
      <c r="T37" s="58"/>
      <c r="U37" s="58"/>
      <c r="V37" s="58" t="s">
        <v>47</v>
      </c>
      <c r="W37" s="57"/>
      <c r="X37" s="161">
        <v>46147</v>
      </c>
      <c r="Y37" s="26" t="s">
        <v>63</v>
      </c>
      <c r="Z37" s="26"/>
      <c r="AA37" s="26"/>
      <c r="AB37" s="26" t="s">
        <v>49</v>
      </c>
      <c r="AC37" s="26"/>
      <c r="AD37" s="254" t="s">
        <v>48</v>
      </c>
      <c r="AE37" s="27"/>
      <c r="AF37" s="24"/>
      <c r="AG37" s="24"/>
      <c r="AH37" s="26"/>
      <c r="AI37" s="26"/>
      <c r="AJ37" s="25"/>
      <c r="AK37" s="26"/>
      <c r="AL37" s="24">
        <v>18</v>
      </c>
      <c r="AM37" s="224" t="s">
        <v>50</v>
      </c>
      <c r="AN37" s="254" t="s">
        <v>51</v>
      </c>
      <c r="AO37" s="126"/>
      <c r="AP37" s="129"/>
    </row>
    <row r="38" spans="1:49" s="41" customFormat="1" ht="14.25" customHeight="1" x14ac:dyDescent="0.2">
      <c r="A38" s="161">
        <v>46147</v>
      </c>
      <c r="B38" s="124"/>
      <c r="C38" s="125" t="s">
        <v>52</v>
      </c>
      <c r="D38" s="170" t="s">
        <v>53</v>
      </c>
      <c r="E38" s="171">
        <v>7386</v>
      </c>
      <c r="F38" s="58" t="s">
        <v>54</v>
      </c>
      <c r="G38" s="268">
        <v>48435616</v>
      </c>
      <c r="H38" s="85" t="s">
        <v>607</v>
      </c>
      <c r="I38" s="57"/>
      <c r="J38" s="57"/>
      <c r="K38" s="186">
        <v>0</v>
      </c>
      <c r="L38" s="57"/>
      <c r="M38" s="57"/>
      <c r="N38" s="57"/>
      <c r="O38" s="57"/>
      <c r="P38" s="185">
        <f t="shared" si="0"/>
        <v>0</v>
      </c>
      <c r="Q38" s="130"/>
      <c r="R38" s="56"/>
      <c r="S38" s="58"/>
      <c r="T38" s="58"/>
      <c r="U38" s="58"/>
      <c r="V38" s="58" t="s">
        <v>47</v>
      </c>
      <c r="W38" s="57"/>
      <c r="X38" s="161">
        <v>46147</v>
      </c>
      <c r="Y38" s="26" t="s">
        <v>61</v>
      </c>
      <c r="Z38" s="58"/>
      <c r="AA38" s="58"/>
      <c r="AB38" s="58" t="s">
        <v>49</v>
      </c>
      <c r="AC38" s="58"/>
      <c r="AD38" s="254" t="s">
        <v>48</v>
      </c>
      <c r="AE38" s="59"/>
      <c r="AF38" s="57"/>
      <c r="AG38" s="57"/>
      <c r="AH38" s="58"/>
      <c r="AI38" s="58"/>
      <c r="AJ38" s="56"/>
      <c r="AK38" s="58"/>
      <c r="AL38" s="57">
        <v>18</v>
      </c>
      <c r="AM38" s="225" t="s">
        <v>588</v>
      </c>
      <c r="AN38" s="254" t="s">
        <v>51</v>
      </c>
      <c r="AO38" s="126"/>
      <c r="AP38" s="129"/>
    </row>
    <row r="39" spans="1:49" s="105" customFormat="1" ht="14.25" customHeight="1" x14ac:dyDescent="0.2">
      <c r="A39" s="161">
        <v>46147</v>
      </c>
      <c r="B39" s="133"/>
      <c r="C39" s="134" t="s">
        <v>52</v>
      </c>
      <c r="D39" s="172" t="s">
        <v>53</v>
      </c>
      <c r="E39" s="171">
        <v>7387</v>
      </c>
      <c r="F39" s="26" t="s">
        <v>54</v>
      </c>
      <c r="G39" s="268">
        <v>45576990</v>
      </c>
      <c r="H39" s="85" t="s">
        <v>608</v>
      </c>
      <c r="I39" s="24"/>
      <c r="J39" s="24"/>
      <c r="K39" s="183">
        <v>11230</v>
      </c>
      <c r="L39" s="187"/>
      <c r="M39" s="187"/>
      <c r="N39" s="187"/>
      <c r="O39" s="187"/>
      <c r="P39" s="185">
        <f t="shared" si="0"/>
        <v>11230</v>
      </c>
      <c r="Q39" s="135"/>
      <c r="R39" s="25"/>
      <c r="S39" s="26"/>
      <c r="T39" s="26"/>
      <c r="U39" s="26"/>
      <c r="V39" s="26" t="s">
        <v>47</v>
      </c>
      <c r="W39" s="24"/>
      <c r="X39" s="161">
        <v>46147</v>
      </c>
      <c r="Y39" s="26" t="s">
        <v>63</v>
      </c>
      <c r="Z39" s="26"/>
      <c r="AA39" s="26"/>
      <c r="AB39" s="26" t="s">
        <v>49</v>
      </c>
      <c r="AC39" s="26"/>
      <c r="AD39" s="254" t="s">
        <v>48</v>
      </c>
      <c r="AE39" s="27"/>
      <c r="AF39" s="24"/>
      <c r="AG39" s="24"/>
      <c r="AH39" s="26"/>
      <c r="AI39" s="26"/>
      <c r="AJ39" s="25"/>
      <c r="AK39" s="26"/>
      <c r="AL39" s="24">
        <v>18</v>
      </c>
      <c r="AM39" s="224" t="s">
        <v>50</v>
      </c>
      <c r="AN39" s="255" t="s">
        <v>51</v>
      </c>
      <c r="AO39" s="131"/>
      <c r="AP39" s="132"/>
      <c r="AW39" s="103"/>
    </row>
    <row r="40" spans="1:49" s="41" customFormat="1" ht="14.25" customHeight="1" x14ac:dyDescent="0.2">
      <c r="A40" s="161">
        <v>46147</v>
      </c>
      <c r="B40" s="124"/>
      <c r="C40" s="125" t="s">
        <v>52</v>
      </c>
      <c r="D40" s="170" t="s">
        <v>53</v>
      </c>
      <c r="E40" s="171">
        <v>7388</v>
      </c>
      <c r="F40" s="58" t="s">
        <v>54</v>
      </c>
      <c r="G40" s="268">
        <v>45576990</v>
      </c>
      <c r="H40" s="85" t="s">
        <v>608</v>
      </c>
      <c r="I40" s="57"/>
      <c r="J40" s="57"/>
      <c r="K40" s="186">
        <v>0</v>
      </c>
      <c r="L40" s="57"/>
      <c r="M40" s="57"/>
      <c r="N40" s="57"/>
      <c r="O40" s="57"/>
      <c r="P40" s="185">
        <f t="shared" si="0"/>
        <v>0</v>
      </c>
      <c r="Q40" s="130"/>
      <c r="R40" s="56"/>
      <c r="S40" s="58"/>
      <c r="T40" s="58"/>
      <c r="U40" s="58"/>
      <c r="V40" s="58" t="s">
        <v>47</v>
      </c>
      <c r="W40" s="57"/>
      <c r="X40" s="161">
        <v>46147</v>
      </c>
      <c r="Y40" s="26" t="s">
        <v>61</v>
      </c>
      <c r="Z40" s="58"/>
      <c r="AA40" s="58"/>
      <c r="AB40" s="58" t="s">
        <v>49</v>
      </c>
      <c r="AC40" s="58"/>
      <c r="AD40" s="254" t="s">
        <v>48</v>
      </c>
      <c r="AE40" s="59"/>
      <c r="AF40" s="57"/>
      <c r="AG40" s="57"/>
      <c r="AH40" s="58"/>
      <c r="AI40" s="58"/>
      <c r="AJ40" s="56"/>
      <c r="AK40" s="58"/>
      <c r="AL40" s="57">
        <v>18</v>
      </c>
      <c r="AM40" s="225" t="s">
        <v>588</v>
      </c>
      <c r="AN40" s="254" t="s">
        <v>51</v>
      </c>
      <c r="AO40" s="126"/>
      <c r="AP40" s="129"/>
    </row>
    <row r="41" spans="1:49" s="41" customFormat="1" ht="14.25" customHeight="1" x14ac:dyDescent="0.2">
      <c r="A41" s="161">
        <v>46147</v>
      </c>
      <c r="B41" s="124"/>
      <c r="C41" s="125" t="s">
        <v>52</v>
      </c>
      <c r="D41" s="170" t="s">
        <v>53</v>
      </c>
      <c r="E41" s="171">
        <v>7389</v>
      </c>
      <c r="F41" s="58" t="s">
        <v>54</v>
      </c>
      <c r="G41" s="268">
        <v>45053506</v>
      </c>
      <c r="H41" s="85" t="s">
        <v>609</v>
      </c>
      <c r="I41" s="57"/>
      <c r="J41" s="57"/>
      <c r="K41" s="183">
        <v>8080</v>
      </c>
      <c r="L41" s="188"/>
      <c r="M41" s="188"/>
      <c r="N41" s="188"/>
      <c r="O41" s="188"/>
      <c r="P41" s="185">
        <f t="shared" si="0"/>
        <v>8080</v>
      </c>
      <c r="Q41" s="130"/>
      <c r="R41" s="56"/>
      <c r="S41" s="58"/>
      <c r="T41" s="58"/>
      <c r="U41" s="58"/>
      <c r="V41" s="58" t="s">
        <v>47</v>
      </c>
      <c r="W41" s="57"/>
      <c r="X41" s="161">
        <v>46147</v>
      </c>
      <c r="Y41" s="26" t="s">
        <v>63</v>
      </c>
      <c r="Z41" s="26"/>
      <c r="AA41" s="26"/>
      <c r="AB41" s="26" t="s">
        <v>49</v>
      </c>
      <c r="AC41" s="26"/>
      <c r="AD41" s="254" t="s">
        <v>48</v>
      </c>
      <c r="AE41" s="27"/>
      <c r="AF41" s="24"/>
      <c r="AG41" s="24"/>
      <c r="AH41" s="26"/>
      <c r="AI41" s="26"/>
      <c r="AJ41" s="25"/>
      <c r="AK41" s="26"/>
      <c r="AL41" s="24">
        <v>18</v>
      </c>
      <c r="AM41" s="224" t="s">
        <v>50</v>
      </c>
      <c r="AN41" s="254" t="s">
        <v>51</v>
      </c>
      <c r="AO41" s="126"/>
      <c r="AP41" s="129"/>
    </row>
    <row r="42" spans="1:49" s="20" customFormat="1" ht="14.25" customHeight="1" x14ac:dyDescent="0.2">
      <c r="A42" s="161">
        <v>46148</v>
      </c>
      <c r="B42" s="124"/>
      <c r="C42" s="125" t="s">
        <v>52</v>
      </c>
      <c r="D42" s="170" t="s">
        <v>53</v>
      </c>
      <c r="E42" s="171">
        <v>7390</v>
      </c>
      <c r="F42" s="58" t="s">
        <v>54</v>
      </c>
      <c r="G42" s="268">
        <v>77705210</v>
      </c>
      <c r="H42" s="85" t="s">
        <v>610</v>
      </c>
      <c r="I42" s="57"/>
      <c r="J42" s="57"/>
      <c r="K42" s="183">
        <v>6280</v>
      </c>
      <c r="L42" s="188"/>
      <c r="M42" s="188"/>
      <c r="N42" s="188"/>
      <c r="O42" s="188"/>
      <c r="P42" s="185">
        <f t="shared" si="0"/>
        <v>6280</v>
      </c>
      <c r="Q42" s="130"/>
      <c r="R42" s="56"/>
      <c r="S42" s="58"/>
      <c r="T42" s="58"/>
      <c r="U42" s="58"/>
      <c r="V42" s="58" t="s">
        <v>47</v>
      </c>
      <c r="W42" s="57"/>
      <c r="X42" s="161">
        <v>46148</v>
      </c>
      <c r="Y42" s="26" t="s">
        <v>63</v>
      </c>
      <c r="Z42" s="58"/>
      <c r="AA42" s="58"/>
      <c r="AB42" s="58" t="s">
        <v>49</v>
      </c>
      <c r="AC42" s="58"/>
      <c r="AD42" s="254" t="s">
        <v>48</v>
      </c>
      <c r="AE42" s="59"/>
      <c r="AF42" s="57"/>
      <c r="AG42" s="57"/>
      <c r="AH42" s="58"/>
      <c r="AI42" s="58"/>
      <c r="AJ42" s="56"/>
      <c r="AK42" s="58"/>
      <c r="AL42" s="57">
        <v>18</v>
      </c>
      <c r="AM42" s="224" t="s">
        <v>50</v>
      </c>
      <c r="AN42" s="254" t="s">
        <v>51</v>
      </c>
      <c r="AO42" s="126"/>
      <c r="AP42" s="129"/>
    </row>
    <row r="43" spans="1:49" s="20" customFormat="1" ht="14.25" customHeight="1" x14ac:dyDescent="0.2">
      <c r="A43" s="161">
        <v>46148</v>
      </c>
      <c r="B43" s="124"/>
      <c r="C43" s="125" t="s">
        <v>52</v>
      </c>
      <c r="D43" s="170" t="s">
        <v>53</v>
      </c>
      <c r="E43" s="171">
        <v>7391</v>
      </c>
      <c r="F43" s="58" t="s">
        <v>54</v>
      </c>
      <c r="G43" s="268">
        <v>77705210</v>
      </c>
      <c r="H43" s="85" t="s">
        <v>610</v>
      </c>
      <c r="I43" s="57"/>
      <c r="J43" s="57"/>
      <c r="K43" s="186">
        <v>0</v>
      </c>
      <c r="L43" s="57"/>
      <c r="M43" s="57"/>
      <c r="N43" s="57"/>
      <c r="O43" s="57"/>
      <c r="P43" s="185">
        <f t="shared" si="0"/>
        <v>0</v>
      </c>
      <c r="Q43" s="130"/>
      <c r="R43" s="56"/>
      <c r="S43" s="58"/>
      <c r="T43" s="58"/>
      <c r="U43" s="58"/>
      <c r="V43" s="58" t="s">
        <v>47</v>
      </c>
      <c r="W43" s="57"/>
      <c r="X43" s="161">
        <v>46148</v>
      </c>
      <c r="Y43" s="26" t="s">
        <v>61</v>
      </c>
      <c r="Z43" s="26"/>
      <c r="AA43" s="26"/>
      <c r="AB43" s="26" t="s">
        <v>49</v>
      </c>
      <c r="AC43" s="26"/>
      <c r="AD43" s="254" t="s">
        <v>48</v>
      </c>
      <c r="AE43" s="27"/>
      <c r="AF43" s="24"/>
      <c r="AG43" s="24"/>
      <c r="AH43" s="26"/>
      <c r="AI43" s="26"/>
      <c r="AJ43" s="25"/>
      <c r="AK43" s="26"/>
      <c r="AL43" s="24">
        <v>18</v>
      </c>
      <c r="AM43" s="225" t="s">
        <v>588</v>
      </c>
      <c r="AN43" s="254" t="s">
        <v>51</v>
      </c>
      <c r="AO43" s="126"/>
      <c r="AP43" s="129"/>
    </row>
    <row r="44" spans="1:49" s="20" customFormat="1" ht="14.25" customHeight="1" x14ac:dyDescent="0.2">
      <c r="A44" s="161">
        <v>46148</v>
      </c>
      <c r="B44" s="124"/>
      <c r="C44" s="125" t="s">
        <v>52</v>
      </c>
      <c r="D44" s="170" t="s">
        <v>53</v>
      </c>
      <c r="E44" s="171">
        <v>7392</v>
      </c>
      <c r="F44" s="58" t="s">
        <v>54</v>
      </c>
      <c r="G44" s="268">
        <v>21119234</v>
      </c>
      <c r="H44" s="85" t="s">
        <v>611</v>
      </c>
      <c r="I44" s="57"/>
      <c r="J44" s="57"/>
      <c r="K44" s="183">
        <v>7262</v>
      </c>
      <c r="L44" s="188"/>
      <c r="M44" s="188"/>
      <c r="N44" s="188"/>
      <c r="O44" s="188"/>
      <c r="P44" s="185">
        <f t="shared" si="0"/>
        <v>7262</v>
      </c>
      <c r="Q44" s="130"/>
      <c r="R44" s="56"/>
      <c r="S44" s="58"/>
      <c r="T44" s="58"/>
      <c r="U44" s="58"/>
      <c r="V44" s="58" t="s">
        <v>47</v>
      </c>
      <c r="W44" s="57"/>
      <c r="X44" s="161">
        <v>46148</v>
      </c>
      <c r="Y44" s="26" t="s">
        <v>63</v>
      </c>
      <c r="Z44" s="58"/>
      <c r="AA44" s="58"/>
      <c r="AB44" s="58" t="s">
        <v>49</v>
      </c>
      <c r="AC44" s="58"/>
      <c r="AD44" s="254" t="s">
        <v>48</v>
      </c>
      <c r="AE44" s="59"/>
      <c r="AF44" s="57"/>
      <c r="AG44" s="57"/>
      <c r="AH44" s="58"/>
      <c r="AI44" s="58"/>
      <c r="AJ44" s="56"/>
      <c r="AK44" s="58"/>
      <c r="AL44" s="57">
        <v>18</v>
      </c>
      <c r="AM44" s="224" t="s">
        <v>50</v>
      </c>
      <c r="AN44" s="254" t="s">
        <v>51</v>
      </c>
      <c r="AO44" s="126"/>
      <c r="AP44" s="129"/>
    </row>
    <row r="45" spans="1:49" s="20" customFormat="1" ht="14.25" customHeight="1" x14ac:dyDescent="0.2">
      <c r="A45" s="161">
        <v>46148</v>
      </c>
      <c r="B45" s="124"/>
      <c r="C45" s="125" t="s">
        <v>52</v>
      </c>
      <c r="D45" s="170" t="s">
        <v>53</v>
      </c>
      <c r="E45" s="171">
        <v>7393</v>
      </c>
      <c r="F45" s="58" t="s">
        <v>54</v>
      </c>
      <c r="G45" s="268">
        <v>75277198</v>
      </c>
      <c r="H45" s="85" t="s">
        <v>612</v>
      </c>
      <c r="I45" s="57"/>
      <c r="J45" s="57"/>
      <c r="K45" s="183">
        <v>7262</v>
      </c>
      <c r="L45" s="188"/>
      <c r="M45" s="188"/>
      <c r="N45" s="188"/>
      <c r="O45" s="188"/>
      <c r="P45" s="185">
        <f t="shared" si="0"/>
        <v>7262</v>
      </c>
      <c r="Q45" s="130"/>
      <c r="R45" s="56"/>
      <c r="S45" s="58"/>
      <c r="T45" s="58"/>
      <c r="U45" s="58"/>
      <c r="V45" s="58" t="s">
        <v>47</v>
      </c>
      <c r="W45" s="57"/>
      <c r="X45" s="161">
        <v>46148</v>
      </c>
      <c r="Y45" s="26" t="s">
        <v>63</v>
      </c>
      <c r="Z45" s="26"/>
      <c r="AA45" s="26"/>
      <c r="AB45" s="26" t="s">
        <v>49</v>
      </c>
      <c r="AC45" s="26"/>
      <c r="AD45" s="254" t="s">
        <v>48</v>
      </c>
      <c r="AE45" s="27"/>
      <c r="AF45" s="24"/>
      <c r="AG45" s="24"/>
      <c r="AH45" s="26"/>
      <c r="AI45" s="26"/>
      <c r="AJ45" s="25"/>
      <c r="AK45" s="26"/>
      <c r="AL45" s="24">
        <v>18</v>
      </c>
      <c r="AM45" s="224" t="s">
        <v>50</v>
      </c>
      <c r="AN45" s="254" t="s">
        <v>51</v>
      </c>
      <c r="AO45" s="126"/>
      <c r="AP45" s="129"/>
    </row>
    <row r="46" spans="1:49" s="20" customFormat="1" ht="14.25" customHeight="1" x14ac:dyDescent="0.2">
      <c r="A46" s="161">
        <v>46148</v>
      </c>
      <c r="B46" s="124"/>
      <c r="C46" s="125" t="s">
        <v>52</v>
      </c>
      <c r="D46" s="170" t="s">
        <v>53</v>
      </c>
      <c r="E46" s="171">
        <v>7394</v>
      </c>
      <c r="F46" s="58" t="s">
        <v>54</v>
      </c>
      <c r="G46" s="268">
        <v>74213294</v>
      </c>
      <c r="H46" s="85" t="s">
        <v>613</v>
      </c>
      <c r="I46" s="57"/>
      <c r="J46" s="57"/>
      <c r="K46" s="183">
        <v>9512</v>
      </c>
      <c r="L46" s="188"/>
      <c r="M46" s="188"/>
      <c r="N46" s="188"/>
      <c r="O46" s="188"/>
      <c r="P46" s="185">
        <f t="shared" si="0"/>
        <v>9512</v>
      </c>
      <c r="Q46" s="130"/>
      <c r="R46" s="56"/>
      <c r="S46" s="58"/>
      <c r="T46" s="58"/>
      <c r="U46" s="58"/>
      <c r="V46" s="58" t="s">
        <v>47</v>
      </c>
      <c r="W46" s="57"/>
      <c r="X46" s="161">
        <v>46148</v>
      </c>
      <c r="Y46" s="26" t="s">
        <v>63</v>
      </c>
      <c r="Z46" s="58"/>
      <c r="AA46" s="58"/>
      <c r="AB46" s="58" t="s">
        <v>49</v>
      </c>
      <c r="AC46" s="58"/>
      <c r="AD46" s="254" t="s">
        <v>48</v>
      </c>
      <c r="AE46" s="59"/>
      <c r="AF46" s="57"/>
      <c r="AG46" s="57"/>
      <c r="AH46" s="58"/>
      <c r="AI46" s="58"/>
      <c r="AJ46" s="56"/>
      <c r="AK46" s="58"/>
      <c r="AL46" s="57">
        <v>18</v>
      </c>
      <c r="AM46" s="224" t="s">
        <v>50</v>
      </c>
      <c r="AN46" s="254" t="s">
        <v>51</v>
      </c>
      <c r="AO46" s="126"/>
      <c r="AP46" s="129"/>
    </row>
    <row r="47" spans="1:49" s="41" customFormat="1" ht="14.25" customHeight="1" x14ac:dyDescent="0.2">
      <c r="A47" s="161">
        <v>46148</v>
      </c>
      <c r="B47" s="124"/>
      <c r="C47" s="125" t="s">
        <v>52</v>
      </c>
      <c r="D47" s="170" t="s">
        <v>53</v>
      </c>
      <c r="E47" s="171">
        <v>7395</v>
      </c>
      <c r="F47" s="58" t="s">
        <v>54</v>
      </c>
      <c r="G47" s="268">
        <v>74213294</v>
      </c>
      <c r="H47" s="85" t="s">
        <v>613</v>
      </c>
      <c r="I47" s="57"/>
      <c r="J47" s="57"/>
      <c r="K47" s="186">
        <v>0</v>
      </c>
      <c r="L47" s="57"/>
      <c r="M47" s="57"/>
      <c r="N47" s="57"/>
      <c r="O47" s="57"/>
      <c r="P47" s="185">
        <f t="shared" si="0"/>
        <v>0</v>
      </c>
      <c r="Q47" s="130"/>
      <c r="R47" s="56"/>
      <c r="S47" s="58"/>
      <c r="T47" s="58"/>
      <c r="U47" s="58"/>
      <c r="V47" s="58" t="s">
        <v>47</v>
      </c>
      <c r="W47" s="57"/>
      <c r="X47" s="161">
        <v>46148</v>
      </c>
      <c r="Y47" s="26" t="s">
        <v>61</v>
      </c>
      <c r="Z47" s="58"/>
      <c r="AA47" s="58"/>
      <c r="AB47" s="58" t="s">
        <v>49</v>
      </c>
      <c r="AC47" s="58"/>
      <c r="AD47" s="254" t="s">
        <v>48</v>
      </c>
      <c r="AE47" s="59"/>
      <c r="AF47" s="57"/>
      <c r="AG47" s="57"/>
      <c r="AH47" s="58"/>
      <c r="AI47" s="58"/>
      <c r="AJ47" s="56"/>
      <c r="AK47" s="58"/>
      <c r="AL47" s="57">
        <v>18</v>
      </c>
      <c r="AM47" s="225" t="s">
        <v>588</v>
      </c>
      <c r="AN47" s="254" t="s">
        <v>51</v>
      </c>
      <c r="AO47" s="126"/>
      <c r="AP47" s="129"/>
    </row>
    <row r="48" spans="1:49" s="41" customFormat="1" ht="14.25" customHeight="1" x14ac:dyDescent="0.2">
      <c r="A48" s="161">
        <v>46148</v>
      </c>
      <c r="B48" s="136"/>
      <c r="C48" s="125" t="s">
        <v>52</v>
      </c>
      <c r="D48" s="170" t="s">
        <v>53</v>
      </c>
      <c r="E48" s="171">
        <v>7396</v>
      </c>
      <c r="F48" s="58" t="s">
        <v>54</v>
      </c>
      <c r="G48" s="268">
        <v>10402184</v>
      </c>
      <c r="H48" s="85" t="s">
        <v>614</v>
      </c>
      <c r="I48" s="57"/>
      <c r="J48" s="57"/>
      <c r="K48" s="183">
        <v>7980</v>
      </c>
      <c r="L48" s="188"/>
      <c r="M48" s="188"/>
      <c r="N48" s="188"/>
      <c r="O48" s="188"/>
      <c r="P48" s="185">
        <f t="shared" si="0"/>
        <v>7980</v>
      </c>
      <c r="Q48" s="130"/>
      <c r="R48" s="56"/>
      <c r="S48" s="58"/>
      <c r="T48" s="58"/>
      <c r="U48" s="58"/>
      <c r="V48" s="58" t="s">
        <v>47</v>
      </c>
      <c r="W48" s="57"/>
      <c r="X48" s="161">
        <v>46148</v>
      </c>
      <c r="Y48" s="26" t="s">
        <v>63</v>
      </c>
      <c r="Z48" s="58"/>
      <c r="AA48" s="58"/>
      <c r="AB48" s="58" t="s">
        <v>49</v>
      </c>
      <c r="AC48" s="58"/>
      <c r="AD48" s="254" t="s">
        <v>48</v>
      </c>
      <c r="AE48" s="59"/>
      <c r="AF48" s="57"/>
      <c r="AG48" s="57"/>
      <c r="AH48" s="58"/>
      <c r="AI48" s="58"/>
      <c r="AJ48" s="56"/>
      <c r="AK48" s="58"/>
      <c r="AL48" s="57">
        <v>18</v>
      </c>
      <c r="AM48" s="224" t="s">
        <v>50</v>
      </c>
      <c r="AN48" s="254" t="s">
        <v>51</v>
      </c>
      <c r="AO48" s="126"/>
      <c r="AP48" s="129"/>
    </row>
    <row r="49" spans="1:42" s="20" customFormat="1" ht="14.25" customHeight="1" x14ac:dyDescent="0.2">
      <c r="A49" s="161">
        <v>46148</v>
      </c>
      <c r="B49" s="124"/>
      <c r="C49" s="125" t="s">
        <v>52</v>
      </c>
      <c r="D49" s="170" t="s">
        <v>53</v>
      </c>
      <c r="E49" s="171">
        <v>7397</v>
      </c>
      <c r="F49" s="58" t="s">
        <v>54</v>
      </c>
      <c r="G49" s="268">
        <v>74856484</v>
      </c>
      <c r="H49" s="85" t="s">
        <v>615</v>
      </c>
      <c r="I49" s="57"/>
      <c r="J49" s="57"/>
      <c r="K49" s="183">
        <v>7262</v>
      </c>
      <c r="L49" s="188"/>
      <c r="M49" s="188"/>
      <c r="N49" s="188"/>
      <c r="O49" s="188"/>
      <c r="P49" s="185">
        <f t="shared" si="0"/>
        <v>7262</v>
      </c>
      <c r="Q49" s="130"/>
      <c r="R49" s="56"/>
      <c r="S49" s="58"/>
      <c r="T49" s="58"/>
      <c r="U49" s="58"/>
      <c r="V49" s="58" t="s">
        <v>47</v>
      </c>
      <c r="W49" s="57"/>
      <c r="X49" s="161">
        <v>46148</v>
      </c>
      <c r="Y49" s="26" t="s">
        <v>63</v>
      </c>
      <c r="Z49" s="58"/>
      <c r="AA49" s="58"/>
      <c r="AB49" s="58" t="s">
        <v>49</v>
      </c>
      <c r="AC49" s="58"/>
      <c r="AD49" s="254" t="s">
        <v>48</v>
      </c>
      <c r="AE49" s="59"/>
      <c r="AF49" s="57"/>
      <c r="AG49" s="57"/>
      <c r="AH49" s="58"/>
      <c r="AI49" s="58"/>
      <c r="AJ49" s="56"/>
      <c r="AK49" s="58"/>
      <c r="AL49" s="57">
        <v>18</v>
      </c>
      <c r="AM49" s="224" t="s">
        <v>50</v>
      </c>
      <c r="AN49" s="254" t="s">
        <v>51</v>
      </c>
      <c r="AO49" s="126"/>
      <c r="AP49" s="129"/>
    </row>
    <row r="50" spans="1:42" s="20" customFormat="1" ht="14.25" customHeight="1" x14ac:dyDescent="0.2">
      <c r="A50" s="161">
        <v>46149</v>
      </c>
      <c r="B50" s="124"/>
      <c r="C50" s="125" t="s">
        <v>52</v>
      </c>
      <c r="D50" s="170" t="s">
        <v>53</v>
      </c>
      <c r="E50" s="171">
        <v>7398</v>
      </c>
      <c r="F50" s="58" t="s">
        <v>54</v>
      </c>
      <c r="G50" s="268">
        <v>72977485</v>
      </c>
      <c r="H50" s="85" t="s">
        <v>616</v>
      </c>
      <c r="I50" s="57"/>
      <c r="J50" s="57"/>
      <c r="K50" s="183">
        <v>8600</v>
      </c>
      <c r="L50" s="188"/>
      <c r="M50" s="188"/>
      <c r="N50" s="188"/>
      <c r="O50" s="188"/>
      <c r="P50" s="185">
        <f t="shared" si="0"/>
        <v>8600</v>
      </c>
      <c r="Q50" s="130"/>
      <c r="R50" s="56"/>
      <c r="S50" s="58"/>
      <c r="T50" s="58"/>
      <c r="U50" s="58"/>
      <c r="V50" s="58" t="s">
        <v>47</v>
      </c>
      <c r="W50" s="57"/>
      <c r="X50" s="161">
        <v>46337</v>
      </c>
      <c r="Y50" s="26" t="s">
        <v>63</v>
      </c>
      <c r="Z50" s="26"/>
      <c r="AA50" s="26"/>
      <c r="AB50" s="26" t="s">
        <v>49</v>
      </c>
      <c r="AC50" s="26"/>
      <c r="AD50" s="254" t="s">
        <v>48</v>
      </c>
      <c r="AE50" s="27"/>
      <c r="AF50" s="24"/>
      <c r="AG50" s="24"/>
      <c r="AH50" s="26"/>
      <c r="AI50" s="26"/>
      <c r="AJ50" s="25"/>
      <c r="AK50" s="26"/>
      <c r="AL50" s="24">
        <v>18</v>
      </c>
      <c r="AM50" s="224" t="s">
        <v>50</v>
      </c>
      <c r="AN50" s="254" t="s">
        <v>51</v>
      </c>
      <c r="AO50" s="126"/>
      <c r="AP50" s="129"/>
    </row>
    <row r="51" spans="1:42" s="20" customFormat="1" ht="14.25" customHeight="1" x14ac:dyDescent="0.2">
      <c r="A51" s="161">
        <v>46149</v>
      </c>
      <c r="B51" s="124"/>
      <c r="C51" s="125" t="s">
        <v>52</v>
      </c>
      <c r="D51" s="170" t="s">
        <v>53</v>
      </c>
      <c r="E51" s="171">
        <v>7399</v>
      </c>
      <c r="F51" s="58" t="s">
        <v>54</v>
      </c>
      <c r="G51" s="268">
        <v>47696440</v>
      </c>
      <c r="H51" s="85" t="s">
        <v>617</v>
      </c>
      <c r="I51" s="57"/>
      <c r="J51" s="57"/>
      <c r="K51" s="183">
        <v>5180</v>
      </c>
      <c r="L51" s="188"/>
      <c r="M51" s="188"/>
      <c r="N51" s="188"/>
      <c r="O51" s="188"/>
      <c r="P51" s="185">
        <f t="shared" si="0"/>
        <v>5180</v>
      </c>
      <c r="Q51" s="130"/>
      <c r="R51" s="56"/>
      <c r="S51" s="58"/>
      <c r="T51" s="58"/>
      <c r="U51" s="58"/>
      <c r="V51" s="58" t="s">
        <v>47</v>
      </c>
      <c r="W51" s="57"/>
      <c r="X51" s="161">
        <v>46149</v>
      </c>
      <c r="Y51" s="26" t="s">
        <v>63</v>
      </c>
      <c r="Z51" s="58"/>
      <c r="AA51" s="58"/>
      <c r="AB51" s="58" t="s">
        <v>49</v>
      </c>
      <c r="AC51" s="58"/>
      <c r="AD51" s="254" t="s">
        <v>48</v>
      </c>
      <c r="AE51" s="59"/>
      <c r="AF51" s="57"/>
      <c r="AG51" s="57"/>
      <c r="AH51" s="58"/>
      <c r="AI51" s="58"/>
      <c r="AJ51" s="56"/>
      <c r="AK51" s="58"/>
      <c r="AL51" s="57">
        <v>18</v>
      </c>
      <c r="AM51" s="224" t="s">
        <v>50</v>
      </c>
      <c r="AN51" s="254" t="s">
        <v>51</v>
      </c>
      <c r="AO51" s="126"/>
      <c r="AP51" s="129"/>
    </row>
    <row r="52" spans="1:42" s="20" customFormat="1" ht="14.25" customHeight="1" x14ac:dyDescent="0.2">
      <c r="A52" s="161">
        <v>46149</v>
      </c>
      <c r="B52" s="124"/>
      <c r="C52" s="125" t="s">
        <v>52</v>
      </c>
      <c r="D52" s="170" t="s">
        <v>53</v>
      </c>
      <c r="E52" s="171">
        <v>7400</v>
      </c>
      <c r="F52" s="58" t="s">
        <v>54</v>
      </c>
      <c r="G52" s="268">
        <v>47696440</v>
      </c>
      <c r="H52" s="85" t="s">
        <v>617</v>
      </c>
      <c r="I52" s="57"/>
      <c r="J52" s="57"/>
      <c r="K52" s="186">
        <v>0</v>
      </c>
      <c r="L52" s="57"/>
      <c r="M52" s="57"/>
      <c r="N52" s="57"/>
      <c r="O52" s="57"/>
      <c r="P52" s="185">
        <f t="shared" si="0"/>
        <v>0</v>
      </c>
      <c r="Q52" s="130"/>
      <c r="R52" s="56"/>
      <c r="S52" s="58"/>
      <c r="T52" s="58"/>
      <c r="U52" s="58"/>
      <c r="V52" s="58" t="s">
        <v>47</v>
      </c>
      <c r="W52" s="57"/>
      <c r="X52" s="161">
        <v>46149</v>
      </c>
      <c r="Y52" s="26" t="s">
        <v>61</v>
      </c>
      <c r="Z52" s="58"/>
      <c r="AA52" s="58"/>
      <c r="AB52" s="58" t="s">
        <v>49</v>
      </c>
      <c r="AC52" s="58"/>
      <c r="AD52" s="254" t="s">
        <v>48</v>
      </c>
      <c r="AE52" s="59"/>
      <c r="AF52" s="57"/>
      <c r="AG52" s="57"/>
      <c r="AH52" s="58"/>
      <c r="AI52" s="58"/>
      <c r="AJ52" s="56"/>
      <c r="AK52" s="58"/>
      <c r="AL52" s="57">
        <v>18</v>
      </c>
      <c r="AM52" s="225" t="s">
        <v>588</v>
      </c>
      <c r="AN52" s="254" t="s">
        <v>51</v>
      </c>
      <c r="AO52" s="126"/>
      <c r="AP52" s="129"/>
    </row>
    <row r="53" spans="1:42" s="20" customFormat="1" ht="14.25" customHeight="1" x14ac:dyDescent="0.2">
      <c r="A53" s="161">
        <v>46150</v>
      </c>
      <c r="B53" s="124"/>
      <c r="C53" s="125" t="s">
        <v>52</v>
      </c>
      <c r="D53" s="170" t="s">
        <v>53</v>
      </c>
      <c r="E53" s="171">
        <v>7401</v>
      </c>
      <c r="F53" s="58" t="s">
        <v>54</v>
      </c>
      <c r="G53" s="268">
        <v>40343245</v>
      </c>
      <c r="H53" s="85" t="s">
        <v>618</v>
      </c>
      <c r="I53" s="57"/>
      <c r="J53" s="57"/>
      <c r="K53" s="183">
        <v>8080</v>
      </c>
      <c r="L53" s="188"/>
      <c r="M53" s="188"/>
      <c r="N53" s="188"/>
      <c r="O53" s="188"/>
      <c r="P53" s="185">
        <f t="shared" si="0"/>
        <v>8080</v>
      </c>
      <c r="Q53" s="130"/>
      <c r="R53" s="56"/>
      <c r="S53" s="58"/>
      <c r="T53" s="58"/>
      <c r="U53" s="58"/>
      <c r="V53" s="58" t="s">
        <v>47</v>
      </c>
      <c r="W53" s="57"/>
      <c r="X53" s="161">
        <v>46150</v>
      </c>
      <c r="Y53" s="26" t="s">
        <v>63</v>
      </c>
      <c r="Z53" s="58"/>
      <c r="AA53" s="58"/>
      <c r="AB53" s="58" t="s">
        <v>49</v>
      </c>
      <c r="AC53" s="58"/>
      <c r="AD53" s="254" t="s">
        <v>48</v>
      </c>
      <c r="AE53" s="59"/>
      <c r="AF53" s="57"/>
      <c r="AG53" s="57"/>
      <c r="AH53" s="58"/>
      <c r="AI53" s="58"/>
      <c r="AJ53" s="56"/>
      <c r="AK53" s="58"/>
      <c r="AL53" s="57">
        <v>18</v>
      </c>
      <c r="AM53" s="224" t="s">
        <v>50</v>
      </c>
      <c r="AN53" s="254" t="s">
        <v>51</v>
      </c>
      <c r="AO53" s="126"/>
      <c r="AP53" s="129"/>
    </row>
    <row r="54" spans="1:42" s="41" customFormat="1" ht="14.25" customHeight="1" x14ac:dyDescent="0.2">
      <c r="A54" s="161">
        <v>46150</v>
      </c>
      <c r="B54" s="124"/>
      <c r="C54" s="125" t="s">
        <v>52</v>
      </c>
      <c r="D54" s="170" t="s">
        <v>53</v>
      </c>
      <c r="E54" s="171">
        <v>7402</v>
      </c>
      <c r="F54" s="58" t="s">
        <v>54</v>
      </c>
      <c r="G54" s="268">
        <v>71715085</v>
      </c>
      <c r="H54" s="85" t="s">
        <v>619</v>
      </c>
      <c r="I54" s="57"/>
      <c r="J54" s="57"/>
      <c r="K54" s="183">
        <v>8180</v>
      </c>
      <c r="L54" s="188"/>
      <c r="M54" s="188"/>
      <c r="N54" s="188"/>
      <c r="O54" s="188"/>
      <c r="P54" s="185">
        <f t="shared" si="0"/>
        <v>8180</v>
      </c>
      <c r="Q54" s="130"/>
      <c r="R54" s="56"/>
      <c r="S54" s="58"/>
      <c r="T54" s="58"/>
      <c r="U54" s="58"/>
      <c r="V54" s="58" t="s">
        <v>47</v>
      </c>
      <c r="W54" s="57"/>
      <c r="X54" s="161">
        <v>46150</v>
      </c>
      <c r="Y54" s="26" t="s">
        <v>63</v>
      </c>
      <c r="Z54" s="26"/>
      <c r="AA54" s="26"/>
      <c r="AB54" s="26" t="s">
        <v>49</v>
      </c>
      <c r="AC54" s="26"/>
      <c r="AD54" s="254" t="s">
        <v>48</v>
      </c>
      <c r="AE54" s="27"/>
      <c r="AF54" s="24"/>
      <c r="AG54" s="24"/>
      <c r="AH54" s="26"/>
      <c r="AI54" s="26"/>
      <c r="AJ54" s="25"/>
      <c r="AK54" s="26"/>
      <c r="AL54" s="24">
        <v>18</v>
      </c>
      <c r="AM54" s="224" t="s">
        <v>50</v>
      </c>
      <c r="AN54" s="254" t="s">
        <v>51</v>
      </c>
      <c r="AO54" s="126"/>
      <c r="AP54" s="129"/>
    </row>
    <row r="55" spans="1:42" s="41" customFormat="1" ht="14.25" customHeight="1" x14ac:dyDescent="0.2">
      <c r="A55" s="161">
        <v>46150</v>
      </c>
      <c r="B55" s="124"/>
      <c r="C55" s="125" t="s">
        <v>52</v>
      </c>
      <c r="D55" s="170" t="s">
        <v>53</v>
      </c>
      <c r="E55" s="171">
        <v>7403</v>
      </c>
      <c r="F55" s="58" t="s">
        <v>54</v>
      </c>
      <c r="G55" s="268">
        <v>44237249</v>
      </c>
      <c r="H55" s="85" t="s">
        <v>620</v>
      </c>
      <c r="I55" s="57"/>
      <c r="J55" s="57"/>
      <c r="K55" s="183">
        <v>8080</v>
      </c>
      <c r="L55" s="188"/>
      <c r="M55" s="188"/>
      <c r="N55" s="188"/>
      <c r="O55" s="188"/>
      <c r="P55" s="185">
        <f t="shared" si="0"/>
        <v>8080</v>
      </c>
      <c r="Q55" s="130"/>
      <c r="R55" s="56"/>
      <c r="S55" s="58"/>
      <c r="T55" s="58"/>
      <c r="U55" s="58"/>
      <c r="V55" s="58" t="s">
        <v>47</v>
      </c>
      <c r="W55" s="57"/>
      <c r="X55" s="161">
        <v>46150</v>
      </c>
      <c r="Y55" s="26" t="s">
        <v>63</v>
      </c>
      <c r="Z55" s="58"/>
      <c r="AA55" s="58"/>
      <c r="AB55" s="58" t="s">
        <v>49</v>
      </c>
      <c r="AC55" s="58"/>
      <c r="AD55" s="254" t="s">
        <v>48</v>
      </c>
      <c r="AE55" s="59"/>
      <c r="AF55" s="57"/>
      <c r="AG55" s="57"/>
      <c r="AH55" s="58"/>
      <c r="AI55" s="58"/>
      <c r="AJ55" s="56"/>
      <c r="AK55" s="58"/>
      <c r="AL55" s="57">
        <v>18</v>
      </c>
      <c r="AM55" s="224" t="s">
        <v>50</v>
      </c>
      <c r="AN55" s="254" t="s">
        <v>51</v>
      </c>
      <c r="AO55" s="126"/>
      <c r="AP55" s="129"/>
    </row>
    <row r="56" spans="1:42" s="41" customFormat="1" ht="14.25" customHeight="1" x14ac:dyDescent="0.2">
      <c r="A56" s="161">
        <v>46151</v>
      </c>
      <c r="B56" s="124"/>
      <c r="C56" s="125" t="s">
        <v>52</v>
      </c>
      <c r="D56" s="170" t="s">
        <v>53</v>
      </c>
      <c r="E56" s="171">
        <v>7404</v>
      </c>
      <c r="F56" s="58" t="s">
        <v>54</v>
      </c>
      <c r="G56" s="268">
        <v>73666051</v>
      </c>
      <c r="H56" s="85" t="s">
        <v>621</v>
      </c>
      <c r="I56" s="57"/>
      <c r="J56" s="57"/>
      <c r="K56" s="183">
        <v>7780</v>
      </c>
      <c r="L56" s="188"/>
      <c r="M56" s="188"/>
      <c r="N56" s="188"/>
      <c r="O56" s="188"/>
      <c r="P56" s="185">
        <f t="shared" si="0"/>
        <v>7780</v>
      </c>
      <c r="Q56" s="130"/>
      <c r="R56" s="56"/>
      <c r="S56" s="58"/>
      <c r="T56" s="58"/>
      <c r="U56" s="58"/>
      <c r="V56" s="58" t="s">
        <v>47</v>
      </c>
      <c r="W56" s="57"/>
      <c r="X56" s="161">
        <v>46151</v>
      </c>
      <c r="Y56" s="26" t="s">
        <v>63</v>
      </c>
      <c r="Z56" s="58"/>
      <c r="AA56" s="58"/>
      <c r="AB56" s="58" t="s">
        <v>49</v>
      </c>
      <c r="AC56" s="58"/>
      <c r="AD56" s="254" t="s">
        <v>48</v>
      </c>
      <c r="AE56" s="59"/>
      <c r="AF56" s="57"/>
      <c r="AG56" s="57"/>
      <c r="AH56" s="58"/>
      <c r="AI56" s="58"/>
      <c r="AJ56" s="56"/>
      <c r="AK56" s="58"/>
      <c r="AL56" s="57">
        <v>18</v>
      </c>
      <c r="AM56" s="224" t="s">
        <v>50</v>
      </c>
      <c r="AN56" s="254" t="s">
        <v>51</v>
      </c>
      <c r="AO56" s="126"/>
      <c r="AP56" s="129"/>
    </row>
    <row r="57" spans="1:42" s="20" customFormat="1" ht="14.25" customHeight="1" x14ac:dyDescent="0.2">
      <c r="A57" s="161">
        <v>46151</v>
      </c>
      <c r="B57" s="124"/>
      <c r="C57" s="125" t="s">
        <v>52</v>
      </c>
      <c r="D57" s="170" t="s">
        <v>53</v>
      </c>
      <c r="E57" s="171">
        <v>7405</v>
      </c>
      <c r="F57" s="58" t="s">
        <v>54</v>
      </c>
      <c r="G57" s="268">
        <v>47952283</v>
      </c>
      <c r="H57" s="85" t="s">
        <v>622</v>
      </c>
      <c r="I57" s="57"/>
      <c r="J57" s="57"/>
      <c r="K57" s="183">
        <v>6280</v>
      </c>
      <c r="L57" s="188"/>
      <c r="M57" s="188"/>
      <c r="N57" s="188"/>
      <c r="O57" s="188"/>
      <c r="P57" s="185">
        <f t="shared" si="0"/>
        <v>6280</v>
      </c>
      <c r="Q57" s="130"/>
      <c r="R57" s="56"/>
      <c r="S57" s="58"/>
      <c r="T57" s="58"/>
      <c r="U57" s="58"/>
      <c r="V57" s="58" t="s">
        <v>47</v>
      </c>
      <c r="W57" s="57"/>
      <c r="X57" s="161">
        <v>46151</v>
      </c>
      <c r="Y57" s="26" t="s">
        <v>63</v>
      </c>
      <c r="Z57" s="26"/>
      <c r="AA57" s="26"/>
      <c r="AB57" s="26" t="s">
        <v>49</v>
      </c>
      <c r="AC57" s="26"/>
      <c r="AD57" s="254" t="s">
        <v>48</v>
      </c>
      <c r="AE57" s="27"/>
      <c r="AF57" s="24"/>
      <c r="AG57" s="24"/>
      <c r="AH57" s="26"/>
      <c r="AI57" s="26"/>
      <c r="AJ57" s="25"/>
      <c r="AK57" s="26"/>
      <c r="AL57" s="24">
        <v>18</v>
      </c>
      <c r="AM57" s="224" t="s">
        <v>50</v>
      </c>
      <c r="AN57" s="254" t="s">
        <v>51</v>
      </c>
      <c r="AO57" s="126"/>
      <c r="AP57" s="129"/>
    </row>
    <row r="58" spans="1:42" s="20" customFormat="1" ht="14.25" customHeight="1" x14ac:dyDescent="0.2">
      <c r="A58" s="161">
        <v>46151</v>
      </c>
      <c r="B58" s="124"/>
      <c r="C58" s="125" t="s">
        <v>52</v>
      </c>
      <c r="D58" s="170" t="s">
        <v>53</v>
      </c>
      <c r="E58" s="171">
        <v>7406</v>
      </c>
      <c r="F58" s="58" t="s">
        <v>54</v>
      </c>
      <c r="G58" s="268">
        <v>47952283</v>
      </c>
      <c r="H58" s="85" t="s">
        <v>622</v>
      </c>
      <c r="I58" s="57"/>
      <c r="J58" s="57"/>
      <c r="K58" s="186">
        <v>0</v>
      </c>
      <c r="L58" s="57"/>
      <c r="M58" s="57"/>
      <c r="N58" s="57"/>
      <c r="O58" s="57"/>
      <c r="P58" s="185">
        <f t="shared" si="0"/>
        <v>0</v>
      </c>
      <c r="Q58" s="130"/>
      <c r="R58" s="56"/>
      <c r="S58" s="58"/>
      <c r="T58" s="58"/>
      <c r="U58" s="58"/>
      <c r="V58" s="58" t="s">
        <v>47</v>
      </c>
      <c r="W58" s="57"/>
      <c r="X58" s="161">
        <v>46151</v>
      </c>
      <c r="Y58" s="26" t="s">
        <v>61</v>
      </c>
      <c r="Z58" s="58"/>
      <c r="AA58" s="58"/>
      <c r="AB58" s="58" t="s">
        <v>49</v>
      </c>
      <c r="AC58" s="58"/>
      <c r="AD58" s="254" t="s">
        <v>48</v>
      </c>
      <c r="AE58" s="59"/>
      <c r="AF58" s="57"/>
      <c r="AG58" s="57"/>
      <c r="AH58" s="58"/>
      <c r="AI58" s="58"/>
      <c r="AJ58" s="56"/>
      <c r="AK58" s="58"/>
      <c r="AL58" s="57">
        <v>18</v>
      </c>
      <c r="AM58" s="225" t="s">
        <v>588</v>
      </c>
      <c r="AN58" s="254" t="s">
        <v>51</v>
      </c>
      <c r="AO58" s="126"/>
      <c r="AP58" s="129"/>
    </row>
    <row r="59" spans="1:42" s="20" customFormat="1" ht="14.25" customHeight="1" x14ac:dyDescent="0.2">
      <c r="A59" s="161">
        <v>46151</v>
      </c>
      <c r="B59" s="124"/>
      <c r="C59" s="125" t="s">
        <v>52</v>
      </c>
      <c r="D59" s="170" t="s">
        <v>53</v>
      </c>
      <c r="E59" s="171">
        <v>7407</v>
      </c>
      <c r="F59" s="58" t="s">
        <v>54</v>
      </c>
      <c r="G59" s="268">
        <v>74554485</v>
      </c>
      <c r="H59" s="85" t="s">
        <v>623</v>
      </c>
      <c r="I59" s="57"/>
      <c r="J59" s="57"/>
      <c r="K59" s="183">
        <v>6380</v>
      </c>
      <c r="L59" s="188"/>
      <c r="M59" s="188"/>
      <c r="N59" s="188"/>
      <c r="O59" s="188"/>
      <c r="P59" s="185">
        <f t="shared" si="0"/>
        <v>6380</v>
      </c>
      <c r="Q59" s="130"/>
      <c r="R59" s="56"/>
      <c r="S59" s="58"/>
      <c r="T59" s="58"/>
      <c r="U59" s="58"/>
      <c r="V59" s="58" t="s">
        <v>47</v>
      </c>
      <c r="W59" s="57"/>
      <c r="X59" s="161">
        <v>46151</v>
      </c>
      <c r="Y59" s="26" t="s">
        <v>63</v>
      </c>
      <c r="Z59" s="58"/>
      <c r="AA59" s="58"/>
      <c r="AB59" s="58" t="s">
        <v>49</v>
      </c>
      <c r="AC59" s="58"/>
      <c r="AD59" s="254" t="s">
        <v>48</v>
      </c>
      <c r="AE59" s="59"/>
      <c r="AF59" s="57"/>
      <c r="AG59" s="57"/>
      <c r="AH59" s="58"/>
      <c r="AI59" s="58"/>
      <c r="AJ59" s="56"/>
      <c r="AK59" s="58"/>
      <c r="AL59" s="57">
        <v>18</v>
      </c>
      <c r="AM59" s="224" t="s">
        <v>50</v>
      </c>
      <c r="AN59" s="254" t="s">
        <v>51</v>
      </c>
      <c r="AO59" s="126"/>
      <c r="AP59" s="129"/>
    </row>
    <row r="60" spans="1:42" s="20" customFormat="1" ht="14.25" customHeight="1" x14ac:dyDescent="0.2">
      <c r="A60" s="161">
        <v>46151</v>
      </c>
      <c r="B60" s="124"/>
      <c r="C60" s="125" t="s">
        <v>52</v>
      </c>
      <c r="D60" s="170" t="s">
        <v>53</v>
      </c>
      <c r="E60" s="171">
        <v>7408</v>
      </c>
      <c r="F60" s="58" t="s">
        <v>54</v>
      </c>
      <c r="G60" s="268">
        <v>74554485</v>
      </c>
      <c r="H60" s="85" t="s">
        <v>623</v>
      </c>
      <c r="I60" s="57"/>
      <c r="J60" s="57"/>
      <c r="K60" s="186">
        <v>0</v>
      </c>
      <c r="L60" s="57"/>
      <c r="M60" s="57"/>
      <c r="N60" s="57"/>
      <c r="O60" s="57"/>
      <c r="P60" s="185">
        <f t="shared" si="0"/>
        <v>0</v>
      </c>
      <c r="Q60" s="130"/>
      <c r="R60" s="56"/>
      <c r="S60" s="58"/>
      <c r="T60" s="58"/>
      <c r="U60" s="58"/>
      <c r="V60" s="58" t="s">
        <v>47</v>
      </c>
      <c r="W60" s="57"/>
      <c r="X60" s="161">
        <v>46151</v>
      </c>
      <c r="Y60" s="26" t="s">
        <v>61</v>
      </c>
      <c r="Z60" s="58"/>
      <c r="AA60" s="58"/>
      <c r="AB60" s="58" t="s">
        <v>49</v>
      </c>
      <c r="AC60" s="58"/>
      <c r="AD60" s="254" t="s">
        <v>48</v>
      </c>
      <c r="AE60" s="59"/>
      <c r="AF60" s="57"/>
      <c r="AG60" s="57"/>
      <c r="AH60" s="58"/>
      <c r="AI60" s="58"/>
      <c r="AJ60" s="56"/>
      <c r="AK60" s="58"/>
      <c r="AL60" s="57">
        <v>18</v>
      </c>
      <c r="AM60" s="225" t="s">
        <v>588</v>
      </c>
      <c r="AN60" s="254" t="s">
        <v>51</v>
      </c>
      <c r="AO60" s="126"/>
      <c r="AP60" s="129"/>
    </row>
    <row r="61" spans="1:42" s="20" customFormat="1" ht="14.25" customHeight="1" x14ac:dyDescent="0.2">
      <c r="A61" s="161">
        <v>46151</v>
      </c>
      <c r="B61" s="124"/>
      <c r="C61" s="125" t="s">
        <v>52</v>
      </c>
      <c r="D61" s="170" t="s">
        <v>53</v>
      </c>
      <c r="E61" s="171">
        <v>7409</v>
      </c>
      <c r="F61" s="58" t="s">
        <v>54</v>
      </c>
      <c r="G61" s="268">
        <v>72248128</v>
      </c>
      <c r="H61" s="85" t="s">
        <v>624</v>
      </c>
      <c r="I61" s="57"/>
      <c r="J61" s="57"/>
      <c r="K61" s="183">
        <v>6230</v>
      </c>
      <c r="L61" s="188"/>
      <c r="M61" s="188"/>
      <c r="N61" s="188"/>
      <c r="O61" s="188"/>
      <c r="P61" s="185">
        <f t="shared" si="0"/>
        <v>6230</v>
      </c>
      <c r="Q61" s="130"/>
      <c r="R61" s="56"/>
      <c r="S61" s="58"/>
      <c r="T61" s="58"/>
      <c r="U61" s="58"/>
      <c r="V61" s="58" t="s">
        <v>47</v>
      </c>
      <c r="W61" s="57"/>
      <c r="X61" s="161">
        <v>46151</v>
      </c>
      <c r="Y61" s="26" t="s">
        <v>63</v>
      </c>
      <c r="Z61" s="58"/>
      <c r="AA61" s="58"/>
      <c r="AB61" s="58" t="s">
        <v>49</v>
      </c>
      <c r="AC61" s="58"/>
      <c r="AD61" s="254" t="s">
        <v>48</v>
      </c>
      <c r="AE61" s="59"/>
      <c r="AF61" s="57"/>
      <c r="AG61" s="57"/>
      <c r="AH61" s="58"/>
      <c r="AI61" s="58"/>
      <c r="AJ61" s="56"/>
      <c r="AK61" s="58"/>
      <c r="AL61" s="57">
        <v>18</v>
      </c>
      <c r="AM61" s="224" t="s">
        <v>50</v>
      </c>
      <c r="AN61" s="254" t="s">
        <v>51</v>
      </c>
      <c r="AO61" s="126"/>
      <c r="AP61" s="129"/>
    </row>
    <row r="62" spans="1:42" s="41" customFormat="1" ht="14.25" customHeight="1" x14ac:dyDescent="0.2">
      <c r="A62" s="161">
        <v>46151</v>
      </c>
      <c r="B62" s="124"/>
      <c r="C62" s="125" t="s">
        <v>52</v>
      </c>
      <c r="D62" s="170" t="s">
        <v>53</v>
      </c>
      <c r="E62" s="171">
        <v>7410</v>
      </c>
      <c r="F62" s="58" t="s">
        <v>54</v>
      </c>
      <c r="G62" s="268">
        <v>72248128</v>
      </c>
      <c r="H62" s="85" t="s">
        <v>624</v>
      </c>
      <c r="I62" s="57"/>
      <c r="J62" s="57"/>
      <c r="K62" s="186">
        <v>0</v>
      </c>
      <c r="L62" s="57"/>
      <c r="M62" s="57"/>
      <c r="N62" s="57"/>
      <c r="O62" s="57"/>
      <c r="P62" s="185">
        <f t="shared" si="0"/>
        <v>0</v>
      </c>
      <c r="Q62" s="130"/>
      <c r="R62" s="56"/>
      <c r="S62" s="58"/>
      <c r="T62" s="58"/>
      <c r="U62" s="58"/>
      <c r="V62" s="58" t="s">
        <v>47</v>
      </c>
      <c r="W62" s="57"/>
      <c r="X62" s="161">
        <v>46151</v>
      </c>
      <c r="Y62" s="26" t="s">
        <v>61</v>
      </c>
      <c r="Z62" s="26"/>
      <c r="AA62" s="26"/>
      <c r="AB62" s="26" t="s">
        <v>49</v>
      </c>
      <c r="AC62" s="26"/>
      <c r="AD62" s="254" t="s">
        <v>48</v>
      </c>
      <c r="AE62" s="27"/>
      <c r="AF62" s="24"/>
      <c r="AG62" s="24"/>
      <c r="AH62" s="26"/>
      <c r="AI62" s="26"/>
      <c r="AJ62" s="25"/>
      <c r="AK62" s="26"/>
      <c r="AL62" s="24">
        <v>18</v>
      </c>
      <c r="AM62" s="225" t="s">
        <v>588</v>
      </c>
      <c r="AN62" s="254" t="s">
        <v>51</v>
      </c>
      <c r="AO62" s="126"/>
      <c r="AP62" s="129"/>
    </row>
    <row r="63" spans="1:42" s="41" customFormat="1" ht="14.25" customHeight="1" x14ac:dyDescent="0.2">
      <c r="A63" s="161">
        <v>46151</v>
      </c>
      <c r="B63" s="124"/>
      <c r="C63" s="125" t="s">
        <v>52</v>
      </c>
      <c r="D63" s="170" t="s">
        <v>53</v>
      </c>
      <c r="E63" s="171">
        <v>7411</v>
      </c>
      <c r="F63" s="58" t="s">
        <v>54</v>
      </c>
      <c r="G63" s="268">
        <v>72259369</v>
      </c>
      <c r="H63" s="85" t="s">
        <v>625</v>
      </c>
      <c r="I63" s="57"/>
      <c r="J63" s="57"/>
      <c r="K63" s="183">
        <v>5750</v>
      </c>
      <c r="L63" s="188"/>
      <c r="M63" s="188"/>
      <c r="N63" s="188"/>
      <c r="O63" s="188"/>
      <c r="P63" s="185">
        <f t="shared" si="0"/>
        <v>5750</v>
      </c>
      <c r="Q63" s="130"/>
      <c r="R63" s="56"/>
      <c r="S63" s="58"/>
      <c r="T63" s="58"/>
      <c r="U63" s="58"/>
      <c r="V63" s="58" t="s">
        <v>47</v>
      </c>
      <c r="W63" s="57"/>
      <c r="X63" s="161">
        <v>46151</v>
      </c>
      <c r="Y63" s="26" t="s">
        <v>63</v>
      </c>
      <c r="Z63" s="58"/>
      <c r="AA63" s="58"/>
      <c r="AB63" s="58" t="s">
        <v>49</v>
      </c>
      <c r="AC63" s="58"/>
      <c r="AD63" s="254" t="s">
        <v>48</v>
      </c>
      <c r="AE63" s="59"/>
      <c r="AF63" s="57"/>
      <c r="AG63" s="57"/>
      <c r="AH63" s="58"/>
      <c r="AI63" s="58"/>
      <c r="AJ63" s="56"/>
      <c r="AK63" s="58"/>
      <c r="AL63" s="57">
        <v>18</v>
      </c>
      <c r="AM63" s="224" t="s">
        <v>50</v>
      </c>
      <c r="AN63" s="254" t="s">
        <v>51</v>
      </c>
      <c r="AO63" s="126"/>
      <c r="AP63" s="129"/>
    </row>
    <row r="64" spans="1:42" s="20" customFormat="1" ht="14.25" customHeight="1" x14ac:dyDescent="0.2">
      <c r="A64" s="161">
        <v>46151</v>
      </c>
      <c r="B64" s="124"/>
      <c r="C64" s="125" t="s">
        <v>52</v>
      </c>
      <c r="D64" s="170" t="s">
        <v>53</v>
      </c>
      <c r="E64" s="171">
        <v>7412</v>
      </c>
      <c r="F64" s="58" t="s">
        <v>54</v>
      </c>
      <c r="G64" s="268">
        <v>72259369</v>
      </c>
      <c r="H64" s="85" t="s">
        <v>625</v>
      </c>
      <c r="I64" s="57"/>
      <c r="J64" s="57"/>
      <c r="K64" s="186">
        <v>0</v>
      </c>
      <c r="L64" s="57"/>
      <c r="M64" s="57"/>
      <c r="N64" s="57"/>
      <c r="O64" s="57"/>
      <c r="P64" s="185">
        <f t="shared" si="0"/>
        <v>0</v>
      </c>
      <c r="Q64" s="130"/>
      <c r="R64" s="56"/>
      <c r="S64" s="58"/>
      <c r="T64" s="58"/>
      <c r="U64" s="58"/>
      <c r="V64" s="58" t="s">
        <v>47</v>
      </c>
      <c r="W64" s="57"/>
      <c r="X64" s="161">
        <v>46151</v>
      </c>
      <c r="Y64" s="26" t="s">
        <v>61</v>
      </c>
      <c r="Z64" s="26"/>
      <c r="AA64" s="26"/>
      <c r="AB64" s="26" t="s">
        <v>49</v>
      </c>
      <c r="AC64" s="26"/>
      <c r="AD64" s="254" t="s">
        <v>48</v>
      </c>
      <c r="AE64" s="27"/>
      <c r="AF64" s="24"/>
      <c r="AG64" s="24"/>
      <c r="AH64" s="26"/>
      <c r="AI64" s="26"/>
      <c r="AJ64" s="25"/>
      <c r="AK64" s="26"/>
      <c r="AL64" s="24">
        <v>18</v>
      </c>
      <c r="AM64" s="225" t="s">
        <v>588</v>
      </c>
      <c r="AN64" s="254" t="s">
        <v>51</v>
      </c>
      <c r="AO64" s="126"/>
      <c r="AP64" s="129"/>
    </row>
    <row r="65" spans="1:42" s="20" customFormat="1" ht="14.25" customHeight="1" x14ac:dyDescent="0.2">
      <c r="A65" s="161">
        <v>46151</v>
      </c>
      <c r="B65" s="124"/>
      <c r="C65" s="125" t="s">
        <v>52</v>
      </c>
      <c r="D65" s="170" t="s">
        <v>53</v>
      </c>
      <c r="E65" s="171">
        <v>7413</v>
      </c>
      <c r="F65" s="58" t="s">
        <v>54</v>
      </c>
      <c r="G65" s="268">
        <v>42072196</v>
      </c>
      <c r="H65" s="85" t="s">
        <v>626</v>
      </c>
      <c r="I65" s="57"/>
      <c r="J65" s="57"/>
      <c r="K65" s="183">
        <v>6180</v>
      </c>
      <c r="L65" s="188"/>
      <c r="M65" s="188"/>
      <c r="N65" s="188"/>
      <c r="O65" s="188"/>
      <c r="P65" s="185">
        <f t="shared" si="0"/>
        <v>6180</v>
      </c>
      <c r="Q65" s="130"/>
      <c r="R65" s="56"/>
      <c r="S65" s="58"/>
      <c r="T65" s="58"/>
      <c r="U65" s="58"/>
      <c r="V65" s="58" t="s">
        <v>47</v>
      </c>
      <c r="W65" s="57"/>
      <c r="X65" s="161">
        <v>46151</v>
      </c>
      <c r="Y65" s="26" t="s">
        <v>63</v>
      </c>
      <c r="Z65" s="58"/>
      <c r="AA65" s="58"/>
      <c r="AB65" s="58" t="s">
        <v>49</v>
      </c>
      <c r="AC65" s="58"/>
      <c r="AD65" s="254" t="s">
        <v>48</v>
      </c>
      <c r="AE65" s="59"/>
      <c r="AF65" s="57"/>
      <c r="AG65" s="57"/>
      <c r="AH65" s="58"/>
      <c r="AI65" s="58"/>
      <c r="AJ65" s="56"/>
      <c r="AK65" s="58"/>
      <c r="AL65" s="57">
        <v>18</v>
      </c>
      <c r="AM65" s="224" t="s">
        <v>50</v>
      </c>
      <c r="AN65" s="254" t="s">
        <v>51</v>
      </c>
      <c r="AO65" s="126"/>
      <c r="AP65" s="129"/>
    </row>
    <row r="66" spans="1:42" s="20" customFormat="1" ht="14.25" customHeight="1" x14ac:dyDescent="0.2">
      <c r="A66" s="161">
        <v>46151</v>
      </c>
      <c r="B66" s="136"/>
      <c r="C66" s="125" t="s">
        <v>52</v>
      </c>
      <c r="D66" s="170" t="s">
        <v>53</v>
      </c>
      <c r="E66" s="171">
        <v>7414</v>
      </c>
      <c r="F66" s="58" t="s">
        <v>54</v>
      </c>
      <c r="G66" s="268">
        <v>42072196</v>
      </c>
      <c r="H66" s="85" t="s">
        <v>626</v>
      </c>
      <c r="I66" s="57"/>
      <c r="J66" s="57"/>
      <c r="K66" s="186">
        <v>0</v>
      </c>
      <c r="L66" s="57"/>
      <c r="M66" s="57"/>
      <c r="N66" s="57"/>
      <c r="O66" s="57"/>
      <c r="P66" s="185">
        <f t="shared" si="0"/>
        <v>0</v>
      </c>
      <c r="Q66" s="130"/>
      <c r="R66" s="56"/>
      <c r="S66" s="58"/>
      <c r="T66" s="58"/>
      <c r="U66" s="58"/>
      <c r="V66" s="58" t="s">
        <v>47</v>
      </c>
      <c r="W66" s="57"/>
      <c r="X66" s="161">
        <v>46151</v>
      </c>
      <c r="Y66" s="26" t="s">
        <v>61</v>
      </c>
      <c r="Z66" s="26"/>
      <c r="AA66" s="26"/>
      <c r="AB66" s="26" t="s">
        <v>49</v>
      </c>
      <c r="AC66" s="26"/>
      <c r="AD66" s="254" t="s">
        <v>48</v>
      </c>
      <c r="AE66" s="27"/>
      <c r="AF66" s="24"/>
      <c r="AG66" s="24"/>
      <c r="AH66" s="26"/>
      <c r="AI66" s="26"/>
      <c r="AJ66" s="25"/>
      <c r="AK66" s="26"/>
      <c r="AL66" s="24">
        <v>18</v>
      </c>
      <c r="AM66" s="225" t="s">
        <v>588</v>
      </c>
      <c r="AN66" s="254" t="s">
        <v>51</v>
      </c>
      <c r="AO66" s="126"/>
      <c r="AP66" s="129"/>
    </row>
    <row r="67" spans="1:42" s="20" customFormat="1" ht="14.25" customHeight="1" x14ac:dyDescent="0.2">
      <c r="A67" s="161">
        <v>46153</v>
      </c>
      <c r="B67" s="124"/>
      <c r="C67" s="125" t="s">
        <v>52</v>
      </c>
      <c r="D67" s="170" t="s">
        <v>53</v>
      </c>
      <c r="E67" s="171">
        <v>7415</v>
      </c>
      <c r="F67" s="58" t="s">
        <v>54</v>
      </c>
      <c r="G67" s="268">
        <v>41303048</v>
      </c>
      <c r="H67" s="85" t="s">
        <v>627</v>
      </c>
      <c r="I67" s="57"/>
      <c r="J67" s="57"/>
      <c r="K67" s="183">
        <v>5430</v>
      </c>
      <c r="L67" s="188"/>
      <c r="M67" s="188"/>
      <c r="N67" s="188"/>
      <c r="O67" s="188"/>
      <c r="P67" s="185">
        <f t="shared" si="0"/>
        <v>5430</v>
      </c>
      <c r="Q67" s="130"/>
      <c r="R67" s="56"/>
      <c r="S67" s="58"/>
      <c r="T67" s="58"/>
      <c r="U67" s="58"/>
      <c r="V67" s="58" t="s">
        <v>47</v>
      </c>
      <c r="W67" s="57"/>
      <c r="X67" s="161">
        <v>46153</v>
      </c>
      <c r="Y67" s="26" t="s">
        <v>63</v>
      </c>
      <c r="Z67" s="58"/>
      <c r="AA67" s="58"/>
      <c r="AB67" s="58" t="s">
        <v>49</v>
      </c>
      <c r="AC67" s="58"/>
      <c r="AD67" s="254" t="s">
        <v>48</v>
      </c>
      <c r="AE67" s="59"/>
      <c r="AF67" s="57"/>
      <c r="AG67" s="57"/>
      <c r="AH67" s="58"/>
      <c r="AI67" s="58"/>
      <c r="AJ67" s="56"/>
      <c r="AK67" s="58"/>
      <c r="AL67" s="57">
        <v>18</v>
      </c>
      <c r="AM67" s="224" t="s">
        <v>50</v>
      </c>
      <c r="AN67" s="254" t="s">
        <v>51</v>
      </c>
      <c r="AO67" s="126"/>
      <c r="AP67" s="129"/>
    </row>
    <row r="68" spans="1:42" s="20" customFormat="1" ht="14.25" customHeight="1" x14ac:dyDescent="0.2">
      <c r="A68" s="161">
        <v>46153</v>
      </c>
      <c r="B68" s="136"/>
      <c r="C68" s="125" t="s">
        <v>52</v>
      </c>
      <c r="D68" s="170" t="s">
        <v>53</v>
      </c>
      <c r="E68" s="171">
        <v>7416</v>
      </c>
      <c r="F68" s="58" t="s">
        <v>54</v>
      </c>
      <c r="G68" s="268">
        <v>41303048</v>
      </c>
      <c r="H68" s="85" t="s">
        <v>627</v>
      </c>
      <c r="I68" s="57"/>
      <c r="J68" s="57"/>
      <c r="K68" s="186">
        <v>0</v>
      </c>
      <c r="L68" s="57"/>
      <c r="M68" s="57"/>
      <c r="N68" s="57"/>
      <c r="O68" s="57"/>
      <c r="P68" s="185">
        <f t="shared" si="0"/>
        <v>0</v>
      </c>
      <c r="Q68" s="130"/>
      <c r="R68" s="56"/>
      <c r="S68" s="58"/>
      <c r="T68" s="58"/>
      <c r="U68" s="58"/>
      <c r="V68" s="58" t="s">
        <v>47</v>
      </c>
      <c r="W68" s="57"/>
      <c r="X68" s="161">
        <v>46153</v>
      </c>
      <c r="Y68" s="26" t="s">
        <v>61</v>
      </c>
      <c r="Z68" s="26"/>
      <c r="AA68" s="26"/>
      <c r="AB68" s="26" t="s">
        <v>49</v>
      </c>
      <c r="AC68" s="26"/>
      <c r="AD68" s="254" t="s">
        <v>48</v>
      </c>
      <c r="AE68" s="27"/>
      <c r="AF68" s="24"/>
      <c r="AG68" s="24"/>
      <c r="AH68" s="26"/>
      <c r="AI68" s="26"/>
      <c r="AJ68" s="25"/>
      <c r="AK68" s="26"/>
      <c r="AL68" s="24">
        <v>18</v>
      </c>
      <c r="AM68" s="225" t="s">
        <v>588</v>
      </c>
      <c r="AN68" s="254" t="s">
        <v>51</v>
      </c>
      <c r="AO68" s="126"/>
      <c r="AP68" s="129"/>
    </row>
    <row r="69" spans="1:42" s="20" customFormat="1" ht="14.25" customHeight="1" x14ac:dyDescent="0.2">
      <c r="A69" s="161">
        <v>46153</v>
      </c>
      <c r="B69" s="124"/>
      <c r="C69" s="125" t="s">
        <v>52</v>
      </c>
      <c r="D69" s="170" t="s">
        <v>53</v>
      </c>
      <c r="E69" s="171">
        <v>7417</v>
      </c>
      <c r="F69" s="58" t="s">
        <v>54</v>
      </c>
      <c r="G69" s="268">
        <v>60525225</v>
      </c>
      <c r="H69" s="85" t="s">
        <v>628</v>
      </c>
      <c r="I69" s="57"/>
      <c r="J69" s="57"/>
      <c r="K69" s="183">
        <v>6080</v>
      </c>
      <c r="L69" s="188"/>
      <c r="M69" s="188"/>
      <c r="N69" s="188"/>
      <c r="O69" s="188"/>
      <c r="P69" s="185">
        <f t="shared" si="0"/>
        <v>6080</v>
      </c>
      <c r="Q69" s="130"/>
      <c r="R69" s="56"/>
      <c r="S69" s="58"/>
      <c r="T69" s="58"/>
      <c r="U69" s="58"/>
      <c r="V69" s="58" t="s">
        <v>47</v>
      </c>
      <c r="W69" s="57"/>
      <c r="X69" s="161">
        <v>46153</v>
      </c>
      <c r="Y69" s="26" t="s">
        <v>63</v>
      </c>
      <c r="Z69" s="26"/>
      <c r="AA69" s="26"/>
      <c r="AB69" s="26" t="s">
        <v>49</v>
      </c>
      <c r="AC69" s="26"/>
      <c r="AD69" s="254" t="s">
        <v>48</v>
      </c>
      <c r="AE69" s="27"/>
      <c r="AF69" s="24"/>
      <c r="AG69" s="24"/>
      <c r="AH69" s="26"/>
      <c r="AI69" s="26"/>
      <c r="AJ69" s="25"/>
      <c r="AK69" s="26"/>
      <c r="AL69" s="24">
        <v>18</v>
      </c>
      <c r="AM69" s="224" t="s">
        <v>50</v>
      </c>
      <c r="AN69" s="254" t="s">
        <v>51</v>
      </c>
      <c r="AO69" s="126"/>
      <c r="AP69" s="129"/>
    </row>
    <row r="70" spans="1:42" s="20" customFormat="1" ht="14.25" customHeight="1" x14ac:dyDescent="0.2">
      <c r="A70" s="161">
        <v>46153</v>
      </c>
      <c r="B70" s="124"/>
      <c r="C70" s="125" t="s">
        <v>52</v>
      </c>
      <c r="D70" s="170" t="s">
        <v>53</v>
      </c>
      <c r="E70" s="171">
        <v>7418</v>
      </c>
      <c r="F70" s="58" t="s">
        <v>54</v>
      </c>
      <c r="G70" s="268">
        <v>42241552</v>
      </c>
      <c r="H70" s="85" t="s">
        <v>629</v>
      </c>
      <c r="I70" s="57"/>
      <c r="J70" s="57"/>
      <c r="K70" s="183">
        <v>6080</v>
      </c>
      <c r="L70" s="188"/>
      <c r="M70" s="188"/>
      <c r="N70" s="188"/>
      <c r="O70" s="188"/>
      <c r="P70" s="185">
        <f t="shared" ref="P70:P133" si="1">K70</f>
        <v>6080</v>
      </c>
      <c r="Q70" s="130"/>
      <c r="R70" s="56"/>
      <c r="S70" s="58"/>
      <c r="T70" s="58"/>
      <c r="U70" s="58"/>
      <c r="V70" s="58" t="s">
        <v>47</v>
      </c>
      <c r="W70" s="57"/>
      <c r="X70" s="161">
        <v>46153</v>
      </c>
      <c r="Y70" s="26" t="s">
        <v>63</v>
      </c>
      <c r="Z70" s="58"/>
      <c r="AA70" s="58"/>
      <c r="AB70" s="58" t="s">
        <v>49</v>
      </c>
      <c r="AC70" s="58"/>
      <c r="AD70" s="254" t="s">
        <v>48</v>
      </c>
      <c r="AE70" s="59"/>
      <c r="AF70" s="57"/>
      <c r="AG70" s="57"/>
      <c r="AH70" s="58"/>
      <c r="AI70" s="58"/>
      <c r="AJ70" s="56"/>
      <c r="AK70" s="58"/>
      <c r="AL70" s="57">
        <v>18</v>
      </c>
      <c r="AM70" s="224" t="s">
        <v>50</v>
      </c>
      <c r="AN70" s="254" t="s">
        <v>51</v>
      </c>
      <c r="AO70" s="126"/>
      <c r="AP70" s="129"/>
    </row>
    <row r="71" spans="1:42" s="20" customFormat="1" ht="14.25" customHeight="1" x14ac:dyDescent="0.2">
      <c r="A71" s="161">
        <v>46153</v>
      </c>
      <c r="B71" s="124"/>
      <c r="C71" s="125" t="s">
        <v>52</v>
      </c>
      <c r="D71" s="170" t="s">
        <v>53</v>
      </c>
      <c r="E71" s="171">
        <v>7419</v>
      </c>
      <c r="F71" s="58" t="s">
        <v>54</v>
      </c>
      <c r="G71" s="268">
        <v>42034313</v>
      </c>
      <c r="H71" s="85" t="s">
        <v>630</v>
      </c>
      <c r="I71" s="57"/>
      <c r="J71" s="57"/>
      <c r="K71" s="183">
        <v>8180</v>
      </c>
      <c r="L71" s="188"/>
      <c r="M71" s="188"/>
      <c r="N71" s="188"/>
      <c r="O71" s="188"/>
      <c r="P71" s="185">
        <f t="shared" si="1"/>
        <v>8180</v>
      </c>
      <c r="Q71" s="130"/>
      <c r="R71" s="56"/>
      <c r="S71" s="58"/>
      <c r="T71" s="58"/>
      <c r="U71" s="58"/>
      <c r="V71" s="58" t="s">
        <v>47</v>
      </c>
      <c r="W71" s="57"/>
      <c r="X71" s="227">
        <v>46184</v>
      </c>
      <c r="Y71" s="26" t="s">
        <v>63</v>
      </c>
      <c r="Z71" s="58"/>
      <c r="AA71" s="58"/>
      <c r="AB71" s="58" t="s">
        <v>49</v>
      </c>
      <c r="AC71" s="58"/>
      <c r="AD71" s="254" t="s">
        <v>48</v>
      </c>
      <c r="AE71" s="59"/>
      <c r="AF71" s="57"/>
      <c r="AG71" s="57"/>
      <c r="AH71" s="58"/>
      <c r="AI71" s="58"/>
      <c r="AJ71" s="56"/>
      <c r="AK71" s="58"/>
      <c r="AL71" s="57">
        <v>18</v>
      </c>
      <c r="AM71" s="224" t="s">
        <v>50</v>
      </c>
      <c r="AN71" s="254" t="s">
        <v>51</v>
      </c>
      <c r="AO71" s="126"/>
      <c r="AP71" s="129"/>
    </row>
    <row r="72" spans="1:42" s="20" customFormat="1" ht="14.25" customHeight="1" x14ac:dyDescent="0.2">
      <c r="A72" s="161">
        <v>46153</v>
      </c>
      <c r="B72" s="124"/>
      <c r="C72" s="125" t="s">
        <v>52</v>
      </c>
      <c r="D72" s="170" t="s">
        <v>53</v>
      </c>
      <c r="E72" s="171">
        <v>7420</v>
      </c>
      <c r="F72" s="58" t="s">
        <v>54</v>
      </c>
      <c r="G72" s="268">
        <v>73949292</v>
      </c>
      <c r="H72" s="85" t="s">
        <v>631</v>
      </c>
      <c r="I72" s="57"/>
      <c r="J72" s="57"/>
      <c r="K72" s="183">
        <v>5280</v>
      </c>
      <c r="L72" s="188"/>
      <c r="M72" s="188"/>
      <c r="N72" s="188"/>
      <c r="O72" s="188"/>
      <c r="P72" s="185">
        <f t="shared" si="1"/>
        <v>5280</v>
      </c>
      <c r="Q72" s="130"/>
      <c r="R72" s="56"/>
      <c r="S72" s="58"/>
      <c r="T72" s="58"/>
      <c r="U72" s="58"/>
      <c r="V72" s="58" t="s">
        <v>47</v>
      </c>
      <c r="W72" s="57"/>
      <c r="X72" s="161">
        <v>46153</v>
      </c>
      <c r="Y72" s="26" t="s">
        <v>63</v>
      </c>
      <c r="Z72" s="26"/>
      <c r="AA72" s="26"/>
      <c r="AB72" s="26" t="s">
        <v>49</v>
      </c>
      <c r="AC72" s="26"/>
      <c r="AD72" s="254" t="s">
        <v>48</v>
      </c>
      <c r="AE72" s="27"/>
      <c r="AF72" s="24"/>
      <c r="AG72" s="24"/>
      <c r="AH72" s="26"/>
      <c r="AI72" s="26"/>
      <c r="AJ72" s="25"/>
      <c r="AK72" s="26"/>
      <c r="AL72" s="24">
        <v>18</v>
      </c>
      <c r="AM72" s="224" t="s">
        <v>50</v>
      </c>
      <c r="AN72" s="254" t="s">
        <v>51</v>
      </c>
      <c r="AO72" s="126"/>
      <c r="AP72" s="129"/>
    </row>
    <row r="73" spans="1:42" s="20" customFormat="1" ht="14.25" customHeight="1" x14ac:dyDescent="0.2">
      <c r="A73" s="161">
        <v>46153</v>
      </c>
      <c r="B73" s="124"/>
      <c r="C73" s="125" t="s">
        <v>52</v>
      </c>
      <c r="D73" s="170" t="s">
        <v>53</v>
      </c>
      <c r="E73" s="171">
        <v>7421</v>
      </c>
      <c r="F73" s="58" t="s">
        <v>54</v>
      </c>
      <c r="G73" s="268">
        <v>73949292</v>
      </c>
      <c r="H73" s="85" t="s">
        <v>631</v>
      </c>
      <c r="I73" s="57"/>
      <c r="J73" s="57"/>
      <c r="K73" s="186">
        <v>0</v>
      </c>
      <c r="L73" s="57"/>
      <c r="M73" s="57"/>
      <c r="N73" s="57"/>
      <c r="O73" s="57"/>
      <c r="P73" s="185">
        <f t="shared" si="1"/>
        <v>0</v>
      </c>
      <c r="Q73" s="130"/>
      <c r="R73" s="56"/>
      <c r="S73" s="58"/>
      <c r="T73" s="58"/>
      <c r="U73" s="58"/>
      <c r="V73" s="58" t="s">
        <v>47</v>
      </c>
      <c r="W73" s="57"/>
      <c r="X73" s="161">
        <v>46153</v>
      </c>
      <c r="Y73" s="26" t="s">
        <v>61</v>
      </c>
      <c r="Z73" s="58"/>
      <c r="AA73" s="58"/>
      <c r="AB73" s="26" t="s">
        <v>49</v>
      </c>
      <c r="AC73" s="26"/>
      <c r="AD73" s="255" t="s">
        <v>48</v>
      </c>
      <c r="AE73" s="27"/>
      <c r="AF73" s="24"/>
      <c r="AG73" s="24"/>
      <c r="AH73" s="26"/>
      <c r="AI73" s="26"/>
      <c r="AJ73" s="25"/>
      <c r="AK73" s="26"/>
      <c r="AL73" s="24">
        <v>18</v>
      </c>
      <c r="AM73" s="225" t="s">
        <v>588</v>
      </c>
      <c r="AN73" s="254" t="s">
        <v>51</v>
      </c>
      <c r="AO73" s="126"/>
      <c r="AP73" s="129"/>
    </row>
    <row r="74" spans="1:42" s="36" customFormat="1" ht="14.25" customHeight="1" x14ac:dyDescent="0.2">
      <c r="A74" s="161">
        <v>46153</v>
      </c>
      <c r="B74" s="137"/>
      <c r="C74" s="134" t="s">
        <v>52</v>
      </c>
      <c r="D74" s="172" t="s">
        <v>53</v>
      </c>
      <c r="E74" s="171">
        <v>7422</v>
      </c>
      <c r="F74" s="33" t="s">
        <v>54</v>
      </c>
      <c r="G74" s="268">
        <v>73071937</v>
      </c>
      <c r="H74" s="85" t="s">
        <v>632</v>
      </c>
      <c r="I74" s="32"/>
      <c r="J74" s="32"/>
      <c r="K74" s="183">
        <v>6480</v>
      </c>
      <c r="L74" s="189"/>
      <c r="M74" s="189"/>
      <c r="N74" s="189"/>
      <c r="O74" s="189"/>
      <c r="P74" s="185">
        <f t="shared" si="1"/>
        <v>6480</v>
      </c>
      <c r="Q74" s="140"/>
      <c r="R74" s="29"/>
      <c r="S74" s="33"/>
      <c r="T74" s="33"/>
      <c r="U74" s="33"/>
      <c r="V74" s="26" t="s">
        <v>47</v>
      </c>
      <c r="W74" s="32"/>
      <c r="X74" s="161">
        <v>46153</v>
      </c>
      <c r="Y74" s="26" t="s">
        <v>63</v>
      </c>
      <c r="Z74" s="33"/>
      <c r="AA74" s="33"/>
      <c r="AB74" s="26" t="s">
        <v>49</v>
      </c>
      <c r="AC74" s="26"/>
      <c r="AD74" s="255" t="s">
        <v>48</v>
      </c>
      <c r="AE74" s="27"/>
      <c r="AF74" s="24"/>
      <c r="AG74" s="24"/>
      <c r="AH74" s="26"/>
      <c r="AI74" s="26"/>
      <c r="AJ74" s="25"/>
      <c r="AK74" s="26"/>
      <c r="AL74" s="24">
        <v>18</v>
      </c>
      <c r="AM74" s="224" t="s">
        <v>50</v>
      </c>
      <c r="AN74" s="255" t="s">
        <v>51</v>
      </c>
      <c r="AO74" s="138"/>
      <c r="AP74" s="139"/>
    </row>
    <row r="75" spans="1:42" s="20" customFormat="1" ht="14.25" customHeight="1" x14ac:dyDescent="0.2">
      <c r="A75" s="161">
        <v>46153</v>
      </c>
      <c r="B75" s="124"/>
      <c r="C75" s="125" t="s">
        <v>52</v>
      </c>
      <c r="D75" s="170" t="s">
        <v>53</v>
      </c>
      <c r="E75" s="171">
        <v>7423</v>
      </c>
      <c r="F75" s="58" t="s">
        <v>54</v>
      </c>
      <c r="G75" s="268">
        <v>73142032</v>
      </c>
      <c r="H75" s="85" t="s">
        <v>633</v>
      </c>
      <c r="I75" s="57"/>
      <c r="J75" s="57"/>
      <c r="K75" s="183">
        <v>5280</v>
      </c>
      <c r="L75" s="188"/>
      <c r="M75" s="188"/>
      <c r="N75" s="188"/>
      <c r="O75" s="188"/>
      <c r="P75" s="185">
        <f t="shared" si="1"/>
        <v>5280</v>
      </c>
      <c r="Q75" s="130"/>
      <c r="R75" s="56"/>
      <c r="S75" s="58"/>
      <c r="T75" s="58"/>
      <c r="U75" s="58"/>
      <c r="V75" s="58" t="s">
        <v>47</v>
      </c>
      <c r="W75" s="57"/>
      <c r="X75" s="161">
        <v>46153</v>
      </c>
      <c r="Y75" s="26" t="s">
        <v>63</v>
      </c>
      <c r="Z75" s="58"/>
      <c r="AA75" s="58"/>
      <c r="AB75" s="26" t="s">
        <v>49</v>
      </c>
      <c r="AC75" s="26"/>
      <c r="AD75" s="255" t="s">
        <v>48</v>
      </c>
      <c r="AE75" s="27"/>
      <c r="AF75" s="24"/>
      <c r="AG75" s="24"/>
      <c r="AH75" s="26"/>
      <c r="AI75" s="26"/>
      <c r="AJ75" s="25"/>
      <c r="AK75" s="26"/>
      <c r="AL75" s="24">
        <v>18</v>
      </c>
      <c r="AM75" s="224" t="s">
        <v>50</v>
      </c>
      <c r="AN75" s="254" t="s">
        <v>51</v>
      </c>
      <c r="AO75" s="126"/>
      <c r="AP75" s="129"/>
    </row>
    <row r="76" spans="1:42" s="20" customFormat="1" ht="14.25" customHeight="1" x14ac:dyDescent="0.2">
      <c r="A76" s="161">
        <v>46153</v>
      </c>
      <c r="B76" s="124"/>
      <c r="C76" s="125" t="s">
        <v>52</v>
      </c>
      <c r="D76" s="170" t="s">
        <v>53</v>
      </c>
      <c r="E76" s="171">
        <v>7424</v>
      </c>
      <c r="F76" s="58" t="s">
        <v>54</v>
      </c>
      <c r="G76" s="268">
        <v>73142032</v>
      </c>
      <c r="H76" s="85" t="s">
        <v>633</v>
      </c>
      <c r="I76" s="57"/>
      <c r="J76" s="57"/>
      <c r="K76" s="186">
        <v>0</v>
      </c>
      <c r="L76" s="57"/>
      <c r="M76" s="57"/>
      <c r="N76" s="57"/>
      <c r="O76" s="57"/>
      <c r="P76" s="185">
        <f t="shared" si="1"/>
        <v>0</v>
      </c>
      <c r="Q76" s="130"/>
      <c r="R76" s="56"/>
      <c r="S76" s="58"/>
      <c r="T76" s="58"/>
      <c r="U76" s="58"/>
      <c r="V76" s="58" t="s">
        <v>47</v>
      </c>
      <c r="W76" s="57"/>
      <c r="X76" s="161">
        <v>46153</v>
      </c>
      <c r="Y76" s="26" t="s">
        <v>61</v>
      </c>
      <c r="Z76" s="58"/>
      <c r="AA76" s="58"/>
      <c r="AB76" s="58" t="s">
        <v>49</v>
      </c>
      <c r="AC76" s="58"/>
      <c r="AD76" s="254" t="s">
        <v>48</v>
      </c>
      <c r="AE76" s="59"/>
      <c r="AF76" s="57"/>
      <c r="AG76" s="57"/>
      <c r="AH76" s="58"/>
      <c r="AI76" s="58"/>
      <c r="AJ76" s="56"/>
      <c r="AK76" s="58"/>
      <c r="AL76" s="57">
        <v>18</v>
      </c>
      <c r="AM76" s="225" t="s">
        <v>588</v>
      </c>
      <c r="AN76" s="254" t="s">
        <v>51</v>
      </c>
      <c r="AO76" s="126"/>
      <c r="AP76" s="129"/>
    </row>
    <row r="77" spans="1:42" s="20" customFormat="1" ht="14.25" customHeight="1" x14ac:dyDescent="0.2">
      <c r="A77" s="161">
        <v>46153</v>
      </c>
      <c r="B77" s="124"/>
      <c r="C77" s="125" t="s">
        <v>52</v>
      </c>
      <c r="D77" s="170" t="s">
        <v>53</v>
      </c>
      <c r="E77" s="171">
        <v>7425</v>
      </c>
      <c r="F77" s="58" t="s">
        <v>54</v>
      </c>
      <c r="G77" s="268">
        <v>48847909</v>
      </c>
      <c r="H77" s="85" t="s">
        <v>634</v>
      </c>
      <c r="I77" s="57"/>
      <c r="J77" s="57"/>
      <c r="K77" s="183">
        <v>5280</v>
      </c>
      <c r="L77" s="188"/>
      <c r="M77" s="188"/>
      <c r="N77" s="188"/>
      <c r="O77" s="188"/>
      <c r="P77" s="185">
        <f t="shared" si="1"/>
        <v>5280</v>
      </c>
      <c r="Q77" s="130"/>
      <c r="R77" s="56"/>
      <c r="S77" s="58"/>
      <c r="T77" s="58"/>
      <c r="U77" s="58"/>
      <c r="V77" s="58" t="s">
        <v>47</v>
      </c>
      <c r="W77" s="57"/>
      <c r="X77" s="161">
        <v>46153</v>
      </c>
      <c r="Y77" s="26" t="s">
        <v>63</v>
      </c>
      <c r="Z77" s="58"/>
      <c r="AA77" s="58"/>
      <c r="AB77" s="58" t="s">
        <v>49</v>
      </c>
      <c r="AC77" s="58"/>
      <c r="AD77" s="254" t="s">
        <v>48</v>
      </c>
      <c r="AE77" s="59"/>
      <c r="AF77" s="57"/>
      <c r="AG77" s="57"/>
      <c r="AH77" s="58"/>
      <c r="AI77" s="58"/>
      <c r="AJ77" s="56"/>
      <c r="AK77" s="58"/>
      <c r="AL77" s="57">
        <v>18</v>
      </c>
      <c r="AM77" s="224" t="s">
        <v>50</v>
      </c>
      <c r="AN77" s="254" t="s">
        <v>51</v>
      </c>
      <c r="AO77" s="126"/>
      <c r="AP77" s="129"/>
    </row>
    <row r="78" spans="1:42" s="20" customFormat="1" ht="14.25" customHeight="1" x14ac:dyDescent="0.2">
      <c r="A78" s="161">
        <v>46153</v>
      </c>
      <c r="B78" s="124"/>
      <c r="C78" s="125" t="s">
        <v>52</v>
      </c>
      <c r="D78" s="170" t="s">
        <v>53</v>
      </c>
      <c r="E78" s="171">
        <v>7426</v>
      </c>
      <c r="F78" s="58" t="s">
        <v>54</v>
      </c>
      <c r="G78" s="268">
        <v>46759679</v>
      </c>
      <c r="H78" s="85" t="s">
        <v>635</v>
      </c>
      <c r="I78" s="57"/>
      <c r="J78" s="57"/>
      <c r="K78" s="183">
        <v>5280</v>
      </c>
      <c r="L78" s="188"/>
      <c r="M78" s="188"/>
      <c r="N78" s="188"/>
      <c r="O78" s="188"/>
      <c r="P78" s="185">
        <f t="shared" si="1"/>
        <v>5280</v>
      </c>
      <c r="Q78" s="130"/>
      <c r="R78" s="56"/>
      <c r="S78" s="58"/>
      <c r="T78" s="58"/>
      <c r="U78" s="58"/>
      <c r="V78" s="58" t="s">
        <v>47</v>
      </c>
      <c r="W78" s="57"/>
      <c r="X78" s="161">
        <v>46153</v>
      </c>
      <c r="Y78" s="26" t="s">
        <v>63</v>
      </c>
      <c r="Z78" s="26"/>
      <c r="AA78" s="26"/>
      <c r="AB78" s="26" t="s">
        <v>49</v>
      </c>
      <c r="AC78" s="26"/>
      <c r="AD78" s="254" t="s">
        <v>48</v>
      </c>
      <c r="AE78" s="27"/>
      <c r="AF78" s="24"/>
      <c r="AG78" s="24"/>
      <c r="AH78" s="26"/>
      <c r="AI78" s="26"/>
      <c r="AJ78" s="25"/>
      <c r="AK78" s="26"/>
      <c r="AL78" s="24">
        <v>18</v>
      </c>
      <c r="AM78" s="224" t="s">
        <v>50</v>
      </c>
      <c r="AN78" s="254" t="s">
        <v>51</v>
      </c>
      <c r="AO78" s="126"/>
      <c r="AP78" s="129"/>
    </row>
    <row r="79" spans="1:42" s="20" customFormat="1" ht="14.25" customHeight="1" x14ac:dyDescent="0.2">
      <c r="A79" s="161">
        <v>46154</v>
      </c>
      <c r="B79" s="124"/>
      <c r="C79" s="125" t="s">
        <v>52</v>
      </c>
      <c r="D79" s="170" t="s">
        <v>53</v>
      </c>
      <c r="E79" s="171">
        <v>7427</v>
      </c>
      <c r="F79" s="58" t="s">
        <v>54</v>
      </c>
      <c r="G79" s="268">
        <v>10362870</v>
      </c>
      <c r="H79" s="85" t="s">
        <v>636</v>
      </c>
      <c r="I79" s="57"/>
      <c r="J79" s="57"/>
      <c r="K79" s="183">
        <v>4770</v>
      </c>
      <c r="L79" s="188"/>
      <c r="M79" s="188"/>
      <c r="N79" s="188"/>
      <c r="O79" s="188"/>
      <c r="P79" s="185">
        <f t="shared" si="1"/>
        <v>4770</v>
      </c>
      <c r="Q79" s="130"/>
      <c r="R79" s="56"/>
      <c r="S79" s="58"/>
      <c r="T79" s="58"/>
      <c r="U79" s="58"/>
      <c r="V79" s="58" t="s">
        <v>47</v>
      </c>
      <c r="W79" s="57"/>
      <c r="X79" s="161">
        <v>46154</v>
      </c>
      <c r="Y79" s="26" t="s">
        <v>63</v>
      </c>
      <c r="Z79" s="58"/>
      <c r="AA79" s="58"/>
      <c r="AB79" s="58" t="s">
        <v>49</v>
      </c>
      <c r="AC79" s="58"/>
      <c r="AD79" s="254" t="s">
        <v>48</v>
      </c>
      <c r="AE79" s="59"/>
      <c r="AF79" s="57"/>
      <c r="AG79" s="57"/>
      <c r="AH79" s="58"/>
      <c r="AI79" s="58"/>
      <c r="AJ79" s="56"/>
      <c r="AK79" s="58"/>
      <c r="AL79" s="57">
        <v>18</v>
      </c>
      <c r="AM79" s="224" t="s">
        <v>50</v>
      </c>
      <c r="AN79" s="254" t="s">
        <v>51</v>
      </c>
      <c r="AO79" s="126"/>
      <c r="AP79" s="129"/>
    </row>
    <row r="80" spans="1:42" s="20" customFormat="1" ht="14.25" customHeight="1" x14ac:dyDescent="0.2">
      <c r="A80" s="161">
        <v>46154</v>
      </c>
      <c r="B80" s="136"/>
      <c r="C80" s="125" t="s">
        <v>52</v>
      </c>
      <c r="D80" s="170" t="s">
        <v>53</v>
      </c>
      <c r="E80" s="171">
        <v>7428</v>
      </c>
      <c r="F80" s="58" t="s">
        <v>54</v>
      </c>
      <c r="G80" s="268">
        <v>10362870</v>
      </c>
      <c r="H80" s="85" t="s">
        <v>636</v>
      </c>
      <c r="I80" s="57"/>
      <c r="J80" s="57"/>
      <c r="K80" s="186">
        <v>0</v>
      </c>
      <c r="L80" s="57"/>
      <c r="M80" s="57"/>
      <c r="N80" s="57"/>
      <c r="O80" s="57"/>
      <c r="P80" s="185">
        <f t="shared" si="1"/>
        <v>0</v>
      </c>
      <c r="Q80" s="130"/>
      <c r="R80" s="56"/>
      <c r="S80" s="58"/>
      <c r="T80" s="58"/>
      <c r="U80" s="58"/>
      <c r="V80" s="58" t="s">
        <v>47</v>
      </c>
      <c r="W80" s="57"/>
      <c r="X80" s="161">
        <v>46154</v>
      </c>
      <c r="Y80" s="26" t="s">
        <v>61</v>
      </c>
      <c r="Z80" s="58"/>
      <c r="AA80" s="58"/>
      <c r="AB80" s="58" t="s">
        <v>49</v>
      </c>
      <c r="AC80" s="58"/>
      <c r="AD80" s="254" t="s">
        <v>48</v>
      </c>
      <c r="AE80" s="59"/>
      <c r="AF80" s="57"/>
      <c r="AG80" s="57"/>
      <c r="AH80" s="58"/>
      <c r="AI80" s="58"/>
      <c r="AJ80" s="56"/>
      <c r="AK80" s="58"/>
      <c r="AL80" s="57">
        <v>18</v>
      </c>
      <c r="AM80" s="225" t="s">
        <v>588</v>
      </c>
      <c r="AN80" s="254" t="s">
        <v>51</v>
      </c>
      <c r="AO80" s="126"/>
      <c r="AP80" s="129"/>
    </row>
    <row r="81" spans="1:42" s="20" customFormat="1" ht="14.25" customHeight="1" x14ac:dyDescent="0.2">
      <c r="A81" s="161">
        <v>46154</v>
      </c>
      <c r="B81" s="124"/>
      <c r="C81" s="125" t="s">
        <v>52</v>
      </c>
      <c r="D81" s="170" t="s">
        <v>53</v>
      </c>
      <c r="E81" s="171">
        <v>7429</v>
      </c>
      <c r="F81" s="58" t="s">
        <v>54</v>
      </c>
      <c r="G81" s="268">
        <v>76630222</v>
      </c>
      <c r="H81" s="85" t="s">
        <v>637</v>
      </c>
      <c r="I81" s="57"/>
      <c r="J81" s="57"/>
      <c r="K81" s="183">
        <v>5650</v>
      </c>
      <c r="L81" s="188"/>
      <c r="M81" s="188"/>
      <c r="N81" s="188"/>
      <c r="O81" s="188"/>
      <c r="P81" s="185">
        <f t="shared" si="1"/>
        <v>5650</v>
      </c>
      <c r="Q81" s="130"/>
      <c r="R81" s="56"/>
      <c r="S81" s="58"/>
      <c r="T81" s="58"/>
      <c r="U81" s="58"/>
      <c r="V81" s="58" t="s">
        <v>47</v>
      </c>
      <c r="W81" s="57"/>
      <c r="X81" s="161">
        <v>46154</v>
      </c>
      <c r="Y81" s="26" t="s">
        <v>63</v>
      </c>
      <c r="Z81" s="26"/>
      <c r="AA81" s="26"/>
      <c r="AB81" s="26" t="s">
        <v>49</v>
      </c>
      <c r="AC81" s="26"/>
      <c r="AD81" s="254" t="s">
        <v>48</v>
      </c>
      <c r="AE81" s="27"/>
      <c r="AF81" s="24"/>
      <c r="AG81" s="24"/>
      <c r="AH81" s="26"/>
      <c r="AI81" s="26"/>
      <c r="AJ81" s="25"/>
      <c r="AK81" s="26"/>
      <c r="AL81" s="24">
        <v>18</v>
      </c>
      <c r="AM81" s="224" t="s">
        <v>50</v>
      </c>
      <c r="AN81" s="254" t="s">
        <v>51</v>
      </c>
      <c r="AO81" s="126"/>
      <c r="AP81" s="129"/>
    </row>
    <row r="82" spans="1:42" s="20" customFormat="1" ht="14.25" customHeight="1" x14ac:dyDescent="0.2">
      <c r="A82" s="161">
        <v>46154</v>
      </c>
      <c r="B82" s="124"/>
      <c r="C82" s="125" t="s">
        <v>52</v>
      </c>
      <c r="D82" s="170" t="s">
        <v>53</v>
      </c>
      <c r="E82" s="171">
        <v>7430</v>
      </c>
      <c r="F82" s="58" t="s">
        <v>54</v>
      </c>
      <c r="G82" s="268">
        <v>76630222</v>
      </c>
      <c r="H82" s="85" t="s">
        <v>637</v>
      </c>
      <c r="I82" s="57"/>
      <c r="J82" s="57"/>
      <c r="K82" s="186">
        <v>0</v>
      </c>
      <c r="L82" s="57"/>
      <c r="M82" s="57"/>
      <c r="N82" s="57"/>
      <c r="O82" s="57"/>
      <c r="P82" s="185">
        <f t="shared" si="1"/>
        <v>0</v>
      </c>
      <c r="Q82" s="130"/>
      <c r="R82" s="56"/>
      <c r="S82" s="58"/>
      <c r="T82" s="58"/>
      <c r="U82" s="58"/>
      <c r="V82" s="58" t="s">
        <v>47</v>
      </c>
      <c r="W82" s="57"/>
      <c r="X82" s="161">
        <v>46154</v>
      </c>
      <c r="Y82" s="26" t="s">
        <v>61</v>
      </c>
      <c r="Z82" s="58"/>
      <c r="AA82" s="58"/>
      <c r="AB82" s="58" t="s">
        <v>49</v>
      </c>
      <c r="AC82" s="58"/>
      <c r="AD82" s="254" t="s">
        <v>48</v>
      </c>
      <c r="AE82" s="59"/>
      <c r="AF82" s="57"/>
      <c r="AG82" s="57"/>
      <c r="AH82" s="58"/>
      <c r="AI82" s="58"/>
      <c r="AJ82" s="56"/>
      <c r="AK82" s="58"/>
      <c r="AL82" s="57">
        <v>18</v>
      </c>
      <c r="AM82" s="225" t="s">
        <v>588</v>
      </c>
      <c r="AN82" s="254" t="s">
        <v>51</v>
      </c>
      <c r="AO82" s="126"/>
      <c r="AP82" s="129"/>
    </row>
    <row r="83" spans="1:42" s="20" customFormat="1" ht="14.25" customHeight="1" x14ac:dyDescent="0.2">
      <c r="A83" s="161">
        <v>46154</v>
      </c>
      <c r="B83" s="124"/>
      <c r="C83" s="125" t="s">
        <v>52</v>
      </c>
      <c r="D83" s="170" t="s">
        <v>53</v>
      </c>
      <c r="E83" s="171">
        <v>7431</v>
      </c>
      <c r="F83" s="58" t="s">
        <v>54</v>
      </c>
      <c r="G83" s="268">
        <v>75101759</v>
      </c>
      <c r="H83" s="85" t="s">
        <v>638</v>
      </c>
      <c r="I83" s="57"/>
      <c r="J83" s="57"/>
      <c r="K83" s="183">
        <v>5470</v>
      </c>
      <c r="L83" s="188"/>
      <c r="M83" s="188"/>
      <c r="N83" s="188"/>
      <c r="O83" s="188"/>
      <c r="P83" s="185">
        <f t="shared" si="1"/>
        <v>5470</v>
      </c>
      <c r="Q83" s="130"/>
      <c r="R83" s="56"/>
      <c r="S83" s="58"/>
      <c r="T83" s="58"/>
      <c r="U83" s="58"/>
      <c r="V83" s="58" t="s">
        <v>47</v>
      </c>
      <c r="W83" s="57"/>
      <c r="X83" s="161">
        <v>46154</v>
      </c>
      <c r="Y83" s="26" t="s">
        <v>63</v>
      </c>
      <c r="Z83" s="58"/>
      <c r="AA83" s="58"/>
      <c r="AB83" s="58" t="s">
        <v>49</v>
      </c>
      <c r="AC83" s="58"/>
      <c r="AD83" s="254" t="s">
        <v>48</v>
      </c>
      <c r="AE83" s="59"/>
      <c r="AF83" s="57"/>
      <c r="AG83" s="57"/>
      <c r="AH83" s="58"/>
      <c r="AI83" s="58"/>
      <c r="AJ83" s="56"/>
      <c r="AK83" s="58"/>
      <c r="AL83" s="57">
        <v>18</v>
      </c>
      <c r="AM83" s="224" t="s">
        <v>50</v>
      </c>
      <c r="AN83" s="254" t="s">
        <v>51</v>
      </c>
      <c r="AO83" s="126"/>
      <c r="AP83" s="129"/>
    </row>
    <row r="84" spans="1:42" s="20" customFormat="1" ht="14.25" customHeight="1" x14ac:dyDescent="0.2">
      <c r="A84" s="161">
        <v>46154</v>
      </c>
      <c r="B84" s="124"/>
      <c r="C84" s="125" t="s">
        <v>52</v>
      </c>
      <c r="D84" s="170" t="s">
        <v>53</v>
      </c>
      <c r="E84" s="171">
        <v>7432</v>
      </c>
      <c r="F84" s="58" t="s">
        <v>54</v>
      </c>
      <c r="G84" s="268">
        <v>75101759</v>
      </c>
      <c r="H84" s="85" t="s">
        <v>638</v>
      </c>
      <c r="I84" s="57"/>
      <c r="J84" s="57"/>
      <c r="K84" s="186">
        <v>0</v>
      </c>
      <c r="L84" s="57"/>
      <c r="M84" s="57"/>
      <c r="N84" s="57"/>
      <c r="O84" s="57"/>
      <c r="P84" s="185">
        <f t="shared" si="1"/>
        <v>0</v>
      </c>
      <c r="Q84" s="130"/>
      <c r="R84" s="56"/>
      <c r="S84" s="58"/>
      <c r="T84" s="58"/>
      <c r="U84" s="58"/>
      <c r="V84" s="58" t="s">
        <v>47</v>
      </c>
      <c r="W84" s="57"/>
      <c r="X84" s="161">
        <v>46154</v>
      </c>
      <c r="Y84" s="26" t="s">
        <v>61</v>
      </c>
      <c r="Z84" s="26"/>
      <c r="AA84" s="26"/>
      <c r="AB84" s="26" t="s">
        <v>49</v>
      </c>
      <c r="AC84" s="26"/>
      <c r="AD84" s="254" t="s">
        <v>48</v>
      </c>
      <c r="AE84" s="27"/>
      <c r="AF84" s="24"/>
      <c r="AG84" s="24"/>
      <c r="AH84" s="26"/>
      <c r="AI84" s="26"/>
      <c r="AJ84" s="25"/>
      <c r="AK84" s="26"/>
      <c r="AL84" s="24">
        <v>18</v>
      </c>
      <c r="AM84" s="225" t="s">
        <v>588</v>
      </c>
      <c r="AN84" s="254" t="s">
        <v>51</v>
      </c>
      <c r="AO84" s="126"/>
      <c r="AP84" s="129"/>
    </row>
    <row r="85" spans="1:42" s="20" customFormat="1" ht="14.25" customHeight="1" x14ac:dyDescent="0.2">
      <c r="A85" s="161">
        <v>46155</v>
      </c>
      <c r="B85" s="124"/>
      <c r="C85" s="125" t="s">
        <v>52</v>
      </c>
      <c r="D85" s="170" t="s">
        <v>53</v>
      </c>
      <c r="E85" s="171">
        <v>7433</v>
      </c>
      <c r="F85" s="58" t="s">
        <v>54</v>
      </c>
      <c r="G85" s="268">
        <v>43515299</v>
      </c>
      <c r="H85" s="85" t="s">
        <v>639</v>
      </c>
      <c r="I85" s="57"/>
      <c r="J85" s="57"/>
      <c r="K85" s="183">
        <v>6280</v>
      </c>
      <c r="L85" s="188"/>
      <c r="M85" s="188"/>
      <c r="N85" s="188"/>
      <c r="O85" s="188"/>
      <c r="P85" s="185">
        <f t="shared" si="1"/>
        <v>6280</v>
      </c>
      <c r="Q85" s="130"/>
      <c r="R85" s="56"/>
      <c r="S85" s="58"/>
      <c r="T85" s="58"/>
      <c r="U85" s="58"/>
      <c r="V85" s="58" t="s">
        <v>47</v>
      </c>
      <c r="W85" s="57"/>
      <c r="X85" s="161">
        <v>46155</v>
      </c>
      <c r="Y85" s="26" t="s">
        <v>63</v>
      </c>
      <c r="Z85" s="58"/>
      <c r="AA85" s="58"/>
      <c r="AB85" s="58" t="s">
        <v>49</v>
      </c>
      <c r="AC85" s="58"/>
      <c r="AD85" s="254" t="s">
        <v>48</v>
      </c>
      <c r="AE85" s="59"/>
      <c r="AF85" s="57"/>
      <c r="AG85" s="57"/>
      <c r="AH85" s="58"/>
      <c r="AI85" s="58"/>
      <c r="AJ85" s="56"/>
      <c r="AK85" s="58"/>
      <c r="AL85" s="57">
        <v>18</v>
      </c>
      <c r="AM85" s="224" t="s">
        <v>50</v>
      </c>
      <c r="AN85" s="254" t="s">
        <v>51</v>
      </c>
      <c r="AO85" s="126"/>
      <c r="AP85" s="129"/>
    </row>
    <row r="86" spans="1:42" s="20" customFormat="1" ht="14.25" customHeight="1" x14ac:dyDescent="0.2">
      <c r="A86" s="161">
        <v>46155</v>
      </c>
      <c r="B86" s="124"/>
      <c r="C86" s="125" t="s">
        <v>52</v>
      </c>
      <c r="D86" s="170" t="s">
        <v>53</v>
      </c>
      <c r="E86" s="171">
        <v>7434</v>
      </c>
      <c r="F86" s="58" t="s">
        <v>54</v>
      </c>
      <c r="G86" s="268">
        <v>43515299</v>
      </c>
      <c r="H86" s="85" t="s">
        <v>639</v>
      </c>
      <c r="I86" s="57"/>
      <c r="J86" s="57"/>
      <c r="K86" s="186">
        <v>0</v>
      </c>
      <c r="L86" s="57"/>
      <c r="M86" s="57"/>
      <c r="N86" s="57"/>
      <c r="O86" s="57"/>
      <c r="P86" s="185">
        <f t="shared" si="1"/>
        <v>0</v>
      </c>
      <c r="Q86" s="130"/>
      <c r="R86" s="56"/>
      <c r="S86" s="58"/>
      <c r="T86" s="58"/>
      <c r="U86" s="58"/>
      <c r="V86" s="58" t="s">
        <v>47</v>
      </c>
      <c r="W86" s="57"/>
      <c r="X86" s="161">
        <v>46155</v>
      </c>
      <c r="Y86" s="26" t="s">
        <v>61</v>
      </c>
      <c r="Z86" s="26"/>
      <c r="AA86" s="26"/>
      <c r="AB86" s="26" t="s">
        <v>49</v>
      </c>
      <c r="AC86" s="26"/>
      <c r="AD86" s="254" t="s">
        <v>48</v>
      </c>
      <c r="AE86" s="27"/>
      <c r="AF86" s="24"/>
      <c r="AG86" s="24"/>
      <c r="AH86" s="26"/>
      <c r="AI86" s="26"/>
      <c r="AJ86" s="25"/>
      <c r="AK86" s="26"/>
      <c r="AL86" s="24">
        <v>18</v>
      </c>
      <c r="AM86" s="225" t="s">
        <v>588</v>
      </c>
      <c r="AN86" s="254" t="s">
        <v>51</v>
      </c>
      <c r="AO86" s="126"/>
      <c r="AP86" s="129"/>
    </row>
    <row r="87" spans="1:42" s="20" customFormat="1" ht="14.25" customHeight="1" x14ac:dyDescent="0.2">
      <c r="A87" s="161">
        <v>46155</v>
      </c>
      <c r="B87" s="124"/>
      <c r="C87" s="125" t="s">
        <v>52</v>
      </c>
      <c r="D87" s="170" t="s">
        <v>53</v>
      </c>
      <c r="E87" s="171">
        <v>7435</v>
      </c>
      <c r="F87" s="58" t="s">
        <v>54</v>
      </c>
      <c r="G87" s="268">
        <v>20985848</v>
      </c>
      <c r="H87" s="85" t="s">
        <v>640</v>
      </c>
      <c r="I87" s="57"/>
      <c r="J87" s="57"/>
      <c r="K87" s="183">
        <v>8180</v>
      </c>
      <c r="L87" s="184"/>
      <c r="M87" s="184"/>
      <c r="N87" s="184"/>
      <c r="O87" s="184"/>
      <c r="P87" s="185">
        <f t="shared" si="1"/>
        <v>8180</v>
      </c>
      <c r="Q87" s="130"/>
      <c r="R87" s="56"/>
      <c r="S87" s="58"/>
      <c r="T87" s="58"/>
      <c r="U87" s="58"/>
      <c r="V87" s="58" t="s">
        <v>47</v>
      </c>
      <c r="W87" s="57"/>
      <c r="X87" s="161">
        <v>46155</v>
      </c>
      <c r="Y87" s="26" t="s">
        <v>63</v>
      </c>
      <c r="Z87" s="58"/>
      <c r="AA87" s="58"/>
      <c r="AB87" s="58" t="s">
        <v>49</v>
      </c>
      <c r="AC87" s="58"/>
      <c r="AD87" s="254" t="s">
        <v>48</v>
      </c>
      <c r="AE87" s="59"/>
      <c r="AF87" s="57"/>
      <c r="AG87" s="57"/>
      <c r="AH87" s="58"/>
      <c r="AI87" s="58"/>
      <c r="AJ87" s="56"/>
      <c r="AK87" s="58"/>
      <c r="AL87" s="57">
        <v>18</v>
      </c>
      <c r="AM87" s="224" t="s">
        <v>50</v>
      </c>
      <c r="AN87" s="254" t="s">
        <v>51</v>
      </c>
      <c r="AO87" s="126"/>
      <c r="AP87" s="129"/>
    </row>
    <row r="88" spans="1:42" s="20" customFormat="1" ht="14.25" customHeight="1" x14ac:dyDescent="0.2">
      <c r="A88" s="161">
        <v>46155</v>
      </c>
      <c r="B88" s="124"/>
      <c r="C88" s="125" t="s">
        <v>52</v>
      </c>
      <c r="D88" s="170" t="s">
        <v>53</v>
      </c>
      <c r="E88" s="171">
        <v>7436</v>
      </c>
      <c r="F88" s="58" t="s">
        <v>54</v>
      </c>
      <c r="G88" s="268">
        <v>48149321</v>
      </c>
      <c r="H88" s="85" t="s">
        <v>641</v>
      </c>
      <c r="I88" s="57"/>
      <c r="J88" s="57"/>
      <c r="K88" s="183">
        <v>6800</v>
      </c>
      <c r="L88" s="184"/>
      <c r="M88" s="184"/>
      <c r="N88" s="184"/>
      <c r="O88" s="184"/>
      <c r="P88" s="185">
        <f t="shared" si="1"/>
        <v>6800</v>
      </c>
      <c r="Q88" s="130"/>
      <c r="R88" s="56"/>
      <c r="S88" s="58"/>
      <c r="T88" s="58"/>
      <c r="U88" s="58"/>
      <c r="V88" s="58" t="s">
        <v>47</v>
      </c>
      <c r="W88" s="57"/>
      <c r="X88" s="227">
        <v>46339</v>
      </c>
      <c r="Y88" s="26" t="s">
        <v>63</v>
      </c>
      <c r="Z88" s="26"/>
      <c r="AA88" s="26"/>
      <c r="AB88" s="26" t="s">
        <v>49</v>
      </c>
      <c r="AC88" s="26"/>
      <c r="AD88" s="254" t="s">
        <v>48</v>
      </c>
      <c r="AE88" s="27"/>
      <c r="AF88" s="24"/>
      <c r="AG88" s="24"/>
      <c r="AH88" s="26"/>
      <c r="AI88" s="26"/>
      <c r="AJ88" s="25"/>
      <c r="AK88" s="26"/>
      <c r="AL88" s="24">
        <v>18</v>
      </c>
      <c r="AM88" s="224" t="s">
        <v>50</v>
      </c>
      <c r="AN88" s="254" t="s">
        <v>51</v>
      </c>
      <c r="AO88" s="126"/>
      <c r="AP88" s="129"/>
    </row>
    <row r="89" spans="1:42" s="20" customFormat="1" ht="14.25" customHeight="1" x14ac:dyDescent="0.2">
      <c r="A89" s="161">
        <v>46155</v>
      </c>
      <c r="B89" s="124"/>
      <c r="C89" s="125" t="s">
        <v>52</v>
      </c>
      <c r="D89" s="170" t="s">
        <v>53</v>
      </c>
      <c r="E89" s="171">
        <v>7437</v>
      </c>
      <c r="F89" s="58" t="s">
        <v>54</v>
      </c>
      <c r="G89" s="268">
        <v>48149321</v>
      </c>
      <c r="H89" s="85" t="s">
        <v>641</v>
      </c>
      <c r="I89" s="57"/>
      <c r="J89" s="57"/>
      <c r="K89" s="186">
        <v>0</v>
      </c>
      <c r="L89" s="57"/>
      <c r="M89" s="57"/>
      <c r="N89" s="57"/>
      <c r="O89" s="57"/>
      <c r="P89" s="185">
        <f t="shared" si="1"/>
        <v>0</v>
      </c>
      <c r="Q89" s="130"/>
      <c r="R89" s="56"/>
      <c r="S89" s="58"/>
      <c r="T89" s="58"/>
      <c r="U89" s="58"/>
      <c r="V89" s="58" t="s">
        <v>47</v>
      </c>
      <c r="W89" s="57"/>
      <c r="X89" s="161">
        <v>46155</v>
      </c>
      <c r="Y89" s="26" t="s">
        <v>61</v>
      </c>
      <c r="Z89" s="58"/>
      <c r="AA89" s="58"/>
      <c r="AB89" s="58" t="s">
        <v>49</v>
      </c>
      <c r="AC89" s="58"/>
      <c r="AD89" s="254" t="s">
        <v>48</v>
      </c>
      <c r="AE89" s="59"/>
      <c r="AF89" s="57"/>
      <c r="AG89" s="57"/>
      <c r="AH89" s="58"/>
      <c r="AI89" s="58"/>
      <c r="AJ89" s="56"/>
      <c r="AK89" s="58"/>
      <c r="AL89" s="57">
        <v>18</v>
      </c>
      <c r="AM89" s="225" t="s">
        <v>588</v>
      </c>
      <c r="AN89" s="254" t="s">
        <v>51</v>
      </c>
      <c r="AO89" s="126"/>
      <c r="AP89" s="129"/>
    </row>
    <row r="90" spans="1:42" s="20" customFormat="1" ht="14.25" customHeight="1" x14ac:dyDescent="0.2">
      <c r="A90" s="161">
        <v>46155</v>
      </c>
      <c r="B90" s="124"/>
      <c r="C90" s="141" t="s">
        <v>52</v>
      </c>
      <c r="D90" s="170" t="s">
        <v>53</v>
      </c>
      <c r="E90" s="171">
        <v>7438</v>
      </c>
      <c r="F90" s="190" t="s">
        <v>54</v>
      </c>
      <c r="G90" s="268">
        <v>77062686</v>
      </c>
      <c r="H90" s="85" t="s">
        <v>642</v>
      </c>
      <c r="I90" s="57"/>
      <c r="J90" s="57"/>
      <c r="K90" s="183">
        <v>7780</v>
      </c>
      <c r="L90" s="191"/>
      <c r="M90" s="191"/>
      <c r="N90" s="191"/>
      <c r="O90" s="191"/>
      <c r="P90" s="185">
        <f t="shared" si="1"/>
        <v>7780</v>
      </c>
      <c r="Q90" s="130"/>
      <c r="R90" s="56"/>
      <c r="S90" s="58"/>
      <c r="T90" s="58"/>
      <c r="U90" s="58"/>
      <c r="V90" s="58" t="s">
        <v>47</v>
      </c>
      <c r="W90" s="57"/>
      <c r="X90" s="227">
        <v>46172</v>
      </c>
      <c r="Y90" s="26" t="s">
        <v>63</v>
      </c>
      <c r="Z90" s="26"/>
      <c r="AA90" s="26"/>
      <c r="AB90" s="26" t="s">
        <v>49</v>
      </c>
      <c r="AC90" s="26"/>
      <c r="AD90" s="254" t="s">
        <v>48</v>
      </c>
      <c r="AE90" s="27"/>
      <c r="AF90" s="24"/>
      <c r="AG90" s="24"/>
      <c r="AH90" s="26"/>
      <c r="AI90" s="26"/>
      <c r="AJ90" s="25"/>
      <c r="AK90" s="26"/>
      <c r="AL90" s="24">
        <v>18</v>
      </c>
      <c r="AM90" s="224" t="s">
        <v>50</v>
      </c>
      <c r="AN90" s="254" t="s">
        <v>51</v>
      </c>
      <c r="AO90" s="126"/>
      <c r="AP90" s="129"/>
    </row>
    <row r="91" spans="1:42" s="20" customFormat="1" ht="14.25" customHeight="1" x14ac:dyDescent="0.2">
      <c r="A91" s="161">
        <v>46155</v>
      </c>
      <c r="B91" s="124"/>
      <c r="C91" s="141" t="s">
        <v>52</v>
      </c>
      <c r="D91" s="170" t="s">
        <v>53</v>
      </c>
      <c r="E91" s="171">
        <v>7439</v>
      </c>
      <c r="F91" s="58" t="s">
        <v>54</v>
      </c>
      <c r="G91" s="268">
        <v>77062686</v>
      </c>
      <c r="H91" s="85" t="s">
        <v>642</v>
      </c>
      <c r="I91" s="57"/>
      <c r="J91" s="57"/>
      <c r="K91" s="186">
        <v>0</v>
      </c>
      <c r="L91" s="45"/>
      <c r="M91" s="45"/>
      <c r="N91" s="45"/>
      <c r="O91" s="45"/>
      <c r="P91" s="185">
        <f t="shared" si="1"/>
        <v>0</v>
      </c>
      <c r="Q91" s="130"/>
      <c r="R91" s="56"/>
      <c r="S91" s="58"/>
      <c r="T91" s="58"/>
      <c r="U91" s="58"/>
      <c r="V91" s="58" t="s">
        <v>47</v>
      </c>
      <c r="W91" s="57"/>
      <c r="X91" s="161">
        <v>46155</v>
      </c>
      <c r="Y91" s="26" t="s">
        <v>61</v>
      </c>
      <c r="Z91" s="58"/>
      <c r="AA91" s="58"/>
      <c r="AB91" s="58" t="s">
        <v>49</v>
      </c>
      <c r="AC91" s="58"/>
      <c r="AD91" s="254" t="s">
        <v>48</v>
      </c>
      <c r="AE91" s="59"/>
      <c r="AF91" s="57"/>
      <c r="AG91" s="57"/>
      <c r="AH91" s="58"/>
      <c r="AI91" s="58"/>
      <c r="AJ91" s="56"/>
      <c r="AK91" s="58"/>
      <c r="AL91" s="57">
        <v>18</v>
      </c>
      <c r="AM91" s="225" t="s">
        <v>588</v>
      </c>
      <c r="AN91" s="254" t="s">
        <v>51</v>
      </c>
      <c r="AO91" s="126"/>
      <c r="AP91" s="129"/>
    </row>
    <row r="92" spans="1:42" s="20" customFormat="1" ht="14.25" customHeight="1" x14ac:dyDescent="0.2">
      <c r="A92" s="161">
        <v>46156</v>
      </c>
      <c r="B92" s="124"/>
      <c r="C92" s="141" t="s">
        <v>52</v>
      </c>
      <c r="D92" s="170" t="s">
        <v>53</v>
      </c>
      <c r="E92" s="171">
        <v>7440</v>
      </c>
      <c r="F92" s="190" t="s">
        <v>54</v>
      </c>
      <c r="G92" s="268">
        <v>47114962</v>
      </c>
      <c r="H92" s="85" t="s">
        <v>643</v>
      </c>
      <c r="I92" s="57"/>
      <c r="J92" s="57"/>
      <c r="K92" s="183">
        <v>7262</v>
      </c>
      <c r="L92" s="191"/>
      <c r="M92" s="191"/>
      <c r="N92" s="191"/>
      <c r="O92" s="191"/>
      <c r="P92" s="185">
        <f t="shared" si="1"/>
        <v>7262</v>
      </c>
      <c r="Q92" s="130"/>
      <c r="R92" s="56"/>
      <c r="S92" s="58"/>
      <c r="T92" s="58"/>
      <c r="U92" s="58"/>
      <c r="V92" s="58" t="s">
        <v>47</v>
      </c>
      <c r="W92" s="57"/>
      <c r="X92" s="161">
        <v>46156</v>
      </c>
      <c r="Y92" s="26" t="s">
        <v>63</v>
      </c>
      <c r="Z92" s="26"/>
      <c r="AA92" s="26"/>
      <c r="AB92" s="26" t="s">
        <v>49</v>
      </c>
      <c r="AC92" s="26"/>
      <c r="AD92" s="254" t="s">
        <v>48</v>
      </c>
      <c r="AE92" s="27"/>
      <c r="AF92" s="24"/>
      <c r="AG92" s="24"/>
      <c r="AH92" s="26"/>
      <c r="AI92" s="26"/>
      <c r="AJ92" s="25"/>
      <c r="AK92" s="26"/>
      <c r="AL92" s="24">
        <v>18</v>
      </c>
      <c r="AM92" s="224" t="s">
        <v>50</v>
      </c>
      <c r="AN92" s="254" t="s">
        <v>51</v>
      </c>
      <c r="AO92" s="126"/>
      <c r="AP92" s="129"/>
    </row>
    <row r="93" spans="1:42" s="20" customFormat="1" ht="14.25" customHeight="1" x14ac:dyDescent="0.2">
      <c r="A93" s="161">
        <v>46156</v>
      </c>
      <c r="B93" s="142"/>
      <c r="C93" s="141" t="s">
        <v>52</v>
      </c>
      <c r="D93" s="170" t="s">
        <v>53</v>
      </c>
      <c r="E93" s="171">
        <v>7441</v>
      </c>
      <c r="F93" s="58" t="s">
        <v>54</v>
      </c>
      <c r="G93" s="268">
        <v>44324841</v>
      </c>
      <c r="H93" s="85" t="s">
        <v>644</v>
      </c>
      <c r="I93" s="57"/>
      <c r="J93" s="57"/>
      <c r="K93" s="183">
        <v>6580</v>
      </c>
      <c r="L93" s="192"/>
      <c r="M93" s="192"/>
      <c r="N93" s="192"/>
      <c r="O93" s="192"/>
      <c r="P93" s="185">
        <f t="shared" si="1"/>
        <v>6580</v>
      </c>
      <c r="Q93" s="130"/>
      <c r="R93" s="56"/>
      <c r="S93" s="58"/>
      <c r="T93" s="58"/>
      <c r="U93" s="58"/>
      <c r="V93" s="58" t="s">
        <v>47</v>
      </c>
      <c r="W93" s="57"/>
      <c r="X93" s="227">
        <v>46217</v>
      </c>
      <c r="Y93" s="26" t="s">
        <v>63</v>
      </c>
      <c r="Z93" s="58"/>
      <c r="AA93" s="58"/>
      <c r="AB93" s="58" t="s">
        <v>49</v>
      </c>
      <c r="AC93" s="58"/>
      <c r="AD93" s="254" t="s">
        <v>48</v>
      </c>
      <c r="AE93" s="59"/>
      <c r="AF93" s="57"/>
      <c r="AG93" s="57"/>
      <c r="AH93" s="58"/>
      <c r="AI93" s="58"/>
      <c r="AJ93" s="56"/>
      <c r="AK93" s="58"/>
      <c r="AL93" s="57">
        <v>18</v>
      </c>
      <c r="AM93" s="224" t="s">
        <v>50</v>
      </c>
      <c r="AN93" s="254" t="s">
        <v>51</v>
      </c>
      <c r="AO93" s="126"/>
      <c r="AP93" s="129"/>
    </row>
    <row r="94" spans="1:42" s="20" customFormat="1" ht="14.25" customHeight="1" x14ac:dyDescent="0.2">
      <c r="A94" s="161">
        <v>46156</v>
      </c>
      <c r="B94" s="124"/>
      <c r="C94" s="141" t="s">
        <v>52</v>
      </c>
      <c r="D94" s="170" t="s">
        <v>53</v>
      </c>
      <c r="E94" s="171">
        <v>7442</v>
      </c>
      <c r="F94" s="190" t="s">
        <v>54</v>
      </c>
      <c r="G94" s="268">
        <v>44324841</v>
      </c>
      <c r="H94" s="85" t="s">
        <v>644</v>
      </c>
      <c r="I94" s="57"/>
      <c r="J94" s="57"/>
      <c r="K94" s="186">
        <v>0</v>
      </c>
      <c r="L94" s="45"/>
      <c r="M94" s="45"/>
      <c r="N94" s="45"/>
      <c r="O94" s="45"/>
      <c r="P94" s="185">
        <f t="shared" si="1"/>
        <v>0</v>
      </c>
      <c r="Q94" s="130"/>
      <c r="R94" s="56"/>
      <c r="S94" s="58"/>
      <c r="T94" s="58"/>
      <c r="U94" s="58"/>
      <c r="V94" s="58" t="s">
        <v>47</v>
      </c>
      <c r="W94" s="57"/>
      <c r="X94" s="161">
        <v>46156</v>
      </c>
      <c r="Y94" s="26" t="s">
        <v>61</v>
      </c>
      <c r="Z94" s="26"/>
      <c r="AA94" s="26"/>
      <c r="AB94" s="26" t="s">
        <v>49</v>
      </c>
      <c r="AC94" s="26"/>
      <c r="AD94" s="254" t="s">
        <v>48</v>
      </c>
      <c r="AE94" s="27"/>
      <c r="AF94" s="24"/>
      <c r="AG94" s="24"/>
      <c r="AH94" s="26"/>
      <c r="AI94" s="26"/>
      <c r="AJ94" s="25"/>
      <c r="AK94" s="26"/>
      <c r="AL94" s="24">
        <v>18</v>
      </c>
      <c r="AM94" s="225" t="s">
        <v>588</v>
      </c>
      <c r="AN94" s="254" t="s">
        <v>51</v>
      </c>
      <c r="AO94" s="126"/>
      <c r="AP94" s="129"/>
    </row>
    <row r="95" spans="1:42" s="20" customFormat="1" ht="14.25" customHeight="1" x14ac:dyDescent="0.2">
      <c r="A95" s="161">
        <v>46156</v>
      </c>
      <c r="B95" s="124"/>
      <c r="C95" s="141" t="s">
        <v>52</v>
      </c>
      <c r="D95" s="170" t="s">
        <v>53</v>
      </c>
      <c r="E95" s="171">
        <v>7443</v>
      </c>
      <c r="F95" s="190" t="s">
        <v>54</v>
      </c>
      <c r="G95" s="268">
        <v>45247516</v>
      </c>
      <c r="H95" s="85" t="s">
        <v>645</v>
      </c>
      <c r="I95" s="57"/>
      <c r="J95" s="57"/>
      <c r="K95" s="183">
        <v>11230</v>
      </c>
      <c r="L95" s="192"/>
      <c r="M95" s="192"/>
      <c r="N95" s="192"/>
      <c r="O95" s="192"/>
      <c r="P95" s="185">
        <f t="shared" si="1"/>
        <v>11230</v>
      </c>
      <c r="Q95" s="130"/>
      <c r="R95" s="56"/>
      <c r="S95" s="58"/>
      <c r="T95" s="58"/>
      <c r="U95" s="58"/>
      <c r="V95" s="58" t="s">
        <v>47</v>
      </c>
      <c r="W95" s="57"/>
      <c r="X95" s="161">
        <v>46156</v>
      </c>
      <c r="Y95" s="26" t="s">
        <v>63</v>
      </c>
      <c r="Z95" s="58"/>
      <c r="AA95" s="58"/>
      <c r="AB95" s="58" t="s">
        <v>49</v>
      </c>
      <c r="AC95" s="58"/>
      <c r="AD95" s="254" t="s">
        <v>48</v>
      </c>
      <c r="AE95" s="59"/>
      <c r="AF95" s="57"/>
      <c r="AG95" s="57"/>
      <c r="AH95" s="58"/>
      <c r="AI95" s="58"/>
      <c r="AJ95" s="56"/>
      <c r="AK95" s="58"/>
      <c r="AL95" s="57">
        <v>18</v>
      </c>
      <c r="AM95" s="224" t="s">
        <v>50</v>
      </c>
      <c r="AN95" s="254" t="s">
        <v>51</v>
      </c>
      <c r="AO95" s="126"/>
      <c r="AP95" s="129"/>
    </row>
    <row r="96" spans="1:42" s="20" customFormat="1" ht="14.25" customHeight="1" x14ac:dyDescent="0.2">
      <c r="A96" s="161">
        <v>46156</v>
      </c>
      <c r="B96" s="124"/>
      <c r="C96" s="141" t="s">
        <v>52</v>
      </c>
      <c r="D96" s="170" t="s">
        <v>53</v>
      </c>
      <c r="E96" s="171">
        <v>7444</v>
      </c>
      <c r="F96" s="58" t="s">
        <v>54</v>
      </c>
      <c r="G96" s="268">
        <v>45247516</v>
      </c>
      <c r="H96" s="85" t="s">
        <v>645</v>
      </c>
      <c r="I96" s="57"/>
      <c r="J96" s="57"/>
      <c r="K96" s="186">
        <v>0</v>
      </c>
      <c r="L96" s="45"/>
      <c r="M96" s="45"/>
      <c r="N96" s="45"/>
      <c r="O96" s="45"/>
      <c r="P96" s="185">
        <f t="shared" si="1"/>
        <v>0</v>
      </c>
      <c r="Q96" s="130"/>
      <c r="R96" s="56"/>
      <c r="S96" s="58"/>
      <c r="T96" s="58"/>
      <c r="U96" s="58"/>
      <c r="V96" s="58" t="s">
        <v>47</v>
      </c>
      <c r="W96" s="57"/>
      <c r="X96" s="161">
        <v>46156</v>
      </c>
      <c r="Y96" s="26" t="s">
        <v>61</v>
      </c>
      <c r="Z96" s="26"/>
      <c r="AA96" s="26"/>
      <c r="AB96" s="26" t="s">
        <v>49</v>
      </c>
      <c r="AC96" s="26"/>
      <c r="AD96" s="254" t="s">
        <v>48</v>
      </c>
      <c r="AE96" s="27"/>
      <c r="AF96" s="24"/>
      <c r="AG96" s="24"/>
      <c r="AH96" s="26"/>
      <c r="AI96" s="26"/>
      <c r="AJ96" s="25"/>
      <c r="AK96" s="26"/>
      <c r="AL96" s="24">
        <v>18</v>
      </c>
      <c r="AM96" s="225" t="s">
        <v>588</v>
      </c>
      <c r="AN96" s="254" t="s">
        <v>51</v>
      </c>
      <c r="AO96" s="126"/>
      <c r="AP96" s="129"/>
    </row>
    <row r="97" spans="1:42" s="20" customFormat="1" ht="14.25" customHeight="1" x14ac:dyDescent="0.2">
      <c r="A97" s="161">
        <v>46157</v>
      </c>
      <c r="B97" s="124"/>
      <c r="C97" s="141" t="s">
        <v>52</v>
      </c>
      <c r="D97" s="170" t="s">
        <v>53</v>
      </c>
      <c r="E97" s="171">
        <v>7445</v>
      </c>
      <c r="F97" s="190" t="s">
        <v>54</v>
      </c>
      <c r="G97" s="268">
        <v>45053449</v>
      </c>
      <c r="H97" s="85" t="s">
        <v>646</v>
      </c>
      <c r="I97" s="57"/>
      <c r="J97" s="57"/>
      <c r="K97" s="183">
        <v>6380</v>
      </c>
      <c r="L97" s="192"/>
      <c r="M97" s="192"/>
      <c r="N97" s="192"/>
      <c r="O97" s="192"/>
      <c r="P97" s="185">
        <f t="shared" si="1"/>
        <v>6380</v>
      </c>
      <c r="Q97" s="130"/>
      <c r="R97" s="56"/>
      <c r="S97" s="58"/>
      <c r="T97" s="58"/>
      <c r="U97" s="58"/>
      <c r="V97" s="58" t="s">
        <v>47</v>
      </c>
      <c r="W97" s="57"/>
      <c r="X97" s="161">
        <v>46157</v>
      </c>
      <c r="Y97" s="26" t="s">
        <v>63</v>
      </c>
      <c r="Z97" s="26"/>
      <c r="AA97" s="26"/>
      <c r="AB97" s="26" t="s">
        <v>49</v>
      </c>
      <c r="AC97" s="26"/>
      <c r="AD97" s="254" t="s">
        <v>48</v>
      </c>
      <c r="AE97" s="27"/>
      <c r="AF97" s="24"/>
      <c r="AG97" s="24"/>
      <c r="AH97" s="26"/>
      <c r="AI97" s="26"/>
      <c r="AJ97" s="25"/>
      <c r="AK97" s="26"/>
      <c r="AL97" s="24">
        <v>18</v>
      </c>
      <c r="AM97" s="224" t="s">
        <v>50</v>
      </c>
      <c r="AN97" s="254" t="s">
        <v>51</v>
      </c>
      <c r="AO97" s="126"/>
      <c r="AP97" s="129"/>
    </row>
    <row r="98" spans="1:42" s="20" customFormat="1" ht="14.25" customHeight="1" x14ac:dyDescent="0.2">
      <c r="A98" s="161">
        <v>46157</v>
      </c>
      <c r="B98" s="142"/>
      <c r="C98" s="141" t="s">
        <v>52</v>
      </c>
      <c r="D98" s="170" t="s">
        <v>53</v>
      </c>
      <c r="E98" s="171">
        <v>7446</v>
      </c>
      <c r="F98" s="58" t="s">
        <v>54</v>
      </c>
      <c r="G98" s="268">
        <v>45053449</v>
      </c>
      <c r="H98" s="85" t="s">
        <v>646</v>
      </c>
      <c r="I98" s="57"/>
      <c r="J98" s="57"/>
      <c r="K98" s="186">
        <v>0</v>
      </c>
      <c r="L98" s="45"/>
      <c r="M98" s="45"/>
      <c r="N98" s="45"/>
      <c r="O98" s="45"/>
      <c r="P98" s="185">
        <f t="shared" si="1"/>
        <v>0</v>
      </c>
      <c r="Q98" s="130"/>
      <c r="R98" s="56"/>
      <c r="S98" s="58"/>
      <c r="T98" s="58"/>
      <c r="U98" s="58"/>
      <c r="V98" s="58" t="s">
        <v>47</v>
      </c>
      <c r="W98" s="57"/>
      <c r="X98" s="161">
        <v>46157</v>
      </c>
      <c r="Y98" s="26" t="s">
        <v>61</v>
      </c>
      <c r="Z98" s="58"/>
      <c r="AA98" s="58"/>
      <c r="AB98" s="58" t="s">
        <v>49</v>
      </c>
      <c r="AC98" s="58"/>
      <c r="AD98" s="254" t="s">
        <v>48</v>
      </c>
      <c r="AE98" s="59"/>
      <c r="AF98" s="57"/>
      <c r="AG98" s="57"/>
      <c r="AH98" s="58"/>
      <c r="AI98" s="58"/>
      <c r="AJ98" s="56"/>
      <c r="AK98" s="58"/>
      <c r="AL98" s="57">
        <v>18</v>
      </c>
      <c r="AM98" s="225" t="s">
        <v>588</v>
      </c>
      <c r="AN98" s="254" t="s">
        <v>51</v>
      </c>
      <c r="AO98" s="126"/>
      <c r="AP98" s="129"/>
    </row>
    <row r="99" spans="1:42" s="20" customFormat="1" ht="15" customHeight="1" x14ac:dyDescent="0.2">
      <c r="A99" s="161">
        <v>46157</v>
      </c>
      <c r="B99" s="124"/>
      <c r="C99" s="141" t="s">
        <v>52</v>
      </c>
      <c r="D99" s="170" t="s">
        <v>53</v>
      </c>
      <c r="E99" s="171">
        <v>7447</v>
      </c>
      <c r="F99" s="190" t="s">
        <v>54</v>
      </c>
      <c r="G99" s="268">
        <v>40770609</v>
      </c>
      <c r="H99" s="85" t="s">
        <v>647</v>
      </c>
      <c r="I99" s="57"/>
      <c r="J99" s="57"/>
      <c r="K99" s="183">
        <v>5650</v>
      </c>
      <c r="L99" s="192"/>
      <c r="M99" s="192"/>
      <c r="N99" s="192"/>
      <c r="O99" s="188"/>
      <c r="P99" s="185">
        <f t="shared" si="1"/>
        <v>5650</v>
      </c>
      <c r="Q99" s="143"/>
      <c r="R99" s="58"/>
      <c r="S99" s="58"/>
      <c r="T99" s="58"/>
      <c r="U99" s="57"/>
      <c r="V99" s="58" t="s">
        <v>47</v>
      </c>
      <c r="W99" s="58"/>
      <c r="X99" s="161">
        <v>46157</v>
      </c>
      <c r="Y99" s="26" t="s">
        <v>63</v>
      </c>
      <c r="Z99" s="26"/>
      <c r="AA99" s="26"/>
      <c r="AB99" s="26" t="s">
        <v>49</v>
      </c>
      <c r="AC99" s="26"/>
      <c r="AD99" s="254" t="s">
        <v>48</v>
      </c>
      <c r="AE99" s="27"/>
      <c r="AF99" s="24"/>
      <c r="AG99" s="24"/>
      <c r="AH99" s="26"/>
      <c r="AI99" s="26"/>
      <c r="AJ99" s="25"/>
      <c r="AK99" s="26"/>
      <c r="AL99" s="24">
        <v>18</v>
      </c>
      <c r="AM99" s="224" t="s">
        <v>50</v>
      </c>
      <c r="AN99" s="254" t="s">
        <v>51</v>
      </c>
      <c r="AO99" s="127"/>
      <c r="AP99" s="127"/>
    </row>
    <row r="100" spans="1:42" s="20" customFormat="1" ht="14.25" customHeight="1" x14ac:dyDescent="0.2">
      <c r="A100" s="161">
        <v>46157</v>
      </c>
      <c r="B100" s="142"/>
      <c r="C100" s="141" t="s">
        <v>52</v>
      </c>
      <c r="D100" s="170" t="s">
        <v>53</v>
      </c>
      <c r="E100" s="171">
        <v>7448</v>
      </c>
      <c r="F100" s="58" t="s">
        <v>54</v>
      </c>
      <c r="G100" s="268">
        <v>40770609</v>
      </c>
      <c r="H100" s="85" t="s">
        <v>647</v>
      </c>
      <c r="I100" s="57"/>
      <c r="J100" s="57"/>
      <c r="K100" s="186">
        <v>0</v>
      </c>
      <c r="L100" s="45"/>
      <c r="M100" s="45"/>
      <c r="N100" s="45"/>
      <c r="O100" s="193"/>
      <c r="P100" s="185">
        <f t="shared" si="1"/>
        <v>0</v>
      </c>
      <c r="Q100" s="143"/>
      <c r="R100" s="58"/>
      <c r="S100" s="58"/>
      <c r="T100" s="58"/>
      <c r="U100" s="57"/>
      <c r="V100" s="58" t="s">
        <v>47</v>
      </c>
      <c r="W100" s="58"/>
      <c r="X100" s="161">
        <v>46157</v>
      </c>
      <c r="Y100" s="26" t="s">
        <v>61</v>
      </c>
      <c r="Z100" s="58"/>
      <c r="AA100" s="58"/>
      <c r="AB100" s="58" t="s">
        <v>49</v>
      </c>
      <c r="AC100" s="58"/>
      <c r="AD100" s="254" t="s">
        <v>48</v>
      </c>
      <c r="AE100" s="59"/>
      <c r="AF100" s="57"/>
      <c r="AG100" s="57"/>
      <c r="AH100" s="58"/>
      <c r="AI100" s="58"/>
      <c r="AJ100" s="56"/>
      <c r="AK100" s="58"/>
      <c r="AL100" s="57">
        <v>18</v>
      </c>
      <c r="AM100" s="225" t="s">
        <v>588</v>
      </c>
      <c r="AN100" s="254" t="s">
        <v>51</v>
      </c>
      <c r="AO100" s="127"/>
      <c r="AP100" s="127"/>
    </row>
    <row r="101" spans="1:42" s="20" customFormat="1" ht="14.25" customHeight="1" x14ac:dyDescent="0.2">
      <c r="A101" s="161">
        <v>46157</v>
      </c>
      <c r="B101" s="124"/>
      <c r="C101" s="141" t="s">
        <v>52</v>
      </c>
      <c r="D101" s="170" t="s">
        <v>53</v>
      </c>
      <c r="E101" s="171">
        <v>7449</v>
      </c>
      <c r="F101" s="190" t="s">
        <v>54</v>
      </c>
      <c r="G101" s="268">
        <v>40097602</v>
      </c>
      <c r="H101" s="85" t="s">
        <v>648</v>
      </c>
      <c r="I101" s="57"/>
      <c r="J101" s="57"/>
      <c r="K101" s="183">
        <v>13280</v>
      </c>
      <c r="L101" s="191"/>
      <c r="M101" s="191"/>
      <c r="N101" s="191"/>
      <c r="O101" s="184"/>
      <c r="P101" s="185">
        <f t="shared" si="1"/>
        <v>13280</v>
      </c>
      <c r="Q101" s="143"/>
      <c r="R101" s="58"/>
      <c r="S101" s="58"/>
      <c r="T101" s="58"/>
      <c r="U101" s="57"/>
      <c r="V101" s="58" t="s">
        <v>47</v>
      </c>
      <c r="W101" s="58"/>
      <c r="X101" s="161">
        <v>46157</v>
      </c>
      <c r="Y101" s="26" t="s">
        <v>63</v>
      </c>
      <c r="Z101" s="58"/>
      <c r="AA101" s="58"/>
      <c r="AB101" s="58" t="s">
        <v>49</v>
      </c>
      <c r="AC101" s="58"/>
      <c r="AD101" s="254" t="s">
        <v>48</v>
      </c>
      <c r="AE101" s="59"/>
      <c r="AF101" s="57"/>
      <c r="AG101" s="57"/>
      <c r="AH101" s="58"/>
      <c r="AI101" s="58"/>
      <c r="AJ101" s="56"/>
      <c r="AK101" s="58"/>
      <c r="AL101" s="57">
        <v>18</v>
      </c>
      <c r="AM101" s="224" t="s">
        <v>50</v>
      </c>
      <c r="AN101" s="254" t="s">
        <v>51</v>
      </c>
      <c r="AO101" s="127"/>
      <c r="AP101" s="127"/>
    </row>
    <row r="102" spans="1:42" s="20" customFormat="1" ht="14.25" customHeight="1" x14ac:dyDescent="0.2">
      <c r="A102" s="161">
        <v>46157</v>
      </c>
      <c r="B102" s="124"/>
      <c r="C102" s="141" t="s">
        <v>52</v>
      </c>
      <c r="D102" s="170" t="s">
        <v>53</v>
      </c>
      <c r="E102" s="171">
        <v>7450</v>
      </c>
      <c r="F102" s="58" t="s">
        <v>54</v>
      </c>
      <c r="G102" s="268">
        <v>40097602</v>
      </c>
      <c r="H102" s="85" t="s">
        <v>648</v>
      </c>
      <c r="I102" s="57"/>
      <c r="J102" s="57"/>
      <c r="K102" s="186">
        <v>0</v>
      </c>
      <c r="L102" s="45"/>
      <c r="M102" s="45"/>
      <c r="N102" s="45"/>
      <c r="O102" s="193"/>
      <c r="P102" s="185">
        <f t="shared" si="1"/>
        <v>0</v>
      </c>
      <c r="Q102" s="143"/>
      <c r="R102" s="58"/>
      <c r="S102" s="58"/>
      <c r="T102" s="58"/>
      <c r="U102" s="57"/>
      <c r="V102" s="58" t="s">
        <v>47</v>
      </c>
      <c r="W102" s="58"/>
      <c r="X102" s="161">
        <v>46157</v>
      </c>
      <c r="Y102" s="26" t="s">
        <v>61</v>
      </c>
      <c r="Z102" s="58"/>
      <c r="AA102" s="58"/>
      <c r="AB102" s="58" t="s">
        <v>49</v>
      </c>
      <c r="AC102" s="58"/>
      <c r="AD102" s="254" t="s">
        <v>48</v>
      </c>
      <c r="AE102" s="59"/>
      <c r="AF102" s="57"/>
      <c r="AG102" s="57"/>
      <c r="AH102" s="58"/>
      <c r="AI102" s="58"/>
      <c r="AJ102" s="56"/>
      <c r="AK102" s="58"/>
      <c r="AL102" s="57">
        <v>18</v>
      </c>
      <c r="AM102" s="225" t="s">
        <v>588</v>
      </c>
      <c r="AN102" s="254" t="s">
        <v>51</v>
      </c>
      <c r="AO102" s="127"/>
      <c r="AP102" s="127"/>
    </row>
    <row r="103" spans="1:42" s="20" customFormat="1" ht="14.25" customHeight="1" x14ac:dyDescent="0.2">
      <c r="A103" s="161">
        <v>46157</v>
      </c>
      <c r="B103" s="124"/>
      <c r="C103" s="141" t="s">
        <v>52</v>
      </c>
      <c r="D103" s="170" t="s">
        <v>53</v>
      </c>
      <c r="E103" s="171">
        <v>7451</v>
      </c>
      <c r="F103" s="190" t="s">
        <v>46</v>
      </c>
      <c r="G103" s="268">
        <v>44605012</v>
      </c>
      <c r="H103" s="85" t="s">
        <v>649</v>
      </c>
      <c r="I103" s="57"/>
      <c r="J103" s="57"/>
      <c r="K103" s="183">
        <v>8400</v>
      </c>
      <c r="L103" s="191"/>
      <c r="M103" s="191"/>
      <c r="N103" s="191"/>
      <c r="O103" s="184"/>
      <c r="P103" s="185">
        <f t="shared" si="1"/>
        <v>8400</v>
      </c>
      <c r="Q103" s="143"/>
      <c r="R103" s="58"/>
      <c r="S103" s="58"/>
      <c r="T103" s="58"/>
      <c r="U103" s="57"/>
      <c r="V103" s="58" t="s">
        <v>47</v>
      </c>
      <c r="W103" s="58"/>
      <c r="X103" s="161">
        <v>46157</v>
      </c>
      <c r="Y103" s="26" t="s">
        <v>63</v>
      </c>
      <c r="Z103" s="58"/>
      <c r="AA103" s="58"/>
      <c r="AB103" s="58" t="s">
        <v>49</v>
      </c>
      <c r="AC103" s="58"/>
      <c r="AD103" s="254" t="s">
        <v>48</v>
      </c>
      <c r="AE103" s="59"/>
      <c r="AF103" s="57"/>
      <c r="AG103" s="57"/>
      <c r="AH103" s="58"/>
      <c r="AI103" s="58"/>
      <c r="AJ103" s="56"/>
      <c r="AK103" s="58"/>
      <c r="AL103" s="57">
        <v>18</v>
      </c>
      <c r="AM103" s="224" t="s">
        <v>50</v>
      </c>
      <c r="AN103" s="254" t="s">
        <v>51</v>
      </c>
      <c r="AO103" s="127"/>
      <c r="AP103" s="127"/>
    </row>
    <row r="104" spans="1:42" s="20" customFormat="1" ht="14.25" customHeight="1" x14ac:dyDescent="0.2">
      <c r="A104" s="161">
        <v>46157</v>
      </c>
      <c r="B104" s="124"/>
      <c r="C104" s="141" t="s">
        <v>52</v>
      </c>
      <c r="D104" s="170" t="s">
        <v>53</v>
      </c>
      <c r="E104" s="171">
        <v>7452</v>
      </c>
      <c r="F104" s="190" t="s">
        <v>54</v>
      </c>
      <c r="G104" s="268">
        <v>44605012</v>
      </c>
      <c r="H104" s="85" t="s">
        <v>649</v>
      </c>
      <c r="I104" s="57"/>
      <c r="J104" s="57"/>
      <c r="K104" s="186">
        <v>0</v>
      </c>
      <c r="L104" s="45"/>
      <c r="M104" s="45"/>
      <c r="N104" s="45"/>
      <c r="O104" s="45"/>
      <c r="P104" s="185">
        <f t="shared" si="1"/>
        <v>0</v>
      </c>
      <c r="Q104" s="130"/>
      <c r="R104" s="56"/>
      <c r="S104" s="58"/>
      <c r="T104" s="58"/>
      <c r="U104" s="58"/>
      <c r="V104" s="58" t="s">
        <v>47</v>
      </c>
      <c r="W104" s="57"/>
      <c r="X104" s="161">
        <v>46157</v>
      </c>
      <c r="Y104" s="26" t="s">
        <v>61</v>
      </c>
      <c r="Z104" s="58"/>
      <c r="AA104" s="58"/>
      <c r="AB104" s="58" t="s">
        <v>49</v>
      </c>
      <c r="AC104" s="58"/>
      <c r="AD104" s="254" t="s">
        <v>48</v>
      </c>
      <c r="AE104" s="59"/>
      <c r="AF104" s="57"/>
      <c r="AG104" s="57"/>
      <c r="AH104" s="58"/>
      <c r="AI104" s="58"/>
      <c r="AJ104" s="56"/>
      <c r="AK104" s="58"/>
      <c r="AL104" s="57">
        <v>18</v>
      </c>
      <c r="AM104" s="225" t="s">
        <v>588</v>
      </c>
      <c r="AN104" s="254" t="s">
        <v>51</v>
      </c>
      <c r="AO104" s="126"/>
      <c r="AP104" s="129"/>
    </row>
    <row r="105" spans="1:42" s="20" customFormat="1" ht="14.25" customHeight="1" x14ac:dyDescent="0.2">
      <c r="A105" s="161">
        <v>46158</v>
      </c>
      <c r="B105" s="124"/>
      <c r="C105" s="141" t="s">
        <v>52</v>
      </c>
      <c r="D105" s="170" t="s">
        <v>53</v>
      </c>
      <c r="E105" s="171">
        <v>7453</v>
      </c>
      <c r="F105" s="58" t="s">
        <v>54</v>
      </c>
      <c r="G105" s="268">
        <v>45298490</v>
      </c>
      <c r="H105" s="85" t="s">
        <v>650</v>
      </c>
      <c r="I105" s="57"/>
      <c r="J105" s="57"/>
      <c r="K105" s="183">
        <v>8130</v>
      </c>
      <c r="L105" s="191"/>
      <c r="M105" s="191"/>
      <c r="N105" s="191"/>
      <c r="O105" s="191"/>
      <c r="P105" s="185">
        <f t="shared" si="1"/>
        <v>8130</v>
      </c>
      <c r="Q105" s="130"/>
      <c r="R105" s="56"/>
      <c r="S105" s="58"/>
      <c r="T105" s="58"/>
      <c r="U105" s="58"/>
      <c r="V105" s="58" t="s">
        <v>47</v>
      </c>
      <c r="W105" s="57"/>
      <c r="X105" s="161">
        <v>46158</v>
      </c>
      <c r="Y105" s="26" t="s">
        <v>63</v>
      </c>
      <c r="Z105" s="58"/>
      <c r="AA105" s="58"/>
      <c r="AB105" s="58" t="s">
        <v>49</v>
      </c>
      <c r="AC105" s="58"/>
      <c r="AD105" s="254" t="s">
        <v>48</v>
      </c>
      <c r="AE105" s="59"/>
      <c r="AF105" s="57"/>
      <c r="AG105" s="57"/>
      <c r="AH105" s="58"/>
      <c r="AI105" s="58"/>
      <c r="AJ105" s="56"/>
      <c r="AK105" s="58"/>
      <c r="AL105" s="57">
        <v>18</v>
      </c>
      <c r="AM105" s="224" t="s">
        <v>50</v>
      </c>
      <c r="AN105" s="254" t="s">
        <v>51</v>
      </c>
      <c r="AO105" s="126"/>
      <c r="AP105" s="129"/>
    </row>
    <row r="106" spans="1:42" s="20" customFormat="1" ht="15" customHeight="1" x14ac:dyDescent="0.2">
      <c r="A106" s="161">
        <v>46158</v>
      </c>
      <c r="B106" s="124"/>
      <c r="C106" s="141" t="s">
        <v>52</v>
      </c>
      <c r="D106" s="170" t="s">
        <v>53</v>
      </c>
      <c r="E106" s="171">
        <v>7454</v>
      </c>
      <c r="F106" s="190" t="s">
        <v>54</v>
      </c>
      <c r="G106" s="268">
        <v>47764176</v>
      </c>
      <c r="H106" s="85" t="s">
        <v>651</v>
      </c>
      <c r="I106" s="57"/>
      <c r="J106" s="57"/>
      <c r="K106" s="183">
        <v>8180</v>
      </c>
      <c r="L106" s="191"/>
      <c r="M106" s="191"/>
      <c r="N106" s="191"/>
      <c r="O106" s="184"/>
      <c r="P106" s="185">
        <f t="shared" si="1"/>
        <v>8180</v>
      </c>
      <c r="Q106" s="143"/>
      <c r="R106" s="58"/>
      <c r="S106" s="58"/>
      <c r="T106" s="58"/>
      <c r="U106" s="57"/>
      <c r="V106" s="58" t="s">
        <v>47</v>
      </c>
      <c r="W106" s="58"/>
      <c r="X106" s="161">
        <v>46158</v>
      </c>
      <c r="Y106" s="26" t="s">
        <v>63</v>
      </c>
      <c r="Z106" s="58"/>
      <c r="AA106" s="58"/>
      <c r="AB106" s="58" t="s">
        <v>49</v>
      </c>
      <c r="AC106" s="58"/>
      <c r="AD106" s="254" t="s">
        <v>48</v>
      </c>
      <c r="AE106" s="59"/>
      <c r="AF106" s="57"/>
      <c r="AG106" s="57"/>
      <c r="AH106" s="58"/>
      <c r="AI106" s="58"/>
      <c r="AJ106" s="56"/>
      <c r="AK106" s="58"/>
      <c r="AL106" s="57">
        <v>18</v>
      </c>
      <c r="AM106" s="224" t="s">
        <v>50</v>
      </c>
      <c r="AN106" s="254" t="s">
        <v>51</v>
      </c>
      <c r="AO106" s="127"/>
      <c r="AP106" s="127"/>
    </row>
    <row r="107" spans="1:42" s="20" customFormat="1" ht="14.25" customHeight="1" x14ac:dyDescent="0.2">
      <c r="A107" s="161">
        <v>46158</v>
      </c>
      <c r="B107" s="124"/>
      <c r="C107" s="141" t="s">
        <v>52</v>
      </c>
      <c r="D107" s="170" t="s">
        <v>53</v>
      </c>
      <c r="E107" s="171">
        <v>7455</v>
      </c>
      <c r="F107" s="58" t="s">
        <v>54</v>
      </c>
      <c r="G107" s="268">
        <v>72171712</v>
      </c>
      <c r="H107" s="85" t="s">
        <v>652</v>
      </c>
      <c r="I107" s="57"/>
      <c r="J107" s="57"/>
      <c r="K107" s="183">
        <v>6380</v>
      </c>
      <c r="L107" s="191"/>
      <c r="M107" s="191"/>
      <c r="N107" s="191"/>
      <c r="O107" s="184"/>
      <c r="P107" s="185">
        <f t="shared" si="1"/>
        <v>6380</v>
      </c>
      <c r="Q107" s="143"/>
      <c r="R107" s="58"/>
      <c r="S107" s="58"/>
      <c r="T107" s="58"/>
      <c r="U107" s="57"/>
      <c r="V107" s="58" t="s">
        <v>47</v>
      </c>
      <c r="W107" s="58"/>
      <c r="X107" s="161">
        <v>46158</v>
      </c>
      <c r="Y107" s="26" t="s">
        <v>63</v>
      </c>
      <c r="Z107" s="58"/>
      <c r="AA107" s="58"/>
      <c r="AB107" s="58" t="s">
        <v>49</v>
      </c>
      <c r="AC107" s="58"/>
      <c r="AD107" s="254" t="s">
        <v>48</v>
      </c>
      <c r="AE107" s="59"/>
      <c r="AF107" s="57"/>
      <c r="AG107" s="57"/>
      <c r="AH107" s="58"/>
      <c r="AI107" s="58"/>
      <c r="AJ107" s="56"/>
      <c r="AK107" s="58"/>
      <c r="AL107" s="57">
        <v>18</v>
      </c>
      <c r="AM107" s="224" t="s">
        <v>50</v>
      </c>
      <c r="AN107" s="254" t="s">
        <v>51</v>
      </c>
      <c r="AO107" s="127"/>
      <c r="AP107" s="127"/>
    </row>
    <row r="108" spans="1:42" s="20" customFormat="1" ht="14.25" customHeight="1" x14ac:dyDescent="0.2">
      <c r="A108" s="161">
        <v>46158</v>
      </c>
      <c r="B108" s="124"/>
      <c r="C108" s="141" t="s">
        <v>52</v>
      </c>
      <c r="D108" s="170" t="s">
        <v>53</v>
      </c>
      <c r="E108" s="171">
        <v>7456</v>
      </c>
      <c r="F108" s="190" t="s">
        <v>54</v>
      </c>
      <c r="G108" s="268">
        <v>72171712</v>
      </c>
      <c r="H108" s="85" t="s">
        <v>652</v>
      </c>
      <c r="I108" s="57"/>
      <c r="J108" s="57"/>
      <c r="K108" s="186">
        <v>0</v>
      </c>
      <c r="L108" s="45"/>
      <c r="M108" s="45"/>
      <c r="N108" s="45"/>
      <c r="O108" s="193"/>
      <c r="P108" s="185">
        <f t="shared" si="1"/>
        <v>0</v>
      </c>
      <c r="Q108" s="143"/>
      <c r="R108" s="58"/>
      <c r="S108" s="58"/>
      <c r="T108" s="58"/>
      <c r="U108" s="57"/>
      <c r="V108" s="58" t="s">
        <v>47</v>
      </c>
      <c r="W108" s="58"/>
      <c r="X108" s="161">
        <v>46158</v>
      </c>
      <c r="Y108" s="26" t="s">
        <v>61</v>
      </c>
      <c r="Z108" s="58"/>
      <c r="AA108" s="58"/>
      <c r="AB108" s="58" t="s">
        <v>49</v>
      </c>
      <c r="AC108" s="58"/>
      <c r="AD108" s="254" t="s">
        <v>48</v>
      </c>
      <c r="AE108" s="59"/>
      <c r="AF108" s="57"/>
      <c r="AG108" s="57"/>
      <c r="AH108" s="58"/>
      <c r="AI108" s="58"/>
      <c r="AJ108" s="56"/>
      <c r="AK108" s="58"/>
      <c r="AL108" s="57">
        <v>18</v>
      </c>
      <c r="AM108" s="225" t="s">
        <v>588</v>
      </c>
      <c r="AN108" s="254" t="s">
        <v>51</v>
      </c>
      <c r="AO108" s="127"/>
      <c r="AP108" s="127"/>
    </row>
    <row r="109" spans="1:42" s="20" customFormat="1" ht="14.25" customHeight="1" x14ac:dyDescent="0.2">
      <c r="A109" s="161">
        <v>46158</v>
      </c>
      <c r="B109" s="124"/>
      <c r="C109" s="141" t="s">
        <v>52</v>
      </c>
      <c r="D109" s="170" t="s">
        <v>53</v>
      </c>
      <c r="E109" s="171">
        <v>7457</v>
      </c>
      <c r="F109" s="58" t="s">
        <v>54</v>
      </c>
      <c r="G109" s="268">
        <v>40474353</v>
      </c>
      <c r="H109" s="85" t="s">
        <v>653</v>
      </c>
      <c r="I109" s="57"/>
      <c r="J109" s="57"/>
      <c r="K109" s="183">
        <v>6380</v>
      </c>
      <c r="L109" s="191"/>
      <c r="M109" s="191"/>
      <c r="N109" s="191"/>
      <c r="O109" s="184"/>
      <c r="P109" s="185">
        <f t="shared" si="1"/>
        <v>6380</v>
      </c>
      <c r="Q109" s="143"/>
      <c r="R109" s="58"/>
      <c r="S109" s="58"/>
      <c r="T109" s="58"/>
      <c r="U109" s="57"/>
      <c r="V109" s="58" t="s">
        <v>47</v>
      </c>
      <c r="W109" s="58"/>
      <c r="X109" s="161">
        <v>46158</v>
      </c>
      <c r="Y109" s="26" t="s">
        <v>63</v>
      </c>
      <c r="Z109" s="58"/>
      <c r="AA109" s="58"/>
      <c r="AB109" s="58" t="s">
        <v>49</v>
      </c>
      <c r="AC109" s="58"/>
      <c r="AD109" s="254" t="s">
        <v>48</v>
      </c>
      <c r="AE109" s="59"/>
      <c r="AF109" s="57"/>
      <c r="AG109" s="57"/>
      <c r="AH109" s="58"/>
      <c r="AI109" s="58"/>
      <c r="AJ109" s="56"/>
      <c r="AK109" s="58"/>
      <c r="AL109" s="57">
        <v>18</v>
      </c>
      <c r="AM109" s="224" t="s">
        <v>50</v>
      </c>
      <c r="AN109" s="254" t="s">
        <v>51</v>
      </c>
      <c r="AO109" s="127"/>
      <c r="AP109" s="127"/>
    </row>
    <row r="110" spans="1:42" s="20" customFormat="1" ht="14.25" customHeight="1" x14ac:dyDescent="0.2">
      <c r="A110" s="161">
        <v>46158</v>
      </c>
      <c r="B110" s="124"/>
      <c r="C110" s="141" t="s">
        <v>52</v>
      </c>
      <c r="D110" s="170" t="s">
        <v>53</v>
      </c>
      <c r="E110" s="171">
        <v>7458</v>
      </c>
      <c r="F110" s="190" t="s">
        <v>54</v>
      </c>
      <c r="G110" s="268">
        <v>40474353</v>
      </c>
      <c r="H110" s="85" t="s">
        <v>653</v>
      </c>
      <c r="I110" s="57"/>
      <c r="J110" s="57"/>
      <c r="K110" s="186">
        <v>0</v>
      </c>
      <c r="L110" s="45"/>
      <c r="M110" s="45"/>
      <c r="N110" s="45"/>
      <c r="O110" s="193"/>
      <c r="P110" s="185">
        <f t="shared" si="1"/>
        <v>0</v>
      </c>
      <c r="Q110" s="143"/>
      <c r="R110" s="58"/>
      <c r="S110" s="58"/>
      <c r="T110" s="58"/>
      <c r="U110" s="57"/>
      <c r="V110" s="58" t="s">
        <v>47</v>
      </c>
      <c r="W110" s="58"/>
      <c r="X110" s="161">
        <v>46158</v>
      </c>
      <c r="Y110" s="26" t="s">
        <v>61</v>
      </c>
      <c r="Z110" s="58"/>
      <c r="AA110" s="58"/>
      <c r="AB110" s="58" t="s">
        <v>49</v>
      </c>
      <c r="AC110" s="58"/>
      <c r="AD110" s="254" t="s">
        <v>48</v>
      </c>
      <c r="AE110" s="59"/>
      <c r="AF110" s="57"/>
      <c r="AG110" s="57"/>
      <c r="AH110" s="58"/>
      <c r="AI110" s="58"/>
      <c r="AJ110" s="56"/>
      <c r="AK110" s="58"/>
      <c r="AL110" s="57">
        <v>18</v>
      </c>
      <c r="AM110" s="225" t="s">
        <v>588</v>
      </c>
      <c r="AN110" s="254" t="s">
        <v>51</v>
      </c>
      <c r="AO110" s="127"/>
      <c r="AP110" s="127"/>
    </row>
    <row r="111" spans="1:42" s="20" customFormat="1" ht="14.25" customHeight="1" x14ac:dyDescent="0.2">
      <c r="A111" s="161">
        <v>46160</v>
      </c>
      <c r="B111" s="124"/>
      <c r="C111" s="141" t="s">
        <v>52</v>
      </c>
      <c r="D111" s="170" t="s">
        <v>53</v>
      </c>
      <c r="E111" s="171">
        <v>7459</v>
      </c>
      <c r="F111" s="58" t="s">
        <v>54</v>
      </c>
      <c r="G111" s="268">
        <v>46393672</v>
      </c>
      <c r="H111" s="85" t="s">
        <v>654</v>
      </c>
      <c r="I111" s="57"/>
      <c r="J111" s="57"/>
      <c r="K111" s="186">
        <v>0</v>
      </c>
      <c r="L111" s="45"/>
      <c r="M111" s="45"/>
      <c r="N111" s="45"/>
      <c r="O111" s="193"/>
      <c r="P111" s="185">
        <f t="shared" si="1"/>
        <v>0</v>
      </c>
      <c r="Q111" s="143"/>
      <c r="R111" s="58"/>
      <c r="S111" s="58"/>
      <c r="T111" s="58"/>
      <c r="U111" s="57"/>
      <c r="V111" s="58" t="s">
        <v>47</v>
      </c>
      <c r="W111" s="58"/>
      <c r="X111" s="161">
        <v>46160</v>
      </c>
      <c r="Y111" s="26" t="s">
        <v>61</v>
      </c>
      <c r="Z111" s="26"/>
      <c r="AA111" s="26"/>
      <c r="AB111" s="26" t="s">
        <v>49</v>
      </c>
      <c r="AC111" s="26"/>
      <c r="AD111" s="254" t="s">
        <v>48</v>
      </c>
      <c r="AE111" s="27"/>
      <c r="AF111" s="24"/>
      <c r="AG111" s="24"/>
      <c r="AH111" s="26"/>
      <c r="AI111" s="26"/>
      <c r="AJ111" s="25"/>
      <c r="AK111" s="26"/>
      <c r="AL111" s="24">
        <v>18</v>
      </c>
      <c r="AM111" s="225" t="s">
        <v>588</v>
      </c>
      <c r="AN111" s="254" t="s">
        <v>51</v>
      </c>
      <c r="AO111" s="127"/>
      <c r="AP111" s="127"/>
    </row>
    <row r="112" spans="1:42" s="20" customFormat="1" ht="14.25" customHeight="1" x14ac:dyDescent="0.2">
      <c r="A112" s="161">
        <v>46160</v>
      </c>
      <c r="B112" s="124"/>
      <c r="C112" s="125" t="s">
        <v>52</v>
      </c>
      <c r="D112" s="170" t="s">
        <v>53</v>
      </c>
      <c r="E112" s="171">
        <v>7460</v>
      </c>
      <c r="F112" s="58" t="s">
        <v>54</v>
      </c>
      <c r="G112" s="268">
        <v>46393672</v>
      </c>
      <c r="H112" s="85" t="s">
        <v>654</v>
      </c>
      <c r="I112" s="57"/>
      <c r="J112" s="57"/>
      <c r="K112" s="183">
        <v>4770</v>
      </c>
      <c r="L112" s="191"/>
      <c r="M112" s="191"/>
      <c r="N112" s="191"/>
      <c r="O112" s="184"/>
      <c r="P112" s="185">
        <f t="shared" si="1"/>
        <v>4770</v>
      </c>
      <c r="Q112" s="143"/>
      <c r="R112" s="58"/>
      <c r="S112" s="58"/>
      <c r="T112" s="58"/>
      <c r="U112" s="57"/>
      <c r="V112" s="58" t="s">
        <v>47</v>
      </c>
      <c r="W112" s="58"/>
      <c r="X112" s="161">
        <v>46160</v>
      </c>
      <c r="Y112" s="26" t="s">
        <v>63</v>
      </c>
      <c r="Z112" s="26"/>
      <c r="AA112" s="26"/>
      <c r="AB112" s="26" t="s">
        <v>49</v>
      </c>
      <c r="AC112" s="26"/>
      <c r="AD112" s="254" t="s">
        <v>48</v>
      </c>
      <c r="AE112" s="27"/>
      <c r="AF112" s="24"/>
      <c r="AG112" s="24"/>
      <c r="AH112" s="26"/>
      <c r="AI112" s="26"/>
      <c r="AJ112" s="25"/>
      <c r="AK112" s="26"/>
      <c r="AL112" s="24">
        <v>18</v>
      </c>
      <c r="AM112" s="224" t="s">
        <v>50</v>
      </c>
      <c r="AN112" s="254" t="s">
        <v>51</v>
      </c>
      <c r="AO112" s="127"/>
      <c r="AP112" s="127"/>
    </row>
    <row r="113" spans="1:42" s="20" customFormat="1" ht="14.25" customHeight="1" x14ac:dyDescent="0.2">
      <c r="A113" s="161">
        <v>46160</v>
      </c>
      <c r="B113" s="124"/>
      <c r="C113" s="125" t="s">
        <v>52</v>
      </c>
      <c r="D113" s="170" t="s">
        <v>53</v>
      </c>
      <c r="E113" s="171">
        <v>7461</v>
      </c>
      <c r="F113" s="58" t="s">
        <v>54</v>
      </c>
      <c r="G113" s="268">
        <v>20995837</v>
      </c>
      <c r="H113" s="85" t="s">
        <v>655</v>
      </c>
      <c r="I113" s="57"/>
      <c r="J113" s="57"/>
      <c r="K113" s="183">
        <v>8180</v>
      </c>
      <c r="L113" s="191"/>
      <c r="M113" s="191"/>
      <c r="N113" s="191"/>
      <c r="O113" s="184"/>
      <c r="P113" s="185">
        <f t="shared" si="1"/>
        <v>8180</v>
      </c>
      <c r="Q113" s="143"/>
      <c r="R113" s="58"/>
      <c r="S113" s="58"/>
      <c r="T113" s="58"/>
      <c r="U113" s="57"/>
      <c r="V113" s="58" t="s">
        <v>47</v>
      </c>
      <c r="W113" s="58"/>
      <c r="X113" s="161">
        <v>46160</v>
      </c>
      <c r="Y113" s="26" t="s">
        <v>63</v>
      </c>
      <c r="Z113" s="26"/>
      <c r="AA113" s="26"/>
      <c r="AB113" s="26" t="s">
        <v>49</v>
      </c>
      <c r="AC113" s="26"/>
      <c r="AD113" s="254" t="s">
        <v>48</v>
      </c>
      <c r="AE113" s="27"/>
      <c r="AF113" s="24"/>
      <c r="AG113" s="24"/>
      <c r="AH113" s="26"/>
      <c r="AI113" s="26"/>
      <c r="AJ113" s="25"/>
      <c r="AK113" s="26"/>
      <c r="AL113" s="24">
        <v>18</v>
      </c>
      <c r="AM113" s="224" t="s">
        <v>50</v>
      </c>
      <c r="AN113" s="254" t="s">
        <v>51</v>
      </c>
      <c r="AO113" s="127"/>
      <c r="AP113" s="127"/>
    </row>
    <row r="114" spans="1:42" s="20" customFormat="1" ht="14.25" customHeight="1" x14ac:dyDescent="0.2">
      <c r="A114" s="161">
        <v>46160</v>
      </c>
      <c r="B114" s="124"/>
      <c r="C114" s="125" t="s">
        <v>52</v>
      </c>
      <c r="D114" s="170" t="s">
        <v>53</v>
      </c>
      <c r="E114" s="171">
        <v>7462</v>
      </c>
      <c r="F114" s="58" t="s">
        <v>54</v>
      </c>
      <c r="G114" s="268">
        <v>73751313</v>
      </c>
      <c r="H114" s="85" t="s">
        <v>656</v>
      </c>
      <c r="I114" s="57"/>
      <c r="J114" s="57"/>
      <c r="K114" s="183">
        <v>5280</v>
      </c>
      <c r="L114" s="191"/>
      <c r="M114" s="191"/>
      <c r="N114" s="191"/>
      <c r="O114" s="184"/>
      <c r="P114" s="185">
        <f t="shared" si="1"/>
        <v>5280</v>
      </c>
      <c r="Q114" s="143"/>
      <c r="R114" s="58"/>
      <c r="S114" s="58"/>
      <c r="T114" s="58"/>
      <c r="U114" s="57"/>
      <c r="V114" s="58" t="s">
        <v>47</v>
      </c>
      <c r="W114" s="58"/>
      <c r="X114" s="161">
        <v>46160</v>
      </c>
      <c r="Y114" s="26" t="s">
        <v>63</v>
      </c>
      <c r="Z114" s="26"/>
      <c r="AA114" s="26"/>
      <c r="AB114" s="26" t="s">
        <v>49</v>
      </c>
      <c r="AC114" s="26"/>
      <c r="AD114" s="254" t="s">
        <v>48</v>
      </c>
      <c r="AE114" s="27"/>
      <c r="AF114" s="24"/>
      <c r="AG114" s="24"/>
      <c r="AH114" s="26"/>
      <c r="AI114" s="26"/>
      <c r="AJ114" s="25"/>
      <c r="AK114" s="26"/>
      <c r="AL114" s="24">
        <v>18</v>
      </c>
      <c r="AM114" s="224" t="s">
        <v>50</v>
      </c>
      <c r="AN114" s="254" t="s">
        <v>51</v>
      </c>
      <c r="AO114" s="127"/>
      <c r="AP114" s="127"/>
    </row>
    <row r="115" spans="1:42" s="20" customFormat="1" ht="14.25" customHeight="1" x14ac:dyDescent="0.2">
      <c r="A115" s="161">
        <v>46160</v>
      </c>
      <c r="B115" s="124"/>
      <c r="C115" s="125" t="s">
        <v>52</v>
      </c>
      <c r="D115" s="170" t="s">
        <v>53</v>
      </c>
      <c r="E115" s="171">
        <v>7463</v>
      </c>
      <c r="F115" s="58" t="s">
        <v>54</v>
      </c>
      <c r="G115" s="268">
        <v>73751313</v>
      </c>
      <c r="H115" s="85" t="s">
        <v>656</v>
      </c>
      <c r="I115" s="57"/>
      <c r="J115" s="57"/>
      <c r="K115" s="186">
        <v>0</v>
      </c>
      <c r="L115" s="45"/>
      <c r="M115" s="45"/>
      <c r="N115" s="45"/>
      <c r="O115" s="193"/>
      <c r="P115" s="185">
        <f t="shared" si="1"/>
        <v>0</v>
      </c>
      <c r="Q115" s="143"/>
      <c r="R115" s="58"/>
      <c r="S115" s="58"/>
      <c r="T115" s="58"/>
      <c r="U115" s="57"/>
      <c r="V115" s="58" t="s">
        <v>47</v>
      </c>
      <c r="W115" s="58"/>
      <c r="X115" s="161">
        <v>46160</v>
      </c>
      <c r="Y115" s="26" t="s">
        <v>61</v>
      </c>
      <c r="Z115" s="26"/>
      <c r="AA115" s="26"/>
      <c r="AB115" s="26" t="s">
        <v>49</v>
      </c>
      <c r="AC115" s="26"/>
      <c r="AD115" s="254" t="s">
        <v>48</v>
      </c>
      <c r="AE115" s="27"/>
      <c r="AF115" s="24"/>
      <c r="AG115" s="24"/>
      <c r="AH115" s="26"/>
      <c r="AI115" s="26"/>
      <c r="AJ115" s="25"/>
      <c r="AK115" s="26"/>
      <c r="AL115" s="24">
        <v>18</v>
      </c>
      <c r="AM115" s="225" t="s">
        <v>588</v>
      </c>
      <c r="AN115" s="254" t="s">
        <v>51</v>
      </c>
      <c r="AO115" s="127"/>
      <c r="AP115" s="127"/>
    </row>
    <row r="116" spans="1:42" s="160" customFormat="1" ht="14.25" customHeight="1" x14ac:dyDescent="0.2">
      <c r="A116" s="161">
        <v>46161</v>
      </c>
      <c r="B116" s="157"/>
      <c r="C116" s="158" t="s">
        <v>52</v>
      </c>
      <c r="D116" s="173" t="s">
        <v>53</v>
      </c>
      <c r="E116" s="174">
        <v>7464</v>
      </c>
      <c r="F116" s="194" t="s">
        <v>54</v>
      </c>
      <c r="G116" s="260">
        <v>20596002</v>
      </c>
      <c r="H116" s="182" t="s">
        <v>657</v>
      </c>
      <c r="I116" s="228"/>
      <c r="J116" s="228"/>
      <c r="K116" s="183">
        <v>4915</v>
      </c>
      <c r="L116" s="196"/>
      <c r="M116" s="196"/>
      <c r="N116" s="196"/>
      <c r="O116" s="197"/>
      <c r="P116" s="185">
        <f t="shared" si="1"/>
        <v>4915</v>
      </c>
      <c r="Q116" s="159"/>
      <c r="R116" s="194"/>
      <c r="S116" s="194"/>
      <c r="T116" s="194"/>
      <c r="U116" s="228"/>
      <c r="V116" s="194" t="s">
        <v>47</v>
      </c>
      <c r="W116" s="194"/>
      <c r="X116" s="161">
        <v>46161</v>
      </c>
      <c r="Y116" s="229" t="s">
        <v>63</v>
      </c>
      <c r="Z116" s="229"/>
      <c r="AA116" s="229"/>
      <c r="AB116" s="229" t="s">
        <v>49</v>
      </c>
      <c r="AC116" s="229"/>
      <c r="AD116" s="256" t="s">
        <v>48</v>
      </c>
      <c r="AE116" s="230"/>
      <c r="AF116" s="231"/>
      <c r="AG116" s="231"/>
      <c r="AH116" s="229"/>
      <c r="AI116" s="229"/>
      <c r="AJ116" s="232"/>
      <c r="AK116" s="229"/>
      <c r="AL116" s="231">
        <v>18</v>
      </c>
      <c r="AM116" s="233" t="s">
        <v>50</v>
      </c>
      <c r="AN116" s="256" t="s">
        <v>51</v>
      </c>
      <c r="AO116" s="128"/>
      <c r="AP116" s="128"/>
    </row>
    <row r="117" spans="1:42" s="160" customFormat="1" ht="14.25" customHeight="1" x14ac:dyDescent="0.2">
      <c r="A117" s="161">
        <v>46161</v>
      </c>
      <c r="B117" s="157"/>
      <c r="C117" s="158" t="s">
        <v>52</v>
      </c>
      <c r="D117" s="173" t="s">
        <v>53</v>
      </c>
      <c r="E117" s="174">
        <v>7465</v>
      </c>
      <c r="F117" s="194" t="s">
        <v>54</v>
      </c>
      <c r="G117" s="260">
        <v>20596002</v>
      </c>
      <c r="H117" s="182" t="s">
        <v>657</v>
      </c>
      <c r="I117" s="228"/>
      <c r="J117" s="228"/>
      <c r="K117" s="186">
        <v>0</v>
      </c>
      <c r="L117" s="195"/>
      <c r="M117" s="195"/>
      <c r="N117" s="195"/>
      <c r="O117" s="198"/>
      <c r="P117" s="185">
        <f t="shared" si="1"/>
        <v>0</v>
      </c>
      <c r="Q117" s="159"/>
      <c r="R117" s="194"/>
      <c r="S117" s="194"/>
      <c r="T117" s="194"/>
      <c r="U117" s="228"/>
      <c r="V117" s="194" t="s">
        <v>47</v>
      </c>
      <c r="W117" s="194"/>
      <c r="X117" s="161">
        <v>46161</v>
      </c>
      <c r="Y117" s="229" t="s">
        <v>61</v>
      </c>
      <c r="Z117" s="229"/>
      <c r="AA117" s="229"/>
      <c r="AB117" s="229" t="s">
        <v>49</v>
      </c>
      <c r="AC117" s="229"/>
      <c r="AD117" s="256" t="s">
        <v>48</v>
      </c>
      <c r="AE117" s="230"/>
      <c r="AF117" s="231"/>
      <c r="AG117" s="231"/>
      <c r="AH117" s="229"/>
      <c r="AI117" s="229"/>
      <c r="AJ117" s="232"/>
      <c r="AK117" s="229"/>
      <c r="AL117" s="231">
        <v>18</v>
      </c>
      <c r="AM117" s="234" t="s">
        <v>588</v>
      </c>
      <c r="AN117" s="256" t="s">
        <v>51</v>
      </c>
      <c r="AO117" s="128"/>
      <c r="AP117" s="128"/>
    </row>
    <row r="118" spans="1:42" s="160" customFormat="1" ht="14.25" customHeight="1" x14ac:dyDescent="0.2">
      <c r="A118" s="161">
        <v>46161</v>
      </c>
      <c r="B118" s="157"/>
      <c r="C118" s="158" t="s">
        <v>52</v>
      </c>
      <c r="D118" s="173" t="s">
        <v>53</v>
      </c>
      <c r="E118" s="174">
        <v>7466</v>
      </c>
      <c r="F118" s="194" t="s">
        <v>54</v>
      </c>
      <c r="G118" s="260">
        <v>47853669</v>
      </c>
      <c r="H118" s="182" t="s">
        <v>658</v>
      </c>
      <c r="I118" s="228"/>
      <c r="J118" s="228"/>
      <c r="K118" s="183">
        <v>11230</v>
      </c>
      <c r="L118" s="196"/>
      <c r="M118" s="196"/>
      <c r="N118" s="196"/>
      <c r="O118" s="197"/>
      <c r="P118" s="185">
        <f t="shared" si="1"/>
        <v>11230</v>
      </c>
      <c r="Q118" s="159"/>
      <c r="R118" s="194"/>
      <c r="S118" s="194"/>
      <c r="T118" s="194"/>
      <c r="U118" s="228"/>
      <c r="V118" s="194" t="s">
        <v>47</v>
      </c>
      <c r="W118" s="194"/>
      <c r="X118" s="161">
        <v>46161</v>
      </c>
      <c r="Y118" s="229" t="s">
        <v>63</v>
      </c>
      <c r="Z118" s="229"/>
      <c r="AA118" s="229"/>
      <c r="AB118" s="229" t="s">
        <v>49</v>
      </c>
      <c r="AC118" s="229"/>
      <c r="AD118" s="256" t="s">
        <v>48</v>
      </c>
      <c r="AE118" s="230"/>
      <c r="AF118" s="231"/>
      <c r="AG118" s="231"/>
      <c r="AH118" s="229"/>
      <c r="AI118" s="229"/>
      <c r="AJ118" s="232"/>
      <c r="AK118" s="229"/>
      <c r="AL118" s="231">
        <v>18</v>
      </c>
      <c r="AM118" s="233" t="s">
        <v>50</v>
      </c>
      <c r="AN118" s="256" t="s">
        <v>51</v>
      </c>
      <c r="AO118" s="128"/>
      <c r="AP118" s="128"/>
    </row>
    <row r="119" spans="1:42" s="160" customFormat="1" ht="14.25" customHeight="1" x14ac:dyDescent="0.2">
      <c r="A119" s="161">
        <v>46161</v>
      </c>
      <c r="B119" s="157"/>
      <c r="C119" s="158" t="s">
        <v>52</v>
      </c>
      <c r="D119" s="173" t="s">
        <v>53</v>
      </c>
      <c r="E119" s="174">
        <v>7467</v>
      </c>
      <c r="F119" s="194" t="s">
        <v>54</v>
      </c>
      <c r="G119" s="260">
        <v>47853669</v>
      </c>
      <c r="H119" s="182" t="s">
        <v>658</v>
      </c>
      <c r="I119" s="228"/>
      <c r="J119" s="228"/>
      <c r="K119" s="186">
        <v>0</v>
      </c>
      <c r="L119" s="195"/>
      <c r="M119" s="195"/>
      <c r="N119" s="195"/>
      <c r="O119" s="198"/>
      <c r="P119" s="185">
        <f t="shared" si="1"/>
        <v>0</v>
      </c>
      <c r="Q119" s="159"/>
      <c r="R119" s="194"/>
      <c r="S119" s="194"/>
      <c r="T119" s="194"/>
      <c r="U119" s="228"/>
      <c r="V119" s="194" t="s">
        <v>47</v>
      </c>
      <c r="W119" s="194"/>
      <c r="X119" s="161">
        <v>46161</v>
      </c>
      <c r="Y119" s="229" t="s">
        <v>61</v>
      </c>
      <c r="Z119" s="229"/>
      <c r="AA119" s="229"/>
      <c r="AB119" s="229" t="s">
        <v>49</v>
      </c>
      <c r="AC119" s="229"/>
      <c r="AD119" s="256" t="s">
        <v>48</v>
      </c>
      <c r="AE119" s="230"/>
      <c r="AF119" s="231"/>
      <c r="AG119" s="231"/>
      <c r="AH119" s="229"/>
      <c r="AI119" s="229"/>
      <c r="AJ119" s="232"/>
      <c r="AK119" s="229"/>
      <c r="AL119" s="231">
        <v>18</v>
      </c>
      <c r="AM119" s="234" t="s">
        <v>588</v>
      </c>
      <c r="AN119" s="256" t="s">
        <v>51</v>
      </c>
      <c r="AO119" s="128"/>
      <c r="AP119" s="128"/>
    </row>
    <row r="120" spans="1:42" s="160" customFormat="1" ht="14.25" customHeight="1" x14ac:dyDescent="0.2">
      <c r="A120" s="161">
        <v>46162</v>
      </c>
      <c r="B120" s="157"/>
      <c r="C120" s="158" t="s">
        <v>52</v>
      </c>
      <c r="D120" s="173" t="s">
        <v>53</v>
      </c>
      <c r="E120" s="174">
        <v>7468</v>
      </c>
      <c r="F120" s="194" t="s">
        <v>54</v>
      </c>
      <c r="G120" s="260">
        <v>48751127</v>
      </c>
      <c r="H120" s="182" t="s">
        <v>698</v>
      </c>
      <c r="I120" s="228"/>
      <c r="J120" s="228"/>
      <c r="K120" s="183">
        <v>5280</v>
      </c>
      <c r="L120" s="196"/>
      <c r="M120" s="196"/>
      <c r="N120" s="196"/>
      <c r="O120" s="197"/>
      <c r="P120" s="185">
        <f t="shared" si="1"/>
        <v>5280</v>
      </c>
      <c r="Q120" s="159"/>
      <c r="R120" s="194"/>
      <c r="S120" s="194"/>
      <c r="T120" s="194"/>
      <c r="U120" s="228"/>
      <c r="V120" s="194" t="s">
        <v>47</v>
      </c>
      <c r="W120" s="194"/>
      <c r="X120" s="161">
        <v>46162</v>
      </c>
      <c r="Y120" s="229" t="s">
        <v>63</v>
      </c>
      <c r="Z120" s="229"/>
      <c r="AA120" s="229"/>
      <c r="AB120" s="229" t="s">
        <v>49</v>
      </c>
      <c r="AC120" s="229"/>
      <c r="AD120" s="256" t="s">
        <v>48</v>
      </c>
      <c r="AE120" s="230"/>
      <c r="AF120" s="231"/>
      <c r="AG120" s="231"/>
      <c r="AH120" s="229"/>
      <c r="AI120" s="229"/>
      <c r="AJ120" s="232"/>
      <c r="AK120" s="229"/>
      <c r="AL120" s="231">
        <v>18</v>
      </c>
      <c r="AM120" s="233" t="s">
        <v>50</v>
      </c>
      <c r="AN120" s="256" t="s">
        <v>51</v>
      </c>
      <c r="AO120" s="128"/>
      <c r="AP120" s="128"/>
    </row>
    <row r="121" spans="1:42" s="160" customFormat="1" ht="14.25" customHeight="1" x14ac:dyDescent="0.2">
      <c r="A121" s="161">
        <v>46162</v>
      </c>
      <c r="B121" s="157"/>
      <c r="C121" s="158" t="s">
        <v>52</v>
      </c>
      <c r="D121" s="173" t="s">
        <v>53</v>
      </c>
      <c r="E121" s="174">
        <v>7469</v>
      </c>
      <c r="F121" s="194" t="s">
        <v>54</v>
      </c>
      <c r="G121" s="260">
        <v>74351837</v>
      </c>
      <c r="H121" s="182" t="s">
        <v>659</v>
      </c>
      <c r="I121" s="228"/>
      <c r="J121" s="228"/>
      <c r="K121" s="183">
        <v>8080</v>
      </c>
      <c r="L121" s="196"/>
      <c r="M121" s="196"/>
      <c r="N121" s="196"/>
      <c r="O121" s="197"/>
      <c r="P121" s="185">
        <f t="shared" si="1"/>
        <v>8080</v>
      </c>
      <c r="Q121" s="159"/>
      <c r="R121" s="194"/>
      <c r="S121" s="194"/>
      <c r="T121" s="194"/>
      <c r="U121" s="228"/>
      <c r="V121" s="194" t="s">
        <v>47</v>
      </c>
      <c r="W121" s="194"/>
      <c r="X121" s="161">
        <v>46162</v>
      </c>
      <c r="Y121" s="229" t="s">
        <v>63</v>
      </c>
      <c r="Z121" s="229"/>
      <c r="AA121" s="229"/>
      <c r="AB121" s="229" t="s">
        <v>49</v>
      </c>
      <c r="AC121" s="229"/>
      <c r="AD121" s="256" t="s">
        <v>48</v>
      </c>
      <c r="AE121" s="230"/>
      <c r="AF121" s="231"/>
      <c r="AG121" s="231"/>
      <c r="AH121" s="229"/>
      <c r="AI121" s="229"/>
      <c r="AJ121" s="232"/>
      <c r="AK121" s="229"/>
      <c r="AL121" s="231">
        <v>18</v>
      </c>
      <c r="AM121" s="233" t="s">
        <v>50</v>
      </c>
      <c r="AN121" s="256" t="s">
        <v>51</v>
      </c>
      <c r="AO121" s="128"/>
      <c r="AP121" s="128"/>
    </row>
    <row r="122" spans="1:42" s="160" customFormat="1" ht="14.25" customHeight="1" x14ac:dyDescent="0.2">
      <c r="A122" s="161">
        <v>46162</v>
      </c>
      <c r="B122" s="157"/>
      <c r="C122" s="158" t="s">
        <v>52</v>
      </c>
      <c r="D122" s="173" t="s">
        <v>53</v>
      </c>
      <c r="E122" s="174">
        <v>7470</v>
      </c>
      <c r="F122" s="194" t="s">
        <v>54</v>
      </c>
      <c r="G122" s="260">
        <v>73196952</v>
      </c>
      <c r="H122" s="182" t="s">
        <v>699</v>
      </c>
      <c r="I122" s="228"/>
      <c r="J122" s="228"/>
      <c r="K122" s="183">
        <v>5650</v>
      </c>
      <c r="L122" s="196"/>
      <c r="M122" s="196"/>
      <c r="N122" s="196"/>
      <c r="O122" s="197"/>
      <c r="P122" s="185">
        <f t="shared" si="1"/>
        <v>5650</v>
      </c>
      <c r="Q122" s="159"/>
      <c r="R122" s="194"/>
      <c r="S122" s="194"/>
      <c r="T122" s="194"/>
      <c r="U122" s="228"/>
      <c r="V122" s="194" t="s">
        <v>47</v>
      </c>
      <c r="W122" s="194"/>
      <c r="X122" s="161">
        <v>46162</v>
      </c>
      <c r="Y122" s="229" t="s">
        <v>63</v>
      </c>
      <c r="Z122" s="229"/>
      <c r="AA122" s="229"/>
      <c r="AB122" s="229" t="s">
        <v>49</v>
      </c>
      <c r="AC122" s="229"/>
      <c r="AD122" s="256" t="s">
        <v>48</v>
      </c>
      <c r="AE122" s="230"/>
      <c r="AF122" s="231"/>
      <c r="AG122" s="231"/>
      <c r="AH122" s="229"/>
      <c r="AI122" s="229"/>
      <c r="AJ122" s="232"/>
      <c r="AK122" s="229"/>
      <c r="AL122" s="231">
        <v>18</v>
      </c>
      <c r="AM122" s="233" t="s">
        <v>50</v>
      </c>
      <c r="AN122" s="256" t="s">
        <v>51</v>
      </c>
      <c r="AO122" s="128"/>
      <c r="AP122" s="128"/>
    </row>
    <row r="123" spans="1:42" s="20" customFormat="1" ht="14.25" customHeight="1" x14ac:dyDescent="0.2">
      <c r="A123" s="162">
        <v>46163</v>
      </c>
      <c r="B123" s="124"/>
      <c r="C123" s="158" t="s">
        <v>52</v>
      </c>
      <c r="D123" s="85" t="s">
        <v>79</v>
      </c>
      <c r="E123" s="171">
        <v>7471</v>
      </c>
      <c r="F123" s="194" t="s">
        <v>54</v>
      </c>
      <c r="G123" s="268">
        <v>44617164</v>
      </c>
      <c r="H123" s="85" t="s">
        <v>679</v>
      </c>
      <c r="I123" s="57"/>
      <c r="J123" s="57"/>
      <c r="K123" s="199">
        <v>5230</v>
      </c>
      <c r="L123" s="191"/>
      <c r="M123" s="191"/>
      <c r="N123" s="191"/>
      <c r="O123" s="184"/>
      <c r="P123" s="185">
        <f t="shared" si="1"/>
        <v>5230</v>
      </c>
      <c r="Q123" s="143"/>
      <c r="R123" s="58"/>
      <c r="S123" s="58"/>
      <c r="T123" s="58"/>
      <c r="U123" s="57"/>
      <c r="V123" s="58" t="s">
        <v>47</v>
      </c>
      <c r="W123" s="58"/>
      <c r="X123" s="162">
        <v>46163</v>
      </c>
      <c r="Y123" s="26" t="s">
        <v>63</v>
      </c>
      <c r="Z123" s="26"/>
      <c r="AA123" s="26"/>
      <c r="AB123" s="26" t="s">
        <v>49</v>
      </c>
      <c r="AC123" s="26"/>
      <c r="AD123" s="254" t="s">
        <v>48</v>
      </c>
      <c r="AE123" s="27"/>
      <c r="AF123" s="24"/>
      <c r="AG123" s="24"/>
      <c r="AH123" s="26"/>
      <c r="AI123" s="26"/>
      <c r="AJ123" s="25"/>
      <c r="AK123" s="26"/>
      <c r="AL123" s="24">
        <v>18</v>
      </c>
      <c r="AM123" s="224" t="s">
        <v>50</v>
      </c>
      <c r="AN123" s="254" t="s">
        <v>51</v>
      </c>
      <c r="AO123" s="127"/>
      <c r="AP123" s="127"/>
    </row>
    <row r="124" spans="1:42" s="20" customFormat="1" ht="14.25" customHeight="1" x14ac:dyDescent="0.2">
      <c r="A124" s="162">
        <v>46163</v>
      </c>
      <c r="B124" s="124"/>
      <c r="C124" s="158" t="s">
        <v>52</v>
      </c>
      <c r="D124" s="85" t="s">
        <v>79</v>
      </c>
      <c r="E124" s="171">
        <v>7472</v>
      </c>
      <c r="F124" s="194" t="s">
        <v>54</v>
      </c>
      <c r="G124" s="268">
        <v>76583170</v>
      </c>
      <c r="H124" s="85" t="s">
        <v>680</v>
      </c>
      <c r="I124" s="57"/>
      <c r="J124" s="57"/>
      <c r="K124" s="199">
        <v>11380</v>
      </c>
      <c r="L124" s="191"/>
      <c r="M124" s="191"/>
      <c r="N124" s="191"/>
      <c r="O124" s="184"/>
      <c r="P124" s="185">
        <f t="shared" si="1"/>
        <v>11380</v>
      </c>
      <c r="Q124" s="143"/>
      <c r="R124" s="58"/>
      <c r="S124" s="58"/>
      <c r="T124" s="58"/>
      <c r="U124" s="57"/>
      <c r="V124" s="58" t="s">
        <v>47</v>
      </c>
      <c r="W124" s="58"/>
      <c r="X124" s="162">
        <v>46163</v>
      </c>
      <c r="Y124" s="26" t="s">
        <v>63</v>
      </c>
      <c r="Z124" s="26"/>
      <c r="AA124" s="26"/>
      <c r="AB124" s="26" t="s">
        <v>49</v>
      </c>
      <c r="AC124" s="26"/>
      <c r="AD124" s="254" t="s">
        <v>48</v>
      </c>
      <c r="AE124" s="27"/>
      <c r="AF124" s="24"/>
      <c r="AG124" s="24"/>
      <c r="AH124" s="26"/>
      <c r="AI124" s="26"/>
      <c r="AJ124" s="25"/>
      <c r="AK124" s="26"/>
      <c r="AL124" s="24">
        <v>18</v>
      </c>
      <c r="AM124" s="224" t="s">
        <v>50</v>
      </c>
      <c r="AN124" s="254" t="s">
        <v>51</v>
      </c>
      <c r="AO124" s="127"/>
      <c r="AP124" s="127"/>
    </row>
    <row r="125" spans="1:42" s="20" customFormat="1" ht="14.25" customHeight="1" x14ac:dyDescent="0.2">
      <c r="A125" s="162">
        <v>46163</v>
      </c>
      <c r="B125" s="124"/>
      <c r="C125" s="158" t="s">
        <v>52</v>
      </c>
      <c r="D125" s="85" t="s">
        <v>79</v>
      </c>
      <c r="E125" s="171">
        <v>7473</v>
      </c>
      <c r="F125" s="194" t="s">
        <v>54</v>
      </c>
      <c r="G125" s="268">
        <v>63252364</v>
      </c>
      <c r="H125" s="85" t="s">
        <v>681</v>
      </c>
      <c r="I125" s="57"/>
      <c r="J125" s="57"/>
      <c r="K125" s="199">
        <v>11230</v>
      </c>
      <c r="L125" s="191"/>
      <c r="M125" s="191"/>
      <c r="N125" s="191"/>
      <c r="O125" s="184"/>
      <c r="P125" s="185">
        <f t="shared" si="1"/>
        <v>11230</v>
      </c>
      <c r="Q125" s="143"/>
      <c r="R125" s="58"/>
      <c r="S125" s="58"/>
      <c r="T125" s="58"/>
      <c r="U125" s="57"/>
      <c r="V125" s="58" t="s">
        <v>47</v>
      </c>
      <c r="W125" s="58"/>
      <c r="X125" s="162">
        <v>46163</v>
      </c>
      <c r="Y125" s="26" t="s">
        <v>63</v>
      </c>
      <c r="Z125" s="26"/>
      <c r="AA125" s="26"/>
      <c r="AB125" s="26" t="s">
        <v>49</v>
      </c>
      <c r="AC125" s="26"/>
      <c r="AD125" s="254" t="s">
        <v>48</v>
      </c>
      <c r="AE125" s="27"/>
      <c r="AF125" s="24"/>
      <c r="AG125" s="24"/>
      <c r="AH125" s="26"/>
      <c r="AI125" s="26"/>
      <c r="AJ125" s="25"/>
      <c r="AK125" s="26"/>
      <c r="AL125" s="24">
        <v>18</v>
      </c>
      <c r="AM125" s="224" t="s">
        <v>50</v>
      </c>
      <c r="AN125" s="254" t="s">
        <v>51</v>
      </c>
      <c r="AO125" s="127"/>
      <c r="AP125" s="127"/>
    </row>
    <row r="126" spans="1:42" s="20" customFormat="1" ht="14.25" customHeight="1" x14ac:dyDescent="0.2">
      <c r="A126" s="162">
        <v>46163</v>
      </c>
      <c r="B126" s="124"/>
      <c r="C126" s="158" t="s">
        <v>52</v>
      </c>
      <c r="D126" s="85" t="s">
        <v>79</v>
      </c>
      <c r="E126" s="171">
        <v>7474</v>
      </c>
      <c r="F126" s="194" t="s">
        <v>54</v>
      </c>
      <c r="G126" s="268">
        <v>74856765</v>
      </c>
      <c r="H126" s="85" t="s">
        <v>682</v>
      </c>
      <c r="I126" s="57"/>
      <c r="J126" s="57"/>
      <c r="K126" s="199">
        <v>7294.32</v>
      </c>
      <c r="L126" s="191"/>
      <c r="M126" s="191"/>
      <c r="N126" s="191"/>
      <c r="O126" s="184"/>
      <c r="P126" s="185">
        <f t="shared" si="1"/>
        <v>7294.32</v>
      </c>
      <c r="Q126" s="143"/>
      <c r="R126" s="58"/>
      <c r="S126" s="58"/>
      <c r="T126" s="58"/>
      <c r="U126" s="57"/>
      <c r="V126" s="58" t="s">
        <v>47</v>
      </c>
      <c r="W126" s="58"/>
      <c r="X126" s="162">
        <v>46163</v>
      </c>
      <c r="Y126" s="26" t="s">
        <v>63</v>
      </c>
      <c r="Z126" s="26"/>
      <c r="AA126" s="26"/>
      <c r="AB126" s="26" t="s">
        <v>49</v>
      </c>
      <c r="AC126" s="26"/>
      <c r="AD126" s="254" t="s">
        <v>48</v>
      </c>
      <c r="AE126" s="27"/>
      <c r="AF126" s="24"/>
      <c r="AG126" s="24"/>
      <c r="AH126" s="26"/>
      <c r="AI126" s="26"/>
      <c r="AJ126" s="25"/>
      <c r="AK126" s="26"/>
      <c r="AL126" s="24">
        <v>18</v>
      </c>
      <c r="AM126" s="224" t="s">
        <v>50</v>
      </c>
      <c r="AN126" s="254" t="s">
        <v>51</v>
      </c>
      <c r="AO126" s="127"/>
      <c r="AP126" s="127"/>
    </row>
    <row r="127" spans="1:42" s="20" customFormat="1" ht="14.25" customHeight="1" x14ac:dyDescent="0.2">
      <c r="A127" s="162">
        <v>46163</v>
      </c>
      <c r="B127" s="124"/>
      <c r="C127" s="158" t="s">
        <v>52</v>
      </c>
      <c r="D127" s="85" t="s">
        <v>79</v>
      </c>
      <c r="E127" s="171">
        <v>7475</v>
      </c>
      <c r="F127" s="194" t="s">
        <v>54</v>
      </c>
      <c r="G127" s="268">
        <v>73751311</v>
      </c>
      <c r="H127" s="85" t="s">
        <v>683</v>
      </c>
      <c r="I127" s="57"/>
      <c r="J127" s="57"/>
      <c r="K127" s="199">
        <v>8700</v>
      </c>
      <c r="L127" s="191"/>
      <c r="M127" s="191"/>
      <c r="N127" s="191"/>
      <c r="O127" s="184"/>
      <c r="P127" s="185">
        <f t="shared" si="1"/>
        <v>8700</v>
      </c>
      <c r="Q127" s="143"/>
      <c r="R127" s="58"/>
      <c r="S127" s="58"/>
      <c r="T127" s="58"/>
      <c r="U127" s="57"/>
      <c r="V127" s="58" t="s">
        <v>47</v>
      </c>
      <c r="W127" s="58"/>
      <c r="X127" s="162">
        <v>46163</v>
      </c>
      <c r="Y127" s="26" t="s">
        <v>63</v>
      </c>
      <c r="Z127" s="26"/>
      <c r="AA127" s="26"/>
      <c r="AB127" s="26" t="s">
        <v>49</v>
      </c>
      <c r="AC127" s="26"/>
      <c r="AD127" s="254" t="s">
        <v>48</v>
      </c>
      <c r="AE127" s="27"/>
      <c r="AF127" s="24"/>
      <c r="AG127" s="24"/>
      <c r="AH127" s="26"/>
      <c r="AI127" s="26"/>
      <c r="AJ127" s="25"/>
      <c r="AK127" s="26"/>
      <c r="AL127" s="24">
        <v>18</v>
      </c>
      <c r="AM127" s="224" t="s">
        <v>50</v>
      </c>
      <c r="AN127" s="254" t="s">
        <v>51</v>
      </c>
      <c r="AO127" s="127"/>
      <c r="AP127" s="127"/>
    </row>
    <row r="128" spans="1:42" s="20" customFormat="1" ht="14.25" customHeight="1" x14ac:dyDescent="0.2">
      <c r="A128" s="162">
        <v>46164</v>
      </c>
      <c r="B128" s="124"/>
      <c r="C128" s="158" t="s">
        <v>52</v>
      </c>
      <c r="D128" s="85" t="s">
        <v>79</v>
      </c>
      <c r="E128" s="171">
        <v>7476</v>
      </c>
      <c r="F128" s="194" t="s">
        <v>54</v>
      </c>
      <c r="G128" s="268">
        <v>61282607</v>
      </c>
      <c r="H128" s="85" t="s">
        <v>684</v>
      </c>
      <c r="I128" s="57"/>
      <c r="J128" s="57"/>
      <c r="K128" s="199">
        <v>5580</v>
      </c>
      <c r="L128" s="191"/>
      <c r="M128" s="191"/>
      <c r="N128" s="191"/>
      <c r="O128" s="184"/>
      <c r="P128" s="185">
        <f t="shared" si="1"/>
        <v>5580</v>
      </c>
      <c r="Q128" s="143"/>
      <c r="R128" s="58"/>
      <c r="S128" s="58"/>
      <c r="T128" s="58"/>
      <c r="U128" s="57"/>
      <c r="V128" s="58" t="s">
        <v>47</v>
      </c>
      <c r="W128" s="58"/>
      <c r="X128" s="162">
        <v>46164</v>
      </c>
      <c r="Y128" s="26" t="s">
        <v>63</v>
      </c>
      <c r="Z128" s="26"/>
      <c r="AA128" s="26"/>
      <c r="AB128" s="26" t="s">
        <v>49</v>
      </c>
      <c r="AC128" s="26"/>
      <c r="AD128" s="254" t="s">
        <v>48</v>
      </c>
      <c r="AE128" s="27"/>
      <c r="AF128" s="24"/>
      <c r="AG128" s="24"/>
      <c r="AH128" s="26"/>
      <c r="AI128" s="26"/>
      <c r="AJ128" s="25"/>
      <c r="AK128" s="26"/>
      <c r="AL128" s="24">
        <v>18</v>
      </c>
      <c r="AM128" s="224" t="s">
        <v>50</v>
      </c>
      <c r="AN128" s="254" t="s">
        <v>51</v>
      </c>
      <c r="AO128" s="127"/>
      <c r="AP128" s="127"/>
    </row>
    <row r="129" spans="1:42" s="20" customFormat="1" ht="14.25" customHeight="1" x14ac:dyDescent="0.2">
      <c r="A129" s="162">
        <v>46164</v>
      </c>
      <c r="B129" s="124"/>
      <c r="C129" s="158" t="s">
        <v>52</v>
      </c>
      <c r="D129" s="85" t="s">
        <v>79</v>
      </c>
      <c r="E129" s="171">
        <v>7477</v>
      </c>
      <c r="F129" s="194" t="s">
        <v>54</v>
      </c>
      <c r="G129" s="268">
        <v>23558246</v>
      </c>
      <c r="H129" s="85" t="s">
        <v>685</v>
      </c>
      <c r="I129" s="57"/>
      <c r="J129" s="57"/>
      <c r="K129" s="199">
        <v>6180</v>
      </c>
      <c r="L129" s="191"/>
      <c r="M129" s="191"/>
      <c r="N129" s="191"/>
      <c r="O129" s="184"/>
      <c r="P129" s="185">
        <f t="shared" si="1"/>
        <v>6180</v>
      </c>
      <c r="Q129" s="143"/>
      <c r="R129" s="58"/>
      <c r="S129" s="58"/>
      <c r="T129" s="58"/>
      <c r="U129" s="57"/>
      <c r="V129" s="58" t="s">
        <v>47</v>
      </c>
      <c r="W129" s="58"/>
      <c r="X129" s="162">
        <v>46164</v>
      </c>
      <c r="Y129" s="26" t="s">
        <v>63</v>
      </c>
      <c r="Z129" s="26"/>
      <c r="AA129" s="26"/>
      <c r="AB129" s="26" t="s">
        <v>49</v>
      </c>
      <c r="AC129" s="26"/>
      <c r="AD129" s="254" t="s">
        <v>48</v>
      </c>
      <c r="AE129" s="27"/>
      <c r="AF129" s="24"/>
      <c r="AG129" s="24"/>
      <c r="AH129" s="26"/>
      <c r="AI129" s="26"/>
      <c r="AJ129" s="25"/>
      <c r="AK129" s="26"/>
      <c r="AL129" s="24">
        <v>18</v>
      </c>
      <c r="AM129" s="224" t="s">
        <v>50</v>
      </c>
      <c r="AN129" s="254" t="s">
        <v>51</v>
      </c>
      <c r="AO129" s="127"/>
      <c r="AP129" s="127"/>
    </row>
    <row r="130" spans="1:42" s="20" customFormat="1" ht="14.25" customHeight="1" x14ac:dyDescent="0.2">
      <c r="A130" s="162">
        <v>46164</v>
      </c>
      <c r="B130" s="124"/>
      <c r="C130" s="158" t="s">
        <v>52</v>
      </c>
      <c r="D130" s="85" t="s">
        <v>79</v>
      </c>
      <c r="E130" s="171">
        <v>7478</v>
      </c>
      <c r="F130" s="194" t="s">
        <v>54</v>
      </c>
      <c r="G130" s="268">
        <v>20053496</v>
      </c>
      <c r="H130" s="85" t="s">
        <v>686</v>
      </c>
      <c r="I130" s="57"/>
      <c r="J130" s="57"/>
      <c r="K130" s="199">
        <v>11230</v>
      </c>
      <c r="L130" s="191"/>
      <c r="M130" s="191"/>
      <c r="N130" s="191"/>
      <c r="O130" s="184"/>
      <c r="P130" s="185">
        <f t="shared" si="1"/>
        <v>11230</v>
      </c>
      <c r="Q130" s="143"/>
      <c r="R130" s="58"/>
      <c r="S130" s="58"/>
      <c r="T130" s="58"/>
      <c r="U130" s="57"/>
      <c r="V130" s="58" t="s">
        <v>47</v>
      </c>
      <c r="W130" s="58"/>
      <c r="X130" s="162">
        <v>46164</v>
      </c>
      <c r="Y130" s="26" t="s">
        <v>63</v>
      </c>
      <c r="Z130" s="26"/>
      <c r="AA130" s="26"/>
      <c r="AB130" s="26" t="s">
        <v>49</v>
      </c>
      <c r="AC130" s="26"/>
      <c r="AD130" s="254" t="s">
        <v>48</v>
      </c>
      <c r="AE130" s="27"/>
      <c r="AF130" s="24"/>
      <c r="AG130" s="24"/>
      <c r="AH130" s="26"/>
      <c r="AI130" s="26"/>
      <c r="AJ130" s="25"/>
      <c r="AK130" s="26"/>
      <c r="AL130" s="24">
        <v>18</v>
      </c>
      <c r="AM130" s="224" t="s">
        <v>50</v>
      </c>
      <c r="AN130" s="254" t="s">
        <v>51</v>
      </c>
      <c r="AO130" s="127"/>
      <c r="AP130" s="127"/>
    </row>
    <row r="131" spans="1:42" s="20" customFormat="1" ht="14.25" customHeight="1" x14ac:dyDescent="0.2">
      <c r="A131" s="162">
        <v>46164</v>
      </c>
      <c r="B131" s="124"/>
      <c r="C131" s="158" t="s">
        <v>52</v>
      </c>
      <c r="D131" s="85" t="s">
        <v>79</v>
      </c>
      <c r="E131" s="171">
        <v>7479</v>
      </c>
      <c r="F131" s="194" t="s">
        <v>54</v>
      </c>
      <c r="G131" s="268">
        <v>47950282</v>
      </c>
      <c r="H131" s="85" t="s">
        <v>687</v>
      </c>
      <c r="I131" s="57"/>
      <c r="J131" s="57"/>
      <c r="K131" s="199">
        <v>4180</v>
      </c>
      <c r="L131" s="191"/>
      <c r="M131" s="191"/>
      <c r="N131" s="191"/>
      <c r="O131" s="184"/>
      <c r="P131" s="185">
        <f t="shared" si="1"/>
        <v>4180</v>
      </c>
      <c r="Q131" s="143"/>
      <c r="R131" s="58"/>
      <c r="S131" s="58"/>
      <c r="T131" s="58"/>
      <c r="U131" s="57"/>
      <c r="V131" s="58" t="s">
        <v>47</v>
      </c>
      <c r="W131" s="58"/>
      <c r="X131" s="162">
        <v>46164</v>
      </c>
      <c r="Y131" s="26" t="s">
        <v>63</v>
      </c>
      <c r="Z131" s="26"/>
      <c r="AA131" s="26"/>
      <c r="AB131" s="26" t="s">
        <v>49</v>
      </c>
      <c r="AC131" s="26"/>
      <c r="AD131" s="254" t="s">
        <v>48</v>
      </c>
      <c r="AE131" s="27"/>
      <c r="AF131" s="24"/>
      <c r="AG131" s="24"/>
      <c r="AH131" s="26"/>
      <c r="AI131" s="26"/>
      <c r="AJ131" s="25"/>
      <c r="AK131" s="26"/>
      <c r="AL131" s="24">
        <v>18</v>
      </c>
      <c r="AM131" s="224" t="s">
        <v>50</v>
      </c>
      <c r="AN131" s="254" t="s">
        <v>51</v>
      </c>
      <c r="AO131" s="127"/>
      <c r="AP131" s="127"/>
    </row>
    <row r="132" spans="1:42" s="20" customFormat="1" ht="14.25" customHeight="1" x14ac:dyDescent="0.2">
      <c r="A132" s="162">
        <v>46164</v>
      </c>
      <c r="B132" s="124"/>
      <c r="C132" s="158" t="s">
        <v>52</v>
      </c>
      <c r="D132" s="85" t="s">
        <v>79</v>
      </c>
      <c r="E132" s="171">
        <v>7480</v>
      </c>
      <c r="F132" s="194" t="s">
        <v>54</v>
      </c>
      <c r="G132" s="268">
        <v>20998006</v>
      </c>
      <c r="H132" s="85" t="s">
        <v>688</v>
      </c>
      <c r="I132" s="57"/>
      <c r="J132" s="57"/>
      <c r="K132" s="199">
        <v>7262</v>
      </c>
      <c r="L132" s="191"/>
      <c r="M132" s="191"/>
      <c r="N132" s="191"/>
      <c r="O132" s="184"/>
      <c r="P132" s="185">
        <f t="shared" si="1"/>
        <v>7262</v>
      </c>
      <c r="Q132" s="143"/>
      <c r="R132" s="58"/>
      <c r="S132" s="58"/>
      <c r="T132" s="58"/>
      <c r="U132" s="57"/>
      <c r="V132" s="58" t="s">
        <v>47</v>
      </c>
      <c r="W132" s="58"/>
      <c r="X132" s="162">
        <v>46164</v>
      </c>
      <c r="Y132" s="26" t="s">
        <v>63</v>
      </c>
      <c r="Z132" s="26"/>
      <c r="AA132" s="26"/>
      <c r="AB132" s="26" t="s">
        <v>49</v>
      </c>
      <c r="AC132" s="26"/>
      <c r="AD132" s="254" t="s">
        <v>48</v>
      </c>
      <c r="AE132" s="27"/>
      <c r="AF132" s="24"/>
      <c r="AG132" s="24"/>
      <c r="AH132" s="26"/>
      <c r="AI132" s="26"/>
      <c r="AJ132" s="25"/>
      <c r="AK132" s="26"/>
      <c r="AL132" s="24">
        <v>18</v>
      </c>
      <c r="AM132" s="224" t="s">
        <v>50</v>
      </c>
      <c r="AN132" s="254" t="s">
        <v>51</v>
      </c>
      <c r="AO132" s="127"/>
      <c r="AP132" s="127"/>
    </row>
    <row r="133" spans="1:42" s="20" customFormat="1" ht="14.25" customHeight="1" x14ac:dyDescent="0.2">
      <c r="A133" s="162">
        <v>46164</v>
      </c>
      <c r="B133" s="124"/>
      <c r="C133" s="158" t="s">
        <v>52</v>
      </c>
      <c r="D133" s="85" t="s">
        <v>79</v>
      </c>
      <c r="E133" s="171">
        <v>7481</v>
      </c>
      <c r="F133" s="194" t="s">
        <v>54</v>
      </c>
      <c r="G133" s="268">
        <v>44387277</v>
      </c>
      <c r="H133" s="85" t="s">
        <v>689</v>
      </c>
      <c r="I133" s="57"/>
      <c r="J133" s="57"/>
      <c r="K133" s="199">
        <v>6026</v>
      </c>
      <c r="L133" s="191"/>
      <c r="M133" s="191"/>
      <c r="N133" s="191"/>
      <c r="O133" s="184"/>
      <c r="P133" s="185">
        <f t="shared" si="1"/>
        <v>6026</v>
      </c>
      <c r="Q133" s="143"/>
      <c r="R133" s="58"/>
      <c r="S133" s="58"/>
      <c r="T133" s="58"/>
      <c r="U133" s="57"/>
      <c r="V133" s="58" t="s">
        <v>47</v>
      </c>
      <c r="W133" s="58"/>
      <c r="X133" s="162">
        <v>46164</v>
      </c>
      <c r="Y133" s="26" t="s">
        <v>63</v>
      </c>
      <c r="Z133" s="26"/>
      <c r="AA133" s="26"/>
      <c r="AB133" s="26" t="s">
        <v>49</v>
      </c>
      <c r="AC133" s="26"/>
      <c r="AD133" s="254" t="s">
        <v>48</v>
      </c>
      <c r="AE133" s="27"/>
      <c r="AF133" s="24"/>
      <c r="AG133" s="24"/>
      <c r="AH133" s="26"/>
      <c r="AI133" s="26"/>
      <c r="AJ133" s="25"/>
      <c r="AK133" s="26"/>
      <c r="AL133" s="24">
        <v>18</v>
      </c>
      <c r="AM133" s="224" t="s">
        <v>50</v>
      </c>
      <c r="AN133" s="254" t="s">
        <v>51</v>
      </c>
      <c r="AO133" s="127"/>
      <c r="AP133" s="127"/>
    </row>
    <row r="134" spans="1:42" s="160" customFormat="1" ht="14.25" customHeight="1" x14ac:dyDescent="0.2">
      <c r="A134" s="161">
        <v>46167</v>
      </c>
      <c r="B134" s="269"/>
      <c r="C134" s="158" t="s">
        <v>52</v>
      </c>
      <c r="D134" s="182" t="s">
        <v>79</v>
      </c>
      <c r="E134" s="174">
        <v>7482</v>
      </c>
      <c r="F134" s="194" t="s">
        <v>54</v>
      </c>
      <c r="G134" s="260">
        <v>73666073</v>
      </c>
      <c r="H134" s="182" t="s">
        <v>690</v>
      </c>
      <c r="I134" s="228"/>
      <c r="J134" s="228"/>
      <c r="K134" s="183">
        <v>8700</v>
      </c>
      <c r="L134" s="196"/>
      <c r="M134" s="196"/>
      <c r="N134" s="196"/>
      <c r="O134" s="197"/>
      <c r="P134" s="270">
        <f t="shared" ref="P134:P148" si="2">K134</f>
        <v>8700</v>
      </c>
      <c r="Q134" s="159"/>
      <c r="R134" s="194"/>
      <c r="S134" s="194"/>
      <c r="T134" s="194"/>
      <c r="U134" s="228"/>
      <c r="V134" s="194" t="s">
        <v>47</v>
      </c>
      <c r="W134" s="194"/>
      <c r="X134" s="161">
        <v>46167</v>
      </c>
      <c r="Y134" s="229" t="s">
        <v>63</v>
      </c>
      <c r="Z134" s="229"/>
      <c r="AA134" s="229"/>
      <c r="AB134" s="229" t="s">
        <v>49</v>
      </c>
      <c r="AC134" s="229"/>
      <c r="AD134" s="256" t="s">
        <v>48</v>
      </c>
      <c r="AE134" s="230"/>
      <c r="AF134" s="231"/>
      <c r="AG134" s="231"/>
      <c r="AH134" s="229"/>
      <c r="AI134" s="229"/>
      <c r="AJ134" s="232"/>
      <c r="AK134" s="229"/>
      <c r="AL134" s="231">
        <v>18</v>
      </c>
      <c r="AM134" s="233" t="s">
        <v>50</v>
      </c>
      <c r="AN134" s="256" t="s">
        <v>51</v>
      </c>
      <c r="AO134" s="128"/>
      <c r="AP134" s="128"/>
    </row>
    <row r="135" spans="1:42" s="160" customFormat="1" ht="14.25" customHeight="1" x14ac:dyDescent="0.2">
      <c r="A135" s="161">
        <v>46167</v>
      </c>
      <c r="B135" s="157"/>
      <c r="C135" s="158" t="s">
        <v>52</v>
      </c>
      <c r="D135" s="182" t="s">
        <v>79</v>
      </c>
      <c r="E135" s="174">
        <v>7483</v>
      </c>
      <c r="F135" s="194" t="s">
        <v>54</v>
      </c>
      <c r="G135" s="260">
        <v>47290609</v>
      </c>
      <c r="H135" s="182" t="s">
        <v>691</v>
      </c>
      <c r="I135" s="228"/>
      <c r="J135" s="228"/>
      <c r="K135" s="183">
        <v>5280</v>
      </c>
      <c r="L135" s="196"/>
      <c r="M135" s="196"/>
      <c r="N135" s="196"/>
      <c r="O135" s="197"/>
      <c r="P135" s="270">
        <f t="shared" si="2"/>
        <v>5280</v>
      </c>
      <c r="Q135" s="159"/>
      <c r="R135" s="194"/>
      <c r="S135" s="194"/>
      <c r="T135" s="194"/>
      <c r="U135" s="228"/>
      <c r="V135" s="194" t="s">
        <v>47</v>
      </c>
      <c r="W135" s="194"/>
      <c r="X135" s="161">
        <v>46167</v>
      </c>
      <c r="Y135" s="229" t="s">
        <v>63</v>
      </c>
      <c r="Z135" s="229"/>
      <c r="AA135" s="229"/>
      <c r="AB135" s="229" t="s">
        <v>49</v>
      </c>
      <c r="AC135" s="229"/>
      <c r="AD135" s="256" t="s">
        <v>48</v>
      </c>
      <c r="AE135" s="230"/>
      <c r="AF135" s="231"/>
      <c r="AG135" s="231"/>
      <c r="AH135" s="229"/>
      <c r="AI135" s="229"/>
      <c r="AJ135" s="232"/>
      <c r="AK135" s="229"/>
      <c r="AL135" s="231">
        <v>18</v>
      </c>
      <c r="AM135" s="233" t="s">
        <v>50</v>
      </c>
      <c r="AN135" s="256" t="s">
        <v>51</v>
      </c>
      <c r="AO135" s="128"/>
      <c r="AP135" s="128"/>
    </row>
    <row r="136" spans="1:42" s="160" customFormat="1" ht="14.25" customHeight="1" x14ac:dyDescent="0.2">
      <c r="A136" s="161">
        <v>46167</v>
      </c>
      <c r="B136" s="157"/>
      <c r="C136" s="158" t="s">
        <v>52</v>
      </c>
      <c r="D136" s="182" t="s">
        <v>79</v>
      </c>
      <c r="E136" s="174">
        <v>7484</v>
      </c>
      <c r="F136" s="194" t="s">
        <v>54</v>
      </c>
      <c r="G136" s="260">
        <v>21002700</v>
      </c>
      <c r="H136" s="182" t="s">
        <v>692</v>
      </c>
      <c r="I136" s="228"/>
      <c r="J136" s="228"/>
      <c r="K136" s="183">
        <v>8180</v>
      </c>
      <c r="L136" s="196"/>
      <c r="M136" s="196"/>
      <c r="N136" s="196"/>
      <c r="O136" s="197"/>
      <c r="P136" s="270">
        <f t="shared" si="2"/>
        <v>8180</v>
      </c>
      <c r="Q136" s="159"/>
      <c r="R136" s="194"/>
      <c r="S136" s="194"/>
      <c r="T136" s="194"/>
      <c r="U136" s="228"/>
      <c r="V136" s="194" t="s">
        <v>47</v>
      </c>
      <c r="W136" s="194"/>
      <c r="X136" s="161">
        <v>46167</v>
      </c>
      <c r="Y136" s="229" t="s">
        <v>63</v>
      </c>
      <c r="Z136" s="229"/>
      <c r="AA136" s="229"/>
      <c r="AB136" s="229" t="s">
        <v>49</v>
      </c>
      <c r="AC136" s="229"/>
      <c r="AD136" s="256" t="s">
        <v>48</v>
      </c>
      <c r="AE136" s="230"/>
      <c r="AF136" s="231"/>
      <c r="AG136" s="231"/>
      <c r="AH136" s="229"/>
      <c r="AI136" s="229"/>
      <c r="AJ136" s="232"/>
      <c r="AK136" s="229"/>
      <c r="AL136" s="231">
        <v>18</v>
      </c>
      <c r="AM136" s="233" t="s">
        <v>50</v>
      </c>
      <c r="AN136" s="256" t="s">
        <v>51</v>
      </c>
      <c r="AO136" s="128"/>
      <c r="AP136" s="128"/>
    </row>
    <row r="137" spans="1:42" s="160" customFormat="1" ht="14.25" customHeight="1" x14ac:dyDescent="0.2">
      <c r="A137" s="161">
        <v>46167</v>
      </c>
      <c r="B137" s="157"/>
      <c r="C137" s="158" t="s">
        <v>52</v>
      </c>
      <c r="D137" s="182" t="s">
        <v>79</v>
      </c>
      <c r="E137" s="174">
        <v>7485</v>
      </c>
      <c r="F137" s="194" t="s">
        <v>54</v>
      </c>
      <c r="G137" s="260">
        <v>46323248</v>
      </c>
      <c r="H137" s="182" t="s">
        <v>693</v>
      </c>
      <c r="I137" s="228"/>
      <c r="J137" s="228"/>
      <c r="K137" s="183">
        <v>7262</v>
      </c>
      <c r="L137" s="196"/>
      <c r="M137" s="196"/>
      <c r="N137" s="196"/>
      <c r="O137" s="197"/>
      <c r="P137" s="270">
        <f t="shared" si="2"/>
        <v>7262</v>
      </c>
      <c r="Q137" s="159"/>
      <c r="R137" s="194"/>
      <c r="S137" s="194"/>
      <c r="T137" s="194"/>
      <c r="U137" s="228"/>
      <c r="V137" s="194" t="s">
        <v>47</v>
      </c>
      <c r="W137" s="194"/>
      <c r="X137" s="161">
        <v>46167</v>
      </c>
      <c r="Y137" s="229" t="s">
        <v>63</v>
      </c>
      <c r="Z137" s="229"/>
      <c r="AA137" s="229"/>
      <c r="AB137" s="229" t="s">
        <v>49</v>
      </c>
      <c r="AC137" s="229"/>
      <c r="AD137" s="256" t="s">
        <v>48</v>
      </c>
      <c r="AE137" s="230"/>
      <c r="AF137" s="231"/>
      <c r="AG137" s="231"/>
      <c r="AH137" s="229"/>
      <c r="AI137" s="229"/>
      <c r="AJ137" s="232"/>
      <c r="AK137" s="229"/>
      <c r="AL137" s="231">
        <v>18</v>
      </c>
      <c r="AM137" s="233" t="s">
        <v>50</v>
      </c>
      <c r="AN137" s="256" t="s">
        <v>51</v>
      </c>
      <c r="AO137" s="128"/>
      <c r="AP137" s="128"/>
    </row>
    <row r="138" spans="1:42" s="160" customFormat="1" ht="14.25" customHeight="1" x14ac:dyDescent="0.2">
      <c r="A138" s="161">
        <v>46167</v>
      </c>
      <c r="B138" s="157"/>
      <c r="C138" s="158" t="s">
        <v>52</v>
      </c>
      <c r="D138" s="182" t="s">
        <v>79</v>
      </c>
      <c r="E138" s="174">
        <v>7486</v>
      </c>
      <c r="F138" s="194" t="s">
        <v>54</v>
      </c>
      <c r="G138" s="260">
        <v>71858481</v>
      </c>
      <c r="H138" s="182" t="s">
        <v>694</v>
      </c>
      <c r="I138" s="228"/>
      <c r="J138" s="228"/>
      <c r="K138" s="183">
        <v>5470</v>
      </c>
      <c r="L138" s="196"/>
      <c r="M138" s="196"/>
      <c r="N138" s="196"/>
      <c r="O138" s="197"/>
      <c r="P138" s="270">
        <f t="shared" si="2"/>
        <v>5470</v>
      </c>
      <c r="Q138" s="159"/>
      <c r="R138" s="194"/>
      <c r="S138" s="194"/>
      <c r="T138" s="194"/>
      <c r="U138" s="228"/>
      <c r="V138" s="194" t="s">
        <v>47</v>
      </c>
      <c r="W138" s="194"/>
      <c r="X138" s="161">
        <v>46167</v>
      </c>
      <c r="Y138" s="229" t="s">
        <v>63</v>
      </c>
      <c r="Z138" s="229"/>
      <c r="AA138" s="229"/>
      <c r="AB138" s="229" t="s">
        <v>49</v>
      </c>
      <c r="AC138" s="229"/>
      <c r="AD138" s="256" t="s">
        <v>48</v>
      </c>
      <c r="AE138" s="230"/>
      <c r="AF138" s="231"/>
      <c r="AG138" s="231"/>
      <c r="AH138" s="229"/>
      <c r="AI138" s="229"/>
      <c r="AJ138" s="232"/>
      <c r="AK138" s="229"/>
      <c r="AL138" s="231">
        <v>18</v>
      </c>
      <c r="AM138" s="233" t="s">
        <v>50</v>
      </c>
      <c r="AN138" s="256" t="s">
        <v>51</v>
      </c>
      <c r="AO138" s="128"/>
      <c r="AP138" s="128"/>
    </row>
    <row r="139" spans="1:42" s="160" customFormat="1" ht="14.25" customHeight="1" x14ac:dyDescent="0.2">
      <c r="A139" s="161">
        <v>46167</v>
      </c>
      <c r="B139" s="157"/>
      <c r="C139" s="158" t="s">
        <v>52</v>
      </c>
      <c r="D139" s="182" t="s">
        <v>79</v>
      </c>
      <c r="E139" s="174">
        <v>7487</v>
      </c>
      <c r="F139" s="194" t="s">
        <v>54</v>
      </c>
      <c r="G139" s="260">
        <v>71340606</v>
      </c>
      <c r="H139" s="182" t="s">
        <v>695</v>
      </c>
      <c r="I139" s="228"/>
      <c r="J139" s="228"/>
      <c r="K139" s="183">
        <v>7980</v>
      </c>
      <c r="L139" s="196"/>
      <c r="M139" s="196"/>
      <c r="N139" s="196"/>
      <c r="O139" s="197"/>
      <c r="P139" s="270">
        <f t="shared" si="2"/>
        <v>7980</v>
      </c>
      <c r="Q139" s="159"/>
      <c r="R139" s="194"/>
      <c r="S139" s="194"/>
      <c r="T139" s="194"/>
      <c r="U139" s="228"/>
      <c r="V139" s="194" t="s">
        <v>47</v>
      </c>
      <c r="W139" s="194"/>
      <c r="X139" s="161">
        <v>46167</v>
      </c>
      <c r="Y139" s="229" t="s">
        <v>63</v>
      </c>
      <c r="Z139" s="229"/>
      <c r="AA139" s="229"/>
      <c r="AB139" s="229" t="s">
        <v>49</v>
      </c>
      <c r="AC139" s="229"/>
      <c r="AD139" s="256" t="s">
        <v>48</v>
      </c>
      <c r="AE139" s="230"/>
      <c r="AF139" s="231"/>
      <c r="AG139" s="231"/>
      <c r="AH139" s="229"/>
      <c r="AI139" s="229"/>
      <c r="AJ139" s="232"/>
      <c r="AK139" s="229"/>
      <c r="AL139" s="231">
        <v>18</v>
      </c>
      <c r="AM139" s="233" t="s">
        <v>50</v>
      </c>
      <c r="AN139" s="256" t="s">
        <v>51</v>
      </c>
      <c r="AO139" s="128"/>
      <c r="AP139" s="128"/>
    </row>
    <row r="140" spans="1:42" s="20" customFormat="1" ht="14.25" customHeight="1" x14ac:dyDescent="0.2">
      <c r="A140" s="162">
        <v>46168</v>
      </c>
      <c r="B140" s="124"/>
      <c r="C140" s="158" t="s">
        <v>52</v>
      </c>
      <c r="D140" s="85" t="s">
        <v>79</v>
      </c>
      <c r="E140" s="171">
        <v>7488</v>
      </c>
      <c r="F140" s="194" t="s">
        <v>54</v>
      </c>
      <c r="G140" s="268">
        <v>42565813</v>
      </c>
      <c r="H140" s="85" t="s">
        <v>696</v>
      </c>
      <c r="I140" s="57"/>
      <c r="J140" s="57"/>
      <c r="K140" s="199">
        <v>5280</v>
      </c>
      <c r="L140" s="191"/>
      <c r="M140" s="191"/>
      <c r="N140" s="191"/>
      <c r="O140" s="184"/>
      <c r="P140" s="185">
        <f t="shared" si="2"/>
        <v>5280</v>
      </c>
      <c r="Q140" s="143"/>
      <c r="R140" s="58"/>
      <c r="S140" s="58"/>
      <c r="T140" s="58"/>
      <c r="U140" s="57"/>
      <c r="V140" s="58" t="s">
        <v>47</v>
      </c>
      <c r="W140" s="58"/>
      <c r="X140" s="162">
        <v>46168</v>
      </c>
      <c r="Y140" s="26" t="s">
        <v>63</v>
      </c>
      <c r="Z140" s="26"/>
      <c r="AA140" s="26"/>
      <c r="AB140" s="26" t="s">
        <v>49</v>
      </c>
      <c r="AC140" s="26"/>
      <c r="AD140" s="254" t="s">
        <v>48</v>
      </c>
      <c r="AE140" s="27"/>
      <c r="AF140" s="24"/>
      <c r="AG140" s="24"/>
      <c r="AH140" s="26"/>
      <c r="AI140" s="26"/>
      <c r="AJ140" s="25"/>
      <c r="AK140" s="26"/>
      <c r="AL140" s="24">
        <v>18</v>
      </c>
      <c r="AM140" s="224" t="s">
        <v>50</v>
      </c>
      <c r="AN140" s="254" t="s">
        <v>51</v>
      </c>
      <c r="AO140" s="127"/>
      <c r="AP140" s="127"/>
    </row>
    <row r="141" spans="1:42" s="20" customFormat="1" ht="14.25" customHeight="1" x14ac:dyDescent="0.2">
      <c r="A141" s="162">
        <v>46169</v>
      </c>
      <c r="B141" s="124"/>
      <c r="C141" s="158" t="s">
        <v>52</v>
      </c>
      <c r="D141" s="85" t="s">
        <v>79</v>
      </c>
      <c r="E141" s="171">
        <v>7489</v>
      </c>
      <c r="F141" s="194" t="s">
        <v>54</v>
      </c>
      <c r="G141" s="260">
        <v>60433796</v>
      </c>
      <c r="H141" s="182" t="s">
        <v>697</v>
      </c>
      <c r="I141" s="57"/>
      <c r="J141" s="57"/>
      <c r="K141" s="199">
        <v>7187</v>
      </c>
      <c r="L141" s="184"/>
      <c r="M141" s="184"/>
      <c r="N141" s="184"/>
      <c r="O141" s="184"/>
      <c r="P141" s="185">
        <f t="shared" si="2"/>
        <v>7187</v>
      </c>
      <c r="Q141" s="143"/>
      <c r="R141" s="58"/>
      <c r="S141" s="58"/>
      <c r="T141" s="58"/>
      <c r="U141" s="57"/>
      <c r="V141" s="58" t="s">
        <v>47</v>
      </c>
      <c r="W141" s="58"/>
      <c r="X141" s="162">
        <v>46169</v>
      </c>
      <c r="Y141" s="26" t="s">
        <v>63</v>
      </c>
      <c r="Z141" s="26"/>
      <c r="AA141" s="26"/>
      <c r="AB141" s="26" t="s">
        <v>49</v>
      </c>
      <c r="AC141" s="26"/>
      <c r="AD141" s="254" t="s">
        <v>48</v>
      </c>
      <c r="AE141" s="27"/>
      <c r="AF141" s="24"/>
      <c r="AG141" s="24"/>
      <c r="AH141" s="26"/>
      <c r="AI141" s="26"/>
      <c r="AJ141" s="25"/>
      <c r="AK141" s="26"/>
      <c r="AL141" s="24">
        <v>18</v>
      </c>
      <c r="AM141" s="224" t="s">
        <v>50</v>
      </c>
      <c r="AN141" s="254" t="s">
        <v>51</v>
      </c>
      <c r="AO141" s="127"/>
      <c r="AP141" s="127"/>
    </row>
    <row r="142" spans="1:42" s="20" customFormat="1" ht="14.25" customHeight="1" x14ac:dyDescent="0.2">
      <c r="A142" s="162">
        <v>46169</v>
      </c>
      <c r="B142" s="124"/>
      <c r="C142" s="158" t="s">
        <v>52</v>
      </c>
      <c r="D142" s="85" t="s">
        <v>79</v>
      </c>
      <c r="E142" s="171">
        <v>7490</v>
      </c>
      <c r="F142" s="194" t="s">
        <v>54</v>
      </c>
      <c r="G142" s="260">
        <v>48124768</v>
      </c>
      <c r="H142" s="182" t="s">
        <v>701</v>
      </c>
      <c r="I142" s="57"/>
      <c r="J142" s="57"/>
      <c r="K142" s="199">
        <v>5470</v>
      </c>
      <c r="L142" s="57"/>
      <c r="M142" s="57"/>
      <c r="N142" s="57"/>
      <c r="O142" s="193"/>
      <c r="P142" s="185">
        <f t="shared" si="2"/>
        <v>5470</v>
      </c>
      <c r="Q142" s="143"/>
      <c r="R142" s="58"/>
      <c r="S142" s="58"/>
      <c r="T142" s="58"/>
      <c r="U142" s="57"/>
      <c r="V142" s="58" t="s">
        <v>47</v>
      </c>
      <c r="W142" s="58"/>
      <c r="X142" s="162">
        <v>46169</v>
      </c>
      <c r="Y142" s="26" t="s">
        <v>63</v>
      </c>
      <c r="Z142" s="26"/>
      <c r="AA142" s="26"/>
      <c r="AB142" s="26" t="s">
        <v>49</v>
      </c>
      <c r="AC142" s="26"/>
      <c r="AD142" s="254" t="s">
        <v>48</v>
      </c>
      <c r="AE142" s="27"/>
      <c r="AF142" s="24"/>
      <c r="AG142" s="24"/>
      <c r="AH142" s="26"/>
      <c r="AI142" s="26"/>
      <c r="AJ142" s="25"/>
      <c r="AK142" s="26"/>
      <c r="AL142" s="24">
        <v>18</v>
      </c>
      <c r="AM142" s="224" t="s">
        <v>50</v>
      </c>
      <c r="AN142" s="254" t="s">
        <v>51</v>
      </c>
      <c r="AO142" s="127"/>
      <c r="AP142" s="127"/>
    </row>
    <row r="143" spans="1:42" s="20" customFormat="1" ht="14.25" customHeight="1" x14ac:dyDescent="0.2">
      <c r="A143" s="162">
        <v>46169</v>
      </c>
      <c r="B143" s="124"/>
      <c r="C143" s="158" t="s">
        <v>52</v>
      </c>
      <c r="D143" s="85" t="s">
        <v>79</v>
      </c>
      <c r="E143" s="171">
        <v>7491</v>
      </c>
      <c r="F143" s="194" t="s">
        <v>54</v>
      </c>
      <c r="G143" s="260">
        <v>46729635</v>
      </c>
      <c r="H143" s="182" t="s">
        <v>702</v>
      </c>
      <c r="I143" s="57"/>
      <c r="J143" s="57"/>
      <c r="K143" s="199">
        <v>9580</v>
      </c>
      <c r="L143" s="57"/>
      <c r="M143" s="57"/>
      <c r="N143" s="57"/>
      <c r="O143" s="193"/>
      <c r="P143" s="185">
        <f t="shared" si="2"/>
        <v>9580</v>
      </c>
      <c r="Q143" s="143"/>
      <c r="R143" s="58"/>
      <c r="S143" s="58"/>
      <c r="T143" s="58"/>
      <c r="U143" s="57"/>
      <c r="V143" s="58" t="s">
        <v>47</v>
      </c>
      <c r="W143" s="58"/>
      <c r="X143" s="162">
        <v>46169</v>
      </c>
      <c r="Y143" s="26" t="s">
        <v>63</v>
      </c>
      <c r="Z143" s="26"/>
      <c r="AA143" s="26"/>
      <c r="AB143" s="26" t="s">
        <v>49</v>
      </c>
      <c r="AC143" s="26"/>
      <c r="AD143" s="254" t="s">
        <v>48</v>
      </c>
      <c r="AE143" s="27"/>
      <c r="AF143" s="24"/>
      <c r="AG143" s="24"/>
      <c r="AH143" s="26"/>
      <c r="AI143" s="26"/>
      <c r="AJ143" s="25"/>
      <c r="AK143" s="26"/>
      <c r="AL143" s="24">
        <v>18</v>
      </c>
      <c r="AM143" s="224" t="s">
        <v>50</v>
      </c>
      <c r="AN143" s="254" t="s">
        <v>51</v>
      </c>
      <c r="AO143" s="127"/>
      <c r="AP143" s="127"/>
    </row>
    <row r="144" spans="1:42" s="20" customFormat="1" ht="14.25" customHeight="1" x14ac:dyDescent="0.2">
      <c r="A144" s="162">
        <v>46169</v>
      </c>
      <c r="B144" s="124"/>
      <c r="C144" s="158" t="s">
        <v>52</v>
      </c>
      <c r="D144" s="85" t="s">
        <v>79</v>
      </c>
      <c r="E144" s="171">
        <v>7492</v>
      </c>
      <c r="F144" s="194" t="s">
        <v>54</v>
      </c>
      <c r="G144" s="260">
        <v>46828796</v>
      </c>
      <c r="H144" s="182" t="s">
        <v>703</v>
      </c>
      <c r="I144" s="57"/>
      <c r="J144" s="57"/>
      <c r="K144" s="199">
        <v>5470</v>
      </c>
      <c r="L144" s="57"/>
      <c r="M144" s="57"/>
      <c r="N144" s="57"/>
      <c r="O144" s="193"/>
      <c r="P144" s="185">
        <f t="shared" si="2"/>
        <v>5470</v>
      </c>
      <c r="Q144" s="143"/>
      <c r="R144" s="58"/>
      <c r="S144" s="58"/>
      <c r="T144" s="58"/>
      <c r="U144" s="57"/>
      <c r="V144" s="58" t="s">
        <v>47</v>
      </c>
      <c r="W144" s="58"/>
      <c r="X144" s="162">
        <v>46169</v>
      </c>
      <c r="Y144" s="26" t="s">
        <v>63</v>
      </c>
      <c r="Z144" s="26"/>
      <c r="AA144" s="26"/>
      <c r="AB144" s="26" t="s">
        <v>49</v>
      </c>
      <c r="AC144" s="26"/>
      <c r="AD144" s="254" t="s">
        <v>48</v>
      </c>
      <c r="AE144" s="27"/>
      <c r="AF144" s="24"/>
      <c r="AG144" s="24"/>
      <c r="AH144" s="26"/>
      <c r="AI144" s="26"/>
      <c r="AJ144" s="25"/>
      <c r="AK144" s="26"/>
      <c r="AL144" s="24">
        <v>18</v>
      </c>
      <c r="AM144" s="224" t="s">
        <v>50</v>
      </c>
      <c r="AN144" s="254" t="s">
        <v>51</v>
      </c>
      <c r="AO144" s="127"/>
      <c r="AP144" s="127"/>
    </row>
    <row r="145" spans="1:42" s="20" customFormat="1" ht="14.25" customHeight="1" x14ac:dyDescent="0.2">
      <c r="A145" s="162">
        <v>46169</v>
      </c>
      <c r="B145" s="124"/>
      <c r="C145" s="158" t="s">
        <v>52</v>
      </c>
      <c r="D145" s="85" t="s">
        <v>79</v>
      </c>
      <c r="E145" s="171">
        <v>7493</v>
      </c>
      <c r="F145" s="194" t="s">
        <v>54</v>
      </c>
      <c r="G145" s="260">
        <v>73662739</v>
      </c>
      <c r="H145" s="182" t="s">
        <v>704</v>
      </c>
      <c r="I145" s="57"/>
      <c r="J145" s="57"/>
      <c r="K145" s="199">
        <v>8030</v>
      </c>
      <c r="L145" s="57"/>
      <c r="M145" s="57"/>
      <c r="N145" s="57"/>
      <c r="O145" s="193"/>
      <c r="P145" s="185">
        <f t="shared" si="2"/>
        <v>8030</v>
      </c>
      <c r="Q145" s="143"/>
      <c r="R145" s="58"/>
      <c r="S145" s="58"/>
      <c r="T145" s="58"/>
      <c r="U145" s="57"/>
      <c r="V145" s="58" t="s">
        <v>47</v>
      </c>
      <c r="W145" s="58"/>
      <c r="X145" s="162">
        <v>46169</v>
      </c>
      <c r="Y145" s="26" t="s">
        <v>63</v>
      </c>
      <c r="Z145" s="26"/>
      <c r="AA145" s="26"/>
      <c r="AB145" s="26" t="s">
        <v>49</v>
      </c>
      <c r="AC145" s="26"/>
      <c r="AD145" s="254" t="s">
        <v>48</v>
      </c>
      <c r="AE145" s="27"/>
      <c r="AF145" s="24"/>
      <c r="AG145" s="24"/>
      <c r="AH145" s="26"/>
      <c r="AI145" s="26"/>
      <c r="AJ145" s="25"/>
      <c r="AK145" s="26"/>
      <c r="AL145" s="24">
        <v>18</v>
      </c>
      <c r="AM145" s="224" t="s">
        <v>50</v>
      </c>
      <c r="AN145" s="254" t="s">
        <v>51</v>
      </c>
      <c r="AO145" s="127"/>
      <c r="AP145" s="127"/>
    </row>
    <row r="146" spans="1:42" s="20" customFormat="1" ht="14.25" customHeight="1" x14ac:dyDescent="0.2">
      <c r="A146" s="162">
        <v>46169</v>
      </c>
      <c r="B146" s="124"/>
      <c r="C146" s="158" t="s">
        <v>52</v>
      </c>
      <c r="D146" s="85" t="s">
        <v>79</v>
      </c>
      <c r="E146" s="171">
        <v>7494</v>
      </c>
      <c r="F146" s="194" t="s">
        <v>54</v>
      </c>
      <c r="G146" s="260">
        <v>74864898</v>
      </c>
      <c r="H146" s="182" t="s">
        <v>705</v>
      </c>
      <c r="I146" s="57"/>
      <c r="J146" s="57"/>
      <c r="K146" s="199">
        <v>7262</v>
      </c>
      <c r="L146" s="57"/>
      <c r="M146" s="57"/>
      <c r="N146" s="57"/>
      <c r="O146" s="193"/>
      <c r="P146" s="185">
        <f t="shared" si="2"/>
        <v>7262</v>
      </c>
      <c r="Q146" s="143"/>
      <c r="R146" s="58"/>
      <c r="S146" s="58"/>
      <c r="T146" s="58"/>
      <c r="U146" s="57"/>
      <c r="V146" s="58" t="s">
        <v>47</v>
      </c>
      <c r="W146" s="58"/>
      <c r="X146" s="162">
        <v>46169</v>
      </c>
      <c r="Y146" s="26" t="s">
        <v>63</v>
      </c>
      <c r="Z146" s="26"/>
      <c r="AA146" s="26"/>
      <c r="AB146" s="26" t="s">
        <v>49</v>
      </c>
      <c r="AC146" s="26"/>
      <c r="AD146" s="254" t="s">
        <v>48</v>
      </c>
      <c r="AE146" s="27"/>
      <c r="AF146" s="24"/>
      <c r="AG146" s="24"/>
      <c r="AH146" s="26"/>
      <c r="AI146" s="26"/>
      <c r="AJ146" s="25"/>
      <c r="AK146" s="26"/>
      <c r="AL146" s="24">
        <v>18</v>
      </c>
      <c r="AM146" s="224" t="s">
        <v>50</v>
      </c>
      <c r="AN146" s="254" t="s">
        <v>51</v>
      </c>
      <c r="AO146" s="127"/>
      <c r="AP146" s="127"/>
    </row>
    <row r="147" spans="1:42" s="20" customFormat="1" ht="14.25" customHeight="1" x14ac:dyDescent="0.2">
      <c r="A147" s="162">
        <v>46170</v>
      </c>
      <c r="B147" s="156"/>
      <c r="C147" s="218" t="s">
        <v>52</v>
      </c>
      <c r="D147" s="219" t="s">
        <v>79</v>
      </c>
      <c r="E147" s="171">
        <v>7495</v>
      </c>
      <c r="F147" s="220" t="s">
        <v>54</v>
      </c>
      <c r="G147" s="260">
        <v>47350910</v>
      </c>
      <c r="H147" s="182" t="s">
        <v>706</v>
      </c>
      <c r="I147" s="57"/>
      <c r="J147" s="57"/>
      <c r="K147" s="199">
        <v>6026</v>
      </c>
      <c r="L147" s="57"/>
      <c r="M147" s="57"/>
      <c r="N147" s="57"/>
      <c r="O147" s="193"/>
      <c r="P147" s="185">
        <f t="shared" si="2"/>
        <v>6026</v>
      </c>
      <c r="Q147" s="143"/>
      <c r="R147" s="58"/>
      <c r="S147" s="58"/>
      <c r="T147" s="58"/>
      <c r="U147" s="57"/>
      <c r="V147" s="58" t="s">
        <v>47</v>
      </c>
      <c r="W147" s="58"/>
      <c r="X147" s="162">
        <v>46170</v>
      </c>
      <c r="Y147" s="26" t="s">
        <v>63</v>
      </c>
      <c r="Z147" s="26"/>
      <c r="AA147" s="26"/>
      <c r="AB147" s="26" t="s">
        <v>49</v>
      </c>
      <c r="AC147" s="26"/>
      <c r="AD147" s="254" t="s">
        <v>48</v>
      </c>
      <c r="AE147" s="27"/>
      <c r="AF147" s="24"/>
      <c r="AG147" s="24"/>
      <c r="AH147" s="26"/>
      <c r="AI147" s="26"/>
      <c r="AJ147" s="25"/>
      <c r="AK147" s="26"/>
      <c r="AL147" s="24">
        <v>18</v>
      </c>
      <c r="AM147" s="224" t="s">
        <v>50</v>
      </c>
      <c r="AN147" s="254" t="s">
        <v>51</v>
      </c>
      <c r="AO147" s="127"/>
      <c r="AP147" s="127"/>
    </row>
    <row r="148" spans="1:42" s="20" customFormat="1" ht="14.25" customHeight="1" x14ac:dyDescent="0.2">
      <c r="A148" s="162">
        <v>46170</v>
      </c>
      <c r="B148" s="124"/>
      <c r="C148" s="158" t="s">
        <v>52</v>
      </c>
      <c r="D148" s="85" t="s">
        <v>79</v>
      </c>
      <c r="E148" s="171">
        <v>7496</v>
      </c>
      <c r="F148" s="194" t="s">
        <v>54</v>
      </c>
      <c r="G148" s="260">
        <v>20048202</v>
      </c>
      <c r="H148" s="182" t="s">
        <v>707</v>
      </c>
      <c r="I148" s="57"/>
      <c r="J148" s="57"/>
      <c r="K148" s="199">
        <v>7580</v>
      </c>
      <c r="L148" s="57"/>
      <c r="M148" s="57"/>
      <c r="N148" s="57"/>
      <c r="O148" s="193"/>
      <c r="P148" s="185">
        <f t="shared" si="2"/>
        <v>7580</v>
      </c>
      <c r="Q148" s="143"/>
      <c r="R148" s="58"/>
      <c r="S148" s="58"/>
      <c r="T148" s="58"/>
      <c r="U148" s="57"/>
      <c r="V148" s="58" t="s">
        <v>47</v>
      </c>
      <c r="W148" s="58"/>
      <c r="X148" s="162">
        <v>46170</v>
      </c>
      <c r="Y148" s="26" t="s">
        <v>63</v>
      </c>
      <c r="Z148" s="26"/>
      <c r="AA148" s="26"/>
      <c r="AB148" s="26" t="s">
        <v>49</v>
      </c>
      <c r="AC148" s="26"/>
      <c r="AD148" s="254" t="s">
        <v>48</v>
      </c>
      <c r="AE148" s="27"/>
      <c r="AF148" s="24"/>
      <c r="AG148" s="24"/>
      <c r="AH148" s="26"/>
      <c r="AI148" s="26"/>
      <c r="AJ148" s="25"/>
      <c r="AK148" s="26"/>
      <c r="AL148" s="24">
        <v>18</v>
      </c>
      <c r="AM148" s="224" t="s">
        <v>50</v>
      </c>
      <c r="AN148" s="254" t="s">
        <v>51</v>
      </c>
      <c r="AO148" s="127"/>
      <c r="AP148" s="127"/>
    </row>
    <row r="149" spans="1:42" s="20" customFormat="1" ht="14.25" customHeight="1" x14ac:dyDescent="0.2">
      <c r="A149" s="163"/>
      <c r="B149" s="124"/>
      <c r="C149" s="158" t="s">
        <v>52</v>
      </c>
      <c r="D149" s="85" t="s">
        <v>79</v>
      </c>
      <c r="E149" s="171"/>
      <c r="F149" s="194" t="s">
        <v>54</v>
      </c>
      <c r="G149" s="85"/>
      <c r="H149" s="170"/>
      <c r="I149" s="57"/>
      <c r="J149" s="57"/>
      <c r="K149" s="201"/>
      <c r="L149" s="45"/>
      <c r="M149" s="45"/>
      <c r="N149" s="45"/>
      <c r="O149" s="193"/>
      <c r="P149" s="200"/>
      <c r="Q149" s="143"/>
      <c r="R149" s="58"/>
      <c r="S149" s="58"/>
      <c r="T149" s="58"/>
      <c r="U149" s="57"/>
      <c r="V149" s="58"/>
      <c r="W149" s="58"/>
      <c r="X149" s="56"/>
      <c r="Y149" s="26"/>
      <c r="Z149" s="26"/>
      <c r="AA149" s="26"/>
      <c r="AB149" s="26"/>
      <c r="AC149" s="26"/>
      <c r="AD149" s="254"/>
      <c r="AE149" s="27"/>
      <c r="AF149" s="24"/>
      <c r="AG149" s="24"/>
      <c r="AH149" s="26"/>
      <c r="AI149" s="26"/>
      <c r="AJ149" s="25"/>
      <c r="AK149" s="26"/>
      <c r="AL149" s="24"/>
      <c r="AM149" s="225"/>
      <c r="AN149" s="254"/>
      <c r="AO149" s="127"/>
      <c r="AP149" s="127"/>
    </row>
    <row r="150" spans="1:42" s="20" customFormat="1" ht="14.25" customHeight="1" x14ac:dyDescent="0.2">
      <c r="A150" s="163"/>
      <c r="B150" s="124"/>
      <c r="C150" s="158" t="s">
        <v>52</v>
      </c>
      <c r="D150" s="85" t="s">
        <v>79</v>
      </c>
      <c r="E150" s="171"/>
      <c r="F150" s="194" t="s">
        <v>54</v>
      </c>
      <c r="G150" s="85"/>
      <c r="H150" s="170"/>
      <c r="I150" s="57"/>
      <c r="J150" s="57"/>
      <c r="K150" s="201"/>
      <c r="L150" s="45"/>
      <c r="M150" s="45"/>
      <c r="N150" s="45"/>
      <c r="O150" s="193"/>
      <c r="P150" s="200"/>
      <c r="Q150" s="143"/>
      <c r="R150" s="58"/>
      <c r="S150" s="58"/>
      <c r="T150" s="58"/>
      <c r="U150" s="57"/>
      <c r="V150" s="58"/>
      <c r="W150" s="58"/>
      <c r="X150" s="56"/>
      <c r="Y150" s="26"/>
      <c r="Z150" s="26"/>
      <c r="AA150" s="26"/>
      <c r="AB150" s="26"/>
      <c r="AC150" s="26"/>
      <c r="AD150" s="254"/>
      <c r="AE150" s="27"/>
      <c r="AF150" s="24"/>
      <c r="AG150" s="24"/>
      <c r="AH150" s="26"/>
      <c r="AI150" s="26"/>
      <c r="AJ150" s="25"/>
      <c r="AK150" s="26"/>
      <c r="AL150" s="24"/>
      <c r="AM150" s="225"/>
      <c r="AN150" s="254"/>
      <c r="AO150" s="127"/>
      <c r="AP150" s="127"/>
    </row>
    <row r="151" spans="1:42" s="20" customFormat="1" ht="14.25" customHeight="1" x14ac:dyDescent="0.2">
      <c r="A151" s="163"/>
      <c r="B151" s="124"/>
      <c r="C151" s="158" t="s">
        <v>52</v>
      </c>
      <c r="D151" s="85" t="s">
        <v>79</v>
      </c>
      <c r="E151" s="171"/>
      <c r="F151" s="194" t="s">
        <v>54</v>
      </c>
      <c r="G151" s="85"/>
      <c r="H151" s="170"/>
      <c r="I151" s="57"/>
      <c r="J151" s="57"/>
      <c r="K151" s="201"/>
      <c r="L151" s="45"/>
      <c r="M151" s="45"/>
      <c r="N151" s="45"/>
      <c r="O151" s="193"/>
      <c r="P151" s="200"/>
      <c r="Q151" s="143"/>
      <c r="R151" s="58"/>
      <c r="S151" s="58"/>
      <c r="T151" s="58"/>
      <c r="U151" s="57"/>
      <c r="V151" s="58"/>
      <c r="W151" s="58"/>
      <c r="X151" s="56"/>
      <c r="Y151" s="26"/>
      <c r="Z151" s="26"/>
      <c r="AA151" s="26"/>
      <c r="AB151" s="26"/>
      <c r="AC151" s="26"/>
      <c r="AD151" s="254"/>
      <c r="AE151" s="27"/>
      <c r="AF151" s="24"/>
      <c r="AG151" s="24"/>
      <c r="AH151" s="26"/>
      <c r="AI151" s="26"/>
      <c r="AJ151" s="25"/>
      <c r="AK151" s="26"/>
      <c r="AL151" s="24"/>
      <c r="AM151" s="225"/>
      <c r="AN151" s="254"/>
      <c r="AO151" s="127"/>
      <c r="AP151" s="127"/>
    </row>
    <row r="152" spans="1:42" s="20" customFormat="1" ht="14.25" customHeight="1" x14ac:dyDescent="0.2">
      <c r="A152" s="163"/>
      <c r="B152" s="124"/>
      <c r="C152" s="158" t="s">
        <v>52</v>
      </c>
      <c r="D152" s="85" t="s">
        <v>79</v>
      </c>
      <c r="E152" s="171"/>
      <c r="F152" s="194" t="s">
        <v>54</v>
      </c>
      <c r="G152" s="85"/>
      <c r="H152" s="170"/>
      <c r="I152" s="57"/>
      <c r="J152" s="57"/>
      <c r="K152" s="201"/>
      <c r="L152" s="45"/>
      <c r="M152" s="45"/>
      <c r="N152" s="45"/>
      <c r="O152" s="193"/>
      <c r="P152" s="200"/>
      <c r="Q152" s="143"/>
      <c r="R152" s="58"/>
      <c r="S152" s="58"/>
      <c r="T152" s="58"/>
      <c r="U152" s="57"/>
      <c r="V152" s="58"/>
      <c r="W152" s="58"/>
      <c r="X152" s="56"/>
      <c r="Y152" s="26"/>
      <c r="Z152" s="26"/>
      <c r="AA152" s="26"/>
      <c r="AB152" s="26"/>
      <c r="AC152" s="26"/>
      <c r="AD152" s="254"/>
      <c r="AE152" s="27"/>
      <c r="AF152" s="24"/>
      <c r="AG152" s="24"/>
      <c r="AH152" s="26"/>
      <c r="AI152" s="26"/>
      <c r="AJ152" s="25"/>
      <c r="AK152" s="26"/>
      <c r="AL152" s="24"/>
      <c r="AM152" s="225"/>
      <c r="AN152" s="254"/>
      <c r="AO152" s="127"/>
      <c r="AP152" s="127"/>
    </row>
    <row r="153" spans="1:42" s="20" customFormat="1" ht="14.25" customHeight="1" x14ac:dyDescent="0.2">
      <c r="A153" s="163"/>
      <c r="B153" s="124"/>
      <c r="C153" s="158" t="s">
        <v>52</v>
      </c>
      <c r="D153" s="85" t="s">
        <v>79</v>
      </c>
      <c r="E153" s="171"/>
      <c r="F153" s="194" t="s">
        <v>54</v>
      </c>
      <c r="G153" s="85"/>
      <c r="H153" s="170"/>
      <c r="I153" s="57"/>
      <c r="J153" s="57"/>
      <c r="K153" s="201"/>
      <c r="L153" s="45"/>
      <c r="M153" s="45"/>
      <c r="N153" s="45"/>
      <c r="O153" s="193"/>
      <c r="P153" s="200"/>
      <c r="Q153" s="143"/>
      <c r="R153" s="58"/>
      <c r="S153" s="58"/>
      <c r="T153" s="58"/>
      <c r="U153" s="57"/>
      <c r="V153" s="58"/>
      <c r="W153" s="58"/>
      <c r="X153" s="56"/>
      <c r="Y153" s="26"/>
      <c r="Z153" s="26"/>
      <c r="AA153" s="26"/>
      <c r="AB153" s="26"/>
      <c r="AC153" s="26"/>
      <c r="AD153" s="254"/>
      <c r="AE153" s="27"/>
      <c r="AF153" s="24"/>
      <c r="AG153" s="24"/>
      <c r="AH153" s="26"/>
      <c r="AI153" s="26"/>
      <c r="AJ153" s="25"/>
      <c r="AK153" s="26"/>
      <c r="AL153" s="24"/>
      <c r="AM153" s="225"/>
      <c r="AN153" s="254"/>
      <c r="AO153" s="127"/>
      <c r="AP153" s="127"/>
    </row>
    <row r="154" spans="1:42" s="20" customFormat="1" ht="14.25" customHeight="1" x14ac:dyDescent="0.2">
      <c r="A154" s="163"/>
      <c r="B154" s="124"/>
      <c r="C154" s="158" t="s">
        <v>52</v>
      </c>
      <c r="D154" s="85" t="s">
        <v>79</v>
      </c>
      <c r="E154" s="171"/>
      <c r="F154" s="194" t="s">
        <v>54</v>
      </c>
      <c r="G154" s="85"/>
      <c r="H154" s="170"/>
      <c r="I154" s="57"/>
      <c r="J154" s="57"/>
      <c r="K154" s="201"/>
      <c r="L154" s="45"/>
      <c r="M154" s="45"/>
      <c r="N154" s="45"/>
      <c r="O154" s="193"/>
      <c r="P154" s="200"/>
      <c r="Q154" s="143"/>
      <c r="R154" s="58"/>
      <c r="S154" s="58"/>
      <c r="T154" s="58"/>
      <c r="U154" s="57"/>
      <c r="V154" s="58"/>
      <c r="W154" s="58"/>
      <c r="X154" s="56"/>
      <c r="Y154" s="26"/>
      <c r="Z154" s="26"/>
      <c r="AA154" s="26"/>
      <c r="AB154" s="26"/>
      <c r="AC154" s="26"/>
      <c r="AD154" s="254"/>
      <c r="AE154" s="27"/>
      <c r="AF154" s="24"/>
      <c r="AG154" s="24"/>
      <c r="AH154" s="26"/>
      <c r="AI154" s="26"/>
      <c r="AJ154" s="25"/>
      <c r="AK154" s="26"/>
      <c r="AL154" s="24"/>
      <c r="AM154" s="225"/>
      <c r="AN154" s="254"/>
      <c r="AO154" s="127"/>
      <c r="AP154" s="127"/>
    </row>
    <row r="155" spans="1:42" s="20" customFormat="1" ht="14.25" customHeight="1" x14ac:dyDescent="0.2">
      <c r="A155" s="163"/>
      <c r="B155" s="124"/>
      <c r="C155" s="158" t="s">
        <v>52</v>
      </c>
      <c r="D155" s="85" t="s">
        <v>79</v>
      </c>
      <c r="E155" s="171"/>
      <c r="F155" s="194" t="s">
        <v>54</v>
      </c>
      <c r="G155" s="85"/>
      <c r="H155" s="170"/>
      <c r="I155" s="57"/>
      <c r="J155" s="57"/>
      <c r="K155" s="201"/>
      <c r="L155" s="45"/>
      <c r="M155" s="45"/>
      <c r="N155" s="45"/>
      <c r="O155" s="193"/>
      <c r="P155" s="200"/>
      <c r="Q155" s="143"/>
      <c r="R155" s="58"/>
      <c r="S155" s="58"/>
      <c r="T155" s="58"/>
      <c r="U155" s="57"/>
      <c r="V155" s="58"/>
      <c r="W155" s="58"/>
      <c r="X155" s="56"/>
      <c r="Y155" s="26"/>
      <c r="Z155" s="26"/>
      <c r="AA155" s="26"/>
      <c r="AB155" s="26"/>
      <c r="AC155" s="26"/>
      <c r="AD155" s="254"/>
      <c r="AE155" s="27"/>
      <c r="AF155" s="24"/>
      <c r="AG155" s="24"/>
      <c r="AH155" s="26"/>
      <c r="AI155" s="26"/>
      <c r="AJ155" s="25"/>
      <c r="AK155" s="26"/>
      <c r="AL155" s="24"/>
      <c r="AM155" s="225"/>
      <c r="AN155" s="254"/>
      <c r="AO155" s="127"/>
      <c r="AP155" s="127"/>
    </row>
    <row r="156" spans="1:42" s="20" customFormat="1" ht="14.25" customHeight="1" x14ac:dyDescent="0.2">
      <c r="A156" s="163"/>
      <c r="B156" s="124"/>
      <c r="C156" s="158" t="s">
        <v>52</v>
      </c>
      <c r="D156" s="85" t="s">
        <v>79</v>
      </c>
      <c r="E156" s="171"/>
      <c r="F156" s="194" t="s">
        <v>54</v>
      </c>
      <c r="G156" s="85"/>
      <c r="H156" s="170"/>
      <c r="I156" s="57"/>
      <c r="J156" s="57"/>
      <c r="K156" s="201"/>
      <c r="L156" s="45"/>
      <c r="M156" s="45"/>
      <c r="N156" s="45"/>
      <c r="O156" s="193"/>
      <c r="P156" s="200"/>
      <c r="Q156" s="143"/>
      <c r="R156" s="58"/>
      <c r="S156" s="58"/>
      <c r="T156" s="58"/>
      <c r="U156" s="57"/>
      <c r="V156" s="58"/>
      <c r="W156" s="58"/>
      <c r="X156" s="56"/>
      <c r="Y156" s="26"/>
      <c r="Z156" s="26"/>
      <c r="AA156" s="26"/>
      <c r="AB156" s="26"/>
      <c r="AC156" s="26"/>
      <c r="AD156" s="254"/>
      <c r="AE156" s="27"/>
      <c r="AF156" s="24"/>
      <c r="AG156" s="24"/>
      <c r="AH156" s="26"/>
      <c r="AI156" s="26"/>
      <c r="AJ156" s="25"/>
      <c r="AK156" s="26"/>
      <c r="AL156" s="24"/>
      <c r="AM156" s="225"/>
      <c r="AN156" s="254"/>
      <c r="AO156" s="127"/>
      <c r="AP156" s="127"/>
    </row>
    <row r="157" spans="1:42" s="20" customFormat="1" ht="14.25" customHeight="1" x14ac:dyDescent="0.2">
      <c r="A157" s="163"/>
      <c r="B157" s="124"/>
      <c r="C157" s="158" t="s">
        <v>52</v>
      </c>
      <c r="D157" s="85" t="s">
        <v>79</v>
      </c>
      <c r="E157" s="171"/>
      <c r="F157" s="194" t="s">
        <v>54</v>
      </c>
      <c r="G157" s="85"/>
      <c r="H157" s="170"/>
      <c r="I157" s="57"/>
      <c r="J157" s="57"/>
      <c r="K157" s="201"/>
      <c r="L157" s="45"/>
      <c r="M157" s="45"/>
      <c r="N157" s="45"/>
      <c r="O157" s="193"/>
      <c r="P157" s="200"/>
      <c r="Q157" s="143"/>
      <c r="R157" s="58"/>
      <c r="S157" s="58"/>
      <c r="T157" s="58"/>
      <c r="U157" s="57"/>
      <c r="V157" s="58"/>
      <c r="W157" s="58"/>
      <c r="X157" s="56"/>
      <c r="Y157" s="26"/>
      <c r="Z157" s="26"/>
      <c r="AA157" s="26"/>
      <c r="AB157" s="26"/>
      <c r="AC157" s="26"/>
      <c r="AD157" s="254"/>
      <c r="AE157" s="27"/>
      <c r="AF157" s="24"/>
      <c r="AG157" s="24"/>
      <c r="AH157" s="26"/>
      <c r="AI157" s="26"/>
      <c r="AJ157" s="25"/>
      <c r="AK157" s="26"/>
      <c r="AL157" s="24"/>
      <c r="AM157" s="225"/>
      <c r="AN157" s="254"/>
      <c r="AO157" s="127"/>
      <c r="AP157" s="127"/>
    </row>
    <row r="158" spans="1:42" s="20" customFormat="1" ht="14.25" customHeight="1" x14ac:dyDescent="0.2">
      <c r="A158" s="163"/>
      <c r="B158" s="124"/>
      <c r="C158" s="158" t="s">
        <v>52</v>
      </c>
      <c r="D158" s="85" t="s">
        <v>79</v>
      </c>
      <c r="E158" s="171"/>
      <c r="F158" s="194" t="s">
        <v>54</v>
      </c>
      <c r="G158" s="85"/>
      <c r="H158" s="170"/>
      <c r="I158" s="57"/>
      <c r="J158" s="57"/>
      <c r="K158" s="201"/>
      <c r="L158" s="45"/>
      <c r="M158" s="45"/>
      <c r="N158" s="45"/>
      <c r="O158" s="193"/>
      <c r="P158" s="200"/>
      <c r="Q158" s="143"/>
      <c r="R158" s="58"/>
      <c r="S158" s="58"/>
      <c r="T158" s="58"/>
      <c r="U158" s="57"/>
      <c r="V158" s="58"/>
      <c r="W158" s="58"/>
      <c r="X158" s="56"/>
      <c r="Y158" s="26"/>
      <c r="Z158" s="26"/>
      <c r="AA158" s="26"/>
      <c r="AB158" s="26"/>
      <c r="AC158" s="26"/>
      <c r="AD158" s="254"/>
      <c r="AE158" s="27"/>
      <c r="AF158" s="24"/>
      <c r="AG158" s="24"/>
      <c r="AH158" s="26"/>
      <c r="AI158" s="26"/>
      <c r="AJ158" s="25"/>
      <c r="AK158" s="26"/>
      <c r="AL158" s="24"/>
      <c r="AM158" s="225"/>
      <c r="AN158" s="254"/>
      <c r="AO158" s="127"/>
      <c r="AP158" s="127"/>
    </row>
    <row r="159" spans="1:42" s="20" customFormat="1" ht="14.25" customHeight="1" x14ac:dyDescent="0.2">
      <c r="A159" s="163"/>
      <c r="B159" s="124"/>
      <c r="C159" s="158" t="s">
        <v>52</v>
      </c>
      <c r="D159" s="85" t="s">
        <v>79</v>
      </c>
      <c r="E159" s="171"/>
      <c r="F159" s="194" t="s">
        <v>54</v>
      </c>
      <c r="G159" s="85"/>
      <c r="H159" s="170"/>
      <c r="I159" s="57"/>
      <c r="J159" s="57"/>
      <c r="K159" s="201"/>
      <c r="L159" s="45"/>
      <c r="M159" s="45"/>
      <c r="N159" s="45"/>
      <c r="O159" s="193"/>
      <c r="P159" s="200"/>
      <c r="Q159" s="143"/>
      <c r="R159" s="58"/>
      <c r="S159" s="58"/>
      <c r="T159" s="58"/>
      <c r="U159" s="57"/>
      <c r="V159" s="58"/>
      <c r="W159" s="58"/>
      <c r="X159" s="56"/>
      <c r="Y159" s="26"/>
      <c r="Z159" s="26"/>
      <c r="AA159" s="26"/>
      <c r="AB159" s="26"/>
      <c r="AC159" s="26"/>
      <c r="AD159" s="254"/>
      <c r="AE159" s="27"/>
      <c r="AF159" s="24"/>
      <c r="AG159" s="24"/>
      <c r="AH159" s="26"/>
      <c r="AI159" s="26"/>
      <c r="AJ159" s="25"/>
      <c r="AK159" s="26"/>
      <c r="AL159" s="24"/>
      <c r="AM159" s="225"/>
      <c r="AN159" s="254"/>
      <c r="AO159" s="127"/>
      <c r="AP159" s="127"/>
    </row>
    <row r="160" spans="1:42" s="37" customFormat="1" ht="15.75" customHeight="1" x14ac:dyDescent="0.25">
      <c r="A160" s="40"/>
      <c r="B160" s="144"/>
      <c r="C160" s="144"/>
      <c r="D160" s="175"/>
      <c r="E160" s="175"/>
      <c r="F160" s="175"/>
      <c r="G160" s="175"/>
      <c r="H160" s="175"/>
      <c r="I160" s="175"/>
      <c r="J160" s="175"/>
      <c r="K160" s="202"/>
      <c r="L160" s="175"/>
      <c r="M160" s="175"/>
      <c r="N160" s="175"/>
      <c r="O160" s="175"/>
      <c r="P160" s="175"/>
      <c r="Q160" s="145"/>
      <c r="R160" s="175"/>
      <c r="S160" s="175"/>
      <c r="T160" s="175"/>
      <c r="U160" s="175"/>
      <c r="V160" s="175"/>
      <c r="W160" s="175"/>
      <c r="X160" s="175"/>
      <c r="Y160" s="175"/>
      <c r="Z160" s="175"/>
      <c r="AA160" s="175"/>
      <c r="AB160" s="175"/>
      <c r="AC160" s="175"/>
      <c r="AD160" s="235"/>
      <c r="AE160" s="175"/>
      <c r="AF160" s="175"/>
      <c r="AG160" s="175"/>
      <c r="AH160" s="175"/>
      <c r="AI160" s="175"/>
      <c r="AJ160" s="175"/>
      <c r="AK160" s="175"/>
      <c r="AL160" s="175"/>
      <c r="AM160" s="235"/>
      <c r="AN160" s="235"/>
      <c r="AO160" s="144"/>
      <c r="AP160" s="144"/>
    </row>
    <row r="161" spans="1:42" s="28" customFormat="1" ht="15" customHeight="1" x14ac:dyDescent="0.2">
      <c r="A161" s="164">
        <v>46144</v>
      </c>
      <c r="B161" s="133"/>
      <c r="C161" s="134" t="s">
        <v>45</v>
      </c>
      <c r="D161" s="172" t="s">
        <v>55</v>
      </c>
      <c r="E161" s="171">
        <v>869</v>
      </c>
      <c r="F161" s="26" t="s">
        <v>46</v>
      </c>
      <c r="G161" s="260">
        <v>10731883012</v>
      </c>
      <c r="H161" s="85" t="s">
        <v>660</v>
      </c>
      <c r="I161" s="24"/>
      <c r="J161" s="24"/>
      <c r="K161" s="183">
        <v>5480</v>
      </c>
      <c r="L161" s="203"/>
      <c r="M161" s="203"/>
      <c r="N161" s="203"/>
      <c r="O161" s="203"/>
      <c r="P161" s="204">
        <f t="shared" ref="P161:P167" si="3">K161</f>
        <v>5480</v>
      </c>
      <c r="Q161" s="135"/>
      <c r="R161" s="25"/>
      <c r="S161" s="26"/>
      <c r="T161" s="26"/>
      <c r="U161" s="26"/>
      <c r="V161" s="26" t="s">
        <v>47</v>
      </c>
      <c r="W161" s="24"/>
      <c r="X161" s="164">
        <v>46144</v>
      </c>
      <c r="Y161" s="26" t="s">
        <v>63</v>
      </c>
      <c r="Z161" s="26"/>
      <c r="AA161" s="26"/>
      <c r="AB161" s="26" t="s">
        <v>49</v>
      </c>
      <c r="AC161" s="26"/>
      <c r="AD161" s="254" t="s">
        <v>48</v>
      </c>
      <c r="AE161" s="27"/>
      <c r="AF161" s="24"/>
      <c r="AG161" s="24"/>
      <c r="AH161" s="26"/>
      <c r="AI161" s="26"/>
      <c r="AJ161" s="25"/>
      <c r="AK161" s="26"/>
      <c r="AL161" s="24">
        <v>18</v>
      </c>
      <c r="AM161" s="224" t="s">
        <v>50</v>
      </c>
      <c r="AN161" s="255" t="s">
        <v>51</v>
      </c>
      <c r="AO161" s="131"/>
      <c r="AP161" s="132"/>
    </row>
    <row r="162" spans="1:42" s="28" customFormat="1" ht="15" customHeight="1" x14ac:dyDescent="0.2">
      <c r="A162" s="164">
        <v>46144</v>
      </c>
      <c r="B162" s="133"/>
      <c r="C162" s="134" t="s">
        <v>45</v>
      </c>
      <c r="D162" s="172" t="s">
        <v>55</v>
      </c>
      <c r="E162" s="171">
        <v>870</v>
      </c>
      <c r="F162" s="26" t="s">
        <v>46</v>
      </c>
      <c r="G162" s="260">
        <v>10731883012</v>
      </c>
      <c r="H162" s="85" t="s">
        <v>660</v>
      </c>
      <c r="I162" s="24"/>
      <c r="J162" s="24"/>
      <c r="K162" s="186">
        <v>0</v>
      </c>
      <c r="L162" s="24"/>
      <c r="M162" s="24"/>
      <c r="N162" s="24"/>
      <c r="O162" s="24"/>
      <c r="P162" s="205">
        <f t="shared" si="3"/>
        <v>0</v>
      </c>
      <c r="Q162" s="135"/>
      <c r="R162" s="25"/>
      <c r="S162" s="26"/>
      <c r="T162" s="26"/>
      <c r="U162" s="26"/>
      <c r="V162" s="26" t="s">
        <v>47</v>
      </c>
      <c r="W162" s="24"/>
      <c r="X162" s="164">
        <v>46144</v>
      </c>
      <c r="Y162" s="26" t="s">
        <v>61</v>
      </c>
      <c r="Z162" s="26"/>
      <c r="AA162" s="26"/>
      <c r="AB162" s="26" t="s">
        <v>49</v>
      </c>
      <c r="AC162" s="26"/>
      <c r="AD162" s="254" t="s">
        <v>48</v>
      </c>
      <c r="AE162" s="27"/>
      <c r="AF162" s="24"/>
      <c r="AG162" s="24"/>
      <c r="AH162" s="26"/>
      <c r="AI162" s="26"/>
      <c r="AJ162" s="25"/>
      <c r="AK162" s="26"/>
      <c r="AL162" s="24">
        <v>18</v>
      </c>
      <c r="AM162" s="225" t="s">
        <v>588</v>
      </c>
      <c r="AN162" s="255" t="s">
        <v>51</v>
      </c>
      <c r="AO162" s="131"/>
      <c r="AP162" s="132"/>
    </row>
    <row r="163" spans="1:42" s="28" customFormat="1" ht="15" customHeight="1" x14ac:dyDescent="0.2">
      <c r="A163" s="164">
        <v>46153</v>
      </c>
      <c r="B163" s="133"/>
      <c r="C163" s="134" t="s">
        <v>45</v>
      </c>
      <c r="D163" s="172" t="s">
        <v>55</v>
      </c>
      <c r="E163" s="171">
        <v>871</v>
      </c>
      <c r="F163" s="26" t="s">
        <v>46</v>
      </c>
      <c r="G163" s="260">
        <v>10712076912</v>
      </c>
      <c r="H163" s="85" t="s">
        <v>661</v>
      </c>
      <c r="I163" s="24"/>
      <c r="J163" s="24"/>
      <c r="K163" s="183">
        <v>6080</v>
      </c>
      <c r="L163" s="203"/>
      <c r="M163" s="203"/>
      <c r="N163" s="203"/>
      <c r="O163" s="203"/>
      <c r="P163" s="204">
        <f t="shared" si="3"/>
        <v>6080</v>
      </c>
      <c r="Q163" s="135"/>
      <c r="R163" s="25"/>
      <c r="S163" s="26"/>
      <c r="T163" s="26"/>
      <c r="U163" s="26"/>
      <c r="V163" s="26" t="s">
        <v>47</v>
      </c>
      <c r="W163" s="24"/>
      <c r="X163" s="164">
        <v>46153</v>
      </c>
      <c r="Y163" s="26" t="s">
        <v>63</v>
      </c>
      <c r="Z163" s="26"/>
      <c r="AA163" s="26"/>
      <c r="AB163" s="26" t="s">
        <v>49</v>
      </c>
      <c r="AC163" s="26"/>
      <c r="AD163" s="254" t="s">
        <v>48</v>
      </c>
      <c r="AE163" s="27"/>
      <c r="AF163" s="24"/>
      <c r="AG163" s="24"/>
      <c r="AH163" s="26"/>
      <c r="AI163" s="26"/>
      <c r="AJ163" s="25"/>
      <c r="AK163" s="26"/>
      <c r="AL163" s="24">
        <v>18</v>
      </c>
      <c r="AM163" s="224" t="s">
        <v>50</v>
      </c>
      <c r="AN163" s="255" t="s">
        <v>51</v>
      </c>
      <c r="AO163" s="131"/>
      <c r="AP163" s="132"/>
    </row>
    <row r="164" spans="1:42" s="28" customFormat="1" ht="15" customHeight="1" x14ac:dyDescent="0.2">
      <c r="A164" s="164">
        <v>46153</v>
      </c>
      <c r="B164" s="133"/>
      <c r="C164" s="134" t="s">
        <v>45</v>
      </c>
      <c r="D164" s="172" t="s">
        <v>55</v>
      </c>
      <c r="E164" s="171">
        <v>872</v>
      </c>
      <c r="F164" s="26" t="s">
        <v>46</v>
      </c>
      <c r="G164" s="260">
        <v>10712076912</v>
      </c>
      <c r="H164" s="85" t="s">
        <v>661</v>
      </c>
      <c r="I164" s="24"/>
      <c r="J164" s="24"/>
      <c r="K164" s="186">
        <v>0</v>
      </c>
      <c r="L164" s="24"/>
      <c r="M164" s="24"/>
      <c r="N164" s="24"/>
      <c r="O164" s="24"/>
      <c r="P164" s="205">
        <f t="shared" si="3"/>
        <v>0</v>
      </c>
      <c r="Q164" s="135"/>
      <c r="R164" s="25"/>
      <c r="S164" s="26"/>
      <c r="T164" s="26"/>
      <c r="U164" s="26"/>
      <c r="V164" s="26" t="s">
        <v>47</v>
      </c>
      <c r="W164" s="24"/>
      <c r="X164" s="164">
        <v>46153</v>
      </c>
      <c r="Y164" s="26" t="s">
        <v>61</v>
      </c>
      <c r="Z164" s="26"/>
      <c r="AA164" s="26"/>
      <c r="AB164" s="26" t="s">
        <v>49</v>
      </c>
      <c r="AC164" s="26"/>
      <c r="AD164" s="254" t="s">
        <v>48</v>
      </c>
      <c r="AE164" s="27"/>
      <c r="AF164" s="24"/>
      <c r="AG164" s="24"/>
      <c r="AH164" s="26"/>
      <c r="AI164" s="26"/>
      <c r="AJ164" s="25"/>
      <c r="AK164" s="26"/>
      <c r="AL164" s="24">
        <v>18</v>
      </c>
      <c r="AM164" s="225" t="s">
        <v>588</v>
      </c>
      <c r="AN164" s="255" t="s">
        <v>51</v>
      </c>
      <c r="AO164" s="131"/>
      <c r="AP164" s="132"/>
    </row>
    <row r="165" spans="1:42" s="28" customFormat="1" ht="15" customHeight="1" x14ac:dyDescent="0.2">
      <c r="A165" s="164">
        <v>46153</v>
      </c>
      <c r="B165" s="133"/>
      <c r="C165" s="134" t="s">
        <v>45</v>
      </c>
      <c r="D165" s="172" t="s">
        <v>55</v>
      </c>
      <c r="E165" s="171">
        <v>873</v>
      </c>
      <c r="F165" s="26" t="s">
        <v>46</v>
      </c>
      <c r="G165" s="260">
        <v>20568718454</v>
      </c>
      <c r="H165" s="85" t="s">
        <v>662</v>
      </c>
      <c r="I165" s="24"/>
      <c r="J165" s="24"/>
      <c r="K165" s="183">
        <v>182752</v>
      </c>
      <c r="L165" s="203"/>
      <c r="M165" s="203"/>
      <c r="N165" s="203"/>
      <c r="O165" s="203"/>
      <c r="P165" s="204">
        <f t="shared" si="3"/>
        <v>182752</v>
      </c>
      <c r="Q165" s="135"/>
      <c r="R165" s="25"/>
      <c r="S165" s="26"/>
      <c r="T165" s="26"/>
      <c r="U165" s="26"/>
      <c r="V165" s="26" t="s">
        <v>47</v>
      </c>
      <c r="W165" s="24"/>
      <c r="X165" s="164">
        <v>46184</v>
      </c>
      <c r="Y165" s="26" t="s">
        <v>63</v>
      </c>
      <c r="Z165" s="26"/>
      <c r="AA165" s="26"/>
      <c r="AB165" s="26" t="s">
        <v>49</v>
      </c>
      <c r="AC165" s="26"/>
      <c r="AD165" s="254" t="s">
        <v>48</v>
      </c>
      <c r="AE165" s="27"/>
      <c r="AF165" s="24"/>
      <c r="AG165" s="24"/>
      <c r="AH165" s="26"/>
      <c r="AI165" s="26"/>
      <c r="AJ165" s="25"/>
      <c r="AK165" s="26"/>
      <c r="AL165" s="24">
        <v>18</v>
      </c>
      <c r="AM165" s="224" t="s">
        <v>50</v>
      </c>
      <c r="AN165" s="255" t="s">
        <v>51</v>
      </c>
      <c r="AO165" s="131"/>
      <c r="AP165" s="132"/>
    </row>
    <row r="166" spans="1:42" s="28" customFormat="1" ht="15" customHeight="1" x14ac:dyDescent="0.2">
      <c r="A166" s="164">
        <v>46160</v>
      </c>
      <c r="B166" s="133"/>
      <c r="C166" s="134" t="s">
        <v>45</v>
      </c>
      <c r="D166" s="172" t="s">
        <v>55</v>
      </c>
      <c r="E166" s="171">
        <v>874</v>
      </c>
      <c r="F166" s="26" t="s">
        <v>46</v>
      </c>
      <c r="G166" s="260">
        <v>10460526014</v>
      </c>
      <c r="H166" s="85" t="s">
        <v>713</v>
      </c>
      <c r="I166" s="24"/>
      <c r="J166" s="24"/>
      <c r="K166" s="183">
        <v>7980</v>
      </c>
      <c r="L166" s="203"/>
      <c r="M166" s="203"/>
      <c r="N166" s="203"/>
      <c r="O166" s="203"/>
      <c r="P166" s="204">
        <f t="shared" si="3"/>
        <v>7980</v>
      </c>
      <c r="Q166" s="135"/>
      <c r="R166" s="25"/>
      <c r="S166" s="26"/>
      <c r="T166" s="26"/>
      <c r="U166" s="26"/>
      <c r="V166" s="26" t="s">
        <v>47</v>
      </c>
      <c r="W166" s="24"/>
      <c r="X166" s="164">
        <v>46160</v>
      </c>
      <c r="Y166" s="26" t="s">
        <v>63</v>
      </c>
      <c r="Z166" s="26"/>
      <c r="AA166" s="26"/>
      <c r="AB166" s="26" t="s">
        <v>49</v>
      </c>
      <c r="AC166" s="26"/>
      <c r="AD166" s="254" t="s">
        <v>48</v>
      </c>
      <c r="AE166" s="27"/>
      <c r="AF166" s="24"/>
      <c r="AG166" s="24"/>
      <c r="AH166" s="26"/>
      <c r="AI166" s="26"/>
      <c r="AJ166" s="25"/>
      <c r="AK166" s="26"/>
      <c r="AL166" s="24">
        <v>18</v>
      </c>
      <c r="AM166" s="224" t="s">
        <v>50</v>
      </c>
      <c r="AN166" s="255" t="s">
        <v>51</v>
      </c>
      <c r="AO166" s="131"/>
      <c r="AP166" s="132"/>
    </row>
    <row r="167" spans="1:42" s="28" customFormat="1" ht="15" customHeight="1" x14ac:dyDescent="0.2">
      <c r="A167" s="164">
        <v>46160</v>
      </c>
      <c r="B167" s="133"/>
      <c r="C167" s="134" t="s">
        <v>45</v>
      </c>
      <c r="D167" s="172" t="s">
        <v>55</v>
      </c>
      <c r="E167" s="171">
        <v>875</v>
      </c>
      <c r="F167" s="26" t="s">
        <v>46</v>
      </c>
      <c r="G167" s="260">
        <v>20610549676</v>
      </c>
      <c r="H167" s="85" t="s">
        <v>663</v>
      </c>
      <c r="I167" s="24"/>
      <c r="J167" s="24"/>
      <c r="K167" s="183">
        <v>5651</v>
      </c>
      <c r="L167" s="203"/>
      <c r="M167" s="203"/>
      <c r="N167" s="203"/>
      <c r="O167" s="203"/>
      <c r="P167" s="204">
        <f t="shared" si="3"/>
        <v>5651</v>
      </c>
      <c r="Q167" s="135"/>
      <c r="R167" s="25"/>
      <c r="S167" s="26"/>
      <c r="T167" s="26"/>
      <c r="U167" s="26"/>
      <c r="V167" s="26" t="s">
        <v>47</v>
      </c>
      <c r="W167" s="24"/>
      <c r="X167" s="164">
        <v>46160</v>
      </c>
      <c r="Y167" s="26" t="s">
        <v>63</v>
      </c>
      <c r="Z167" s="26"/>
      <c r="AA167" s="26"/>
      <c r="AB167" s="26" t="s">
        <v>49</v>
      </c>
      <c r="AC167" s="26"/>
      <c r="AD167" s="254" t="s">
        <v>48</v>
      </c>
      <c r="AE167" s="27"/>
      <c r="AF167" s="24"/>
      <c r="AG167" s="24"/>
      <c r="AH167" s="26"/>
      <c r="AI167" s="26"/>
      <c r="AJ167" s="25"/>
      <c r="AK167" s="26"/>
      <c r="AL167" s="24">
        <v>18</v>
      </c>
      <c r="AM167" s="224" t="s">
        <v>50</v>
      </c>
      <c r="AN167" s="255" t="s">
        <v>51</v>
      </c>
      <c r="AO167" s="131"/>
      <c r="AP167" s="132"/>
    </row>
    <row r="168" spans="1:42" s="28" customFormat="1" ht="15" customHeight="1" x14ac:dyDescent="0.2">
      <c r="A168" s="164">
        <v>46160</v>
      </c>
      <c r="B168" s="133"/>
      <c r="C168" s="134" t="s">
        <v>45</v>
      </c>
      <c r="D168" s="172" t="s">
        <v>55</v>
      </c>
      <c r="E168" s="171">
        <v>876</v>
      </c>
      <c r="F168" s="26" t="s">
        <v>46</v>
      </c>
      <c r="G168" s="260">
        <v>20610549676</v>
      </c>
      <c r="H168" s="182" t="s">
        <v>663</v>
      </c>
      <c r="I168" s="24"/>
      <c r="J168" s="24"/>
      <c r="K168" s="186">
        <v>0</v>
      </c>
      <c r="L168" s="24"/>
      <c r="M168" s="24"/>
      <c r="N168" s="24"/>
      <c r="O168" s="24"/>
      <c r="P168" s="186">
        <v>0</v>
      </c>
      <c r="Q168" s="135"/>
      <c r="R168" s="25"/>
      <c r="S168" s="26"/>
      <c r="T168" s="26"/>
      <c r="U168" s="26"/>
      <c r="V168" s="26" t="s">
        <v>47</v>
      </c>
      <c r="W168" s="24"/>
      <c r="X168" s="164">
        <v>46160</v>
      </c>
      <c r="Y168" s="26" t="s">
        <v>61</v>
      </c>
      <c r="Z168" s="26"/>
      <c r="AA168" s="26"/>
      <c r="AB168" s="26" t="s">
        <v>49</v>
      </c>
      <c r="AC168" s="26"/>
      <c r="AD168" s="254" t="s">
        <v>48</v>
      </c>
      <c r="AE168" s="27"/>
      <c r="AF168" s="24"/>
      <c r="AG168" s="24"/>
      <c r="AH168" s="26"/>
      <c r="AI168" s="26"/>
      <c r="AJ168" s="25"/>
      <c r="AK168" s="26"/>
      <c r="AL168" s="24">
        <v>19</v>
      </c>
      <c r="AM168" s="225" t="s">
        <v>588</v>
      </c>
      <c r="AN168" s="255" t="s">
        <v>51</v>
      </c>
      <c r="AO168" s="131"/>
      <c r="AP168" s="132"/>
    </row>
    <row r="169" spans="1:42" s="28" customFormat="1" ht="15" customHeight="1" x14ac:dyDescent="0.2">
      <c r="A169" s="165">
        <v>46167</v>
      </c>
      <c r="B169" s="133"/>
      <c r="C169" s="134" t="s">
        <v>45</v>
      </c>
      <c r="D169" s="172" t="s">
        <v>55</v>
      </c>
      <c r="E169" s="171">
        <v>877</v>
      </c>
      <c r="F169" s="26" t="s">
        <v>46</v>
      </c>
      <c r="G169" s="260">
        <v>20615587746</v>
      </c>
      <c r="H169" s="182" t="s">
        <v>700</v>
      </c>
      <c r="I169" s="24"/>
      <c r="J169" s="24"/>
      <c r="K169" s="183">
        <v>10680</v>
      </c>
      <c r="L169" s="203"/>
      <c r="M169" s="203"/>
      <c r="N169" s="203"/>
      <c r="O169" s="203"/>
      <c r="P169" s="183">
        <v>10680</v>
      </c>
      <c r="Q169" s="135"/>
      <c r="R169" s="25"/>
      <c r="S169" s="26"/>
      <c r="T169" s="26"/>
      <c r="U169" s="26"/>
      <c r="V169" s="26" t="s">
        <v>47</v>
      </c>
      <c r="W169" s="24"/>
      <c r="X169" s="165">
        <v>46167</v>
      </c>
      <c r="Y169" s="26" t="s">
        <v>63</v>
      </c>
      <c r="Z169" s="26"/>
      <c r="AA169" s="26"/>
      <c r="AB169" s="26" t="s">
        <v>49</v>
      </c>
      <c r="AC169" s="26"/>
      <c r="AD169" s="254" t="s">
        <v>48</v>
      </c>
      <c r="AE169" s="27"/>
      <c r="AF169" s="24"/>
      <c r="AG169" s="24"/>
      <c r="AH169" s="26"/>
      <c r="AI169" s="26"/>
      <c r="AJ169" s="25"/>
      <c r="AK169" s="26"/>
      <c r="AL169" s="24">
        <v>18</v>
      </c>
      <c r="AM169" s="224" t="s">
        <v>50</v>
      </c>
      <c r="AN169" s="255" t="s">
        <v>51</v>
      </c>
      <c r="AO169" s="131"/>
      <c r="AP169" s="132"/>
    </row>
    <row r="170" spans="1:42" s="28" customFormat="1" ht="15" customHeight="1" x14ac:dyDescent="0.2">
      <c r="A170" s="165">
        <v>46167</v>
      </c>
      <c r="B170" s="133"/>
      <c r="C170" s="134" t="s">
        <v>45</v>
      </c>
      <c r="D170" s="172" t="s">
        <v>55</v>
      </c>
      <c r="E170" s="171">
        <v>878</v>
      </c>
      <c r="F170" s="26" t="s">
        <v>46</v>
      </c>
      <c r="G170" s="260">
        <v>20615587746</v>
      </c>
      <c r="H170" s="182" t="s">
        <v>700</v>
      </c>
      <c r="I170" s="24"/>
      <c r="J170" s="24"/>
      <c r="K170" s="183">
        <v>10680</v>
      </c>
      <c r="L170" s="203"/>
      <c r="M170" s="203"/>
      <c r="N170" s="203"/>
      <c r="O170" s="203"/>
      <c r="P170" s="183">
        <v>10680</v>
      </c>
      <c r="Q170" s="135"/>
      <c r="R170" s="25"/>
      <c r="S170" s="26"/>
      <c r="T170" s="26"/>
      <c r="U170" s="26"/>
      <c r="V170" s="26" t="s">
        <v>47</v>
      </c>
      <c r="W170" s="24"/>
      <c r="X170" s="165">
        <v>46167</v>
      </c>
      <c r="Y170" s="26" t="s">
        <v>63</v>
      </c>
      <c r="Z170" s="26"/>
      <c r="AA170" s="26"/>
      <c r="AB170" s="26" t="s">
        <v>49</v>
      </c>
      <c r="AC170" s="26"/>
      <c r="AD170" s="254" t="s">
        <v>48</v>
      </c>
      <c r="AE170" s="27"/>
      <c r="AF170" s="24"/>
      <c r="AG170" s="24"/>
      <c r="AH170" s="26"/>
      <c r="AI170" s="26"/>
      <c r="AJ170" s="25"/>
      <c r="AK170" s="26"/>
      <c r="AL170" s="24">
        <v>18</v>
      </c>
      <c r="AM170" s="224" t="s">
        <v>50</v>
      </c>
      <c r="AN170" s="255" t="s">
        <v>51</v>
      </c>
      <c r="AO170" s="131"/>
      <c r="AP170" s="132"/>
    </row>
    <row r="171" spans="1:42" s="28" customFormat="1" ht="15" customHeight="1" x14ac:dyDescent="0.2">
      <c r="A171" s="164"/>
      <c r="B171" s="133"/>
      <c r="C171" s="134" t="s">
        <v>45</v>
      </c>
      <c r="D171" s="172" t="s">
        <v>55</v>
      </c>
      <c r="E171" s="171"/>
      <c r="F171" s="26" t="s">
        <v>46</v>
      </c>
      <c r="G171" s="182"/>
      <c r="H171" s="182"/>
      <c r="I171" s="24"/>
      <c r="J171" s="24"/>
      <c r="K171" s="186"/>
      <c r="L171" s="24"/>
      <c r="M171" s="24"/>
      <c r="N171" s="24"/>
      <c r="O171" s="24"/>
      <c r="P171" s="186"/>
      <c r="Q171" s="135"/>
      <c r="R171" s="25"/>
      <c r="S171" s="26"/>
      <c r="T171" s="26"/>
      <c r="U171" s="26"/>
      <c r="V171" s="26" t="s">
        <v>47</v>
      </c>
      <c r="W171" s="24"/>
      <c r="X171" s="164"/>
      <c r="Y171" s="26"/>
      <c r="Z171" s="26"/>
      <c r="AA171" s="26"/>
      <c r="AB171" s="26"/>
      <c r="AC171" s="26"/>
      <c r="AD171" s="254"/>
      <c r="AE171" s="27"/>
      <c r="AF171" s="24"/>
      <c r="AG171" s="24"/>
      <c r="AH171" s="26"/>
      <c r="AI171" s="26"/>
      <c r="AJ171" s="25"/>
      <c r="AK171" s="26"/>
      <c r="AL171" s="24"/>
      <c r="AM171" s="225"/>
      <c r="AN171" s="255" t="s">
        <v>51</v>
      </c>
      <c r="AO171" s="131"/>
      <c r="AP171" s="132"/>
    </row>
    <row r="172" spans="1:42" s="28" customFormat="1" ht="15" customHeight="1" x14ac:dyDescent="0.2">
      <c r="A172" s="164"/>
      <c r="B172" s="133"/>
      <c r="C172" s="134" t="s">
        <v>45</v>
      </c>
      <c r="D172" s="172" t="s">
        <v>55</v>
      </c>
      <c r="E172" s="171"/>
      <c r="F172" s="26" t="s">
        <v>46</v>
      </c>
      <c r="G172" s="182"/>
      <c r="H172" s="182"/>
      <c r="I172" s="24"/>
      <c r="J172" s="24"/>
      <c r="K172" s="186"/>
      <c r="L172" s="24"/>
      <c r="M172" s="24"/>
      <c r="N172" s="24"/>
      <c r="O172" s="24"/>
      <c r="P172" s="186"/>
      <c r="Q172" s="135"/>
      <c r="R172" s="25"/>
      <c r="S172" s="26"/>
      <c r="T172" s="26"/>
      <c r="U172" s="26"/>
      <c r="V172" s="26" t="s">
        <v>47</v>
      </c>
      <c r="W172" s="24"/>
      <c r="X172" s="164"/>
      <c r="Y172" s="26"/>
      <c r="Z172" s="26"/>
      <c r="AA172" s="26"/>
      <c r="AB172" s="26"/>
      <c r="AC172" s="26"/>
      <c r="AD172" s="254"/>
      <c r="AE172" s="27"/>
      <c r="AF172" s="24"/>
      <c r="AG172" s="24"/>
      <c r="AH172" s="26"/>
      <c r="AI172" s="26"/>
      <c r="AJ172" s="25"/>
      <c r="AK172" s="26"/>
      <c r="AL172" s="24"/>
      <c r="AM172" s="225"/>
      <c r="AN172" s="255" t="s">
        <v>51</v>
      </c>
      <c r="AO172" s="131"/>
      <c r="AP172" s="132"/>
    </row>
    <row r="173" spans="1:42" s="28" customFormat="1" ht="15" customHeight="1" x14ac:dyDescent="0.2">
      <c r="A173" s="164"/>
      <c r="B173" s="133"/>
      <c r="C173" s="134" t="s">
        <v>45</v>
      </c>
      <c r="D173" s="172" t="s">
        <v>55</v>
      </c>
      <c r="E173" s="171"/>
      <c r="F173" s="26" t="s">
        <v>46</v>
      </c>
      <c r="G173" s="182"/>
      <c r="H173" s="182"/>
      <c r="I173" s="24"/>
      <c r="J173" s="24"/>
      <c r="K173" s="186"/>
      <c r="L173" s="24"/>
      <c r="M173" s="24"/>
      <c r="N173" s="24"/>
      <c r="O173" s="24"/>
      <c r="P173" s="186"/>
      <c r="Q173" s="135"/>
      <c r="R173" s="25"/>
      <c r="S173" s="26"/>
      <c r="T173" s="26"/>
      <c r="U173" s="26"/>
      <c r="V173" s="26" t="s">
        <v>47</v>
      </c>
      <c r="W173" s="24"/>
      <c r="X173" s="164"/>
      <c r="Y173" s="26"/>
      <c r="Z173" s="26"/>
      <c r="AA173" s="26"/>
      <c r="AB173" s="26"/>
      <c r="AC173" s="26"/>
      <c r="AD173" s="254"/>
      <c r="AE173" s="27"/>
      <c r="AF173" s="24"/>
      <c r="AG173" s="24"/>
      <c r="AH173" s="26"/>
      <c r="AI173" s="26"/>
      <c r="AJ173" s="25"/>
      <c r="AK173" s="26"/>
      <c r="AL173" s="24"/>
      <c r="AM173" s="225"/>
      <c r="AN173" s="255" t="s">
        <v>51</v>
      </c>
      <c r="AO173" s="131"/>
      <c r="AP173" s="132"/>
    </row>
    <row r="174" spans="1:42" s="28" customFormat="1" ht="15" customHeight="1" x14ac:dyDescent="0.2">
      <c r="A174" s="164"/>
      <c r="B174" s="133"/>
      <c r="C174" s="134" t="s">
        <v>45</v>
      </c>
      <c r="D174" s="172" t="s">
        <v>55</v>
      </c>
      <c r="E174" s="171"/>
      <c r="F174" s="26" t="s">
        <v>46</v>
      </c>
      <c r="G174" s="182"/>
      <c r="H174" s="182"/>
      <c r="I174" s="24"/>
      <c r="J174" s="24"/>
      <c r="K174" s="186"/>
      <c r="L174" s="24"/>
      <c r="M174" s="24"/>
      <c r="N174" s="24"/>
      <c r="O174" s="24"/>
      <c r="P174" s="186"/>
      <c r="Q174" s="135"/>
      <c r="R174" s="25"/>
      <c r="S174" s="26"/>
      <c r="T174" s="26"/>
      <c r="U174" s="26"/>
      <c r="V174" s="26" t="s">
        <v>47</v>
      </c>
      <c r="W174" s="24"/>
      <c r="X174" s="164"/>
      <c r="Y174" s="26"/>
      <c r="Z174" s="26"/>
      <c r="AA174" s="26"/>
      <c r="AB174" s="26"/>
      <c r="AC174" s="26"/>
      <c r="AD174" s="254"/>
      <c r="AE174" s="27"/>
      <c r="AF174" s="24"/>
      <c r="AG174" s="24"/>
      <c r="AH174" s="26"/>
      <c r="AI174" s="26"/>
      <c r="AJ174" s="25"/>
      <c r="AK174" s="26"/>
      <c r="AL174" s="24"/>
      <c r="AM174" s="225"/>
      <c r="AN174" s="255" t="s">
        <v>51</v>
      </c>
      <c r="AO174" s="131"/>
      <c r="AP174" s="132"/>
    </row>
    <row r="175" spans="1:42" s="28" customFormat="1" ht="15" customHeight="1" x14ac:dyDescent="0.2">
      <c r="A175" s="164"/>
      <c r="B175" s="133"/>
      <c r="C175" s="134" t="s">
        <v>45</v>
      </c>
      <c r="D175" s="172" t="s">
        <v>55</v>
      </c>
      <c r="E175" s="171"/>
      <c r="F175" s="26" t="s">
        <v>46</v>
      </c>
      <c r="G175" s="182"/>
      <c r="H175" s="182"/>
      <c r="I175" s="24"/>
      <c r="J175" s="24"/>
      <c r="K175" s="186"/>
      <c r="L175" s="24"/>
      <c r="M175" s="24"/>
      <c r="N175" s="24"/>
      <c r="O175" s="24"/>
      <c r="P175" s="186"/>
      <c r="Q175" s="135"/>
      <c r="R175" s="25"/>
      <c r="S175" s="26"/>
      <c r="T175" s="26"/>
      <c r="U175" s="26"/>
      <c r="V175" s="26" t="s">
        <v>47</v>
      </c>
      <c r="W175" s="24"/>
      <c r="X175" s="164"/>
      <c r="Y175" s="26"/>
      <c r="Z175" s="26"/>
      <c r="AA175" s="26"/>
      <c r="AB175" s="26"/>
      <c r="AC175" s="26"/>
      <c r="AD175" s="254"/>
      <c r="AE175" s="27"/>
      <c r="AF175" s="24"/>
      <c r="AG175" s="24"/>
      <c r="AH175" s="26"/>
      <c r="AI175" s="26"/>
      <c r="AJ175" s="25"/>
      <c r="AK175" s="26"/>
      <c r="AL175" s="24"/>
      <c r="AM175" s="225"/>
      <c r="AN175" s="255" t="s">
        <v>51</v>
      </c>
      <c r="AO175" s="131"/>
      <c r="AP175" s="132"/>
    </row>
    <row r="176" spans="1:42" s="28" customFormat="1" ht="15" customHeight="1" x14ac:dyDescent="0.2">
      <c r="A176" s="164"/>
      <c r="B176" s="133"/>
      <c r="C176" s="134" t="s">
        <v>45</v>
      </c>
      <c r="D176" s="172" t="s">
        <v>55</v>
      </c>
      <c r="E176" s="171"/>
      <c r="F176" s="26" t="s">
        <v>46</v>
      </c>
      <c r="G176" s="182"/>
      <c r="H176" s="182"/>
      <c r="I176" s="24"/>
      <c r="J176" s="24"/>
      <c r="K176" s="186"/>
      <c r="L176" s="24"/>
      <c r="M176" s="24"/>
      <c r="N176" s="24"/>
      <c r="O176" s="24"/>
      <c r="P176" s="186"/>
      <c r="Q176" s="135"/>
      <c r="R176" s="25"/>
      <c r="S176" s="26"/>
      <c r="T176" s="26"/>
      <c r="U176" s="26"/>
      <c r="V176" s="26" t="s">
        <v>47</v>
      </c>
      <c r="W176" s="24"/>
      <c r="X176" s="164"/>
      <c r="Y176" s="26"/>
      <c r="Z176" s="26"/>
      <c r="AA176" s="26"/>
      <c r="AB176" s="26"/>
      <c r="AC176" s="26"/>
      <c r="AD176" s="254"/>
      <c r="AE176" s="27"/>
      <c r="AF176" s="24"/>
      <c r="AG176" s="24"/>
      <c r="AH176" s="26"/>
      <c r="AI176" s="26"/>
      <c r="AJ176" s="25"/>
      <c r="AK176" s="26"/>
      <c r="AL176" s="24"/>
      <c r="AM176" s="225"/>
      <c r="AN176" s="255" t="s">
        <v>51</v>
      </c>
      <c r="AO176" s="131"/>
      <c r="AP176" s="132"/>
    </row>
    <row r="177" spans="1:42" s="28" customFormat="1" ht="15" customHeight="1" x14ac:dyDescent="0.2">
      <c r="A177" s="164"/>
      <c r="B177" s="133"/>
      <c r="C177" s="134" t="s">
        <v>45</v>
      </c>
      <c r="D177" s="172" t="s">
        <v>55</v>
      </c>
      <c r="E177" s="171"/>
      <c r="F177" s="26" t="s">
        <v>46</v>
      </c>
      <c r="G177" s="182"/>
      <c r="H177" s="182"/>
      <c r="I177" s="24"/>
      <c r="J177" s="24"/>
      <c r="K177" s="186"/>
      <c r="L177" s="24"/>
      <c r="M177" s="24"/>
      <c r="N177" s="24"/>
      <c r="O177" s="24"/>
      <c r="P177" s="186"/>
      <c r="Q177" s="135"/>
      <c r="R177" s="25"/>
      <c r="S177" s="26"/>
      <c r="T177" s="26"/>
      <c r="U177" s="26"/>
      <c r="V177" s="26" t="s">
        <v>47</v>
      </c>
      <c r="W177" s="24"/>
      <c r="X177" s="164"/>
      <c r="Y177" s="26"/>
      <c r="Z177" s="26"/>
      <c r="AA177" s="26"/>
      <c r="AB177" s="26"/>
      <c r="AC177" s="26"/>
      <c r="AD177" s="254"/>
      <c r="AE177" s="27"/>
      <c r="AF177" s="24"/>
      <c r="AG177" s="24"/>
      <c r="AH177" s="26"/>
      <c r="AI177" s="26"/>
      <c r="AJ177" s="25"/>
      <c r="AK177" s="26"/>
      <c r="AL177" s="24"/>
      <c r="AM177" s="225"/>
      <c r="AN177" s="255" t="s">
        <v>51</v>
      </c>
      <c r="AO177" s="131"/>
      <c r="AP177" s="132"/>
    </row>
    <row r="178" spans="1:42" s="28" customFormat="1" ht="15" customHeight="1" x14ac:dyDescent="0.2">
      <c r="A178" s="43"/>
      <c r="B178" s="133"/>
      <c r="C178" s="134"/>
      <c r="D178" s="172"/>
      <c r="E178" s="171"/>
      <c r="F178" s="26"/>
      <c r="G178" s="172"/>
      <c r="H178" s="85"/>
      <c r="I178" s="24"/>
      <c r="J178" s="24"/>
      <c r="K178" s="200"/>
      <c r="L178" s="24"/>
      <c r="M178" s="24"/>
      <c r="N178" s="24"/>
      <c r="O178" s="24"/>
      <c r="P178" s="205"/>
      <c r="Q178" s="135"/>
      <c r="R178" s="25"/>
      <c r="S178" s="26"/>
      <c r="T178" s="26"/>
      <c r="U178" s="26"/>
      <c r="V178" s="26"/>
      <c r="W178" s="24"/>
      <c r="X178" s="25"/>
      <c r="Y178" s="26"/>
      <c r="Z178" s="26"/>
      <c r="AA178" s="26"/>
      <c r="AB178" s="26"/>
      <c r="AC178" s="26"/>
      <c r="AD178" s="254"/>
      <c r="AE178" s="27"/>
      <c r="AF178" s="24"/>
      <c r="AG178" s="24"/>
      <c r="AH178" s="26"/>
      <c r="AI178" s="26"/>
      <c r="AJ178" s="25"/>
      <c r="AK178" s="26"/>
      <c r="AL178" s="24"/>
      <c r="AM178" s="225"/>
      <c r="AN178" s="255"/>
      <c r="AO178" s="131"/>
      <c r="AP178" s="132"/>
    </row>
    <row r="179" spans="1:42" s="74" customFormat="1" ht="15.75" customHeight="1" x14ac:dyDescent="0.25">
      <c r="A179" s="73"/>
      <c r="B179" s="146"/>
      <c r="C179" s="146"/>
      <c r="D179" s="176"/>
      <c r="E179" s="176"/>
      <c r="F179" s="176"/>
      <c r="G179" s="176"/>
      <c r="H179" s="176"/>
      <c r="I179" s="176"/>
      <c r="J179" s="176"/>
      <c r="K179" s="176"/>
      <c r="L179" s="176"/>
      <c r="M179" s="176"/>
      <c r="N179" s="176"/>
      <c r="O179" s="176"/>
      <c r="P179" s="176"/>
      <c r="Q179" s="147"/>
      <c r="R179" s="176"/>
      <c r="S179" s="176"/>
      <c r="T179" s="176"/>
      <c r="U179" s="176"/>
      <c r="V179" s="176"/>
      <c r="W179" s="176"/>
      <c r="X179" s="176"/>
      <c r="Y179" s="176"/>
      <c r="Z179" s="176"/>
      <c r="AA179" s="176"/>
      <c r="AB179" s="176"/>
      <c r="AC179" s="176"/>
      <c r="AD179" s="236"/>
      <c r="AE179" s="176"/>
      <c r="AF179" s="176"/>
      <c r="AG179" s="176"/>
      <c r="AH179" s="176"/>
      <c r="AI179" s="176"/>
      <c r="AJ179" s="176"/>
      <c r="AK179" s="176"/>
      <c r="AL179" s="176"/>
      <c r="AM179" s="236"/>
      <c r="AN179" s="236"/>
      <c r="AO179" s="146"/>
      <c r="AP179" s="146"/>
    </row>
    <row r="180" spans="1:42" s="70" customFormat="1" ht="15" customHeight="1" x14ac:dyDescent="0.2">
      <c r="A180" s="166">
        <v>46153</v>
      </c>
      <c r="B180" s="148"/>
      <c r="C180" s="221" t="s">
        <v>56</v>
      </c>
      <c r="D180" s="177" t="s">
        <v>53</v>
      </c>
      <c r="E180" s="178">
        <v>179</v>
      </c>
      <c r="F180" s="206" t="s">
        <v>60</v>
      </c>
      <c r="G180" s="261">
        <v>45766607</v>
      </c>
      <c r="H180" s="36" t="s">
        <v>369</v>
      </c>
      <c r="I180" s="66"/>
      <c r="J180" s="66"/>
      <c r="K180" s="207">
        <v>-22720</v>
      </c>
      <c r="L180" s="208"/>
      <c r="M180" s="208"/>
      <c r="N180" s="208"/>
      <c r="O180" s="208"/>
      <c r="P180" s="209">
        <f t="shared" ref="P180" si="4">K180</f>
        <v>-22720</v>
      </c>
      <c r="Q180" s="150"/>
      <c r="R180" s="29">
        <v>46078</v>
      </c>
      <c r="S180" s="69" t="s">
        <v>52</v>
      </c>
      <c r="T180" s="69" t="s">
        <v>79</v>
      </c>
      <c r="U180" s="33" t="s">
        <v>664</v>
      </c>
      <c r="V180" s="69" t="s">
        <v>47</v>
      </c>
      <c r="W180" s="66"/>
      <c r="X180" s="237">
        <v>46153</v>
      </c>
      <c r="Y180" s="69" t="s">
        <v>63</v>
      </c>
      <c r="Z180" s="69"/>
      <c r="AA180" s="69"/>
      <c r="AB180" s="69" t="s">
        <v>49</v>
      </c>
      <c r="AC180" s="69"/>
      <c r="AD180" s="257" t="s">
        <v>48</v>
      </c>
      <c r="AE180" s="86"/>
      <c r="AF180" s="66"/>
      <c r="AG180" s="66"/>
      <c r="AH180" s="69"/>
      <c r="AI180" s="69"/>
      <c r="AJ180" s="68"/>
      <c r="AK180" s="69"/>
      <c r="AL180" s="66">
        <v>18</v>
      </c>
      <c r="AM180" s="238" t="s">
        <v>57</v>
      </c>
      <c r="AN180" s="257" t="s">
        <v>51</v>
      </c>
      <c r="AO180" s="152"/>
      <c r="AP180" s="149"/>
    </row>
    <row r="181" spans="1:42" s="74" customFormat="1" ht="15.75" customHeight="1" x14ac:dyDescent="0.25">
      <c r="A181" s="73"/>
      <c r="B181" s="146"/>
      <c r="C181" s="146"/>
      <c r="D181" s="176"/>
      <c r="E181" s="176"/>
      <c r="F181" s="176"/>
      <c r="G181" s="262"/>
      <c r="H181" s="176"/>
      <c r="I181" s="176"/>
      <c r="J181" s="176"/>
      <c r="K181" s="176"/>
      <c r="L181" s="176"/>
      <c r="M181" s="176"/>
      <c r="N181" s="176"/>
      <c r="O181" s="176"/>
      <c r="P181" s="176"/>
      <c r="Q181" s="147"/>
      <c r="R181" s="176"/>
      <c r="S181" s="176"/>
      <c r="T181" s="176"/>
      <c r="U181" s="176"/>
      <c r="V181" s="176"/>
      <c r="W181" s="176"/>
      <c r="X181" s="176"/>
      <c r="Y181" s="176"/>
      <c r="Z181" s="176"/>
      <c r="AA181" s="176"/>
      <c r="AB181" s="176"/>
      <c r="AC181" s="176"/>
      <c r="AD181" s="236"/>
      <c r="AE181" s="176"/>
      <c r="AF181" s="176"/>
      <c r="AG181" s="176"/>
      <c r="AH181" s="176"/>
      <c r="AI181" s="176"/>
      <c r="AJ181" s="176"/>
      <c r="AK181" s="176"/>
      <c r="AL181" s="176"/>
      <c r="AM181" s="236"/>
      <c r="AN181" s="236"/>
      <c r="AO181" s="146"/>
      <c r="AP181" s="146"/>
    </row>
    <row r="182" spans="1:42" s="70" customFormat="1" ht="15" customHeight="1" x14ac:dyDescent="0.2">
      <c r="A182" s="167">
        <v>46146</v>
      </c>
      <c r="B182" s="148"/>
      <c r="C182" s="221" t="s">
        <v>58</v>
      </c>
      <c r="D182" s="177" t="s">
        <v>55</v>
      </c>
      <c r="E182" s="178">
        <v>36</v>
      </c>
      <c r="F182" s="206" t="s">
        <v>46</v>
      </c>
      <c r="G182" s="263">
        <v>10209937170</v>
      </c>
      <c r="H182" s="70" t="s">
        <v>665</v>
      </c>
      <c r="I182" s="66"/>
      <c r="J182" s="66"/>
      <c r="K182" s="207">
        <v>960</v>
      </c>
      <c r="L182" s="208"/>
      <c r="M182" s="208"/>
      <c r="N182" s="208"/>
      <c r="O182" s="208"/>
      <c r="P182" s="209">
        <f>K182</f>
        <v>960</v>
      </c>
      <c r="Q182" s="150"/>
      <c r="R182" s="68">
        <v>46003</v>
      </c>
      <c r="S182" s="69" t="s">
        <v>45</v>
      </c>
      <c r="T182" s="69" t="s">
        <v>78</v>
      </c>
      <c r="U182" s="69" t="s">
        <v>666</v>
      </c>
      <c r="V182" s="69" t="s">
        <v>47</v>
      </c>
      <c r="W182" s="66"/>
      <c r="X182" s="239">
        <v>46146</v>
      </c>
      <c r="Y182" s="69" t="s">
        <v>63</v>
      </c>
      <c r="Z182" s="69"/>
      <c r="AA182" s="69"/>
      <c r="AB182" s="69" t="s">
        <v>49</v>
      </c>
      <c r="AC182" s="69"/>
      <c r="AD182" s="257" t="s">
        <v>48</v>
      </c>
      <c r="AE182" s="86"/>
      <c r="AF182" s="66"/>
      <c r="AG182" s="66"/>
      <c r="AH182" s="69"/>
      <c r="AI182" s="69"/>
      <c r="AJ182" s="68"/>
      <c r="AK182" s="69"/>
      <c r="AL182" s="66">
        <v>18</v>
      </c>
      <c r="AM182" s="238" t="s">
        <v>667</v>
      </c>
      <c r="AN182" s="257" t="s">
        <v>51</v>
      </c>
      <c r="AO182" s="152"/>
      <c r="AP182" s="149"/>
    </row>
    <row r="183" spans="1:42" s="74" customFormat="1" ht="15.75" customHeight="1" x14ac:dyDescent="0.25">
      <c r="A183" s="73"/>
      <c r="B183" s="146"/>
      <c r="C183" s="146"/>
      <c r="D183" s="176"/>
      <c r="E183" s="176"/>
      <c r="F183" s="176"/>
      <c r="G183" s="262"/>
      <c r="H183" s="176"/>
      <c r="I183" s="176"/>
      <c r="J183" s="176"/>
      <c r="K183" s="176"/>
      <c r="L183" s="176"/>
      <c r="M183" s="176"/>
      <c r="N183" s="176"/>
      <c r="O183" s="176"/>
      <c r="P183" s="176"/>
      <c r="Q183" s="147"/>
      <c r="R183" s="176"/>
      <c r="S183" s="176"/>
      <c r="T183" s="176"/>
      <c r="U183" s="176"/>
      <c r="V183" s="176"/>
      <c r="W183" s="176"/>
      <c r="X183" s="176"/>
      <c r="Y183" s="176"/>
      <c r="Z183" s="176"/>
      <c r="AA183" s="176"/>
      <c r="AB183" s="176"/>
      <c r="AC183" s="176"/>
      <c r="AD183" s="236"/>
      <c r="AE183" s="176"/>
      <c r="AF183" s="176"/>
      <c r="AG183" s="176"/>
      <c r="AH183" s="176"/>
      <c r="AI183" s="176"/>
      <c r="AJ183" s="176"/>
      <c r="AK183" s="176"/>
      <c r="AL183" s="176"/>
      <c r="AM183" s="236"/>
      <c r="AN183" s="236"/>
      <c r="AO183" s="146"/>
      <c r="AP183" s="146"/>
    </row>
    <row r="184" spans="1:42" s="36" customFormat="1" ht="15.75" customHeight="1" x14ac:dyDescent="0.2">
      <c r="A184" s="50">
        <v>46143</v>
      </c>
      <c r="B184" s="151"/>
      <c r="C184" s="138" t="s">
        <v>58</v>
      </c>
      <c r="D184" s="221" t="s">
        <v>53</v>
      </c>
      <c r="E184" s="178">
        <v>495</v>
      </c>
      <c r="F184" s="33" t="s">
        <v>60</v>
      </c>
      <c r="G184" s="264" t="s">
        <v>668</v>
      </c>
      <c r="H184" s="117" t="s">
        <v>669</v>
      </c>
      <c r="I184" s="32"/>
      <c r="J184" s="32"/>
      <c r="K184" s="207">
        <v>208</v>
      </c>
      <c r="L184" s="210"/>
      <c r="M184" s="210"/>
      <c r="N184" s="210"/>
      <c r="O184" s="210"/>
      <c r="P184" s="207">
        <f t="shared" ref="P184:P215" si="5">K184</f>
        <v>208</v>
      </c>
      <c r="Q184" s="153"/>
      <c r="R184" s="29">
        <v>46105</v>
      </c>
      <c r="S184" s="33" t="s">
        <v>52</v>
      </c>
      <c r="T184" s="69" t="s">
        <v>79</v>
      </c>
      <c r="U184" s="240">
        <v>7206</v>
      </c>
      <c r="V184" s="33" t="s">
        <v>47</v>
      </c>
      <c r="W184" s="32"/>
      <c r="X184" s="241">
        <v>46143</v>
      </c>
      <c r="Y184" s="69" t="s">
        <v>63</v>
      </c>
      <c r="Z184" s="33"/>
      <c r="AA184" s="33"/>
      <c r="AB184" s="33" t="s">
        <v>66</v>
      </c>
      <c r="AC184" s="33"/>
      <c r="AD184" s="258" t="s">
        <v>48</v>
      </c>
      <c r="AE184" s="34"/>
      <c r="AF184" s="32"/>
      <c r="AG184" s="32"/>
      <c r="AH184" s="33"/>
      <c r="AI184" s="33"/>
      <c r="AJ184" s="29"/>
      <c r="AK184" s="33"/>
      <c r="AL184" s="32">
        <v>18</v>
      </c>
      <c r="AM184" s="179" t="s">
        <v>719</v>
      </c>
      <c r="AN184" s="258" t="s">
        <v>51</v>
      </c>
      <c r="AO184" s="138"/>
      <c r="AP184" s="139"/>
    </row>
    <row r="185" spans="1:42" s="36" customFormat="1" ht="15.75" customHeight="1" x14ac:dyDescent="0.2">
      <c r="A185" s="166">
        <v>46143</v>
      </c>
      <c r="B185" s="151"/>
      <c r="C185" s="138" t="s">
        <v>58</v>
      </c>
      <c r="D185" s="221" t="s">
        <v>53</v>
      </c>
      <c r="E185" s="178">
        <v>496</v>
      </c>
      <c r="F185" s="33" t="s">
        <v>60</v>
      </c>
      <c r="G185" s="265">
        <v>47431793</v>
      </c>
      <c r="H185" s="36" t="s">
        <v>479</v>
      </c>
      <c r="I185" s="32"/>
      <c r="J185" s="32"/>
      <c r="K185" s="207">
        <v>106.87</v>
      </c>
      <c r="L185" s="210"/>
      <c r="M185" s="210"/>
      <c r="N185" s="210"/>
      <c r="O185" s="210"/>
      <c r="P185" s="207">
        <f t="shared" si="5"/>
        <v>106.87</v>
      </c>
      <c r="Q185" s="153"/>
      <c r="R185" s="29">
        <v>46105</v>
      </c>
      <c r="S185" s="33" t="s">
        <v>52</v>
      </c>
      <c r="T185" s="69" t="s">
        <v>79</v>
      </c>
      <c r="U185" s="240">
        <v>7208</v>
      </c>
      <c r="V185" s="33" t="s">
        <v>47</v>
      </c>
      <c r="W185" s="32"/>
      <c r="X185" s="241">
        <v>46143</v>
      </c>
      <c r="Y185" s="69" t="s">
        <v>63</v>
      </c>
      <c r="Z185" s="33"/>
      <c r="AA185" s="33"/>
      <c r="AB185" s="33" t="s">
        <v>66</v>
      </c>
      <c r="AC185" s="33"/>
      <c r="AD185" s="258" t="s">
        <v>48</v>
      </c>
      <c r="AE185" s="34"/>
      <c r="AF185" s="32"/>
      <c r="AG185" s="32"/>
      <c r="AH185" s="33"/>
      <c r="AI185" s="33"/>
      <c r="AJ185" s="29"/>
      <c r="AK185" s="33"/>
      <c r="AL185" s="32">
        <v>18</v>
      </c>
      <c r="AM185" s="179" t="s">
        <v>719</v>
      </c>
      <c r="AN185" s="258" t="s">
        <v>51</v>
      </c>
      <c r="AO185" s="138"/>
      <c r="AP185" s="139"/>
    </row>
    <row r="186" spans="1:42" s="36" customFormat="1" ht="15.75" customHeight="1" x14ac:dyDescent="0.2">
      <c r="A186" s="166">
        <v>46143</v>
      </c>
      <c r="B186" s="151"/>
      <c r="C186" s="138" t="s">
        <v>58</v>
      </c>
      <c r="D186" s="221" t="s">
        <v>53</v>
      </c>
      <c r="E186" s="178">
        <v>497</v>
      </c>
      <c r="F186" s="33" t="s">
        <v>60</v>
      </c>
      <c r="G186" s="265">
        <v>21010783</v>
      </c>
      <c r="H186" s="117" t="s">
        <v>490</v>
      </c>
      <c r="I186" s="32"/>
      <c r="J186" s="32"/>
      <c r="K186" s="207">
        <v>696</v>
      </c>
      <c r="L186" s="210"/>
      <c r="M186" s="210"/>
      <c r="N186" s="210"/>
      <c r="O186" s="210"/>
      <c r="P186" s="207">
        <f t="shared" si="5"/>
        <v>696</v>
      </c>
      <c r="Q186" s="153"/>
      <c r="R186" s="29">
        <v>45958</v>
      </c>
      <c r="S186" s="33" t="s">
        <v>52</v>
      </c>
      <c r="T186" s="69" t="s">
        <v>79</v>
      </c>
      <c r="U186" s="240">
        <v>6631</v>
      </c>
      <c r="V186" s="33" t="s">
        <v>47</v>
      </c>
      <c r="W186" s="32"/>
      <c r="X186" s="222">
        <v>46143</v>
      </c>
      <c r="Y186" s="69" t="s">
        <v>63</v>
      </c>
      <c r="Z186" s="33"/>
      <c r="AA186" s="33"/>
      <c r="AB186" s="33" t="s">
        <v>66</v>
      </c>
      <c r="AC186" s="33"/>
      <c r="AD186" s="258" t="s">
        <v>48</v>
      </c>
      <c r="AE186" s="34"/>
      <c r="AF186" s="32"/>
      <c r="AG186" s="32"/>
      <c r="AH186" s="33"/>
      <c r="AI186" s="33"/>
      <c r="AJ186" s="29"/>
      <c r="AK186" s="33"/>
      <c r="AL186" s="32">
        <v>18</v>
      </c>
      <c r="AM186" s="179" t="s">
        <v>719</v>
      </c>
      <c r="AN186" s="258" t="s">
        <v>51</v>
      </c>
      <c r="AO186" s="138"/>
      <c r="AP186" s="139"/>
    </row>
    <row r="187" spans="1:42" s="36" customFormat="1" ht="15.75" customHeight="1" x14ac:dyDescent="0.2">
      <c r="A187" s="166">
        <v>46143</v>
      </c>
      <c r="B187" s="151"/>
      <c r="C187" s="138" t="s">
        <v>58</v>
      </c>
      <c r="D187" s="221" t="s">
        <v>53</v>
      </c>
      <c r="E187" s="178">
        <v>498</v>
      </c>
      <c r="F187" s="33" t="s">
        <v>60</v>
      </c>
      <c r="G187" s="265">
        <v>73392043</v>
      </c>
      <c r="H187" s="117" t="s">
        <v>430</v>
      </c>
      <c r="I187" s="32"/>
      <c r="J187" s="32"/>
      <c r="K187" s="211">
        <v>10</v>
      </c>
      <c r="L187" s="210"/>
      <c r="M187" s="210"/>
      <c r="N187" s="210"/>
      <c r="O187" s="210"/>
      <c r="P187" s="207">
        <f t="shared" si="5"/>
        <v>10</v>
      </c>
      <c r="Q187" s="153"/>
      <c r="R187" s="222">
        <v>46087</v>
      </c>
      <c r="S187" s="33" t="s">
        <v>52</v>
      </c>
      <c r="T187" s="69" t="s">
        <v>79</v>
      </c>
      <c r="U187" s="117">
        <v>7149</v>
      </c>
      <c r="V187" s="33" t="s">
        <v>47</v>
      </c>
      <c r="W187" s="32"/>
      <c r="X187" s="222">
        <v>46143</v>
      </c>
      <c r="Y187" s="69" t="s">
        <v>63</v>
      </c>
      <c r="Z187" s="33"/>
      <c r="AA187" s="33"/>
      <c r="AB187" s="33" t="s">
        <v>66</v>
      </c>
      <c r="AC187" s="33"/>
      <c r="AD187" s="258" t="s">
        <v>48</v>
      </c>
      <c r="AE187" s="34"/>
      <c r="AF187" s="32"/>
      <c r="AG187" s="32"/>
      <c r="AH187" s="33"/>
      <c r="AI187" s="33"/>
      <c r="AJ187" s="29"/>
      <c r="AK187" s="33"/>
      <c r="AL187" s="32">
        <v>18</v>
      </c>
      <c r="AM187" s="179" t="s">
        <v>719</v>
      </c>
      <c r="AN187" s="258" t="s">
        <v>51</v>
      </c>
      <c r="AO187" s="138"/>
      <c r="AP187" s="139"/>
    </row>
    <row r="188" spans="1:42" s="36" customFormat="1" ht="15.75" customHeight="1" x14ac:dyDescent="0.2">
      <c r="A188" s="166">
        <v>46144</v>
      </c>
      <c r="B188" s="151"/>
      <c r="C188" s="138" t="s">
        <v>58</v>
      </c>
      <c r="D188" s="221" t="s">
        <v>53</v>
      </c>
      <c r="E188" s="178">
        <v>499</v>
      </c>
      <c r="F188" s="33" t="s">
        <v>60</v>
      </c>
      <c r="G188" s="265">
        <v>20567769</v>
      </c>
      <c r="H188" s="117" t="s">
        <v>671</v>
      </c>
      <c r="I188" s="32"/>
      <c r="J188" s="32"/>
      <c r="K188" s="211">
        <v>108</v>
      </c>
      <c r="L188" s="210"/>
      <c r="M188" s="210"/>
      <c r="N188" s="210"/>
      <c r="O188" s="210"/>
      <c r="P188" s="207">
        <f t="shared" si="5"/>
        <v>108</v>
      </c>
      <c r="Q188" s="153"/>
      <c r="R188" s="222">
        <v>45945</v>
      </c>
      <c r="S188" s="33" t="s">
        <v>52</v>
      </c>
      <c r="T188" s="69" t="s">
        <v>79</v>
      </c>
      <c r="U188" s="117">
        <v>6561</v>
      </c>
      <c r="V188" s="33" t="s">
        <v>47</v>
      </c>
      <c r="W188" s="32"/>
      <c r="X188" s="222">
        <v>46144</v>
      </c>
      <c r="Y188" s="69" t="s">
        <v>63</v>
      </c>
      <c r="Z188" s="33"/>
      <c r="AA188" s="33"/>
      <c r="AB188" s="33" t="s">
        <v>66</v>
      </c>
      <c r="AC188" s="33"/>
      <c r="AD188" s="258" t="s">
        <v>48</v>
      </c>
      <c r="AE188" s="34"/>
      <c r="AF188" s="32"/>
      <c r="AG188" s="32"/>
      <c r="AH188" s="33"/>
      <c r="AI188" s="33"/>
      <c r="AJ188" s="29"/>
      <c r="AK188" s="33"/>
      <c r="AL188" s="32">
        <v>18</v>
      </c>
      <c r="AM188" s="179" t="s">
        <v>719</v>
      </c>
      <c r="AN188" s="258" t="s">
        <v>51</v>
      </c>
      <c r="AO188" s="138"/>
      <c r="AP188" s="139"/>
    </row>
    <row r="189" spans="1:42" s="36" customFormat="1" ht="15.75" customHeight="1" x14ac:dyDescent="0.2">
      <c r="A189" s="166">
        <v>46144</v>
      </c>
      <c r="B189" s="151"/>
      <c r="C189" s="138" t="s">
        <v>58</v>
      </c>
      <c r="D189" s="221" t="s">
        <v>53</v>
      </c>
      <c r="E189" s="178">
        <v>500</v>
      </c>
      <c r="F189" s="33" t="s">
        <v>60</v>
      </c>
      <c r="G189" s="265">
        <v>74882559</v>
      </c>
      <c r="H189" s="117" t="s">
        <v>672</v>
      </c>
      <c r="I189" s="32"/>
      <c r="J189" s="32"/>
      <c r="K189" s="211">
        <v>95</v>
      </c>
      <c r="L189" s="210"/>
      <c r="M189" s="210"/>
      <c r="N189" s="210"/>
      <c r="O189" s="210"/>
      <c r="P189" s="207">
        <f t="shared" si="5"/>
        <v>95</v>
      </c>
      <c r="Q189" s="153"/>
      <c r="R189" s="222">
        <v>45997</v>
      </c>
      <c r="S189" s="33" t="s">
        <v>52</v>
      </c>
      <c r="T189" s="69" t="s">
        <v>79</v>
      </c>
      <c r="U189" s="117">
        <v>6794</v>
      </c>
      <c r="V189" s="33" t="s">
        <v>47</v>
      </c>
      <c r="W189" s="32"/>
      <c r="X189" s="222">
        <v>46144</v>
      </c>
      <c r="Y189" s="69" t="s">
        <v>63</v>
      </c>
      <c r="Z189" s="33"/>
      <c r="AA189" s="33"/>
      <c r="AB189" s="33" t="s">
        <v>66</v>
      </c>
      <c r="AC189" s="33"/>
      <c r="AD189" s="258" t="s">
        <v>48</v>
      </c>
      <c r="AE189" s="34"/>
      <c r="AF189" s="32"/>
      <c r="AG189" s="32"/>
      <c r="AH189" s="33"/>
      <c r="AI189" s="33"/>
      <c r="AJ189" s="29"/>
      <c r="AK189" s="33"/>
      <c r="AL189" s="32">
        <v>18</v>
      </c>
      <c r="AM189" s="179" t="s">
        <v>719</v>
      </c>
      <c r="AN189" s="258" t="s">
        <v>51</v>
      </c>
      <c r="AO189" s="138"/>
      <c r="AP189" s="139"/>
    </row>
    <row r="190" spans="1:42" s="36" customFormat="1" ht="15.75" customHeight="1" x14ac:dyDescent="0.2">
      <c r="A190" s="166">
        <v>46144</v>
      </c>
      <c r="B190" s="151"/>
      <c r="C190" s="138" t="s">
        <v>58</v>
      </c>
      <c r="D190" s="221" t="s">
        <v>53</v>
      </c>
      <c r="E190" s="178">
        <v>501</v>
      </c>
      <c r="F190" s="33" t="s">
        <v>60</v>
      </c>
      <c r="G190" s="265">
        <v>43208612</v>
      </c>
      <c r="H190" s="117" t="s">
        <v>673</v>
      </c>
      <c r="I190" s="32"/>
      <c r="J190" s="32"/>
      <c r="K190" s="211">
        <v>568</v>
      </c>
      <c r="L190" s="210"/>
      <c r="M190" s="210"/>
      <c r="N190" s="210"/>
      <c r="O190" s="210"/>
      <c r="P190" s="207">
        <f t="shared" si="5"/>
        <v>568</v>
      </c>
      <c r="Q190" s="153"/>
      <c r="R190" s="222">
        <v>45917</v>
      </c>
      <c r="S190" s="33" t="s">
        <v>52</v>
      </c>
      <c r="T190" s="69" t="s">
        <v>79</v>
      </c>
      <c r="U190" s="117">
        <v>6423</v>
      </c>
      <c r="V190" s="33" t="s">
        <v>47</v>
      </c>
      <c r="W190" s="32"/>
      <c r="X190" s="222">
        <v>46144</v>
      </c>
      <c r="Y190" s="69" t="s">
        <v>63</v>
      </c>
      <c r="Z190" s="33"/>
      <c r="AA190" s="33"/>
      <c r="AB190" s="33" t="s">
        <v>66</v>
      </c>
      <c r="AC190" s="33"/>
      <c r="AD190" s="258" t="s">
        <v>48</v>
      </c>
      <c r="AE190" s="34"/>
      <c r="AF190" s="32"/>
      <c r="AG190" s="32"/>
      <c r="AH190" s="33"/>
      <c r="AI190" s="33"/>
      <c r="AJ190" s="29"/>
      <c r="AK190" s="33"/>
      <c r="AL190" s="32">
        <v>18</v>
      </c>
      <c r="AM190" s="179" t="s">
        <v>719</v>
      </c>
      <c r="AN190" s="258" t="s">
        <v>51</v>
      </c>
      <c r="AO190" s="138"/>
      <c r="AP190" s="139"/>
    </row>
    <row r="191" spans="1:42" s="36" customFormat="1" ht="15.75" customHeight="1" x14ac:dyDescent="0.2">
      <c r="A191" s="166">
        <v>46144</v>
      </c>
      <c r="B191" s="151"/>
      <c r="C191" s="138" t="s">
        <v>58</v>
      </c>
      <c r="D191" s="221" t="s">
        <v>53</v>
      </c>
      <c r="E191" s="178">
        <v>502</v>
      </c>
      <c r="F191" s="33" t="s">
        <v>60</v>
      </c>
      <c r="G191" s="265">
        <v>61055416</v>
      </c>
      <c r="H191" s="117" t="s">
        <v>313</v>
      </c>
      <c r="I191" s="32"/>
      <c r="J191" s="32"/>
      <c r="K191" s="211">
        <v>107</v>
      </c>
      <c r="L191" s="210"/>
      <c r="M191" s="210"/>
      <c r="N191" s="210"/>
      <c r="O191" s="210"/>
      <c r="P191" s="207">
        <f t="shared" si="5"/>
        <v>107</v>
      </c>
      <c r="Q191" s="153"/>
      <c r="R191" s="222">
        <v>46067</v>
      </c>
      <c r="S191" s="33" t="s">
        <v>52</v>
      </c>
      <c r="T191" s="69" t="s">
        <v>79</v>
      </c>
      <c r="U191" s="117">
        <v>7069</v>
      </c>
      <c r="V191" s="33" t="s">
        <v>47</v>
      </c>
      <c r="W191" s="32"/>
      <c r="X191" s="222">
        <v>46144</v>
      </c>
      <c r="Y191" s="69" t="s">
        <v>63</v>
      </c>
      <c r="Z191" s="33"/>
      <c r="AA191" s="33"/>
      <c r="AB191" s="33" t="s">
        <v>66</v>
      </c>
      <c r="AC191" s="33"/>
      <c r="AD191" s="258" t="s">
        <v>48</v>
      </c>
      <c r="AE191" s="34"/>
      <c r="AF191" s="32"/>
      <c r="AG191" s="32"/>
      <c r="AH191" s="33"/>
      <c r="AI191" s="33"/>
      <c r="AJ191" s="29"/>
      <c r="AK191" s="33"/>
      <c r="AL191" s="32">
        <v>18</v>
      </c>
      <c r="AM191" s="179" t="s">
        <v>719</v>
      </c>
      <c r="AN191" s="258" t="s">
        <v>51</v>
      </c>
      <c r="AO191" s="138"/>
      <c r="AP191" s="139"/>
    </row>
    <row r="192" spans="1:42" s="36" customFormat="1" ht="15.75" customHeight="1" x14ac:dyDescent="0.2">
      <c r="A192" s="166">
        <v>46144</v>
      </c>
      <c r="B192" s="151"/>
      <c r="C192" s="138" t="s">
        <v>58</v>
      </c>
      <c r="D192" s="221" t="s">
        <v>53</v>
      </c>
      <c r="E192" s="178">
        <v>503</v>
      </c>
      <c r="F192" s="33" t="s">
        <v>60</v>
      </c>
      <c r="G192" s="265">
        <v>61642850</v>
      </c>
      <c r="H192" s="117" t="s">
        <v>674</v>
      </c>
      <c r="I192" s="32"/>
      <c r="J192" s="32"/>
      <c r="K192" s="211">
        <v>360</v>
      </c>
      <c r="L192" s="210"/>
      <c r="M192" s="210"/>
      <c r="N192" s="210"/>
      <c r="O192" s="210"/>
      <c r="P192" s="207">
        <f t="shared" si="5"/>
        <v>360</v>
      </c>
      <c r="Q192" s="153"/>
      <c r="R192" s="222">
        <v>45846</v>
      </c>
      <c r="S192" s="33" t="s">
        <v>52</v>
      </c>
      <c r="T192" s="69" t="s">
        <v>79</v>
      </c>
      <c r="U192" s="117">
        <v>6095</v>
      </c>
      <c r="V192" s="33" t="s">
        <v>47</v>
      </c>
      <c r="W192" s="32"/>
      <c r="X192" s="222">
        <v>46144</v>
      </c>
      <c r="Y192" s="69" t="s">
        <v>63</v>
      </c>
      <c r="Z192" s="33"/>
      <c r="AA192" s="33"/>
      <c r="AB192" s="33" t="s">
        <v>66</v>
      </c>
      <c r="AC192" s="33"/>
      <c r="AD192" s="258" t="s">
        <v>48</v>
      </c>
      <c r="AE192" s="34"/>
      <c r="AF192" s="32"/>
      <c r="AG192" s="32"/>
      <c r="AH192" s="33"/>
      <c r="AI192" s="33"/>
      <c r="AJ192" s="29"/>
      <c r="AK192" s="33"/>
      <c r="AL192" s="32">
        <v>18</v>
      </c>
      <c r="AM192" s="179" t="s">
        <v>719</v>
      </c>
      <c r="AN192" s="258" t="s">
        <v>51</v>
      </c>
      <c r="AO192" s="138"/>
      <c r="AP192" s="139"/>
    </row>
    <row r="193" spans="1:42" s="36" customFormat="1" ht="15.75" customHeight="1" x14ac:dyDescent="0.2">
      <c r="A193" s="166">
        <v>46144</v>
      </c>
      <c r="B193" s="151"/>
      <c r="C193" s="138" t="s">
        <v>58</v>
      </c>
      <c r="D193" s="221" t="s">
        <v>53</v>
      </c>
      <c r="E193" s="178">
        <v>504</v>
      </c>
      <c r="F193" s="33" t="s">
        <v>60</v>
      </c>
      <c r="G193" s="265">
        <v>61055733</v>
      </c>
      <c r="H193" s="117" t="s">
        <v>675</v>
      </c>
      <c r="I193" s="32"/>
      <c r="J193" s="32"/>
      <c r="K193" s="211">
        <v>101</v>
      </c>
      <c r="L193" s="210"/>
      <c r="M193" s="210"/>
      <c r="N193" s="210"/>
      <c r="O193" s="210"/>
      <c r="P193" s="207">
        <f t="shared" si="5"/>
        <v>101</v>
      </c>
      <c r="Q193" s="153"/>
      <c r="R193" s="222">
        <v>46034</v>
      </c>
      <c r="S193" s="33" t="s">
        <v>52</v>
      </c>
      <c r="T193" s="69" t="s">
        <v>79</v>
      </c>
      <c r="U193" s="117">
        <v>6947</v>
      </c>
      <c r="V193" s="33" t="s">
        <v>47</v>
      </c>
      <c r="W193" s="32"/>
      <c r="X193" s="222">
        <v>46144</v>
      </c>
      <c r="Y193" s="69" t="s">
        <v>63</v>
      </c>
      <c r="Z193" s="33"/>
      <c r="AA193" s="33"/>
      <c r="AB193" s="33" t="s">
        <v>66</v>
      </c>
      <c r="AC193" s="33"/>
      <c r="AD193" s="258" t="s">
        <v>48</v>
      </c>
      <c r="AE193" s="34"/>
      <c r="AF193" s="32"/>
      <c r="AG193" s="32"/>
      <c r="AH193" s="33"/>
      <c r="AI193" s="33"/>
      <c r="AJ193" s="29"/>
      <c r="AK193" s="33"/>
      <c r="AL193" s="32">
        <v>18</v>
      </c>
      <c r="AM193" s="179" t="s">
        <v>719</v>
      </c>
      <c r="AN193" s="258" t="s">
        <v>51</v>
      </c>
      <c r="AO193" s="138"/>
      <c r="AP193" s="139"/>
    </row>
    <row r="194" spans="1:42" s="36" customFormat="1" ht="15.75" customHeight="1" x14ac:dyDescent="0.2">
      <c r="A194" s="166">
        <v>46146</v>
      </c>
      <c r="B194" s="151"/>
      <c r="C194" s="138" t="s">
        <v>58</v>
      </c>
      <c r="D194" s="221" t="s">
        <v>53</v>
      </c>
      <c r="E194" s="178">
        <v>505</v>
      </c>
      <c r="F194" s="33" t="s">
        <v>60</v>
      </c>
      <c r="G194" s="265">
        <v>74318396</v>
      </c>
      <c r="H194" s="117" t="s">
        <v>676</v>
      </c>
      <c r="I194" s="32"/>
      <c r="J194" s="32"/>
      <c r="K194" s="211">
        <v>247.15</v>
      </c>
      <c r="L194" s="210"/>
      <c r="M194" s="210"/>
      <c r="N194" s="210"/>
      <c r="O194" s="210"/>
      <c r="P194" s="207">
        <f t="shared" si="5"/>
        <v>247.15</v>
      </c>
      <c r="Q194" s="153"/>
      <c r="R194" s="222">
        <v>46009</v>
      </c>
      <c r="S194" s="33" t="s">
        <v>52</v>
      </c>
      <c r="T194" s="69" t="s">
        <v>79</v>
      </c>
      <c r="U194" s="117">
        <v>6850</v>
      </c>
      <c r="V194" s="33" t="s">
        <v>47</v>
      </c>
      <c r="W194" s="32"/>
      <c r="X194" s="222">
        <v>46146</v>
      </c>
      <c r="Y194" s="69" t="s">
        <v>63</v>
      </c>
      <c r="Z194" s="33"/>
      <c r="AA194" s="33"/>
      <c r="AB194" s="33" t="s">
        <v>66</v>
      </c>
      <c r="AC194" s="33"/>
      <c r="AD194" s="258" t="s">
        <v>48</v>
      </c>
      <c r="AE194" s="34"/>
      <c r="AF194" s="32"/>
      <c r="AG194" s="32"/>
      <c r="AH194" s="33"/>
      <c r="AI194" s="33"/>
      <c r="AJ194" s="29"/>
      <c r="AK194" s="33"/>
      <c r="AL194" s="32">
        <v>18</v>
      </c>
      <c r="AM194" s="179" t="s">
        <v>719</v>
      </c>
      <c r="AN194" s="258" t="s">
        <v>51</v>
      </c>
      <c r="AO194" s="138"/>
      <c r="AP194" s="139"/>
    </row>
    <row r="195" spans="1:42" s="36" customFormat="1" ht="15.75" customHeight="1" x14ac:dyDescent="0.2">
      <c r="A195" s="166">
        <v>46146</v>
      </c>
      <c r="B195" s="151"/>
      <c r="C195" s="138" t="s">
        <v>58</v>
      </c>
      <c r="D195" s="221" t="s">
        <v>53</v>
      </c>
      <c r="E195" s="178">
        <v>506</v>
      </c>
      <c r="F195" s="33" t="s">
        <v>60</v>
      </c>
      <c r="G195" s="265">
        <v>48509993</v>
      </c>
      <c r="H195" s="117" t="s">
        <v>677</v>
      </c>
      <c r="I195" s="32"/>
      <c r="J195" s="32"/>
      <c r="K195" s="211">
        <v>439</v>
      </c>
      <c r="L195" s="210"/>
      <c r="M195" s="210"/>
      <c r="N195" s="210"/>
      <c r="O195" s="210"/>
      <c r="P195" s="207">
        <f t="shared" si="5"/>
        <v>439</v>
      </c>
      <c r="Q195" s="153"/>
      <c r="R195" s="222">
        <v>45994</v>
      </c>
      <c r="S195" s="33" t="s">
        <v>52</v>
      </c>
      <c r="T195" s="69" t="s">
        <v>79</v>
      </c>
      <c r="U195" s="117">
        <v>6782</v>
      </c>
      <c r="V195" s="33" t="s">
        <v>47</v>
      </c>
      <c r="W195" s="32"/>
      <c r="X195" s="222">
        <v>46146</v>
      </c>
      <c r="Y195" s="69" t="s">
        <v>63</v>
      </c>
      <c r="Z195" s="33"/>
      <c r="AA195" s="33"/>
      <c r="AB195" s="33" t="s">
        <v>66</v>
      </c>
      <c r="AC195" s="33"/>
      <c r="AD195" s="258" t="s">
        <v>48</v>
      </c>
      <c r="AE195" s="34"/>
      <c r="AF195" s="32"/>
      <c r="AG195" s="32"/>
      <c r="AH195" s="33"/>
      <c r="AI195" s="33"/>
      <c r="AJ195" s="29"/>
      <c r="AK195" s="33"/>
      <c r="AL195" s="32">
        <v>18</v>
      </c>
      <c r="AM195" s="179" t="s">
        <v>719</v>
      </c>
      <c r="AN195" s="258" t="s">
        <v>51</v>
      </c>
      <c r="AO195" s="138"/>
      <c r="AP195" s="139"/>
    </row>
    <row r="196" spans="1:42" s="36" customFormat="1" ht="15.75" customHeight="1" x14ac:dyDescent="0.2">
      <c r="A196" s="166">
        <v>46146</v>
      </c>
      <c r="B196" s="151"/>
      <c r="C196" s="138" t="s">
        <v>58</v>
      </c>
      <c r="D196" s="221" t="s">
        <v>53</v>
      </c>
      <c r="E196" s="178">
        <v>507</v>
      </c>
      <c r="F196" s="33" t="s">
        <v>60</v>
      </c>
      <c r="G196" s="265">
        <v>42955229</v>
      </c>
      <c r="H196" s="117" t="s">
        <v>362</v>
      </c>
      <c r="I196" s="32"/>
      <c r="J196" s="32"/>
      <c r="K196" s="211">
        <v>420</v>
      </c>
      <c r="L196" s="210"/>
      <c r="M196" s="210"/>
      <c r="N196" s="210"/>
      <c r="O196" s="210"/>
      <c r="P196" s="207">
        <f t="shared" si="5"/>
        <v>420</v>
      </c>
      <c r="Q196" s="153"/>
      <c r="R196" s="222">
        <v>46067</v>
      </c>
      <c r="S196" s="33" t="s">
        <v>52</v>
      </c>
      <c r="T196" s="69" t="s">
        <v>79</v>
      </c>
      <c r="U196" s="117">
        <v>7067</v>
      </c>
      <c r="V196" s="33" t="s">
        <v>47</v>
      </c>
      <c r="W196" s="32"/>
      <c r="X196" s="222">
        <v>46146</v>
      </c>
      <c r="Y196" s="69" t="s">
        <v>63</v>
      </c>
      <c r="Z196" s="33"/>
      <c r="AA196" s="33"/>
      <c r="AB196" s="33" t="s">
        <v>66</v>
      </c>
      <c r="AC196" s="33"/>
      <c r="AD196" s="258" t="s">
        <v>48</v>
      </c>
      <c r="AE196" s="34"/>
      <c r="AF196" s="32"/>
      <c r="AG196" s="32"/>
      <c r="AH196" s="33"/>
      <c r="AI196" s="33"/>
      <c r="AJ196" s="29"/>
      <c r="AK196" s="33"/>
      <c r="AL196" s="32">
        <v>18</v>
      </c>
      <c r="AM196" s="179" t="s">
        <v>719</v>
      </c>
      <c r="AN196" s="258" t="s">
        <v>51</v>
      </c>
      <c r="AO196" s="138"/>
      <c r="AP196" s="139"/>
    </row>
    <row r="197" spans="1:42" s="36" customFormat="1" ht="15.75" customHeight="1" x14ac:dyDescent="0.2">
      <c r="A197" s="166">
        <v>46146</v>
      </c>
      <c r="B197" s="151"/>
      <c r="C197" s="138" t="s">
        <v>58</v>
      </c>
      <c r="D197" s="221" t="s">
        <v>53</v>
      </c>
      <c r="E197" s="178">
        <v>508</v>
      </c>
      <c r="F197" s="33" t="s">
        <v>60</v>
      </c>
      <c r="G197" s="265">
        <v>10739253</v>
      </c>
      <c r="H197" s="117" t="s">
        <v>678</v>
      </c>
      <c r="I197" s="32"/>
      <c r="J197" s="32"/>
      <c r="K197" s="211">
        <v>397.01</v>
      </c>
      <c r="L197" s="210"/>
      <c r="M197" s="210"/>
      <c r="N197" s="210"/>
      <c r="O197" s="210"/>
      <c r="P197" s="207">
        <f t="shared" si="5"/>
        <v>397.01</v>
      </c>
      <c r="Q197" s="153"/>
      <c r="R197" s="222">
        <v>45870</v>
      </c>
      <c r="S197" s="33" t="s">
        <v>52</v>
      </c>
      <c r="T197" s="69" t="s">
        <v>79</v>
      </c>
      <c r="U197" s="117">
        <v>6196</v>
      </c>
      <c r="V197" s="33" t="s">
        <v>47</v>
      </c>
      <c r="W197" s="32"/>
      <c r="X197" s="222">
        <v>46146</v>
      </c>
      <c r="Y197" s="69" t="s">
        <v>63</v>
      </c>
      <c r="Z197" s="33"/>
      <c r="AA197" s="33"/>
      <c r="AB197" s="33" t="s">
        <v>66</v>
      </c>
      <c r="AC197" s="33"/>
      <c r="AD197" s="258" t="s">
        <v>48</v>
      </c>
      <c r="AE197" s="34"/>
      <c r="AF197" s="32"/>
      <c r="AG197" s="32"/>
      <c r="AH197" s="33"/>
      <c r="AI197" s="33"/>
      <c r="AJ197" s="29"/>
      <c r="AK197" s="33"/>
      <c r="AL197" s="32">
        <v>18</v>
      </c>
      <c r="AM197" s="179" t="s">
        <v>719</v>
      </c>
      <c r="AN197" s="258" t="s">
        <v>51</v>
      </c>
      <c r="AO197" s="138"/>
      <c r="AP197" s="139"/>
    </row>
    <row r="198" spans="1:42" s="36" customFormat="1" ht="15.75" customHeight="1" x14ac:dyDescent="0.2">
      <c r="A198" s="259">
        <v>46167</v>
      </c>
      <c r="B198" s="151"/>
      <c r="C198" s="138" t="s">
        <v>58</v>
      </c>
      <c r="D198" s="221" t="s">
        <v>53</v>
      </c>
      <c r="E198" s="178">
        <v>509</v>
      </c>
      <c r="F198" s="33" t="s">
        <v>60</v>
      </c>
      <c r="G198" s="266">
        <v>45227343</v>
      </c>
      <c r="H198" s="240" t="s">
        <v>708</v>
      </c>
      <c r="I198" s="24"/>
      <c r="J198" s="24"/>
      <c r="K198" s="248">
        <v>158</v>
      </c>
      <c r="L198" s="38"/>
      <c r="M198" s="38"/>
      <c r="N198" s="38"/>
      <c r="O198" s="38"/>
      <c r="P198" s="207">
        <f t="shared" si="5"/>
        <v>158</v>
      </c>
      <c r="Q198" s="154"/>
      <c r="R198" s="247">
        <v>46052</v>
      </c>
      <c r="S198" s="33" t="s">
        <v>52</v>
      </c>
      <c r="T198" s="249" t="s">
        <v>79</v>
      </c>
      <c r="U198" s="251">
        <v>7007</v>
      </c>
      <c r="V198" s="33" t="s">
        <v>47</v>
      </c>
      <c r="W198" s="24"/>
      <c r="X198" s="253">
        <v>46167</v>
      </c>
      <c r="Y198" s="69" t="s">
        <v>63</v>
      </c>
      <c r="Z198" s="33"/>
      <c r="AA198" s="33"/>
      <c r="AB198" s="33" t="s">
        <v>66</v>
      </c>
      <c r="AC198" s="33"/>
      <c r="AD198" s="258" t="s">
        <v>48</v>
      </c>
      <c r="AE198" s="34"/>
      <c r="AF198" s="32"/>
      <c r="AG198" s="32"/>
      <c r="AH198" s="33"/>
      <c r="AI198" s="33"/>
      <c r="AJ198" s="29"/>
      <c r="AK198" s="33"/>
      <c r="AL198" s="32">
        <v>18</v>
      </c>
      <c r="AM198" s="179" t="s">
        <v>719</v>
      </c>
      <c r="AN198" s="258" t="s">
        <v>51</v>
      </c>
      <c r="AO198" s="138"/>
      <c r="AP198" s="139"/>
    </row>
    <row r="199" spans="1:42" s="36" customFormat="1" ht="15.75" customHeight="1" x14ac:dyDescent="0.2">
      <c r="A199" s="259">
        <v>46167</v>
      </c>
      <c r="B199" s="151"/>
      <c r="C199" s="138" t="s">
        <v>58</v>
      </c>
      <c r="D199" s="221" t="s">
        <v>53</v>
      </c>
      <c r="E199" s="178">
        <v>510</v>
      </c>
      <c r="F199" s="33" t="s">
        <v>60</v>
      </c>
      <c r="G199" s="266">
        <v>71659238</v>
      </c>
      <c r="H199" s="240" t="s">
        <v>709</v>
      </c>
      <c r="I199" s="24"/>
      <c r="J199" s="24"/>
      <c r="K199" s="248">
        <v>574</v>
      </c>
      <c r="L199" s="38"/>
      <c r="M199" s="38"/>
      <c r="N199" s="38"/>
      <c r="O199" s="38"/>
      <c r="P199" s="207">
        <f t="shared" si="5"/>
        <v>574</v>
      </c>
      <c r="Q199" s="154"/>
      <c r="R199" s="247">
        <v>45947</v>
      </c>
      <c r="S199" s="33" t="s">
        <v>52</v>
      </c>
      <c r="T199" s="249" t="s">
        <v>79</v>
      </c>
      <c r="U199" s="251">
        <v>6577</v>
      </c>
      <c r="V199" s="33" t="s">
        <v>47</v>
      </c>
      <c r="W199" s="24"/>
      <c r="X199" s="253">
        <v>46167</v>
      </c>
      <c r="Y199" s="69" t="s">
        <v>63</v>
      </c>
      <c r="Z199" s="33"/>
      <c r="AA199" s="33"/>
      <c r="AB199" s="33" t="s">
        <v>66</v>
      </c>
      <c r="AC199" s="33"/>
      <c r="AD199" s="258" t="s">
        <v>48</v>
      </c>
      <c r="AE199" s="34"/>
      <c r="AF199" s="32"/>
      <c r="AG199" s="32"/>
      <c r="AH199" s="33"/>
      <c r="AI199" s="33"/>
      <c r="AJ199" s="29"/>
      <c r="AK199" s="33"/>
      <c r="AL199" s="32">
        <v>18</v>
      </c>
      <c r="AM199" s="179" t="s">
        <v>719</v>
      </c>
      <c r="AN199" s="258" t="s">
        <v>51</v>
      </c>
      <c r="AO199" s="138"/>
      <c r="AP199" s="139"/>
    </row>
    <row r="200" spans="1:42" s="36" customFormat="1" ht="15.75" customHeight="1" x14ac:dyDescent="0.2">
      <c r="A200" s="259">
        <v>46167</v>
      </c>
      <c r="B200" s="151"/>
      <c r="C200" s="138" t="s">
        <v>58</v>
      </c>
      <c r="D200" s="221" t="s">
        <v>53</v>
      </c>
      <c r="E200" s="178">
        <v>511</v>
      </c>
      <c r="F200" s="33" t="s">
        <v>60</v>
      </c>
      <c r="G200" s="266">
        <v>46251125</v>
      </c>
      <c r="H200" s="240" t="s">
        <v>710</v>
      </c>
      <c r="I200" s="24"/>
      <c r="J200" s="24"/>
      <c r="K200" s="248">
        <v>126.33</v>
      </c>
      <c r="L200" s="38"/>
      <c r="M200" s="38"/>
      <c r="N200" s="38"/>
      <c r="O200" s="38"/>
      <c r="P200" s="207">
        <f t="shared" si="5"/>
        <v>126.33</v>
      </c>
      <c r="Q200" s="154"/>
      <c r="R200" s="247">
        <v>45940</v>
      </c>
      <c r="S200" s="33" t="s">
        <v>52</v>
      </c>
      <c r="T200" s="249" t="s">
        <v>79</v>
      </c>
      <c r="U200" s="251">
        <v>6540</v>
      </c>
      <c r="V200" s="33" t="s">
        <v>47</v>
      </c>
      <c r="W200" s="24"/>
      <c r="X200" s="253">
        <v>46167</v>
      </c>
      <c r="Y200" s="69" t="s">
        <v>63</v>
      </c>
      <c r="Z200" s="33"/>
      <c r="AA200" s="33"/>
      <c r="AB200" s="33" t="s">
        <v>66</v>
      </c>
      <c r="AC200" s="33"/>
      <c r="AD200" s="258" t="s">
        <v>48</v>
      </c>
      <c r="AE200" s="34"/>
      <c r="AF200" s="32"/>
      <c r="AG200" s="32"/>
      <c r="AH200" s="33"/>
      <c r="AI200" s="33"/>
      <c r="AJ200" s="29"/>
      <c r="AK200" s="33"/>
      <c r="AL200" s="32">
        <v>18</v>
      </c>
      <c r="AM200" s="179" t="s">
        <v>719</v>
      </c>
      <c r="AN200" s="258" t="s">
        <v>51</v>
      </c>
      <c r="AO200" s="138"/>
      <c r="AP200" s="139"/>
    </row>
    <row r="201" spans="1:42" s="36" customFormat="1" ht="15.75" customHeight="1" x14ac:dyDescent="0.2">
      <c r="A201" s="259">
        <v>46167</v>
      </c>
      <c r="B201" s="151"/>
      <c r="C201" s="138" t="s">
        <v>58</v>
      </c>
      <c r="D201" s="221" t="s">
        <v>53</v>
      </c>
      <c r="E201" s="178">
        <v>512</v>
      </c>
      <c r="F201" s="33" t="s">
        <v>60</v>
      </c>
      <c r="G201" s="266">
        <v>10739253</v>
      </c>
      <c r="H201" s="240" t="s">
        <v>678</v>
      </c>
      <c r="I201" s="24"/>
      <c r="J201" s="24"/>
      <c r="K201" s="248">
        <v>270.33999999999997</v>
      </c>
      <c r="L201" s="38"/>
      <c r="M201" s="38"/>
      <c r="N201" s="38"/>
      <c r="O201" s="38"/>
      <c r="P201" s="207">
        <f t="shared" si="5"/>
        <v>270.33999999999997</v>
      </c>
      <c r="Q201" s="154"/>
      <c r="R201" s="247">
        <v>45870</v>
      </c>
      <c r="S201" s="33" t="s">
        <v>52</v>
      </c>
      <c r="T201" s="249" t="s">
        <v>79</v>
      </c>
      <c r="U201" s="251">
        <v>6196</v>
      </c>
      <c r="V201" s="33" t="s">
        <v>47</v>
      </c>
      <c r="W201" s="24"/>
      <c r="X201" s="253">
        <v>46167</v>
      </c>
      <c r="Y201" s="69" t="s">
        <v>63</v>
      </c>
      <c r="Z201" s="33"/>
      <c r="AA201" s="33"/>
      <c r="AB201" s="33" t="s">
        <v>66</v>
      </c>
      <c r="AC201" s="33"/>
      <c r="AD201" s="258" t="s">
        <v>48</v>
      </c>
      <c r="AE201" s="34"/>
      <c r="AF201" s="32"/>
      <c r="AG201" s="32"/>
      <c r="AH201" s="33"/>
      <c r="AI201" s="33"/>
      <c r="AJ201" s="29"/>
      <c r="AK201" s="33"/>
      <c r="AL201" s="32">
        <v>18</v>
      </c>
      <c r="AM201" s="179" t="s">
        <v>719</v>
      </c>
      <c r="AN201" s="258" t="s">
        <v>51</v>
      </c>
      <c r="AO201" s="138"/>
      <c r="AP201" s="139"/>
    </row>
    <row r="202" spans="1:42" s="36" customFormat="1" ht="15.75" customHeight="1" x14ac:dyDescent="0.2">
      <c r="A202" s="166">
        <v>46168</v>
      </c>
      <c r="B202" s="151"/>
      <c r="C202" s="138" t="s">
        <v>58</v>
      </c>
      <c r="D202" s="221" t="s">
        <v>53</v>
      </c>
      <c r="E202" s="178">
        <v>513</v>
      </c>
      <c r="F202" s="33" t="s">
        <v>60</v>
      </c>
      <c r="G202" s="265">
        <v>75813881</v>
      </c>
      <c r="H202" s="117" t="s">
        <v>711</v>
      </c>
      <c r="I202" s="24"/>
      <c r="J202" s="24"/>
      <c r="K202" s="211">
        <v>7</v>
      </c>
      <c r="L202" s="38"/>
      <c r="M202" s="38"/>
      <c r="N202" s="38"/>
      <c r="O202" s="38"/>
      <c r="P202" s="207">
        <f t="shared" si="5"/>
        <v>7</v>
      </c>
      <c r="Q202" s="154"/>
      <c r="R202" s="222">
        <v>46120</v>
      </c>
      <c r="S202" s="33" t="s">
        <v>52</v>
      </c>
      <c r="T202" s="250" t="s">
        <v>79</v>
      </c>
      <c r="U202" s="252">
        <v>7265</v>
      </c>
      <c r="V202" s="33" t="s">
        <v>47</v>
      </c>
      <c r="W202" s="24"/>
      <c r="X202" s="253">
        <v>46168</v>
      </c>
      <c r="Y202" s="69" t="s">
        <v>63</v>
      </c>
      <c r="Z202" s="33"/>
      <c r="AA202" s="33"/>
      <c r="AB202" s="33" t="s">
        <v>66</v>
      </c>
      <c r="AC202" s="33"/>
      <c r="AD202" s="258" t="s">
        <v>48</v>
      </c>
      <c r="AE202" s="34"/>
      <c r="AF202" s="32"/>
      <c r="AG202" s="32"/>
      <c r="AH202" s="33"/>
      <c r="AI202" s="33"/>
      <c r="AJ202" s="29"/>
      <c r="AK202" s="33"/>
      <c r="AL202" s="32">
        <v>18</v>
      </c>
      <c r="AM202" s="179" t="s">
        <v>719</v>
      </c>
      <c r="AN202" s="258" t="s">
        <v>51</v>
      </c>
      <c r="AO202" s="138"/>
      <c r="AP202" s="139"/>
    </row>
    <row r="203" spans="1:42" s="36" customFormat="1" ht="15.75" customHeight="1" x14ac:dyDescent="0.2">
      <c r="A203" s="166">
        <v>46168</v>
      </c>
      <c r="B203" s="151"/>
      <c r="C203" s="138" t="s">
        <v>58</v>
      </c>
      <c r="D203" s="221" t="s">
        <v>53</v>
      </c>
      <c r="E203" s="178">
        <v>514</v>
      </c>
      <c r="F203" s="33" t="s">
        <v>60</v>
      </c>
      <c r="G203" s="265">
        <v>47431793</v>
      </c>
      <c r="H203" s="117" t="s">
        <v>712</v>
      </c>
      <c r="I203" s="24"/>
      <c r="J203" s="24"/>
      <c r="K203" s="211">
        <v>108.67</v>
      </c>
      <c r="L203" s="38"/>
      <c r="M203" s="38"/>
      <c r="N203" s="38"/>
      <c r="O203" s="38"/>
      <c r="P203" s="207">
        <f t="shared" si="5"/>
        <v>108.67</v>
      </c>
      <c r="Q203" s="154"/>
      <c r="R203" s="222">
        <v>46105</v>
      </c>
      <c r="S203" s="33" t="s">
        <v>52</v>
      </c>
      <c r="T203" s="250" t="s">
        <v>79</v>
      </c>
      <c r="U203" s="252">
        <v>7208</v>
      </c>
      <c r="V203" s="33" t="s">
        <v>47</v>
      </c>
      <c r="W203" s="24"/>
      <c r="X203" s="253">
        <v>46168</v>
      </c>
      <c r="Y203" s="69" t="s">
        <v>63</v>
      </c>
      <c r="Z203" s="33"/>
      <c r="AA203" s="33"/>
      <c r="AB203" s="33" t="s">
        <v>66</v>
      </c>
      <c r="AC203" s="33"/>
      <c r="AD203" s="258" t="s">
        <v>48</v>
      </c>
      <c r="AE203" s="34"/>
      <c r="AF203" s="32"/>
      <c r="AG203" s="32"/>
      <c r="AH203" s="33"/>
      <c r="AI203" s="33"/>
      <c r="AJ203" s="29"/>
      <c r="AK203" s="33"/>
      <c r="AL203" s="32">
        <v>18</v>
      </c>
      <c r="AM203" s="179" t="s">
        <v>719</v>
      </c>
      <c r="AN203" s="258" t="s">
        <v>51</v>
      </c>
      <c r="AO203" s="138"/>
      <c r="AP203" s="139"/>
    </row>
    <row r="204" spans="1:42" s="36" customFormat="1" ht="15.75" customHeight="1" x14ac:dyDescent="0.2">
      <c r="A204" s="166">
        <v>46168</v>
      </c>
      <c r="B204" s="151"/>
      <c r="C204" s="138" t="s">
        <v>58</v>
      </c>
      <c r="D204" s="221" t="s">
        <v>53</v>
      </c>
      <c r="E204" s="178">
        <v>515</v>
      </c>
      <c r="F204" s="33" t="s">
        <v>60</v>
      </c>
      <c r="G204" s="265">
        <v>61055733</v>
      </c>
      <c r="H204" s="117" t="s">
        <v>675</v>
      </c>
      <c r="I204" s="24"/>
      <c r="J204" s="24"/>
      <c r="K204" s="211">
        <v>214</v>
      </c>
      <c r="L204" s="38"/>
      <c r="M204" s="38"/>
      <c r="N204" s="38"/>
      <c r="O204" s="38"/>
      <c r="P204" s="207">
        <f t="shared" si="5"/>
        <v>214</v>
      </c>
      <c r="Q204" s="154"/>
      <c r="R204" s="222">
        <v>46034</v>
      </c>
      <c r="S204" s="33" t="s">
        <v>52</v>
      </c>
      <c r="T204" s="250" t="s">
        <v>79</v>
      </c>
      <c r="U204" s="252">
        <v>6947</v>
      </c>
      <c r="V204" s="33" t="s">
        <v>47</v>
      </c>
      <c r="W204" s="24"/>
      <c r="X204" s="253">
        <v>46168</v>
      </c>
      <c r="Y204" s="69" t="s">
        <v>63</v>
      </c>
      <c r="Z204" s="33"/>
      <c r="AA204" s="33"/>
      <c r="AB204" s="33" t="s">
        <v>66</v>
      </c>
      <c r="AC204" s="33"/>
      <c r="AD204" s="258" t="s">
        <v>48</v>
      </c>
      <c r="AE204" s="34"/>
      <c r="AF204" s="32"/>
      <c r="AG204" s="32"/>
      <c r="AH204" s="33"/>
      <c r="AI204" s="33"/>
      <c r="AJ204" s="29"/>
      <c r="AK204" s="33"/>
      <c r="AL204" s="32">
        <v>18</v>
      </c>
      <c r="AM204" s="179" t="s">
        <v>719</v>
      </c>
      <c r="AN204" s="258" t="s">
        <v>51</v>
      </c>
      <c r="AO204" s="138"/>
      <c r="AP204" s="139"/>
    </row>
    <row r="205" spans="1:42" s="36" customFormat="1" ht="15.75" customHeight="1" x14ac:dyDescent="0.2">
      <c r="A205" s="166">
        <v>46168</v>
      </c>
      <c r="B205" s="151"/>
      <c r="C205" s="138" t="s">
        <v>58</v>
      </c>
      <c r="D205" s="221" t="s">
        <v>53</v>
      </c>
      <c r="E205" s="178">
        <v>516</v>
      </c>
      <c r="F205" s="33" t="s">
        <v>60</v>
      </c>
      <c r="G205" s="265">
        <v>74318396</v>
      </c>
      <c r="H205" s="117" t="s">
        <v>676</v>
      </c>
      <c r="I205" s="24"/>
      <c r="J205" s="24"/>
      <c r="K205" s="211">
        <v>99.66</v>
      </c>
      <c r="L205" s="38"/>
      <c r="M205" s="38"/>
      <c r="N205" s="38"/>
      <c r="O205" s="38"/>
      <c r="P205" s="207">
        <f t="shared" si="5"/>
        <v>99.66</v>
      </c>
      <c r="Q205" s="154"/>
      <c r="R205" s="222">
        <v>46009</v>
      </c>
      <c r="S205" s="33" t="s">
        <v>52</v>
      </c>
      <c r="T205" s="250" t="s">
        <v>79</v>
      </c>
      <c r="U205" s="252">
        <v>6850</v>
      </c>
      <c r="V205" s="33" t="s">
        <v>47</v>
      </c>
      <c r="W205" s="24"/>
      <c r="X205" s="253">
        <v>46168</v>
      </c>
      <c r="Y205" s="69" t="s">
        <v>63</v>
      </c>
      <c r="Z205" s="33"/>
      <c r="AA205" s="33"/>
      <c r="AB205" s="33" t="s">
        <v>66</v>
      </c>
      <c r="AC205" s="33"/>
      <c r="AD205" s="258" t="s">
        <v>48</v>
      </c>
      <c r="AE205" s="34"/>
      <c r="AF205" s="32"/>
      <c r="AG205" s="32"/>
      <c r="AH205" s="33"/>
      <c r="AI205" s="33"/>
      <c r="AJ205" s="29"/>
      <c r="AK205" s="33"/>
      <c r="AL205" s="32">
        <v>18</v>
      </c>
      <c r="AM205" s="179" t="s">
        <v>719</v>
      </c>
      <c r="AN205" s="258" t="s">
        <v>51</v>
      </c>
      <c r="AO205" s="138"/>
      <c r="AP205" s="139"/>
    </row>
    <row r="206" spans="1:42" s="36" customFormat="1" ht="15.75" customHeight="1" x14ac:dyDescent="0.2">
      <c r="A206" s="166">
        <v>46168</v>
      </c>
      <c r="B206" s="151"/>
      <c r="C206" s="138" t="s">
        <v>58</v>
      </c>
      <c r="D206" s="221" t="s">
        <v>53</v>
      </c>
      <c r="E206" s="178">
        <v>517</v>
      </c>
      <c r="F206" s="33" t="s">
        <v>60</v>
      </c>
      <c r="G206" s="265">
        <v>48509993</v>
      </c>
      <c r="H206" s="117" t="s">
        <v>677</v>
      </c>
      <c r="I206" s="24"/>
      <c r="J206" s="24"/>
      <c r="K206" s="211">
        <v>217.5</v>
      </c>
      <c r="L206" s="38"/>
      <c r="M206" s="38"/>
      <c r="N206" s="38"/>
      <c r="O206" s="38"/>
      <c r="P206" s="207">
        <f t="shared" si="5"/>
        <v>217.5</v>
      </c>
      <c r="Q206" s="154"/>
      <c r="R206" s="222">
        <v>45994</v>
      </c>
      <c r="S206" s="33" t="s">
        <v>52</v>
      </c>
      <c r="T206" s="250" t="s">
        <v>79</v>
      </c>
      <c r="U206" s="252">
        <v>6782</v>
      </c>
      <c r="V206" s="33" t="s">
        <v>47</v>
      </c>
      <c r="W206" s="24"/>
      <c r="X206" s="253">
        <v>46168</v>
      </c>
      <c r="Y206" s="69" t="s">
        <v>63</v>
      </c>
      <c r="Z206" s="33"/>
      <c r="AA206" s="33"/>
      <c r="AB206" s="33" t="s">
        <v>66</v>
      </c>
      <c r="AC206" s="33"/>
      <c r="AD206" s="258" t="s">
        <v>48</v>
      </c>
      <c r="AE206" s="34"/>
      <c r="AF206" s="32"/>
      <c r="AG206" s="32"/>
      <c r="AH206" s="33"/>
      <c r="AI206" s="33"/>
      <c r="AJ206" s="29"/>
      <c r="AK206" s="33"/>
      <c r="AL206" s="32">
        <v>18</v>
      </c>
      <c r="AM206" s="179" t="s">
        <v>719</v>
      </c>
      <c r="AN206" s="258" t="s">
        <v>51</v>
      </c>
      <c r="AO206" s="138"/>
      <c r="AP206" s="139"/>
    </row>
    <row r="207" spans="1:42" s="36" customFormat="1" ht="15.75" customHeight="1" x14ac:dyDescent="0.2">
      <c r="A207" s="222">
        <v>46168</v>
      </c>
      <c r="B207" s="151"/>
      <c r="C207" s="138" t="s">
        <v>58</v>
      </c>
      <c r="D207" s="221" t="s">
        <v>53</v>
      </c>
      <c r="E207" s="178">
        <v>518</v>
      </c>
      <c r="F207" s="33" t="s">
        <v>60</v>
      </c>
      <c r="G207" s="265">
        <v>42955229</v>
      </c>
      <c r="H207" s="117" t="s">
        <v>362</v>
      </c>
      <c r="I207" s="24"/>
      <c r="J207" s="24"/>
      <c r="K207" s="117">
        <v>210</v>
      </c>
      <c r="L207" s="38"/>
      <c r="M207" s="38"/>
      <c r="N207" s="38"/>
      <c r="O207" s="38"/>
      <c r="P207" s="207">
        <f t="shared" si="5"/>
        <v>210</v>
      </c>
      <c r="Q207" s="154"/>
      <c r="R207" s="222">
        <v>46067</v>
      </c>
      <c r="S207" s="33" t="s">
        <v>52</v>
      </c>
      <c r="T207" s="250" t="s">
        <v>79</v>
      </c>
      <c r="U207" s="117">
        <v>7067</v>
      </c>
      <c r="V207" s="33" t="s">
        <v>47</v>
      </c>
      <c r="W207" s="24"/>
      <c r="X207" s="222">
        <v>46168</v>
      </c>
      <c r="Y207" s="69" t="s">
        <v>63</v>
      </c>
      <c r="Z207" s="26"/>
      <c r="AA207" s="26"/>
      <c r="AB207" s="33" t="s">
        <v>66</v>
      </c>
      <c r="AC207" s="33"/>
      <c r="AD207" s="258" t="s">
        <v>48</v>
      </c>
      <c r="AE207" s="34"/>
      <c r="AF207" s="32"/>
      <c r="AG207" s="32"/>
      <c r="AH207" s="33"/>
      <c r="AI207" s="33"/>
      <c r="AJ207" s="29"/>
      <c r="AK207" s="33"/>
      <c r="AL207" s="32">
        <v>18</v>
      </c>
      <c r="AM207" s="179" t="s">
        <v>719</v>
      </c>
      <c r="AN207" s="258" t="s">
        <v>51</v>
      </c>
      <c r="AO207" s="138"/>
      <c r="AP207" s="139"/>
    </row>
    <row r="208" spans="1:42" s="36" customFormat="1" ht="15.75" customHeight="1" x14ac:dyDescent="0.2">
      <c r="A208" s="222">
        <v>46169</v>
      </c>
      <c r="B208" s="151"/>
      <c r="C208" s="138" t="s">
        <v>58</v>
      </c>
      <c r="D208" s="221" t="s">
        <v>53</v>
      </c>
      <c r="E208" s="178">
        <v>519</v>
      </c>
      <c r="F208" s="33" t="s">
        <v>60</v>
      </c>
      <c r="G208" s="265">
        <v>61055416</v>
      </c>
      <c r="H208" s="117" t="s">
        <v>715</v>
      </c>
      <c r="I208" s="24"/>
      <c r="J208" s="24"/>
      <c r="K208" s="117">
        <v>267.5</v>
      </c>
      <c r="L208" s="38"/>
      <c r="M208" s="38"/>
      <c r="N208" s="38"/>
      <c r="O208" s="38"/>
      <c r="P208" s="207">
        <f t="shared" si="5"/>
        <v>267.5</v>
      </c>
      <c r="Q208" s="154"/>
      <c r="R208" s="222">
        <v>46067</v>
      </c>
      <c r="S208" s="33" t="s">
        <v>52</v>
      </c>
      <c r="T208" s="250" t="s">
        <v>79</v>
      </c>
      <c r="U208" s="117">
        <v>7069</v>
      </c>
      <c r="V208" s="33" t="s">
        <v>47</v>
      </c>
      <c r="W208" s="24"/>
      <c r="X208" s="222">
        <v>46169</v>
      </c>
      <c r="Y208" s="69" t="s">
        <v>63</v>
      </c>
      <c r="Z208" s="26"/>
      <c r="AA208" s="26"/>
      <c r="AB208" s="33" t="s">
        <v>66</v>
      </c>
      <c r="AC208" s="33"/>
      <c r="AD208" s="258" t="s">
        <v>48</v>
      </c>
      <c r="AE208" s="34"/>
      <c r="AF208" s="32"/>
      <c r="AG208" s="32"/>
      <c r="AH208" s="33"/>
      <c r="AI208" s="33"/>
      <c r="AJ208" s="29"/>
      <c r="AK208" s="33"/>
      <c r="AL208" s="32">
        <v>18</v>
      </c>
      <c r="AM208" s="179" t="s">
        <v>719</v>
      </c>
      <c r="AN208" s="258" t="s">
        <v>51</v>
      </c>
      <c r="AO208" s="138"/>
      <c r="AP208" s="139"/>
    </row>
    <row r="209" spans="1:48" s="36" customFormat="1" ht="15.75" customHeight="1" x14ac:dyDescent="0.2">
      <c r="A209" s="222">
        <v>46169</v>
      </c>
      <c r="B209" s="151"/>
      <c r="C209" s="138" t="s">
        <v>58</v>
      </c>
      <c r="D209" s="221" t="s">
        <v>53</v>
      </c>
      <c r="E209" s="178">
        <v>520</v>
      </c>
      <c r="F209" s="33" t="s">
        <v>60</v>
      </c>
      <c r="G209" s="265">
        <v>44223633</v>
      </c>
      <c r="H209" s="117" t="s">
        <v>716</v>
      </c>
      <c r="I209" s="24"/>
      <c r="J209" s="24"/>
      <c r="K209" s="117">
        <v>273.5</v>
      </c>
      <c r="L209" s="38"/>
      <c r="M209" s="38"/>
      <c r="N209" s="38"/>
      <c r="O209" s="38"/>
      <c r="P209" s="207">
        <f t="shared" si="5"/>
        <v>273.5</v>
      </c>
      <c r="Q209" s="154"/>
      <c r="R209" s="222">
        <v>45969</v>
      </c>
      <c r="S209" s="33" t="s">
        <v>52</v>
      </c>
      <c r="T209" s="250" t="s">
        <v>79</v>
      </c>
      <c r="U209" s="117">
        <v>6663</v>
      </c>
      <c r="V209" s="33" t="s">
        <v>47</v>
      </c>
      <c r="W209" s="24"/>
      <c r="X209" s="222">
        <v>46169</v>
      </c>
      <c r="Y209" s="69" t="s">
        <v>63</v>
      </c>
      <c r="Z209" s="26"/>
      <c r="AA209" s="26"/>
      <c r="AB209" s="33" t="s">
        <v>66</v>
      </c>
      <c r="AC209" s="33"/>
      <c r="AD209" s="258" t="s">
        <v>48</v>
      </c>
      <c r="AE209" s="34"/>
      <c r="AF209" s="32"/>
      <c r="AG209" s="32"/>
      <c r="AH209" s="33"/>
      <c r="AI209" s="33"/>
      <c r="AJ209" s="29"/>
      <c r="AK209" s="33"/>
      <c r="AL209" s="32">
        <v>18</v>
      </c>
      <c r="AM209" s="179" t="s">
        <v>719</v>
      </c>
      <c r="AN209" s="258" t="s">
        <v>51</v>
      </c>
      <c r="AO209" s="138"/>
      <c r="AP209" s="139"/>
    </row>
    <row r="210" spans="1:48" s="36" customFormat="1" ht="15.75" customHeight="1" x14ac:dyDescent="0.2">
      <c r="A210" s="222">
        <v>46169</v>
      </c>
      <c r="B210" s="151"/>
      <c r="C210" s="138" t="s">
        <v>58</v>
      </c>
      <c r="D210" s="221" t="s">
        <v>53</v>
      </c>
      <c r="E210" s="178">
        <v>521</v>
      </c>
      <c r="F210" s="33" t="s">
        <v>60</v>
      </c>
      <c r="G210" s="265">
        <v>76515322</v>
      </c>
      <c r="H210" s="117" t="s">
        <v>717</v>
      </c>
      <c r="I210" s="24"/>
      <c r="J210" s="24"/>
      <c r="K210" s="117">
        <v>217.5</v>
      </c>
      <c r="L210" s="38"/>
      <c r="M210" s="38"/>
      <c r="N210" s="38"/>
      <c r="O210" s="38"/>
      <c r="P210" s="207">
        <f t="shared" si="5"/>
        <v>217.5</v>
      </c>
      <c r="Q210" s="154"/>
      <c r="R210" s="222">
        <v>46130</v>
      </c>
      <c r="S210" s="33" t="s">
        <v>52</v>
      </c>
      <c r="T210" s="250" t="s">
        <v>79</v>
      </c>
      <c r="U210" s="117">
        <v>7308</v>
      </c>
      <c r="V210" s="33" t="s">
        <v>47</v>
      </c>
      <c r="W210" s="24"/>
      <c r="X210" s="222">
        <v>46169</v>
      </c>
      <c r="Y210" s="69" t="s">
        <v>63</v>
      </c>
      <c r="Z210" s="26"/>
      <c r="AA210" s="26"/>
      <c r="AB210" s="33" t="s">
        <v>66</v>
      </c>
      <c r="AC210" s="33"/>
      <c r="AD210" s="258" t="s">
        <v>48</v>
      </c>
      <c r="AE210" s="34"/>
      <c r="AF210" s="32"/>
      <c r="AG210" s="32"/>
      <c r="AH210" s="33"/>
      <c r="AI210" s="33"/>
      <c r="AJ210" s="29"/>
      <c r="AK210" s="33"/>
      <c r="AL210" s="32">
        <v>18</v>
      </c>
      <c r="AM210" s="179" t="s">
        <v>719</v>
      </c>
      <c r="AN210" s="258" t="s">
        <v>51</v>
      </c>
      <c r="AO210" s="138"/>
      <c r="AP210" s="139"/>
    </row>
    <row r="211" spans="1:48" s="36" customFormat="1" ht="15.75" customHeight="1" x14ac:dyDescent="0.2">
      <c r="A211" s="222">
        <v>46169</v>
      </c>
      <c r="B211" s="151"/>
      <c r="C211" s="138" t="s">
        <v>58</v>
      </c>
      <c r="D211" s="221" t="s">
        <v>53</v>
      </c>
      <c r="E211" s="178">
        <v>522</v>
      </c>
      <c r="F211" s="33" t="s">
        <v>60</v>
      </c>
      <c r="G211" s="265">
        <v>43605107</v>
      </c>
      <c r="H211" s="117" t="s">
        <v>669</v>
      </c>
      <c r="I211" s="24"/>
      <c r="J211" s="24"/>
      <c r="K211" s="117">
        <v>208</v>
      </c>
      <c r="L211" s="38"/>
      <c r="M211" s="38"/>
      <c r="N211" s="38"/>
      <c r="O211" s="38"/>
      <c r="P211" s="207">
        <f t="shared" si="5"/>
        <v>208</v>
      </c>
      <c r="Q211" s="154"/>
      <c r="R211" s="222">
        <v>46105</v>
      </c>
      <c r="S211" s="33" t="s">
        <v>52</v>
      </c>
      <c r="T211" s="250" t="s">
        <v>79</v>
      </c>
      <c r="U211" s="117">
        <v>7206</v>
      </c>
      <c r="V211" s="33" t="s">
        <v>47</v>
      </c>
      <c r="W211" s="24"/>
      <c r="X211" s="222">
        <v>46169</v>
      </c>
      <c r="Y211" s="69" t="s">
        <v>63</v>
      </c>
      <c r="Z211" s="26"/>
      <c r="AA211" s="26"/>
      <c r="AB211" s="33" t="s">
        <v>66</v>
      </c>
      <c r="AC211" s="33"/>
      <c r="AD211" s="258" t="s">
        <v>48</v>
      </c>
      <c r="AE211" s="34"/>
      <c r="AF211" s="32"/>
      <c r="AG211" s="32"/>
      <c r="AH211" s="33"/>
      <c r="AI211" s="33"/>
      <c r="AJ211" s="29"/>
      <c r="AK211" s="33"/>
      <c r="AL211" s="32">
        <v>18</v>
      </c>
      <c r="AM211" s="179" t="s">
        <v>719</v>
      </c>
      <c r="AN211" s="258" t="s">
        <v>51</v>
      </c>
      <c r="AO211" s="138"/>
      <c r="AP211" s="139"/>
    </row>
    <row r="212" spans="1:48" s="36" customFormat="1" ht="15.75" customHeight="1" x14ac:dyDescent="0.2">
      <c r="A212" s="222">
        <v>46169</v>
      </c>
      <c r="B212" s="151"/>
      <c r="C212" s="138" t="s">
        <v>58</v>
      </c>
      <c r="D212" s="221" t="s">
        <v>53</v>
      </c>
      <c r="E212" s="178">
        <v>523</v>
      </c>
      <c r="F212" s="33" t="s">
        <v>60</v>
      </c>
      <c r="G212" s="265">
        <v>73666073</v>
      </c>
      <c r="H212" s="117" t="s">
        <v>718</v>
      </c>
      <c r="I212" s="24"/>
      <c r="J212" s="24"/>
      <c r="K212" s="117">
        <v>460</v>
      </c>
      <c r="L212" s="38"/>
      <c r="M212" s="38"/>
      <c r="N212" s="38"/>
      <c r="O212" s="38"/>
      <c r="P212" s="207">
        <f t="shared" si="5"/>
        <v>460</v>
      </c>
      <c r="Q212" s="154"/>
      <c r="R212" s="222">
        <v>45824</v>
      </c>
      <c r="S212" s="33" t="s">
        <v>52</v>
      </c>
      <c r="T212" s="250" t="s">
        <v>79</v>
      </c>
      <c r="U212" s="117">
        <v>5956</v>
      </c>
      <c r="V212" s="33" t="s">
        <v>47</v>
      </c>
      <c r="W212" s="24"/>
      <c r="X212" s="222">
        <v>46169</v>
      </c>
      <c r="Y212" s="69" t="s">
        <v>63</v>
      </c>
      <c r="Z212" s="26"/>
      <c r="AA212" s="26"/>
      <c r="AB212" s="33" t="s">
        <v>66</v>
      </c>
      <c r="AC212" s="33"/>
      <c r="AD212" s="258" t="s">
        <v>48</v>
      </c>
      <c r="AE212" s="34"/>
      <c r="AF212" s="32"/>
      <c r="AG212" s="32"/>
      <c r="AH212" s="33"/>
      <c r="AI212" s="33"/>
      <c r="AJ212" s="29"/>
      <c r="AK212" s="33"/>
      <c r="AL212" s="32">
        <v>18</v>
      </c>
      <c r="AM212" s="179" t="s">
        <v>714</v>
      </c>
      <c r="AN212" s="258" t="s">
        <v>51</v>
      </c>
      <c r="AO212" s="138"/>
      <c r="AP212" s="139"/>
    </row>
    <row r="213" spans="1:48" s="36" customFormat="1" ht="15.75" customHeight="1" x14ac:dyDescent="0.2">
      <c r="A213" s="166"/>
      <c r="B213" s="151"/>
      <c r="C213" s="138" t="s">
        <v>58</v>
      </c>
      <c r="D213" s="221" t="s">
        <v>53</v>
      </c>
      <c r="E213" s="178">
        <v>0</v>
      </c>
      <c r="F213" s="33" t="s">
        <v>60</v>
      </c>
      <c r="G213" s="267"/>
      <c r="H213" s="212"/>
      <c r="I213" s="24"/>
      <c r="J213" s="24"/>
      <c r="K213" s="213">
        <v>0</v>
      </c>
      <c r="L213" s="38"/>
      <c r="M213" s="38"/>
      <c r="N213" s="38"/>
      <c r="O213" s="38"/>
      <c r="P213" s="207">
        <f t="shared" si="5"/>
        <v>0</v>
      </c>
      <c r="Q213" s="154"/>
      <c r="R213" s="25"/>
      <c r="S213" s="26"/>
      <c r="T213" s="229"/>
      <c r="U213" s="26"/>
      <c r="V213" s="33" t="s">
        <v>47</v>
      </c>
      <c r="W213" s="24"/>
      <c r="X213" s="25"/>
      <c r="Y213" s="69" t="s">
        <v>63</v>
      </c>
      <c r="Z213" s="26"/>
      <c r="AA213" s="26"/>
      <c r="AB213" s="33" t="s">
        <v>66</v>
      </c>
      <c r="AC213" s="33"/>
      <c r="AD213" s="258" t="s">
        <v>48</v>
      </c>
      <c r="AE213" s="34"/>
      <c r="AF213" s="32"/>
      <c r="AG213" s="32"/>
      <c r="AH213" s="33"/>
      <c r="AI213" s="33"/>
      <c r="AJ213" s="29"/>
      <c r="AK213" s="33"/>
      <c r="AL213" s="32">
        <v>18</v>
      </c>
      <c r="AM213" s="242"/>
      <c r="AN213" s="258" t="s">
        <v>51</v>
      </c>
      <c r="AO213" s="138"/>
      <c r="AP213" s="139"/>
    </row>
    <row r="214" spans="1:48" s="36" customFormat="1" ht="15.75" customHeight="1" x14ac:dyDescent="0.2">
      <c r="A214" s="50"/>
      <c r="B214" s="151"/>
      <c r="C214" s="138" t="s">
        <v>58</v>
      </c>
      <c r="D214" s="221" t="s">
        <v>53</v>
      </c>
      <c r="E214" s="178">
        <v>0</v>
      </c>
      <c r="F214" s="33" t="s">
        <v>60</v>
      </c>
      <c r="G214" s="267"/>
      <c r="H214" s="212"/>
      <c r="I214" s="24"/>
      <c r="J214" s="24"/>
      <c r="K214" s="213">
        <v>0</v>
      </c>
      <c r="L214" s="38"/>
      <c r="M214" s="38"/>
      <c r="N214" s="38"/>
      <c r="O214" s="38"/>
      <c r="P214" s="207">
        <f t="shared" si="5"/>
        <v>0</v>
      </c>
      <c r="Q214" s="154"/>
      <c r="R214" s="25"/>
      <c r="S214" s="26"/>
      <c r="T214" s="229"/>
      <c r="U214" s="26"/>
      <c r="V214" s="33" t="s">
        <v>47</v>
      </c>
      <c r="W214" s="32"/>
      <c r="X214" s="29"/>
      <c r="Y214" s="69" t="s">
        <v>63</v>
      </c>
      <c r="Z214" s="33"/>
      <c r="AA214" s="33"/>
      <c r="AB214" s="33" t="s">
        <v>66</v>
      </c>
      <c r="AC214" s="33"/>
      <c r="AD214" s="258" t="s">
        <v>48</v>
      </c>
      <c r="AE214" s="34"/>
      <c r="AF214" s="32"/>
      <c r="AG214" s="32"/>
      <c r="AH214" s="33"/>
      <c r="AI214" s="33"/>
      <c r="AJ214" s="29"/>
      <c r="AK214" s="33"/>
      <c r="AL214" s="32">
        <v>18</v>
      </c>
      <c r="AM214" s="179"/>
      <c r="AN214" s="33" t="s">
        <v>51</v>
      </c>
      <c r="AO214" s="138"/>
      <c r="AP214" s="139"/>
    </row>
    <row r="215" spans="1:48" s="36" customFormat="1" ht="15.75" customHeight="1" x14ac:dyDescent="0.2">
      <c r="A215" s="50"/>
      <c r="B215" s="151"/>
      <c r="C215" s="138" t="s">
        <v>58</v>
      </c>
      <c r="D215" s="221" t="s">
        <v>53</v>
      </c>
      <c r="E215" s="178">
        <v>0</v>
      </c>
      <c r="F215" s="33" t="s">
        <v>60</v>
      </c>
      <c r="G215" s="264"/>
      <c r="H215" s="117"/>
      <c r="I215" s="32"/>
      <c r="J215" s="32"/>
      <c r="K215" s="213">
        <v>0</v>
      </c>
      <c r="L215" s="38"/>
      <c r="M215" s="38"/>
      <c r="N215" s="38"/>
      <c r="O215" s="38"/>
      <c r="P215" s="207">
        <f t="shared" si="5"/>
        <v>0</v>
      </c>
      <c r="Q215" s="153"/>
      <c r="R215" s="29"/>
      <c r="S215" s="33"/>
      <c r="T215" s="69"/>
      <c r="U215" s="33"/>
      <c r="V215" s="33" t="s">
        <v>47</v>
      </c>
      <c r="W215" s="32"/>
      <c r="X215" s="29"/>
      <c r="Y215" s="69" t="s">
        <v>63</v>
      </c>
      <c r="Z215" s="33"/>
      <c r="AA215" s="33"/>
      <c r="AB215" s="33" t="s">
        <v>66</v>
      </c>
      <c r="AC215" s="33"/>
      <c r="AD215" s="258" t="s">
        <v>48</v>
      </c>
      <c r="AE215" s="34"/>
      <c r="AF215" s="32"/>
      <c r="AG215" s="32"/>
      <c r="AH215" s="33"/>
      <c r="AI215" s="33"/>
      <c r="AJ215" s="29"/>
      <c r="AK215" s="33"/>
      <c r="AL215" s="32">
        <v>18</v>
      </c>
      <c r="AM215" s="179"/>
      <c r="AN215" s="33" t="s">
        <v>51</v>
      </c>
      <c r="AO215" s="138"/>
      <c r="AP215" s="139"/>
    </row>
    <row r="216" spans="1:48" s="6" customFormat="1" ht="14.25" x14ac:dyDescent="0.2">
      <c r="A216" s="155"/>
      <c r="B216" s="8"/>
      <c r="C216" s="9"/>
      <c r="D216" s="180"/>
      <c r="E216" s="180"/>
      <c r="F216" s="180"/>
      <c r="G216" s="180"/>
      <c r="H216" s="180"/>
      <c r="I216" s="214"/>
      <c r="J216" s="215">
        <f>SUM(J36:J215)</f>
        <v>0</v>
      </c>
      <c r="K216" s="215">
        <f>SUM(K6:K215)</f>
        <v>907205.35</v>
      </c>
      <c r="L216" s="216"/>
      <c r="M216" s="216"/>
      <c r="N216" s="215">
        <f>SUM(N36:N215)</f>
        <v>0</v>
      </c>
      <c r="O216" s="215">
        <f>SUM(O36:O215)</f>
        <v>0</v>
      </c>
      <c r="P216" s="215">
        <f>SUM(P6:P215)</f>
        <v>907205.35</v>
      </c>
      <c r="Q216" s="82"/>
      <c r="R216" s="223"/>
      <c r="S216" s="243"/>
      <c r="T216" s="243"/>
      <c r="U216" s="243"/>
      <c r="V216" s="243"/>
      <c r="W216" s="244"/>
      <c r="X216" s="223"/>
      <c r="Y216" s="243"/>
      <c r="Z216" s="243"/>
      <c r="AA216" s="243"/>
      <c r="AB216" s="243"/>
      <c r="AC216" s="243"/>
      <c r="AD216" s="243"/>
      <c r="AE216" s="245"/>
      <c r="AF216" s="244"/>
      <c r="AG216" s="244"/>
      <c r="AH216" s="243"/>
      <c r="AI216" s="243"/>
      <c r="AJ216" s="223"/>
      <c r="AK216" s="243"/>
      <c r="AL216" s="244"/>
      <c r="AM216" s="243"/>
      <c r="AN216" s="243"/>
      <c r="AO216" s="90"/>
      <c r="AP216" s="91"/>
    </row>
    <row r="218" spans="1:48" s="2" customFormat="1" x14ac:dyDescent="0.25">
      <c r="A218" s="168"/>
      <c r="B218" s="1"/>
      <c r="D218" s="181"/>
      <c r="E218" s="181"/>
      <c r="F218" s="181"/>
      <c r="G218" s="181"/>
      <c r="H218" s="181"/>
      <c r="I218" s="217"/>
      <c r="J218" s="217"/>
      <c r="K218" s="217"/>
      <c r="L218" s="217"/>
      <c r="M218" s="217"/>
      <c r="N218" s="217"/>
      <c r="O218" s="217"/>
      <c r="P218" s="217"/>
      <c r="Q218" s="4"/>
      <c r="R218" s="168"/>
      <c r="S218" s="181"/>
      <c r="T218" s="181"/>
      <c r="U218" s="181"/>
      <c r="V218" s="181"/>
      <c r="W218" s="217"/>
      <c r="X218" s="168"/>
      <c r="Y218" s="181"/>
      <c r="Z218" s="181"/>
      <c r="AA218" s="181"/>
      <c r="AB218" s="181"/>
      <c r="AC218" s="181"/>
      <c r="AD218" s="181"/>
      <c r="AE218" s="246"/>
      <c r="AF218" s="217"/>
      <c r="AG218" s="217"/>
      <c r="AH218" s="181"/>
      <c r="AI218" s="181"/>
      <c r="AJ218" s="168"/>
      <c r="AK218" s="181"/>
      <c r="AL218" s="217"/>
      <c r="AM218" s="181"/>
      <c r="AN218" s="181"/>
      <c r="AP218" s="3"/>
      <c r="AQ218"/>
      <c r="AR218"/>
      <c r="AS218"/>
      <c r="AT218"/>
      <c r="AU218"/>
      <c r="AV218"/>
    </row>
  </sheetData>
  <mergeCells count="37">
    <mergeCell ref="AP3:AP5"/>
    <mergeCell ref="F4:G4"/>
    <mergeCell ref="H4:H5"/>
    <mergeCell ref="AJ3:AJ5"/>
    <mergeCell ref="AK3:AK5"/>
    <mergeCell ref="AL3:AL5"/>
    <mergeCell ref="AM3:AM5"/>
    <mergeCell ref="AN3:AN5"/>
    <mergeCell ref="AO3:AO5"/>
    <mergeCell ref="AD3:AD5"/>
    <mergeCell ref="AE3:AE5"/>
    <mergeCell ref="AF3:AF5"/>
    <mergeCell ref="AG3:AG5"/>
    <mergeCell ref="AH3:AH5"/>
    <mergeCell ref="AI3:AI5"/>
    <mergeCell ref="X3:X5"/>
    <mergeCell ref="Y3:Y5"/>
    <mergeCell ref="Z3:Z5"/>
    <mergeCell ref="AA3:AA5"/>
    <mergeCell ref="AB3:AB5"/>
    <mergeCell ref="AC3:AC5"/>
    <mergeCell ref="W3:W5"/>
    <mergeCell ref="A1:AP1"/>
    <mergeCell ref="A3:A5"/>
    <mergeCell ref="B3:B5"/>
    <mergeCell ref="C3:E4"/>
    <mergeCell ref="F3:H3"/>
    <mergeCell ref="I3:I5"/>
    <mergeCell ref="J3:J5"/>
    <mergeCell ref="K3:L4"/>
    <mergeCell ref="M3:M5"/>
    <mergeCell ref="N3:N5"/>
    <mergeCell ref="O3:O5"/>
    <mergeCell ref="P3:P5"/>
    <mergeCell ref="Q3:Q5"/>
    <mergeCell ref="R3:U4"/>
    <mergeCell ref="V3:V5"/>
  </mergeCells>
  <pageMargins left="0.7" right="0.7" top="0.75" bottom="0.75" header="0.3" footer="0.3"/>
  <pageSetup paperSize="9" scale="79" orientation="portrait" horizontalDpi="360" verticalDpi="360" r:id="rId1"/>
  <colBreaks count="2" manualBreakCount="2">
    <brk id="7" max="114" man="1"/>
    <brk id="18" max="114"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115F-CCC1-406D-9D53-9E058198A4BB}">
  <sheetPr>
    <tabColor rgb="FF00B050"/>
  </sheetPr>
  <dimension ref="A1:AW170"/>
  <sheetViews>
    <sheetView topLeftCell="C1" zoomScale="87" zoomScaleNormal="87" zoomScaleSheetLayoutView="100" workbookViewId="0">
      <pane ySplit="5" topLeftCell="A138" activePane="bottomLeft" state="frozen"/>
      <selection pane="bottomLeft" activeCell="Y145" sqref="Y145:AM145"/>
    </sheetView>
  </sheetViews>
  <sheetFormatPr baseColWidth="10" defaultRowHeight="15.75" x14ac:dyDescent="0.25"/>
  <cols>
    <col min="1" max="1" width="11.28515625" style="168" customWidth="1"/>
    <col min="2" max="2" width="11.140625" style="1" customWidth="1"/>
    <col min="3" max="3" width="3.5703125" style="280" customWidth="1"/>
    <col min="4" max="4" width="8.28515625" style="181" customWidth="1"/>
    <col min="5" max="5" width="16.7109375" style="307" customWidth="1"/>
    <col min="6" max="6" width="3.140625" style="181" customWidth="1"/>
    <col min="7" max="7" width="14.28515625" style="181" customWidth="1"/>
    <col min="8" max="8" width="38.140625" style="181" customWidth="1"/>
    <col min="9" max="9" width="0.5703125" style="217" customWidth="1"/>
    <col min="10" max="10" width="13.7109375" style="217" hidden="1" customWidth="1"/>
    <col min="11" max="11" width="14.28515625" style="217" customWidth="1"/>
    <col min="12" max="13" width="0.5703125" style="217" customWidth="1"/>
    <col min="14" max="14" width="13.5703125" style="217" customWidth="1"/>
    <col min="15" max="15" width="0.7109375" style="217" customWidth="1"/>
    <col min="16" max="16" width="13.42578125" style="217" customWidth="1"/>
    <col min="17" max="17" width="12.140625" style="4" customWidth="1"/>
    <col min="18" max="18" width="11" style="168" customWidth="1"/>
    <col min="19" max="19" width="7" style="181" customWidth="1"/>
    <col min="20" max="20" width="12.5703125" style="181" customWidth="1"/>
    <col min="21" max="21" width="10.85546875" style="181" customWidth="1"/>
    <col min="22" max="22" width="7" style="181" customWidth="1"/>
    <col min="23" max="23" width="0.85546875" style="217" customWidth="1"/>
    <col min="24" max="24" width="13.140625" style="168" customWidth="1"/>
    <col min="25" max="25" width="9.42578125" style="181" customWidth="1"/>
    <col min="26" max="27" width="0.5703125" style="181" customWidth="1"/>
    <col min="28" max="28" width="6.85546875" style="181" customWidth="1"/>
    <col min="29" max="29" width="1.140625" style="181" customWidth="1"/>
    <col min="30" max="30" width="6.85546875" style="181" customWidth="1"/>
    <col min="31" max="31" width="0.42578125" style="246" customWidth="1"/>
    <col min="32" max="33" width="0.42578125" style="217" customWidth="1"/>
    <col min="34" max="35" width="0.42578125" style="181" customWidth="1"/>
    <col min="36" max="36" width="0.42578125" style="168" customWidth="1"/>
    <col min="37" max="37" width="0.42578125" style="181" customWidth="1"/>
    <col min="38" max="38" width="7.42578125" style="217" customWidth="1"/>
    <col min="39" max="39" width="37.28515625" style="181" customWidth="1"/>
    <col min="40" max="40" width="5.140625" style="181" customWidth="1"/>
    <col min="41" max="41" width="4.28515625" style="2" customWidth="1"/>
    <col min="42" max="42" width="9.5703125" style="3" customWidth="1"/>
  </cols>
  <sheetData>
    <row r="1" spans="1:49" x14ac:dyDescent="0.25">
      <c r="A1" s="293" t="s">
        <v>44</v>
      </c>
      <c r="B1" s="293"/>
      <c r="C1" s="293"/>
      <c r="D1" s="293"/>
      <c r="E1" s="301"/>
      <c r="F1" s="293"/>
      <c r="G1" s="293"/>
      <c r="H1" s="293"/>
      <c r="I1" s="293"/>
      <c r="J1" s="293"/>
      <c r="K1" s="293"/>
      <c r="L1" s="293"/>
      <c r="M1" s="293"/>
      <c r="N1" s="293"/>
      <c r="O1" s="293"/>
      <c r="P1" s="293"/>
      <c r="Q1" s="293"/>
      <c r="R1" s="293"/>
      <c r="S1" s="293"/>
      <c r="T1" s="293"/>
      <c r="U1" s="293"/>
      <c r="V1" s="293"/>
      <c r="W1" s="293"/>
      <c r="X1" s="293"/>
      <c r="Y1" s="293"/>
      <c r="Z1" s="293"/>
      <c r="AA1" s="293"/>
      <c r="AB1" s="293"/>
      <c r="AC1" s="293"/>
      <c r="AD1" s="293"/>
      <c r="AE1" s="293"/>
      <c r="AF1" s="293"/>
      <c r="AG1" s="293"/>
      <c r="AH1" s="293"/>
      <c r="AI1" s="293"/>
      <c r="AJ1" s="293"/>
      <c r="AK1" s="293"/>
      <c r="AL1" s="293"/>
      <c r="AM1" s="293"/>
      <c r="AN1" s="293"/>
      <c r="AO1" s="293"/>
      <c r="AP1" s="293"/>
    </row>
    <row r="3" spans="1:49" ht="21.95" customHeight="1" x14ac:dyDescent="0.25">
      <c r="A3" s="294" t="s">
        <v>0</v>
      </c>
      <c r="B3" s="294" t="s">
        <v>1</v>
      </c>
      <c r="C3" s="283" t="s">
        <v>2</v>
      </c>
      <c r="D3" s="283"/>
      <c r="E3" s="302"/>
      <c r="F3" s="283" t="s">
        <v>6</v>
      </c>
      <c r="G3" s="283"/>
      <c r="H3" s="283"/>
      <c r="I3" s="288" t="s">
        <v>9</v>
      </c>
      <c r="J3" s="288" t="s">
        <v>10</v>
      </c>
      <c r="K3" s="288" t="s">
        <v>11</v>
      </c>
      <c r="L3" s="288"/>
      <c r="M3" s="288" t="s">
        <v>14</v>
      </c>
      <c r="N3" s="288" t="s">
        <v>15</v>
      </c>
      <c r="O3" s="288" t="s">
        <v>16</v>
      </c>
      <c r="P3" s="288" t="s">
        <v>17</v>
      </c>
      <c r="Q3" s="290" t="s">
        <v>18</v>
      </c>
      <c r="R3" s="292" t="s">
        <v>19</v>
      </c>
      <c r="S3" s="292"/>
      <c r="T3" s="292"/>
      <c r="U3" s="292"/>
      <c r="V3" s="286" t="s">
        <v>23</v>
      </c>
      <c r="W3" s="282" t="s">
        <v>24</v>
      </c>
      <c r="X3" s="285" t="s">
        <v>25</v>
      </c>
      <c r="Y3" s="286" t="s">
        <v>26</v>
      </c>
      <c r="Z3" s="286" t="s">
        <v>27</v>
      </c>
      <c r="AA3" s="286" t="s">
        <v>28</v>
      </c>
      <c r="AB3" s="286" t="s">
        <v>29</v>
      </c>
      <c r="AC3" s="286" t="s">
        <v>30</v>
      </c>
      <c r="AD3" s="286" t="s">
        <v>31</v>
      </c>
      <c r="AE3" s="287" t="s">
        <v>32</v>
      </c>
      <c r="AF3" s="282" t="s">
        <v>33</v>
      </c>
      <c r="AG3" s="282" t="s">
        <v>34</v>
      </c>
      <c r="AH3" s="286" t="s">
        <v>35</v>
      </c>
      <c r="AI3" s="286" t="s">
        <v>36</v>
      </c>
      <c r="AJ3" s="285" t="s">
        <v>37</v>
      </c>
      <c r="AK3" s="286" t="s">
        <v>38</v>
      </c>
      <c r="AL3" s="282" t="s">
        <v>39</v>
      </c>
      <c r="AM3" s="286" t="s">
        <v>40</v>
      </c>
      <c r="AN3" s="286" t="s">
        <v>41</v>
      </c>
      <c r="AO3" s="286" t="s">
        <v>42</v>
      </c>
      <c r="AP3" s="282" t="s">
        <v>43</v>
      </c>
      <c r="AQ3" s="7"/>
    </row>
    <row r="4" spans="1:49" ht="30.75" customHeight="1" x14ac:dyDescent="0.25">
      <c r="A4" s="294"/>
      <c r="B4" s="294"/>
      <c r="C4" s="283"/>
      <c r="D4" s="283"/>
      <c r="E4" s="302"/>
      <c r="F4" s="283" t="s">
        <v>7</v>
      </c>
      <c r="G4" s="283"/>
      <c r="H4" s="283" t="s">
        <v>8</v>
      </c>
      <c r="I4" s="288"/>
      <c r="J4" s="288"/>
      <c r="K4" s="288"/>
      <c r="L4" s="288"/>
      <c r="M4" s="288"/>
      <c r="N4" s="288"/>
      <c r="O4" s="288"/>
      <c r="P4" s="288"/>
      <c r="Q4" s="290"/>
      <c r="R4" s="292"/>
      <c r="S4" s="292"/>
      <c r="T4" s="292"/>
      <c r="U4" s="292"/>
      <c r="V4" s="286"/>
      <c r="W4" s="282"/>
      <c r="X4" s="285"/>
      <c r="Y4" s="286"/>
      <c r="Z4" s="286"/>
      <c r="AA4" s="286"/>
      <c r="AB4" s="286"/>
      <c r="AC4" s="286"/>
      <c r="AD4" s="286"/>
      <c r="AE4" s="287"/>
      <c r="AF4" s="282"/>
      <c r="AG4" s="282"/>
      <c r="AH4" s="286"/>
      <c r="AI4" s="286"/>
      <c r="AJ4" s="285"/>
      <c r="AK4" s="286"/>
      <c r="AL4" s="282"/>
      <c r="AM4" s="286"/>
      <c r="AN4" s="286"/>
      <c r="AO4" s="286"/>
      <c r="AP4" s="282"/>
      <c r="AQ4" s="7"/>
    </row>
    <row r="5" spans="1:49" ht="51" customHeight="1" x14ac:dyDescent="0.25">
      <c r="A5" s="295"/>
      <c r="B5" s="295"/>
      <c r="C5" s="271" t="s">
        <v>3</v>
      </c>
      <c r="D5" s="48" t="s">
        <v>4</v>
      </c>
      <c r="E5" s="169" t="s">
        <v>5</v>
      </c>
      <c r="F5" s="48" t="s">
        <v>3</v>
      </c>
      <c r="G5" s="48" t="s">
        <v>5</v>
      </c>
      <c r="H5" s="284"/>
      <c r="I5" s="289"/>
      <c r="J5" s="289"/>
      <c r="K5" s="49" t="s">
        <v>12</v>
      </c>
      <c r="L5" s="49" t="s">
        <v>13</v>
      </c>
      <c r="M5" s="289"/>
      <c r="N5" s="289"/>
      <c r="O5" s="289"/>
      <c r="P5" s="289"/>
      <c r="Q5" s="291"/>
      <c r="R5" s="83" t="s">
        <v>20</v>
      </c>
      <c r="S5" s="84" t="s">
        <v>3</v>
      </c>
      <c r="T5" s="84" t="s">
        <v>21</v>
      </c>
      <c r="U5" s="84" t="s">
        <v>22</v>
      </c>
      <c r="V5" s="286"/>
      <c r="W5" s="282"/>
      <c r="X5" s="285"/>
      <c r="Y5" s="286"/>
      <c r="Z5" s="286"/>
      <c r="AA5" s="286"/>
      <c r="AB5" s="286"/>
      <c r="AC5" s="286"/>
      <c r="AD5" s="286"/>
      <c r="AE5" s="287"/>
      <c r="AF5" s="282"/>
      <c r="AG5" s="282"/>
      <c r="AH5" s="286"/>
      <c r="AI5" s="286"/>
      <c r="AJ5" s="285"/>
      <c r="AK5" s="286"/>
      <c r="AL5" s="282"/>
      <c r="AM5" s="286"/>
      <c r="AN5" s="286"/>
      <c r="AO5" s="286"/>
      <c r="AP5" s="282"/>
      <c r="AQ5" s="7"/>
    </row>
    <row r="6" spans="1:49" s="41" customFormat="1" ht="14.25" customHeight="1" x14ac:dyDescent="0.2">
      <c r="A6" s="162">
        <v>46174</v>
      </c>
      <c r="B6" s="124"/>
      <c r="C6" s="296" t="s">
        <v>52</v>
      </c>
      <c r="D6" s="170" t="s">
        <v>53</v>
      </c>
      <c r="E6" s="303">
        <v>7497</v>
      </c>
      <c r="F6" s="281">
        <v>1</v>
      </c>
      <c r="G6" s="85">
        <v>45638998</v>
      </c>
      <c r="H6" s="85" t="s">
        <v>721</v>
      </c>
      <c r="I6" s="57"/>
      <c r="J6" s="57"/>
      <c r="K6" s="309">
        <v>7262</v>
      </c>
      <c r="L6" s="184"/>
      <c r="M6" s="184"/>
      <c r="N6" s="184"/>
      <c r="O6" s="184"/>
      <c r="P6" s="185">
        <f>K6</f>
        <v>7262</v>
      </c>
      <c r="Q6" s="130"/>
      <c r="R6" s="56"/>
      <c r="S6" s="58"/>
      <c r="T6" s="58"/>
      <c r="U6" s="58"/>
      <c r="V6" s="58" t="s">
        <v>47</v>
      </c>
      <c r="W6" s="57"/>
      <c r="X6" s="328">
        <f>A6</f>
        <v>46174</v>
      </c>
      <c r="Y6" s="26" t="s">
        <v>63</v>
      </c>
      <c r="Z6" s="58"/>
      <c r="AA6" s="58"/>
      <c r="AB6" s="58" t="s">
        <v>49</v>
      </c>
      <c r="AC6" s="58"/>
      <c r="AD6" s="254" t="s">
        <v>48</v>
      </c>
      <c r="AE6" s="59"/>
      <c r="AF6" s="57"/>
      <c r="AG6" s="57"/>
      <c r="AH6" s="58"/>
      <c r="AI6" s="58"/>
      <c r="AJ6" s="56"/>
      <c r="AK6" s="58"/>
      <c r="AL6" s="57">
        <v>18</v>
      </c>
      <c r="AM6" s="224" t="s">
        <v>50</v>
      </c>
      <c r="AN6" s="254" t="s">
        <v>51</v>
      </c>
      <c r="AO6" s="126"/>
      <c r="AP6" s="129"/>
    </row>
    <row r="7" spans="1:49" s="41" customFormat="1" ht="14.25" customHeight="1" x14ac:dyDescent="0.2">
      <c r="A7" s="162">
        <v>46174</v>
      </c>
      <c r="B7" s="124"/>
      <c r="C7" s="296" t="s">
        <v>52</v>
      </c>
      <c r="D7" s="170" t="s">
        <v>53</v>
      </c>
      <c r="E7" s="303">
        <v>7498</v>
      </c>
      <c r="F7" s="281">
        <v>1</v>
      </c>
      <c r="G7" s="85">
        <v>75101291</v>
      </c>
      <c r="H7" s="85" t="s">
        <v>760</v>
      </c>
      <c r="I7" s="57"/>
      <c r="J7" s="57"/>
      <c r="K7" s="309">
        <v>8080</v>
      </c>
      <c r="L7" s="57"/>
      <c r="M7" s="57"/>
      <c r="N7" s="57"/>
      <c r="O7" s="57"/>
      <c r="P7" s="185">
        <f t="shared" ref="P7:P70" si="0">K7</f>
        <v>8080</v>
      </c>
      <c r="Q7" s="106"/>
      <c r="R7" s="56"/>
      <c r="S7" s="58"/>
      <c r="T7" s="58"/>
      <c r="U7" s="58"/>
      <c r="V7" s="58" t="s">
        <v>47</v>
      </c>
      <c r="W7" s="57"/>
      <c r="X7" s="328">
        <f t="shared" ref="X7:X70" si="1">A7</f>
        <v>46174</v>
      </c>
      <c r="Y7" s="26" t="s">
        <v>63</v>
      </c>
      <c r="Z7" s="58"/>
      <c r="AA7" s="58"/>
      <c r="AB7" s="58" t="s">
        <v>49</v>
      </c>
      <c r="AC7" s="58"/>
      <c r="AD7" s="254" t="s">
        <v>48</v>
      </c>
      <c r="AE7" s="59"/>
      <c r="AF7" s="57"/>
      <c r="AG7" s="57"/>
      <c r="AH7" s="58"/>
      <c r="AI7" s="58"/>
      <c r="AJ7" s="56"/>
      <c r="AK7" s="58"/>
      <c r="AL7" s="57">
        <v>18</v>
      </c>
      <c r="AM7" s="224" t="s">
        <v>50</v>
      </c>
      <c r="AN7" s="254" t="s">
        <v>51</v>
      </c>
      <c r="AO7" s="126"/>
      <c r="AP7" s="129"/>
    </row>
    <row r="8" spans="1:49" s="41" customFormat="1" ht="14.25" customHeight="1" x14ac:dyDescent="0.2">
      <c r="A8" s="162">
        <v>46174</v>
      </c>
      <c r="B8" s="124"/>
      <c r="C8" s="296" t="s">
        <v>52</v>
      </c>
      <c r="D8" s="170" t="s">
        <v>53</v>
      </c>
      <c r="E8" s="303">
        <v>7499</v>
      </c>
      <c r="F8" s="281">
        <v>1</v>
      </c>
      <c r="G8" s="308" t="s">
        <v>720</v>
      </c>
      <c r="H8" s="85" t="s">
        <v>761</v>
      </c>
      <c r="I8" s="57"/>
      <c r="J8" s="57"/>
      <c r="K8" s="309">
        <v>4770</v>
      </c>
      <c r="L8" s="184"/>
      <c r="M8" s="184"/>
      <c r="N8" s="184"/>
      <c r="O8" s="184"/>
      <c r="P8" s="185">
        <f t="shared" si="0"/>
        <v>4770</v>
      </c>
      <c r="Q8" s="130"/>
      <c r="R8" s="56"/>
      <c r="S8" s="58"/>
      <c r="T8" s="58"/>
      <c r="U8" s="58"/>
      <c r="V8" s="58" t="s">
        <v>47</v>
      </c>
      <c r="W8" s="57"/>
      <c r="X8" s="328">
        <f t="shared" si="1"/>
        <v>46174</v>
      </c>
      <c r="Y8" s="26" t="s">
        <v>63</v>
      </c>
      <c r="Z8" s="58"/>
      <c r="AA8" s="58"/>
      <c r="AB8" s="58" t="s">
        <v>49</v>
      </c>
      <c r="AC8" s="58"/>
      <c r="AD8" s="254" t="s">
        <v>48</v>
      </c>
      <c r="AE8" s="59"/>
      <c r="AF8" s="57"/>
      <c r="AG8" s="57"/>
      <c r="AH8" s="58"/>
      <c r="AI8" s="58"/>
      <c r="AJ8" s="56"/>
      <c r="AK8" s="58"/>
      <c r="AL8" s="57">
        <v>18</v>
      </c>
      <c r="AM8" s="224" t="s">
        <v>50</v>
      </c>
      <c r="AN8" s="254" t="s">
        <v>51</v>
      </c>
      <c r="AO8" s="126"/>
      <c r="AP8" s="129"/>
    </row>
    <row r="9" spans="1:49" s="105" customFormat="1" ht="14.25" customHeight="1" x14ac:dyDescent="0.2">
      <c r="A9" s="162">
        <v>46174</v>
      </c>
      <c r="B9" s="133"/>
      <c r="C9" s="296" t="s">
        <v>52</v>
      </c>
      <c r="D9" s="170" t="s">
        <v>53</v>
      </c>
      <c r="E9" s="303">
        <v>7500</v>
      </c>
      <c r="F9" s="281">
        <v>1</v>
      </c>
      <c r="G9" s="85">
        <v>48145739</v>
      </c>
      <c r="H9" s="85" t="s">
        <v>722</v>
      </c>
      <c r="I9" s="24"/>
      <c r="J9" s="24"/>
      <c r="K9" s="309">
        <v>7262</v>
      </c>
      <c r="L9" s="187"/>
      <c r="M9" s="187"/>
      <c r="N9" s="187"/>
      <c r="O9" s="187"/>
      <c r="P9" s="185">
        <f t="shared" si="0"/>
        <v>7262</v>
      </c>
      <c r="Q9" s="135"/>
      <c r="R9" s="25"/>
      <c r="S9" s="26"/>
      <c r="T9" s="26"/>
      <c r="U9" s="26"/>
      <c r="V9" s="26" t="s">
        <v>47</v>
      </c>
      <c r="W9" s="24"/>
      <c r="X9" s="328">
        <f t="shared" si="1"/>
        <v>46174</v>
      </c>
      <c r="Y9" s="26" t="s">
        <v>63</v>
      </c>
      <c r="Z9" s="58"/>
      <c r="AA9" s="58"/>
      <c r="AB9" s="58" t="s">
        <v>49</v>
      </c>
      <c r="AC9" s="58"/>
      <c r="AD9" s="254" t="s">
        <v>48</v>
      </c>
      <c r="AE9" s="59"/>
      <c r="AF9" s="57"/>
      <c r="AG9" s="57"/>
      <c r="AH9" s="58"/>
      <c r="AI9" s="58"/>
      <c r="AJ9" s="56"/>
      <c r="AK9" s="58"/>
      <c r="AL9" s="57">
        <v>18</v>
      </c>
      <c r="AM9" s="224" t="s">
        <v>50</v>
      </c>
      <c r="AN9" s="255" t="s">
        <v>51</v>
      </c>
      <c r="AO9" s="131"/>
      <c r="AP9" s="132"/>
      <c r="AW9" s="103"/>
    </row>
    <row r="10" spans="1:49" s="41" customFormat="1" ht="14.25" customHeight="1" x14ac:dyDescent="0.2">
      <c r="A10" s="162">
        <v>46174</v>
      </c>
      <c r="B10" s="124"/>
      <c r="C10" s="296" t="s">
        <v>52</v>
      </c>
      <c r="D10" s="170" t="s">
        <v>53</v>
      </c>
      <c r="E10" s="303">
        <v>7501</v>
      </c>
      <c r="F10" s="281">
        <v>1</v>
      </c>
      <c r="G10" s="85">
        <v>74083715</v>
      </c>
      <c r="H10" s="85" t="s">
        <v>723</v>
      </c>
      <c r="I10" s="57"/>
      <c r="J10" s="57"/>
      <c r="K10" s="309">
        <v>7262</v>
      </c>
      <c r="L10" s="57"/>
      <c r="M10" s="57"/>
      <c r="N10" s="57"/>
      <c r="O10" s="57"/>
      <c r="P10" s="185">
        <f t="shared" si="0"/>
        <v>7262</v>
      </c>
      <c r="Q10" s="130"/>
      <c r="R10" s="56"/>
      <c r="S10" s="58"/>
      <c r="T10" s="58"/>
      <c r="U10" s="58"/>
      <c r="V10" s="58" t="s">
        <v>47</v>
      </c>
      <c r="W10" s="57"/>
      <c r="X10" s="328">
        <f t="shared" si="1"/>
        <v>46174</v>
      </c>
      <c r="Y10" s="26" t="s">
        <v>63</v>
      </c>
      <c r="Z10" s="58"/>
      <c r="AA10" s="58"/>
      <c r="AB10" s="58" t="s">
        <v>49</v>
      </c>
      <c r="AC10" s="58"/>
      <c r="AD10" s="254" t="s">
        <v>48</v>
      </c>
      <c r="AE10" s="59"/>
      <c r="AF10" s="57"/>
      <c r="AG10" s="57"/>
      <c r="AH10" s="58"/>
      <c r="AI10" s="58"/>
      <c r="AJ10" s="56"/>
      <c r="AK10" s="58"/>
      <c r="AL10" s="57">
        <v>18</v>
      </c>
      <c r="AM10" s="224" t="s">
        <v>50</v>
      </c>
      <c r="AN10" s="254" t="s">
        <v>51</v>
      </c>
      <c r="AO10" s="126"/>
      <c r="AP10" s="129"/>
    </row>
    <row r="11" spans="1:49" s="41" customFormat="1" ht="14.25" customHeight="1" x14ac:dyDescent="0.2">
      <c r="A11" s="162">
        <v>46174</v>
      </c>
      <c r="B11" s="124"/>
      <c r="C11" s="296" t="s">
        <v>52</v>
      </c>
      <c r="D11" s="170" t="s">
        <v>53</v>
      </c>
      <c r="E11" s="303">
        <v>7502</v>
      </c>
      <c r="F11" s="281">
        <v>1</v>
      </c>
      <c r="G11" s="85">
        <v>75264971</v>
      </c>
      <c r="H11" s="85" t="s">
        <v>724</v>
      </c>
      <c r="I11" s="57"/>
      <c r="J11" s="57"/>
      <c r="K11" s="309">
        <v>5280</v>
      </c>
      <c r="L11" s="188"/>
      <c r="M11" s="188"/>
      <c r="N11" s="188"/>
      <c r="O11" s="188"/>
      <c r="P11" s="185">
        <f t="shared" si="0"/>
        <v>5280</v>
      </c>
      <c r="Q11" s="130"/>
      <c r="R11" s="56"/>
      <c r="S11" s="58"/>
      <c r="T11" s="58"/>
      <c r="U11" s="58"/>
      <c r="V11" s="58" t="s">
        <v>47</v>
      </c>
      <c r="W11" s="57"/>
      <c r="X11" s="328">
        <f t="shared" si="1"/>
        <v>46174</v>
      </c>
      <c r="Y11" s="26" t="s">
        <v>63</v>
      </c>
      <c r="Z11" s="58"/>
      <c r="AA11" s="58"/>
      <c r="AB11" s="58" t="s">
        <v>49</v>
      </c>
      <c r="AC11" s="58"/>
      <c r="AD11" s="254" t="s">
        <v>48</v>
      </c>
      <c r="AE11" s="59"/>
      <c r="AF11" s="57"/>
      <c r="AG11" s="57"/>
      <c r="AH11" s="58"/>
      <c r="AI11" s="58"/>
      <c r="AJ11" s="56"/>
      <c r="AK11" s="58"/>
      <c r="AL11" s="57">
        <v>18</v>
      </c>
      <c r="AM11" s="224" t="s">
        <v>50</v>
      </c>
      <c r="AN11" s="254" t="s">
        <v>51</v>
      </c>
      <c r="AO11" s="126"/>
      <c r="AP11" s="129"/>
    </row>
    <row r="12" spans="1:49" s="20" customFormat="1" ht="14.25" customHeight="1" x14ac:dyDescent="0.2">
      <c r="A12" s="162">
        <v>46174</v>
      </c>
      <c r="B12" s="124"/>
      <c r="C12" s="296" t="s">
        <v>52</v>
      </c>
      <c r="D12" s="170" t="s">
        <v>53</v>
      </c>
      <c r="E12" s="303">
        <v>7503</v>
      </c>
      <c r="F12" s="281">
        <v>1</v>
      </c>
      <c r="G12" s="85">
        <v>76669471</v>
      </c>
      <c r="H12" s="85" t="s">
        <v>807</v>
      </c>
      <c r="I12" s="57"/>
      <c r="J12" s="57"/>
      <c r="K12" s="309">
        <v>4180</v>
      </c>
      <c r="L12" s="57"/>
      <c r="M12" s="57"/>
      <c r="N12" s="57"/>
      <c r="O12" s="57"/>
      <c r="P12" s="185">
        <f t="shared" si="0"/>
        <v>4180</v>
      </c>
      <c r="Q12" s="130"/>
      <c r="R12" s="56"/>
      <c r="S12" s="58"/>
      <c r="T12" s="58"/>
      <c r="U12" s="58"/>
      <c r="V12" s="58" t="s">
        <v>47</v>
      </c>
      <c r="W12" s="57"/>
      <c r="X12" s="328">
        <f t="shared" si="1"/>
        <v>46174</v>
      </c>
      <c r="Y12" s="26" t="s">
        <v>63</v>
      </c>
      <c r="Z12" s="58"/>
      <c r="AA12" s="58"/>
      <c r="AB12" s="58" t="s">
        <v>49</v>
      </c>
      <c r="AC12" s="58"/>
      <c r="AD12" s="254" t="s">
        <v>48</v>
      </c>
      <c r="AE12" s="59"/>
      <c r="AF12" s="57"/>
      <c r="AG12" s="57"/>
      <c r="AH12" s="58"/>
      <c r="AI12" s="58"/>
      <c r="AJ12" s="56"/>
      <c r="AK12" s="58"/>
      <c r="AL12" s="57">
        <v>18</v>
      </c>
      <c r="AM12" s="224" t="s">
        <v>50</v>
      </c>
      <c r="AN12" s="254" t="s">
        <v>51</v>
      </c>
      <c r="AO12" s="126"/>
      <c r="AP12" s="129"/>
    </row>
    <row r="13" spans="1:49" s="20" customFormat="1" ht="14.25" customHeight="1" x14ac:dyDescent="0.2">
      <c r="A13" s="162">
        <v>46174</v>
      </c>
      <c r="B13" s="124"/>
      <c r="C13" s="296" t="s">
        <v>52</v>
      </c>
      <c r="D13" s="170" t="s">
        <v>53</v>
      </c>
      <c r="E13" s="303">
        <v>7504</v>
      </c>
      <c r="F13" s="281">
        <v>1</v>
      </c>
      <c r="G13" s="85">
        <v>20062727</v>
      </c>
      <c r="H13" s="85" t="s">
        <v>806</v>
      </c>
      <c r="I13" s="57"/>
      <c r="J13" s="57"/>
      <c r="K13" s="309">
        <v>5650</v>
      </c>
      <c r="L13" s="188"/>
      <c r="M13" s="188"/>
      <c r="N13" s="188"/>
      <c r="O13" s="188"/>
      <c r="P13" s="185">
        <f t="shared" si="0"/>
        <v>5650</v>
      </c>
      <c r="Q13" s="130"/>
      <c r="R13" s="56"/>
      <c r="S13" s="58"/>
      <c r="T13" s="58"/>
      <c r="U13" s="58"/>
      <c r="V13" s="58" t="s">
        <v>47</v>
      </c>
      <c r="W13" s="57"/>
      <c r="X13" s="328">
        <f t="shared" si="1"/>
        <v>46174</v>
      </c>
      <c r="Y13" s="26" t="s">
        <v>63</v>
      </c>
      <c r="Z13" s="58"/>
      <c r="AA13" s="58"/>
      <c r="AB13" s="58" t="s">
        <v>49</v>
      </c>
      <c r="AC13" s="58"/>
      <c r="AD13" s="254" t="s">
        <v>48</v>
      </c>
      <c r="AE13" s="59"/>
      <c r="AF13" s="57"/>
      <c r="AG13" s="57"/>
      <c r="AH13" s="58"/>
      <c r="AI13" s="58"/>
      <c r="AJ13" s="56"/>
      <c r="AK13" s="58"/>
      <c r="AL13" s="57">
        <v>18</v>
      </c>
      <c r="AM13" s="224" t="s">
        <v>50</v>
      </c>
      <c r="AN13" s="254" t="s">
        <v>51</v>
      </c>
      <c r="AO13" s="126"/>
      <c r="AP13" s="129"/>
    </row>
    <row r="14" spans="1:49" s="20" customFormat="1" ht="14.25" customHeight="1" x14ac:dyDescent="0.2">
      <c r="A14" s="162">
        <v>46175</v>
      </c>
      <c r="B14" s="124"/>
      <c r="C14" s="296" t="s">
        <v>52</v>
      </c>
      <c r="D14" s="170" t="s">
        <v>53</v>
      </c>
      <c r="E14" s="303">
        <v>7505</v>
      </c>
      <c r="F14" s="281">
        <v>1</v>
      </c>
      <c r="G14" s="85">
        <v>73682943</v>
      </c>
      <c r="H14" s="85" t="s">
        <v>725</v>
      </c>
      <c r="I14" s="57"/>
      <c r="J14" s="57"/>
      <c r="K14" s="309">
        <v>8600</v>
      </c>
      <c r="L14" s="57"/>
      <c r="M14" s="57"/>
      <c r="N14" s="57"/>
      <c r="O14" s="57"/>
      <c r="P14" s="185">
        <f t="shared" si="0"/>
        <v>8600</v>
      </c>
      <c r="Q14" s="130"/>
      <c r="R14" s="56"/>
      <c r="S14" s="58"/>
      <c r="T14" s="58"/>
      <c r="U14" s="58"/>
      <c r="V14" s="58" t="s">
        <v>47</v>
      </c>
      <c r="W14" s="57"/>
      <c r="X14" s="328">
        <v>46330</v>
      </c>
      <c r="Y14" s="26" t="s">
        <v>63</v>
      </c>
      <c r="Z14" s="58"/>
      <c r="AA14" s="58"/>
      <c r="AB14" s="58" t="s">
        <v>49</v>
      </c>
      <c r="AC14" s="58"/>
      <c r="AD14" s="254" t="s">
        <v>48</v>
      </c>
      <c r="AE14" s="59"/>
      <c r="AF14" s="57"/>
      <c r="AG14" s="57"/>
      <c r="AH14" s="58"/>
      <c r="AI14" s="58"/>
      <c r="AJ14" s="56"/>
      <c r="AK14" s="58"/>
      <c r="AL14" s="57">
        <v>18</v>
      </c>
      <c r="AM14" s="224" t="s">
        <v>50</v>
      </c>
      <c r="AN14" s="254" t="s">
        <v>51</v>
      </c>
      <c r="AO14" s="126"/>
      <c r="AP14" s="129"/>
    </row>
    <row r="15" spans="1:49" s="20" customFormat="1" ht="14.25" customHeight="1" x14ac:dyDescent="0.2">
      <c r="A15" s="162">
        <v>46175</v>
      </c>
      <c r="B15" s="124"/>
      <c r="C15" s="296" t="s">
        <v>52</v>
      </c>
      <c r="D15" s="170" t="s">
        <v>53</v>
      </c>
      <c r="E15" s="303">
        <v>7506</v>
      </c>
      <c r="F15" s="281">
        <v>1</v>
      </c>
      <c r="G15" s="85">
        <v>45677838</v>
      </c>
      <c r="H15" s="85" t="s">
        <v>805</v>
      </c>
      <c r="I15" s="57"/>
      <c r="J15" s="57"/>
      <c r="K15" s="309">
        <v>5430</v>
      </c>
      <c r="L15" s="188"/>
      <c r="M15" s="188"/>
      <c r="N15" s="188"/>
      <c r="O15" s="188"/>
      <c r="P15" s="185">
        <f t="shared" si="0"/>
        <v>5430</v>
      </c>
      <c r="Q15" s="130"/>
      <c r="R15" s="56"/>
      <c r="S15" s="58"/>
      <c r="T15" s="58"/>
      <c r="U15" s="58"/>
      <c r="V15" s="58" t="s">
        <v>47</v>
      </c>
      <c r="W15" s="57"/>
      <c r="X15" s="328">
        <f t="shared" si="1"/>
        <v>46175</v>
      </c>
      <c r="Y15" s="26" t="s">
        <v>63</v>
      </c>
      <c r="Z15" s="58"/>
      <c r="AA15" s="58"/>
      <c r="AB15" s="58" t="s">
        <v>49</v>
      </c>
      <c r="AC15" s="58"/>
      <c r="AD15" s="254" t="s">
        <v>48</v>
      </c>
      <c r="AE15" s="59"/>
      <c r="AF15" s="57"/>
      <c r="AG15" s="57"/>
      <c r="AH15" s="58"/>
      <c r="AI15" s="58"/>
      <c r="AJ15" s="56"/>
      <c r="AK15" s="58"/>
      <c r="AL15" s="57">
        <v>18</v>
      </c>
      <c r="AM15" s="224" t="s">
        <v>50</v>
      </c>
      <c r="AN15" s="254" t="s">
        <v>51</v>
      </c>
      <c r="AO15" s="126"/>
      <c r="AP15" s="129"/>
    </row>
    <row r="16" spans="1:49" s="20" customFormat="1" ht="14.25" customHeight="1" x14ac:dyDescent="0.2">
      <c r="A16" s="162">
        <v>46176</v>
      </c>
      <c r="B16" s="124"/>
      <c r="C16" s="296" t="s">
        <v>52</v>
      </c>
      <c r="D16" s="170" t="s">
        <v>53</v>
      </c>
      <c r="E16" s="303">
        <v>7507</v>
      </c>
      <c r="F16" s="281">
        <v>1</v>
      </c>
      <c r="G16" s="85">
        <v>75277198</v>
      </c>
      <c r="H16" s="85" t="s">
        <v>762</v>
      </c>
      <c r="I16" s="57"/>
      <c r="J16" s="57"/>
      <c r="K16" s="309">
        <v>5500</v>
      </c>
      <c r="L16" s="57"/>
      <c r="M16" s="57"/>
      <c r="N16" s="57"/>
      <c r="O16" s="57"/>
      <c r="P16" s="185">
        <f t="shared" si="0"/>
        <v>5500</v>
      </c>
      <c r="Q16" s="130"/>
      <c r="R16" s="56"/>
      <c r="S16" s="58"/>
      <c r="T16" s="58"/>
      <c r="U16" s="58"/>
      <c r="V16" s="58" t="s">
        <v>47</v>
      </c>
      <c r="W16" s="57"/>
      <c r="X16" s="328">
        <v>46268</v>
      </c>
      <c r="Y16" s="26" t="s">
        <v>63</v>
      </c>
      <c r="Z16" s="58"/>
      <c r="AA16" s="58"/>
      <c r="AB16" s="58" t="s">
        <v>49</v>
      </c>
      <c r="AC16" s="58"/>
      <c r="AD16" s="254" t="s">
        <v>48</v>
      </c>
      <c r="AE16" s="59"/>
      <c r="AF16" s="57"/>
      <c r="AG16" s="57"/>
      <c r="AH16" s="58"/>
      <c r="AI16" s="58"/>
      <c r="AJ16" s="56"/>
      <c r="AK16" s="58"/>
      <c r="AL16" s="57">
        <v>18</v>
      </c>
      <c r="AM16" s="224" t="s">
        <v>50</v>
      </c>
      <c r="AN16" s="254" t="s">
        <v>51</v>
      </c>
      <c r="AO16" s="126"/>
      <c r="AP16" s="129"/>
    </row>
    <row r="17" spans="1:42" s="41" customFormat="1" ht="14.25" customHeight="1" x14ac:dyDescent="0.2">
      <c r="A17" s="162">
        <v>46176</v>
      </c>
      <c r="B17" s="124"/>
      <c r="C17" s="296" t="s">
        <v>52</v>
      </c>
      <c r="D17" s="170" t="s">
        <v>53</v>
      </c>
      <c r="E17" s="303">
        <v>7508</v>
      </c>
      <c r="F17" s="281">
        <v>1</v>
      </c>
      <c r="G17" s="85">
        <v>45043633</v>
      </c>
      <c r="H17" s="85" t="s">
        <v>726</v>
      </c>
      <c r="I17" s="57"/>
      <c r="J17" s="57"/>
      <c r="K17" s="309">
        <v>4770</v>
      </c>
      <c r="L17" s="188"/>
      <c r="M17" s="188"/>
      <c r="N17" s="188"/>
      <c r="O17" s="188"/>
      <c r="P17" s="185">
        <f t="shared" si="0"/>
        <v>4770</v>
      </c>
      <c r="Q17" s="130"/>
      <c r="R17" s="56"/>
      <c r="S17" s="58"/>
      <c r="T17" s="58"/>
      <c r="U17" s="58"/>
      <c r="V17" s="58" t="s">
        <v>47</v>
      </c>
      <c r="W17" s="57"/>
      <c r="X17" s="328">
        <f t="shared" si="1"/>
        <v>46176</v>
      </c>
      <c r="Y17" s="26" t="s">
        <v>63</v>
      </c>
      <c r="Z17" s="58"/>
      <c r="AA17" s="58"/>
      <c r="AB17" s="58" t="s">
        <v>49</v>
      </c>
      <c r="AC17" s="58"/>
      <c r="AD17" s="254" t="s">
        <v>48</v>
      </c>
      <c r="AE17" s="59"/>
      <c r="AF17" s="57"/>
      <c r="AG17" s="57"/>
      <c r="AH17" s="58"/>
      <c r="AI17" s="58"/>
      <c r="AJ17" s="56"/>
      <c r="AK17" s="58"/>
      <c r="AL17" s="57">
        <v>18</v>
      </c>
      <c r="AM17" s="224" t="s">
        <v>50</v>
      </c>
      <c r="AN17" s="254" t="s">
        <v>51</v>
      </c>
      <c r="AO17" s="126"/>
      <c r="AP17" s="129"/>
    </row>
    <row r="18" spans="1:42" s="41" customFormat="1" ht="14.25" customHeight="1" x14ac:dyDescent="0.2">
      <c r="A18" s="162">
        <v>46178</v>
      </c>
      <c r="B18" s="136"/>
      <c r="C18" s="296" t="s">
        <v>52</v>
      </c>
      <c r="D18" s="170" t="s">
        <v>53</v>
      </c>
      <c r="E18" s="303">
        <v>7509</v>
      </c>
      <c r="F18" s="281">
        <v>1</v>
      </c>
      <c r="G18" s="85">
        <v>70790979</v>
      </c>
      <c r="H18" s="85" t="s">
        <v>763</v>
      </c>
      <c r="I18" s="57"/>
      <c r="J18" s="57"/>
      <c r="K18" s="309">
        <v>5280</v>
      </c>
      <c r="L18" s="57"/>
      <c r="M18" s="57"/>
      <c r="N18" s="57"/>
      <c r="O18" s="57"/>
      <c r="P18" s="185">
        <f t="shared" si="0"/>
        <v>5280</v>
      </c>
      <c r="Q18" s="130"/>
      <c r="R18" s="56"/>
      <c r="S18" s="58"/>
      <c r="T18" s="58"/>
      <c r="U18" s="58"/>
      <c r="V18" s="58" t="s">
        <v>47</v>
      </c>
      <c r="W18" s="57"/>
      <c r="X18" s="328">
        <f t="shared" si="1"/>
        <v>46178</v>
      </c>
      <c r="Y18" s="26" t="s">
        <v>63</v>
      </c>
      <c r="Z18" s="58"/>
      <c r="AA18" s="58"/>
      <c r="AB18" s="58" t="s">
        <v>49</v>
      </c>
      <c r="AC18" s="58"/>
      <c r="AD18" s="254" t="s">
        <v>48</v>
      </c>
      <c r="AE18" s="59"/>
      <c r="AF18" s="57"/>
      <c r="AG18" s="57"/>
      <c r="AH18" s="58"/>
      <c r="AI18" s="58"/>
      <c r="AJ18" s="56"/>
      <c r="AK18" s="58"/>
      <c r="AL18" s="57">
        <v>18</v>
      </c>
      <c r="AM18" s="224" t="s">
        <v>50</v>
      </c>
      <c r="AN18" s="254" t="s">
        <v>51</v>
      </c>
      <c r="AO18" s="126"/>
      <c r="AP18" s="129"/>
    </row>
    <row r="19" spans="1:42" s="20" customFormat="1" ht="14.25" customHeight="1" x14ac:dyDescent="0.2">
      <c r="A19" s="162">
        <v>46178</v>
      </c>
      <c r="B19" s="124"/>
      <c r="C19" s="296" t="s">
        <v>52</v>
      </c>
      <c r="D19" s="170" t="s">
        <v>53</v>
      </c>
      <c r="E19" s="303">
        <v>7510</v>
      </c>
      <c r="F19" s="281">
        <v>1</v>
      </c>
      <c r="G19" s="85">
        <v>76517910</v>
      </c>
      <c r="H19" s="85" t="s">
        <v>727</v>
      </c>
      <c r="I19" s="57"/>
      <c r="J19" s="57"/>
      <c r="K19" s="309">
        <v>7262</v>
      </c>
      <c r="L19" s="188"/>
      <c r="M19" s="188"/>
      <c r="N19" s="188"/>
      <c r="O19" s="188"/>
      <c r="P19" s="185">
        <f t="shared" si="0"/>
        <v>7262</v>
      </c>
      <c r="Q19" s="130"/>
      <c r="R19" s="56"/>
      <c r="S19" s="58"/>
      <c r="T19" s="58"/>
      <c r="U19" s="58"/>
      <c r="V19" s="58" t="s">
        <v>47</v>
      </c>
      <c r="W19" s="57"/>
      <c r="X19" s="328">
        <f t="shared" si="1"/>
        <v>46178</v>
      </c>
      <c r="Y19" s="26" t="s">
        <v>63</v>
      </c>
      <c r="Z19" s="58"/>
      <c r="AA19" s="58"/>
      <c r="AB19" s="58" t="s">
        <v>49</v>
      </c>
      <c r="AC19" s="58"/>
      <c r="AD19" s="254" t="s">
        <v>48</v>
      </c>
      <c r="AE19" s="59"/>
      <c r="AF19" s="57"/>
      <c r="AG19" s="57"/>
      <c r="AH19" s="58"/>
      <c r="AI19" s="58"/>
      <c r="AJ19" s="56"/>
      <c r="AK19" s="58"/>
      <c r="AL19" s="57">
        <v>18</v>
      </c>
      <c r="AM19" s="224" t="s">
        <v>50</v>
      </c>
      <c r="AN19" s="254" t="s">
        <v>51</v>
      </c>
      <c r="AO19" s="126"/>
      <c r="AP19" s="129"/>
    </row>
    <row r="20" spans="1:42" s="20" customFormat="1" ht="14.25" customHeight="1" x14ac:dyDescent="0.2">
      <c r="A20" s="162">
        <v>46178</v>
      </c>
      <c r="B20" s="124"/>
      <c r="C20" s="296" t="s">
        <v>52</v>
      </c>
      <c r="D20" s="170" t="s">
        <v>53</v>
      </c>
      <c r="E20" s="303">
        <v>7511</v>
      </c>
      <c r="F20" s="281">
        <v>1</v>
      </c>
      <c r="G20" s="85">
        <v>20543207</v>
      </c>
      <c r="H20" s="85" t="s">
        <v>728</v>
      </c>
      <c r="I20" s="57"/>
      <c r="J20" s="57"/>
      <c r="K20" s="309">
        <v>7262</v>
      </c>
      <c r="L20" s="188"/>
      <c r="M20" s="188"/>
      <c r="N20" s="188"/>
      <c r="O20" s="188"/>
      <c r="P20" s="185">
        <f t="shared" si="0"/>
        <v>7262</v>
      </c>
      <c r="Q20" s="130"/>
      <c r="R20" s="56"/>
      <c r="S20" s="58"/>
      <c r="T20" s="58"/>
      <c r="U20" s="58"/>
      <c r="V20" s="58" t="s">
        <v>47</v>
      </c>
      <c r="W20" s="57"/>
      <c r="X20" s="328">
        <f t="shared" si="1"/>
        <v>46178</v>
      </c>
      <c r="Y20" s="26" t="s">
        <v>63</v>
      </c>
      <c r="Z20" s="58"/>
      <c r="AA20" s="58"/>
      <c r="AB20" s="58" t="s">
        <v>49</v>
      </c>
      <c r="AC20" s="58"/>
      <c r="AD20" s="254" t="s">
        <v>48</v>
      </c>
      <c r="AE20" s="59"/>
      <c r="AF20" s="57"/>
      <c r="AG20" s="57"/>
      <c r="AH20" s="58"/>
      <c r="AI20" s="58"/>
      <c r="AJ20" s="56"/>
      <c r="AK20" s="58"/>
      <c r="AL20" s="57">
        <v>18</v>
      </c>
      <c r="AM20" s="224" t="s">
        <v>50</v>
      </c>
      <c r="AN20" s="254" t="s">
        <v>51</v>
      </c>
      <c r="AO20" s="126"/>
      <c r="AP20" s="129"/>
    </row>
    <row r="21" spans="1:42" s="20" customFormat="1" ht="14.25" customHeight="1" x14ac:dyDescent="0.2">
      <c r="A21" s="162">
        <v>46178</v>
      </c>
      <c r="B21" s="124"/>
      <c r="C21" s="296" t="s">
        <v>52</v>
      </c>
      <c r="D21" s="170" t="s">
        <v>53</v>
      </c>
      <c r="E21" s="303">
        <v>7512</v>
      </c>
      <c r="F21" s="281">
        <v>1</v>
      </c>
      <c r="G21" s="85">
        <v>20048202</v>
      </c>
      <c r="H21" s="85" t="s">
        <v>707</v>
      </c>
      <c r="I21" s="57"/>
      <c r="J21" s="57"/>
      <c r="K21" s="309">
        <v>0</v>
      </c>
      <c r="L21" s="188"/>
      <c r="M21" s="188"/>
      <c r="N21" s="188"/>
      <c r="O21" s="188"/>
      <c r="P21" s="185">
        <f t="shared" si="0"/>
        <v>0</v>
      </c>
      <c r="Q21" s="130"/>
      <c r="R21" s="56"/>
      <c r="S21" s="58"/>
      <c r="T21" s="58"/>
      <c r="U21" s="58"/>
      <c r="V21" s="58" t="s">
        <v>47</v>
      </c>
      <c r="W21" s="57"/>
      <c r="X21" s="328">
        <f t="shared" si="1"/>
        <v>46178</v>
      </c>
      <c r="Y21" s="26" t="s">
        <v>61</v>
      </c>
      <c r="Z21" s="58"/>
      <c r="AA21" s="58"/>
      <c r="AB21" s="58" t="s">
        <v>49</v>
      </c>
      <c r="AC21" s="58"/>
      <c r="AD21" s="254" t="s">
        <v>48</v>
      </c>
      <c r="AE21" s="59"/>
      <c r="AF21" s="57"/>
      <c r="AG21" s="57"/>
      <c r="AH21" s="58"/>
      <c r="AI21" s="58"/>
      <c r="AJ21" s="56"/>
      <c r="AK21" s="58"/>
      <c r="AL21" s="57">
        <v>18</v>
      </c>
      <c r="AM21" s="225" t="s">
        <v>588</v>
      </c>
      <c r="AN21" s="254" t="s">
        <v>51</v>
      </c>
      <c r="AO21" s="126"/>
      <c r="AP21" s="129"/>
    </row>
    <row r="22" spans="1:42" s="20" customFormat="1" ht="13.5" customHeight="1" x14ac:dyDescent="0.2">
      <c r="A22" s="162">
        <v>46178</v>
      </c>
      <c r="B22" s="124"/>
      <c r="C22" s="296" t="s">
        <v>52</v>
      </c>
      <c r="D22" s="170" t="s">
        <v>53</v>
      </c>
      <c r="E22" s="303">
        <v>7513</v>
      </c>
      <c r="F22" s="281">
        <v>1</v>
      </c>
      <c r="G22" s="85">
        <v>42841161</v>
      </c>
      <c r="H22" s="85" t="s">
        <v>729</v>
      </c>
      <c r="I22" s="57"/>
      <c r="J22" s="57"/>
      <c r="K22" s="309">
        <v>5800</v>
      </c>
      <c r="L22" s="188"/>
      <c r="M22" s="188"/>
      <c r="N22" s="188"/>
      <c r="O22" s="188"/>
      <c r="P22" s="185">
        <f t="shared" si="0"/>
        <v>5800</v>
      </c>
      <c r="Q22" s="130"/>
      <c r="R22" s="56"/>
      <c r="S22" s="58"/>
      <c r="T22" s="58"/>
      <c r="U22" s="58"/>
      <c r="V22" s="58" t="s">
        <v>47</v>
      </c>
      <c r="W22" s="57"/>
      <c r="X22" s="328">
        <v>46361</v>
      </c>
      <c r="Y22" s="26" t="s">
        <v>63</v>
      </c>
      <c r="Z22" s="58"/>
      <c r="AA22" s="58"/>
      <c r="AB22" s="58" t="s">
        <v>49</v>
      </c>
      <c r="AC22" s="58"/>
      <c r="AD22" s="254" t="s">
        <v>48</v>
      </c>
      <c r="AE22" s="59"/>
      <c r="AF22" s="57"/>
      <c r="AG22" s="57"/>
      <c r="AH22" s="58"/>
      <c r="AI22" s="58"/>
      <c r="AJ22" s="56"/>
      <c r="AK22" s="58"/>
      <c r="AL22" s="57">
        <v>18</v>
      </c>
      <c r="AM22" s="224" t="s">
        <v>50</v>
      </c>
      <c r="AN22" s="254" t="s">
        <v>51</v>
      </c>
      <c r="AO22" s="126"/>
      <c r="AP22" s="129"/>
    </row>
    <row r="23" spans="1:42" s="20" customFormat="1" ht="14.25" customHeight="1" x14ac:dyDescent="0.2">
      <c r="A23" s="162">
        <v>46178</v>
      </c>
      <c r="B23" s="124"/>
      <c r="C23" s="296" t="s">
        <v>52</v>
      </c>
      <c r="D23" s="170" t="s">
        <v>53</v>
      </c>
      <c r="E23" s="303">
        <v>7514</v>
      </c>
      <c r="F23" s="281">
        <v>1</v>
      </c>
      <c r="G23" s="85">
        <v>42841161</v>
      </c>
      <c r="H23" s="85" t="s">
        <v>729</v>
      </c>
      <c r="I23" s="57"/>
      <c r="J23" s="57"/>
      <c r="K23" s="309">
        <v>0</v>
      </c>
      <c r="L23" s="57"/>
      <c r="M23" s="57"/>
      <c r="N23" s="57"/>
      <c r="O23" s="57"/>
      <c r="P23" s="185">
        <f t="shared" si="0"/>
        <v>0</v>
      </c>
      <c r="Q23" s="130"/>
      <c r="R23" s="56"/>
      <c r="S23" s="58"/>
      <c r="T23" s="58"/>
      <c r="U23" s="58"/>
      <c r="V23" s="58" t="s">
        <v>47</v>
      </c>
      <c r="W23" s="57"/>
      <c r="X23" s="328">
        <f t="shared" si="1"/>
        <v>46178</v>
      </c>
      <c r="Y23" s="26" t="s">
        <v>61</v>
      </c>
      <c r="Z23" s="58"/>
      <c r="AA23" s="58"/>
      <c r="AB23" s="58" t="s">
        <v>49</v>
      </c>
      <c r="AC23" s="58"/>
      <c r="AD23" s="254" t="s">
        <v>48</v>
      </c>
      <c r="AE23" s="59"/>
      <c r="AF23" s="57"/>
      <c r="AG23" s="57"/>
      <c r="AH23" s="58"/>
      <c r="AI23" s="58"/>
      <c r="AJ23" s="56"/>
      <c r="AK23" s="58"/>
      <c r="AL23" s="57">
        <v>18</v>
      </c>
      <c r="AM23" s="225" t="s">
        <v>588</v>
      </c>
      <c r="AN23" s="254" t="s">
        <v>51</v>
      </c>
      <c r="AO23" s="126"/>
      <c r="AP23" s="129"/>
    </row>
    <row r="24" spans="1:42" s="41" customFormat="1" ht="14.25" customHeight="1" x14ac:dyDescent="0.2">
      <c r="A24" s="162">
        <v>46178</v>
      </c>
      <c r="B24" s="124"/>
      <c r="C24" s="296" t="s">
        <v>52</v>
      </c>
      <c r="D24" s="170" t="s">
        <v>53</v>
      </c>
      <c r="E24" s="303">
        <v>7515</v>
      </c>
      <c r="F24" s="281">
        <v>1</v>
      </c>
      <c r="G24" s="85">
        <v>73662739</v>
      </c>
      <c r="H24" s="85" t="s">
        <v>704</v>
      </c>
      <c r="I24" s="57"/>
      <c r="J24" s="57"/>
      <c r="K24" s="309">
        <v>0</v>
      </c>
      <c r="L24" s="188"/>
      <c r="M24" s="188"/>
      <c r="N24" s="188"/>
      <c r="O24" s="188"/>
      <c r="P24" s="185">
        <f t="shared" si="0"/>
        <v>0</v>
      </c>
      <c r="Q24" s="130"/>
      <c r="R24" s="56"/>
      <c r="S24" s="58"/>
      <c r="T24" s="58"/>
      <c r="U24" s="58"/>
      <c r="V24" s="58" t="s">
        <v>47</v>
      </c>
      <c r="W24" s="57"/>
      <c r="X24" s="328">
        <f t="shared" si="1"/>
        <v>46178</v>
      </c>
      <c r="Y24" s="26" t="s">
        <v>61</v>
      </c>
      <c r="Z24" s="58"/>
      <c r="AA24" s="58"/>
      <c r="AB24" s="58" t="s">
        <v>49</v>
      </c>
      <c r="AC24" s="58"/>
      <c r="AD24" s="254" t="s">
        <v>48</v>
      </c>
      <c r="AE24" s="59"/>
      <c r="AF24" s="57"/>
      <c r="AG24" s="57"/>
      <c r="AH24" s="58"/>
      <c r="AI24" s="58"/>
      <c r="AJ24" s="56"/>
      <c r="AK24" s="58"/>
      <c r="AL24" s="57">
        <v>18</v>
      </c>
      <c r="AM24" s="225" t="s">
        <v>588</v>
      </c>
      <c r="AN24" s="254" t="s">
        <v>51</v>
      </c>
      <c r="AO24" s="126"/>
      <c r="AP24" s="129"/>
    </row>
    <row r="25" spans="1:42" s="41" customFormat="1" ht="14.25" customHeight="1" x14ac:dyDescent="0.2">
      <c r="A25" s="162">
        <v>46178</v>
      </c>
      <c r="B25" s="124"/>
      <c r="C25" s="296" t="s">
        <v>52</v>
      </c>
      <c r="D25" s="170" t="s">
        <v>53</v>
      </c>
      <c r="E25" s="303">
        <v>7516</v>
      </c>
      <c r="F25" s="281">
        <v>1</v>
      </c>
      <c r="G25" s="85">
        <v>41274151</v>
      </c>
      <c r="H25" s="85" t="s">
        <v>730</v>
      </c>
      <c r="I25" s="57"/>
      <c r="J25" s="57"/>
      <c r="K25" s="309">
        <v>8700</v>
      </c>
      <c r="L25" s="57"/>
      <c r="M25" s="57"/>
      <c r="N25" s="57"/>
      <c r="O25" s="57"/>
      <c r="P25" s="185">
        <f t="shared" si="0"/>
        <v>8700</v>
      </c>
      <c r="Q25" s="130"/>
      <c r="R25" s="56"/>
      <c r="S25" s="58"/>
      <c r="T25" s="58"/>
      <c r="U25" s="58"/>
      <c r="V25" s="58" t="s">
        <v>47</v>
      </c>
      <c r="W25" s="57"/>
      <c r="X25" s="328">
        <v>46486</v>
      </c>
      <c r="Y25" s="26" t="s">
        <v>63</v>
      </c>
      <c r="Z25" s="58"/>
      <c r="AA25" s="58"/>
      <c r="AB25" s="58" t="s">
        <v>49</v>
      </c>
      <c r="AC25" s="58"/>
      <c r="AD25" s="254" t="s">
        <v>48</v>
      </c>
      <c r="AE25" s="59"/>
      <c r="AF25" s="57"/>
      <c r="AG25" s="57"/>
      <c r="AH25" s="58"/>
      <c r="AI25" s="58"/>
      <c r="AJ25" s="56"/>
      <c r="AK25" s="58"/>
      <c r="AL25" s="57">
        <v>18</v>
      </c>
      <c r="AM25" s="224" t="s">
        <v>50</v>
      </c>
      <c r="AN25" s="254" t="s">
        <v>51</v>
      </c>
      <c r="AO25" s="126"/>
      <c r="AP25" s="129"/>
    </row>
    <row r="26" spans="1:42" s="41" customFormat="1" ht="14.25" customHeight="1" x14ac:dyDescent="0.2">
      <c r="A26" s="162">
        <v>46179</v>
      </c>
      <c r="B26" s="124"/>
      <c r="C26" s="296" t="s">
        <v>52</v>
      </c>
      <c r="D26" s="170" t="s">
        <v>53</v>
      </c>
      <c r="E26" s="303">
        <v>7517</v>
      </c>
      <c r="F26" s="281">
        <v>1</v>
      </c>
      <c r="G26" s="85">
        <v>74093725</v>
      </c>
      <c r="H26" s="85" t="s">
        <v>731</v>
      </c>
      <c r="I26" s="57"/>
      <c r="J26" s="57"/>
      <c r="K26" s="309">
        <v>5470</v>
      </c>
      <c r="L26" s="188"/>
      <c r="M26" s="188"/>
      <c r="N26" s="188"/>
      <c r="O26" s="188"/>
      <c r="P26" s="185">
        <f t="shared" si="0"/>
        <v>5470</v>
      </c>
      <c r="Q26" s="130"/>
      <c r="R26" s="56"/>
      <c r="S26" s="58"/>
      <c r="T26" s="58"/>
      <c r="U26" s="58"/>
      <c r="V26" s="58" t="s">
        <v>47</v>
      </c>
      <c r="W26" s="57"/>
      <c r="X26" s="328">
        <f t="shared" si="1"/>
        <v>46179</v>
      </c>
      <c r="Y26" s="26" t="s">
        <v>63</v>
      </c>
      <c r="Z26" s="58"/>
      <c r="AA26" s="58"/>
      <c r="AB26" s="58" t="s">
        <v>49</v>
      </c>
      <c r="AC26" s="58"/>
      <c r="AD26" s="254" t="s">
        <v>48</v>
      </c>
      <c r="AE26" s="59"/>
      <c r="AF26" s="57"/>
      <c r="AG26" s="57"/>
      <c r="AH26" s="58"/>
      <c r="AI26" s="58"/>
      <c r="AJ26" s="56"/>
      <c r="AK26" s="58"/>
      <c r="AL26" s="57">
        <v>18</v>
      </c>
      <c r="AM26" s="224" t="s">
        <v>50</v>
      </c>
      <c r="AN26" s="254" t="s">
        <v>51</v>
      </c>
      <c r="AO26" s="126"/>
      <c r="AP26" s="129"/>
    </row>
    <row r="27" spans="1:42" s="20" customFormat="1" ht="14.25" customHeight="1" x14ac:dyDescent="0.2">
      <c r="A27" s="162">
        <v>46179</v>
      </c>
      <c r="B27" s="124"/>
      <c r="C27" s="296" t="s">
        <v>52</v>
      </c>
      <c r="D27" s="170" t="s">
        <v>53</v>
      </c>
      <c r="E27" s="303">
        <v>7518</v>
      </c>
      <c r="F27" s="281">
        <v>1</v>
      </c>
      <c r="G27" s="85">
        <v>74093725</v>
      </c>
      <c r="H27" s="85" t="s">
        <v>764</v>
      </c>
      <c r="I27" s="57"/>
      <c r="J27" s="57"/>
      <c r="K27" s="309">
        <v>0</v>
      </c>
      <c r="L27" s="57"/>
      <c r="M27" s="57"/>
      <c r="N27" s="57"/>
      <c r="O27" s="57"/>
      <c r="P27" s="185">
        <f t="shared" si="0"/>
        <v>0</v>
      </c>
      <c r="Q27" s="130"/>
      <c r="R27" s="56"/>
      <c r="S27" s="58"/>
      <c r="T27" s="58"/>
      <c r="U27" s="58"/>
      <c r="V27" s="58" t="s">
        <v>47</v>
      </c>
      <c r="W27" s="57"/>
      <c r="X27" s="328">
        <f t="shared" si="1"/>
        <v>46179</v>
      </c>
      <c r="Y27" s="26" t="s">
        <v>61</v>
      </c>
      <c r="Z27" s="58"/>
      <c r="AA27" s="58"/>
      <c r="AB27" s="58" t="s">
        <v>49</v>
      </c>
      <c r="AC27" s="58"/>
      <c r="AD27" s="254" t="s">
        <v>48</v>
      </c>
      <c r="AE27" s="59"/>
      <c r="AF27" s="57"/>
      <c r="AG27" s="57"/>
      <c r="AH27" s="58"/>
      <c r="AI27" s="58"/>
      <c r="AJ27" s="56"/>
      <c r="AK27" s="58"/>
      <c r="AL27" s="57">
        <v>18</v>
      </c>
      <c r="AM27" s="225" t="s">
        <v>588</v>
      </c>
      <c r="AN27" s="254" t="s">
        <v>51</v>
      </c>
      <c r="AO27" s="126"/>
      <c r="AP27" s="129"/>
    </row>
    <row r="28" spans="1:42" s="20" customFormat="1" ht="14.25" customHeight="1" x14ac:dyDescent="0.2">
      <c r="A28" s="162">
        <v>46179</v>
      </c>
      <c r="B28" s="124"/>
      <c r="C28" s="296" t="s">
        <v>52</v>
      </c>
      <c r="D28" s="170" t="s">
        <v>53</v>
      </c>
      <c r="E28" s="303">
        <v>7519</v>
      </c>
      <c r="F28" s="281">
        <v>1</v>
      </c>
      <c r="G28" s="85">
        <v>60845399</v>
      </c>
      <c r="H28" s="85" t="s">
        <v>732</v>
      </c>
      <c r="I28" s="57"/>
      <c r="J28" s="57"/>
      <c r="K28" s="309">
        <v>7262</v>
      </c>
      <c r="L28" s="188"/>
      <c r="M28" s="188"/>
      <c r="N28" s="188"/>
      <c r="O28" s="188"/>
      <c r="P28" s="185">
        <f t="shared" si="0"/>
        <v>7262</v>
      </c>
      <c r="Q28" s="130"/>
      <c r="R28" s="56"/>
      <c r="S28" s="58"/>
      <c r="T28" s="58"/>
      <c r="U28" s="58"/>
      <c r="V28" s="58" t="s">
        <v>47</v>
      </c>
      <c r="W28" s="57"/>
      <c r="X28" s="328">
        <f t="shared" si="1"/>
        <v>46179</v>
      </c>
      <c r="Y28" s="26" t="s">
        <v>63</v>
      </c>
      <c r="Z28" s="58"/>
      <c r="AA28" s="58"/>
      <c r="AB28" s="58" t="s">
        <v>49</v>
      </c>
      <c r="AC28" s="58"/>
      <c r="AD28" s="254" t="s">
        <v>48</v>
      </c>
      <c r="AE28" s="59"/>
      <c r="AF28" s="57"/>
      <c r="AG28" s="57"/>
      <c r="AH28" s="58"/>
      <c r="AI28" s="58"/>
      <c r="AJ28" s="56"/>
      <c r="AK28" s="58"/>
      <c r="AL28" s="57">
        <v>18</v>
      </c>
      <c r="AM28" s="224" t="s">
        <v>50</v>
      </c>
      <c r="AN28" s="254" t="s">
        <v>51</v>
      </c>
      <c r="AO28" s="126"/>
      <c r="AP28" s="129"/>
    </row>
    <row r="29" spans="1:42" s="20" customFormat="1" ht="14.25" customHeight="1" x14ac:dyDescent="0.2">
      <c r="A29" s="162">
        <v>46179</v>
      </c>
      <c r="B29" s="124"/>
      <c r="C29" s="296" t="s">
        <v>52</v>
      </c>
      <c r="D29" s="170" t="s">
        <v>53</v>
      </c>
      <c r="E29" s="303">
        <v>7520</v>
      </c>
      <c r="F29" s="281">
        <v>1</v>
      </c>
      <c r="G29" s="85">
        <v>48659483</v>
      </c>
      <c r="H29" s="85" t="s">
        <v>733</v>
      </c>
      <c r="I29" s="57"/>
      <c r="J29" s="57"/>
      <c r="K29" s="309">
        <v>5180</v>
      </c>
      <c r="L29" s="57"/>
      <c r="M29" s="57"/>
      <c r="N29" s="57"/>
      <c r="O29" s="57"/>
      <c r="P29" s="185">
        <f t="shared" si="0"/>
        <v>5180</v>
      </c>
      <c r="Q29" s="130"/>
      <c r="R29" s="56"/>
      <c r="S29" s="58"/>
      <c r="T29" s="58"/>
      <c r="U29" s="58"/>
      <c r="V29" s="58" t="s">
        <v>47</v>
      </c>
      <c r="W29" s="57"/>
      <c r="X29" s="328">
        <f t="shared" si="1"/>
        <v>46179</v>
      </c>
      <c r="Y29" s="26" t="s">
        <v>63</v>
      </c>
      <c r="Z29" s="58"/>
      <c r="AA29" s="58"/>
      <c r="AB29" s="58" t="s">
        <v>49</v>
      </c>
      <c r="AC29" s="58"/>
      <c r="AD29" s="254" t="s">
        <v>48</v>
      </c>
      <c r="AE29" s="59"/>
      <c r="AF29" s="57"/>
      <c r="AG29" s="57"/>
      <c r="AH29" s="58"/>
      <c r="AI29" s="58"/>
      <c r="AJ29" s="56"/>
      <c r="AK29" s="58"/>
      <c r="AL29" s="57">
        <v>18</v>
      </c>
      <c r="AM29" s="224" t="s">
        <v>50</v>
      </c>
      <c r="AN29" s="254" t="s">
        <v>51</v>
      </c>
      <c r="AO29" s="126"/>
      <c r="AP29" s="129"/>
    </row>
    <row r="30" spans="1:42" s="20" customFormat="1" ht="14.25" customHeight="1" x14ac:dyDescent="0.2">
      <c r="A30" s="162">
        <v>46179</v>
      </c>
      <c r="B30" s="124"/>
      <c r="C30" s="296" t="s">
        <v>52</v>
      </c>
      <c r="D30" s="170" t="s">
        <v>53</v>
      </c>
      <c r="E30" s="303">
        <v>7521</v>
      </c>
      <c r="F30" s="281">
        <v>1</v>
      </c>
      <c r="G30" s="85">
        <v>48659483</v>
      </c>
      <c r="H30" s="85" t="s">
        <v>765</v>
      </c>
      <c r="I30" s="57"/>
      <c r="J30" s="57"/>
      <c r="K30" s="309">
        <v>0</v>
      </c>
      <c r="L30" s="188"/>
      <c r="M30" s="188"/>
      <c r="N30" s="188"/>
      <c r="O30" s="188"/>
      <c r="P30" s="185">
        <f t="shared" si="0"/>
        <v>0</v>
      </c>
      <c r="Q30" s="130"/>
      <c r="R30" s="56"/>
      <c r="S30" s="58"/>
      <c r="T30" s="58"/>
      <c r="U30" s="58"/>
      <c r="V30" s="58" t="s">
        <v>47</v>
      </c>
      <c r="W30" s="57"/>
      <c r="X30" s="328">
        <f t="shared" si="1"/>
        <v>46179</v>
      </c>
      <c r="Y30" s="26" t="s">
        <v>61</v>
      </c>
      <c r="Z30" s="58"/>
      <c r="AA30" s="58"/>
      <c r="AB30" s="58" t="s">
        <v>49</v>
      </c>
      <c r="AC30" s="58"/>
      <c r="AD30" s="254" t="s">
        <v>48</v>
      </c>
      <c r="AE30" s="59"/>
      <c r="AF30" s="57"/>
      <c r="AG30" s="57"/>
      <c r="AH30" s="58"/>
      <c r="AI30" s="58"/>
      <c r="AJ30" s="56"/>
      <c r="AK30" s="58"/>
      <c r="AL30" s="57">
        <v>18</v>
      </c>
      <c r="AM30" s="225" t="s">
        <v>588</v>
      </c>
      <c r="AN30" s="254" t="s">
        <v>51</v>
      </c>
      <c r="AO30" s="126"/>
      <c r="AP30" s="129"/>
    </row>
    <row r="31" spans="1:42" s="20" customFormat="1" ht="14.25" customHeight="1" x14ac:dyDescent="0.2">
      <c r="A31" s="162">
        <v>46179</v>
      </c>
      <c r="B31" s="124"/>
      <c r="C31" s="296" t="s">
        <v>52</v>
      </c>
      <c r="D31" s="170" t="s">
        <v>53</v>
      </c>
      <c r="E31" s="303">
        <v>7522</v>
      </c>
      <c r="F31" s="281">
        <v>1</v>
      </c>
      <c r="G31" s="85">
        <v>20053496</v>
      </c>
      <c r="H31" s="85" t="s">
        <v>686</v>
      </c>
      <c r="I31" s="57"/>
      <c r="J31" s="57"/>
      <c r="K31" s="309">
        <v>0</v>
      </c>
      <c r="L31" s="57"/>
      <c r="M31" s="57"/>
      <c r="N31" s="57"/>
      <c r="O31" s="57"/>
      <c r="P31" s="185">
        <f t="shared" si="0"/>
        <v>0</v>
      </c>
      <c r="Q31" s="130"/>
      <c r="R31" s="56"/>
      <c r="S31" s="58"/>
      <c r="T31" s="58"/>
      <c r="U31" s="58"/>
      <c r="V31" s="58" t="s">
        <v>47</v>
      </c>
      <c r="W31" s="57"/>
      <c r="X31" s="328">
        <f t="shared" si="1"/>
        <v>46179</v>
      </c>
      <c r="Y31" s="26" t="s">
        <v>61</v>
      </c>
      <c r="Z31" s="58"/>
      <c r="AA31" s="58"/>
      <c r="AB31" s="58" t="s">
        <v>49</v>
      </c>
      <c r="AC31" s="58"/>
      <c r="AD31" s="254" t="s">
        <v>48</v>
      </c>
      <c r="AE31" s="59"/>
      <c r="AF31" s="57"/>
      <c r="AG31" s="57"/>
      <c r="AH31" s="58"/>
      <c r="AI31" s="58"/>
      <c r="AJ31" s="56"/>
      <c r="AK31" s="58"/>
      <c r="AL31" s="57">
        <v>18</v>
      </c>
      <c r="AM31" s="225" t="s">
        <v>588</v>
      </c>
      <c r="AN31" s="254" t="s">
        <v>51</v>
      </c>
      <c r="AO31" s="126"/>
      <c r="AP31" s="129"/>
    </row>
    <row r="32" spans="1:42" s="41" customFormat="1" ht="14.25" customHeight="1" x14ac:dyDescent="0.2">
      <c r="A32" s="162">
        <v>46179</v>
      </c>
      <c r="B32" s="124"/>
      <c r="C32" s="296" t="s">
        <v>52</v>
      </c>
      <c r="D32" s="170" t="s">
        <v>53</v>
      </c>
      <c r="E32" s="303">
        <v>7523</v>
      </c>
      <c r="F32" s="281">
        <v>1</v>
      </c>
      <c r="G32" s="85">
        <v>20966059</v>
      </c>
      <c r="H32" s="85" t="s">
        <v>734</v>
      </c>
      <c r="I32" s="57"/>
      <c r="J32" s="57"/>
      <c r="K32" s="309">
        <v>7262</v>
      </c>
      <c r="L32" s="188"/>
      <c r="M32" s="188"/>
      <c r="N32" s="188"/>
      <c r="O32" s="188"/>
      <c r="P32" s="185">
        <f t="shared" si="0"/>
        <v>7262</v>
      </c>
      <c r="Q32" s="130"/>
      <c r="R32" s="56"/>
      <c r="S32" s="58"/>
      <c r="T32" s="58"/>
      <c r="U32" s="58"/>
      <c r="V32" s="58" t="s">
        <v>47</v>
      </c>
      <c r="W32" s="57"/>
      <c r="X32" s="328">
        <f t="shared" si="1"/>
        <v>46179</v>
      </c>
      <c r="Y32" s="26" t="s">
        <v>63</v>
      </c>
      <c r="Z32" s="58"/>
      <c r="AA32" s="58"/>
      <c r="AB32" s="58" t="s">
        <v>49</v>
      </c>
      <c r="AC32" s="58"/>
      <c r="AD32" s="254" t="s">
        <v>48</v>
      </c>
      <c r="AE32" s="59"/>
      <c r="AF32" s="57"/>
      <c r="AG32" s="57"/>
      <c r="AH32" s="58"/>
      <c r="AI32" s="58"/>
      <c r="AJ32" s="56"/>
      <c r="AK32" s="58"/>
      <c r="AL32" s="57">
        <v>18</v>
      </c>
      <c r="AM32" s="224" t="s">
        <v>50</v>
      </c>
      <c r="AN32" s="254" t="s">
        <v>51</v>
      </c>
      <c r="AO32" s="126"/>
      <c r="AP32" s="129"/>
    </row>
    <row r="33" spans="1:49" s="41" customFormat="1" ht="14.25" customHeight="1" x14ac:dyDescent="0.2">
      <c r="A33" s="162">
        <v>46179</v>
      </c>
      <c r="B33" s="124"/>
      <c r="C33" s="296" t="s">
        <v>52</v>
      </c>
      <c r="D33" s="170" t="s">
        <v>53</v>
      </c>
      <c r="E33" s="303">
        <v>7524</v>
      </c>
      <c r="F33" s="281">
        <v>1</v>
      </c>
      <c r="G33" s="85">
        <v>77042302</v>
      </c>
      <c r="H33" s="85" t="s">
        <v>804</v>
      </c>
      <c r="I33" s="57"/>
      <c r="J33" s="57"/>
      <c r="K33" s="309">
        <v>8180</v>
      </c>
      <c r="L33" s="188"/>
      <c r="M33" s="188"/>
      <c r="N33" s="188"/>
      <c r="O33" s="188"/>
      <c r="P33" s="185">
        <f t="shared" si="0"/>
        <v>8180</v>
      </c>
      <c r="Q33" s="130"/>
      <c r="R33" s="56"/>
      <c r="S33" s="58"/>
      <c r="T33" s="58"/>
      <c r="U33" s="58"/>
      <c r="V33" s="58" t="s">
        <v>47</v>
      </c>
      <c r="W33" s="57"/>
      <c r="X33" s="328">
        <f t="shared" si="1"/>
        <v>46179</v>
      </c>
      <c r="Y33" s="26" t="s">
        <v>63</v>
      </c>
      <c r="Z33" s="58"/>
      <c r="AA33" s="58"/>
      <c r="AB33" s="58" t="s">
        <v>49</v>
      </c>
      <c r="AC33" s="58"/>
      <c r="AD33" s="254" t="s">
        <v>48</v>
      </c>
      <c r="AE33" s="59"/>
      <c r="AF33" s="57"/>
      <c r="AG33" s="57"/>
      <c r="AH33" s="58"/>
      <c r="AI33" s="58"/>
      <c r="AJ33" s="56"/>
      <c r="AK33" s="58"/>
      <c r="AL33" s="57">
        <v>18</v>
      </c>
      <c r="AM33" s="224" t="s">
        <v>50</v>
      </c>
      <c r="AN33" s="254" t="s">
        <v>51</v>
      </c>
      <c r="AO33" s="126"/>
      <c r="AP33" s="129"/>
    </row>
    <row r="34" spans="1:49" s="20" customFormat="1" ht="14.25" customHeight="1" x14ac:dyDescent="0.2">
      <c r="A34" s="162">
        <v>46179</v>
      </c>
      <c r="B34" s="124"/>
      <c r="C34" s="296" t="s">
        <v>52</v>
      </c>
      <c r="D34" s="170" t="s">
        <v>53</v>
      </c>
      <c r="E34" s="303">
        <v>7525</v>
      </c>
      <c r="F34" s="281">
        <v>1</v>
      </c>
      <c r="G34" s="85">
        <v>71340606</v>
      </c>
      <c r="H34" s="85" t="s">
        <v>695</v>
      </c>
      <c r="I34" s="57"/>
      <c r="J34" s="57"/>
      <c r="K34" s="309">
        <v>0</v>
      </c>
      <c r="L34" s="57"/>
      <c r="M34" s="57"/>
      <c r="N34" s="57"/>
      <c r="O34" s="57"/>
      <c r="P34" s="185">
        <f t="shared" si="0"/>
        <v>0</v>
      </c>
      <c r="Q34" s="130"/>
      <c r="R34" s="56"/>
      <c r="S34" s="58"/>
      <c r="T34" s="58"/>
      <c r="U34" s="58"/>
      <c r="V34" s="58" t="s">
        <v>47</v>
      </c>
      <c r="W34" s="57"/>
      <c r="X34" s="328">
        <f t="shared" si="1"/>
        <v>46179</v>
      </c>
      <c r="Y34" s="26" t="s">
        <v>61</v>
      </c>
      <c r="Z34" s="26"/>
      <c r="AA34" s="26"/>
      <c r="AB34" s="26" t="s">
        <v>49</v>
      </c>
      <c r="AC34" s="26"/>
      <c r="AD34" s="254" t="s">
        <v>48</v>
      </c>
      <c r="AE34" s="27"/>
      <c r="AF34" s="24"/>
      <c r="AG34" s="24"/>
      <c r="AH34" s="26"/>
      <c r="AI34" s="26"/>
      <c r="AJ34" s="25"/>
      <c r="AK34" s="26"/>
      <c r="AL34" s="24">
        <v>18</v>
      </c>
      <c r="AM34" s="225" t="s">
        <v>588</v>
      </c>
      <c r="AN34" s="254" t="s">
        <v>51</v>
      </c>
      <c r="AO34" s="126"/>
      <c r="AP34" s="129"/>
    </row>
    <row r="35" spans="1:49" s="20" customFormat="1" ht="14.25" customHeight="1" x14ac:dyDescent="0.2">
      <c r="A35" s="162">
        <v>46180</v>
      </c>
      <c r="B35" s="124"/>
      <c r="C35" s="296" t="s">
        <v>52</v>
      </c>
      <c r="D35" s="170" t="s">
        <v>53</v>
      </c>
      <c r="E35" s="303">
        <v>7526</v>
      </c>
      <c r="F35" s="281">
        <v>1</v>
      </c>
      <c r="G35" s="85">
        <v>71993688</v>
      </c>
      <c r="H35" s="85" t="s">
        <v>735</v>
      </c>
      <c r="I35" s="57"/>
      <c r="J35" s="57"/>
      <c r="K35" s="309">
        <v>7262</v>
      </c>
      <c r="L35" s="188"/>
      <c r="M35" s="188"/>
      <c r="N35" s="188"/>
      <c r="O35" s="188"/>
      <c r="P35" s="185">
        <f t="shared" si="0"/>
        <v>7262</v>
      </c>
      <c r="Q35" s="130"/>
      <c r="R35" s="56"/>
      <c r="S35" s="58"/>
      <c r="T35" s="58"/>
      <c r="U35" s="58"/>
      <c r="V35" s="58" t="s">
        <v>47</v>
      </c>
      <c r="W35" s="57"/>
      <c r="X35" s="328">
        <f t="shared" si="1"/>
        <v>46180</v>
      </c>
      <c r="Y35" s="26" t="s">
        <v>63</v>
      </c>
      <c r="Z35" s="58"/>
      <c r="AA35" s="58"/>
      <c r="AB35" s="58" t="s">
        <v>49</v>
      </c>
      <c r="AC35" s="58"/>
      <c r="AD35" s="254" t="s">
        <v>48</v>
      </c>
      <c r="AE35" s="59"/>
      <c r="AF35" s="57"/>
      <c r="AG35" s="57"/>
      <c r="AH35" s="58"/>
      <c r="AI35" s="58"/>
      <c r="AJ35" s="56"/>
      <c r="AK35" s="58"/>
      <c r="AL35" s="57">
        <v>18</v>
      </c>
      <c r="AM35" s="224" t="s">
        <v>50</v>
      </c>
      <c r="AN35" s="254" t="s">
        <v>51</v>
      </c>
      <c r="AO35" s="126"/>
      <c r="AP35" s="129"/>
    </row>
    <row r="36" spans="1:49" s="41" customFormat="1" ht="14.25" customHeight="1" x14ac:dyDescent="0.2">
      <c r="A36" s="162">
        <v>46181</v>
      </c>
      <c r="B36" s="124"/>
      <c r="C36" s="296" t="s">
        <v>52</v>
      </c>
      <c r="D36" s="170" t="s">
        <v>53</v>
      </c>
      <c r="E36" s="303">
        <v>7527</v>
      </c>
      <c r="F36" s="281">
        <v>1</v>
      </c>
      <c r="G36" s="85">
        <v>76583170</v>
      </c>
      <c r="H36" s="85" t="s">
        <v>680</v>
      </c>
      <c r="I36" s="57"/>
      <c r="J36" s="57"/>
      <c r="K36" s="309">
        <v>0</v>
      </c>
      <c r="L36" s="57"/>
      <c r="M36" s="57"/>
      <c r="N36" s="57"/>
      <c r="O36" s="57"/>
      <c r="P36" s="185">
        <f t="shared" si="0"/>
        <v>0</v>
      </c>
      <c r="Q36" s="130"/>
      <c r="R36" s="56"/>
      <c r="S36" s="58"/>
      <c r="T36" s="58"/>
      <c r="U36" s="58"/>
      <c r="V36" s="58" t="s">
        <v>47</v>
      </c>
      <c r="W36" s="57"/>
      <c r="X36" s="328">
        <f t="shared" si="1"/>
        <v>46181</v>
      </c>
      <c r="Y36" s="26" t="s">
        <v>61</v>
      </c>
      <c r="Z36" s="58"/>
      <c r="AA36" s="58"/>
      <c r="AB36" s="58" t="s">
        <v>49</v>
      </c>
      <c r="AC36" s="58"/>
      <c r="AD36" s="254" t="s">
        <v>48</v>
      </c>
      <c r="AE36" s="59"/>
      <c r="AF36" s="57"/>
      <c r="AG36" s="57"/>
      <c r="AH36" s="58"/>
      <c r="AI36" s="58"/>
      <c r="AJ36" s="56"/>
      <c r="AK36" s="58"/>
      <c r="AL36" s="57">
        <v>18</v>
      </c>
      <c r="AM36" s="225" t="s">
        <v>588</v>
      </c>
      <c r="AN36" s="254" t="s">
        <v>51</v>
      </c>
      <c r="AO36" s="126"/>
      <c r="AP36" s="129"/>
    </row>
    <row r="37" spans="1:49" s="41" customFormat="1" ht="14.25" customHeight="1" x14ac:dyDescent="0.2">
      <c r="A37" s="162">
        <v>46181</v>
      </c>
      <c r="B37" s="124"/>
      <c r="C37" s="296" t="s">
        <v>52</v>
      </c>
      <c r="D37" s="170" t="s">
        <v>53</v>
      </c>
      <c r="E37" s="303">
        <v>7528</v>
      </c>
      <c r="F37" s="281">
        <v>1</v>
      </c>
      <c r="G37" s="85">
        <v>75916306</v>
      </c>
      <c r="H37" s="85" t="s">
        <v>736</v>
      </c>
      <c r="I37" s="57"/>
      <c r="J37" s="57"/>
      <c r="K37" s="309">
        <v>5280</v>
      </c>
      <c r="L37" s="184"/>
      <c r="M37" s="184"/>
      <c r="N37" s="184"/>
      <c r="O37" s="184"/>
      <c r="P37" s="185">
        <f t="shared" si="0"/>
        <v>5280</v>
      </c>
      <c r="Q37" s="106"/>
      <c r="R37" s="56"/>
      <c r="S37" s="58"/>
      <c r="T37" s="58"/>
      <c r="U37" s="58"/>
      <c r="V37" s="58" t="s">
        <v>47</v>
      </c>
      <c r="W37" s="57"/>
      <c r="X37" s="328">
        <f t="shared" si="1"/>
        <v>46181</v>
      </c>
      <c r="Y37" s="26" t="s">
        <v>63</v>
      </c>
      <c r="Z37" s="58"/>
      <c r="AA37" s="58"/>
      <c r="AB37" s="58" t="s">
        <v>49</v>
      </c>
      <c r="AC37" s="58"/>
      <c r="AD37" s="254" t="s">
        <v>48</v>
      </c>
      <c r="AE37" s="59"/>
      <c r="AF37" s="57"/>
      <c r="AG37" s="57"/>
      <c r="AH37" s="58"/>
      <c r="AI37" s="58"/>
      <c r="AJ37" s="56"/>
      <c r="AK37" s="58"/>
      <c r="AL37" s="57">
        <v>18</v>
      </c>
      <c r="AM37" s="224" t="s">
        <v>50</v>
      </c>
      <c r="AN37" s="254" t="s">
        <v>51</v>
      </c>
      <c r="AO37" s="126"/>
      <c r="AP37" s="129"/>
    </row>
    <row r="38" spans="1:49" s="41" customFormat="1" ht="14.25" customHeight="1" x14ac:dyDescent="0.2">
      <c r="A38" s="162">
        <v>46181</v>
      </c>
      <c r="B38" s="124"/>
      <c r="C38" s="296" t="s">
        <v>52</v>
      </c>
      <c r="D38" s="170" t="s">
        <v>53</v>
      </c>
      <c r="E38" s="303">
        <v>7529</v>
      </c>
      <c r="F38" s="281">
        <v>1</v>
      </c>
      <c r="G38" s="85">
        <v>75916306</v>
      </c>
      <c r="H38" s="85" t="s">
        <v>736</v>
      </c>
      <c r="I38" s="57"/>
      <c r="J38" s="57"/>
      <c r="K38" s="309">
        <v>0</v>
      </c>
      <c r="L38" s="57"/>
      <c r="M38" s="57"/>
      <c r="N38" s="57"/>
      <c r="O38" s="57"/>
      <c r="P38" s="185">
        <f t="shared" si="0"/>
        <v>0</v>
      </c>
      <c r="Q38" s="130"/>
      <c r="R38" s="56"/>
      <c r="S38" s="58"/>
      <c r="T38" s="58"/>
      <c r="U38" s="58"/>
      <c r="V38" s="58" t="s">
        <v>47</v>
      </c>
      <c r="W38" s="57"/>
      <c r="X38" s="328">
        <f t="shared" si="1"/>
        <v>46181</v>
      </c>
      <c r="Y38" s="26" t="s">
        <v>61</v>
      </c>
      <c r="Z38" s="58"/>
      <c r="AA38" s="58"/>
      <c r="AB38" s="58" t="s">
        <v>49</v>
      </c>
      <c r="AC38" s="58"/>
      <c r="AD38" s="254" t="s">
        <v>48</v>
      </c>
      <c r="AE38" s="59"/>
      <c r="AF38" s="57"/>
      <c r="AG38" s="57"/>
      <c r="AH38" s="58"/>
      <c r="AI38" s="58"/>
      <c r="AJ38" s="56"/>
      <c r="AK38" s="58"/>
      <c r="AL38" s="57">
        <v>18</v>
      </c>
      <c r="AM38" s="225" t="s">
        <v>588</v>
      </c>
      <c r="AN38" s="254" t="s">
        <v>51</v>
      </c>
      <c r="AO38" s="126"/>
      <c r="AP38" s="129"/>
    </row>
    <row r="39" spans="1:49" s="105" customFormat="1" ht="14.25" customHeight="1" x14ac:dyDescent="0.2">
      <c r="A39" s="162">
        <v>46181</v>
      </c>
      <c r="B39" s="133"/>
      <c r="C39" s="296" t="s">
        <v>52</v>
      </c>
      <c r="D39" s="170" t="s">
        <v>53</v>
      </c>
      <c r="E39" s="303">
        <v>7530</v>
      </c>
      <c r="F39" s="281">
        <v>1</v>
      </c>
      <c r="G39" s="85">
        <v>60102401</v>
      </c>
      <c r="H39" s="85" t="s">
        <v>803</v>
      </c>
      <c r="I39" s="24"/>
      <c r="J39" s="24"/>
      <c r="K39" s="309">
        <v>5470</v>
      </c>
      <c r="L39" s="187"/>
      <c r="M39" s="187"/>
      <c r="N39" s="187"/>
      <c r="O39" s="187"/>
      <c r="P39" s="185">
        <f t="shared" si="0"/>
        <v>5470</v>
      </c>
      <c r="Q39" s="135"/>
      <c r="R39" s="25"/>
      <c r="S39" s="26"/>
      <c r="T39" s="26"/>
      <c r="U39" s="26"/>
      <c r="V39" s="26" t="s">
        <v>47</v>
      </c>
      <c r="W39" s="24"/>
      <c r="X39" s="328">
        <f t="shared" si="1"/>
        <v>46181</v>
      </c>
      <c r="Y39" s="26" t="s">
        <v>63</v>
      </c>
      <c r="Z39" s="58"/>
      <c r="AA39" s="58"/>
      <c r="AB39" s="58" t="s">
        <v>49</v>
      </c>
      <c r="AC39" s="58"/>
      <c r="AD39" s="254" t="s">
        <v>48</v>
      </c>
      <c r="AE39" s="59"/>
      <c r="AF39" s="57"/>
      <c r="AG39" s="57"/>
      <c r="AH39" s="58"/>
      <c r="AI39" s="58"/>
      <c r="AJ39" s="56"/>
      <c r="AK39" s="58"/>
      <c r="AL39" s="57">
        <v>18</v>
      </c>
      <c r="AM39" s="224" t="s">
        <v>50</v>
      </c>
      <c r="AN39" s="255" t="s">
        <v>51</v>
      </c>
      <c r="AO39" s="131"/>
      <c r="AP39" s="132"/>
      <c r="AW39" s="103"/>
    </row>
    <row r="40" spans="1:49" s="41" customFormat="1" ht="14.25" customHeight="1" x14ac:dyDescent="0.2">
      <c r="A40" s="162">
        <v>46181</v>
      </c>
      <c r="B40" s="124"/>
      <c r="C40" s="296" t="s">
        <v>52</v>
      </c>
      <c r="D40" s="170" t="s">
        <v>53</v>
      </c>
      <c r="E40" s="303">
        <v>7531</v>
      </c>
      <c r="F40" s="281">
        <v>1</v>
      </c>
      <c r="G40" s="85">
        <v>60102401</v>
      </c>
      <c r="H40" s="85" t="s">
        <v>803</v>
      </c>
      <c r="I40" s="57"/>
      <c r="J40" s="57"/>
      <c r="K40" s="309">
        <v>0</v>
      </c>
      <c r="L40" s="57"/>
      <c r="M40" s="57"/>
      <c r="N40" s="57"/>
      <c r="O40" s="57"/>
      <c r="P40" s="185">
        <f t="shared" si="0"/>
        <v>0</v>
      </c>
      <c r="Q40" s="130"/>
      <c r="R40" s="56"/>
      <c r="S40" s="58"/>
      <c r="T40" s="58"/>
      <c r="U40" s="58"/>
      <c r="V40" s="58" t="s">
        <v>47</v>
      </c>
      <c r="W40" s="57"/>
      <c r="X40" s="328">
        <f t="shared" si="1"/>
        <v>46181</v>
      </c>
      <c r="Y40" s="26" t="s">
        <v>61</v>
      </c>
      <c r="Z40" s="58"/>
      <c r="AA40" s="58"/>
      <c r="AB40" s="58" t="s">
        <v>49</v>
      </c>
      <c r="AC40" s="58"/>
      <c r="AD40" s="254" t="s">
        <v>48</v>
      </c>
      <c r="AE40" s="59"/>
      <c r="AF40" s="57"/>
      <c r="AG40" s="57"/>
      <c r="AH40" s="58"/>
      <c r="AI40" s="58"/>
      <c r="AJ40" s="56"/>
      <c r="AK40" s="58"/>
      <c r="AL40" s="57">
        <v>18</v>
      </c>
      <c r="AM40" s="225" t="s">
        <v>588</v>
      </c>
      <c r="AN40" s="254" t="s">
        <v>51</v>
      </c>
      <c r="AO40" s="126"/>
      <c r="AP40" s="129"/>
    </row>
    <row r="41" spans="1:49" s="41" customFormat="1" ht="14.25" customHeight="1" x14ac:dyDescent="0.2">
      <c r="A41" s="162">
        <v>46181</v>
      </c>
      <c r="B41" s="124"/>
      <c r="C41" s="296" t="s">
        <v>52</v>
      </c>
      <c r="D41" s="170" t="s">
        <v>53</v>
      </c>
      <c r="E41" s="303">
        <v>7532</v>
      </c>
      <c r="F41" s="281">
        <v>1</v>
      </c>
      <c r="G41" s="85">
        <v>74362763</v>
      </c>
      <c r="H41" s="85" t="s">
        <v>808</v>
      </c>
      <c r="I41" s="57"/>
      <c r="J41" s="57"/>
      <c r="K41" s="309">
        <v>6330</v>
      </c>
      <c r="L41" s="188"/>
      <c r="M41" s="188"/>
      <c r="N41" s="188"/>
      <c r="O41" s="188"/>
      <c r="P41" s="185">
        <f t="shared" si="0"/>
        <v>6330</v>
      </c>
      <c r="Q41" s="130"/>
      <c r="R41" s="56"/>
      <c r="S41" s="58"/>
      <c r="T41" s="58"/>
      <c r="U41" s="58"/>
      <c r="V41" s="58" t="s">
        <v>47</v>
      </c>
      <c r="W41" s="57"/>
      <c r="X41" s="328">
        <f t="shared" si="1"/>
        <v>46181</v>
      </c>
      <c r="Y41" s="26" t="s">
        <v>63</v>
      </c>
      <c r="Z41" s="58"/>
      <c r="AA41" s="58"/>
      <c r="AB41" s="58" t="s">
        <v>49</v>
      </c>
      <c r="AC41" s="58"/>
      <c r="AD41" s="254" t="s">
        <v>48</v>
      </c>
      <c r="AE41" s="59"/>
      <c r="AF41" s="57"/>
      <c r="AG41" s="57"/>
      <c r="AH41" s="58"/>
      <c r="AI41" s="58"/>
      <c r="AJ41" s="56"/>
      <c r="AK41" s="58"/>
      <c r="AL41" s="57">
        <v>18</v>
      </c>
      <c r="AM41" s="224" t="s">
        <v>50</v>
      </c>
      <c r="AN41" s="254" t="s">
        <v>51</v>
      </c>
      <c r="AO41" s="126"/>
      <c r="AP41" s="129"/>
    </row>
    <row r="42" spans="1:49" s="20" customFormat="1" ht="14.25" customHeight="1" x14ac:dyDescent="0.2">
      <c r="A42" s="162">
        <v>46181</v>
      </c>
      <c r="B42" s="124"/>
      <c r="C42" s="296" t="s">
        <v>52</v>
      </c>
      <c r="D42" s="170" t="s">
        <v>53</v>
      </c>
      <c r="E42" s="303">
        <v>7533</v>
      </c>
      <c r="F42" s="281">
        <v>1</v>
      </c>
      <c r="G42" s="85">
        <v>74362763</v>
      </c>
      <c r="H42" s="85" t="s">
        <v>808</v>
      </c>
      <c r="I42" s="57"/>
      <c r="J42" s="57"/>
      <c r="K42" s="309">
        <v>0</v>
      </c>
      <c r="L42" s="188"/>
      <c r="M42" s="188"/>
      <c r="N42" s="188"/>
      <c r="O42" s="188"/>
      <c r="P42" s="185">
        <f t="shared" si="0"/>
        <v>0</v>
      </c>
      <c r="Q42" s="130"/>
      <c r="R42" s="56"/>
      <c r="S42" s="58"/>
      <c r="T42" s="58"/>
      <c r="U42" s="58"/>
      <c r="V42" s="58" t="s">
        <v>47</v>
      </c>
      <c r="W42" s="57"/>
      <c r="X42" s="328">
        <f t="shared" si="1"/>
        <v>46181</v>
      </c>
      <c r="Y42" s="26" t="s">
        <v>61</v>
      </c>
      <c r="Z42" s="58"/>
      <c r="AA42" s="58"/>
      <c r="AB42" s="58" t="s">
        <v>49</v>
      </c>
      <c r="AC42" s="58"/>
      <c r="AD42" s="254" t="s">
        <v>48</v>
      </c>
      <c r="AE42" s="59"/>
      <c r="AF42" s="57"/>
      <c r="AG42" s="57"/>
      <c r="AH42" s="58"/>
      <c r="AI42" s="58"/>
      <c r="AJ42" s="56"/>
      <c r="AK42" s="58"/>
      <c r="AL42" s="57">
        <v>18</v>
      </c>
      <c r="AM42" s="225" t="s">
        <v>588</v>
      </c>
      <c r="AN42" s="254" t="s">
        <v>51</v>
      </c>
      <c r="AO42" s="126"/>
      <c r="AP42" s="129"/>
    </row>
    <row r="43" spans="1:49" s="20" customFormat="1" ht="14.25" customHeight="1" x14ac:dyDescent="0.2">
      <c r="A43" s="162">
        <v>46181</v>
      </c>
      <c r="B43" s="124"/>
      <c r="C43" s="296" t="s">
        <v>52</v>
      </c>
      <c r="D43" s="170" t="s">
        <v>53</v>
      </c>
      <c r="E43" s="303">
        <v>7534</v>
      </c>
      <c r="F43" s="281">
        <v>1</v>
      </c>
      <c r="G43" s="85">
        <v>48183455</v>
      </c>
      <c r="H43" s="85" t="s">
        <v>737</v>
      </c>
      <c r="I43" s="57"/>
      <c r="J43" s="57"/>
      <c r="K43" s="309">
        <v>7262</v>
      </c>
      <c r="L43" s="57"/>
      <c r="M43" s="57"/>
      <c r="N43" s="57"/>
      <c r="O43" s="57"/>
      <c r="P43" s="185">
        <f t="shared" si="0"/>
        <v>7262</v>
      </c>
      <c r="Q43" s="130"/>
      <c r="R43" s="56"/>
      <c r="S43" s="58"/>
      <c r="T43" s="58"/>
      <c r="U43" s="58"/>
      <c r="V43" s="58" t="s">
        <v>47</v>
      </c>
      <c r="W43" s="57"/>
      <c r="X43" s="328">
        <f t="shared" si="1"/>
        <v>46181</v>
      </c>
      <c r="Y43" s="26" t="s">
        <v>63</v>
      </c>
      <c r="Z43" s="58"/>
      <c r="AA43" s="58"/>
      <c r="AB43" s="58" t="s">
        <v>49</v>
      </c>
      <c r="AC43" s="58"/>
      <c r="AD43" s="254" t="s">
        <v>48</v>
      </c>
      <c r="AE43" s="59"/>
      <c r="AF43" s="57"/>
      <c r="AG43" s="57"/>
      <c r="AH43" s="58"/>
      <c r="AI43" s="58"/>
      <c r="AJ43" s="56"/>
      <c r="AK43" s="58"/>
      <c r="AL43" s="57">
        <v>18</v>
      </c>
      <c r="AM43" s="224" t="s">
        <v>50</v>
      </c>
      <c r="AN43" s="254" t="s">
        <v>51</v>
      </c>
      <c r="AO43" s="126"/>
      <c r="AP43" s="129"/>
    </row>
    <row r="44" spans="1:49" s="20" customFormat="1" ht="14.25" customHeight="1" x14ac:dyDescent="0.2">
      <c r="A44" s="162">
        <v>46181</v>
      </c>
      <c r="B44" s="124"/>
      <c r="C44" s="296" t="s">
        <v>52</v>
      </c>
      <c r="D44" s="170" t="s">
        <v>53</v>
      </c>
      <c r="E44" s="303">
        <v>7535</v>
      </c>
      <c r="F44" s="281">
        <v>1</v>
      </c>
      <c r="G44" s="85">
        <v>73245964</v>
      </c>
      <c r="H44" s="85" t="s">
        <v>738</v>
      </c>
      <c r="I44" s="57"/>
      <c r="J44" s="57"/>
      <c r="K44" s="309">
        <v>5280</v>
      </c>
      <c r="L44" s="188"/>
      <c r="M44" s="188"/>
      <c r="N44" s="188"/>
      <c r="O44" s="188"/>
      <c r="P44" s="185">
        <f t="shared" si="0"/>
        <v>5280</v>
      </c>
      <c r="Q44" s="130"/>
      <c r="R44" s="56"/>
      <c r="S44" s="58"/>
      <c r="T44" s="58"/>
      <c r="U44" s="58"/>
      <c r="V44" s="58" t="s">
        <v>47</v>
      </c>
      <c r="W44" s="57"/>
      <c r="X44" s="328">
        <f t="shared" si="1"/>
        <v>46181</v>
      </c>
      <c r="Y44" s="26" t="s">
        <v>63</v>
      </c>
      <c r="Z44" s="58"/>
      <c r="AA44" s="58"/>
      <c r="AB44" s="58" t="s">
        <v>49</v>
      </c>
      <c r="AC44" s="58"/>
      <c r="AD44" s="254" t="s">
        <v>48</v>
      </c>
      <c r="AE44" s="59"/>
      <c r="AF44" s="57"/>
      <c r="AG44" s="57"/>
      <c r="AH44" s="58"/>
      <c r="AI44" s="58"/>
      <c r="AJ44" s="56"/>
      <c r="AK44" s="58"/>
      <c r="AL44" s="57">
        <v>18</v>
      </c>
      <c r="AM44" s="224" t="s">
        <v>50</v>
      </c>
      <c r="AN44" s="254" t="s">
        <v>51</v>
      </c>
      <c r="AO44" s="126"/>
      <c r="AP44" s="129"/>
    </row>
    <row r="45" spans="1:49" s="20" customFormat="1" ht="14.25" customHeight="1" x14ac:dyDescent="0.2">
      <c r="A45" s="162">
        <v>46181</v>
      </c>
      <c r="B45" s="124"/>
      <c r="C45" s="296" t="s">
        <v>52</v>
      </c>
      <c r="D45" s="170" t="s">
        <v>53</v>
      </c>
      <c r="E45" s="303">
        <v>7536</v>
      </c>
      <c r="F45" s="281">
        <v>1</v>
      </c>
      <c r="G45" s="85">
        <v>73245964</v>
      </c>
      <c r="H45" s="85" t="s">
        <v>738</v>
      </c>
      <c r="I45" s="57"/>
      <c r="J45" s="57"/>
      <c r="K45" s="309">
        <v>0</v>
      </c>
      <c r="L45" s="188"/>
      <c r="M45" s="188"/>
      <c r="N45" s="188"/>
      <c r="O45" s="188"/>
      <c r="P45" s="185">
        <f t="shared" si="0"/>
        <v>0</v>
      </c>
      <c r="Q45" s="130"/>
      <c r="R45" s="56"/>
      <c r="S45" s="58"/>
      <c r="T45" s="58"/>
      <c r="U45" s="58"/>
      <c r="V45" s="58" t="s">
        <v>47</v>
      </c>
      <c r="W45" s="57"/>
      <c r="X45" s="328">
        <f t="shared" si="1"/>
        <v>46181</v>
      </c>
      <c r="Y45" s="26" t="s">
        <v>61</v>
      </c>
      <c r="Z45" s="58"/>
      <c r="AA45" s="58"/>
      <c r="AB45" s="58" t="s">
        <v>49</v>
      </c>
      <c r="AC45" s="58"/>
      <c r="AD45" s="254" t="s">
        <v>48</v>
      </c>
      <c r="AE45" s="59"/>
      <c r="AF45" s="57"/>
      <c r="AG45" s="57"/>
      <c r="AH45" s="58"/>
      <c r="AI45" s="58"/>
      <c r="AJ45" s="56"/>
      <c r="AK45" s="58"/>
      <c r="AL45" s="57">
        <v>18</v>
      </c>
      <c r="AM45" s="225" t="s">
        <v>588</v>
      </c>
      <c r="AN45" s="254" t="s">
        <v>51</v>
      </c>
      <c r="AO45" s="126"/>
      <c r="AP45" s="129"/>
    </row>
    <row r="46" spans="1:49" s="20" customFormat="1" ht="14.25" customHeight="1" x14ac:dyDescent="0.2">
      <c r="A46" s="162">
        <v>46182</v>
      </c>
      <c r="B46" s="124"/>
      <c r="C46" s="296" t="s">
        <v>52</v>
      </c>
      <c r="D46" s="170" t="s">
        <v>53</v>
      </c>
      <c r="E46" s="303">
        <v>7537</v>
      </c>
      <c r="F46" s="281">
        <v>1</v>
      </c>
      <c r="G46" s="85">
        <v>74400122</v>
      </c>
      <c r="H46" s="85" t="s">
        <v>739</v>
      </c>
      <c r="I46" s="57"/>
      <c r="J46" s="57"/>
      <c r="K46" s="309">
        <v>5470</v>
      </c>
      <c r="L46" s="188"/>
      <c r="M46" s="188"/>
      <c r="N46" s="188"/>
      <c r="O46" s="188"/>
      <c r="P46" s="185">
        <f t="shared" si="0"/>
        <v>5470</v>
      </c>
      <c r="Q46" s="130"/>
      <c r="R46" s="56"/>
      <c r="S46" s="58"/>
      <c r="T46" s="58"/>
      <c r="U46" s="58"/>
      <c r="V46" s="58" t="s">
        <v>47</v>
      </c>
      <c r="W46" s="57"/>
      <c r="X46" s="328">
        <f t="shared" si="1"/>
        <v>46182</v>
      </c>
      <c r="Y46" s="26" t="s">
        <v>63</v>
      </c>
      <c r="Z46" s="58"/>
      <c r="AA46" s="58"/>
      <c r="AB46" s="58" t="s">
        <v>49</v>
      </c>
      <c r="AC46" s="58"/>
      <c r="AD46" s="254" t="s">
        <v>48</v>
      </c>
      <c r="AE46" s="59"/>
      <c r="AF46" s="57"/>
      <c r="AG46" s="57"/>
      <c r="AH46" s="58"/>
      <c r="AI46" s="58"/>
      <c r="AJ46" s="56"/>
      <c r="AK46" s="58"/>
      <c r="AL46" s="57">
        <v>18</v>
      </c>
      <c r="AM46" s="224" t="s">
        <v>50</v>
      </c>
      <c r="AN46" s="254" t="s">
        <v>51</v>
      </c>
      <c r="AO46" s="126"/>
      <c r="AP46" s="129"/>
    </row>
    <row r="47" spans="1:49" s="41" customFormat="1" ht="14.25" customHeight="1" x14ac:dyDescent="0.2">
      <c r="A47" s="162">
        <v>46182</v>
      </c>
      <c r="B47" s="124"/>
      <c r="C47" s="296" t="s">
        <v>52</v>
      </c>
      <c r="D47" s="170" t="s">
        <v>53</v>
      </c>
      <c r="E47" s="303">
        <v>7538</v>
      </c>
      <c r="F47" s="281">
        <v>1</v>
      </c>
      <c r="G47" s="85">
        <v>74400122</v>
      </c>
      <c r="H47" s="85" t="s">
        <v>739</v>
      </c>
      <c r="I47" s="57"/>
      <c r="J47" s="57"/>
      <c r="K47" s="309">
        <v>0</v>
      </c>
      <c r="L47" s="57"/>
      <c r="M47" s="57"/>
      <c r="N47" s="57"/>
      <c r="O47" s="57"/>
      <c r="P47" s="185">
        <f t="shared" si="0"/>
        <v>0</v>
      </c>
      <c r="Q47" s="130"/>
      <c r="R47" s="56"/>
      <c r="S47" s="58"/>
      <c r="T47" s="58"/>
      <c r="U47" s="58"/>
      <c r="V47" s="58" t="s">
        <v>47</v>
      </c>
      <c r="W47" s="57"/>
      <c r="X47" s="328">
        <f t="shared" si="1"/>
        <v>46182</v>
      </c>
      <c r="Y47" s="26" t="s">
        <v>61</v>
      </c>
      <c r="Z47" s="58"/>
      <c r="AA47" s="58"/>
      <c r="AB47" s="58" t="s">
        <v>49</v>
      </c>
      <c r="AC47" s="58"/>
      <c r="AD47" s="254" t="s">
        <v>48</v>
      </c>
      <c r="AE47" s="59"/>
      <c r="AF47" s="57"/>
      <c r="AG47" s="57"/>
      <c r="AH47" s="58"/>
      <c r="AI47" s="58"/>
      <c r="AJ47" s="56"/>
      <c r="AK47" s="58"/>
      <c r="AL47" s="57">
        <v>18</v>
      </c>
      <c r="AM47" s="225" t="s">
        <v>588</v>
      </c>
      <c r="AN47" s="254" t="s">
        <v>51</v>
      </c>
      <c r="AO47" s="126"/>
      <c r="AP47" s="129"/>
    </row>
    <row r="48" spans="1:49" s="41" customFormat="1" ht="14.25" customHeight="1" x14ac:dyDescent="0.2">
      <c r="A48" s="162">
        <v>46182</v>
      </c>
      <c r="B48" s="136"/>
      <c r="C48" s="296" t="s">
        <v>52</v>
      </c>
      <c r="D48" s="170" t="s">
        <v>53</v>
      </c>
      <c r="E48" s="303">
        <v>7539</v>
      </c>
      <c r="F48" s="281">
        <v>1</v>
      </c>
      <c r="G48" s="85">
        <v>44794329</v>
      </c>
      <c r="H48" s="85" t="s">
        <v>802</v>
      </c>
      <c r="I48" s="57"/>
      <c r="J48" s="57"/>
      <c r="K48" s="309">
        <v>8180</v>
      </c>
      <c r="L48" s="188"/>
      <c r="M48" s="188"/>
      <c r="N48" s="188"/>
      <c r="O48" s="188"/>
      <c r="P48" s="185">
        <f t="shared" si="0"/>
        <v>8180</v>
      </c>
      <c r="Q48" s="130"/>
      <c r="R48" s="56"/>
      <c r="S48" s="58"/>
      <c r="T48" s="58"/>
      <c r="U48" s="58"/>
      <c r="V48" s="58" t="s">
        <v>47</v>
      </c>
      <c r="W48" s="57"/>
      <c r="X48" s="328">
        <f t="shared" si="1"/>
        <v>46182</v>
      </c>
      <c r="Y48" s="26" t="s">
        <v>63</v>
      </c>
      <c r="Z48" s="58"/>
      <c r="AA48" s="58"/>
      <c r="AB48" s="58" t="s">
        <v>49</v>
      </c>
      <c r="AC48" s="58"/>
      <c r="AD48" s="254" t="s">
        <v>48</v>
      </c>
      <c r="AE48" s="59"/>
      <c r="AF48" s="57"/>
      <c r="AG48" s="57"/>
      <c r="AH48" s="58"/>
      <c r="AI48" s="58"/>
      <c r="AJ48" s="56"/>
      <c r="AK48" s="58"/>
      <c r="AL48" s="57">
        <v>18</v>
      </c>
      <c r="AM48" s="224" t="s">
        <v>50</v>
      </c>
      <c r="AN48" s="254" t="s">
        <v>51</v>
      </c>
      <c r="AO48" s="126"/>
      <c r="AP48" s="129"/>
    </row>
    <row r="49" spans="1:42" s="20" customFormat="1" ht="14.25" customHeight="1" x14ac:dyDescent="0.2">
      <c r="A49" s="162">
        <v>46182</v>
      </c>
      <c r="B49" s="124"/>
      <c r="C49" s="296" t="s">
        <v>52</v>
      </c>
      <c r="D49" s="170" t="s">
        <v>53</v>
      </c>
      <c r="E49" s="303">
        <v>7540</v>
      </c>
      <c r="F49" s="281">
        <v>1</v>
      </c>
      <c r="G49" s="85">
        <v>40939358</v>
      </c>
      <c r="H49" s="85" t="s">
        <v>740</v>
      </c>
      <c r="I49" s="57"/>
      <c r="J49" s="57"/>
      <c r="K49" s="309">
        <v>8180</v>
      </c>
      <c r="L49" s="188"/>
      <c r="M49" s="188"/>
      <c r="N49" s="188"/>
      <c r="O49" s="188"/>
      <c r="P49" s="185">
        <f t="shared" si="0"/>
        <v>8180</v>
      </c>
      <c r="Q49" s="130"/>
      <c r="R49" s="56"/>
      <c r="S49" s="58"/>
      <c r="T49" s="58"/>
      <c r="U49" s="58"/>
      <c r="V49" s="58" t="s">
        <v>47</v>
      </c>
      <c r="W49" s="57"/>
      <c r="X49" s="328">
        <f t="shared" si="1"/>
        <v>46182</v>
      </c>
      <c r="Y49" s="26" t="s">
        <v>63</v>
      </c>
      <c r="Z49" s="58"/>
      <c r="AA49" s="58"/>
      <c r="AB49" s="58" t="s">
        <v>49</v>
      </c>
      <c r="AC49" s="58"/>
      <c r="AD49" s="254" t="s">
        <v>48</v>
      </c>
      <c r="AE49" s="59"/>
      <c r="AF49" s="57"/>
      <c r="AG49" s="57"/>
      <c r="AH49" s="58"/>
      <c r="AI49" s="58"/>
      <c r="AJ49" s="56"/>
      <c r="AK49" s="58"/>
      <c r="AL49" s="57">
        <v>18</v>
      </c>
      <c r="AM49" s="224" t="s">
        <v>50</v>
      </c>
      <c r="AN49" s="254" t="s">
        <v>51</v>
      </c>
      <c r="AO49" s="126"/>
      <c r="AP49" s="129"/>
    </row>
    <row r="50" spans="1:42" s="20" customFormat="1" ht="14.25" customHeight="1" x14ac:dyDescent="0.2">
      <c r="A50" s="162">
        <v>46183</v>
      </c>
      <c r="B50" s="124"/>
      <c r="C50" s="296" t="s">
        <v>52</v>
      </c>
      <c r="D50" s="170" t="s">
        <v>53</v>
      </c>
      <c r="E50" s="303">
        <v>7541</v>
      </c>
      <c r="F50" s="281">
        <v>1</v>
      </c>
      <c r="G50" s="85">
        <v>45041369</v>
      </c>
      <c r="H50" s="85" t="s">
        <v>741</v>
      </c>
      <c r="I50" s="57"/>
      <c r="J50" s="57"/>
      <c r="K50" s="309">
        <v>10248</v>
      </c>
      <c r="L50" s="188"/>
      <c r="M50" s="188"/>
      <c r="N50" s="188"/>
      <c r="O50" s="188"/>
      <c r="P50" s="185">
        <f t="shared" si="0"/>
        <v>10248</v>
      </c>
      <c r="Q50" s="130"/>
      <c r="R50" s="56"/>
      <c r="S50" s="58"/>
      <c r="T50" s="58"/>
      <c r="U50" s="58"/>
      <c r="V50" s="58" t="s">
        <v>47</v>
      </c>
      <c r="W50" s="57"/>
      <c r="X50" s="328">
        <f t="shared" si="1"/>
        <v>46183</v>
      </c>
      <c r="Y50" s="26" t="s">
        <v>63</v>
      </c>
      <c r="Z50" s="58"/>
      <c r="AA50" s="58"/>
      <c r="AB50" s="58" t="s">
        <v>49</v>
      </c>
      <c r="AC50" s="58"/>
      <c r="AD50" s="254" t="s">
        <v>48</v>
      </c>
      <c r="AE50" s="59"/>
      <c r="AF50" s="57"/>
      <c r="AG50" s="57"/>
      <c r="AH50" s="58"/>
      <c r="AI50" s="58"/>
      <c r="AJ50" s="56"/>
      <c r="AK50" s="58"/>
      <c r="AL50" s="57">
        <v>18</v>
      </c>
      <c r="AM50" s="224" t="s">
        <v>50</v>
      </c>
      <c r="AN50" s="254" t="s">
        <v>51</v>
      </c>
      <c r="AO50" s="126"/>
      <c r="AP50" s="129"/>
    </row>
    <row r="51" spans="1:42" s="20" customFormat="1" ht="14.25" customHeight="1" x14ac:dyDescent="0.2">
      <c r="A51" s="162">
        <v>46183</v>
      </c>
      <c r="B51" s="124"/>
      <c r="C51" s="296" t="s">
        <v>52</v>
      </c>
      <c r="D51" s="170" t="s">
        <v>53</v>
      </c>
      <c r="E51" s="303">
        <v>7542</v>
      </c>
      <c r="F51" s="281">
        <v>1</v>
      </c>
      <c r="G51" s="85">
        <v>73391119</v>
      </c>
      <c r="H51" s="85" t="s">
        <v>742</v>
      </c>
      <c r="I51" s="57"/>
      <c r="J51" s="57"/>
      <c r="K51" s="309">
        <v>5280</v>
      </c>
      <c r="L51" s="188"/>
      <c r="M51" s="188"/>
      <c r="N51" s="188"/>
      <c r="O51" s="188"/>
      <c r="P51" s="185">
        <f t="shared" si="0"/>
        <v>5280</v>
      </c>
      <c r="Q51" s="130"/>
      <c r="R51" s="56"/>
      <c r="S51" s="58"/>
      <c r="T51" s="58"/>
      <c r="U51" s="58"/>
      <c r="V51" s="58" t="s">
        <v>47</v>
      </c>
      <c r="W51" s="57"/>
      <c r="X51" s="328">
        <f t="shared" si="1"/>
        <v>46183</v>
      </c>
      <c r="Y51" s="26" t="s">
        <v>63</v>
      </c>
      <c r="Z51" s="58"/>
      <c r="AA51" s="58"/>
      <c r="AB51" s="58" t="s">
        <v>49</v>
      </c>
      <c r="AC51" s="58"/>
      <c r="AD51" s="254" t="s">
        <v>48</v>
      </c>
      <c r="AE51" s="59"/>
      <c r="AF51" s="57"/>
      <c r="AG51" s="57"/>
      <c r="AH51" s="58"/>
      <c r="AI51" s="58"/>
      <c r="AJ51" s="56"/>
      <c r="AK51" s="58"/>
      <c r="AL51" s="57">
        <v>18</v>
      </c>
      <c r="AM51" s="224" t="s">
        <v>50</v>
      </c>
      <c r="AN51" s="254" t="s">
        <v>51</v>
      </c>
      <c r="AO51" s="126"/>
      <c r="AP51" s="129"/>
    </row>
    <row r="52" spans="1:42" s="20" customFormat="1" ht="14.25" customHeight="1" x14ac:dyDescent="0.2">
      <c r="A52" s="162">
        <v>46183</v>
      </c>
      <c r="B52" s="124"/>
      <c r="C52" s="296" t="s">
        <v>52</v>
      </c>
      <c r="D52" s="170" t="s">
        <v>53</v>
      </c>
      <c r="E52" s="303">
        <v>7543</v>
      </c>
      <c r="F52" s="281">
        <v>1</v>
      </c>
      <c r="G52" s="85">
        <v>73391119</v>
      </c>
      <c r="H52" s="85" t="s">
        <v>742</v>
      </c>
      <c r="I52" s="57"/>
      <c r="J52" s="57"/>
      <c r="K52" s="309">
        <v>0</v>
      </c>
      <c r="L52" s="57"/>
      <c r="M52" s="57"/>
      <c r="N52" s="57"/>
      <c r="O52" s="57"/>
      <c r="P52" s="185">
        <f t="shared" si="0"/>
        <v>0</v>
      </c>
      <c r="Q52" s="130"/>
      <c r="R52" s="56"/>
      <c r="S52" s="58"/>
      <c r="T52" s="58"/>
      <c r="U52" s="58"/>
      <c r="V52" s="58" t="s">
        <v>47</v>
      </c>
      <c r="W52" s="57"/>
      <c r="X52" s="328">
        <f t="shared" si="1"/>
        <v>46183</v>
      </c>
      <c r="Y52" s="26" t="s">
        <v>61</v>
      </c>
      <c r="Z52" s="58"/>
      <c r="AA52" s="58"/>
      <c r="AB52" s="58" t="s">
        <v>49</v>
      </c>
      <c r="AC52" s="58"/>
      <c r="AD52" s="254" t="s">
        <v>48</v>
      </c>
      <c r="AE52" s="59"/>
      <c r="AF52" s="57"/>
      <c r="AG52" s="57"/>
      <c r="AH52" s="58"/>
      <c r="AI52" s="58"/>
      <c r="AJ52" s="56"/>
      <c r="AK52" s="58"/>
      <c r="AL52" s="57">
        <v>18</v>
      </c>
      <c r="AM52" s="225" t="s">
        <v>588</v>
      </c>
      <c r="AN52" s="254" t="s">
        <v>51</v>
      </c>
      <c r="AO52" s="126"/>
      <c r="AP52" s="129"/>
    </row>
    <row r="53" spans="1:42" s="20" customFormat="1" ht="13.5" customHeight="1" x14ac:dyDescent="0.2">
      <c r="A53" s="162">
        <v>46183</v>
      </c>
      <c r="B53" s="124"/>
      <c r="C53" s="296" t="s">
        <v>52</v>
      </c>
      <c r="D53" s="170" t="s">
        <v>53</v>
      </c>
      <c r="E53" s="303">
        <v>7544</v>
      </c>
      <c r="F53" s="281">
        <v>1</v>
      </c>
      <c r="G53" s="85">
        <v>72409364</v>
      </c>
      <c r="H53" s="85" t="s">
        <v>743</v>
      </c>
      <c r="I53" s="57"/>
      <c r="J53" s="57"/>
      <c r="K53" s="309">
        <v>8180</v>
      </c>
      <c r="L53" s="188"/>
      <c r="M53" s="188"/>
      <c r="N53" s="188"/>
      <c r="O53" s="188"/>
      <c r="P53" s="185">
        <f t="shared" si="0"/>
        <v>8180</v>
      </c>
      <c r="Q53" s="130"/>
      <c r="R53" s="56"/>
      <c r="S53" s="58"/>
      <c r="T53" s="58"/>
      <c r="U53" s="58"/>
      <c r="V53" s="58" t="s">
        <v>47</v>
      </c>
      <c r="W53" s="57"/>
      <c r="X53" s="328">
        <f t="shared" si="1"/>
        <v>46183</v>
      </c>
      <c r="Y53" s="26" t="s">
        <v>63</v>
      </c>
      <c r="Z53" s="58"/>
      <c r="AA53" s="58"/>
      <c r="AB53" s="58" t="s">
        <v>49</v>
      </c>
      <c r="AC53" s="58"/>
      <c r="AD53" s="254" t="s">
        <v>48</v>
      </c>
      <c r="AE53" s="59"/>
      <c r="AF53" s="57"/>
      <c r="AG53" s="57"/>
      <c r="AH53" s="58"/>
      <c r="AI53" s="58"/>
      <c r="AJ53" s="56"/>
      <c r="AK53" s="58"/>
      <c r="AL53" s="57">
        <v>18</v>
      </c>
      <c r="AM53" s="224" t="s">
        <v>50</v>
      </c>
      <c r="AN53" s="254" t="s">
        <v>51</v>
      </c>
      <c r="AO53" s="126"/>
      <c r="AP53" s="129"/>
    </row>
    <row r="54" spans="1:42" s="41" customFormat="1" ht="14.25" customHeight="1" x14ac:dyDescent="0.2">
      <c r="A54" s="162">
        <v>46183</v>
      </c>
      <c r="B54" s="124"/>
      <c r="C54" s="296" t="s">
        <v>52</v>
      </c>
      <c r="D54" s="170" t="s">
        <v>53</v>
      </c>
      <c r="E54" s="303">
        <v>7545</v>
      </c>
      <c r="F54" s="281">
        <v>1</v>
      </c>
      <c r="G54" s="85">
        <v>44617164</v>
      </c>
      <c r="H54" s="85" t="s">
        <v>679</v>
      </c>
      <c r="I54" s="57"/>
      <c r="J54" s="57"/>
      <c r="K54" s="309">
        <v>0</v>
      </c>
      <c r="L54" s="188"/>
      <c r="M54" s="188"/>
      <c r="N54" s="188"/>
      <c r="O54" s="188"/>
      <c r="P54" s="185">
        <f t="shared" si="0"/>
        <v>0</v>
      </c>
      <c r="Q54" s="130"/>
      <c r="R54" s="56"/>
      <c r="S54" s="58"/>
      <c r="T54" s="58"/>
      <c r="U54" s="58"/>
      <c r="V54" s="58" t="s">
        <v>47</v>
      </c>
      <c r="W54" s="57"/>
      <c r="X54" s="328">
        <f t="shared" si="1"/>
        <v>46183</v>
      </c>
      <c r="Y54" s="26" t="s">
        <v>61</v>
      </c>
      <c r="Z54" s="58"/>
      <c r="AA54" s="58"/>
      <c r="AB54" s="58" t="s">
        <v>49</v>
      </c>
      <c r="AC54" s="58"/>
      <c r="AD54" s="254" t="s">
        <v>48</v>
      </c>
      <c r="AE54" s="59"/>
      <c r="AF54" s="57"/>
      <c r="AG54" s="57"/>
      <c r="AH54" s="58"/>
      <c r="AI54" s="58"/>
      <c r="AJ54" s="56"/>
      <c r="AK54" s="58"/>
      <c r="AL54" s="57">
        <v>18</v>
      </c>
      <c r="AM54" s="225" t="s">
        <v>588</v>
      </c>
      <c r="AN54" s="254" t="s">
        <v>51</v>
      </c>
      <c r="AO54" s="126"/>
      <c r="AP54" s="129"/>
    </row>
    <row r="55" spans="1:42" s="41" customFormat="1" ht="14.25" customHeight="1" x14ac:dyDescent="0.2">
      <c r="A55" s="162">
        <v>46184</v>
      </c>
      <c r="B55" s="124"/>
      <c r="C55" s="296" t="s">
        <v>52</v>
      </c>
      <c r="D55" s="170" t="s">
        <v>53</v>
      </c>
      <c r="E55" s="303">
        <v>7546</v>
      </c>
      <c r="F55" s="281">
        <v>1</v>
      </c>
      <c r="G55" s="85">
        <v>75541916</v>
      </c>
      <c r="H55" s="85" t="s">
        <v>744</v>
      </c>
      <c r="I55" s="57"/>
      <c r="J55" s="57"/>
      <c r="K55" s="309">
        <v>7580</v>
      </c>
      <c r="L55" s="188"/>
      <c r="M55" s="188"/>
      <c r="N55" s="188"/>
      <c r="O55" s="188"/>
      <c r="P55" s="185">
        <f t="shared" si="0"/>
        <v>7580</v>
      </c>
      <c r="Q55" s="130"/>
      <c r="R55" s="56"/>
      <c r="S55" s="58"/>
      <c r="T55" s="58"/>
      <c r="U55" s="58"/>
      <c r="V55" s="58" t="s">
        <v>47</v>
      </c>
      <c r="W55" s="57"/>
      <c r="X55" s="328">
        <f t="shared" si="1"/>
        <v>46184</v>
      </c>
      <c r="Y55" s="26" t="s">
        <v>63</v>
      </c>
      <c r="Z55" s="58"/>
      <c r="AA55" s="58"/>
      <c r="AB55" s="58" t="s">
        <v>49</v>
      </c>
      <c r="AC55" s="58"/>
      <c r="AD55" s="254" t="s">
        <v>48</v>
      </c>
      <c r="AE55" s="59"/>
      <c r="AF55" s="57"/>
      <c r="AG55" s="57"/>
      <c r="AH55" s="58"/>
      <c r="AI55" s="58"/>
      <c r="AJ55" s="56"/>
      <c r="AK55" s="58"/>
      <c r="AL55" s="57">
        <v>18</v>
      </c>
      <c r="AM55" s="224" t="s">
        <v>50</v>
      </c>
      <c r="AN55" s="254" t="s">
        <v>51</v>
      </c>
      <c r="AO55" s="126"/>
      <c r="AP55" s="129"/>
    </row>
    <row r="56" spans="1:42" s="41" customFormat="1" ht="14.25" customHeight="1" x14ac:dyDescent="0.2">
      <c r="A56" s="162">
        <v>46184</v>
      </c>
      <c r="B56" s="124"/>
      <c r="C56" s="296" t="s">
        <v>52</v>
      </c>
      <c r="D56" s="170" t="s">
        <v>53</v>
      </c>
      <c r="E56" s="303">
        <v>7547</v>
      </c>
      <c r="F56" s="281">
        <v>1</v>
      </c>
      <c r="G56" s="85">
        <v>75541916</v>
      </c>
      <c r="H56" s="85" t="s">
        <v>744</v>
      </c>
      <c r="I56" s="57"/>
      <c r="J56" s="57"/>
      <c r="K56" s="309">
        <v>0</v>
      </c>
      <c r="L56" s="188"/>
      <c r="M56" s="188"/>
      <c r="N56" s="188"/>
      <c r="O56" s="188"/>
      <c r="P56" s="185">
        <f t="shared" si="0"/>
        <v>0</v>
      </c>
      <c r="Q56" s="130"/>
      <c r="R56" s="56"/>
      <c r="S56" s="58"/>
      <c r="T56" s="58"/>
      <c r="U56" s="58"/>
      <c r="V56" s="58" t="s">
        <v>47</v>
      </c>
      <c r="W56" s="57"/>
      <c r="X56" s="328">
        <f t="shared" si="1"/>
        <v>46184</v>
      </c>
      <c r="Y56" s="26" t="s">
        <v>61</v>
      </c>
      <c r="Z56" s="58"/>
      <c r="AA56" s="58"/>
      <c r="AB56" s="58" t="s">
        <v>49</v>
      </c>
      <c r="AC56" s="58"/>
      <c r="AD56" s="254" t="s">
        <v>48</v>
      </c>
      <c r="AE56" s="59"/>
      <c r="AF56" s="57"/>
      <c r="AG56" s="57"/>
      <c r="AH56" s="58"/>
      <c r="AI56" s="58"/>
      <c r="AJ56" s="56"/>
      <c r="AK56" s="58"/>
      <c r="AL56" s="57">
        <v>18</v>
      </c>
      <c r="AM56" s="225" t="s">
        <v>588</v>
      </c>
      <c r="AN56" s="254" t="s">
        <v>51</v>
      </c>
      <c r="AO56" s="126"/>
      <c r="AP56" s="129"/>
    </row>
    <row r="57" spans="1:42" s="20" customFormat="1" ht="14.25" customHeight="1" x14ac:dyDescent="0.2">
      <c r="A57" s="162">
        <v>46185</v>
      </c>
      <c r="B57" s="124"/>
      <c r="C57" s="296" t="s">
        <v>52</v>
      </c>
      <c r="D57" s="170" t="s">
        <v>53</v>
      </c>
      <c r="E57" s="303">
        <v>7548</v>
      </c>
      <c r="F57" s="281">
        <v>1</v>
      </c>
      <c r="G57" s="85">
        <v>72259370</v>
      </c>
      <c r="H57" s="85" t="s">
        <v>766</v>
      </c>
      <c r="I57" s="57"/>
      <c r="J57" s="57"/>
      <c r="K57" s="309">
        <v>4760</v>
      </c>
      <c r="L57" s="188"/>
      <c r="M57" s="188"/>
      <c r="N57" s="188"/>
      <c r="O57" s="188"/>
      <c r="P57" s="185">
        <f t="shared" si="0"/>
        <v>4760</v>
      </c>
      <c r="Q57" s="130"/>
      <c r="R57" s="56"/>
      <c r="S57" s="58"/>
      <c r="T57" s="58"/>
      <c r="U57" s="58"/>
      <c r="V57" s="58" t="s">
        <v>47</v>
      </c>
      <c r="W57" s="57"/>
      <c r="X57" s="328">
        <f t="shared" si="1"/>
        <v>46185</v>
      </c>
      <c r="Y57" s="26" t="s">
        <v>63</v>
      </c>
      <c r="Z57" s="58"/>
      <c r="AA57" s="58"/>
      <c r="AB57" s="58" t="s">
        <v>49</v>
      </c>
      <c r="AC57" s="58"/>
      <c r="AD57" s="254" t="s">
        <v>48</v>
      </c>
      <c r="AE57" s="59"/>
      <c r="AF57" s="57"/>
      <c r="AG57" s="57"/>
      <c r="AH57" s="58"/>
      <c r="AI57" s="58"/>
      <c r="AJ57" s="56"/>
      <c r="AK57" s="58"/>
      <c r="AL57" s="57">
        <v>18</v>
      </c>
      <c r="AM57" s="224" t="s">
        <v>50</v>
      </c>
      <c r="AN57" s="254" t="s">
        <v>51</v>
      </c>
      <c r="AO57" s="126"/>
      <c r="AP57" s="129"/>
    </row>
    <row r="58" spans="1:42" s="20" customFormat="1" ht="14.25" customHeight="1" x14ac:dyDescent="0.2">
      <c r="A58" s="162">
        <v>46185</v>
      </c>
      <c r="B58" s="124"/>
      <c r="C58" s="296" t="s">
        <v>52</v>
      </c>
      <c r="D58" s="170" t="s">
        <v>53</v>
      </c>
      <c r="E58" s="303">
        <v>7549</v>
      </c>
      <c r="F58" s="281">
        <v>1</v>
      </c>
      <c r="G58" s="85">
        <v>72259370</v>
      </c>
      <c r="H58" s="85" t="s">
        <v>745</v>
      </c>
      <c r="I58" s="57"/>
      <c r="J58" s="57"/>
      <c r="K58" s="309">
        <v>0</v>
      </c>
      <c r="L58" s="57"/>
      <c r="M58" s="57"/>
      <c r="N58" s="57"/>
      <c r="O58" s="57"/>
      <c r="P58" s="185">
        <f t="shared" si="0"/>
        <v>0</v>
      </c>
      <c r="Q58" s="130"/>
      <c r="R58" s="56"/>
      <c r="S58" s="58"/>
      <c r="T58" s="58"/>
      <c r="U58" s="58"/>
      <c r="V58" s="58" t="s">
        <v>47</v>
      </c>
      <c r="W58" s="57"/>
      <c r="X58" s="328">
        <f t="shared" si="1"/>
        <v>46185</v>
      </c>
      <c r="Y58" s="26" t="s">
        <v>61</v>
      </c>
      <c r="Z58" s="58"/>
      <c r="AA58" s="58"/>
      <c r="AB58" s="58" t="s">
        <v>49</v>
      </c>
      <c r="AC58" s="58"/>
      <c r="AD58" s="254" t="s">
        <v>48</v>
      </c>
      <c r="AE58" s="59"/>
      <c r="AF58" s="57"/>
      <c r="AG58" s="57"/>
      <c r="AH58" s="58"/>
      <c r="AI58" s="58"/>
      <c r="AJ58" s="56"/>
      <c r="AK58" s="58"/>
      <c r="AL58" s="57">
        <v>18</v>
      </c>
      <c r="AM58" s="225" t="s">
        <v>588</v>
      </c>
      <c r="AN58" s="254" t="s">
        <v>51</v>
      </c>
      <c r="AO58" s="126"/>
      <c r="AP58" s="129"/>
    </row>
    <row r="59" spans="1:42" s="20" customFormat="1" ht="14.25" customHeight="1" x14ac:dyDescent="0.2">
      <c r="A59" s="162">
        <v>46185</v>
      </c>
      <c r="B59" s="124"/>
      <c r="C59" s="296" t="s">
        <v>52</v>
      </c>
      <c r="D59" s="170" t="s">
        <v>53</v>
      </c>
      <c r="E59" s="303">
        <v>7550</v>
      </c>
      <c r="F59" s="281">
        <v>1</v>
      </c>
      <c r="G59" s="85">
        <v>71858481</v>
      </c>
      <c r="H59" s="85" t="s">
        <v>694</v>
      </c>
      <c r="I59" s="57"/>
      <c r="J59" s="57"/>
      <c r="K59" s="309">
        <v>0</v>
      </c>
      <c r="L59" s="188"/>
      <c r="M59" s="188"/>
      <c r="N59" s="188"/>
      <c r="O59" s="188"/>
      <c r="P59" s="185">
        <f t="shared" si="0"/>
        <v>0</v>
      </c>
      <c r="Q59" s="130"/>
      <c r="R59" s="56"/>
      <c r="S59" s="58"/>
      <c r="T59" s="58"/>
      <c r="U59" s="58"/>
      <c r="V59" s="58" t="s">
        <v>47</v>
      </c>
      <c r="W59" s="57"/>
      <c r="X59" s="328">
        <f t="shared" si="1"/>
        <v>46185</v>
      </c>
      <c r="Y59" s="26" t="s">
        <v>61</v>
      </c>
      <c r="Z59" s="58"/>
      <c r="AA59" s="58"/>
      <c r="AB59" s="58" t="s">
        <v>49</v>
      </c>
      <c r="AC59" s="58"/>
      <c r="AD59" s="254" t="s">
        <v>48</v>
      </c>
      <c r="AE59" s="59"/>
      <c r="AF59" s="57"/>
      <c r="AG59" s="57"/>
      <c r="AH59" s="58"/>
      <c r="AI59" s="58"/>
      <c r="AJ59" s="56"/>
      <c r="AK59" s="58"/>
      <c r="AL59" s="57">
        <v>18</v>
      </c>
      <c r="AM59" s="225" t="s">
        <v>588</v>
      </c>
      <c r="AN59" s="254" t="s">
        <v>51</v>
      </c>
      <c r="AO59" s="126"/>
      <c r="AP59" s="129"/>
    </row>
    <row r="60" spans="1:42" s="20" customFormat="1" ht="14.25" customHeight="1" x14ac:dyDescent="0.2">
      <c r="A60" s="162">
        <v>46185</v>
      </c>
      <c r="B60" s="124"/>
      <c r="C60" s="296" t="s">
        <v>52</v>
      </c>
      <c r="D60" s="170" t="s">
        <v>53</v>
      </c>
      <c r="E60" s="303">
        <v>7551</v>
      </c>
      <c r="F60" s="281">
        <v>1</v>
      </c>
      <c r="G60" s="85">
        <v>46802776</v>
      </c>
      <c r="H60" s="85" t="s">
        <v>746</v>
      </c>
      <c r="I60" s="57"/>
      <c r="J60" s="57"/>
      <c r="K60" s="309">
        <v>7262</v>
      </c>
      <c r="L60" s="57"/>
      <c r="M60" s="57"/>
      <c r="N60" s="57"/>
      <c r="O60" s="57"/>
      <c r="P60" s="185">
        <f t="shared" si="0"/>
        <v>7262</v>
      </c>
      <c r="Q60" s="130"/>
      <c r="R60" s="56"/>
      <c r="S60" s="58"/>
      <c r="T60" s="58"/>
      <c r="U60" s="58"/>
      <c r="V60" s="58" t="s">
        <v>47</v>
      </c>
      <c r="W60" s="57"/>
      <c r="X60" s="328">
        <f t="shared" si="1"/>
        <v>46185</v>
      </c>
      <c r="Y60" s="26" t="s">
        <v>63</v>
      </c>
      <c r="Z60" s="58"/>
      <c r="AA60" s="58"/>
      <c r="AB60" s="58" t="s">
        <v>49</v>
      </c>
      <c r="AC60" s="58"/>
      <c r="AD60" s="254" t="s">
        <v>48</v>
      </c>
      <c r="AE60" s="59"/>
      <c r="AF60" s="57"/>
      <c r="AG60" s="57"/>
      <c r="AH60" s="58"/>
      <c r="AI60" s="58"/>
      <c r="AJ60" s="56"/>
      <c r="AK60" s="58"/>
      <c r="AL60" s="57">
        <v>18</v>
      </c>
      <c r="AM60" s="224" t="s">
        <v>50</v>
      </c>
      <c r="AN60" s="254" t="s">
        <v>51</v>
      </c>
      <c r="AO60" s="126"/>
      <c r="AP60" s="129"/>
    </row>
    <row r="61" spans="1:42" s="20" customFormat="1" ht="14.25" customHeight="1" x14ac:dyDescent="0.2">
      <c r="A61" s="162">
        <v>46186</v>
      </c>
      <c r="B61" s="124"/>
      <c r="C61" s="296" t="s">
        <v>52</v>
      </c>
      <c r="D61" s="170" t="s">
        <v>53</v>
      </c>
      <c r="E61" s="303">
        <v>7552</v>
      </c>
      <c r="F61" s="281">
        <v>1</v>
      </c>
      <c r="G61" s="85">
        <v>73383021</v>
      </c>
      <c r="H61" s="85" t="s">
        <v>747</v>
      </c>
      <c r="I61" s="57"/>
      <c r="J61" s="57"/>
      <c r="K61" s="309">
        <v>5650</v>
      </c>
      <c r="L61" s="188"/>
      <c r="M61" s="188"/>
      <c r="N61" s="188"/>
      <c r="O61" s="188"/>
      <c r="P61" s="185">
        <f t="shared" si="0"/>
        <v>5650</v>
      </c>
      <c r="Q61" s="130"/>
      <c r="R61" s="56"/>
      <c r="S61" s="58"/>
      <c r="T61" s="58"/>
      <c r="U61" s="58"/>
      <c r="V61" s="58" t="s">
        <v>47</v>
      </c>
      <c r="W61" s="57"/>
      <c r="X61" s="328">
        <f t="shared" si="1"/>
        <v>46186</v>
      </c>
      <c r="Y61" s="26" t="s">
        <v>63</v>
      </c>
      <c r="Z61" s="58"/>
      <c r="AA61" s="58"/>
      <c r="AB61" s="58" t="s">
        <v>49</v>
      </c>
      <c r="AC61" s="58"/>
      <c r="AD61" s="254" t="s">
        <v>48</v>
      </c>
      <c r="AE61" s="59"/>
      <c r="AF61" s="57"/>
      <c r="AG61" s="57"/>
      <c r="AH61" s="58"/>
      <c r="AI61" s="58"/>
      <c r="AJ61" s="56"/>
      <c r="AK61" s="58"/>
      <c r="AL61" s="57">
        <v>18</v>
      </c>
      <c r="AM61" s="224" t="s">
        <v>50</v>
      </c>
      <c r="AN61" s="254" t="s">
        <v>51</v>
      </c>
      <c r="AO61" s="126"/>
      <c r="AP61" s="129"/>
    </row>
    <row r="62" spans="1:42" s="41" customFormat="1" ht="14.25" customHeight="1" x14ac:dyDescent="0.2">
      <c r="A62" s="162">
        <v>46186</v>
      </c>
      <c r="B62" s="124"/>
      <c r="C62" s="296" t="s">
        <v>52</v>
      </c>
      <c r="D62" s="170" t="s">
        <v>53</v>
      </c>
      <c r="E62" s="303">
        <v>7553</v>
      </c>
      <c r="F62" s="281">
        <v>1</v>
      </c>
      <c r="G62" s="85">
        <v>74284068</v>
      </c>
      <c r="H62" s="85" t="s">
        <v>748</v>
      </c>
      <c r="I62" s="57"/>
      <c r="J62" s="57"/>
      <c r="K62" s="309">
        <v>5450</v>
      </c>
      <c r="L62" s="57"/>
      <c r="M62" s="57"/>
      <c r="N62" s="57"/>
      <c r="O62" s="57"/>
      <c r="P62" s="185">
        <f t="shared" si="0"/>
        <v>5450</v>
      </c>
      <c r="Q62" s="130"/>
      <c r="R62" s="56"/>
      <c r="S62" s="58"/>
      <c r="T62" s="58"/>
      <c r="U62" s="58"/>
      <c r="V62" s="58" t="s">
        <v>47</v>
      </c>
      <c r="W62" s="57"/>
      <c r="X62" s="328">
        <f t="shared" si="1"/>
        <v>46186</v>
      </c>
      <c r="Y62" s="26" t="s">
        <v>63</v>
      </c>
      <c r="Z62" s="58"/>
      <c r="AA62" s="58"/>
      <c r="AB62" s="58" t="s">
        <v>49</v>
      </c>
      <c r="AC62" s="58"/>
      <c r="AD62" s="254" t="s">
        <v>48</v>
      </c>
      <c r="AE62" s="59"/>
      <c r="AF62" s="57"/>
      <c r="AG62" s="57"/>
      <c r="AH62" s="58"/>
      <c r="AI62" s="58"/>
      <c r="AJ62" s="56"/>
      <c r="AK62" s="58"/>
      <c r="AL62" s="57">
        <v>18</v>
      </c>
      <c r="AM62" s="224" t="s">
        <v>50</v>
      </c>
      <c r="AN62" s="254" t="s">
        <v>51</v>
      </c>
      <c r="AO62" s="126"/>
      <c r="AP62" s="129"/>
    </row>
    <row r="63" spans="1:42" s="41" customFormat="1" ht="14.25" customHeight="1" x14ac:dyDescent="0.2">
      <c r="A63" s="162">
        <v>46186</v>
      </c>
      <c r="B63" s="124"/>
      <c r="C63" s="296" t="s">
        <v>52</v>
      </c>
      <c r="D63" s="170" t="s">
        <v>53</v>
      </c>
      <c r="E63" s="303">
        <v>7554</v>
      </c>
      <c r="F63" s="281">
        <v>1</v>
      </c>
      <c r="G63" s="85">
        <v>74284068</v>
      </c>
      <c r="H63" s="85" t="s">
        <v>748</v>
      </c>
      <c r="I63" s="57"/>
      <c r="J63" s="57"/>
      <c r="K63" s="309">
        <v>0</v>
      </c>
      <c r="L63" s="188"/>
      <c r="M63" s="188"/>
      <c r="N63" s="188"/>
      <c r="O63" s="188"/>
      <c r="P63" s="185">
        <f t="shared" si="0"/>
        <v>0</v>
      </c>
      <c r="Q63" s="130"/>
      <c r="R63" s="56"/>
      <c r="S63" s="58"/>
      <c r="T63" s="58"/>
      <c r="U63" s="58"/>
      <c r="V63" s="58" t="s">
        <v>47</v>
      </c>
      <c r="W63" s="57"/>
      <c r="X63" s="328">
        <f t="shared" si="1"/>
        <v>46186</v>
      </c>
      <c r="Y63" s="26" t="s">
        <v>61</v>
      </c>
      <c r="Z63" s="58"/>
      <c r="AA63" s="58"/>
      <c r="AB63" s="58" t="s">
        <v>49</v>
      </c>
      <c r="AC63" s="58"/>
      <c r="AD63" s="254" t="s">
        <v>48</v>
      </c>
      <c r="AE63" s="59"/>
      <c r="AF63" s="57"/>
      <c r="AG63" s="57"/>
      <c r="AH63" s="58"/>
      <c r="AI63" s="58"/>
      <c r="AJ63" s="56"/>
      <c r="AK63" s="58"/>
      <c r="AL63" s="57">
        <v>18</v>
      </c>
      <c r="AM63" s="225" t="s">
        <v>588</v>
      </c>
      <c r="AN63" s="254" t="s">
        <v>51</v>
      </c>
      <c r="AO63" s="126"/>
      <c r="AP63" s="129"/>
    </row>
    <row r="64" spans="1:42" s="20" customFormat="1" ht="14.25" customHeight="1" x14ac:dyDescent="0.2">
      <c r="A64" s="162">
        <v>46186</v>
      </c>
      <c r="B64" s="124"/>
      <c r="C64" s="296" t="s">
        <v>52</v>
      </c>
      <c r="D64" s="170" t="s">
        <v>53</v>
      </c>
      <c r="E64" s="303">
        <v>7555</v>
      </c>
      <c r="F64" s="281">
        <v>1</v>
      </c>
      <c r="G64" s="85">
        <v>73383021</v>
      </c>
      <c r="H64" s="85" t="s">
        <v>747</v>
      </c>
      <c r="I64" s="57"/>
      <c r="J64" s="57"/>
      <c r="K64" s="309">
        <v>0</v>
      </c>
      <c r="L64" s="57"/>
      <c r="M64" s="57"/>
      <c r="N64" s="57"/>
      <c r="O64" s="57"/>
      <c r="P64" s="185">
        <f t="shared" si="0"/>
        <v>0</v>
      </c>
      <c r="Q64" s="130"/>
      <c r="R64" s="56"/>
      <c r="S64" s="58"/>
      <c r="T64" s="58"/>
      <c r="U64" s="58"/>
      <c r="V64" s="58" t="s">
        <v>47</v>
      </c>
      <c r="W64" s="57"/>
      <c r="X64" s="328">
        <f t="shared" si="1"/>
        <v>46186</v>
      </c>
      <c r="Y64" s="26" t="s">
        <v>61</v>
      </c>
      <c r="Z64" s="26"/>
      <c r="AA64" s="26"/>
      <c r="AB64" s="26" t="s">
        <v>49</v>
      </c>
      <c r="AC64" s="26"/>
      <c r="AD64" s="254" t="s">
        <v>48</v>
      </c>
      <c r="AE64" s="27"/>
      <c r="AF64" s="24"/>
      <c r="AG64" s="24"/>
      <c r="AH64" s="26"/>
      <c r="AI64" s="26"/>
      <c r="AJ64" s="25"/>
      <c r="AK64" s="26"/>
      <c r="AL64" s="24">
        <v>18</v>
      </c>
      <c r="AM64" s="225" t="s">
        <v>588</v>
      </c>
      <c r="AN64" s="254" t="s">
        <v>51</v>
      </c>
      <c r="AO64" s="126"/>
      <c r="AP64" s="129"/>
    </row>
    <row r="65" spans="1:42" s="20" customFormat="1" ht="14.25" customHeight="1" x14ac:dyDescent="0.2">
      <c r="A65" s="162">
        <v>46186</v>
      </c>
      <c r="B65" s="124"/>
      <c r="C65" s="296" t="s">
        <v>52</v>
      </c>
      <c r="D65" s="170" t="s">
        <v>53</v>
      </c>
      <c r="E65" s="303">
        <v>7556</v>
      </c>
      <c r="F65" s="281">
        <v>1</v>
      </c>
      <c r="G65" s="85">
        <v>72174811</v>
      </c>
      <c r="H65" s="85" t="s">
        <v>749</v>
      </c>
      <c r="I65" s="57"/>
      <c r="J65" s="57"/>
      <c r="K65" s="309">
        <v>5280</v>
      </c>
      <c r="L65" s="188"/>
      <c r="M65" s="188"/>
      <c r="N65" s="188"/>
      <c r="O65" s="188"/>
      <c r="P65" s="185">
        <f t="shared" si="0"/>
        <v>5280</v>
      </c>
      <c r="Q65" s="130"/>
      <c r="R65" s="56"/>
      <c r="S65" s="58"/>
      <c r="T65" s="58"/>
      <c r="U65" s="58"/>
      <c r="V65" s="58" t="s">
        <v>47</v>
      </c>
      <c r="W65" s="57"/>
      <c r="X65" s="328">
        <f t="shared" si="1"/>
        <v>46186</v>
      </c>
      <c r="Y65" s="26" t="s">
        <v>63</v>
      </c>
      <c r="Z65" s="58"/>
      <c r="AA65" s="58"/>
      <c r="AB65" s="58" t="s">
        <v>49</v>
      </c>
      <c r="AC65" s="58"/>
      <c r="AD65" s="254" t="s">
        <v>48</v>
      </c>
      <c r="AE65" s="59"/>
      <c r="AF65" s="57"/>
      <c r="AG65" s="57"/>
      <c r="AH65" s="58"/>
      <c r="AI65" s="58"/>
      <c r="AJ65" s="56"/>
      <c r="AK65" s="58"/>
      <c r="AL65" s="57">
        <v>18</v>
      </c>
      <c r="AM65" s="224" t="s">
        <v>50</v>
      </c>
      <c r="AN65" s="254" t="s">
        <v>51</v>
      </c>
      <c r="AO65" s="126"/>
      <c r="AP65" s="129"/>
    </row>
    <row r="66" spans="1:42" s="20" customFormat="1" ht="14.25" customHeight="1" x14ac:dyDescent="0.2">
      <c r="A66" s="162">
        <v>46186</v>
      </c>
      <c r="B66" s="136"/>
      <c r="C66" s="296" t="s">
        <v>52</v>
      </c>
      <c r="D66" s="170" t="s">
        <v>53</v>
      </c>
      <c r="E66" s="303">
        <v>7557</v>
      </c>
      <c r="F66" s="281">
        <v>1</v>
      </c>
      <c r="G66" s="85">
        <v>72174811</v>
      </c>
      <c r="H66" s="85" t="s">
        <v>749</v>
      </c>
      <c r="I66" s="57"/>
      <c r="J66" s="57"/>
      <c r="K66" s="309">
        <v>0</v>
      </c>
      <c r="L66" s="57"/>
      <c r="M66" s="57"/>
      <c r="N66" s="57"/>
      <c r="O66" s="57"/>
      <c r="P66" s="185">
        <f t="shared" si="0"/>
        <v>0</v>
      </c>
      <c r="Q66" s="130"/>
      <c r="R66" s="56"/>
      <c r="S66" s="58"/>
      <c r="T66" s="58"/>
      <c r="U66" s="58"/>
      <c r="V66" s="58" t="s">
        <v>47</v>
      </c>
      <c r="W66" s="57"/>
      <c r="X66" s="328">
        <f t="shared" si="1"/>
        <v>46186</v>
      </c>
      <c r="Y66" s="26" t="s">
        <v>61</v>
      </c>
      <c r="Z66" s="26"/>
      <c r="AA66" s="26"/>
      <c r="AB66" s="26" t="s">
        <v>49</v>
      </c>
      <c r="AC66" s="26"/>
      <c r="AD66" s="254" t="s">
        <v>48</v>
      </c>
      <c r="AE66" s="27"/>
      <c r="AF66" s="24"/>
      <c r="AG66" s="24"/>
      <c r="AH66" s="26"/>
      <c r="AI66" s="26"/>
      <c r="AJ66" s="25"/>
      <c r="AK66" s="26"/>
      <c r="AL66" s="24">
        <v>18</v>
      </c>
      <c r="AM66" s="225" t="s">
        <v>588</v>
      </c>
      <c r="AN66" s="254" t="s">
        <v>51</v>
      </c>
      <c r="AO66" s="126"/>
      <c r="AP66" s="129"/>
    </row>
    <row r="67" spans="1:42" s="20" customFormat="1" ht="14.25" customHeight="1" x14ac:dyDescent="0.2">
      <c r="A67" s="162">
        <v>46186</v>
      </c>
      <c r="B67" s="124"/>
      <c r="C67" s="296" t="s">
        <v>52</v>
      </c>
      <c r="D67" s="170" t="s">
        <v>53</v>
      </c>
      <c r="E67" s="303">
        <v>7558</v>
      </c>
      <c r="F67" s="281">
        <v>1</v>
      </c>
      <c r="G67" s="85">
        <v>73392144</v>
      </c>
      <c r="H67" s="85" t="s">
        <v>750</v>
      </c>
      <c r="I67" s="57"/>
      <c r="J67" s="57"/>
      <c r="K67" s="309">
        <v>5280</v>
      </c>
      <c r="L67" s="188"/>
      <c r="M67" s="188"/>
      <c r="N67" s="188"/>
      <c r="O67" s="188"/>
      <c r="P67" s="185">
        <f t="shared" si="0"/>
        <v>5280</v>
      </c>
      <c r="Q67" s="130"/>
      <c r="R67" s="56"/>
      <c r="S67" s="58"/>
      <c r="T67" s="58"/>
      <c r="U67" s="58"/>
      <c r="V67" s="58" t="s">
        <v>47</v>
      </c>
      <c r="W67" s="57"/>
      <c r="X67" s="328">
        <f t="shared" si="1"/>
        <v>46186</v>
      </c>
      <c r="Y67" s="26" t="s">
        <v>63</v>
      </c>
      <c r="Z67" s="58"/>
      <c r="AA67" s="58"/>
      <c r="AB67" s="58" t="s">
        <v>49</v>
      </c>
      <c r="AC67" s="58"/>
      <c r="AD67" s="254" t="s">
        <v>48</v>
      </c>
      <c r="AE67" s="59"/>
      <c r="AF67" s="57"/>
      <c r="AG67" s="57"/>
      <c r="AH67" s="58"/>
      <c r="AI67" s="58"/>
      <c r="AJ67" s="56"/>
      <c r="AK67" s="58"/>
      <c r="AL67" s="57">
        <v>18</v>
      </c>
      <c r="AM67" s="224" t="s">
        <v>50</v>
      </c>
      <c r="AN67" s="254" t="s">
        <v>51</v>
      </c>
      <c r="AO67" s="126"/>
      <c r="AP67" s="129"/>
    </row>
    <row r="68" spans="1:42" s="20" customFormat="1" ht="14.25" customHeight="1" x14ac:dyDescent="0.2">
      <c r="A68" s="162">
        <v>46186</v>
      </c>
      <c r="B68" s="136"/>
      <c r="C68" s="296" t="s">
        <v>52</v>
      </c>
      <c r="D68" s="170" t="s">
        <v>53</v>
      </c>
      <c r="E68" s="303">
        <v>7559</v>
      </c>
      <c r="F68" s="281">
        <v>1</v>
      </c>
      <c r="G68" s="85">
        <v>73392144</v>
      </c>
      <c r="H68" s="85" t="s">
        <v>750</v>
      </c>
      <c r="I68" s="57"/>
      <c r="J68" s="57"/>
      <c r="K68" s="309">
        <v>0</v>
      </c>
      <c r="L68" s="57"/>
      <c r="M68" s="57"/>
      <c r="N68" s="57"/>
      <c r="O68" s="57"/>
      <c r="P68" s="185">
        <f t="shared" si="0"/>
        <v>0</v>
      </c>
      <c r="Q68" s="130"/>
      <c r="R68" s="56"/>
      <c r="S68" s="58"/>
      <c r="T68" s="58"/>
      <c r="U68" s="58"/>
      <c r="V68" s="58" t="s">
        <v>47</v>
      </c>
      <c r="W68" s="57"/>
      <c r="X68" s="328">
        <f t="shared" si="1"/>
        <v>46186</v>
      </c>
      <c r="Y68" s="26" t="s">
        <v>61</v>
      </c>
      <c r="Z68" s="26"/>
      <c r="AA68" s="26"/>
      <c r="AB68" s="26" t="s">
        <v>49</v>
      </c>
      <c r="AC68" s="26"/>
      <c r="AD68" s="254" t="s">
        <v>48</v>
      </c>
      <c r="AE68" s="27"/>
      <c r="AF68" s="24"/>
      <c r="AG68" s="24"/>
      <c r="AH68" s="26"/>
      <c r="AI68" s="26"/>
      <c r="AJ68" s="25"/>
      <c r="AK68" s="26"/>
      <c r="AL68" s="24">
        <v>18</v>
      </c>
      <c r="AM68" s="225" t="s">
        <v>588</v>
      </c>
      <c r="AN68" s="254" t="s">
        <v>51</v>
      </c>
      <c r="AO68" s="126"/>
      <c r="AP68" s="129"/>
    </row>
    <row r="69" spans="1:42" s="20" customFormat="1" ht="14.25" customHeight="1" x14ac:dyDescent="0.2">
      <c r="A69" s="162">
        <v>46188</v>
      </c>
      <c r="B69" s="124"/>
      <c r="C69" s="296" t="s">
        <v>52</v>
      </c>
      <c r="D69" s="170" t="s">
        <v>53</v>
      </c>
      <c r="E69" s="303">
        <v>7560</v>
      </c>
      <c r="F69" s="281">
        <v>1</v>
      </c>
      <c r="G69" s="85">
        <v>72094106</v>
      </c>
      <c r="H69" s="85" t="s">
        <v>751</v>
      </c>
      <c r="I69" s="57"/>
      <c r="J69" s="57"/>
      <c r="K69" s="309">
        <v>8180</v>
      </c>
      <c r="L69" s="188"/>
      <c r="M69" s="188"/>
      <c r="N69" s="188"/>
      <c r="O69" s="188"/>
      <c r="P69" s="185">
        <f t="shared" si="0"/>
        <v>8180</v>
      </c>
      <c r="Q69" s="130"/>
      <c r="R69" s="56"/>
      <c r="S69" s="58"/>
      <c r="T69" s="58"/>
      <c r="U69" s="58"/>
      <c r="V69" s="58" t="s">
        <v>47</v>
      </c>
      <c r="W69" s="57"/>
      <c r="X69" s="328">
        <f t="shared" si="1"/>
        <v>46188</v>
      </c>
      <c r="Y69" s="26" t="s">
        <v>63</v>
      </c>
      <c r="Z69" s="58"/>
      <c r="AA69" s="58"/>
      <c r="AB69" s="58" t="s">
        <v>49</v>
      </c>
      <c r="AC69" s="58"/>
      <c r="AD69" s="254" t="s">
        <v>48</v>
      </c>
      <c r="AE69" s="59"/>
      <c r="AF69" s="57"/>
      <c r="AG69" s="57"/>
      <c r="AH69" s="58"/>
      <c r="AI69" s="58"/>
      <c r="AJ69" s="56"/>
      <c r="AK69" s="58"/>
      <c r="AL69" s="57">
        <v>18</v>
      </c>
      <c r="AM69" s="224" t="s">
        <v>50</v>
      </c>
      <c r="AN69" s="254" t="s">
        <v>51</v>
      </c>
      <c r="AO69" s="126"/>
      <c r="AP69" s="129"/>
    </row>
    <row r="70" spans="1:42" s="20" customFormat="1" ht="14.25" customHeight="1" x14ac:dyDescent="0.2">
      <c r="A70" s="162">
        <v>46188</v>
      </c>
      <c r="B70" s="124"/>
      <c r="C70" s="296" t="s">
        <v>52</v>
      </c>
      <c r="D70" s="170" t="s">
        <v>53</v>
      </c>
      <c r="E70" s="303">
        <v>7561</v>
      </c>
      <c r="F70" s="281">
        <v>1</v>
      </c>
      <c r="G70" s="85">
        <v>73601911</v>
      </c>
      <c r="H70" s="85" t="s">
        <v>752</v>
      </c>
      <c r="I70" s="57"/>
      <c r="J70" s="57"/>
      <c r="K70" s="309">
        <v>5080</v>
      </c>
      <c r="L70" s="188"/>
      <c r="M70" s="188"/>
      <c r="N70" s="188"/>
      <c r="O70" s="188"/>
      <c r="P70" s="185">
        <f t="shared" si="0"/>
        <v>5080</v>
      </c>
      <c r="Q70" s="130"/>
      <c r="R70" s="56"/>
      <c r="S70" s="58"/>
      <c r="T70" s="58"/>
      <c r="U70" s="58"/>
      <c r="V70" s="58" t="s">
        <v>47</v>
      </c>
      <c r="W70" s="57"/>
      <c r="X70" s="328">
        <f t="shared" si="1"/>
        <v>46188</v>
      </c>
      <c r="Y70" s="26" t="s">
        <v>63</v>
      </c>
      <c r="Z70" s="58"/>
      <c r="AA70" s="58"/>
      <c r="AB70" s="58" t="s">
        <v>49</v>
      </c>
      <c r="AC70" s="58"/>
      <c r="AD70" s="254" t="s">
        <v>48</v>
      </c>
      <c r="AE70" s="59"/>
      <c r="AF70" s="57"/>
      <c r="AG70" s="57"/>
      <c r="AH70" s="58"/>
      <c r="AI70" s="58"/>
      <c r="AJ70" s="56"/>
      <c r="AK70" s="58"/>
      <c r="AL70" s="57">
        <v>18</v>
      </c>
      <c r="AM70" s="224" t="s">
        <v>50</v>
      </c>
      <c r="AN70" s="254" t="s">
        <v>51</v>
      </c>
      <c r="AO70" s="126"/>
      <c r="AP70" s="129"/>
    </row>
    <row r="71" spans="1:42" s="20" customFormat="1" ht="14.25" customHeight="1" x14ac:dyDescent="0.2">
      <c r="A71" s="162">
        <v>46188</v>
      </c>
      <c r="B71" s="124"/>
      <c r="C71" s="296" t="s">
        <v>52</v>
      </c>
      <c r="D71" s="170" t="s">
        <v>53</v>
      </c>
      <c r="E71" s="303">
        <v>7562</v>
      </c>
      <c r="F71" s="281">
        <v>1</v>
      </c>
      <c r="G71" s="85">
        <v>48476239</v>
      </c>
      <c r="H71" s="85" t="s">
        <v>767</v>
      </c>
      <c r="I71" s="57"/>
      <c r="J71" s="57"/>
      <c r="K71" s="309">
        <v>5480</v>
      </c>
      <c r="L71" s="188"/>
      <c r="M71" s="188"/>
      <c r="N71" s="188"/>
      <c r="O71" s="188"/>
      <c r="P71" s="185">
        <f t="shared" ref="P71:P133" si="2">K71</f>
        <v>5480</v>
      </c>
      <c r="Q71" s="130"/>
      <c r="R71" s="56"/>
      <c r="S71" s="58"/>
      <c r="T71" s="58"/>
      <c r="U71" s="58"/>
      <c r="V71" s="58" t="s">
        <v>47</v>
      </c>
      <c r="W71" s="57"/>
      <c r="X71" s="328">
        <f t="shared" ref="X71:X133" si="3">A71</f>
        <v>46188</v>
      </c>
      <c r="Y71" s="26" t="s">
        <v>63</v>
      </c>
      <c r="Z71" s="58"/>
      <c r="AA71" s="58"/>
      <c r="AB71" s="58" t="s">
        <v>49</v>
      </c>
      <c r="AC71" s="58"/>
      <c r="AD71" s="254" t="s">
        <v>48</v>
      </c>
      <c r="AE71" s="59"/>
      <c r="AF71" s="57"/>
      <c r="AG71" s="57"/>
      <c r="AH71" s="58"/>
      <c r="AI71" s="58"/>
      <c r="AJ71" s="56"/>
      <c r="AK71" s="58"/>
      <c r="AL71" s="57">
        <v>18</v>
      </c>
      <c r="AM71" s="224" t="s">
        <v>50</v>
      </c>
      <c r="AN71" s="254" t="s">
        <v>51</v>
      </c>
      <c r="AO71" s="126"/>
      <c r="AP71" s="129"/>
    </row>
    <row r="72" spans="1:42" s="20" customFormat="1" ht="14.25" customHeight="1" x14ac:dyDescent="0.2">
      <c r="A72" s="162">
        <v>46188</v>
      </c>
      <c r="B72" s="124"/>
      <c r="C72" s="296" t="s">
        <v>52</v>
      </c>
      <c r="D72" s="170" t="s">
        <v>53</v>
      </c>
      <c r="E72" s="303">
        <v>7563</v>
      </c>
      <c r="F72" s="281">
        <v>1</v>
      </c>
      <c r="G72" s="85">
        <v>48476239</v>
      </c>
      <c r="H72" s="85" t="s">
        <v>753</v>
      </c>
      <c r="I72" s="57"/>
      <c r="J72" s="57"/>
      <c r="K72" s="309">
        <v>0</v>
      </c>
      <c r="L72" s="188"/>
      <c r="M72" s="188"/>
      <c r="N72" s="188"/>
      <c r="O72" s="188"/>
      <c r="P72" s="185">
        <f t="shared" si="2"/>
        <v>0</v>
      </c>
      <c r="Q72" s="130"/>
      <c r="R72" s="56"/>
      <c r="S72" s="58"/>
      <c r="T72" s="58"/>
      <c r="U72" s="58"/>
      <c r="V72" s="58" t="s">
        <v>47</v>
      </c>
      <c r="W72" s="57"/>
      <c r="X72" s="328">
        <f t="shared" si="3"/>
        <v>46188</v>
      </c>
      <c r="Y72" s="26" t="s">
        <v>61</v>
      </c>
      <c r="Z72" s="58"/>
      <c r="AA72" s="58"/>
      <c r="AB72" s="58" t="s">
        <v>49</v>
      </c>
      <c r="AC72" s="58"/>
      <c r="AD72" s="254" t="s">
        <v>48</v>
      </c>
      <c r="AE72" s="59"/>
      <c r="AF72" s="57"/>
      <c r="AG72" s="57"/>
      <c r="AH72" s="58"/>
      <c r="AI72" s="58"/>
      <c r="AJ72" s="56"/>
      <c r="AK72" s="58"/>
      <c r="AL72" s="57">
        <v>18</v>
      </c>
      <c r="AM72" s="225" t="s">
        <v>588</v>
      </c>
      <c r="AN72" s="254" t="s">
        <v>51</v>
      </c>
      <c r="AO72" s="126"/>
      <c r="AP72" s="129"/>
    </row>
    <row r="73" spans="1:42" s="20" customFormat="1" ht="14.25" customHeight="1" x14ac:dyDescent="0.2">
      <c r="A73" s="162">
        <v>46188</v>
      </c>
      <c r="B73" s="124"/>
      <c r="C73" s="296" t="s">
        <v>52</v>
      </c>
      <c r="D73" s="170" t="s">
        <v>53</v>
      </c>
      <c r="E73" s="303">
        <v>7564</v>
      </c>
      <c r="F73" s="281">
        <v>1</v>
      </c>
      <c r="G73" s="85">
        <v>72910712</v>
      </c>
      <c r="H73" s="85" t="s">
        <v>754</v>
      </c>
      <c r="I73" s="57"/>
      <c r="J73" s="57"/>
      <c r="K73" s="309">
        <v>7230</v>
      </c>
      <c r="L73" s="57"/>
      <c r="M73" s="57"/>
      <c r="N73" s="57"/>
      <c r="O73" s="57"/>
      <c r="P73" s="185">
        <f t="shared" si="2"/>
        <v>7230</v>
      </c>
      <c r="Q73" s="130"/>
      <c r="R73" s="56"/>
      <c r="S73" s="58"/>
      <c r="T73" s="58"/>
      <c r="U73" s="58"/>
      <c r="V73" s="58" t="s">
        <v>47</v>
      </c>
      <c r="W73" s="57"/>
      <c r="X73" s="328">
        <f t="shared" si="3"/>
        <v>46188</v>
      </c>
      <c r="Y73" s="26" t="s">
        <v>63</v>
      </c>
      <c r="Z73" s="58"/>
      <c r="AA73" s="58"/>
      <c r="AB73" s="58" t="s">
        <v>49</v>
      </c>
      <c r="AC73" s="58"/>
      <c r="AD73" s="254" t="s">
        <v>48</v>
      </c>
      <c r="AE73" s="59"/>
      <c r="AF73" s="57"/>
      <c r="AG73" s="57"/>
      <c r="AH73" s="58"/>
      <c r="AI73" s="58"/>
      <c r="AJ73" s="56"/>
      <c r="AK73" s="58"/>
      <c r="AL73" s="57">
        <v>18</v>
      </c>
      <c r="AM73" s="224" t="s">
        <v>50</v>
      </c>
      <c r="AN73" s="254" t="s">
        <v>51</v>
      </c>
      <c r="AO73" s="126"/>
      <c r="AP73" s="129"/>
    </row>
    <row r="74" spans="1:42" s="36" customFormat="1" ht="14.25" customHeight="1" x14ac:dyDescent="0.2">
      <c r="A74" s="162">
        <v>46189</v>
      </c>
      <c r="B74" s="137"/>
      <c r="C74" s="296" t="s">
        <v>52</v>
      </c>
      <c r="D74" s="170" t="s">
        <v>53</v>
      </c>
      <c r="E74" s="303">
        <v>7565</v>
      </c>
      <c r="F74" s="281">
        <v>1</v>
      </c>
      <c r="G74" s="85">
        <v>42565813</v>
      </c>
      <c r="H74" s="85" t="s">
        <v>696</v>
      </c>
      <c r="I74" s="32"/>
      <c r="J74" s="32"/>
      <c r="K74" s="309">
        <v>0</v>
      </c>
      <c r="L74" s="189"/>
      <c r="M74" s="189"/>
      <c r="N74" s="189"/>
      <c r="O74" s="189"/>
      <c r="P74" s="185">
        <f t="shared" si="2"/>
        <v>0</v>
      </c>
      <c r="Q74" s="140"/>
      <c r="R74" s="29"/>
      <c r="S74" s="33"/>
      <c r="T74" s="33"/>
      <c r="U74" s="33"/>
      <c r="V74" s="26" t="s">
        <v>47</v>
      </c>
      <c r="W74" s="32"/>
      <c r="X74" s="328">
        <f t="shared" si="3"/>
        <v>46189</v>
      </c>
      <c r="Y74" s="26" t="s">
        <v>61</v>
      </c>
      <c r="Z74" s="58"/>
      <c r="AA74" s="58"/>
      <c r="AB74" s="58" t="s">
        <v>49</v>
      </c>
      <c r="AC74" s="58"/>
      <c r="AD74" s="254" t="s">
        <v>48</v>
      </c>
      <c r="AE74" s="59"/>
      <c r="AF74" s="57"/>
      <c r="AG74" s="57"/>
      <c r="AH74" s="58"/>
      <c r="AI74" s="58"/>
      <c r="AJ74" s="56"/>
      <c r="AK74" s="58"/>
      <c r="AL74" s="57">
        <v>18</v>
      </c>
      <c r="AM74" s="225" t="s">
        <v>588</v>
      </c>
      <c r="AN74" s="255" t="s">
        <v>51</v>
      </c>
      <c r="AO74" s="138"/>
      <c r="AP74" s="139"/>
    </row>
    <row r="75" spans="1:42" s="20" customFormat="1" ht="14.25" customHeight="1" x14ac:dyDescent="0.2">
      <c r="A75" s="162">
        <v>46189</v>
      </c>
      <c r="B75" s="124"/>
      <c r="C75" s="296" t="s">
        <v>52</v>
      </c>
      <c r="D75" s="170" t="s">
        <v>53</v>
      </c>
      <c r="E75" s="303">
        <v>7566</v>
      </c>
      <c r="F75" s="281">
        <v>1</v>
      </c>
      <c r="G75" s="85">
        <v>45393099</v>
      </c>
      <c r="H75" s="85" t="s">
        <v>801</v>
      </c>
      <c r="I75" s="57"/>
      <c r="J75" s="57"/>
      <c r="K75" s="309">
        <v>5800</v>
      </c>
      <c r="L75" s="188"/>
      <c r="M75" s="188"/>
      <c r="N75" s="188"/>
      <c r="O75" s="188"/>
      <c r="P75" s="185">
        <f t="shared" si="2"/>
        <v>5800</v>
      </c>
      <c r="Q75" s="130"/>
      <c r="R75" s="56"/>
      <c r="S75" s="58"/>
      <c r="T75" s="58"/>
      <c r="U75" s="58"/>
      <c r="V75" s="58" t="s">
        <v>47</v>
      </c>
      <c r="W75" s="57"/>
      <c r="X75" s="328">
        <v>46373</v>
      </c>
      <c r="Y75" s="26" t="s">
        <v>63</v>
      </c>
      <c r="Z75" s="58"/>
      <c r="AA75" s="58"/>
      <c r="AB75" s="58" t="s">
        <v>49</v>
      </c>
      <c r="AC75" s="58"/>
      <c r="AD75" s="254" t="s">
        <v>48</v>
      </c>
      <c r="AE75" s="59"/>
      <c r="AF75" s="57"/>
      <c r="AG75" s="57"/>
      <c r="AH75" s="58"/>
      <c r="AI75" s="58"/>
      <c r="AJ75" s="56"/>
      <c r="AK75" s="58"/>
      <c r="AL75" s="57">
        <v>18</v>
      </c>
      <c r="AM75" s="224" t="s">
        <v>50</v>
      </c>
      <c r="AN75" s="254" t="s">
        <v>51</v>
      </c>
      <c r="AO75" s="126"/>
      <c r="AP75" s="129"/>
    </row>
    <row r="76" spans="1:42" s="20" customFormat="1" ht="14.25" customHeight="1" x14ac:dyDescent="0.2">
      <c r="A76" s="162">
        <v>46189</v>
      </c>
      <c r="B76" s="124"/>
      <c r="C76" s="296" t="s">
        <v>52</v>
      </c>
      <c r="D76" s="170" t="s">
        <v>53</v>
      </c>
      <c r="E76" s="303">
        <v>7567</v>
      </c>
      <c r="F76" s="281">
        <v>1</v>
      </c>
      <c r="G76" s="85">
        <v>45393099</v>
      </c>
      <c r="H76" s="85" t="s">
        <v>801</v>
      </c>
      <c r="I76" s="57"/>
      <c r="J76" s="57"/>
      <c r="K76" s="309">
        <v>0</v>
      </c>
      <c r="L76" s="57"/>
      <c r="M76" s="57"/>
      <c r="N76" s="57"/>
      <c r="O76" s="57"/>
      <c r="P76" s="185">
        <f t="shared" si="2"/>
        <v>0</v>
      </c>
      <c r="Q76" s="130"/>
      <c r="R76" s="56"/>
      <c r="S76" s="58"/>
      <c r="T76" s="58"/>
      <c r="U76" s="58"/>
      <c r="V76" s="58" t="s">
        <v>47</v>
      </c>
      <c r="W76" s="57"/>
      <c r="X76" s="328">
        <f t="shared" si="3"/>
        <v>46189</v>
      </c>
      <c r="Y76" s="26" t="s">
        <v>61</v>
      </c>
      <c r="Z76" s="58"/>
      <c r="AA76" s="58"/>
      <c r="AB76" s="58" t="s">
        <v>49</v>
      </c>
      <c r="AC76" s="58"/>
      <c r="AD76" s="254" t="s">
        <v>48</v>
      </c>
      <c r="AE76" s="59"/>
      <c r="AF76" s="57"/>
      <c r="AG76" s="57"/>
      <c r="AH76" s="58"/>
      <c r="AI76" s="58"/>
      <c r="AJ76" s="56"/>
      <c r="AK76" s="58"/>
      <c r="AL76" s="57">
        <v>18</v>
      </c>
      <c r="AM76" s="225" t="s">
        <v>588</v>
      </c>
      <c r="AN76" s="254" t="s">
        <v>51</v>
      </c>
      <c r="AO76" s="126"/>
      <c r="AP76" s="129"/>
    </row>
    <row r="77" spans="1:42" s="20" customFormat="1" ht="14.25" customHeight="1" x14ac:dyDescent="0.2">
      <c r="A77" s="162">
        <v>46189</v>
      </c>
      <c r="B77" s="124"/>
      <c r="C77" s="296" t="s">
        <v>52</v>
      </c>
      <c r="D77" s="170" t="s">
        <v>53</v>
      </c>
      <c r="E77" s="303">
        <v>7568</v>
      </c>
      <c r="F77" s="281">
        <v>1</v>
      </c>
      <c r="G77" s="85">
        <v>71831149</v>
      </c>
      <c r="H77" s="85" t="s">
        <v>768</v>
      </c>
      <c r="I77" s="57"/>
      <c r="J77" s="57"/>
      <c r="K77" s="309">
        <v>5280</v>
      </c>
      <c r="L77" s="188"/>
      <c r="M77" s="188"/>
      <c r="N77" s="188"/>
      <c r="O77" s="188"/>
      <c r="P77" s="185">
        <f t="shared" si="2"/>
        <v>5280</v>
      </c>
      <c r="Q77" s="130"/>
      <c r="R77" s="56"/>
      <c r="S77" s="58"/>
      <c r="T77" s="58"/>
      <c r="U77" s="58"/>
      <c r="V77" s="58" t="s">
        <v>47</v>
      </c>
      <c r="W77" s="57"/>
      <c r="X77" s="328">
        <f t="shared" si="3"/>
        <v>46189</v>
      </c>
      <c r="Y77" s="26" t="s">
        <v>63</v>
      </c>
      <c r="Z77" s="58"/>
      <c r="AA77" s="58"/>
      <c r="AB77" s="58" t="s">
        <v>49</v>
      </c>
      <c r="AC77" s="58"/>
      <c r="AD77" s="254" t="s">
        <v>48</v>
      </c>
      <c r="AE77" s="59"/>
      <c r="AF77" s="57"/>
      <c r="AG77" s="57"/>
      <c r="AH77" s="58"/>
      <c r="AI77" s="58"/>
      <c r="AJ77" s="56"/>
      <c r="AK77" s="58"/>
      <c r="AL77" s="57">
        <v>18</v>
      </c>
      <c r="AM77" s="224" t="s">
        <v>50</v>
      </c>
      <c r="AN77" s="254" t="s">
        <v>51</v>
      </c>
      <c r="AO77" s="126"/>
      <c r="AP77" s="129"/>
    </row>
    <row r="78" spans="1:42" s="20" customFormat="1" ht="14.25" customHeight="1" x14ac:dyDescent="0.2">
      <c r="A78" s="162">
        <v>46189</v>
      </c>
      <c r="B78" s="124"/>
      <c r="C78" s="296" t="s">
        <v>52</v>
      </c>
      <c r="D78" s="170" t="s">
        <v>53</v>
      </c>
      <c r="E78" s="303">
        <v>7569</v>
      </c>
      <c r="F78" s="281">
        <v>1</v>
      </c>
      <c r="G78" s="85">
        <v>71831149</v>
      </c>
      <c r="H78" s="85" t="s">
        <v>768</v>
      </c>
      <c r="I78" s="57"/>
      <c r="J78" s="57"/>
      <c r="K78" s="309">
        <v>0</v>
      </c>
      <c r="L78" s="188"/>
      <c r="M78" s="188"/>
      <c r="N78" s="188"/>
      <c r="O78" s="188"/>
      <c r="P78" s="185">
        <f t="shared" si="2"/>
        <v>0</v>
      </c>
      <c r="Q78" s="130"/>
      <c r="R78" s="56"/>
      <c r="S78" s="58"/>
      <c r="T78" s="58"/>
      <c r="U78" s="58"/>
      <c r="V78" s="58" t="s">
        <v>47</v>
      </c>
      <c r="W78" s="57"/>
      <c r="X78" s="328">
        <f t="shared" si="3"/>
        <v>46189</v>
      </c>
      <c r="Y78" s="26" t="s">
        <v>61</v>
      </c>
      <c r="Z78" s="58"/>
      <c r="AA78" s="58"/>
      <c r="AB78" s="58" t="s">
        <v>49</v>
      </c>
      <c r="AC78" s="58"/>
      <c r="AD78" s="254" t="s">
        <v>48</v>
      </c>
      <c r="AE78" s="59"/>
      <c r="AF78" s="57"/>
      <c r="AG78" s="57"/>
      <c r="AH78" s="58"/>
      <c r="AI78" s="58"/>
      <c r="AJ78" s="56"/>
      <c r="AK78" s="58"/>
      <c r="AL78" s="57">
        <v>18</v>
      </c>
      <c r="AM78" s="225" t="s">
        <v>588</v>
      </c>
      <c r="AN78" s="254" t="s">
        <v>51</v>
      </c>
      <c r="AO78" s="126"/>
      <c r="AP78" s="129"/>
    </row>
    <row r="79" spans="1:42" s="20" customFormat="1" ht="14.25" customHeight="1" x14ac:dyDescent="0.2">
      <c r="A79" s="162">
        <v>46190</v>
      </c>
      <c r="B79" s="124"/>
      <c r="C79" s="296" t="s">
        <v>52</v>
      </c>
      <c r="D79" s="170" t="s">
        <v>53</v>
      </c>
      <c r="E79" s="303">
        <v>7570</v>
      </c>
      <c r="F79" s="281">
        <v>1</v>
      </c>
      <c r="G79" s="85">
        <v>44835977</v>
      </c>
      <c r="H79" s="85" t="s">
        <v>755</v>
      </c>
      <c r="I79" s="57"/>
      <c r="J79" s="57"/>
      <c r="K79" s="309">
        <v>5470</v>
      </c>
      <c r="L79" s="188"/>
      <c r="M79" s="188"/>
      <c r="N79" s="188"/>
      <c r="O79" s="188"/>
      <c r="P79" s="185">
        <f t="shared" si="2"/>
        <v>5470</v>
      </c>
      <c r="Q79" s="130"/>
      <c r="R79" s="56"/>
      <c r="S79" s="58"/>
      <c r="T79" s="58"/>
      <c r="U79" s="58"/>
      <c r="V79" s="58" t="s">
        <v>47</v>
      </c>
      <c r="W79" s="57"/>
      <c r="X79" s="328">
        <f t="shared" si="3"/>
        <v>46190</v>
      </c>
      <c r="Y79" s="26" t="s">
        <v>63</v>
      </c>
      <c r="Z79" s="58"/>
      <c r="AA79" s="58"/>
      <c r="AB79" s="58" t="s">
        <v>49</v>
      </c>
      <c r="AC79" s="58"/>
      <c r="AD79" s="254" t="s">
        <v>48</v>
      </c>
      <c r="AE79" s="59"/>
      <c r="AF79" s="57"/>
      <c r="AG79" s="57"/>
      <c r="AH79" s="58"/>
      <c r="AI79" s="58"/>
      <c r="AJ79" s="56"/>
      <c r="AK79" s="58"/>
      <c r="AL79" s="57">
        <v>18</v>
      </c>
      <c r="AM79" s="224" t="s">
        <v>50</v>
      </c>
      <c r="AN79" s="254" t="s">
        <v>51</v>
      </c>
      <c r="AO79" s="126"/>
      <c r="AP79" s="129"/>
    </row>
    <row r="80" spans="1:42" s="20" customFormat="1" ht="14.25" customHeight="1" x14ac:dyDescent="0.2">
      <c r="A80" s="162">
        <v>46190</v>
      </c>
      <c r="B80" s="136"/>
      <c r="C80" s="296" t="s">
        <v>52</v>
      </c>
      <c r="D80" s="170" t="s">
        <v>53</v>
      </c>
      <c r="E80" s="303">
        <v>7571</v>
      </c>
      <c r="F80" s="281">
        <v>1</v>
      </c>
      <c r="G80" s="85">
        <v>44835977</v>
      </c>
      <c r="H80" s="85" t="s">
        <v>755</v>
      </c>
      <c r="I80" s="57"/>
      <c r="J80" s="57"/>
      <c r="K80" s="309">
        <v>0</v>
      </c>
      <c r="L80" s="57"/>
      <c r="M80" s="57"/>
      <c r="N80" s="57"/>
      <c r="O80" s="57"/>
      <c r="P80" s="185">
        <f t="shared" si="2"/>
        <v>0</v>
      </c>
      <c r="Q80" s="130"/>
      <c r="R80" s="56"/>
      <c r="S80" s="58"/>
      <c r="T80" s="58"/>
      <c r="U80" s="58"/>
      <c r="V80" s="58" t="s">
        <v>47</v>
      </c>
      <c r="W80" s="57"/>
      <c r="X80" s="328">
        <f t="shared" si="3"/>
        <v>46190</v>
      </c>
      <c r="Y80" s="26" t="s">
        <v>61</v>
      </c>
      <c r="Z80" s="58"/>
      <c r="AA80" s="58"/>
      <c r="AB80" s="58" t="s">
        <v>49</v>
      </c>
      <c r="AC80" s="58"/>
      <c r="AD80" s="254" t="s">
        <v>48</v>
      </c>
      <c r="AE80" s="59"/>
      <c r="AF80" s="57"/>
      <c r="AG80" s="57"/>
      <c r="AH80" s="58"/>
      <c r="AI80" s="58"/>
      <c r="AJ80" s="56"/>
      <c r="AK80" s="58"/>
      <c r="AL80" s="57">
        <v>18</v>
      </c>
      <c r="AM80" s="225" t="s">
        <v>588</v>
      </c>
      <c r="AN80" s="254" t="s">
        <v>51</v>
      </c>
      <c r="AO80" s="126"/>
      <c r="AP80" s="129"/>
    </row>
    <row r="81" spans="1:42" s="20" customFormat="1" ht="14.25" customHeight="1" x14ac:dyDescent="0.2">
      <c r="A81" s="162">
        <v>46190</v>
      </c>
      <c r="B81" s="124"/>
      <c r="C81" s="296" t="s">
        <v>52</v>
      </c>
      <c r="D81" s="170" t="s">
        <v>53</v>
      </c>
      <c r="E81" s="303">
        <v>7572</v>
      </c>
      <c r="F81" s="281">
        <v>1</v>
      </c>
      <c r="G81" s="85">
        <v>47290609</v>
      </c>
      <c r="H81" s="85" t="s">
        <v>769</v>
      </c>
      <c r="I81" s="57"/>
      <c r="J81" s="57"/>
      <c r="K81" s="309">
        <v>0</v>
      </c>
      <c r="L81" s="188"/>
      <c r="M81" s="188"/>
      <c r="N81" s="188"/>
      <c r="O81" s="188"/>
      <c r="P81" s="185">
        <f t="shared" si="2"/>
        <v>0</v>
      </c>
      <c r="Q81" s="130"/>
      <c r="R81" s="56"/>
      <c r="S81" s="58"/>
      <c r="T81" s="58"/>
      <c r="U81" s="58"/>
      <c r="V81" s="58" t="s">
        <v>47</v>
      </c>
      <c r="W81" s="57"/>
      <c r="X81" s="328">
        <f t="shared" si="3"/>
        <v>46190</v>
      </c>
      <c r="Y81" s="26" t="s">
        <v>61</v>
      </c>
      <c r="Z81" s="58"/>
      <c r="AA81" s="58"/>
      <c r="AB81" s="58" t="s">
        <v>49</v>
      </c>
      <c r="AC81" s="58"/>
      <c r="AD81" s="254" t="s">
        <v>48</v>
      </c>
      <c r="AE81" s="59"/>
      <c r="AF81" s="57"/>
      <c r="AG81" s="57"/>
      <c r="AH81" s="58"/>
      <c r="AI81" s="58"/>
      <c r="AJ81" s="56"/>
      <c r="AK81" s="58"/>
      <c r="AL81" s="57">
        <v>18</v>
      </c>
      <c r="AM81" s="225" t="s">
        <v>588</v>
      </c>
      <c r="AN81" s="254" t="s">
        <v>51</v>
      </c>
      <c r="AO81" s="126"/>
      <c r="AP81" s="129"/>
    </row>
    <row r="82" spans="1:42" s="20" customFormat="1" ht="14.25" customHeight="1" x14ac:dyDescent="0.2">
      <c r="A82" s="162">
        <v>46190</v>
      </c>
      <c r="B82" s="124"/>
      <c r="C82" s="296" t="s">
        <v>52</v>
      </c>
      <c r="D82" s="170" t="s">
        <v>53</v>
      </c>
      <c r="E82" s="303">
        <v>7573</v>
      </c>
      <c r="F82" s="281">
        <v>1</v>
      </c>
      <c r="G82" s="85">
        <v>23558246</v>
      </c>
      <c r="H82" s="85" t="s">
        <v>685</v>
      </c>
      <c r="I82" s="57"/>
      <c r="J82" s="57"/>
      <c r="K82" s="309">
        <v>0</v>
      </c>
      <c r="L82" s="57"/>
      <c r="M82" s="57"/>
      <c r="N82" s="57"/>
      <c r="O82" s="57"/>
      <c r="P82" s="185">
        <f t="shared" si="2"/>
        <v>0</v>
      </c>
      <c r="Q82" s="130"/>
      <c r="R82" s="56"/>
      <c r="S82" s="58"/>
      <c r="T82" s="58"/>
      <c r="U82" s="58"/>
      <c r="V82" s="58" t="s">
        <v>47</v>
      </c>
      <c r="W82" s="57"/>
      <c r="X82" s="328">
        <f t="shared" si="3"/>
        <v>46190</v>
      </c>
      <c r="Y82" s="26" t="s">
        <v>61</v>
      </c>
      <c r="Z82" s="58"/>
      <c r="AA82" s="58"/>
      <c r="AB82" s="58" t="s">
        <v>49</v>
      </c>
      <c r="AC82" s="58"/>
      <c r="AD82" s="254" t="s">
        <v>48</v>
      </c>
      <c r="AE82" s="59"/>
      <c r="AF82" s="57"/>
      <c r="AG82" s="57"/>
      <c r="AH82" s="58"/>
      <c r="AI82" s="58"/>
      <c r="AJ82" s="56"/>
      <c r="AK82" s="58"/>
      <c r="AL82" s="57">
        <v>18</v>
      </c>
      <c r="AM82" s="225" t="s">
        <v>588</v>
      </c>
      <c r="AN82" s="254" t="s">
        <v>51</v>
      </c>
      <c r="AO82" s="126"/>
      <c r="AP82" s="129"/>
    </row>
    <row r="83" spans="1:42" s="20" customFormat="1" ht="14.25" customHeight="1" x14ac:dyDescent="0.2">
      <c r="A83" s="162">
        <v>46190</v>
      </c>
      <c r="B83" s="124"/>
      <c r="C83" s="296" t="s">
        <v>52</v>
      </c>
      <c r="D83" s="170" t="s">
        <v>53</v>
      </c>
      <c r="E83" s="303">
        <v>7574</v>
      </c>
      <c r="F83" s="281">
        <v>1</v>
      </c>
      <c r="G83" s="85">
        <v>60009767</v>
      </c>
      <c r="H83" s="85" t="s">
        <v>756</v>
      </c>
      <c r="I83" s="57"/>
      <c r="J83" s="57"/>
      <c r="K83" s="309">
        <v>7260</v>
      </c>
      <c r="L83" s="188"/>
      <c r="M83" s="188"/>
      <c r="N83" s="188"/>
      <c r="O83" s="188"/>
      <c r="P83" s="185">
        <f t="shared" si="2"/>
        <v>7260</v>
      </c>
      <c r="Q83" s="130"/>
      <c r="R83" s="56"/>
      <c r="S83" s="58"/>
      <c r="T83" s="58"/>
      <c r="U83" s="58"/>
      <c r="V83" s="58" t="s">
        <v>47</v>
      </c>
      <c r="W83" s="57"/>
      <c r="X83" s="328">
        <f t="shared" si="3"/>
        <v>46190</v>
      </c>
      <c r="Y83" s="26" t="s">
        <v>63</v>
      </c>
      <c r="Z83" s="58"/>
      <c r="AA83" s="58"/>
      <c r="AB83" s="58" t="s">
        <v>49</v>
      </c>
      <c r="AC83" s="58"/>
      <c r="AD83" s="254" t="s">
        <v>48</v>
      </c>
      <c r="AE83" s="59"/>
      <c r="AF83" s="57"/>
      <c r="AG83" s="57"/>
      <c r="AH83" s="58"/>
      <c r="AI83" s="58"/>
      <c r="AJ83" s="56"/>
      <c r="AK83" s="58"/>
      <c r="AL83" s="57">
        <v>18</v>
      </c>
      <c r="AM83" s="224" t="s">
        <v>50</v>
      </c>
      <c r="AN83" s="254" t="s">
        <v>51</v>
      </c>
      <c r="AO83" s="126"/>
      <c r="AP83" s="129"/>
    </row>
    <row r="84" spans="1:42" s="20" customFormat="1" ht="14.25" customHeight="1" x14ac:dyDescent="0.2">
      <c r="A84" s="162">
        <v>46190</v>
      </c>
      <c r="B84" s="124"/>
      <c r="C84" s="296" t="s">
        <v>52</v>
      </c>
      <c r="D84" s="170" t="s">
        <v>53</v>
      </c>
      <c r="E84" s="303">
        <v>7575</v>
      </c>
      <c r="F84" s="281">
        <v>1</v>
      </c>
      <c r="G84" s="85">
        <v>63252364</v>
      </c>
      <c r="H84" s="85" t="s">
        <v>681</v>
      </c>
      <c r="I84" s="57"/>
      <c r="J84" s="57"/>
      <c r="K84" s="309">
        <v>0</v>
      </c>
      <c r="L84" s="57"/>
      <c r="M84" s="57"/>
      <c r="N84" s="57"/>
      <c r="O84" s="57"/>
      <c r="P84" s="185">
        <f t="shared" si="2"/>
        <v>0</v>
      </c>
      <c r="Q84" s="130"/>
      <c r="R84" s="56"/>
      <c r="S84" s="58"/>
      <c r="T84" s="58"/>
      <c r="U84" s="58"/>
      <c r="V84" s="58" t="s">
        <v>47</v>
      </c>
      <c r="W84" s="57"/>
      <c r="X84" s="328">
        <f t="shared" si="3"/>
        <v>46190</v>
      </c>
      <c r="Y84" s="26" t="s">
        <v>61</v>
      </c>
      <c r="Z84" s="58"/>
      <c r="AA84" s="58"/>
      <c r="AB84" s="58" t="s">
        <v>49</v>
      </c>
      <c r="AC84" s="58"/>
      <c r="AD84" s="254" t="s">
        <v>48</v>
      </c>
      <c r="AE84" s="59"/>
      <c r="AF84" s="57"/>
      <c r="AG84" s="57"/>
      <c r="AH84" s="58"/>
      <c r="AI84" s="58"/>
      <c r="AJ84" s="56"/>
      <c r="AK84" s="58"/>
      <c r="AL84" s="57">
        <v>18</v>
      </c>
      <c r="AM84" s="225" t="s">
        <v>588</v>
      </c>
      <c r="AN84" s="254" t="s">
        <v>51</v>
      </c>
      <c r="AO84" s="126"/>
      <c r="AP84" s="129"/>
    </row>
    <row r="85" spans="1:42" s="20" customFormat="1" ht="14.25" customHeight="1" x14ac:dyDescent="0.2">
      <c r="A85" s="162">
        <v>46190</v>
      </c>
      <c r="B85" s="124"/>
      <c r="C85" s="296" t="s">
        <v>52</v>
      </c>
      <c r="D85" s="170" t="s">
        <v>53</v>
      </c>
      <c r="E85" s="303">
        <v>7576</v>
      </c>
      <c r="F85" s="281">
        <v>1</v>
      </c>
      <c r="G85" s="85">
        <v>47950282</v>
      </c>
      <c r="H85" s="85" t="s">
        <v>687</v>
      </c>
      <c r="I85" s="57"/>
      <c r="J85" s="57"/>
      <c r="K85" s="309">
        <v>0</v>
      </c>
      <c r="L85" s="188"/>
      <c r="M85" s="188"/>
      <c r="N85" s="188"/>
      <c r="O85" s="188"/>
      <c r="P85" s="185">
        <f t="shared" si="2"/>
        <v>0</v>
      </c>
      <c r="Q85" s="130"/>
      <c r="R85" s="56"/>
      <c r="S85" s="58"/>
      <c r="T85" s="58"/>
      <c r="U85" s="58"/>
      <c r="V85" s="58" t="s">
        <v>47</v>
      </c>
      <c r="W85" s="57"/>
      <c r="X85" s="328">
        <f t="shared" si="3"/>
        <v>46190</v>
      </c>
      <c r="Y85" s="26" t="s">
        <v>61</v>
      </c>
      <c r="Z85" s="58"/>
      <c r="AA85" s="58"/>
      <c r="AB85" s="58" t="s">
        <v>49</v>
      </c>
      <c r="AC85" s="58"/>
      <c r="AD85" s="254" t="s">
        <v>48</v>
      </c>
      <c r="AE85" s="59"/>
      <c r="AF85" s="57"/>
      <c r="AG85" s="57"/>
      <c r="AH85" s="58"/>
      <c r="AI85" s="58"/>
      <c r="AJ85" s="56"/>
      <c r="AK85" s="58"/>
      <c r="AL85" s="57">
        <v>18</v>
      </c>
      <c r="AM85" s="225" t="s">
        <v>588</v>
      </c>
      <c r="AN85" s="254" t="s">
        <v>51</v>
      </c>
      <c r="AO85" s="126"/>
      <c r="AP85" s="129"/>
    </row>
    <row r="86" spans="1:42" s="20" customFormat="1" ht="14.25" customHeight="1" x14ac:dyDescent="0.2">
      <c r="A86" s="162">
        <v>46191</v>
      </c>
      <c r="B86" s="124"/>
      <c r="C86" s="272" t="s">
        <v>52</v>
      </c>
      <c r="D86" s="170" t="s">
        <v>53</v>
      </c>
      <c r="E86" s="303">
        <v>7577</v>
      </c>
      <c r="F86" s="322" t="s">
        <v>54</v>
      </c>
      <c r="G86" s="85">
        <v>21010997</v>
      </c>
      <c r="H86" s="85" t="s">
        <v>770</v>
      </c>
      <c r="I86" s="57"/>
      <c r="J86" s="57"/>
      <c r="K86" s="309">
        <v>6026</v>
      </c>
      <c r="L86" s="57"/>
      <c r="M86" s="57"/>
      <c r="N86" s="57"/>
      <c r="O86" s="57"/>
      <c r="P86" s="185">
        <f t="shared" si="2"/>
        <v>6026</v>
      </c>
      <c r="Q86" s="130"/>
      <c r="R86" s="56"/>
      <c r="S86" s="58"/>
      <c r="T86" s="58"/>
      <c r="U86" s="58"/>
      <c r="V86" s="58" t="s">
        <v>47</v>
      </c>
      <c r="W86" s="57"/>
      <c r="X86" s="328">
        <f t="shared" si="3"/>
        <v>46191</v>
      </c>
      <c r="Y86" s="26" t="s">
        <v>63</v>
      </c>
      <c r="Z86" s="26"/>
      <c r="AA86" s="26"/>
      <c r="AB86" s="26" t="s">
        <v>49</v>
      </c>
      <c r="AC86" s="26"/>
      <c r="AD86" s="254" t="s">
        <v>48</v>
      </c>
      <c r="AE86" s="27"/>
      <c r="AF86" s="24"/>
      <c r="AG86" s="24"/>
      <c r="AH86" s="26"/>
      <c r="AI86" s="26"/>
      <c r="AJ86" s="25"/>
      <c r="AK86" s="26"/>
      <c r="AL86" s="24">
        <v>18</v>
      </c>
      <c r="AM86" s="224" t="s">
        <v>50</v>
      </c>
      <c r="AN86" s="254" t="s">
        <v>51</v>
      </c>
      <c r="AO86" s="126"/>
      <c r="AP86" s="129"/>
    </row>
    <row r="87" spans="1:42" s="20" customFormat="1" ht="14.25" customHeight="1" x14ac:dyDescent="0.2">
      <c r="A87" s="162">
        <v>46191</v>
      </c>
      <c r="B87" s="124"/>
      <c r="C87" s="272" t="s">
        <v>52</v>
      </c>
      <c r="D87" s="170" t="s">
        <v>53</v>
      </c>
      <c r="E87" s="303">
        <v>7578</v>
      </c>
      <c r="F87" s="322" t="s">
        <v>54</v>
      </c>
      <c r="G87" s="85">
        <v>76582437</v>
      </c>
      <c r="H87" s="85" t="s">
        <v>771</v>
      </c>
      <c r="I87" s="57"/>
      <c r="J87" s="57"/>
      <c r="K87" s="309">
        <v>6380</v>
      </c>
      <c r="L87" s="184"/>
      <c r="M87" s="184"/>
      <c r="N87" s="184"/>
      <c r="O87" s="184"/>
      <c r="P87" s="185">
        <f t="shared" si="2"/>
        <v>6380</v>
      </c>
      <c r="Q87" s="130"/>
      <c r="R87" s="56"/>
      <c r="S87" s="58"/>
      <c r="T87" s="58"/>
      <c r="U87" s="58"/>
      <c r="V87" s="58" t="s">
        <v>47</v>
      </c>
      <c r="W87" s="57"/>
      <c r="X87" s="328">
        <f t="shared" si="3"/>
        <v>46191</v>
      </c>
      <c r="Y87" s="26" t="s">
        <v>63</v>
      </c>
      <c r="Z87" s="58"/>
      <c r="AA87" s="58"/>
      <c r="AB87" s="58" t="s">
        <v>49</v>
      </c>
      <c r="AC87" s="58"/>
      <c r="AD87" s="254" t="s">
        <v>48</v>
      </c>
      <c r="AE87" s="59"/>
      <c r="AF87" s="57"/>
      <c r="AG87" s="57"/>
      <c r="AH87" s="58"/>
      <c r="AI87" s="58"/>
      <c r="AJ87" s="56"/>
      <c r="AK87" s="58"/>
      <c r="AL87" s="57">
        <v>18</v>
      </c>
      <c r="AM87" s="224" t="s">
        <v>50</v>
      </c>
      <c r="AN87" s="254" t="s">
        <v>51</v>
      </c>
      <c r="AO87" s="126"/>
      <c r="AP87" s="129"/>
    </row>
    <row r="88" spans="1:42" s="20" customFormat="1" ht="14.25" customHeight="1" x14ac:dyDescent="0.2">
      <c r="A88" s="162">
        <v>46191</v>
      </c>
      <c r="B88" s="124"/>
      <c r="C88" s="272" t="s">
        <v>52</v>
      </c>
      <c r="D88" s="170" t="s">
        <v>53</v>
      </c>
      <c r="E88" s="303">
        <v>7579</v>
      </c>
      <c r="F88" s="322" t="s">
        <v>54</v>
      </c>
      <c r="G88" s="85">
        <v>76582437</v>
      </c>
      <c r="H88" s="85" t="s">
        <v>771</v>
      </c>
      <c r="I88" s="57"/>
      <c r="J88" s="57"/>
      <c r="K88" s="309">
        <v>0</v>
      </c>
      <c r="L88" s="184"/>
      <c r="M88" s="184"/>
      <c r="N88" s="184"/>
      <c r="O88" s="184"/>
      <c r="P88" s="185">
        <f t="shared" si="2"/>
        <v>0</v>
      </c>
      <c r="Q88" s="130"/>
      <c r="R88" s="56"/>
      <c r="S88" s="58"/>
      <c r="T88" s="58"/>
      <c r="U88" s="58"/>
      <c r="V88" s="58" t="s">
        <v>47</v>
      </c>
      <c r="W88" s="57"/>
      <c r="X88" s="328">
        <f t="shared" si="3"/>
        <v>46191</v>
      </c>
      <c r="Y88" s="26" t="s">
        <v>61</v>
      </c>
      <c r="Z88" s="58"/>
      <c r="AA88" s="58"/>
      <c r="AB88" s="58" t="s">
        <v>49</v>
      </c>
      <c r="AC88" s="58"/>
      <c r="AD88" s="254" t="s">
        <v>48</v>
      </c>
      <c r="AE88" s="59"/>
      <c r="AF88" s="57"/>
      <c r="AG88" s="57"/>
      <c r="AH88" s="58"/>
      <c r="AI88" s="58"/>
      <c r="AJ88" s="56"/>
      <c r="AK88" s="58"/>
      <c r="AL88" s="57">
        <v>18</v>
      </c>
      <c r="AM88" s="225" t="s">
        <v>588</v>
      </c>
      <c r="AN88" s="254" t="s">
        <v>51</v>
      </c>
      <c r="AO88" s="126"/>
      <c r="AP88" s="129"/>
    </row>
    <row r="89" spans="1:42" s="20" customFormat="1" ht="14.25" customHeight="1" x14ac:dyDescent="0.2">
      <c r="A89" s="162">
        <v>46191</v>
      </c>
      <c r="B89" s="124"/>
      <c r="C89" s="272" t="s">
        <v>52</v>
      </c>
      <c r="D89" s="170" t="s">
        <v>53</v>
      </c>
      <c r="E89" s="303">
        <v>7580</v>
      </c>
      <c r="F89" s="322" t="s">
        <v>54</v>
      </c>
      <c r="G89" s="85">
        <v>31148093</v>
      </c>
      <c r="H89" s="85" t="s">
        <v>772</v>
      </c>
      <c r="I89" s="57"/>
      <c r="J89" s="57"/>
      <c r="K89" s="309">
        <v>6280</v>
      </c>
      <c r="L89" s="57"/>
      <c r="M89" s="57"/>
      <c r="N89" s="57"/>
      <c r="O89" s="57"/>
      <c r="P89" s="185">
        <f t="shared" si="2"/>
        <v>6280</v>
      </c>
      <c r="Q89" s="130"/>
      <c r="R89" s="56"/>
      <c r="S89" s="58"/>
      <c r="T89" s="58"/>
      <c r="U89" s="58"/>
      <c r="V89" s="58" t="s">
        <v>47</v>
      </c>
      <c r="W89" s="57"/>
      <c r="X89" s="328">
        <f t="shared" si="3"/>
        <v>46191</v>
      </c>
      <c r="Y89" s="26" t="s">
        <v>63</v>
      </c>
      <c r="Z89" s="58"/>
      <c r="AA89" s="58"/>
      <c r="AB89" s="58" t="s">
        <v>49</v>
      </c>
      <c r="AC89" s="58"/>
      <c r="AD89" s="254" t="s">
        <v>48</v>
      </c>
      <c r="AE89" s="59"/>
      <c r="AF89" s="57"/>
      <c r="AG89" s="57"/>
      <c r="AH89" s="58"/>
      <c r="AI89" s="58"/>
      <c r="AJ89" s="56"/>
      <c r="AK89" s="58"/>
      <c r="AL89" s="57">
        <v>18</v>
      </c>
      <c r="AM89" s="224" t="s">
        <v>50</v>
      </c>
      <c r="AN89" s="254" t="s">
        <v>51</v>
      </c>
      <c r="AO89" s="126"/>
      <c r="AP89" s="129"/>
    </row>
    <row r="90" spans="1:42" s="20" customFormat="1" ht="14.25" customHeight="1" x14ac:dyDescent="0.2">
      <c r="A90" s="162">
        <v>46191</v>
      </c>
      <c r="B90" s="124"/>
      <c r="C90" s="273" t="s">
        <v>52</v>
      </c>
      <c r="D90" s="170" t="s">
        <v>53</v>
      </c>
      <c r="E90" s="303">
        <v>7581</v>
      </c>
      <c r="F90" s="322" t="s">
        <v>54</v>
      </c>
      <c r="G90" s="85">
        <v>31148093</v>
      </c>
      <c r="H90" s="85" t="s">
        <v>772</v>
      </c>
      <c r="I90" s="57"/>
      <c r="J90" s="57"/>
      <c r="K90" s="309">
        <v>0</v>
      </c>
      <c r="L90" s="191"/>
      <c r="M90" s="191"/>
      <c r="N90" s="191"/>
      <c r="O90" s="191"/>
      <c r="P90" s="185">
        <f t="shared" si="2"/>
        <v>0</v>
      </c>
      <c r="Q90" s="130"/>
      <c r="R90" s="56"/>
      <c r="S90" s="58"/>
      <c r="T90" s="58"/>
      <c r="U90" s="58"/>
      <c r="V90" s="58" t="s">
        <v>47</v>
      </c>
      <c r="W90" s="57"/>
      <c r="X90" s="328">
        <f t="shared" si="3"/>
        <v>46191</v>
      </c>
      <c r="Y90" s="26" t="s">
        <v>61</v>
      </c>
      <c r="Z90" s="58"/>
      <c r="AA90" s="58"/>
      <c r="AB90" s="58" t="s">
        <v>49</v>
      </c>
      <c r="AC90" s="58"/>
      <c r="AD90" s="254" t="s">
        <v>48</v>
      </c>
      <c r="AE90" s="59"/>
      <c r="AF90" s="57"/>
      <c r="AG90" s="57"/>
      <c r="AH90" s="58"/>
      <c r="AI90" s="58"/>
      <c r="AJ90" s="56"/>
      <c r="AK90" s="58"/>
      <c r="AL90" s="57">
        <v>18</v>
      </c>
      <c r="AM90" s="225" t="s">
        <v>588</v>
      </c>
      <c r="AN90" s="254" t="s">
        <v>51</v>
      </c>
      <c r="AO90" s="126"/>
      <c r="AP90" s="129"/>
    </row>
    <row r="91" spans="1:42" s="20" customFormat="1" ht="14.25" customHeight="1" x14ac:dyDescent="0.2">
      <c r="A91" s="162">
        <v>46191</v>
      </c>
      <c r="B91" s="124"/>
      <c r="C91" s="273" t="s">
        <v>52</v>
      </c>
      <c r="D91" s="170" t="s">
        <v>53</v>
      </c>
      <c r="E91" s="303">
        <v>7582</v>
      </c>
      <c r="F91" s="322" t="s">
        <v>54</v>
      </c>
      <c r="G91" s="85">
        <v>43782646</v>
      </c>
      <c r="H91" s="85" t="s">
        <v>773</v>
      </c>
      <c r="I91" s="57"/>
      <c r="J91" s="57"/>
      <c r="K91" s="309">
        <v>9580</v>
      </c>
      <c r="L91" s="45"/>
      <c r="M91" s="45"/>
      <c r="N91" s="45"/>
      <c r="O91" s="45"/>
      <c r="P91" s="185">
        <f t="shared" si="2"/>
        <v>9580</v>
      </c>
      <c r="Q91" s="130"/>
      <c r="R91" s="56"/>
      <c r="S91" s="58"/>
      <c r="T91" s="58"/>
      <c r="U91" s="58"/>
      <c r="V91" s="58" t="s">
        <v>47</v>
      </c>
      <c r="W91" s="57"/>
      <c r="X91" s="328">
        <f t="shared" si="3"/>
        <v>46191</v>
      </c>
      <c r="Y91" s="26" t="s">
        <v>63</v>
      </c>
      <c r="Z91" s="58"/>
      <c r="AA91" s="58"/>
      <c r="AB91" s="58" t="s">
        <v>49</v>
      </c>
      <c r="AC91" s="58"/>
      <c r="AD91" s="254" t="s">
        <v>48</v>
      </c>
      <c r="AE91" s="59"/>
      <c r="AF91" s="57"/>
      <c r="AG91" s="57"/>
      <c r="AH91" s="58"/>
      <c r="AI91" s="58"/>
      <c r="AJ91" s="56"/>
      <c r="AK91" s="58"/>
      <c r="AL91" s="57">
        <v>18</v>
      </c>
      <c r="AM91" s="224" t="s">
        <v>50</v>
      </c>
      <c r="AN91" s="254" t="s">
        <v>51</v>
      </c>
      <c r="AO91" s="126"/>
      <c r="AP91" s="129"/>
    </row>
    <row r="92" spans="1:42" s="20" customFormat="1" ht="14.25" customHeight="1" x14ac:dyDescent="0.2">
      <c r="A92" s="162">
        <v>46191</v>
      </c>
      <c r="B92" s="124"/>
      <c r="C92" s="273" t="s">
        <v>52</v>
      </c>
      <c r="D92" s="170" t="s">
        <v>53</v>
      </c>
      <c r="E92" s="303">
        <v>7583</v>
      </c>
      <c r="F92" s="322" t="s">
        <v>54</v>
      </c>
      <c r="G92" s="85">
        <v>43782646</v>
      </c>
      <c r="H92" s="85" t="s">
        <v>773</v>
      </c>
      <c r="I92" s="57"/>
      <c r="J92" s="57"/>
      <c r="K92" s="309">
        <v>0</v>
      </c>
      <c r="L92" s="191"/>
      <c r="M92" s="191"/>
      <c r="N92" s="191"/>
      <c r="O92" s="191"/>
      <c r="P92" s="185">
        <f t="shared" si="2"/>
        <v>0</v>
      </c>
      <c r="Q92" s="130"/>
      <c r="R92" s="56"/>
      <c r="S92" s="58"/>
      <c r="T92" s="58"/>
      <c r="U92" s="58"/>
      <c r="V92" s="58" t="s">
        <v>47</v>
      </c>
      <c r="W92" s="57"/>
      <c r="X92" s="328">
        <f t="shared" si="3"/>
        <v>46191</v>
      </c>
      <c r="Y92" s="26" t="s">
        <v>61</v>
      </c>
      <c r="Z92" s="58"/>
      <c r="AA92" s="58"/>
      <c r="AB92" s="58" t="s">
        <v>49</v>
      </c>
      <c r="AC92" s="58"/>
      <c r="AD92" s="254" t="s">
        <v>48</v>
      </c>
      <c r="AE92" s="59"/>
      <c r="AF92" s="57"/>
      <c r="AG92" s="57"/>
      <c r="AH92" s="58"/>
      <c r="AI92" s="58"/>
      <c r="AJ92" s="56"/>
      <c r="AK92" s="58"/>
      <c r="AL92" s="57">
        <v>18</v>
      </c>
      <c r="AM92" s="225" t="s">
        <v>588</v>
      </c>
      <c r="AN92" s="254" t="s">
        <v>51</v>
      </c>
      <c r="AO92" s="126"/>
      <c r="AP92" s="129"/>
    </row>
    <row r="93" spans="1:42" s="20" customFormat="1" ht="14.25" customHeight="1" x14ac:dyDescent="0.2">
      <c r="A93" s="162">
        <v>46191</v>
      </c>
      <c r="B93" s="142"/>
      <c r="C93" s="273" t="s">
        <v>52</v>
      </c>
      <c r="D93" s="170" t="s">
        <v>53</v>
      </c>
      <c r="E93" s="303">
        <v>7584</v>
      </c>
      <c r="F93" s="322" t="s">
        <v>54</v>
      </c>
      <c r="G93" s="85">
        <v>78635235</v>
      </c>
      <c r="H93" s="85" t="s">
        <v>774</v>
      </c>
      <c r="I93" s="57"/>
      <c r="J93" s="57"/>
      <c r="K93" s="309">
        <v>7262</v>
      </c>
      <c r="L93" s="192"/>
      <c r="M93" s="192"/>
      <c r="N93" s="192"/>
      <c r="O93" s="192"/>
      <c r="P93" s="185">
        <f t="shared" si="2"/>
        <v>7262</v>
      </c>
      <c r="Q93" s="130"/>
      <c r="R93" s="56"/>
      <c r="S93" s="58"/>
      <c r="T93" s="58"/>
      <c r="U93" s="58"/>
      <c r="V93" s="58" t="s">
        <v>47</v>
      </c>
      <c r="W93" s="57"/>
      <c r="X93" s="328">
        <f t="shared" si="3"/>
        <v>46191</v>
      </c>
      <c r="Y93" s="26" t="s">
        <v>63</v>
      </c>
      <c r="Z93" s="58"/>
      <c r="AA93" s="58"/>
      <c r="AB93" s="58" t="s">
        <v>49</v>
      </c>
      <c r="AC93" s="58"/>
      <c r="AD93" s="254" t="s">
        <v>48</v>
      </c>
      <c r="AE93" s="59"/>
      <c r="AF93" s="57"/>
      <c r="AG93" s="57"/>
      <c r="AH93" s="58"/>
      <c r="AI93" s="58"/>
      <c r="AJ93" s="56"/>
      <c r="AK93" s="58"/>
      <c r="AL93" s="57">
        <v>18</v>
      </c>
      <c r="AM93" s="224" t="s">
        <v>50</v>
      </c>
      <c r="AN93" s="254" t="s">
        <v>51</v>
      </c>
      <c r="AO93" s="126"/>
      <c r="AP93" s="129"/>
    </row>
    <row r="94" spans="1:42" s="20" customFormat="1" ht="14.25" customHeight="1" x14ac:dyDescent="0.2">
      <c r="A94" s="162">
        <v>46192</v>
      </c>
      <c r="B94" s="124"/>
      <c r="C94" s="273" t="s">
        <v>52</v>
      </c>
      <c r="D94" s="170" t="s">
        <v>53</v>
      </c>
      <c r="E94" s="303">
        <v>7585</v>
      </c>
      <c r="F94" s="322" t="s">
        <v>54</v>
      </c>
      <c r="G94" s="85">
        <v>46101028</v>
      </c>
      <c r="H94" s="85" t="s">
        <v>775</v>
      </c>
      <c r="I94" s="57"/>
      <c r="J94" s="57"/>
      <c r="K94" s="309">
        <v>5280</v>
      </c>
      <c r="L94" s="45"/>
      <c r="M94" s="45"/>
      <c r="N94" s="45"/>
      <c r="O94" s="45"/>
      <c r="P94" s="185">
        <f t="shared" si="2"/>
        <v>5280</v>
      </c>
      <c r="Q94" s="130"/>
      <c r="R94" s="56"/>
      <c r="S94" s="58"/>
      <c r="T94" s="58"/>
      <c r="U94" s="58"/>
      <c r="V94" s="58" t="s">
        <v>47</v>
      </c>
      <c r="W94" s="57"/>
      <c r="X94" s="328">
        <f t="shared" si="3"/>
        <v>46192</v>
      </c>
      <c r="Y94" s="26" t="s">
        <v>63</v>
      </c>
      <c r="Z94" s="26"/>
      <c r="AA94" s="26"/>
      <c r="AB94" s="26" t="s">
        <v>49</v>
      </c>
      <c r="AC94" s="26"/>
      <c r="AD94" s="254" t="s">
        <v>48</v>
      </c>
      <c r="AE94" s="27"/>
      <c r="AF94" s="24"/>
      <c r="AG94" s="24"/>
      <c r="AH94" s="26"/>
      <c r="AI94" s="26"/>
      <c r="AJ94" s="25"/>
      <c r="AK94" s="26"/>
      <c r="AL94" s="24">
        <v>18</v>
      </c>
      <c r="AM94" s="224" t="s">
        <v>50</v>
      </c>
      <c r="AN94" s="254" t="s">
        <v>51</v>
      </c>
      <c r="AO94" s="126"/>
      <c r="AP94" s="129"/>
    </row>
    <row r="95" spans="1:42" s="20" customFormat="1" ht="14.25" customHeight="1" x14ac:dyDescent="0.2">
      <c r="A95" s="162">
        <v>46192</v>
      </c>
      <c r="B95" s="124"/>
      <c r="C95" s="273" t="s">
        <v>52</v>
      </c>
      <c r="D95" s="170" t="s">
        <v>53</v>
      </c>
      <c r="E95" s="303">
        <v>7586</v>
      </c>
      <c r="F95" s="322" t="s">
        <v>54</v>
      </c>
      <c r="G95" s="85">
        <v>46101028</v>
      </c>
      <c r="H95" s="85" t="s">
        <v>775</v>
      </c>
      <c r="I95" s="57"/>
      <c r="J95" s="57"/>
      <c r="K95" s="309">
        <v>0</v>
      </c>
      <c r="L95" s="192"/>
      <c r="M95" s="192"/>
      <c r="N95" s="192"/>
      <c r="O95" s="192"/>
      <c r="P95" s="185">
        <f t="shared" si="2"/>
        <v>0</v>
      </c>
      <c r="Q95" s="130"/>
      <c r="R95" s="56"/>
      <c r="S95" s="58"/>
      <c r="T95" s="58"/>
      <c r="U95" s="58"/>
      <c r="V95" s="58" t="s">
        <v>47</v>
      </c>
      <c r="W95" s="57"/>
      <c r="X95" s="328">
        <f t="shared" si="3"/>
        <v>46192</v>
      </c>
      <c r="Y95" s="26" t="s">
        <v>61</v>
      </c>
      <c r="Z95" s="58"/>
      <c r="AA95" s="58"/>
      <c r="AB95" s="58" t="s">
        <v>49</v>
      </c>
      <c r="AC95" s="58"/>
      <c r="AD95" s="254" t="s">
        <v>48</v>
      </c>
      <c r="AE95" s="59"/>
      <c r="AF95" s="57"/>
      <c r="AG95" s="57"/>
      <c r="AH95" s="58"/>
      <c r="AI95" s="58"/>
      <c r="AJ95" s="56"/>
      <c r="AK95" s="58"/>
      <c r="AL95" s="57">
        <v>18</v>
      </c>
      <c r="AM95" s="225" t="s">
        <v>588</v>
      </c>
      <c r="AN95" s="254" t="s">
        <v>51</v>
      </c>
      <c r="AO95" s="126"/>
      <c r="AP95" s="129"/>
    </row>
    <row r="96" spans="1:42" s="20" customFormat="1" ht="14.25" customHeight="1" x14ac:dyDescent="0.2">
      <c r="A96" s="162">
        <v>46192</v>
      </c>
      <c r="B96" s="124"/>
      <c r="C96" s="273" t="s">
        <v>52</v>
      </c>
      <c r="D96" s="170" t="s">
        <v>53</v>
      </c>
      <c r="E96" s="303">
        <v>7587</v>
      </c>
      <c r="F96" s="322" t="s">
        <v>54</v>
      </c>
      <c r="G96" s="85">
        <v>70899462</v>
      </c>
      <c r="H96" s="85" t="s">
        <v>776</v>
      </c>
      <c r="I96" s="57"/>
      <c r="J96" s="57"/>
      <c r="K96" s="309">
        <v>4770</v>
      </c>
      <c r="L96" s="45"/>
      <c r="M96" s="45"/>
      <c r="N96" s="45"/>
      <c r="O96" s="45"/>
      <c r="P96" s="185">
        <f t="shared" si="2"/>
        <v>4770</v>
      </c>
      <c r="Q96" s="130"/>
      <c r="R96" s="56"/>
      <c r="S96" s="58"/>
      <c r="T96" s="58"/>
      <c r="U96" s="58"/>
      <c r="V96" s="58" t="s">
        <v>47</v>
      </c>
      <c r="W96" s="57"/>
      <c r="X96" s="328">
        <f t="shared" si="3"/>
        <v>46192</v>
      </c>
      <c r="Y96" s="26" t="s">
        <v>63</v>
      </c>
      <c r="Z96" s="26"/>
      <c r="AA96" s="26"/>
      <c r="AB96" s="26" t="s">
        <v>49</v>
      </c>
      <c r="AC96" s="26"/>
      <c r="AD96" s="254" t="s">
        <v>48</v>
      </c>
      <c r="AE96" s="27"/>
      <c r="AF96" s="24"/>
      <c r="AG96" s="24"/>
      <c r="AH96" s="26"/>
      <c r="AI96" s="26"/>
      <c r="AJ96" s="25"/>
      <c r="AK96" s="26"/>
      <c r="AL96" s="24">
        <v>18</v>
      </c>
      <c r="AM96" s="224" t="s">
        <v>50</v>
      </c>
      <c r="AN96" s="254" t="s">
        <v>51</v>
      </c>
      <c r="AO96" s="126"/>
      <c r="AP96" s="129"/>
    </row>
    <row r="97" spans="1:42" s="20" customFormat="1" ht="14.25" customHeight="1" x14ac:dyDescent="0.2">
      <c r="A97" s="162">
        <v>46192</v>
      </c>
      <c r="B97" s="124"/>
      <c r="C97" s="273" t="s">
        <v>52</v>
      </c>
      <c r="D97" s="170" t="s">
        <v>53</v>
      </c>
      <c r="E97" s="303">
        <v>7588</v>
      </c>
      <c r="F97" s="322" t="s">
        <v>54</v>
      </c>
      <c r="G97" s="85">
        <v>70899462</v>
      </c>
      <c r="H97" s="85" t="s">
        <v>776</v>
      </c>
      <c r="I97" s="57"/>
      <c r="J97" s="57"/>
      <c r="K97" s="309">
        <v>0</v>
      </c>
      <c r="L97" s="192"/>
      <c r="M97" s="192"/>
      <c r="N97" s="192"/>
      <c r="O97" s="192"/>
      <c r="P97" s="185">
        <f t="shared" si="2"/>
        <v>0</v>
      </c>
      <c r="Q97" s="130"/>
      <c r="R97" s="56"/>
      <c r="S97" s="58"/>
      <c r="T97" s="58"/>
      <c r="U97" s="58"/>
      <c r="V97" s="58" t="s">
        <v>47</v>
      </c>
      <c r="W97" s="57"/>
      <c r="X97" s="328">
        <f t="shared" si="3"/>
        <v>46192</v>
      </c>
      <c r="Y97" s="26" t="s">
        <v>61</v>
      </c>
      <c r="Z97" s="58"/>
      <c r="AA97" s="58"/>
      <c r="AB97" s="58" t="s">
        <v>49</v>
      </c>
      <c r="AC97" s="58"/>
      <c r="AD97" s="254" t="s">
        <v>48</v>
      </c>
      <c r="AE97" s="59"/>
      <c r="AF97" s="57"/>
      <c r="AG97" s="57"/>
      <c r="AH97" s="58"/>
      <c r="AI97" s="58"/>
      <c r="AJ97" s="56"/>
      <c r="AK97" s="58"/>
      <c r="AL97" s="57">
        <v>18</v>
      </c>
      <c r="AM97" s="225" t="s">
        <v>588</v>
      </c>
      <c r="AN97" s="254" t="s">
        <v>51</v>
      </c>
      <c r="AO97" s="126"/>
      <c r="AP97" s="129"/>
    </row>
    <row r="98" spans="1:42" s="20" customFormat="1" ht="14.25" customHeight="1" x14ac:dyDescent="0.2">
      <c r="A98" s="162">
        <v>46193</v>
      </c>
      <c r="B98" s="142"/>
      <c r="C98" s="273" t="s">
        <v>52</v>
      </c>
      <c r="D98" s="170" t="s">
        <v>53</v>
      </c>
      <c r="E98" s="303">
        <v>7589</v>
      </c>
      <c r="F98" s="322" t="s">
        <v>54</v>
      </c>
      <c r="G98" s="85">
        <v>19414093</v>
      </c>
      <c r="H98" s="85" t="s">
        <v>777</v>
      </c>
      <c r="I98" s="57"/>
      <c r="J98" s="57"/>
      <c r="K98" s="309">
        <v>7262</v>
      </c>
      <c r="L98" s="45"/>
      <c r="M98" s="45"/>
      <c r="N98" s="45"/>
      <c r="O98" s="45"/>
      <c r="P98" s="185">
        <f t="shared" si="2"/>
        <v>7262</v>
      </c>
      <c r="Q98" s="130"/>
      <c r="R98" s="56"/>
      <c r="S98" s="58"/>
      <c r="T98" s="58"/>
      <c r="U98" s="58"/>
      <c r="V98" s="58" t="s">
        <v>47</v>
      </c>
      <c r="W98" s="57"/>
      <c r="X98" s="328">
        <f t="shared" si="3"/>
        <v>46193</v>
      </c>
      <c r="Y98" s="26" t="s">
        <v>63</v>
      </c>
      <c r="Z98" s="58"/>
      <c r="AA98" s="58"/>
      <c r="AB98" s="58" t="s">
        <v>49</v>
      </c>
      <c r="AC98" s="58"/>
      <c r="AD98" s="254" t="s">
        <v>48</v>
      </c>
      <c r="AE98" s="59"/>
      <c r="AF98" s="57"/>
      <c r="AG98" s="57"/>
      <c r="AH98" s="58"/>
      <c r="AI98" s="58"/>
      <c r="AJ98" s="56"/>
      <c r="AK98" s="58"/>
      <c r="AL98" s="57">
        <v>18</v>
      </c>
      <c r="AM98" s="224" t="s">
        <v>50</v>
      </c>
      <c r="AN98" s="254" t="s">
        <v>51</v>
      </c>
      <c r="AO98" s="126"/>
      <c r="AP98" s="129"/>
    </row>
    <row r="99" spans="1:42" s="20" customFormat="1" ht="15" customHeight="1" x14ac:dyDescent="0.2">
      <c r="A99" s="162">
        <v>46193</v>
      </c>
      <c r="B99" s="124"/>
      <c r="C99" s="273" t="s">
        <v>52</v>
      </c>
      <c r="D99" s="170" t="s">
        <v>53</v>
      </c>
      <c r="E99" s="303">
        <v>7590</v>
      </c>
      <c r="F99" s="322" t="s">
        <v>54</v>
      </c>
      <c r="G99" s="85">
        <v>20109142</v>
      </c>
      <c r="H99" s="85" t="s">
        <v>778</v>
      </c>
      <c r="I99" s="57"/>
      <c r="J99" s="57"/>
      <c r="K99" s="309">
        <v>10180</v>
      </c>
      <c r="L99" s="192"/>
      <c r="M99" s="192"/>
      <c r="N99" s="192"/>
      <c r="O99" s="188"/>
      <c r="P99" s="185">
        <f t="shared" si="2"/>
        <v>10180</v>
      </c>
      <c r="Q99" s="143"/>
      <c r="R99" s="58"/>
      <c r="S99" s="58"/>
      <c r="T99" s="58"/>
      <c r="U99" s="57"/>
      <c r="V99" s="58" t="s">
        <v>47</v>
      </c>
      <c r="W99" s="58"/>
      <c r="X99" s="328">
        <f t="shared" si="3"/>
        <v>46193</v>
      </c>
      <c r="Y99" s="26" t="s">
        <v>63</v>
      </c>
      <c r="Z99" s="26"/>
      <c r="AA99" s="26"/>
      <c r="AB99" s="26" t="s">
        <v>49</v>
      </c>
      <c r="AC99" s="26"/>
      <c r="AD99" s="254" t="s">
        <v>48</v>
      </c>
      <c r="AE99" s="27"/>
      <c r="AF99" s="24"/>
      <c r="AG99" s="24"/>
      <c r="AH99" s="26"/>
      <c r="AI99" s="26"/>
      <c r="AJ99" s="25"/>
      <c r="AK99" s="26"/>
      <c r="AL99" s="24">
        <v>18</v>
      </c>
      <c r="AM99" s="224" t="s">
        <v>50</v>
      </c>
      <c r="AN99" s="254" t="s">
        <v>51</v>
      </c>
      <c r="AO99" s="127"/>
      <c r="AP99" s="127"/>
    </row>
    <row r="100" spans="1:42" s="36" customFormat="1" ht="14.25" customHeight="1" x14ac:dyDescent="0.2">
      <c r="A100" s="222">
        <v>46193</v>
      </c>
      <c r="B100" s="326"/>
      <c r="C100" s="315" t="s">
        <v>52</v>
      </c>
      <c r="D100" s="316" t="s">
        <v>53</v>
      </c>
      <c r="E100" s="305">
        <v>7591</v>
      </c>
      <c r="F100" s="323" t="s">
        <v>54</v>
      </c>
      <c r="G100" s="117">
        <v>20982872</v>
      </c>
      <c r="H100" s="117" t="s">
        <v>811</v>
      </c>
      <c r="I100" s="32"/>
      <c r="J100" s="32"/>
      <c r="K100" s="317">
        <v>5650</v>
      </c>
      <c r="L100" s="111"/>
      <c r="M100" s="111"/>
      <c r="N100" s="111"/>
      <c r="O100" s="327"/>
      <c r="P100" s="207">
        <f t="shared" si="2"/>
        <v>5650</v>
      </c>
      <c r="Q100" s="320"/>
      <c r="R100" s="33"/>
      <c r="S100" s="33"/>
      <c r="T100" s="33"/>
      <c r="U100" s="32"/>
      <c r="V100" s="33" t="s">
        <v>47</v>
      </c>
      <c r="W100" s="33"/>
      <c r="X100" s="329">
        <f t="shared" si="3"/>
        <v>46193</v>
      </c>
      <c r="Y100" s="33" t="s">
        <v>63</v>
      </c>
      <c r="Z100" s="33"/>
      <c r="AA100" s="33"/>
      <c r="AB100" s="33" t="s">
        <v>49</v>
      </c>
      <c r="AC100" s="33"/>
      <c r="AD100" s="258" t="s">
        <v>48</v>
      </c>
      <c r="AE100" s="34"/>
      <c r="AF100" s="32"/>
      <c r="AG100" s="32"/>
      <c r="AH100" s="33"/>
      <c r="AI100" s="33"/>
      <c r="AJ100" s="29"/>
      <c r="AK100" s="33"/>
      <c r="AL100" s="32">
        <v>18</v>
      </c>
      <c r="AM100" s="221" t="s">
        <v>50</v>
      </c>
      <c r="AN100" s="258" t="s">
        <v>51</v>
      </c>
      <c r="AO100" s="321"/>
      <c r="AP100" s="321"/>
    </row>
    <row r="101" spans="1:42" s="20" customFormat="1" ht="14.25" customHeight="1" x14ac:dyDescent="0.2">
      <c r="A101" s="162">
        <v>46193</v>
      </c>
      <c r="B101" s="124"/>
      <c r="C101" s="273" t="s">
        <v>52</v>
      </c>
      <c r="D101" s="170" t="s">
        <v>53</v>
      </c>
      <c r="E101" s="303">
        <v>7592</v>
      </c>
      <c r="F101" s="322" t="s">
        <v>54</v>
      </c>
      <c r="G101" s="85">
        <v>43270434</v>
      </c>
      <c r="H101" s="85" t="s">
        <v>809</v>
      </c>
      <c r="I101" s="57"/>
      <c r="J101" s="57"/>
      <c r="K101" s="309">
        <v>6280</v>
      </c>
      <c r="L101" s="191"/>
      <c r="M101" s="191"/>
      <c r="N101" s="191"/>
      <c r="O101" s="184"/>
      <c r="P101" s="185">
        <f t="shared" si="2"/>
        <v>6280</v>
      </c>
      <c r="Q101" s="143"/>
      <c r="R101" s="58"/>
      <c r="S101" s="58"/>
      <c r="T101" s="58"/>
      <c r="U101" s="57"/>
      <c r="V101" s="58" t="s">
        <v>47</v>
      </c>
      <c r="W101" s="58"/>
      <c r="X101" s="328">
        <f t="shared" si="3"/>
        <v>46193</v>
      </c>
      <c r="Y101" s="26" t="s">
        <v>63</v>
      </c>
      <c r="Z101" s="58"/>
      <c r="AA101" s="58"/>
      <c r="AB101" s="58" t="s">
        <v>49</v>
      </c>
      <c r="AC101" s="58"/>
      <c r="AD101" s="254" t="s">
        <v>48</v>
      </c>
      <c r="AE101" s="59"/>
      <c r="AF101" s="57"/>
      <c r="AG101" s="57"/>
      <c r="AH101" s="58"/>
      <c r="AI101" s="58"/>
      <c r="AJ101" s="56"/>
      <c r="AK101" s="58"/>
      <c r="AL101" s="57">
        <v>18</v>
      </c>
      <c r="AM101" s="224" t="s">
        <v>50</v>
      </c>
      <c r="AN101" s="254" t="s">
        <v>51</v>
      </c>
      <c r="AO101" s="127"/>
      <c r="AP101" s="127"/>
    </row>
    <row r="102" spans="1:42" s="20" customFormat="1" ht="14.25" customHeight="1" x14ac:dyDescent="0.2">
      <c r="A102" s="162">
        <v>46193</v>
      </c>
      <c r="B102" s="124"/>
      <c r="C102" s="273" t="s">
        <v>52</v>
      </c>
      <c r="D102" s="170" t="s">
        <v>53</v>
      </c>
      <c r="E102" s="303">
        <v>7593</v>
      </c>
      <c r="F102" s="322" t="s">
        <v>54</v>
      </c>
      <c r="G102" s="85">
        <v>20994366</v>
      </c>
      <c r="H102" s="85" t="s">
        <v>779</v>
      </c>
      <c r="I102" s="57"/>
      <c r="J102" s="57"/>
      <c r="K102" s="309">
        <v>5280</v>
      </c>
      <c r="L102" s="45"/>
      <c r="M102" s="45"/>
      <c r="N102" s="45"/>
      <c r="O102" s="193"/>
      <c r="P102" s="185">
        <f t="shared" si="2"/>
        <v>5280</v>
      </c>
      <c r="Q102" s="143"/>
      <c r="R102" s="58"/>
      <c r="S102" s="58"/>
      <c r="T102" s="58"/>
      <c r="U102" s="57"/>
      <c r="V102" s="58" t="s">
        <v>47</v>
      </c>
      <c r="W102" s="58"/>
      <c r="X102" s="328">
        <v>46197</v>
      </c>
      <c r="Y102" s="26" t="s">
        <v>63</v>
      </c>
      <c r="Z102" s="58"/>
      <c r="AA102" s="58"/>
      <c r="AB102" s="58" t="s">
        <v>49</v>
      </c>
      <c r="AC102" s="58"/>
      <c r="AD102" s="254" t="s">
        <v>48</v>
      </c>
      <c r="AE102" s="59"/>
      <c r="AF102" s="57"/>
      <c r="AG102" s="57"/>
      <c r="AH102" s="58"/>
      <c r="AI102" s="58"/>
      <c r="AJ102" s="56"/>
      <c r="AK102" s="58"/>
      <c r="AL102" s="57">
        <v>18</v>
      </c>
      <c r="AM102" s="224" t="s">
        <v>50</v>
      </c>
      <c r="AN102" s="254" t="s">
        <v>51</v>
      </c>
      <c r="AO102" s="127"/>
      <c r="AP102" s="127"/>
    </row>
    <row r="103" spans="1:42" s="20" customFormat="1" ht="14.25" customHeight="1" x14ac:dyDescent="0.2">
      <c r="A103" s="162">
        <v>46193</v>
      </c>
      <c r="B103" s="124"/>
      <c r="C103" s="273" t="s">
        <v>52</v>
      </c>
      <c r="D103" s="170" t="s">
        <v>53</v>
      </c>
      <c r="E103" s="303">
        <v>7594</v>
      </c>
      <c r="F103" s="322" t="s">
        <v>54</v>
      </c>
      <c r="G103" s="85">
        <v>20994366</v>
      </c>
      <c r="H103" s="85" t="s">
        <v>779</v>
      </c>
      <c r="I103" s="57"/>
      <c r="J103" s="57"/>
      <c r="K103" s="309">
        <v>0</v>
      </c>
      <c r="L103" s="191"/>
      <c r="M103" s="191"/>
      <c r="N103" s="191"/>
      <c r="O103" s="184"/>
      <c r="P103" s="185">
        <f t="shared" si="2"/>
        <v>0</v>
      </c>
      <c r="Q103" s="143"/>
      <c r="R103" s="58"/>
      <c r="S103" s="58"/>
      <c r="T103" s="58"/>
      <c r="U103" s="57"/>
      <c r="V103" s="58" t="s">
        <v>47</v>
      </c>
      <c r="W103" s="58"/>
      <c r="X103" s="328">
        <f t="shared" si="3"/>
        <v>46193</v>
      </c>
      <c r="Y103" s="26" t="s">
        <v>61</v>
      </c>
      <c r="Z103" s="58"/>
      <c r="AA103" s="58"/>
      <c r="AB103" s="58" t="s">
        <v>49</v>
      </c>
      <c r="AC103" s="58"/>
      <c r="AD103" s="254" t="s">
        <v>48</v>
      </c>
      <c r="AE103" s="59"/>
      <c r="AF103" s="57"/>
      <c r="AG103" s="57"/>
      <c r="AH103" s="58"/>
      <c r="AI103" s="58"/>
      <c r="AJ103" s="56"/>
      <c r="AK103" s="58"/>
      <c r="AL103" s="57">
        <v>18</v>
      </c>
      <c r="AM103" s="225" t="s">
        <v>588</v>
      </c>
      <c r="AN103" s="254" t="s">
        <v>51</v>
      </c>
      <c r="AO103" s="127"/>
      <c r="AP103" s="127"/>
    </row>
    <row r="104" spans="1:42" s="20" customFormat="1" ht="14.25" customHeight="1" x14ac:dyDescent="0.2">
      <c r="A104" s="222">
        <v>46193</v>
      </c>
      <c r="B104" s="137"/>
      <c r="C104" s="315" t="s">
        <v>52</v>
      </c>
      <c r="D104" s="316" t="s">
        <v>53</v>
      </c>
      <c r="E104" s="305">
        <v>7595</v>
      </c>
      <c r="F104" s="323" t="s">
        <v>54</v>
      </c>
      <c r="G104" s="117">
        <v>40721959</v>
      </c>
      <c r="H104" s="117" t="s">
        <v>780</v>
      </c>
      <c r="I104" s="32"/>
      <c r="J104" s="32"/>
      <c r="K104" s="317">
        <v>12680</v>
      </c>
      <c r="L104" s="111"/>
      <c r="M104" s="111"/>
      <c r="N104" s="111"/>
      <c r="O104" s="111"/>
      <c r="P104" s="207">
        <f t="shared" si="2"/>
        <v>12680</v>
      </c>
      <c r="Q104" s="140"/>
      <c r="R104" s="29"/>
      <c r="S104" s="33"/>
      <c r="T104" s="33"/>
      <c r="U104" s="33"/>
      <c r="V104" s="33" t="s">
        <v>47</v>
      </c>
      <c r="W104" s="32"/>
      <c r="X104" s="329">
        <f t="shared" si="3"/>
        <v>46193</v>
      </c>
      <c r="Y104" s="26" t="s">
        <v>63</v>
      </c>
      <c r="Z104" s="58"/>
      <c r="AA104" s="58"/>
      <c r="AB104" s="58" t="s">
        <v>49</v>
      </c>
      <c r="AC104" s="58"/>
      <c r="AD104" s="254" t="s">
        <v>48</v>
      </c>
      <c r="AE104" s="59"/>
      <c r="AF104" s="57"/>
      <c r="AG104" s="57"/>
      <c r="AH104" s="58"/>
      <c r="AI104" s="58"/>
      <c r="AJ104" s="56"/>
      <c r="AK104" s="58"/>
      <c r="AL104" s="57">
        <v>18</v>
      </c>
      <c r="AM104" s="224" t="s">
        <v>50</v>
      </c>
      <c r="AN104" s="254" t="s">
        <v>51</v>
      </c>
      <c r="AO104" s="126"/>
      <c r="AP104" s="129"/>
    </row>
    <row r="105" spans="1:42" s="20" customFormat="1" ht="14.25" customHeight="1" x14ac:dyDescent="0.2">
      <c r="A105" s="162">
        <v>46193</v>
      </c>
      <c r="B105" s="124"/>
      <c r="C105" s="273" t="s">
        <v>52</v>
      </c>
      <c r="D105" s="170" t="s">
        <v>53</v>
      </c>
      <c r="E105" s="303">
        <v>7596</v>
      </c>
      <c r="F105" s="322" t="s">
        <v>54</v>
      </c>
      <c r="G105" s="85">
        <v>40721959</v>
      </c>
      <c r="H105" s="85" t="s">
        <v>780</v>
      </c>
      <c r="I105" s="57"/>
      <c r="J105" s="57"/>
      <c r="K105" s="309">
        <v>0</v>
      </c>
      <c r="L105" s="191"/>
      <c r="M105" s="191"/>
      <c r="N105" s="191"/>
      <c r="O105" s="191"/>
      <c r="P105" s="185">
        <f t="shared" si="2"/>
        <v>0</v>
      </c>
      <c r="Q105" s="130"/>
      <c r="R105" s="56"/>
      <c r="S105" s="58"/>
      <c r="T105" s="58"/>
      <c r="U105" s="58"/>
      <c r="V105" s="58" t="s">
        <v>47</v>
      </c>
      <c r="W105" s="57"/>
      <c r="X105" s="328">
        <f t="shared" si="3"/>
        <v>46193</v>
      </c>
      <c r="Y105" s="26" t="s">
        <v>61</v>
      </c>
      <c r="Z105" s="58"/>
      <c r="AA105" s="58"/>
      <c r="AB105" s="58" t="s">
        <v>49</v>
      </c>
      <c r="AC105" s="58"/>
      <c r="AD105" s="254" t="s">
        <v>48</v>
      </c>
      <c r="AE105" s="59"/>
      <c r="AF105" s="57"/>
      <c r="AG105" s="57"/>
      <c r="AH105" s="58"/>
      <c r="AI105" s="58"/>
      <c r="AJ105" s="56"/>
      <c r="AK105" s="58"/>
      <c r="AL105" s="57">
        <v>18</v>
      </c>
      <c r="AM105" s="225" t="s">
        <v>588</v>
      </c>
      <c r="AN105" s="254" t="s">
        <v>51</v>
      </c>
      <c r="AO105" s="126"/>
      <c r="AP105" s="129"/>
    </row>
    <row r="106" spans="1:42" s="36" customFormat="1" ht="15" customHeight="1" x14ac:dyDescent="0.2">
      <c r="A106" s="222">
        <v>46193</v>
      </c>
      <c r="B106" s="137"/>
      <c r="C106" s="315" t="s">
        <v>52</v>
      </c>
      <c r="D106" s="316" t="s">
        <v>53</v>
      </c>
      <c r="E106" s="305">
        <v>7597</v>
      </c>
      <c r="F106" s="323" t="s">
        <v>54</v>
      </c>
      <c r="G106" s="117">
        <v>71659238</v>
      </c>
      <c r="H106" s="117" t="s">
        <v>709</v>
      </c>
      <c r="I106" s="32"/>
      <c r="J106" s="32"/>
      <c r="K106" s="317">
        <v>0</v>
      </c>
      <c r="L106" s="318"/>
      <c r="M106" s="318"/>
      <c r="N106" s="318"/>
      <c r="O106" s="319"/>
      <c r="P106" s="207">
        <f t="shared" si="2"/>
        <v>0</v>
      </c>
      <c r="Q106" s="320"/>
      <c r="R106" s="33"/>
      <c r="S106" s="33"/>
      <c r="T106" s="33"/>
      <c r="U106" s="32"/>
      <c r="V106" s="33" t="s">
        <v>47</v>
      </c>
      <c r="W106" s="33"/>
      <c r="X106" s="329">
        <f t="shared" si="3"/>
        <v>46193</v>
      </c>
      <c r="Y106" s="33" t="s">
        <v>61</v>
      </c>
      <c r="Z106" s="33"/>
      <c r="AA106" s="33"/>
      <c r="AB106" s="33" t="s">
        <v>49</v>
      </c>
      <c r="AC106" s="33"/>
      <c r="AD106" s="258" t="s">
        <v>48</v>
      </c>
      <c r="AE106" s="34"/>
      <c r="AF106" s="32"/>
      <c r="AG106" s="32"/>
      <c r="AH106" s="33"/>
      <c r="AI106" s="33"/>
      <c r="AJ106" s="29"/>
      <c r="AK106" s="33"/>
      <c r="AL106" s="32">
        <v>18</v>
      </c>
      <c r="AM106" s="221" t="s">
        <v>812</v>
      </c>
      <c r="AN106" s="258" t="s">
        <v>51</v>
      </c>
      <c r="AO106" s="321"/>
      <c r="AP106" s="321"/>
    </row>
    <row r="107" spans="1:42" s="20" customFormat="1" ht="14.25" customHeight="1" x14ac:dyDescent="0.2">
      <c r="A107" s="162">
        <v>46195</v>
      </c>
      <c r="B107" s="124"/>
      <c r="C107" s="273" t="s">
        <v>52</v>
      </c>
      <c r="D107" s="170" t="s">
        <v>53</v>
      </c>
      <c r="E107" s="303">
        <v>7598</v>
      </c>
      <c r="F107" s="322" t="s">
        <v>54</v>
      </c>
      <c r="G107" s="85">
        <v>47073447</v>
      </c>
      <c r="H107" s="85" t="s">
        <v>781</v>
      </c>
      <c r="I107" s="57"/>
      <c r="J107" s="57"/>
      <c r="K107" s="309">
        <v>6380</v>
      </c>
      <c r="L107" s="191"/>
      <c r="M107" s="191"/>
      <c r="N107" s="191"/>
      <c r="O107" s="184"/>
      <c r="P107" s="185">
        <f t="shared" si="2"/>
        <v>6380</v>
      </c>
      <c r="Q107" s="143"/>
      <c r="R107" s="58"/>
      <c r="S107" s="58"/>
      <c r="T107" s="58"/>
      <c r="U107" s="57"/>
      <c r="V107" s="58" t="s">
        <v>47</v>
      </c>
      <c r="W107" s="58"/>
      <c r="X107" s="328">
        <f t="shared" si="3"/>
        <v>46195</v>
      </c>
      <c r="Y107" s="26" t="s">
        <v>63</v>
      </c>
      <c r="Z107" s="58"/>
      <c r="AA107" s="58"/>
      <c r="AB107" s="58" t="s">
        <v>49</v>
      </c>
      <c r="AC107" s="58"/>
      <c r="AD107" s="254" t="s">
        <v>48</v>
      </c>
      <c r="AE107" s="59"/>
      <c r="AF107" s="57"/>
      <c r="AG107" s="57"/>
      <c r="AH107" s="58"/>
      <c r="AI107" s="58"/>
      <c r="AJ107" s="56"/>
      <c r="AK107" s="58"/>
      <c r="AL107" s="57">
        <v>18</v>
      </c>
      <c r="AM107" s="224" t="s">
        <v>50</v>
      </c>
      <c r="AN107" s="254" t="s">
        <v>51</v>
      </c>
      <c r="AO107" s="127"/>
      <c r="AP107" s="127"/>
    </row>
    <row r="108" spans="1:42" s="20" customFormat="1" ht="14.25" customHeight="1" x14ac:dyDescent="0.2">
      <c r="A108" s="162">
        <v>46195</v>
      </c>
      <c r="B108" s="124"/>
      <c r="C108" s="273" t="s">
        <v>52</v>
      </c>
      <c r="D108" s="170" t="s">
        <v>53</v>
      </c>
      <c r="E108" s="303">
        <v>7599</v>
      </c>
      <c r="F108" s="322" t="s">
        <v>54</v>
      </c>
      <c r="G108" s="85">
        <v>47073447</v>
      </c>
      <c r="H108" s="85" t="s">
        <v>781</v>
      </c>
      <c r="I108" s="57"/>
      <c r="J108" s="57"/>
      <c r="K108" s="309">
        <v>0</v>
      </c>
      <c r="L108" s="45"/>
      <c r="M108" s="45"/>
      <c r="N108" s="45"/>
      <c r="O108" s="193"/>
      <c r="P108" s="185">
        <f t="shared" si="2"/>
        <v>0</v>
      </c>
      <c r="Q108" s="143"/>
      <c r="R108" s="58"/>
      <c r="S108" s="58"/>
      <c r="T108" s="58"/>
      <c r="U108" s="57"/>
      <c r="V108" s="58" t="s">
        <v>47</v>
      </c>
      <c r="W108" s="58"/>
      <c r="X108" s="328">
        <f t="shared" si="3"/>
        <v>46195</v>
      </c>
      <c r="Y108" s="26" t="s">
        <v>61</v>
      </c>
      <c r="Z108" s="58"/>
      <c r="AA108" s="58"/>
      <c r="AB108" s="58" t="s">
        <v>49</v>
      </c>
      <c r="AC108" s="58"/>
      <c r="AD108" s="254" t="s">
        <v>48</v>
      </c>
      <c r="AE108" s="59"/>
      <c r="AF108" s="57"/>
      <c r="AG108" s="57"/>
      <c r="AH108" s="58"/>
      <c r="AI108" s="58"/>
      <c r="AJ108" s="56"/>
      <c r="AK108" s="58"/>
      <c r="AL108" s="57">
        <v>18</v>
      </c>
      <c r="AM108" s="225" t="s">
        <v>588</v>
      </c>
      <c r="AN108" s="254" t="s">
        <v>51</v>
      </c>
      <c r="AO108" s="127"/>
      <c r="AP108" s="127"/>
    </row>
    <row r="109" spans="1:42" s="20" customFormat="1" ht="14.25" customHeight="1" x14ac:dyDescent="0.2">
      <c r="A109" s="162">
        <v>46196</v>
      </c>
      <c r="B109" s="124"/>
      <c r="C109" s="273" t="s">
        <v>52</v>
      </c>
      <c r="D109" s="170" t="s">
        <v>53</v>
      </c>
      <c r="E109" s="303">
        <v>7600</v>
      </c>
      <c r="F109" s="322" t="s">
        <v>54</v>
      </c>
      <c r="G109" s="308" t="s">
        <v>720</v>
      </c>
      <c r="H109" s="85" t="s">
        <v>761</v>
      </c>
      <c r="I109" s="57"/>
      <c r="J109" s="57"/>
      <c r="K109" s="309">
        <v>0</v>
      </c>
      <c r="L109" s="191"/>
      <c r="M109" s="191"/>
      <c r="N109" s="191"/>
      <c r="O109" s="184"/>
      <c r="P109" s="185">
        <f t="shared" si="2"/>
        <v>0</v>
      </c>
      <c r="Q109" s="143"/>
      <c r="R109" s="58"/>
      <c r="S109" s="58"/>
      <c r="T109" s="58"/>
      <c r="U109" s="57"/>
      <c r="V109" s="58" t="s">
        <v>47</v>
      </c>
      <c r="W109" s="58"/>
      <c r="X109" s="328">
        <f t="shared" si="3"/>
        <v>46196</v>
      </c>
      <c r="Y109" s="26" t="s">
        <v>61</v>
      </c>
      <c r="Z109" s="58"/>
      <c r="AA109" s="58"/>
      <c r="AB109" s="58" t="s">
        <v>49</v>
      </c>
      <c r="AC109" s="58"/>
      <c r="AD109" s="254" t="s">
        <v>48</v>
      </c>
      <c r="AE109" s="59"/>
      <c r="AF109" s="57"/>
      <c r="AG109" s="57"/>
      <c r="AH109" s="58"/>
      <c r="AI109" s="58"/>
      <c r="AJ109" s="56"/>
      <c r="AK109" s="58"/>
      <c r="AL109" s="57">
        <v>18</v>
      </c>
      <c r="AM109" s="225" t="s">
        <v>588</v>
      </c>
      <c r="AN109" s="254" t="s">
        <v>51</v>
      </c>
      <c r="AO109" s="127"/>
      <c r="AP109" s="127"/>
    </row>
    <row r="110" spans="1:42" s="20" customFormat="1" ht="14.25" customHeight="1" x14ac:dyDescent="0.2">
      <c r="A110" s="162">
        <v>46196</v>
      </c>
      <c r="B110" s="124"/>
      <c r="C110" s="273" t="s">
        <v>52</v>
      </c>
      <c r="D110" s="170" t="s">
        <v>53</v>
      </c>
      <c r="E110" s="303">
        <v>7601</v>
      </c>
      <c r="F110" s="322" t="s">
        <v>54</v>
      </c>
      <c r="G110" s="85">
        <v>41020695</v>
      </c>
      <c r="H110" s="85" t="s">
        <v>782</v>
      </c>
      <c r="I110" s="57"/>
      <c r="J110" s="57"/>
      <c r="K110" s="309">
        <v>5480</v>
      </c>
      <c r="L110" s="45"/>
      <c r="M110" s="45"/>
      <c r="N110" s="45"/>
      <c r="O110" s="193"/>
      <c r="P110" s="185">
        <f t="shared" si="2"/>
        <v>5480</v>
      </c>
      <c r="Q110" s="143"/>
      <c r="R110" s="58"/>
      <c r="S110" s="58"/>
      <c r="T110" s="58"/>
      <c r="U110" s="57"/>
      <c r="V110" s="58" t="s">
        <v>47</v>
      </c>
      <c r="W110" s="58"/>
      <c r="X110" s="328">
        <f t="shared" si="3"/>
        <v>46196</v>
      </c>
      <c r="Y110" s="26" t="s">
        <v>63</v>
      </c>
      <c r="Z110" s="58"/>
      <c r="AA110" s="58"/>
      <c r="AB110" s="58" t="s">
        <v>49</v>
      </c>
      <c r="AC110" s="58"/>
      <c r="AD110" s="254" t="s">
        <v>48</v>
      </c>
      <c r="AE110" s="59"/>
      <c r="AF110" s="57"/>
      <c r="AG110" s="57"/>
      <c r="AH110" s="58"/>
      <c r="AI110" s="58"/>
      <c r="AJ110" s="56"/>
      <c r="AK110" s="58"/>
      <c r="AL110" s="57">
        <v>18</v>
      </c>
      <c r="AM110" s="224" t="s">
        <v>50</v>
      </c>
      <c r="AN110" s="254" t="s">
        <v>51</v>
      </c>
      <c r="AO110" s="127"/>
      <c r="AP110" s="127"/>
    </row>
    <row r="111" spans="1:42" s="20" customFormat="1" ht="14.25" customHeight="1" x14ac:dyDescent="0.2">
      <c r="A111" s="162">
        <v>46196</v>
      </c>
      <c r="B111" s="124"/>
      <c r="C111" s="273" t="s">
        <v>52</v>
      </c>
      <c r="D111" s="170" t="s">
        <v>53</v>
      </c>
      <c r="E111" s="303">
        <v>7602</v>
      </c>
      <c r="F111" s="322" t="s">
        <v>54</v>
      </c>
      <c r="G111" s="85">
        <v>41020695</v>
      </c>
      <c r="H111" s="85" t="s">
        <v>782</v>
      </c>
      <c r="I111" s="57"/>
      <c r="J111" s="57"/>
      <c r="K111" s="309">
        <v>0</v>
      </c>
      <c r="L111" s="45"/>
      <c r="M111" s="45"/>
      <c r="N111" s="45"/>
      <c r="O111" s="193"/>
      <c r="P111" s="185">
        <f t="shared" si="2"/>
        <v>0</v>
      </c>
      <c r="Q111" s="143"/>
      <c r="R111" s="58"/>
      <c r="S111" s="58"/>
      <c r="T111" s="58"/>
      <c r="U111" s="57"/>
      <c r="V111" s="58" t="s">
        <v>47</v>
      </c>
      <c r="W111" s="58"/>
      <c r="X111" s="328">
        <f t="shared" si="3"/>
        <v>46196</v>
      </c>
      <c r="Y111" s="26" t="s">
        <v>61</v>
      </c>
      <c r="Z111" s="58"/>
      <c r="AA111" s="58"/>
      <c r="AB111" s="58" t="s">
        <v>49</v>
      </c>
      <c r="AC111" s="58"/>
      <c r="AD111" s="254" t="s">
        <v>48</v>
      </c>
      <c r="AE111" s="59"/>
      <c r="AF111" s="57"/>
      <c r="AG111" s="57"/>
      <c r="AH111" s="58"/>
      <c r="AI111" s="58"/>
      <c r="AJ111" s="56"/>
      <c r="AK111" s="58"/>
      <c r="AL111" s="57">
        <v>18</v>
      </c>
      <c r="AM111" s="225" t="s">
        <v>588</v>
      </c>
      <c r="AN111" s="254" t="s">
        <v>51</v>
      </c>
      <c r="AO111" s="127"/>
      <c r="AP111" s="127"/>
    </row>
    <row r="112" spans="1:42" s="20" customFormat="1" ht="14.25" customHeight="1" x14ac:dyDescent="0.2">
      <c r="A112" s="162">
        <v>46196</v>
      </c>
      <c r="B112" s="124"/>
      <c r="C112" s="272" t="s">
        <v>52</v>
      </c>
      <c r="D112" s="170" t="s">
        <v>53</v>
      </c>
      <c r="E112" s="303">
        <v>7603</v>
      </c>
      <c r="F112" s="322" t="s">
        <v>54</v>
      </c>
      <c r="G112" s="85">
        <v>76595798</v>
      </c>
      <c r="H112" s="85" t="s">
        <v>783</v>
      </c>
      <c r="I112" s="57"/>
      <c r="J112" s="57"/>
      <c r="K112" s="309">
        <v>11780</v>
      </c>
      <c r="L112" s="191"/>
      <c r="M112" s="191"/>
      <c r="N112" s="191"/>
      <c r="O112" s="184"/>
      <c r="P112" s="185">
        <f t="shared" si="2"/>
        <v>11780</v>
      </c>
      <c r="Q112" s="143"/>
      <c r="R112" s="58"/>
      <c r="S112" s="58"/>
      <c r="T112" s="58"/>
      <c r="U112" s="57"/>
      <c r="V112" s="58" t="s">
        <v>47</v>
      </c>
      <c r="W112" s="58"/>
      <c r="X112" s="328">
        <f t="shared" si="3"/>
        <v>46196</v>
      </c>
      <c r="Y112" s="26" t="s">
        <v>63</v>
      </c>
      <c r="Z112" s="26"/>
      <c r="AA112" s="26"/>
      <c r="AB112" s="26" t="s">
        <v>49</v>
      </c>
      <c r="AC112" s="26"/>
      <c r="AD112" s="254" t="s">
        <v>48</v>
      </c>
      <c r="AE112" s="27"/>
      <c r="AF112" s="24"/>
      <c r="AG112" s="24"/>
      <c r="AH112" s="26"/>
      <c r="AI112" s="26"/>
      <c r="AJ112" s="25"/>
      <c r="AK112" s="26"/>
      <c r="AL112" s="24">
        <v>18</v>
      </c>
      <c r="AM112" s="224" t="s">
        <v>50</v>
      </c>
      <c r="AN112" s="254" t="s">
        <v>51</v>
      </c>
      <c r="AO112" s="127"/>
      <c r="AP112" s="127"/>
    </row>
    <row r="113" spans="1:42" s="20" customFormat="1" ht="14.25" customHeight="1" x14ac:dyDescent="0.2">
      <c r="A113" s="162">
        <v>46196</v>
      </c>
      <c r="B113" s="124"/>
      <c r="C113" s="272" t="s">
        <v>52</v>
      </c>
      <c r="D113" s="170" t="s">
        <v>53</v>
      </c>
      <c r="E113" s="303">
        <v>7604</v>
      </c>
      <c r="F113" s="322" t="s">
        <v>54</v>
      </c>
      <c r="G113" s="85">
        <v>76595798</v>
      </c>
      <c r="H113" s="85" t="s">
        <v>783</v>
      </c>
      <c r="I113" s="57"/>
      <c r="J113" s="57"/>
      <c r="K113" s="309">
        <v>0</v>
      </c>
      <c r="L113" s="191"/>
      <c r="M113" s="191"/>
      <c r="N113" s="191"/>
      <c r="O113" s="184"/>
      <c r="P113" s="185">
        <f t="shared" si="2"/>
        <v>0</v>
      </c>
      <c r="Q113" s="143"/>
      <c r="R113" s="58"/>
      <c r="S113" s="58"/>
      <c r="T113" s="58"/>
      <c r="U113" s="57"/>
      <c r="V113" s="58" t="s">
        <v>47</v>
      </c>
      <c r="W113" s="58"/>
      <c r="X113" s="328">
        <f t="shared" si="3"/>
        <v>46196</v>
      </c>
      <c r="Y113" s="26" t="s">
        <v>61</v>
      </c>
      <c r="Z113" s="58"/>
      <c r="AA113" s="58"/>
      <c r="AB113" s="58" t="s">
        <v>49</v>
      </c>
      <c r="AC113" s="58"/>
      <c r="AD113" s="254" t="s">
        <v>48</v>
      </c>
      <c r="AE113" s="59"/>
      <c r="AF113" s="57"/>
      <c r="AG113" s="57"/>
      <c r="AH113" s="58"/>
      <c r="AI113" s="58"/>
      <c r="AJ113" s="56"/>
      <c r="AK113" s="58"/>
      <c r="AL113" s="57">
        <v>18</v>
      </c>
      <c r="AM113" s="225" t="s">
        <v>588</v>
      </c>
      <c r="AN113" s="254" t="s">
        <v>51</v>
      </c>
      <c r="AO113" s="127"/>
      <c r="AP113" s="127"/>
    </row>
    <row r="114" spans="1:42" s="20" customFormat="1" ht="14.25" customHeight="1" x14ac:dyDescent="0.2">
      <c r="A114" s="162">
        <v>46197</v>
      </c>
      <c r="B114" s="124"/>
      <c r="C114" s="272" t="s">
        <v>52</v>
      </c>
      <c r="D114" s="170" t="s">
        <v>53</v>
      </c>
      <c r="E114" s="303">
        <v>7605</v>
      </c>
      <c r="F114" s="322" t="s">
        <v>54</v>
      </c>
      <c r="G114" s="85">
        <v>74252859</v>
      </c>
      <c r="H114" s="85" t="s">
        <v>784</v>
      </c>
      <c r="I114" s="57"/>
      <c r="J114" s="57"/>
      <c r="K114" s="309">
        <v>7270</v>
      </c>
      <c r="L114" s="191"/>
      <c r="M114" s="191"/>
      <c r="N114" s="191"/>
      <c r="O114" s="184"/>
      <c r="P114" s="185">
        <f t="shared" si="2"/>
        <v>7270</v>
      </c>
      <c r="Q114" s="143"/>
      <c r="R114" s="58"/>
      <c r="S114" s="58"/>
      <c r="T114" s="58"/>
      <c r="U114" s="57"/>
      <c r="V114" s="58" t="s">
        <v>47</v>
      </c>
      <c r="W114" s="58"/>
      <c r="X114" s="328">
        <f t="shared" si="3"/>
        <v>46197</v>
      </c>
      <c r="Y114" s="26" t="s">
        <v>63</v>
      </c>
      <c r="Z114" s="26"/>
      <c r="AA114" s="26"/>
      <c r="AB114" s="26" t="s">
        <v>49</v>
      </c>
      <c r="AC114" s="26"/>
      <c r="AD114" s="254" t="s">
        <v>48</v>
      </c>
      <c r="AE114" s="27"/>
      <c r="AF114" s="24"/>
      <c r="AG114" s="24"/>
      <c r="AH114" s="26"/>
      <c r="AI114" s="26"/>
      <c r="AJ114" s="25"/>
      <c r="AK114" s="26"/>
      <c r="AL114" s="24">
        <v>18</v>
      </c>
      <c r="AM114" s="224" t="s">
        <v>50</v>
      </c>
      <c r="AN114" s="254" t="s">
        <v>51</v>
      </c>
      <c r="AO114" s="127"/>
      <c r="AP114" s="127"/>
    </row>
    <row r="115" spans="1:42" s="20" customFormat="1" ht="14.25" customHeight="1" x14ac:dyDescent="0.2">
      <c r="A115" s="162">
        <v>46197</v>
      </c>
      <c r="B115" s="124"/>
      <c r="C115" s="272" t="s">
        <v>52</v>
      </c>
      <c r="D115" s="170" t="s">
        <v>53</v>
      </c>
      <c r="E115" s="303">
        <v>7606</v>
      </c>
      <c r="F115" s="322" t="s">
        <v>54</v>
      </c>
      <c r="G115" s="85">
        <v>73525849</v>
      </c>
      <c r="H115" s="85" t="s">
        <v>785</v>
      </c>
      <c r="I115" s="57"/>
      <c r="J115" s="57"/>
      <c r="K115" s="309">
        <v>5280</v>
      </c>
      <c r="L115" s="45"/>
      <c r="M115" s="45"/>
      <c r="N115" s="45"/>
      <c r="O115" s="193"/>
      <c r="P115" s="185">
        <f t="shared" si="2"/>
        <v>5280</v>
      </c>
      <c r="Q115" s="143"/>
      <c r="R115" s="58"/>
      <c r="S115" s="58"/>
      <c r="T115" s="58"/>
      <c r="U115" s="57"/>
      <c r="V115" s="58" t="s">
        <v>47</v>
      </c>
      <c r="W115" s="58"/>
      <c r="X115" s="328">
        <f t="shared" si="3"/>
        <v>46197</v>
      </c>
      <c r="Y115" s="26" t="s">
        <v>63</v>
      </c>
      <c r="Z115" s="26"/>
      <c r="AA115" s="26"/>
      <c r="AB115" s="26" t="s">
        <v>49</v>
      </c>
      <c r="AC115" s="26"/>
      <c r="AD115" s="254" t="s">
        <v>48</v>
      </c>
      <c r="AE115" s="27"/>
      <c r="AF115" s="24"/>
      <c r="AG115" s="24"/>
      <c r="AH115" s="26"/>
      <c r="AI115" s="26"/>
      <c r="AJ115" s="25"/>
      <c r="AK115" s="26"/>
      <c r="AL115" s="24">
        <v>18</v>
      </c>
      <c r="AM115" s="224" t="s">
        <v>50</v>
      </c>
      <c r="AN115" s="254" t="s">
        <v>51</v>
      </c>
      <c r="AO115" s="127"/>
      <c r="AP115" s="127"/>
    </row>
    <row r="116" spans="1:42" s="160" customFormat="1" ht="14.25" customHeight="1" x14ac:dyDescent="0.2">
      <c r="A116" s="162">
        <v>46197</v>
      </c>
      <c r="B116" s="157"/>
      <c r="C116" s="274" t="s">
        <v>52</v>
      </c>
      <c r="D116" s="173" t="s">
        <v>53</v>
      </c>
      <c r="E116" s="303">
        <v>7607</v>
      </c>
      <c r="F116" s="322" t="s">
        <v>54</v>
      </c>
      <c r="G116" s="85">
        <v>73525849</v>
      </c>
      <c r="H116" s="85" t="s">
        <v>785</v>
      </c>
      <c r="I116" s="228"/>
      <c r="J116" s="228"/>
      <c r="K116" s="309">
        <v>0</v>
      </c>
      <c r="L116" s="196"/>
      <c r="M116" s="196"/>
      <c r="N116" s="196"/>
      <c r="O116" s="197"/>
      <c r="P116" s="185">
        <f t="shared" si="2"/>
        <v>0</v>
      </c>
      <c r="Q116" s="159"/>
      <c r="R116" s="194"/>
      <c r="S116" s="194"/>
      <c r="T116" s="194"/>
      <c r="U116" s="228"/>
      <c r="V116" s="194" t="s">
        <v>47</v>
      </c>
      <c r="W116" s="194"/>
      <c r="X116" s="328">
        <f t="shared" si="3"/>
        <v>46197</v>
      </c>
      <c r="Y116" s="26" t="s">
        <v>61</v>
      </c>
      <c r="Z116" s="58"/>
      <c r="AA116" s="58"/>
      <c r="AB116" s="58" t="s">
        <v>49</v>
      </c>
      <c r="AC116" s="58"/>
      <c r="AD116" s="254" t="s">
        <v>48</v>
      </c>
      <c r="AE116" s="59"/>
      <c r="AF116" s="57"/>
      <c r="AG116" s="57"/>
      <c r="AH116" s="58"/>
      <c r="AI116" s="58"/>
      <c r="AJ116" s="56"/>
      <c r="AK116" s="58"/>
      <c r="AL116" s="57">
        <v>18</v>
      </c>
      <c r="AM116" s="225" t="s">
        <v>588</v>
      </c>
      <c r="AN116" s="256" t="s">
        <v>51</v>
      </c>
      <c r="AO116" s="128"/>
      <c r="AP116" s="128"/>
    </row>
    <row r="117" spans="1:42" s="160" customFormat="1" ht="14.25" customHeight="1" x14ac:dyDescent="0.2">
      <c r="A117" s="162">
        <v>46197</v>
      </c>
      <c r="B117" s="157"/>
      <c r="C117" s="274" t="s">
        <v>52</v>
      </c>
      <c r="D117" s="173" t="s">
        <v>53</v>
      </c>
      <c r="E117" s="303">
        <v>7608</v>
      </c>
      <c r="F117" s="322" t="s">
        <v>54</v>
      </c>
      <c r="G117" s="85">
        <v>43444850</v>
      </c>
      <c r="H117" s="85" t="s">
        <v>786</v>
      </c>
      <c r="I117" s="228"/>
      <c r="J117" s="228"/>
      <c r="K117" s="309">
        <v>5480</v>
      </c>
      <c r="L117" s="195"/>
      <c r="M117" s="195"/>
      <c r="N117" s="195"/>
      <c r="O117" s="198"/>
      <c r="P117" s="185">
        <f t="shared" si="2"/>
        <v>5480</v>
      </c>
      <c r="Q117" s="159"/>
      <c r="R117" s="194"/>
      <c r="S117" s="194"/>
      <c r="T117" s="194"/>
      <c r="U117" s="228"/>
      <c r="V117" s="194" t="s">
        <v>47</v>
      </c>
      <c r="W117" s="194"/>
      <c r="X117" s="328">
        <f t="shared" si="3"/>
        <v>46197</v>
      </c>
      <c r="Y117" s="26" t="s">
        <v>63</v>
      </c>
      <c r="Z117" s="229"/>
      <c r="AA117" s="229"/>
      <c r="AB117" s="229" t="s">
        <v>49</v>
      </c>
      <c r="AC117" s="229"/>
      <c r="AD117" s="256" t="s">
        <v>48</v>
      </c>
      <c r="AE117" s="230"/>
      <c r="AF117" s="231"/>
      <c r="AG117" s="231"/>
      <c r="AH117" s="229"/>
      <c r="AI117" s="229"/>
      <c r="AJ117" s="232"/>
      <c r="AK117" s="229"/>
      <c r="AL117" s="231">
        <v>18</v>
      </c>
      <c r="AM117" s="224" t="s">
        <v>50</v>
      </c>
      <c r="AN117" s="256" t="s">
        <v>51</v>
      </c>
      <c r="AO117" s="128"/>
      <c r="AP117" s="128"/>
    </row>
    <row r="118" spans="1:42" s="160" customFormat="1" ht="14.25" customHeight="1" x14ac:dyDescent="0.2">
      <c r="A118" s="162">
        <v>46197</v>
      </c>
      <c r="B118" s="157"/>
      <c r="C118" s="274" t="s">
        <v>52</v>
      </c>
      <c r="D118" s="173" t="s">
        <v>53</v>
      </c>
      <c r="E118" s="303">
        <v>7609</v>
      </c>
      <c r="F118" s="322" t="s">
        <v>54</v>
      </c>
      <c r="G118" s="85">
        <v>43444850</v>
      </c>
      <c r="H118" s="85" t="s">
        <v>786</v>
      </c>
      <c r="I118" s="228"/>
      <c r="J118" s="228"/>
      <c r="K118" s="309">
        <v>0</v>
      </c>
      <c r="L118" s="196"/>
      <c r="M118" s="196"/>
      <c r="N118" s="196"/>
      <c r="O118" s="197"/>
      <c r="P118" s="185">
        <f t="shared" si="2"/>
        <v>0</v>
      </c>
      <c r="Q118" s="159"/>
      <c r="R118" s="194"/>
      <c r="S118" s="194"/>
      <c r="T118" s="194"/>
      <c r="U118" s="228"/>
      <c r="V118" s="194" t="s">
        <v>47</v>
      </c>
      <c r="W118" s="194"/>
      <c r="X118" s="328">
        <f t="shared" si="3"/>
        <v>46197</v>
      </c>
      <c r="Y118" s="26" t="s">
        <v>61</v>
      </c>
      <c r="Z118" s="58"/>
      <c r="AA118" s="58"/>
      <c r="AB118" s="58" t="s">
        <v>49</v>
      </c>
      <c r="AC118" s="58"/>
      <c r="AD118" s="254" t="s">
        <v>48</v>
      </c>
      <c r="AE118" s="59"/>
      <c r="AF118" s="57"/>
      <c r="AG118" s="57"/>
      <c r="AH118" s="58"/>
      <c r="AI118" s="58"/>
      <c r="AJ118" s="56"/>
      <c r="AK118" s="58"/>
      <c r="AL118" s="57">
        <v>18</v>
      </c>
      <c r="AM118" s="225" t="s">
        <v>588</v>
      </c>
      <c r="AN118" s="256" t="s">
        <v>51</v>
      </c>
      <c r="AO118" s="128"/>
      <c r="AP118" s="128"/>
    </row>
    <row r="119" spans="1:42" s="160" customFormat="1" ht="14.25" customHeight="1" x14ac:dyDescent="0.2">
      <c r="A119" s="162">
        <v>46197</v>
      </c>
      <c r="B119" s="157"/>
      <c r="C119" s="274" t="s">
        <v>52</v>
      </c>
      <c r="D119" s="173" t="s">
        <v>53</v>
      </c>
      <c r="E119" s="303">
        <v>7610</v>
      </c>
      <c r="F119" s="322" t="s">
        <v>54</v>
      </c>
      <c r="G119" s="85">
        <v>42983486</v>
      </c>
      <c r="H119" s="85" t="s">
        <v>813</v>
      </c>
      <c r="I119" s="228"/>
      <c r="J119" s="228"/>
      <c r="K119" s="309">
        <v>4770</v>
      </c>
      <c r="L119" s="195"/>
      <c r="M119" s="195"/>
      <c r="N119" s="195"/>
      <c r="O119" s="198"/>
      <c r="P119" s="185">
        <f t="shared" si="2"/>
        <v>4770</v>
      </c>
      <c r="Q119" s="159"/>
      <c r="R119" s="194"/>
      <c r="S119" s="194"/>
      <c r="T119" s="194"/>
      <c r="U119" s="228"/>
      <c r="V119" s="194" t="s">
        <v>47</v>
      </c>
      <c r="W119" s="194"/>
      <c r="X119" s="328">
        <f t="shared" si="3"/>
        <v>46197</v>
      </c>
      <c r="Y119" s="26" t="s">
        <v>63</v>
      </c>
      <c r="Z119" s="229"/>
      <c r="AA119" s="229"/>
      <c r="AB119" s="229" t="s">
        <v>49</v>
      </c>
      <c r="AC119" s="229"/>
      <c r="AD119" s="256" t="s">
        <v>48</v>
      </c>
      <c r="AE119" s="230"/>
      <c r="AF119" s="231"/>
      <c r="AG119" s="231"/>
      <c r="AH119" s="229"/>
      <c r="AI119" s="229"/>
      <c r="AJ119" s="232"/>
      <c r="AK119" s="229"/>
      <c r="AL119" s="231">
        <v>18</v>
      </c>
      <c r="AM119" s="224" t="s">
        <v>50</v>
      </c>
      <c r="AN119" s="256" t="s">
        <v>51</v>
      </c>
      <c r="AO119" s="128"/>
      <c r="AP119" s="128"/>
    </row>
    <row r="120" spans="1:42" s="160" customFormat="1" ht="14.25" customHeight="1" x14ac:dyDescent="0.2">
      <c r="A120" s="162">
        <v>46197</v>
      </c>
      <c r="B120" s="157"/>
      <c r="C120" s="274" t="s">
        <v>52</v>
      </c>
      <c r="D120" s="173" t="s">
        <v>53</v>
      </c>
      <c r="E120" s="303">
        <v>7611</v>
      </c>
      <c r="F120" s="322" t="s">
        <v>54</v>
      </c>
      <c r="G120" s="85">
        <v>42983486</v>
      </c>
      <c r="H120" s="85" t="s">
        <v>813</v>
      </c>
      <c r="I120" s="228"/>
      <c r="J120" s="228"/>
      <c r="K120" s="309">
        <v>0</v>
      </c>
      <c r="L120" s="196"/>
      <c r="M120" s="196"/>
      <c r="N120" s="196"/>
      <c r="O120" s="197"/>
      <c r="P120" s="185">
        <f t="shared" si="2"/>
        <v>0</v>
      </c>
      <c r="Q120" s="159"/>
      <c r="R120" s="194"/>
      <c r="S120" s="194"/>
      <c r="T120" s="194"/>
      <c r="U120" s="228"/>
      <c r="V120" s="194" t="s">
        <v>47</v>
      </c>
      <c r="W120" s="194"/>
      <c r="X120" s="328">
        <f t="shared" si="3"/>
        <v>46197</v>
      </c>
      <c r="Y120" s="26" t="s">
        <v>61</v>
      </c>
      <c r="Z120" s="58"/>
      <c r="AA120" s="58"/>
      <c r="AB120" s="58" t="s">
        <v>49</v>
      </c>
      <c r="AC120" s="58"/>
      <c r="AD120" s="254" t="s">
        <v>48</v>
      </c>
      <c r="AE120" s="59"/>
      <c r="AF120" s="57"/>
      <c r="AG120" s="57"/>
      <c r="AH120" s="58"/>
      <c r="AI120" s="58"/>
      <c r="AJ120" s="56"/>
      <c r="AK120" s="58"/>
      <c r="AL120" s="57">
        <v>18</v>
      </c>
      <c r="AM120" s="225" t="s">
        <v>588</v>
      </c>
      <c r="AN120" s="256" t="s">
        <v>51</v>
      </c>
      <c r="AO120" s="128"/>
      <c r="AP120" s="128"/>
    </row>
    <row r="121" spans="1:42" s="160" customFormat="1" ht="14.25" customHeight="1" x14ac:dyDescent="0.2">
      <c r="A121" s="162">
        <v>46197</v>
      </c>
      <c r="B121" s="157"/>
      <c r="C121" s="274" t="s">
        <v>52</v>
      </c>
      <c r="D121" s="173" t="s">
        <v>53</v>
      </c>
      <c r="E121" s="303">
        <v>7612</v>
      </c>
      <c r="F121" s="322" t="s">
        <v>54</v>
      </c>
      <c r="G121" s="85">
        <v>60845002</v>
      </c>
      <c r="H121" s="85" t="s">
        <v>787</v>
      </c>
      <c r="I121" s="228"/>
      <c r="J121" s="228"/>
      <c r="K121" s="309">
        <v>8480</v>
      </c>
      <c r="L121" s="196"/>
      <c r="M121" s="196"/>
      <c r="N121" s="196"/>
      <c r="O121" s="197"/>
      <c r="P121" s="185">
        <f t="shared" si="2"/>
        <v>8480</v>
      </c>
      <c r="Q121" s="159"/>
      <c r="R121" s="194"/>
      <c r="S121" s="194"/>
      <c r="T121" s="194"/>
      <c r="U121" s="228"/>
      <c r="V121" s="194" t="s">
        <v>47</v>
      </c>
      <c r="W121" s="194"/>
      <c r="X121" s="328">
        <f t="shared" si="3"/>
        <v>46197</v>
      </c>
      <c r="Y121" s="26" t="s">
        <v>63</v>
      </c>
      <c r="Z121" s="229"/>
      <c r="AA121" s="229"/>
      <c r="AB121" s="229" t="s">
        <v>49</v>
      </c>
      <c r="AC121" s="229"/>
      <c r="AD121" s="256" t="s">
        <v>48</v>
      </c>
      <c r="AE121" s="230"/>
      <c r="AF121" s="231"/>
      <c r="AG121" s="231"/>
      <c r="AH121" s="229"/>
      <c r="AI121" s="229"/>
      <c r="AJ121" s="232"/>
      <c r="AK121" s="229"/>
      <c r="AL121" s="231">
        <v>18</v>
      </c>
      <c r="AM121" s="233" t="s">
        <v>50</v>
      </c>
      <c r="AN121" s="256" t="s">
        <v>51</v>
      </c>
      <c r="AO121" s="128"/>
      <c r="AP121" s="128"/>
    </row>
    <row r="122" spans="1:42" s="160" customFormat="1" ht="14.25" customHeight="1" x14ac:dyDescent="0.2">
      <c r="A122" s="162">
        <v>46198</v>
      </c>
      <c r="B122" s="157"/>
      <c r="C122" s="274" t="s">
        <v>52</v>
      </c>
      <c r="D122" s="173" t="s">
        <v>53</v>
      </c>
      <c r="E122" s="303">
        <v>7613</v>
      </c>
      <c r="F122" s="322" t="s">
        <v>54</v>
      </c>
      <c r="G122" s="85">
        <v>61642850</v>
      </c>
      <c r="H122" s="85" t="s">
        <v>393</v>
      </c>
      <c r="I122" s="228"/>
      <c r="J122" s="228"/>
      <c r="K122" s="309">
        <v>12400</v>
      </c>
      <c r="L122" s="196"/>
      <c r="M122" s="196"/>
      <c r="N122" s="196"/>
      <c r="O122" s="197"/>
      <c r="P122" s="185">
        <f t="shared" si="2"/>
        <v>12400</v>
      </c>
      <c r="Q122" s="159"/>
      <c r="R122" s="194"/>
      <c r="S122" s="194"/>
      <c r="T122" s="194"/>
      <c r="U122" s="228"/>
      <c r="V122" s="194" t="s">
        <v>47</v>
      </c>
      <c r="W122" s="194"/>
      <c r="X122" s="328">
        <v>46503</v>
      </c>
      <c r="Y122" s="26" t="s">
        <v>63</v>
      </c>
      <c r="Z122" s="229"/>
      <c r="AA122" s="229"/>
      <c r="AB122" s="229" t="s">
        <v>49</v>
      </c>
      <c r="AC122" s="229"/>
      <c r="AD122" s="256" t="s">
        <v>48</v>
      </c>
      <c r="AE122" s="230"/>
      <c r="AF122" s="231"/>
      <c r="AG122" s="231"/>
      <c r="AH122" s="229"/>
      <c r="AI122" s="229"/>
      <c r="AJ122" s="232"/>
      <c r="AK122" s="229"/>
      <c r="AL122" s="231">
        <v>18</v>
      </c>
      <c r="AM122" s="233" t="s">
        <v>50</v>
      </c>
      <c r="AN122" s="256" t="s">
        <v>51</v>
      </c>
      <c r="AO122" s="128"/>
      <c r="AP122" s="128"/>
    </row>
    <row r="123" spans="1:42" s="20" customFormat="1" ht="14.25" customHeight="1" x14ac:dyDescent="0.2">
      <c r="A123" s="162">
        <v>46198</v>
      </c>
      <c r="B123" s="124"/>
      <c r="C123" s="274" t="s">
        <v>52</v>
      </c>
      <c r="D123" s="173" t="s">
        <v>53</v>
      </c>
      <c r="E123" s="303">
        <v>7614</v>
      </c>
      <c r="F123" s="322" t="s">
        <v>54</v>
      </c>
      <c r="G123" s="85">
        <v>61282607</v>
      </c>
      <c r="H123" s="85" t="s">
        <v>684</v>
      </c>
      <c r="I123" s="57"/>
      <c r="J123" s="57"/>
      <c r="K123" s="309">
        <v>0</v>
      </c>
      <c r="L123" s="191"/>
      <c r="M123" s="191"/>
      <c r="N123" s="191"/>
      <c r="O123" s="184"/>
      <c r="P123" s="185">
        <f t="shared" si="2"/>
        <v>0</v>
      </c>
      <c r="Q123" s="143"/>
      <c r="R123" s="58"/>
      <c r="S123" s="58"/>
      <c r="T123" s="58"/>
      <c r="U123" s="57"/>
      <c r="V123" s="58" t="s">
        <v>47</v>
      </c>
      <c r="W123" s="58"/>
      <c r="X123" s="328">
        <f t="shared" si="3"/>
        <v>46198</v>
      </c>
      <c r="Y123" s="26" t="s">
        <v>61</v>
      </c>
      <c r="Z123" s="58"/>
      <c r="AA123" s="58"/>
      <c r="AB123" s="58" t="s">
        <v>49</v>
      </c>
      <c r="AC123" s="58"/>
      <c r="AD123" s="254" t="s">
        <v>48</v>
      </c>
      <c r="AE123" s="59"/>
      <c r="AF123" s="57"/>
      <c r="AG123" s="57"/>
      <c r="AH123" s="58"/>
      <c r="AI123" s="58"/>
      <c r="AJ123" s="56"/>
      <c r="AK123" s="58"/>
      <c r="AL123" s="57">
        <v>18</v>
      </c>
      <c r="AM123" s="225" t="s">
        <v>588</v>
      </c>
      <c r="AN123" s="254" t="s">
        <v>51</v>
      </c>
      <c r="AO123" s="127"/>
      <c r="AP123" s="127"/>
    </row>
    <row r="124" spans="1:42" s="20" customFormat="1" ht="14.25" customHeight="1" x14ac:dyDescent="0.2">
      <c r="A124" s="162">
        <v>46198</v>
      </c>
      <c r="B124" s="124"/>
      <c r="C124" s="274" t="s">
        <v>52</v>
      </c>
      <c r="D124" s="173" t="s">
        <v>53</v>
      </c>
      <c r="E124" s="303">
        <v>7615</v>
      </c>
      <c r="F124" s="322" t="s">
        <v>54</v>
      </c>
      <c r="G124" s="85">
        <v>48580275</v>
      </c>
      <c r="H124" s="85" t="s">
        <v>788</v>
      </c>
      <c r="I124" s="57"/>
      <c r="J124" s="57"/>
      <c r="K124" s="309">
        <v>5280</v>
      </c>
      <c r="L124" s="191"/>
      <c r="M124" s="191"/>
      <c r="N124" s="191"/>
      <c r="O124" s="184"/>
      <c r="P124" s="185">
        <f t="shared" si="2"/>
        <v>5280</v>
      </c>
      <c r="Q124" s="143"/>
      <c r="R124" s="58"/>
      <c r="S124" s="58"/>
      <c r="T124" s="58"/>
      <c r="U124" s="57"/>
      <c r="V124" s="58" t="s">
        <v>47</v>
      </c>
      <c r="W124" s="58"/>
      <c r="X124" s="328">
        <f t="shared" si="3"/>
        <v>46198</v>
      </c>
      <c r="Y124" s="26" t="s">
        <v>63</v>
      </c>
      <c r="Z124" s="26"/>
      <c r="AA124" s="26"/>
      <c r="AB124" s="26" t="s">
        <v>49</v>
      </c>
      <c r="AC124" s="26"/>
      <c r="AD124" s="254" t="s">
        <v>48</v>
      </c>
      <c r="AE124" s="27"/>
      <c r="AF124" s="24"/>
      <c r="AG124" s="24"/>
      <c r="AH124" s="26"/>
      <c r="AI124" s="26"/>
      <c r="AJ124" s="25"/>
      <c r="AK124" s="26"/>
      <c r="AL124" s="24">
        <v>18</v>
      </c>
      <c r="AM124" s="224" t="s">
        <v>50</v>
      </c>
      <c r="AN124" s="254" t="s">
        <v>51</v>
      </c>
      <c r="AO124" s="127"/>
      <c r="AP124" s="127"/>
    </row>
    <row r="125" spans="1:42" s="20" customFormat="1" ht="14.25" customHeight="1" x14ac:dyDescent="0.2">
      <c r="A125" s="162">
        <v>46198</v>
      </c>
      <c r="B125" s="124"/>
      <c r="C125" s="274" t="s">
        <v>52</v>
      </c>
      <c r="D125" s="173" t="s">
        <v>53</v>
      </c>
      <c r="E125" s="303">
        <v>7616</v>
      </c>
      <c r="F125" s="322" t="s">
        <v>54</v>
      </c>
      <c r="G125" s="85">
        <v>48580275</v>
      </c>
      <c r="H125" s="85" t="s">
        <v>788</v>
      </c>
      <c r="I125" s="57"/>
      <c r="J125" s="57"/>
      <c r="K125" s="309">
        <v>0</v>
      </c>
      <c r="L125" s="191"/>
      <c r="M125" s="191"/>
      <c r="N125" s="191"/>
      <c r="O125" s="184"/>
      <c r="P125" s="185">
        <f t="shared" si="2"/>
        <v>0</v>
      </c>
      <c r="Q125" s="143"/>
      <c r="R125" s="58"/>
      <c r="S125" s="58"/>
      <c r="T125" s="58"/>
      <c r="U125" s="57"/>
      <c r="V125" s="58" t="s">
        <v>47</v>
      </c>
      <c r="W125" s="58"/>
      <c r="X125" s="328">
        <f t="shared" si="3"/>
        <v>46198</v>
      </c>
      <c r="Y125" s="26" t="s">
        <v>61</v>
      </c>
      <c r="Z125" s="58"/>
      <c r="AA125" s="58"/>
      <c r="AB125" s="58" t="s">
        <v>49</v>
      </c>
      <c r="AC125" s="58"/>
      <c r="AD125" s="254" t="s">
        <v>48</v>
      </c>
      <c r="AE125" s="59"/>
      <c r="AF125" s="57"/>
      <c r="AG125" s="57"/>
      <c r="AH125" s="58"/>
      <c r="AI125" s="58"/>
      <c r="AJ125" s="56"/>
      <c r="AK125" s="58"/>
      <c r="AL125" s="57">
        <v>18</v>
      </c>
      <c r="AM125" s="225" t="s">
        <v>588</v>
      </c>
      <c r="AN125" s="254" t="s">
        <v>51</v>
      </c>
      <c r="AO125" s="127"/>
      <c r="AP125" s="127"/>
    </row>
    <row r="126" spans="1:42" s="20" customFormat="1" ht="14.25" customHeight="1" x14ac:dyDescent="0.2">
      <c r="A126" s="162">
        <v>46198</v>
      </c>
      <c r="B126" s="124"/>
      <c r="C126" s="274" t="s">
        <v>52</v>
      </c>
      <c r="D126" s="173" t="s">
        <v>53</v>
      </c>
      <c r="E126" s="303">
        <v>7617</v>
      </c>
      <c r="F126" s="322" t="s">
        <v>54</v>
      </c>
      <c r="G126" s="85">
        <v>20985071</v>
      </c>
      <c r="H126" s="85" t="s">
        <v>789</v>
      </c>
      <c r="I126" s="57"/>
      <c r="J126" s="57"/>
      <c r="K126" s="309">
        <v>7270</v>
      </c>
      <c r="L126" s="191"/>
      <c r="M126" s="191"/>
      <c r="N126" s="191"/>
      <c r="O126" s="184"/>
      <c r="P126" s="185">
        <f t="shared" si="2"/>
        <v>7270</v>
      </c>
      <c r="Q126" s="143"/>
      <c r="R126" s="58"/>
      <c r="S126" s="58"/>
      <c r="T126" s="58"/>
      <c r="U126" s="57"/>
      <c r="V126" s="58" t="s">
        <v>47</v>
      </c>
      <c r="W126" s="58"/>
      <c r="X126" s="328">
        <f t="shared" si="3"/>
        <v>46198</v>
      </c>
      <c r="Y126" s="26" t="s">
        <v>63</v>
      </c>
      <c r="Z126" s="26"/>
      <c r="AA126" s="26"/>
      <c r="AB126" s="26" t="s">
        <v>49</v>
      </c>
      <c r="AC126" s="26"/>
      <c r="AD126" s="254" t="s">
        <v>48</v>
      </c>
      <c r="AE126" s="27"/>
      <c r="AF126" s="24"/>
      <c r="AG126" s="24"/>
      <c r="AH126" s="26"/>
      <c r="AI126" s="26"/>
      <c r="AJ126" s="25"/>
      <c r="AK126" s="26"/>
      <c r="AL126" s="24">
        <v>18</v>
      </c>
      <c r="AM126" s="224" t="s">
        <v>50</v>
      </c>
      <c r="AN126" s="254" t="s">
        <v>51</v>
      </c>
      <c r="AO126" s="127"/>
      <c r="AP126" s="127"/>
    </row>
    <row r="127" spans="1:42" s="20" customFormat="1" ht="14.25" customHeight="1" x14ac:dyDescent="0.2">
      <c r="A127" s="162">
        <v>46200</v>
      </c>
      <c r="B127" s="124"/>
      <c r="C127" s="274" t="s">
        <v>52</v>
      </c>
      <c r="D127" s="173" t="s">
        <v>53</v>
      </c>
      <c r="E127" s="303">
        <v>7618</v>
      </c>
      <c r="F127" s="322" t="s">
        <v>54</v>
      </c>
      <c r="G127" s="85">
        <v>75730520</v>
      </c>
      <c r="H127" s="85" t="s">
        <v>790</v>
      </c>
      <c r="I127" s="57"/>
      <c r="J127" s="57"/>
      <c r="K127" s="309">
        <v>12580</v>
      </c>
      <c r="L127" s="191"/>
      <c r="M127" s="191"/>
      <c r="N127" s="191"/>
      <c r="O127" s="184"/>
      <c r="P127" s="185">
        <f t="shared" si="2"/>
        <v>12580</v>
      </c>
      <c r="Q127" s="143"/>
      <c r="R127" s="58"/>
      <c r="S127" s="58"/>
      <c r="T127" s="58"/>
      <c r="U127" s="57"/>
      <c r="V127" s="58" t="s">
        <v>47</v>
      </c>
      <c r="W127" s="58"/>
      <c r="X127" s="328">
        <f t="shared" si="3"/>
        <v>46200</v>
      </c>
      <c r="Y127" s="26" t="s">
        <v>63</v>
      </c>
      <c r="Z127" s="26"/>
      <c r="AA127" s="26"/>
      <c r="AB127" s="26" t="s">
        <v>49</v>
      </c>
      <c r="AC127" s="26"/>
      <c r="AD127" s="254" t="s">
        <v>48</v>
      </c>
      <c r="AE127" s="27"/>
      <c r="AF127" s="24"/>
      <c r="AG127" s="24"/>
      <c r="AH127" s="26"/>
      <c r="AI127" s="26"/>
      <c r="AJ127" s="25"/>
      <c r="AK127" s="26"/>
      <c r="AL127" s="24">
        <v>18</v>
      </c>
      <c r="AM127" s="224" t="s">
        <v>50</v>
      </c>
      <c r="AN127" s="254" t="s">
        <v>51</v>
      </c>
      <c r="AO127" s="127"/>
      <c r="AP127" s="127"/>
    </row>
    <row r="128" spans="1:42" s="20" customFormat="1" ht="14.25" customHeight="1" x14ac:dyDescent="0.2">
      <c r="A128" s="162">
        <v>46200</v>
      </c>
      <c r="B128" s="124"/>
      <c r="C128" s="274" t="s">
        <v>52</v>
      </c>
      <c r="D128" s="173" t="s">
        <v>53</v>
      </c>
      <c r="E128" s="303">
        <v>7619</v>
      </c>
      <c r="F128" s="322" t="s">
        <v>54</v>
      </c>
      <c r="G128" s="85">
        <v>75730520</v>
      </c>
      <c r="H128" s="85" t="s">
        <v>790</v>
      </c>
      <c r="I128" s="57"/>
      <c r="J128" s="57"/>
      <c r="K128" s="309">
        <v>0</v>
      </c>
      <c r="L128" s="191"/>
      <c r="M128" s="191"/>
      <c r="N128" s="191"/>
      <c r="O128" s="184"/>
      <c r="P128" s="185">
        <f t="shared" si="2"/>
        <v>0</v>
      </c>
      <c r="Q128" s="143"/>
      <c r="R128" s="58"/>
      <c r="S128" s="58"/>
      <c r="T128" s="58"/>
      <c r="U128" s="57"/>
      <c r="V128" s="58" t="s">
        <v>47</v>
      </c>
      <c r="W128" s="58"/>
      <c r="X128" s="328">
        <f t="shared" si="3"/>
        <v>46200</v>
      </c>
      <c r="Y128" s="26" t="s">
        <v>61</v>
      </c>
      <c r="Z128" s="58"/>
      <c r="AA128" s="58"/>
      <c r="AB128" s="58" t="s">
        <v>49</v>
      </c>
      <c r="AC128" s="58"/>
      <c r="AD128" s="254" t="s">
        <v>48</v>
      </c>
      <c r="AE128" s="59"/>
      <c r="AF128" s="57"/>
      <c r="AG128" s="57"/>
      <c r="AH128" s="58"/>
      <c r="AI128" s="58"/>
      <c r="AJ128" s="56"/>
      <c r="AK128" s="58"/>
      <c r="AL128" s="57">
        <v>18</v>
      </c>
      <c r="AM128" s="225" t="s">
        <v>588</v>
      </c>
      <c r="AN128" s="254" t="s">
        <v>51</v>
      </c>
      <c r="AO128" s="127"/>
      <c r="AP128" s="127"/>
    </row>
    <row r="129" spans="1:42" s="20" customFormat="1" ht="14.25" customHeight="1" x14ac:dyDescent="0.2">
      <c r="A129" s="162">
        <v>46200</v>
      </c>
      <c r="B129" s="124"/>
      <c r="C129" s="274" t="s">
        <v>52</v>
      </c>
      <c r="D129" s="173" t="s">
        <v>53</v>
      </c>
      <c r="E129" s="303">
        <v>7620</v>
      </c>
      <c r="F129" s="322" t="s">
        <v>54</v>
      </c>
      <c r="G129" s="85">
        <v>71659238</v>
      </c>
      <c r="H129" s="85" t="s">
        <v>709</v>
      </c>
      <c r="I129" s="57"/>
      <c r="J129" s="57"/>
      <c r="K129" s="309">
        <v>8700</v>
      </c>
      <c r="L129" s="191"/>
      <c r="M129" s="191"/>
      <c r="N129" s="191"/>
      <c r="O129" s="184"/>
      <c r="P129" s="185">
        <f t="shared" si="2"/>
        <v>8700</v>
      </c>
      <c r="Q129" s="143"/>
      <c r="R129" s="58"/>
      <c r="S129" s="58"/>
      <c r="T129" s="58"/>
      <c r="U129" s="57"/>
      <c r="V129" s="58" t="s">
        <v>47</v>
      </c>
      <c r="W129" s="58"/>
      <c r="X129" s="328">
        <v>46286</v>
      </c>
      <c r="Y129" s="26" t="s">
        <v>63</v>
      </c>
      <c r="Z129" s="26"/>
      <c r="AA129" s="26"/>
      <c r="AB129" s="26" t="s">
        <v>49</v>
      </c>
      <c r="AC129" s="26"/>
      <c r="AD129" s="254" t="s">
        <v>48</v>
      </c>
      <c r="AE129" s="27"/>
      <c r="AF129" s="24"/>
      <c r="AG129" s="24"/>
      <c r="AH129" s="26"/>
      <c r="AI129" s="26"/>
      <c r="AJ129" s="25"/>
      <c r="AK129" s="26"/>
      <c r="AL129" s="24">
        <v>18</v>
      </c>
      <c r="AM129" s="224" t="s">
        <v>50</v>
      </c>
      <c r="AN129" s="254" t="s">
        <v>51</v>
      </c>
      <c r="AO129" s="127"/>
      <c r="AP129" s="127"/>
    </row>
    <row r="130" spans="1:42" s="20" customFormat="1" ht="14.25" customHeight="1" x14ac:dyDescent="0.2">
      <c r="A130" s="162">
        <v>46200</v>
      </c>
      <c r="B130" s="124"/>
      <c r="C130" s="274" t="s">
        <v>52</v>
      </c>
      <c r="D130" s="173" t="s">
        <v>53</v>
      </c>
      <c r="E130" s="303">
        <v>7621</v>
      </c>
      <c r="F130" s="322" t="s">
        <v>54</v>
      </c>
      <c r="G130" s="85">
        <v>43861320</v>
      </c>
      <c r="H130" s="85" t="s">
        <v>800</v>
      </c>
      <c r="I130" s="57"/>
      <c r="J130" s="57"/>
      <c r="K130" s="309">
        <v>11780</v>
      </c>
      <c r="L130" s="191"/>
      <c r="M130" s="191"/>
      <c r="N130" s="191"/>
      <c r="O130" s="184"/>
      <c r="P130" s="185">
        <f t="shared" si="2"/>
        <v>11780</v>
      </c>
      <c r="Q130" s="143"/>
      <c r="R130" s="58"/>
      <c r="S130" s="58"/>
      <c r="T130" s="58"/>
      <c r="U130" s="57"/>
      <c r="V130" s="58" t="s">
        <v>47</v>
      </c>
      <c r="W130" s="58"/>
      <c r="X130" s="328">
        <f t="shared" si="3"/>
        <v>46200</v>
      </c>
      <c r="Y130" s="26" t="s">
        <v>63</v>
      </c>
      <c r="Z130" s="26"/>
      <c r="AA130" s="26"/>
      <c r="AB130" s="26" t="s">
        <v>49</v>
      </c>
      <c r="AC130" s="26"/>
      <c r="AD130" s="254" t="s">
        <v>48</v>
      </c>
      <c r="AE130" s="27"/>
      <c r="AF130" s="24"/>
      <c r="AG130" s="24"/>
      <c r="AH130" s="26"/>
      <c r="AI130" s="26"/>
      <c r="AJ130" s="25"/>
      <c r="AK130" s="26"/>
      <c r="AL130" s="24">
        <v>18</v>
      </c>
      <c r="AM130" s="224" t="s">
        <v>50</v>
      </c>
      <c r="AN130" s="254" t="s">
        <v>51</v>
      </c>
      <c r="AO130" s="127"/>
      <c r="AP130" s="127"/>
    </row>
    <row r="131" spans="1:42" s="20" customFormat="1" ht="14.25" customHeight="1" x14ac:dyDescent="0.2">
      <c r="A131" s="162">
        <v>46200</v>
      </c>
      <c r="B131" s="124"/>
      <c r="C131" s="274" t="s">
        <v>52</v>
      </c>
      <c r="D131" s="173" t="s">
        <v>53</v>
      </c>
      <c r="E131" s="303">
        <v>7622</v>
      </c>
      <c r="F131" s="322" t="s">
        <v>54</v>
      </c>
      <c r="G131" s="85">
        <v>43861320</v>
      </c>
      <c r="H131" s="85" t="s">
        <v>800</v>
      </c>
      <c r="I131" s="57"/>
      <c r="J131" s="57"/>
      <c r="K131" s="309">
        <v>0</v>
      </c>
      <c r="L131" s="191"/>
      <c r="M131" s="191"/>
      <c r="N131" s="191"/>
      <c r="O131" s="184"/>
      <c r="P131" s="185">
        <f t="shared" si="2"/>
        <v>0</v>
      </c>
      <c r="Q131" s="143"/>
      <c r="R131" s="58"/>
      <c r="S131" s="58"/>
      <c r="T131" s="58"/>
      <c r="U131" s="57"/>
      <c r="V131" s="58" t="s">
        <v>47</v>
      </c>
      <c r="W131" s="58"/>
      <c r="X131" s="297">
        <f t="shared" si="3"/>
        <v>46200</v>
      </c>
      <c r="Y131" s="26" t="s">
        <v>61</v>
      </c>
      <c r="Z131" s="58"/>
      <c r="AA131" s="58"/>
      <c r="AB131" s="58" t="s">
        <v>49</v>
      </c>
      <c r="AC131" s="58"/>
      <c r="AD131" s="254" t="s">
        <v>48</v>
      </c>
      <c r="AE131" s="59"/>
      <c r="AF131" s="57"/>
      <c r="AG131" s="57"/>
      <c r="AH131" s="58"/>
      <c r="AI131" s="58"/>
      <c r="AJ131" s="56"/>
      <c r="AK131" s="58"/>
      <c r="AL131" s="57">
        <v>18</v>
      </c>
      <c r="AM131" s="225" t="s">
        <v>588</v>
      </c>
      <c r="AN131" s="254" t="s">
        <v>51</v>
      </c>
      <c r="AO131" s="127"/>
      <c r="AP131" s="127"/>
    </row>
    <row r="132" spans="1:42" s="20" customFormat="1" ht="14.25" customHeight="1" x14ac:dyDescent="0.2">
      <c r="A132" s="162">
        <v>46200</v>
      </c>
      <c r="B132" s="124"/>
      <c r="C132" s="274" t="s">
        <v>52</v>
      </c>
      <c r="D132" s="173" t="s">
        <v>53</v>
      </c>
      <c r="E132" s="303">
        <v>7623</v>
      </c>
      <c r="F132" s="322" t="s">
        <v>54</v>
      </c>
      <c r="G132" s="85">
        <v>20999692</v>
      </c>
      <c r="H132" s="85" t="s">
        <v>791</v>
      </c>
      <c r="I132" s="57"/>
      <c r="J132" s="57"/>
      <c r="K132" s="309">
        <v>9580</v>
      </c>
      <c r="L132" s="191"/>
      <c r="M132" s="191"/>
      <c r="N132" s="191"/>
      <c r="O132" s="184"/>
      <c r="P132" s="185">
        <f t="shared" si="2"/>
        <v>9580</v>
      </c>
      <c r="Q132" s="143"/>
      <c r="R132" s="58"/>
      <c r="S132" s="58"/>
      <c r="T132" s="58"/>
      <c r="U132" s="57"/>
      <c r="V132" s="58" t="s">
        <v>47</v>
      </c>
      <c r="W132" s="58"/>
      <c r="X132" s="297">
        <f t="shared" si="3"/>
        <v>46200</v>
      </c>
      <c r="Y132" s="26" t="s">
        <v>63</v>
      </c>
      <c r="Z132" s="26"/>
      <c r="AA132" s="26"/>
      <c r="AB132" s="26" t="s">
        <v>49</v>
      </c>
      <c r="AC132" s="26"/>
      <c r="AD132" s="254" t="s">
        <v>48</v>
      </c>
      <c r="AE132" s="27"/>
      <c r="AF132" s="24"/>
      <c r="AG132" s="24"/>
      <c r="AH132" s="26"/>
      <c r="AI132" s="26"/>
      <c r="AJ132" s="25"/>
      <c r="AK132" s="26"/>
      <c r="AL132" s="24">
        <v>18</v>
      </c>
      <c r="AM132" s="224" t="s">
        <v>50</v>
      </c>
      <c r="AN132" s="254" t="s">
        <v>51</v>
      </c>
      <c r="AO132" s="127"/>
      <c r="AP132" s="127"/>
    </row>
    <row r="133" spans="1:42" s="20" customFormat="1" ht="14.25" customHeight="1" x14ac:dyDescent="0.2">
      <c r="A133" s="162">
        <v>46200</v>
      </c>
      <c r="B133" s="124"/>
      <c r="C133" s="274" t="s">
        <v>52</v>
      </c>
      <c r="D133" s="173" t="s">
        <v>53</v>
      </c>
      <c r="E133" s="303">
        <v>7624</v>
      </c>
      <c r="F133" s="322" t="s">
        <v>54</v>
      </c>
      <c r="G133" s="85">
        <v>20999692</v>
      </c>
      <c r="H133" s="85" t="s">
        <v>791</v>
      </c>
      <c r="I133" s="57"/>
      <c r="J133" s="57"/>
      <c r="K133" s="309">
        <v>0</v>
      </c>
      <c r="L133" s="191"/>
      <c r="M133" s="191"/>
      <c r="N133" s="191"/>
      <c r="O133" s="184"/>
      <c r="P133" s="185">
        <f t="shared" si="2"/>
        <v>0</v>
      </c>
      <c r="Q133" s="143"/>
      <c r="R133" s="58"/>
      <c r="S133" s="58"/>
      <c r="T133" s="58"/>
      <c r="U133" s="57"/>
      <c r="V133" s="58" t="s">
        <v>47</v>
      </c>
      <c r="W133" s="58"/>
      <c r="X133" s="297">
        <f t="shared" si="3"/>
        <v>46200</v>
      </c>
      <c r="Y133" s="26" t="s">
        <v>61</v>
      </c>
      <c r="Z133" s="58"/>
      <c r="AA133" s="58"/>
      <c r="AB133" s="58" t="s">
        <v>49</v>
      </c>
      <c r="AC133" s="58"/>
      <c r="AD133" s="254" t="s">
        <v>48</v>
      </c>
      <c r="AE133" s="59"/>
      <c r="AF133" s="57"/>
      <c r="AG133" s="57"/>
      <c r="AH133" s="58"/>
      <c r="AI133" s="58"/>
      <c r="AJ133" s="56"/>
      <c r="AK133" s="58"/>
      <c r="AL133" s="57">
        <v>18</v>
      </c>
      <c r="AM133" s="225" t="s">
        <v>588</v>
      </c>
      <c r="AN133" s="254" t="s">
        <v>51</v>
      </c>
      <c r="AO133" s="127"/>
      <c r="AP133" s="127"/>
    </row>
    <row r="134" spans="1:42" s="37" customFormat="1" ht="15.75" customHeight="1" x14ac:dyDescent="0.25">
      <c r="A134" s="40"/>
      <c r="B134" s="144"/>
      <c r="C134" s="275"/>
      <c r="D134" s="175"/>
      <c r="E134" s="304"/>
      <c r="F134" s="175"/>
      <c r="G134" s="175"/>
      <c r="H134" s="175"/>
      <c r="I134" s="175"/>
      <c r="J134" s="175"/>
      <c r="K134" s="202"/>
      <c r="L134" s="175"/>
      <c r="M134" s="175"/>
      <c r="N134" s="175"/>
      <c r="O134" s="175"/>
      <c r="P134" s="175"/>
      <c r="Q134" s="145"/>
      <c r="R134" s="175"/>
      <c r="S134" s="175"/>
      <c r="T134" s="175"/>
      <c r="U134" s="175"/>
      <c r="V134" s="175"/>
      <c r="W134" s="175"/>
      <c r="X134" s="175"/>
      <c r="Y134" s="175"/>
      <c r="Z134" s="175"/>
      <c r="AA134" s="175"/>
      <c r="AB134" s="175"/>
      <c r="AC134" s="175"/>
      <c r="AD134" s="235"/>
      <c r="AE134" s="175"/>
      <c r="AF134" s="175"/>
      <c r="AG134" s="175"/>
      <c r="AH134" s="175"/>
      <c r="AI134" s="175"/>
      <c r="AJ134" s="175"/>
      <c r="AK134" s="175"/>
      <c r="AL134" s="175"/>
      <c r="AM134" s="235"/>
      <c r="AN134" s="235"/>
      <c r="AO134" s="144"/>
      <c r="AP134" s="144"/>
    </row>
    <row r="135" spans="1:42" s="28" customFormat="1" ht="15" customHeight="1" x14ac:dyDescent="0.2">
      <c r="A135" s="162">
        <v>46174</v>
      </c>
      <c r="B135" s="133"/>
      <c r="C135" s="274" t="s">
        <v>45</v>
      </c>
      <c r="D135" s="173" t="s">
        <v>55</v>
      </c>
      <c r="E135" s="303">
        <v>879</v>
      </c>
      <c r="F135" s="182">
        <v>6</v>
      </c>
      <c r="G135" s="182">
        <v>10747540743</v>
      </c>
      <c r="H135" s="182" t="s">
        <v>759</v>
      </c>
      <c r="I135" s="231"/>
      <c r="J135" s="231"/>
      <c r="K135" s="183">
        <v>5542</v>
      </c>
      <c r="L135" s="312"/>
      <c r="M135" s="312"/>
      <c r="N135" s="312"/>
      <c r="O135" s="203"/>
      <c r="P135" s="185">
        <f t="shared" ref="P135:P143" si="4">K135</f>
        <v>5542</v>
      </c>
      <c r="Q135" s="135"/>
      <c r="R135" s="25"/>
      <c r="S135" s="26"/>
      <c r="T135" s="26"/>
      <c r="U135" s="26"/>
      <c r="V135" s="26" t="s">
        <v>47</v>
      </c>
      <c r="W135" s="58"/>
      <c r="X135" s="297">
        <f t="shared" ref="X135:X143" si="5">A135</f>
        <v>46174</v>
      </c>
      <c r="Y135" s="26" t="s">
        <v>63</v>
      </c>
      <c r="Z135" s="26"/>
      <c r="AA135" s="26"/>
      <c r="AB135" s="26" t="s">
        <v>49</v>
      </c>
      <c r="AC135" s="26"/>
      <c r="AD135" s="254" t="s">
        <v>48</v>
      </c>
      <c r="AE135" s="27"/>
      <c r="AF135" s="24"/>
      <c r="AG135" s="24"/>
      <c r="AH135" s="26"/>
      <c r="AI135" s="26"/>
      <c r="AJ135" s="25"/>
      <c r="AK135" s="26"/>
      <c r="AL135" s="24">
        <v>18</v>
      </c>
      <c r="AM135" s="224" t="s">
        <v>50</v>
      </c>
      <c r="AN135" s="255" t="s">
        <v>51</v>
      </c>
      <c r="AO135" s="131"/>
      <c r="AP135" s="132"/>
    </row>
    <row r="136" spans="1:42" s="28" customFormat="1" ht="15" customHeight="1" x14ac:dyDescent="0.2">
      <c r="A136" s="162">
        <v>46178</v>
      </c>
      <c r="B136" s="133"/>
      <c r="C136" s="274" t="s">
        <v>45</v>
      </c>
      <c r="D136" s="173" t="s">
        <v>55</v>
      </c>
      <c r="E136" s="303">
        <v>880</v>
      </c>
      <c r="F136" s="182">
        <v>6</v>
      </c>
      <c r="G136" s="182">
        <v>20568718454</v>
      </c>
      <c r="H136" s="182" t="s">
        <v>662</v>
      </c>
      <c r="I136" s="231"/>
      <c r="J136" s="231"/>
      <c r="K136" s="183">
        <v>114220</v>
      </c>
      <c r="L136" s="231"/>
      <c r="M136" s="231"/>
      <c r="N136" s="231"/>
      <c r="O136" s="24"/>
      <c r="P136" s="185">
        <f t="shared" si="4"/>
        <v>114220</v>
      </c>
      <c r="Q136" s="135"/>
      <c r="R136" s="25"/>
      <c r="S136" s="26"/>
      <c r="T136" s="26"/>
      <c r="U136" s="26"/>
      <c r="V136" s="26" t="s">
        <v>47</v>
      </c>
      <c r="W136" s="58"/>
      <c r="X136" s="325">
        <v>46203</v>
      </c>
      <c r="Y136" s="26" t="s">
        <v>63</v>
      </c>
      <c r="Z136" s="26"/>
      <c r="AA136" s="26"/>
      <c r="AB136" s="26" t="s">
        <v>49</v>
      </c>
      <c r="AC136" s="26"/>
      <c r="AD136" s="254" t="s">
        <v>48</v>
      </c>
      <c r="AE136" s="27"/>
      <c r="AF136" s="24"/>
      <c r="AG136" s="24"/>
      <c r="AH136" s="26"/>
      <c r="AI136" s="26"/>
      <c r="AJ136" s="25"/>
      <c r="AK136" s="26"/>
      <c r="AL136" s="24">
        <v>18</v>
      </c>
      <c r="AM136" s="224" t="s">
        <v>50</v>
      </c>
      <c r="AN136" s="255" t="s">
        <v>51</v>
      </c>
      <c r="AO136" s="131"/>
      <c r="AP136" s="132"/>
    </row>
    <row r="137" spans="1:42" s="28" customFormat="1" ht="15" customHeight="1" x14ac:dyDescent="0.2">
      <c r="A137" s="162">
        <v>46182</v>
      </c>
      <c r="B137" s="133"/>
      <c r="C137" s="274" t="s">
        <v>45</v>
      </c>
      <c r="D137" s="173" t="s">
        <v>55</v>
      </c>
      <c r="E137" s="303">
        <v>881</v>
      </c>
      <c r="F137" s="85">
        <v>6</v>
      </c>
      <c r="G137" s="85">
        <v>20613860321</v>
      </c>
      <c r="H137" s="85" t="s">
        <v>758</v>
      </c>
      <c r="I137" s="24"/>
      <c r="J137" s="24"/>
      <c r="K137" s="199">
        <v>10080</v>
      </c>
      <c r="L137" s="203"/>
      <c r="M137" s="203"/>
      <c r="N137" s="203"/>
      <c r="O137" s="203"/>
      <c r="P137" s="185">
        <f t="shared" si="4"/>
        <v>10080</v>
      </c>
      <c r="Q137" s="135"/>
      <c r="R137" s="25"/>
      <c r="S137" s="26"/>
      <c r="T137" s="26"/>
      <c r="U137" s="26"/>
      <c r="V137" s="26" t="s">
        <v>47</v>
      </c>
      <c r="W137" s="58"/>
      <c r="X137" s="297">
        <f t="shared" si="5"/>
        <v>46182</v>
      </c>
      <c r="Y137" s="26" t="s">
        <v>63</v>
      </c>
      <c r="Z137" s="26"/>
      <c r="AA137" s="26"/>
      <c r="AB137" s="26" t="s">
        <v>49</v>
      </c>
      <c r="AC137" s="26"/>
      <c r="AD137" s="254" t="s">
        <v>48</v>
      </c>
      <c r="AE137" s="27"/>
      <c r="AF137" s="24"/>
      <c r="AG137" s="24"/>
      <c r="AH137" s="26"/>
      <c r="AI137" s="26"/>
      <c r="AJ137" s="25"/>
      <c r="AK137" s="26"/>
      <c r="AL137" s="24">
        <v>18</v>
      </c>
      <c r="AM137" s="224" t="s">
        <v>50</v>
      </c>
      <c r="AN137" s="255" t="s">
        <v>51</v>
      </c>
      <c r="AO137" s="131"/>
      <c r="AP137" s="132"/>
    </row>
    <row r="138" spans="1:42" s="28" customFormat="1" ht="15" customHeight="1" x14ac:dyDescent="0.2">
      <c r="A138" s="162">
        <v>46182</v>
      </c>
      <c r="B138" s="133"/>
      <c r="C138" s="274" t="s">
        <v>45</v>
      </c>
      <c r="D138" s="173" t="s">
        <v>55</v>
      </c>
      <c r="E138" s="303">
        <v>882</v>
      </c>
      <c r="F138" s="85">
        <v>6</v>
      </c>
      <c r="G138" s="85">
        <v>20613860321</v>
      </c>
      <c r="H138" s="85" t="s">
        <v>758</v>
      </c>
      <c r="I138" s="24"/>
      <c r="J138" s="24"/>
      <c r="K138" s="199">
        <v>0</v>
      </c>
      <c r="L138" s="24"/>
      <c r="M138" s="24"/>
      <c r="N138" s="24"/>
      <c r="O138" s="24"/>
      <c r="P138" s="185">
        <f t="shared" si="4"/>
        <v>0</v>
      </c>
      <c r="Q138" s="135"/>
      <c r="R138" s="25"/>
      <c r="S138" s="26"/>
      <c r="T138" s="26"/>
      <c r="U138" s="26"/>
      <c r="V138" s="26" t="s">
        <v>47</v>
      </c>
      <c r="W138" s="58"/>
      <c r="X138" s="297">
        <f t="shared" si="5"/>
        <v>46182</v>
      </c>
      <c r="Y138" s="26" t="s">
        <v>61</v>
      </c>
      <c r="Z138" s="26"/>
      <c r="AA138" s="26"/>
      <c r="AB138" s="26" t="s">
        <v>49</v>
      </c>
      <c r="AC138" s="26"/>
      <c r="AD138" s="254" t="s">
        <v>48</v>
      </c>
      <c r="AE138" s="27"/>
      <c r="AF138" s="24"/>
      <c r="AG138" s="24"/>
      <c r="AH138" s="26"/>
      <c r="AI138" s="26"/>
      <c r="AJ138" s="25"/>
      <c r="AK138" s="26"/>
      <c r="AL138" s="24">
        <v>18</v>
      </c>
      <c r="AM138" s="225" t="s">
        <v>588</v>
      </c>
      <c r="AN138" s="255" t="s">
        <v>51</v>
      </c>
      <c r="AO138" s="131"/>
      <c r="AP138" s="132"/>
    </row>
    <row r="139" spans="1:42" s="28" customFormat="1" ht="15" customHeight="1" x14ac:dyDescent="0.2">
      <c r="A139" s="162">
        <v>46185</v>
      </c>
      <c r="B139" s="133"/>
      <c r="C139" s="274" t="s">
        <v>45</v>
      </c>
      <c r="D139" s="173" t="s">
        <v>55</v>
      </c>
      <c r="E139" s="303">
        <v>883</v>
      </c>
      <c r="F139" s="85">
        <v>6</v>
      </c>
      <c r="G139" s="85">
        <v>20487288803</v>
      </c>
      <c r="H139" s="85" t="s">
        <v>757</v>
      </c>
      <c r="I139" s="24"/>
      <c r="J139" s="24"/>
      <c r="K139" s="199">
        <v>6600</v>
      </c>
      <c r="L139" s="203"/>
      <c r="M139" s="203"/>
      <c r="N139" s="203"/>
      <c r="O139" s="203"/>
      <c r="P139" s="185">
        <f t="shared" si="4"/>
        <v>6600</v>
      </c>
      <c r="Q139" s="135"/>
      <c r="R139" s="25"/>
      <c r="S139" s="26"/>
      <c r="T139" s="26"/>
      <c r="U139" s="26"/>
      <c r="V139" s="26" t="s">
        <v>47</v>
      </c>
      <c r="W139" s="58"/>
      <c r="X139" s="297">
        <f t="shared" si="5"/>
        <v>46185</v>
      </c>
      <c r="Y139" s="26" t="s">
        <v>63</v>
      </c>
      <c r="Z139" s="26"/>
      <c r="AA139" s="26"/>
      <c r="AB139" s="26" t="s">
        <v>49</v>
      </c>
      <c r="AC139" s="26"/>
      <c r="AD139" s="254" t="s">
        <v>48</v>
      </c>
      <c r="AE139" s="27"/>
      <c r="AF139" s="24"/>
      <c r="AG139" s="24"/>
      <c r="AH139" s="26"/>
      <c r="AI139" s="26"/>
      <c r="AJ139" s="25"/>
      <c r="AK139" s="26"/>
      <c r="AL139" s="24">
        <v>18</v>
      </c>
      <c r="AM139" s="224" t="s">
        <v>50</v>
      </c>
      <c r="AN139" s="255" t="s">
        <v>51</v>
      </c>
      <c r="AO139" s="131"/>
      <c r="AP139" s="132"/>
    </row>
    <row r="140" spans="1:42" s="28" customFormat="1" ht="15" customHeight="1" x14ac:dyDescent="0.2">
      <c r="A140" s="162">
        <v>46185</v>
      </c>
      <c r="B140" s="133"/>
      <c r="C140" s="274" t="s">
        <v>45</v>
      </c>
      <c r="D140" s="173" t="s">
        <v>55</v>
      </c>
      <c r="E140" s="303">
        <v>884</v>
      </c>
      <c r="F140" s="85">
        <v>6</v>
      </c>
      <c r="G140" s="85">
        <v>20487288803</v>
      </c>
      <c r="H140" s="85" t="s">
        <v>757</v>
      </c>
      <c r="I140" s="24"/>
      <c r="J140" s="24"/>
      <c r="K140" s="199">
        <v>0</v>
      </c>
      <c r="L140" s="203"/>
      <c r="M140" s="203"/>
      <c r="N140" s="203"/>
      <c r="O140" s="203"/>
      <c r="P140" s="185">
        <f t="shared" si="4"/>
        <v>0</v>
      </c>
      <c r="Q140" s="135"/>
      <c r="R140" s="25"/>
      <c r="S140" s="26"/>
      <c r="T140" s="26"/>
      <c r="U140" s="26"/>
      <c r="V140" s="26" t="s">
        <v>47</v>
      </c>
      <c r="W140" s="58"/>
      <c r="X140" s="297">
        <f t="shared" si="5"/>
        <v>46185</v>
      </c>
      <c r="Y140" s="26" t="s">
        <v>61</v>
      </c>
      <c r="Z140" s="26"/>
      <c r="AA140" s="26"/>
      <c r="AB140" s="26" t="s">
        <v>49</v>
      </c>
      <c r="AC140" s="26"/>
      <c r="AD140" s="254" t="s">
        <v>48</v>
      </c>
      <c r="AE140" s="27"/>
      <c r="AF140" s="24"/>
      <c r="AG140" s="24"/>
      <c r="AH140" s="26"/>
      <c r="AI140" s="26"/>
      <c r="AJ140" s="25"/>
      <c r="AK140" s="26"/>
      <c r="AL140" s="24">
        <v>18</v>
      </c>
      <c r="AM140" s="225" t="s">
        <v>588</v>
      </c>
      <c r="AN140" s="255" t="s">
        <v>51</v>
      </c>
      <c r="AO140" s="131"/>
      <c r="AP140" s="132"/>
    </row>
    <row r="141" spans="1:42" s="28" customFormat="1" ht="15" customHeight="1" x14ac:dyDescent="0.2">
      <c r="A141" s="162">
        <v>46188</v>
      </c>
      <c r="B141" s="133"/>
      <c r="C141" s="274" t="s">
        <v>45</v>
      </c>
      <c r="D141" s="173" t="s">
        <v>55</v>
      </c>
      <c r="E141" s="303">
        <v>885</v>
      </c>
      <c r="F141" s="85">
        <v>6</v>
      </c>
      <c r="G141" s="85">
        <v>20604876126</v>
      </c>
      <c r="H141" s="85" t="s">
        <v>793</v>
      </c>
      <c r="I141" s="24"/>
      <c r="J141" s="24"/>
      <c r="K141" s="199">
        <v>13600</v>
      </c>
      <c r="L141" s="203"/>
      <c r="M141" s="203"/>
      <c r="N141" s="203"/>
      <c r="O141" s="203"/>
      <c r="P141" s="185">
        <f t="shared" si="4"/>
        <v>13600</v>
      </c>
      <c r="Q141" s="135"/>
      <c r="R141" s="25"/>
      <c r="S141" s="26"/>
      <c r="T141" s="26"/>
      <c r="U141" s="26"/>
      <c r="V141" s="26" t="s">
        <v>47</v>
      </c>
      <c r="W141" s="58"/>
      <c r="X141" s="325">
        <v>46254</v>
      </c>
      <c r="Y141" s="26" t="s">
        <v>63</v>
      </c>
      <c r="Z141" s="26"/>
      <c r="AA141" s="26"/>
      <c r="AB141" s="26" t="s">
        <v>49</v>
      </c>
      <c r="AC141" s="26"/>
      <c r="AD141" s="254" t="s">
        <v>48</v>
      </c>
      <c r="AE141" s="27"/>
      <c r="AF141" s="24"/>
      <c r="AG141" s="24"/>
      <c r="AH141" s="26"/>
      <c r="AI141" s="26"/>
      <c r="AJ141" s="25"/>
      <c r="AK141" s="26"/>
      <c r="AL141" s="24">
        <v>18</v>
      </c>
      <c r="AM141" s="224" t="s">
        <v>50</v>
      </c>
      <c r="AN141" s="255" t="s">
        <v>51</v>
      </c>
      <c r="AO141" s="131"/>
      <c r="AP141" s="132"/>
    </row>
    <row r="142" spans="1:42" s="28" customFormat="1" ht="15" customHeight="1" x14ac:dyDescent="0.2">
      <c r="A142" s="162">
        <v>46199</v>
      </c>
      <c r="B142" s="133"/>
      <c r="C142" s="274" t="s">
        <v>45</v>
      </c>
      <c r="D142" s="173" t="s">
        <v>55</v>
      </c>
      <c r="E142" s="303">
        <v>886</v>
      </c>
      <c r="F142" s="85">
        <v>6</v>
      </c>
      <c r="G142" s="85">
        <v>20601923778</v>
      </c>
      <c r="H142" s="85" t="s">
        <v>794</v>
      </c>
      <c r="I142" s="24"/>
      <c r="J142" s="24"/>
      <c r="K142" s="199">
        <v>10966</v>
      </c>
      <c r="L142" s="24"/>
      <c r="M142" s="24"/>
      <c r="N142" s="24"/>
      <c r="O142" s="24"/>
      <c r="P142" s="185">
        <f t="shared" si="4"/>
        <v>10966</v>
      </c>
      <c r="Q142" s="135"/>
      <c r="R142" s="25"/>
      <c r="S142" s="26"/>
      <c r="T142" s="26"/>
      <c r="U142" s="26"/>
      <c r="V142" s="26" t="s">
        <v>47</v>
      </c>
      <c r="W142" s="58"/>
      <c r="X142" s="297">
        <f t="shared" si="5"/>
        <v>46199</v>
      </c>
      <c r="Y142" s="26" t="s">
        <v>63</v>
      </c>
      <c r="Z142" s="26"/>
      <c r="AA142" s="26"/>
      <c r="AB142" s="26" t="s">
        <v>49</v>
      </c>
      <c r="AC142" s="26"/>
      <c r="AD142" s="254" t="s">
        <v>48</v>
      </c>
      <c r="AE142" s="27"/>
      <c r="AF142" s="24"/>
      <c r="AG142" s="24"/>
      <c r="AH142" s="26"/>
      <c r="AI142" s="26"/>
      <c r="AJ142" s="25"/>
      <c r="AK142" s="26"/>
      <c r="AL142" s="24">
        <v>18</v>
      </c>
      <c r="AM142" s="224" t="s">
        <v>50</v>
      </c>
      <c r="AN142" s="255" t="s">
        <v>51</v>
      </c>
      <c r="AO142" s="131"/>
      <c r="AP142" s="132"/>
    </row>
    <row r="143" spans="1:42" s="28" customFormat="1" ht="15" customHeight="1" x14ac:dyDescent="0.2">
      <c r="A143" s="162">
        <v>46199</v>
      </c>
      <c r="B143" s="133"/>
      <c r="C143" s="274" t="s">
        <v>45</v>
      </c>
      <c r="D143" s="173" t="s">
        <v>55</v>
      </c>
      <c r="E143" s="303">
        <v>887</v>
      </c>
      <c r="F143" s="85">
        <v>6</v>
      </c>
      <c r="G143" s="85">
        <v>20601923778</v>
      </c>
      <c r="H143" s="85" t="s">
        <v>794</v>
      </c>
      <c r="I143" s="24"/>
      <c r="J143" s="24"/>
      <c r="K143" s="199">
        <v>10966</v>
      </c>
      <c r="L143" s="203"/>
      <c r="M143" s="203"/>
      <c r="N143" s="203"/>
      <c r="O143" s="203"/>
      <c r="P143" s="185">
        <f t="shared" si="4"/>
        <v>10966</v>
      </c>
      <c r="Q143" s="135"/>
      <c r="R143" s="25"/>
      <c r="S143" s="26"/>
      <c r="T143" s="26"/>
      <c r="U143" s="26"/>
      <c r="V143" s="26" t="s">
        <v>47</v>
      </c>
      <c r="W143" s="58"/>
      <c r="X143" s="297">
        <f t="shared" si="5"/>
        <v>46199</v>
      </c>
      <c r="Y143" s="26" t="s">
        <v>63</v>
      </c>
      <c r="Z143" s="26"/>
      <c r="AA143" s="26"/>
      <c r="AB143" s="26" t="s">
        <v>49</v>
      </c>
      <c r="AC143" s="26"/>
      <c r="AD143" s="254" t="s">
        <v>48</v>
      </c>
      <c r="AE143" s="27"/>
      <c r="AF143" s="24"/>
      <c r="AG143" s="24"/>
      <c r="AH143" s="26"/>
      <c r="AI143" s="26"/>
      <c r="AJ143" s="25"/>
      <c r="AK143" s="26"/>
      <c r="AL143" s="24">
        <v>18</v>
      </c>
      <c r="AM143" s="224" t="s">
        <v>50</v>
      </c>
      <c r="AN143" s="255" t="s">
        <v>51</v>
      </c>
      <c r="AO143" s="131"/>
      <c r="AP143" s="132"/>
    </row>
    <row r="144" spans="1:42" s="74" customFormat="1" ht="15.75" customHeight="1" x14ac:dyDescent="0.25">
      <c r="A144" s="73"/>
      <c r="B144" s="146"/>
      <c r="C144" s="276"/>
      <c r="D144" s="176"/>
      <c r="E144" s="262"/>
      <c r="F144" s="176"/>
      <c r="G144" s="176"/>
      <c r="H144" s="176"/>
      <c r="I144" s="176"/>
      <c r="J144" s="176"/>
      <c r="K144" s="176"/>
      <c r="L144" s="176"/>
      <c r="M144" s="176"/>
      <c r="N144" s="176"/>
      <c r="O144" s="176"/>
      <c r="P144" s="176"/>
      <c r="Q144" s="147"/>
      <c r="R144" s="176"/>
      <c r="S144" s="176"/>
      <c r="T144" s="176"/>
      <c r="U144" s="176"/>
      <c r="V144" s="176"/>
      <c r="W144" s="176"/>
      <c r="X144" s="176"/>
      <c r="Y144" s="176"/>
      <c r="Z144" s="176"/>
      <c r="AA144" s="176"/>
      <c r="AB144" s="176"/>
      <c r="AC144" s="176"/>
      <c r="AD144" s="236"/>
      <c r="AE144" s="176"/>
      <c r="AF144" s="176"/>
      <c r="AG144" s="176"/>
      <c r="AH144" s="176"/>
      <c r="AI144" s="176"/>
      <c r="AJ144" s="176"/>
      <c r="AK144" s="176"/>
      <c r="AL144" s="176"/>
      <c r="AM144" s="236"/>
      <c r="AN144" s="236"/>
      <c r="AO144" s="146"/>
      <c r="AP144" s="146"/>
    </row>
    <row r="145" spans="1:42" s="300" customFormat="1" ht="15.75" customHeight="1" x14ac:dyDescent="0.2">
      <c r="A145" s="222">
        <v>46199</v>
      </c>
      <c r="B145" s="298"/>
      <c r="C145" s="277" t="s">
        <v>56</v>
      </c>
      <c r="D145" s="117" t="s">
        <v>53</v>
      </c>
      <c r="E145" s="305">
        <v>180</v>
      </c>
      <c r="F145" s="313" t="s">
        <v>54</v>
      </c>
      <c r="G145" s="117">
        <v>42446575</v>
      </c>
      <c r="H145" s="117" t="s">
        <v>478</v>
      </c>
      <c r="I145" s="299"/>
      <c r="J145" s="299"/>
      <c r="K145" s="211">
        <v>-1020</v>
      </c>
      <c r="L145" s="299"/>
      <c r="M145" s="299"/>
      <c r="N145" s="299"/>
      <c r="O145" s="299"/>
      <c r="P145" s="207">
        <f t="shared" ref="P145:P146" si="6">K145</f>
        <v>-1020</v>
      </c>
      <c r="Q145" s="117"/>
      <c r="R145" s="222">
        <v>46104</v>
      </c>
      <c r="S145" s="277" t="s">
        <v>45</v>
      </c>
      <c r="T145" s="117" t="s">
        <v>79</v>
      </c>
      <c r="U145" s="117">
        <v>7197</v>
      </c>
      <c r="V145" s="69" t="s">
        <v>47</v>
      </c>
      <c r="W145" s="66"/>
      <c r="X145" s="222">
        <v>46199</v>
      </c>
      <c r="Y145" s="69" t="s">
        <v>63</v>
      </c>
      <c r="Z145" s="69"/>
      <c r="AA145" s="69"/>
      <c r="AB145" s="69" t="s">
        <v>49</v>
      </c>
      <c r="AC145" s="69"/>
      <c r="AD145" s="257" t="s">
        <v>48</v>
      </c>
      <c r="AE145" s="86"/>
      <c r="AF145" s="66"/>
      <c r="AG145" s="66"/>
      <c r="AH145" s="69"/>
      <c r="AI145" s="69"/>
      <c r="AJ145" s="68"/>
      <c r="AK145" s="69"/>
      <c r="AL145" s="66">
        <v>18</v>
      </c>
      <c r="AM145" s="238" t="s">
        <v>57</v>
      </c>
      <c r="AN145" s="257" t="s">
        <v>51</v>
      </c>
      <c r="AO145" s="298"/>
      <c r="AP145" s="298"/>
    </row>
    <row r="146" spans="1:42" s="300" customFormat="1" ht="15.75" customHeight="1" x14ac:dyDescent="0.2">
      <c r="A146" s="247">
        <v>46203</v>
      </c>
      <c r="B146" s="298"/>
      <c r="C146" s="277" t="s">
        <v>56</v>
      </c>
      <c r="D146" s="117" t="s">
        <v>53</v>
      </c>
      <c r="E146" s="310">
        <v>181</v>
      </c>
      <c r="F146" s="314" t="s">
        <v>54</v>
      </c>
      <c r="G146" s="240">
        <v>20982872</v>
      </c>
      <c r="H146" s="240" t="s">
        <v>792</v>
      </c>
      <c r="I146" s="299"/>
      <c r="J146" s="299"/>
      <c r="K146" s="248">
        <v>-5650</v>
      </c>
      <c r="L146" s="299"/>
      <c r="M146" s="299"/>
      <c r="N146" s="299"/>
      <c r="O146" s="299"/>
      <c r="P146" s="311">
        <f t="shared" si="6"/>
        <v>-5650</v>
      </c>
      <c r="Q146" s="240"/>
      <c r="R146" s="247">
        <v>46193</v>
      </c>
      <c r="S146" s="277" t="s">
        <v>45</v>
      </c>
      <c r="T146" s="240" t="s">
        <v>79</v>
      </c>
      <c r="U146" s="240">
        <v>7591</v>
      </c>
      <c r="V146" s="69" t="s">
        <v>47</v>
      </c>
      <c r="W146" s="66"/>
      <c r="X146" s="247">
        <v>46203</v>
      </c>
      <c r="Y146" s="69" t="s">
        <v>63</v>
      </c>
      <c r="Z146" s="69"/>
      <c r="AA146" s="69"/>
      <c r="AB146" s="69" t="s">
        <v>49</v>
      </c>
      <c r="AC146" s="69"/>
      <c r="AD146" s="257" t="s">
        <v>48</v>
      </c>
      <c r="AE146" s="86"/>
      <c r="AF146" s="66"/>
      <c r="AG146" s="66"/>
      <c r="AH146" s="69"/>
      <c r="AI146" s="69"/>
      <c r="AJ146" s="68"/>
      <c r="AK146" s="69"/>
      <c r="AL146" s="66">
        <v>18</v>
      </c>
      <c r="AM146" s="238" t="s">
        <v>57</v>
      </c>
      <c r="AN146" s="257" t="s">
        <v>51</v>
      </c>
      <c r="AO146" s="298"/>
      <c r="AP146" s="298"/>
    </row>
    <row r="147" spans="1:42" s="74" customFormat="1" ht="15.75" customHeight="1" x14ac:dyDescent="0.25">
      <c r="A147" s="73"/>
      <c r="B147" s="146"/>
      <c r="C147" s="276"/>
      <c r="D147" s="176"/>
      <c r="E147" s="262"/>
      <c r="F147" s="176"/>
      <c r="G147" s="262"/>
      <c r="H147" s="176"/>
      <c r="I147" s="176"/>
      <c r="J147" s="176"/>
      <c r="K147" s="176"/>
      <c r="L147" s="176"/>
      <c r="M147" s="176"/>
      <c r="N147" s="176"/>
      <c r="O147" s="176"/>
      <c r="P147" s="176"/>
      <c r="Q147" s="147"/>
      <c r="R147" s="176"/>
      <c r="S147" s="176"/>
      <c r="T147" s="176"/>
      <c r="U147" s="176"/>
      <c r="V147" s="176"/>
      <c r="W147" s="176"/>
      <c r="X147" s="73"/>
      <c r="Y147" s="176"/>
      <c r="Z147" s="176"/>
      <c r="AA147" s="176"/>
      <c r="AB147" s="176"/>
      <c r="AC147" s="176"/>
      <c r="AD147" s="236"/>
      <c r="AE147" s="176"/>
      <c r="AF147" s="176"/>
      <c r="AG147" s="176"/>
      <c r="AH147" s="176"/>
      <c r="AI147" s="176"/>
      <c r="AJ147" s="176"/>
      <c r="AK147" s="176"/>
      <c r="AL147" s="176"/>
      <c r="AM147" s="236"/>
      <c r="AN147" s="236"/>
      <c r="AO147" s="146"/>
      <c r="AP147" s="146"/>
    </row>
    <row r="148" spans="1:42" s="70" customFormat="1" ht="15" customHeight="1" x14ac:dyDescent="0.2">
      <c r="A148" s="247">
        <v>46174</v>
      </c>
      <c r="B148" s="148"/>
      <c r="C148" s="277" t="s">
        <v>56</v>
      </c>
      <c r="D148" s="177" t="s">
        <v>55</v>
      </c>
      <c r="E148" s="305">
        <v>141</v>
      </c>
      <c r="F148" s="240">
        <v>6</v>
      </c>
      <c r="G148" s="240">
        <v>20568718454</v>
      </c>
      <c r="H148" s="240" t="s">
        <v>662</v>
      </c>
      <c r="I148" s="66"/>
      <c r="J148" s="66"/>
      <c r="K148" s="248">
        <v>-182752</v>
      </c>
      <c r="L148" s="208"/>
      <c r="M148" s="208"/>
      <c r="N148" s="208"/>
      <c r="O148" s="208"/>
      <c r="P148" s="209">
        <f>K148</f>
        <v>-182752</v>
      </c>
      <c r="Q148" s="240"/>
      <c r="R148" s="247">
        <v>46153</v>
      </c>
      <c r="S148" s="277" t="s">
        <v>45</v>
      </c>
      <c r="T148" s="240" t="s">
        <v>78</v>
      </c>
      <c r="U148" s="240">
        <v>873</v>
      </c>
      <c r="V148" s="69" t="s">
        <v>47</v>
      </c>
      <c r="W148" s="66"/>
      <c r="X148" s="247">
        <v>46174</v>
      </c>
      <c r="Y148" s="69" t="s">
        <v>63</v>
      </c>
      <c r="Z148" s="69"/>
      <c r="AA148" s="69"/>
      <c r="AB148" s="69" t="s">
        <v>49</v>
      </c>
      <c r="AC148" s="69"/>
      <c r="AD148" s="257" t="s">
        <v>48</v>
      </c>
      <c r="AE148" s="86"/>
      <c r="AF148" s="66"/>
      <c r="AG148" s="66"/>
      <c r="AH148" s="69"/>
      <c r="AI148" s="69"/>
      <c r="AJ148" s="68"/>
      <c r="AK148" s="69"/>
      <c r="AL148" s="66">
        <v>18</v>
      </c>
      <c r="AM148" s="238" t="s">
        <v>57</v>
      </c>
      <c r="AN148" s="257" t="s">
        <v>51</v>
      </c>
      <c r="AO148" s="152"/>
      <c r="AP148" s="149"/>
    </row>
    <row r="149" spans="1:42" s="70" customFormat="1" ht="15" customHeight="1" x14ac:dyDescent="0.2">
      <c r="A149" s="247">
        <v>46184</v>
      </c>
      <c r="B149" s="148"/>
      <c r="C149" s="277" t="s">
        <v>56</v>
      </c>
      <c r="D149" s="177" t="s">
        <v>55</v>
      </c>
      <c r="E149" s="305">
        <v>142</v>
      </c>
      <c r="F149" s="240">
        <v>6</v>
      </c>
      <c r="G149" s="240">
        <v>20568718454</v>
      </c>
      <c r="H149" s="240" t="s">
        <v>662</v>
      </c>
      <c r="I149" s="66"/>
      <c r="J149" s="66"/>
      <c r="K149" s="248">
        <v>-114220</v>
      </c>
      <c r="L149" s="208"/>
      <c r="M149" s="208"/>
      <c r="N149" s="208"/>
      <c r="O149" s="208"/>
      <c r="P149" s="209">
        <f>K149</f>
        <v>-114220</v>
      </c>
      <c r="Q149" s="240"/>
      <c r="R149" s="247">
        <v>46178</v>
      </c>
      <c r="S149" s="277" t="s">
        <v>45</v>
      </c>
      <c r="T149" s="240" t="s">
        <v>78</v>
      </c>
      <c r="U149" s="240">
        <v>880</v>
      </c>
      <c r="V149" s="69" t="s">
        <v>47</v>
      </c>
      <c r="W149" s="66"/>
      <c r="X149" s="247">
        <v>46184</v>
      </c>
      <c r="Y149" s="69" t="s">
        <v>63</v>
      </c>
      <c r="Z149" s="69"/>
      <c r="AA149" s="69"/>
      <c r="AB149" s="69" t="s">
        <v>49</v>
      </c>
      <c r="AC149" s="69"/>
      <c r="AD149" s="257" t="s">
        <v>48</v>
      </c>
      <c r="AE149" s="86"/>
      <c r="AF149" s="66"/>
      <c r="AG149" s="66"/>
      <c r="AH149" s="69"/>
      <c r="AI149" s="69"/>
      <c r="AJ149" s="68"/>
      <c r="AK149" s="69"/>
      <c r="AL149" s="66">
        <v>18</v>
      </c>
      <c r="AM149" s="238" t="s">
        <v>57</v>
      </c>
      <c r="AN149" s="257" t="s">
        <v>51</v>
      </c>
      <c r="AO149" s="152"/>
      <c r="AP149" s="149"/>
    </row>
    <row r="150" spans="1:42" s="74" customFormat="1" ht="15.75" customHeight="1" x14ac:dyDescent="0.25">
      <c r="A150" s="73"/>
      <c r="B150" s="146"/>
      <c r="C150" s="276"/>
      <c r="D150" s="176"/>
      <c r="E150" s="262"/>
      <c r="F150" s="176"/>
      <c r="G150" s="262"/>
      <c r="H150" s="176"/>
      <c r="I150" s="176"/>
      <c r="J150" s="176"/>
      <c r="K150" s="176"/>
      <c r="L150" s="176"/>
      <c r="M150" s="176"/>
      <c r="N150" s="176"/>
      <c r="O150" s="176"/>
      <c r="P150" s="176"/>
      <c r="Q150" s="147"/>
      <c r="R150" s="176"/>
      <c r="S150" s="176"/>
      <c r="T150" s="176"/>
      <c r="U150" s="176"/>
      <c r="V150" s="176"/>
      <c r="W150" s="176"/>
      <c r="X150" s="176"/>
      <c r="Y150" s="176"/>
      <c r="Z150" s="176"/>
      <c r="AA150" s="176"/>
      <c r="AB150" s="176"/>
      <c r="AC150" s="176"/>
      <c r="AD150" s="236"/>
      <c r="AE150" s="176"/>
      <c r="AF150" s="176"/>
      <c r="AG150" s="176"/>
      <c r="AH150" s="176"/>
      <c r="AI150" s="176"/>
      <c r="AJ150" s="176"/>
      <c r="AK150" s="176"/>
      <c r="AL150" s="176"/>
      <c r="AM150" s="236"/>
      <c r="AN150" s="236"/>
      <c r="AO150" s="146"/>
      <c r="AP150" s="146"/>
    </row>
    <row r="151" spans="1:42" s="36" customFormat="1" ht="15.75" customHeight="1" x14ac:dyDescent="0.2">
      <c r="A151" s="222">
        <v>46195</v>
      </c>
      <c r="B151" s="151"/>
      <c r="C151" s="278" t="s">
        <v>58</v>
      </c>
      <c r="D151" s="221" t="s">
        <v>53</v>
      </c>
      <c r="E151" s="305">
        <v>524</v>
      </c>
      <c r="F151" s="313" t="s">
        <v>60</v>
      </c>
      <c r="G151" s="117">
        <v>74318396</v>
      </c>
      <c r="H151" s="117" t="s">
        <v>676</v>
      </c>
      <c r="I151" s="32"/>
      <c r="J151" s="32"/>
      <c r="K151" s="211">
        <v>105.66</v>
      </c>
      <c r="L151" s="210"/>
      <c r="M151" s="210"/>
      <c r="N151" s="210"/>
      <c r="O151" s="210"/>
      <c r="P151" s="207">
        <f t="shared" ref="P151:P167" si="7">K151</f>
        <v>105.66</v>
      </c>
      <c r="Q151" s="240"/>
      <c r="R151" s="222">
        <v>46009</v>
      </c>
      <c r="S151" s="277" t="s">
        <v>52</v>
      </c>
      <c r="T151" s="324" t="s">
        <v>79</v>
      </c>
      <c r="U151" s="117">
        <v>6850</v>
      </c>
      <c r="V151" s="33" t="s">
        <v>47</v>
      </c>
      <c r="W151" s="32"/>
      <c r="X151" s="222">
        <v>46195</v>
      </c>
      <c r="Y151" s="69" t="s">
        <v>63</v>
      </c>
      <c r="Z151" s="33"/>
      <c r="AA151" s="33"/>
      <c r="AB151" s="33" t="s">
        <v>66</v>
      </c>
      <c r="AC151" s="33"/>
      <c r="AD151" s="258" t="s">
        <v>48</v>
      </c>
      <c r="AE151" s="34"/>
      <c r="AF151" s="32"/>
      <c r="AG151" s="32"/>
      <c r="AH151" s="33"/>
      <c r="AI151" s="33"/>
      <c r="AJ151" s="29"/>
      <c r="AK151" s="33"/>
      <c r="AL151" s="32">
        <v>18</v>
      </c>
      <c r="AM151" s="221" t="s">
        <v>810</v>
      </c>
      <c r="AN151" s="258" t="s">
        <v>51</v>
      </c>
      <c r="AO151" s="138"/>
      <c r="AP151" s="139"/>
    </row>
    <row r="152" spans="1:42" s="36" customFormat="1" ht="15.75" customHeight="1" x14ac:dyDescent="0.2">
      <c r="A152" s="222">
        <v>46195</v>
      </c>
      <c r="B152" s="151"/>
      <c r="C152" s="278" t="s">
        <v>58</v>
      </c>
      <c r="D152" s="221" t="s">
        <v>53</v>
      </c>
      <c r="E152" s="305">
        <v>525</v>
      </c>
      <c r="F152" s="313" t="s">
        <v>60</v>
      </c>
      <c r="G152" s="117">
        <v>20992961</v>
      </c>
      <c r="H152" s="117" t="s">
        <v>795</v>
      </c>
      <c r="I152" s="32"/>
      <c r="J152" s="32"/>
      <c r="K152" s="211">
        <v>453.68</v>
      </c>
      <c r="L152" s="210"/>
      <c r="M152" s="210"/>
      <c r="N152" s="210"/>
      <c r="O152" s="210"/>
      <c r="P152" s="207">
        <f t="shared" si="7"/>
        <v>453.68</v>
      </c>
      <c r="Q152" s="240"/>
      <c r="R152" s="222">
        <v>45846</v>
      </c>
      <c r="S152" s="277" t="s">
        <v>52</v>
      </c>
      <c r="T152" s="324" t="s">
        <v>79</v>
      </c>
      <c r="U152" s="117">
        <v>6083</v>
      </c>
      <c r="V152" s="33" t="s">
        <v>47</v>
      </c>
      <c r="W152" s="32"/>
      <c r="X152" s="222">
        <v>46195</v>
      </c>
      <c r="Y152" s="69" t="s">
        <v>63</v>
      </c>
      <c r="Z152" s="33"/>
      <c r="AA152" s="33"/>
      <c r="AB152" s="33" t="s">
        <v>66</v>
      </c>
      <c r="AC152" s="33"/>
      <c r="AD152" s="258" t="s">
        <v>48</v>
      </c>
      <c r="AE152" s="34"/>
      <c r="AF152" s="32"/>
      <c r="AG152" s="32"/>
      <c r="AH152" s="33"/>
      <c r="AI152" s="33"/>
      <c r="AJ152" s="29"/>
      <c r="AK152" s="33"/>
      <c r="AL152" s="32">
        <v>18</v>
      </c>
      <c r="AM152" s="221" t="s">
        <v>810</v>
      </c>
      <c r="AN152" s="258" t="s">
        <v>51</v>
      </c>
      <c r="AO152" s="138"/>
      <c r="AP152" s="139"/>
    </row>
    <row r="153" spans="1:42" s="36" customFormat="1" ht="15.75" customHeight="1" x14ac:dyDescent="0.2">
      <c r="A153" s="222">
        <v>46195</v>
      </c>
      <c r="B153" s="151"/>
      <c r="C153" s="278" t="s">
        <v>58</v>
      </c>
      <c r="D153" s="221" t="s">
        <v>53</v>
      </c>
      <c r="E153" s="305">
        <v>526</v>
      </c>
      <c r="F153" s="313" t="s">
        <v>60</v>
      </c>
      <c r="G153" s="117">
        <v>48501613</v>
      </c>
      <c r="H153" s="117" t="s">
        <v>796</v>
      </c>
      <c r="I153" s="32"/>
      <c r="J153" s="32"/>
      <c r="K153" s="211">
        <v>21</v>
      </c>
      <c r="L153" s="210"/>
      <c r="M153" s="210"/>
      <c r="N153" s="210"/>
      <c r="O153" s="210"/>
      <c r="P153" s="207">
        <f t="shared" si="7"/>
        <v>21</v>
      </c>
      <c r="Q153" s="240"/>
      <c r="R153" s="222">
        <v>46095</v>
      </c>
      <c r="S153" s="277" t="s">
        <v>52</v>
      </c>
      <c r="T153" s="324" t="s">
        <v>79</v>
      </c>
      <c r="U153" s="117">
        <v>7165</v>
      </c>
      <c r="V153" s="33" t="s">
        <v>47</v>
      </c>
      <c r="W153" s="32"/>
      <c r="X153" s="222">
        <v>46195</v>
      </c>
      <c r="Y153" s="69" t="s">
        <v>63</v>
      </c>
      <c r="Z153" s="33"/>
      <c r="AA153" s="33"/>
      <c r="AB153" s="33" t="s">
        <v>66</v>
      </c>
      <c r="AC153" s="33"/>
      <c r="AD153" s="258" t="s">
        <v>48</v>
      </c>
      <c r="AE153" s="34"/>
      <c r="AF153" s="32"/>
      <c r="AG153" s="32"/>
      <c r="AH153" s="33"/>
      <c r="AI153" s="33"/>
      <c r="AJ153" s="29"/>
      <c r="AK153" s="33"/>
      <c r="AL153" s="32">
        <v>18</v>
      </c>
      <c r="AM153" s="221" t="s">
        <v>714</v>
      </c>
      <c r="AN153" s="258" t="s">
        <v>51</v>
      </c>
      <c r="AO153" s="138"/>
      <c r="AP153" s="139"/>
    </row>
    <row r="154" spans="1:42" s="36" customFormat="1" ht="15.75" customHeight="1" x14ac:dyDescent="0.2">
      <c r="A154" s="222">
        <v>46195</v>
      </c>
      <c r="B154" s="151"/>
      <c r="C154" s="278" t="s">
        <v>58</v>
      </c>
      <c r="D154" s="221" t="s">
        <v>53</v>
      </c>
      <c r="E154" s="305">
        <v>527</v>
      </c>
      <c r="F154" s="313" t="s">
        <v>60</v>
      </c>
      <c r="G154" s="117">
        <v>20962819</v>
      </c>
      <c r="H154" s="117" t="s">
        <v>797</v>
      </c>
      <c r="I154" s="32"/>
      <c r="J154" s="32"/>
      <c r="K154" s="211">
        <v>87</v>
      </c>
      <c r="L154" s="210"/>
      <c r="M154" s="210"/>
      <c r="N154" s="210"/>
      <c r="O154" s="210"/>
      <c r="P154" s="207">
        <f t="shared" si="7"/>
        <v>87</v>
      </c>
      <c r="Q154" s="240"/>
      <c r="R154" s="222">
        <v>45911</v>
      </c>
      <c r="S154" s="277" t="s">
        <v>52</v>
      </c>
      <c r="T154" s="324" t="s">
        <v>79</v>
      </c>
      <c r="U154" s="117">
        <v>6388</v>
      </c>
      <c r="V154" s="33" t="s">
        <v>47</v>
      </c>
      <c r="W154" s="32"/>
      <c r="X154" s="222">
        <v>46195</v>
      </c>
      <c r="Y154" s="69" t="s">
        <v>63</v>
      </c>
      <c r="Z154" s="33"/>
      <c r="AA154" s="33"/>
      <c r="AB154" s="33" t="s">
        <v>66</v>
      </c>
      <c r="AC154" s="33"/>
      <c r="AD154" s="258" t="s">
        <v>48</v>
      </c>
      <c r="AE154" s="34"/>
      <c r="AF154" s="32"/>
      <c r="AG154" s="32"/>
      <c r="AH154" s="33"/>
      <c r="AI154" s="33"/>
      <c r="AJ154" s="29"/>
      <c r="AK154" s="33"/>
      <c r="AL154" s="32">
        <v>18</v>
      </c>
      <c r="AM154" s="221" t="s">
        <v>810</v>
      </c>
      <c r="AN154" s="258" t="s">
        <v>51</v>
      </c>
      <c r="AO154" s="138"/>
      <c r="AP154" s="139"/>
    </row>
    <row r="155" spans="1:42" s="36" customFormat="1" ht="15.75" customHeight="1" x14ac:dyDescent="0.2">
      <c r="A155" s="222">
        <v>46195</v>
      </c>
      <c r="B155" s="151"/>
      <c r="C155" s="278" t="s">
        <v>58</v>
      </c>
      <c r="D155" s="221" t="s">
        <v>53</v>
      </c>
      <c r="E155" s="305">
        <v>528</v>
      </c>
      <c r="F155" s="313" t="s">
        <v>60</v>
      </c>
      <c r="G155" s="117">
        <v>72977485</v>
      </c>
      <c r="H155" s="117" t="s">
        <v>616</v>
      </c>
      <c r="I155" s="32"/>
      <c r="J155" s="32"/>
      <c r="K155" s="211">
        <v>230.33</v>
      </c>
      <c r="L155" s="210"/>
      <c r="M155" s="210"/>
      <c r="N155" s="210"/>
      <c r="O155" s="210"/>
      <c r="P155" s="207">
        <f t="shared" si="7"/>
        <v>230.33</v>
      </c>
      <c r="Q155" s="240"/>
      <c r="R155" s="222">
        <v>46149</v>
      </c>
      <c r="S155" s="277" t="s">
        <v>52</v>
      </c>
      <c r="T155" s="324" t="s">
        <v>79</v>
      </c>
      <c r="U155" s="117">
        <v>7398</v>
      </c>
      <c r="V155" s="33" t="s">
        <v>47</v>
      </c>
      <c r="W155" s="32"/>
      <c r="X155" s="222">
        <v>46195</v>
      </c>
      <c r="Y155" s="69" t="s">
        <v>63</v>
      </c>
      <c r="Z155" s="33"/>
      <c r="AA155" s="33"/>
      <c r="AB155" s="33" t="s">
        <v>66</v>
      </c>
      <c r="AC155" s="33"/>
      <c r="AD155" s="258" t="s">
        <v>48</v>
      </c>
      <c r="AE155" s="34"/>
      <c r="AF155" s="32"/>
      <c r="AG155" s="32"/>
      <c r="AH155" s="33"/>
      <c r="AI155" s="33"/>
      <c r="AJ155" s="29"/>
      <c r="AK155" s="33"/>
      <c r="AL155" s="32">
        <v>18</v>
      </c>
      <c r="AM155" s="221" t="s">
        <v>719</v>
      </c>
      <c r="AN155" s="258" t="s">
        <v>51</v>
      </c>
      <c r="AO155" s="138"/>
      <c r="AP155" s="139"/>
    </row>
    <row r="156" spans="1:42" s="36" customFormat="1" ht="15.75" customHeight="1" x14ac:dyDescent="0.2">
      <c r="A156" s="222">
        <v>46195</v>
      </c>
      <c r="B156" s="151"/>
      <c r="C156" s="278" t="s">
        <v>58</v>
      </c>
      <c r="D156" s="221" t="s">
        <v>53</v>
      </c>
      <c r="E156" s="305">
        <v>529</v>
      </c>
      <c r="F156" s="313" t="s">
        <v>60</v>
      </c>
      <c r="G156" s="117">
        <v>77062686</v>
      </c>
      <c r="H156" s="117" t="s">
        <v>642</v>
      </c>
      <c r="I156" s="32"/>
      <c r="J156" s="32"/>
      <c r="K156" s="211">
        <v>6</v>
      </c>
      <c r="L156" s="210"/>
      <c r="M156" s="210"/>
      <c r="N156" s="210"/>
      <c r="O156" s="210"/>
      <c r="P156" s="207">
        <f t="shared" si="7"/>
        <v>6</v>
      </c>
      <c r="Q156" s="240"/>
      <c r="R156" s="222">
        <v>46155</v>
      </c>
      <c r="S156" s="277" t="s">
        <v>52</v>
      </c>
      <c r="T156" s="324" t="s">
        <v>79</v>
      </c>
      <c r="U156" s="117">
        <v>7438</v>
      </c>
      <c r="V156" s="33" t="s">
        <v>47</v>
      </c>
      <c r="W156" s="32"/>
      <c r="X156" s="222">
        <v>46195</v>
      </c>
      <c r="Y156" s="69" t="s">
        <v>63</v>
      </c>
      <c r="Z156" s="33"/>
      <c r="AA156" s="33"/>
      <c r="AB156" s="33" t="s">
        <v>66</v>
      </c>
      <c r="AC156" s="33"/>
      <c r="AD156" s="258" t="s">
        <v>48</v>
      </c>
      <c r="AE156" s="34"/>
      <c r="AF156" s="32"/>
      <c r="AG156" s="32"/>
      <c r="AH156" s="33"/>
      <c r="AI156" s="33"/>
      <c r="AJ156" s="29"/>
      <c r="AK156" s="33"/>
      <c r="AL156" s="32">
        <v>18</v>
      </c>
      <c r="AM156" s="221" t="s">
        <v>714</v>
      </c>
      <c r="AN156" s="258" t="s">
        <v>51</v>
      </c>
      <c r="AO156" s="138"/>
      <c r="AP156" s="139"/>
    </row>
    <row r="157" spans="1:42" s="36" customFormat="1" ht="15.75" customHeight="1" x14ac:dyDescent="0.2">
      <c r="A157" s="222">
        <v>46196</v>
      </c>
      <c r="B157" s="151"/>
      <c r="C157" s="278" t="s">
        <v>58</v>
      </c>
      <c r="D157" s="221" t="s">
        <v>53</v>
      </c>
      <c r="E157" s="305">
        <v>530</v>
      </c>
      <c r="F157" s="313" t="s">
        <v>60</v>
      </c>
      <c r="G157" s="117">
        <v>61055416</v>
      </c>
      <c r="H157" s="117" t="s">
        <v>715</v>
      </c>
      <c r="I157" s="32"/>
      <c r="J157" s="32"/>
      <c r="K157" s="211">
        <v>212</v>
      </c>
      <c r="L157" s="210"/>
      <c r="M157" s="210"/>
      <c r="N157" s="210"/>
      <c r="O157" s="210"/>
      <c r="P157" s="207">
        <f t="shared" si="7"/>
        <v>212</v>
      </c>
      <c r="Q157" s="240"/>
      <c r="R157" s="222">
        <v>46067</v>
      </c>
      <c r="S157" s="277" t="s">
        <v>52</v>
      </c>
      <c r="T157" s="324" t="s">
        <v>79</v>
      </c>
      <c r="U157" s="117">
        <v>7069</v>
      </c>
      <c r="V157" s="33" t="s">
        <v>47</v>
      </c>
      <c r="W157" s="32"/>
      <c r="X157" s="222">
        <v>46196</v>
      </c>
      <c r="Y157" s="69" t="s">
        <v>63</v>
      </c>
      <c r="Z157" s="33"/>
      <c r="AA157" s="33"/>
      <c r="AB157" s="33" t="s">
        <v>66</v>
      </c>
      <c r="AC157" s="33"/>
      <c r="AD157" s="258" t="s">
        <v>48</v>
      </c>
      <c r="AE157" s="34"/>
      <c r="AF157" s="32"/>
      <c r="AG157" s="32"/>
      <c r="AH157" s="33"/>
      <c r="AI157" s="33"/>
      <c r="AJ157" s="29"/>
      <c r="AK157" s="33"/>
      <c r="AL157" s="32">
        <v>18</v>
      </c>
      <c r="AM157" s="221" t="s">
        <v>810</v>
      </c>
      <c r="AN157" s="258" t="s">
        <v>51</v>
      </c>
      <c r="AO157" s="138"/>
      <c r="AP157" s="139"/>
    </row>
    <row r="158" spans="1:42" s="36" customFormat="1" ht="15.75" customHeight="1" x14ac:dyDescent="0.2">
      <c r="A158" s="222">
        <v>46196</v>
      </c>
      <c r="B158" s="151"/>
      <c r="C158" s="278" t="s">
        <v>58</v>
      </c>
      <c r="D158" s="221" t="s">
        <v>53</v>
      </c>
      <c r="E158" s="305">
        <v>531</v>
      </c>
      <c r="F158" s="313" t="s">
        <v>60</v>
      </c>
      <c r="G158" s="117">
        <v>48149321</v>
      </c>
      <c r="H158" s="117" t="s">
        <v>798</v>
      </c>
      <c r="I158" s="32"/>
      <c r="J158" s="32"/>
      <c r="K158" s="211">
        <v>151.66999999999999</v>
      </c>
      <c r="L158" s="210"/>
      <c r="M158" s="210"/>
      <c r="N158" s="210"/>
      <c r="O158" s="210"/>
      <c r="P158" s="207">
        <f t="shared" si="7"/>
        <v>151.66999999999999</v>
      </c>
      <c r="Q158" s="240"/>
      <c r="R158" s="222">
        <v>46155</v>
      </c>
      <c r="S158" s="277" t="s">
        <v>52</v>
      </c>
      <c r="T158" s="324" t="s">
        <v>79</v>
      </c>
      <c r="U158" s="117">
        <v>7436</v>
      </c>
      <c r="V158" s="33" t="s">
        <v>47</v>
      </c>
      <c r="W158" s="32"/>
      <c r="X158" s="222">
        <v>46196</v>
      </c>
      <c r="Y158" s="69" t="s">
        <v>63</v>
      </c>
      <c r="Z158" s="33"/>
      <c r="AA158" s="33"/>
      <c r="AB158" s="33" t="s">
        <v>66</v>
      </c>
      <c r="AC158" s="33"/>
      <c r="AD158" s="258" t="s">
        <v>48</v>
      </c>
      <c r="AE158" s="34"/>
      <c r="AF158" s="32"/>
      <c r="AG158" s="32"/>
      <c r="AH158" s="33"/>
      <c r="AI158" s="33"/>
      <c r="AJ158" s="29"/>
      <c r="AK158" s="33"/>
      <c r="AL158" s="32">
        <v>18</v>
      </c>
      <c r="AM158" s="221" t="s">
        <v>719</v>
      </c>
      <c r="AN158" s="258" t="s">
        <v>51</v>
      </c>
      <c r="AO158" s="138"/>
      <c r="AP158" s="139"/>
    </row>
    <row r="159" spans="1:42" s="36" customFormat="1" ht="15.75" customHeight="1" x14ac:dyDescent="0.2">
      <c r="A159" s="222">
        <v>46196</v>
      </c>
      <c r="B159" s="151"/>
      <c r="C159" s="278" t="s">
        <v>58</v>
      </c>
      <c r="D159" s="221" t="s">
        <v>53</v>
      </c>
      <c r="E159" s="305">
        <v>532</v>
      </c>
      <c r="F159" s="313" t="s">
        <v>60</v>
      </c>
      <c r="G159" s="117">
        <v>72259369</v>
      </c>
      <c r="H159" s="117" t="s">
        <v>625</v>
      </c>
      <c r="I159" s="32"/>
      <c r="J159" s="32"/>
      <c r="K159" s="211">
        <v>21</v>
      </c>
      <c r="L159" s="210"/>
      <c r="M159" s="210"/>
      <c r="N159" s="210"/>
      <c r="O159" s="210"/>
      <c r="P159" s="207">
        <f t="shared" si="7"/>
        <v>21</v>
      </c>
      <c r="Q159" s="240"/>
      <c r="R159" s="222">
        <v>46151</v>
      </c>
      <c r="S159" s="277" t="s">
        <v>52</v>
      </c>
      <c r="T159" s="324" t="s">
        <v>79</v>
      </c>
      <c r="U159" s="117">
        <v>7411</v>
      </c>
      <c r="V159" s="33" t="s">
        <v>47</v>
      </c>
      <c r="W159" s="32"/>
      <c r="X159" s="222">
        <v>46196</v>
      </c>
      <c r="Y159" s="69" t="s">
        <v>63</v>
      </c>
      <c r="Z159" s="33"/>
      <c r="AA159" s="33"/>
      <c r="AB159" s="33" t="s">
        <v>66</v>
      </c>
      <c r="AC159" s="33"/>
      <c r="AD159" s="258" t="s">
        <v>48</v>
      </c>
      <c r="AE159" s="34"/>
      <c r="AF159" s="32"/>
      <c r="AG159" s="32"/>
      <c r="AH159" s="33"/>
      <c r="AI159" s="33"/>
      <c r="AJ159" s="29"/>
      <c r="AK159" s="33"/>
      <c r="AL159" s="32">
        <v>18</v>
      </c>
      <c r="AM159" s="221" t="s">
        <v>714</v>
      </c>
      <c r="AN159" s="258" t="s">
        <v>51</v>
      </c>
      <c r="AO159" s="138"/>
      <c r="AP159" s="139"/>
    </row>
    <row r="160" spans="1:42" s="36" customFormat="1" ht="15.75" customHeight="1" x14ac:dyDescent="0.2">
      <c r="A160" s="222">
        <v>46196</v>
      </c>
      <c r="B160" s="151"/>
      <c r="C160" s="278" t="s">
        <v>58</v>
      </c>
      <c r="D160" s="221" t="s">
        <v>53</v>
      </c>
      <c r="E160" s="305">
        <v>533</v>
      </c>
      <c r="F160" s="313" t="s">
        <v>60</v>
      </c>
      <c r="G160" s="117">
        <v>76515322</v>
      </c>
      <c r="H160" s="117" t="s">
        <v>717</v>
      </c>
      <c r="I160" s="32"/>
      <c r="J160" s="32"/>
      <c r="K160" s="211">
        <v>217.5</v>
      </c>
      <c r="L160" s="210"/>
      <c r="M160" s="210"/>
      <c r="N160" s="210"/>
      <c r="O160" s="210"/>
      <c r="P160" s="207">
        <f t="shared" si="7"/>
        <v>217.5</v>
      </c>
      <c r="Q160" s="240"/>
      <c r="R160" s="222">
        <v>46130</v>
      </c>
      <c r="S160" s="277" t="s">
        <v>52</v>
      </c>
      <c r="T160" s="324" t="s">
        <v>79</v>
      </c>
      <c r="U160" s="117">
        <v>7308</v>
      </c>
      <c r="V160" s="33" t="s">
        <v>47</v>
      </c>
      <c r="W160" s="32"/>
      <c r="X160" s="222">
        <v>46196</v>
      </c>
      <c r="Y160" s="69" t="s">
        <v>63</v>
      </c>
      <c r="Z160" s="33"/>
      <c r="AA160" s="33"/>
      <c r="AB160" s="33" t="s">
        <v>66</v>
      </c>
      <c r="AC160" s="33"/>
      <c r="AD160" s="258" t="s">
        <v>48</v>
      </c>
      <c r="AE160" s="34"/>
      <c r="AF160" s="32"/>
      <c r="AG160" s="32"/>
      <c r="AH160" s="33"/>
      <c r="AI160" s="33"/>
      <c r="AJ160" s="29"/>
      <c r="AK160" s="33"/>
      <c r="AL160" s="32">
        <v>18</v>
      </c>
      <c r="AM160" s="221" t="s">
        <v>670</v>
      </c>
      <c r="AN160" s="258" t="s">
        <v>51</v>
      </c>
      <c r="AO160" s="138"/>
      <c r="AP160" s="139"/>
    </row>
    <row r="161" spans="1:48" s="36" customFormat="1" ht="15.75" customHeight="1" x14ac:dyDescent="0.2">
      <c r="A161" s="222">
        <v>46196</v>
      </c>
      <c r="B161" s="151"/>
      <c r="C161" s="278" t="s">
        <v>58</v>
      </c>
      <c r="D161" s="221" t="s">
        <v>53</v>
      </c>
      <c r="E161" s="305">
        <v>534</v>
      </c>
      <c r="F161" s="313" t="s">
        <v>60</v>
      </c>
      <c r="G161" s="117">
        <v>71659238</v>
      </c>
      <c r="H161" s="117" t="s">
        <v>709</v>
      </c>
      <c r="I161" s="32"/>
      <c r="J161" s="32"/>
      <c r="K161" s="211">
        <v>101</v>
      </c>
      <c r="L161" s="210"/>
      <c r="M161" s="210"/>
      <c r="N161" s="210"/>
      <c r="O161" s="210"/>
      <c r="P161" s="207">
        <f t="shared" si="7"/>
        <v>101</v>
      </c>
      <c r="Q161" s="240"/>
      <c r="R161" s="222">
        <v>46140</v>
      </c>
      <c r="S161" s="277" t="s">
        <v>52</v>
      </c>
      <c r="T161" s="324" t="s">
        <v>79</v>
      </c>
      <c r="U161" s="117">
        <v>7346</v>
      </c>
      <c r="V161" s="33" t="s">
        <v>47</v>
      </c>
      <c r="W161" s="32"/>
      <c r="X161" s="222">
        <v>46196</v>
      </c>
      <c r="Y161" s="69" t="s">
        <v>63</v>
      </c>
      <c r="Z161" s="33"/>
      <c r="AA161" s="33"/>
      <c r="AB161" s="33" t="s">
        <v>66</v>
      </c>
      <c r="AC161" s="33"/>
      <c r="AD161" s="258" t="s">
        <v>48</v>
      </c>
      <c r="AE161" s="34"/>
      <c r="AF161" s="32"/>
      <c r="AG161" s="32"/>
      <c r="AH161" s="33"/>
      <c r="AI161" s="33"/>
      <c r="AJ161" s="29"/>
      <c r="AK161" s="33"/>
      <c r="AL161" s="32">
        <v>18</v>
      </c>
      <c r="AM161" s="221" t="s">
        <v>714</v>
      </c>
      <c r="AN161" s="258" t="s">
        <v>51</v>
      </c>
      <c r="AO161" s="138"/>
      <c r="AP161" s="139"/>
    </row>
    <row r="162" spans="1:48" s="36" customFormat="1" ht="15.75" customHeight="1" x14ac:dyDescent="0.2">
      <c r="A162" s="222">
        <v>46197</v>
      </c>
      <c r="B162" s="151"/>
      <c r="C162" s="278" t="s">
        <v>58</v>
      </c>
      <c r="D162" s="221" t="s">
        <v>53</v>
      </c>
      <c r="E162" s="305">
        <v>535</v>
      </c>
      <c r="F162" s="313" t="s">
        <v>60</v>
      </c>
      <c r="G162" s="117">
        <v>73682943</v>
      </c>
      <c r="H162" s="117" t="s">
        <v>725</v>
      </c>
      <c r="I162" s="32"/>
      <c r="J162" s="32"/>
      <c r="K162" s="211">
        <v>165</v>
      </c>
      <c r="L162" s="210"/>
      <c r="M162" s="210"/>
      <c r="N162" s="210"/>
      <c r="O162" s="210"/>
      <c r="P162" s="207">
        <f t="shared" si="7"/>
        <v>165</v>
      </c>
      <c r="Q162" s="240"/>
      <c r="R162" s="222">
        <v>46175</v>
      </c>
      <c r="S162" s="277" t="s">
        <v>52</v>
      </c>
      <c r="T162" s="324" t="s">
        <v>79</v>
      </c>
      <c r="U162" s="117">
        <v>7505</v>
      </c>
      <c r="V162" s="33" t="s">
        <v>47</v>
      </c>
      <c r="W162" s="32"/>
      <c r="X162" s="222">
        <v>46197</v>
      </c>
      <c r="Y162" s="69" t="s">
        <v>63</v>
      </c>
      <c r="Z162" s="33"/>
      <c r="AA162" s="33"/>
      <c r="AB162" s="33" t="s">
        <v>66</v>
      </c>
      <c r="AC162" s="33"/>
      <c r="AD162" s="258" t="s">
        <v>48</v>
      </c>
      <c r="AE162" s="34"/>
      <c r="AF162" s="32"/>
      <c r="AG162" s="32"/>
      <c r="AH162" s="33"/>
      <c r="AI162" s="33"/>
      <c r="AJ162" s="29"/>
      <c r="AK162" s="33"/>
      <c r="AL162" s="32">
        <v>18</v>
      </c>
      <c r="AM162" s="221" t="s">
        <v>810</v>
      </c>
      <c r="AN162" s="258" t="s">
        <v>51</v>
      </c>
      <c r="AO162" s="138"/>
      <c r="AP162" s="139"/>
    </row>
    <row r="163" spans="1:48" s="36" customFormat="1" ht="15.75" customHeight="1" x14ac:dyDescent="0.2">
      <c r="A163" s="222">
        <v>46197</v>
      </c>
      <c r="B163" s="151"/>
      <c r="C163" s="278" t="s">
        <v>58</v>
      </c>
      <c r="D163" s="221" t="s">
        <v>53</v>
      </c>
      <c r="E163" s="305">
        <v>536</v>
      </c>
      <c r="F163" s="313" t="s">
        <v>60</v>
      </c>
      <c r="G163" s="117">
        <v>41274151</v>
      </c>
      <c r="H163" s="117" t="s">
        <v>730</v>
      </c>
      <c r="I163" s="32"/>
      <c r="J163" s="32"/>
      <c r="K163" s="211">
        <v>107</v>
      </c>
      <c r="L163" s="210"/>
      <c r="M163" s="210"/>
      <c r="N163" s="210"/>
      <c r="O163" s="210"/>
      <c r="P163" s="207">
        <f t="shared" si="7"/>
        <v>107</v>
      </c>
      <c r="Q163" s="240"/>
      <c r="R163" s="222">
        <v>46178</v>
      </c>
      <c r="S163" s="277" t="s">
        <v>52</v>
      </c>
      <c r="T163" s="324" t="s">
        <v>79</v>
      </c>
      <c r="U163" s="117">
        <v>7516</v>
      </c>
      <c r="V163" s="33" t="s">
        <v>47</v>
      </c>
      <c r="W163" s="32"/>
      <c r="X163" s="222">
        <v>46197</v>
      </c>
      <c r="Y163" s="69" t="s">
        <v>63</v>
      </c>
      <c r="Z163" s="33"/>
      <c r="AA163" s="33"/>
      <c r="AB163" s="33" t="s">
        <v>66</v>
      </c>
      <c r="AC163" s="33"/>
      <c r="AD163" s="258" t="s">
        <v>48</v>
      </c>
      <c r="AE163" s="34"/>
      <c r="AF163" s="32"/>
      <c r="AG163" s="32"/>
      <c r="AH163" s="33"/>
      <c r="AI163" s="33"/>
      <c r="AJ163" s="29"/>
      <c r="AK163" s="33"/>
      <c r="AL163" s="32">
        <v>18</v>
      </c>
      <c r="AM163" s="221" t="s">
        <v>719</v>
      </c>
      <c r="AN163" s="258" t="s">
        <v>51</v>
      </c>
      <c r="AO163" s="138"/>
      <c r="AP163" s="139"/>
    </row>
    <row r="164" spans="1:48" s="36" customFormat="1" ht="15.75" customHeight="1" x14ac:dyDescent="0.2">
      <c r="A164" s="222">
        <v>46197</v>
      </c>
      <c r="B164" s="151"/>
      <c r="C164" s="278" t="s">
        <v>58</v>
      </c>
      <c r="D164" s="221" t="s">
        <v>53</v>
      </c>
      <c r="E164" s="305">
        <v>537</v>
      </c>
      <c r="F164" s="313" t="s">
        <v>60</v>
      </c>
      <c r="G164" s="117">
        <v>42955229</v>
      </c>
      <c r="H164" s="117" t="s">
        <v>362</v>
      </c>
      <c r="I164" s="32"/>
      <c r="J164" s="32"/>
      <c r="K164" s="211">
        <v>280</v>
      </c>
      <c r="L164" s="210"/>
      <c r="M164" s="210"/>
      <c r="N164" s="210"/>
      <c r="O164" s="210"/>
      <c r="P164" s="207">
        <f t="shared" si="7"/>
        <v>280</v>
      </c>
      <c r="Q164" s="240"/>
      <c r="R164" s="222">
        <v>46067</v>
      </c>
      <c r="S164" s="277" t="s">
        <v>52</v>
      </c>
      <c r="T164" s="324" t="s">
        <v>79</v>
      </c>
      <c r="U164" s="117">
        <v>7067</v>
      </c>
      <c r="V164" s="33" t="s">
        <v>47</v>
      </c>
      <c r="W164" s="32"/>
      <c r="X164" s="222">
        <v>46197</v>
      </c>
      <c r="Y164" s="69" t="s">
        <v>63</v>
      </c>
      <c r="Z164" s="33"/>
      <c r="AA164" s="33"/>
      <c r="AB164" s="33" t="s">
        <v>66</v>
      </c>
      <c r="AC164" s="33"/>
      <c r="AD164" s="258" t="s">
        <v>48</v>
      </c>
      <c r="AE164" s="34"/>
      <c r="AF164" s="32"/>
      <c r="AG164" s="32"/>
      <c r="AH164" s="33"/>
      <c r="AI164" s="33"/>
      <c r="AJ164" s="29"/>
      <c r="AK164" s="33"/>
      <c r="AL164" s="32">
        <v>18</v>
      </c>
      <c r="AM164" s="221" t="s">
        <v>670</v>
      </c>
      <c r="AN164" s="258" t="s">
        <v>51</v>
      </c>
      <c r="AO164" s="138"/>
      <c r="AP164" s="139"/>
    </row>
    <row r="165" spans="1:48" s="36" customFormat="1" ht="15.75" customHeight="1" x14ac:dyDescent="0.2">
      <c r="A165" s="222">
        <v>46197</v>
      </c>
      <c r="B165" s="151"/>
      <c r="C165" s="278" t="s">
        <v>58</v>
      </c>
      <c r="D165" s="221" t="s">
        <v>53</v>
      </c>
      <c r="E165" s="305">
        <v>538</v>
      </c>
      <c r="F165" s="313" t="s">
        <v>60</v>
      </c>
      <c r="G165" s="117">
        <v>21010783</v>
      </c>
      <c r="H165" s="117" t="s">
        <v>799</v>
      </c>
      <c r="I165" s="24"/>
      <c r="J165" s="24"/>
      <c r="K165" s="211">
        <v>218</v>
      </c>
      <c r="L165" s="38"/>
      <c r="M165" s="38"/>
      <c r="N165" s="38"/>
      <c r="O165" s="38"/>
      <c r="P165" s="207">
        <f t="shared" si="7"/>
        <v>218</v>
      </c>
      <c r="Q165" s="240"/>
      <c r="R165" s="222">
        <v>45958</v>
      </c>
      <c r="S165" s="277" t="s">
        <v>52</v>
      </c>
      <c r="T165" s="266" t="s">
        <v>79</v>
      </c>
      <c r="U165" s="117">
        <v>6631</v>
      </c>
      <c r="V165" s="33" t="s">
        <v>47</v>
      </c>
      <c r="W165" s="24"/>
      <c r="X165" s="222">
        <v>46197</v>
      </c>
      <c r="Y165" s="69" t="s">
        <v>63</v>
      </c>
      <c r="Z165" s="33"/>
      <c r="AA165" s="33"/>
      <c r="AB165" s="33" t="s">
        <v>66</v>
      </c>
      <c r="AC165" s="33"/>
      <c r="AD165" s="258" t="s">
        <v>48</v>
      </c>
      <c r="AE165" s="34"/>
      <c r="AF165" s="32"/>
      <c r="AG165" s="32"/>
      <c r="AH165" s="33"/>
      <c r="AI165" s="33"/>
      <c r="AJ165" s="29"/>
      <c r="AK165" s="33"/>
      <c r="AL165" s="32">
        <v>18</v>
      </c>
      <c r="AM165" s="221" t="s">
        <v>810</v>
      </c>
      <c r="AN165" s="258" t="s">
        <v>51</v>
      </c>
      <c r="AO165" s="138"/>
      <c r="AP165" s="139"/>
    </row>
    <row r="166" spans="1:48" s="36" customFormat="1" ht="15.75" customHeight="1" x14ac:dyDescent="0.2">
      <c r="A166" s="222">
        <v>46197</v>
      </c>
      <c r="B166" s="151"/>
      <c r="C166" s="278" t="s">
        <v>58</v>
      </c>
      <c r="D166" s="221" t="s">
        <v>53</v>
      </c>
      <c r="E166" s="305">
        <v>539</v>
      </c>
      <c r="F166" s="313" t="s">
        <v>60</v>
      </c>
      <c r="G166" s="117">
        <v>48509993</v>
      </c>
      <c r="H166" s="117" t="s">
        <v>677</v>
      </c>
      <c r="I166" s="24"/>
      <c r="J166" s="24"/>
      <c r="K166" s="211">
        <v>290</v>
      </c>
      <c r="L166" s="38"/>
      <c r="M166" s="38"/>
      <c r="N166" s="38"/>
      <c r="O166" s="38"/>
      <c r="P166" s="207">
        <f t="shared" si="7"/>
        <v>290</v>
      </c>
      <c r="Q166" s="240"/>
      <c r="R166" s="222">
        <v>45994</v>
      </c>
      <c r="S166" s="277" t="s">
        <v>52</v>
      </c>
      <c r="T166" s="266" t="s">
        <v>79</v>
      </c>
      <c r="U166" s="117">
        <v>6782</v>
      </c>
      <c r="V166" s="33" t="s">
        <v>47</v>
      </c>
      <c r="W166" s="24"/>
      <c r="X166" s="222">
        <v>46197</v>
      </c>
      <c r="Y166" s="69" t="s">
        <v>63</v>
      </c>
      <c r="Z166" s="33"/>
      <c r="AA166" s="33"/>
      <c r="AB166" s="33" t="s">
        <v>66</v>
      </c>
      <c r="AC166" s="33"/>
      <c r="AD166" s="258" t="s">
        <v>48</v>
      </c>
      <c r="AE166" s="34"/>
      <c r="AF166" s="32"/>
      <c r="AG166" s="32"/>
      <c r="AH166" s="33"/>
      <c r="AI166" s="33"/>
      <c r="AJ166" s="29"/>
      <c r="AK166" s="33"/>
      <c r="AL166" s="32">
        <v>18</v>
      </c>
      <c r="AM166" s="221" t="s">
        <v>810</v>
      </c>
      <c r="AN166" s="258" t="s">
        <v>51</v>
      </c>
      <c r="AO166" s="138"/>
      <c r="AP166" s="139"/>
    </row>
    <row r="167" spans="1:48" s="36" customFormat="1" ht="15.75" customHeight="1" x14ac:dyDescent="0.2">
      <c r="A167" s="222">
        <v>46197</v>
      </c>
      <c r="B167" s="151"/>
      <c r="C167" s="278" t="s">
        <v>58</v>
      </c>
      <c r="D167" s="221" t="s">
        <v>53</v>
      </c>
      <c r="E167" s="305">
        <v>540</v>
      </c>
      <c r="F167" s="313" t="s">
        <v>60</v>
      </c>
      <c r="G167" s="117">
        <v>44223633</v>
      </c>
      <c r="H167" s="117" t="s">
        <v>716</v>
      </c>
      <c r="I167" s="24"/>
      <c r="J167" s="24"/>
      <c r="K167" s="211">
        <v>20.5</v>
      </c>
      <c r="L167" s="38"/>
      <c r="M167" s="38"/>
      <c r="N167" s="38"/>
      <c r="O167" s="38"/>
      <c r="P167" s="207">
        <f t="shared" si="7"/>
        <v>20.5</v>
      </c>
      <c r="Q167" s="240"/>
      <c r="R167" s="222">
        <v>45969</v>
      </c>
      <c r="S167" s="277" t="s">
        <v>52</v>
      </c>
      <c r="T167" s="266" t="s">
        <v>79</v>
      </c>
      <c r="U167" s="117">
        <v>6663</v>
      </c>
      <c r="V167" s="33" t="s">
        <v>47</v>
      </c>
      <c r="W167" s="24"/>
      <c r="X167" s="222">
        <v>46197</v>
      </c>
      <c r="Y167" s="69" t="s">
        <v>63</v>
      </c>
      <c r="Z167" s="33"/>
      <c r="AA167" s="33"/>
      <c r="AB167" s="33" t="s">
        <v>66</v>
      </c>
      <c r="AC167" s="33"/>
      <c r="AD167" s="258" t="s">
        <v>48</v>
      </c>
      <c r="AE167" s="34"/>
      <c r="AF167" s="32"/>
      <c r="AG167" s="32"/>
      <c r="AH167" s="33"/>
      <c r="AI167" s="33"/>
      <c r="AJ167" s="29"/>
      <c r="AK167" s="33"/>
      <c r="AL167" s="32">
        <v>18</v>
      </c>
      <c r="AM167" s="221" t="s">
        <v>814</v>
      </c>
      <c r="AN167" s="258" t="s">
        <v>51</v>
      </c>
      <c r="AO167" s="138"/>
      <c r="AP167" s="139"/>
    </row>
    <row r="168" spans="1:48" s="6" customFormat="1" ht="15" x14ac:dyDescent="0.2">
      <c r="A168" s="155"/>
      <c r="B168" s="8"/>
      <c r="C168" s="279"/>
      <c r="D168" s="180"/>
      <c r="E168" s="306"/>
      <c r="F168" s="180"/>
      <c r="G168" s="180"/>
      <c r="H168" s="180"/>
      <c r="I168" s="214"/>
      <c r="J168" s="215">
        <f>SUM(J36:J167)</f>
        <v>0</v>
      </c>
      <c r="K168" s="215">
        <f>SUM(K6:K167)</f>
        <v>401607.33999999997</v>
      </c>
      <c r="L168" s="216"/>
      <c r="M168" s="216"/>
      <c r="N168" s="215">
        <f>SUM(N36:N167)</f>
        <v>0</v>
      </c>
      <c r="O168" s="215">
        <f>SUM(O36:O167)</f>
        <v>0</v>
      </c>
      <c r="P168" s="215">
        <f>SUM(P6:P167)</f>
        <v>401607.33999999997</v>
      </c>
      <c r="Q168" s="82"/>
      <c r="R168" s="223"/>
      <c r="S168" s="243"/>
      <c r="T168" s="243"/>
      <c r="U168" s="243"/>
      <c r="V168" s="243"/>
      <c r="W168" s="244"/>
      <c r="X168" s="223"/>
      <c r="Y168" s="243"/>
      <c r="Z168" s="243"/>
      <c r="AA168" s="243"/>
      <c r="AB168" s="243"/>
      <c r="AC168" s="243"/>
      <c r="AD168" s="243"/>
      <c r="AE168" s="245"/>
      <c r="AF168" s="244"/>
      <c r="AG168" s="244"/>
      <c r="AH168" s="243"/>
      <c r="AI168" s="243"/>
      <c r="AJ168" s="223"/>
      <c r="AK168" s="243"/>
      <c r="AL168" s="244"/>
      <c r="AM168" s="243"/>
      <c r="AN168" s="243"/>
      <c r="AO168" s="90"/>
      <c r="AP168" s="91"/>
    </row>
    <row r="170" spans="1:48" s="2" customFormat="1" x14ac:dyDescent="0.25">
      <c r="A170" s="168"/>
      <c r="B170" s="1"/>
      <c r="C170" s="280"/>
      <c r="D170" s="181"/>
      <c r="E170" s="307"/>
      <c r="F170" s="181"/>
      <c r="G170" s="181"/>
      <c r="H170" s="181"/>
      <c r="I170" s="217"/>
      <c r="J170" s="217"/>
      <c r="K170" s="217"/>
      <c r="L170" s="217"/>
      <c r="M170" s="217"/>
      <c r="N170" s="217"/>
      <c r="O170" s="217"/>
      <c r="P170" s="217"/>
      <c r="Q170" s="4"/>
      <c r="R170" s="168"/>
      <c r="S170" s="181"/>
      <c r="T170" s="181"/>
      <c r="U170" s="181"/>
      <c r="V170" s="181"/>
      <c r="W170" s="217"/>
      <c r="X170" s="168"/>
      <c r="Y170" s="181"/>
      <c r="Z170" s="181"/>
      <c r="AA170" s="181"/>
      <c r="AB170" s="181"/>
      <c r="AC170" s="181"/>
      <c r="AD170" s="181"/>
      <c r="AE170" s="246"/>
      <c r="AF170" s="217"/>
      <c r="AG170" s="217"/>
      <c r="AH170" s="181"/>
      <c r="AI170" s="181"/>
      <c r="AJ170" s="168"/>
      <c r="AK170" s="181"/>
      <c r="AL170" s="217"/>
      <c r="AM170" s="181"/>
      <c r="AN170" s="181"/>
      <c r="AP170" s="3"/>
      <c r="AQ170"/>
      <c r="AR170"/>
      <c r="AS170"/>
      <c r="AT170"/>
      <c r="AU170"/>
      <c r="AV170"/>
    </row>
  </sheetData>
  <autoFilter ref="A5:AW133" xr:uid="{4B6E0EE6-1587-4BDD-9FCD-D7241282C175}"/>
  <pageMargins left="0.7" right="0.7" top="0.75" bottom="0.75" header="0.3" footer="0.3"/>
  <pageSetup paperSize="9" scale="79" orientation="portrait" horizontalDpi="360" verticalDpi="360" r:id="rId1"/>
  <colBreaks count="2" manualBreakCount="2">
    <brk id="7" max="114" man="1"/>
    <brk id="18" max="114" man="1"/>
  </colBreaks>
  <ignoredErrors>
    <ignoredError sqref="S148" numberStoredAsText="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3C81-845F-4232-B57E-4786722F444D}">
  <sheetPr>
    <tabColor rgb="FF00B050"/>
  </sheetPr>
  <dimension ref="A1:AW188"/>
  <sheetViews>
    <sheetView tabSelected="1" zoomScale="87" zoomScaleNormal="87" zoomScaleSheetLayoutView="100" workbookViewId="0">
      <pane ySplit="3" topLeftCell="A147" activePane="bottomLeft" state="frozen"/>
      <selection pane="bottomLeft" activeCell="H154" sqref="H154"/>
    </sheetView>
  </sheetViews>
  <sheetFormatPr baseColWidth="10" defaultColWidth="15.7109375" defaultRowHeight="15.75" x14ac:dyDescent="0.25"/>
  <cols>
    <col min="1" max="1" width="15.7109375" style="168"/>
    <col min="2" max="2" width="15.7109375" style="1"/>
    <col min="3" max="3" width="15.7109375" style="280"/>
    <col min="4" max="4" width="15.7109375" style="181"/>
    <col min="5" max="5" width="15.7109375" style="307"/>
    <col min="6" max="7" width="15.7109375" style="181"/>
    <col min="8" max="8" width="41.85546875" style="181" customWidth="1"/>
    <col min="9" max="16" width="15.7109375" style="217"/>
    <col min="17" max="17" width="15.7109375" style="4"/>
    <col min="18" max="18" width="15.7109375" style="168"/>
    <col min="19" max="22" width="15.7109375" style="181"/>
    <col min="23" max="23" width="15.7109375" style="217"/>
    <col min="24" max="24" width="15.7109375" style="168"/>
    <col min="25" max="30" width="15.7109375" style="181"/>
    <col min="31" max="31" width="15.7109375" style="246"/>
    <col min="32" max="33" width="15.7109375" style="217"/>
    <col min="34" max="35" width="15.7109375" style="181"/>
    <col min="36" max="36" width="15.7109375" style="168"/>
    <col min="37" max="37" width="15.7109375" style="181"/>
    <col min="38" max="38" width="15.7109375" style="217"/>
    <col min="39" max="40" width="15.7109375" style="181"/>
    <col min="41" max="41" width="15.7109375" style="2"/>
    <col min="42" max="42" width="15.7109375" style="3"/>
  </cols>
  <sheetData>
    <row r="1" spans="1:49" ht="21.95" customHeight="1" x14ac:dyDescent="0.25">
      <c r="A1" s="294" t="s">
        <v>0</v>
      </c>
      <c r="B1" s="294" t="s">
        <v>1</v>
      </c>
      <c r="C1" s="283" t="s">
        <v>2</v>
      </c>
      <c r="D1" s="283"/>
      <c r="E1" s="302"/>
      <c r="F1" s="283" t="s">
        <v>6</v>
      </c>
      <c r="G1" s="283"/>
      <c r="H1" s="283"/>
      <c r="I1" s="358" t="s">
        <v>9</v>
      </c>
      <c r="J1" s="358" t="s">
        <v>10</v>
      </c>
      <c r="K1" s="358" t="s">
        <v>11</v>
      </c>
      <c r="L1" s="358" t="s">
        <v>13</v>
      </c>
      <c r="M1" s="358" t="s">
        <v>14</v>
      </c>
      <c r="N1" s="358" t="s">
        <v>15</v>
      </c>
      <c r="O1" s="358" t="s">
        <v>16</v>
      </c>
      <c r="P1" s="358" t="s">
        <v>17</v>
      </c>
      <c r="Q1" s="368" t="s">
        <v>18</v>
      </c>
      <c r="R1" s="292" t="s">
        <v>19</v>
      </c>
      <c r="S1" s="292"/>
      <c r="T1" s="292"/>
      <c r="U1" s="292"/>
      <c r="V1" s="286" t="s">
        <v>23</v>
      </c>
      <c r="W1" s="282" t="s">
        <v>24</v>
      </c>
      <c r="X1" s="285" t="s">
        <v>25</v>
      </c>
      <c r="Y1" s="286" t="s">
        <v>26</v>
      </c>
      <c r="Z1" s="286" t="s">
        <v>27</v>
      </c>
      <c r="AA1" s="286" t="s">
        <v>28</v>
      </c>
      <c r="AB1" s="286" t="s">
        <v>29</v>
      </c>
      <c r="AC1" s="286" t="s">
        <v>30</v>
      </c>
      <c r="AD1" s="286" t="s">
        <v>31</v>
      </c>
      <c r="AE1" s="287" t="s">
        <v>32</v>
      </c>
      <c r="AF1" s="282" t="s">
        <v>33</v>
      </c>
      <c r="AG1" s="282" t="s">
        <v>34</v>
      </c>
      <c r="AH1" s="286" t="s">
        <v>35</v>
      </c>
      <c r="AI1" s="286" t="s">
        <v>36</v>
      </c>
      <c r="AJ1" s="285" t="s">
        <v>37</v>
      </c>
      <c r="AK1" s="286" t="s">
        <v>38</v>
      </c>
      <c r="AL1" s="282" t="s">
        <v>39</v>
      </c>
      <c r="AM1" s="286" t="s">
        <v>40</v>
      </c>
      <c r="AN1" s="286" t="s">
        <v>41</v>
      </c>
      <c r="AO1" s="286" t="s">
        <v>42</v>
      </c>
      <c r="AP1" s="282" t="s">
        <v>43</v>
      </c>
      <c r="AQ1" s="7"/>
    </row>
    <row r="2" spans="1:49" ht="30.75" customHeight="1" x14ac:dyDescent="0.25">
      <c r="A2" s="294"/>
      <c r="B2" s="294"/>
      <c r="C2" s="283"/>
      <c r="D2" s="283"/>
      <c r="E2" s="302"/>
      <c r="F2" s="283" t="s">
        <v>7</v>
      </c>
      <c r="G2" s="283"/>
      <c r="H2" s="283" t="s">
        <v>8</v>
      </c>
      <c r="I2" s="366"/>
      <c r="J2" s="366"/>
      <c r="K2" s="366"/>
      <c r="L2" s="366"/>
      <c r="M2" s="366"/>
      <c r="N2" s="366"/>
      <c r="O2" s="366"/>
      <c r="P2" s="366"/>
      <c r="Q2" s="369"/>
      <c r="R2" s="292"/>
      <c r="S2" s="292"/>
      <c r="T2" s="292"/>
      <c r="U2" s="292"/>
      <c r="V2" s="286"/>
      <c r="W2" s="282"/>
      <c r="X2" s="285"/>
      <c r="Y2" s="286"/>
      <c r="Z2" s="286"/>
      <c r="AA2" s="286"/>
      <c r="AB2" s="286"/>
      <c r="AC2" s="286"/>
      <c r="AD2" s="286"/>
      <c r="AE2" s="287"/>
      <c r="AF2" s="282"/>
      <c r="AG2" s="282"/>
      <c r="AH2" s="286"/>
      <c r="AI2" s="286"/>
      <c r="AJ2" s="285"/>
      <c r="AK2" s="286"/>
      <c r="AL2" s="282"/>
      <c r="AM2" s="286"/>
      <c r="AN2" s="286"/>
      <c r="AO2" s="286"/>
      <c r="AP2" s="282"/>
      <c r="AQ2" s="7"/>
    </row>
    <row r="3" spans="1:49" ht="51" customHeight="1" x14ac:dyDescent="0.25">
      <c r="A3" s="295"/>
      <c r="B3" s="295"/>
      <c r="C3" s="271" t="s">
        <v>3</v>
      </c>
      <c r="D3" s="48" t="s">
        <v>4</v>
      </c>
      <c r="E3" s="169" t="s">
        <v>5</v>
      </c>
      <c r="F3" s="48" t="s">
        <v>3</v>
      </c>
      <c r="G3" s="48" t="s">
        <v>5</v>
      </c>
      <c r="H3" s="284"/>
      <c r="I3" s="367"/>
      <c r="J3" s="367"/>
      <c r="K3" s="367"/>
      <c r="L3" s="367"/>
      <c r="M3" s="367"/>
      <c r="N3" s="367"/>
      <c r="O3" s="367"/>
      <c r="P3" s="367"/>
      <c r="Q3" s="370"/>
      <c r="R3" s="83" t="s">
        <v>20</v>
      </c>
      <c r="S3" s="84" t="s">
        <v>3</v>
      </c>
      <c r="T3" s="84" t="s">
        <v>21</v>
      </c>
      <c r="U3" s="84" t="s">
        <v>22</v>
      </c>
      <c r="V3" s="286"/>
      <c r="W3" s="282"/>
      <c r="X3" s="285"/>
      <c r="Y3" s="286"/>
      <c r="Z3" s="286"/>
      <c r="AA3" s="286"/>
      <c r="AB3" s="286"/>
      <c r="AC3" s="286"/>
      <c r="AD3" s="286"/>
      <c r="AE3" s="287"/>
      <c r="AF3" s="282"/>
      <c r="AG3" s="282"/>
      <c r="AH3" s="286"/>
      <c r="AI3" s="286"/>
      <c r="AJ3" s="285"/>
      <c r="AK3" s="286"/>
      <c r="AL3" s="282"/>
      <c r="AM3" s="286"/>
      <c r="AN3" s="286"/>
      <c r="AO3" s="286"/>
      <c r="AP3" s="282"/>
      <c r="AQ3" s="7"/>
    </row>
    <row r="4" spans="1:49" s="41" customFormat="1" ht="14.25" customHeight="1" x14ac:dyDescent="0.2">
      <c r="A4" s="164">
        <v>46207</v>
      </c>
      <c r="B4" s="162">
        <v>46207</v>
      </c>
      <c r="C4" s="296" t="s">
        <v>45</v>
      </c>
      <c r="D4" s="170" t="s">
        <v>55</v>
      </c>
      <c r="E4" s="330">
        <v>888</v>
      </c>
      <c r="F4" s="281">
        <v>6</v>
      </c>
      <c r="G4" s="85">
        <v>10468172700</v>
      </c>
      <c r="H4" s="85" t="s">
        <v>816</v>
      </c>
      <c r="I4" s="57"/>
      <c r="J4" s="57"/>
      <c r="K4" s="331">
        <v>5330</v>
      </c>
      <c r="L4" s="184"/>
      <c r="M4" s="184"/>
      <c r="N4" s="184"/>
      <c r="O4" s="184"/>
      <c r="P4" s="337">
        <v>5330</v>
      </c>
      <c r="Q4" s="332"/>
      <c r="R4" s="56"/>
      <c r="S4" s="58"/>
      <c r="T4" s="58"/>
      <c r="U4" s="58"/>
      <c r="V4" s="58" t="s">
        <v>47</v>
      </c>
      <c r="W4" s="57"/>
      <c r="X4" s="162">
        <v>46207</v>
      </c>
      <c r="Y4" s="26" t="s">
        <v>63</v>
      </c>
      <c r="Z4" s="58"/>
      <c r="AA4" s="58"/>
      <c r="AB4" s="58" t="s">
        <v>49</v>
      </c>
      <c r="AC4" s="58"/>
      <c r="AD4" s="254" t="s">
        <v>48</v>
      </c>
      <c r="AE4" s="59"/>
      <c r="AF4" s="57"/>
      <c r="AG4" s="57"/>
      <c r="AH4" s="58"/>
      <c r="AI4" s="58"/>
      <c r="AJ4" s="56"/>
      <c r="AK4" s="58"/>
      <c r="AL4" s="57">
        <v>18</v>
      </c>
      <c r="AM4" s="224" t="s">
        <v>50</v>
      </c>
      <c r="AN4" s="254"/>
      <c r="AO4" s="126"/>
      <c r="AP4" s="129"/>
    </row>
    <row r="5" spans="1:49" s="41" customFormat="1" ht="14.25" customHeight="1" x14ac:dyDescent="0.2">
      <c r="A5" s="164">
        <v>46207</v>
      </c>
      <c r="B5" s="162">
        <v>46207</v>
      </c>
      <c r="C5" s="296" t="s">
        <v>45</v>
      </c>
      <c r="D5" s="170" t="s">
        <v>55</v>
      </c>
      <c r="E5" s="330">
        <v>889</v>
      </c>
      <c r="F5" s="281">
        <v>6</v>
      </c>
      <c r="G5" s="85">
        <v>10468172700</v>
      </c>
      <c r="H5" s="85" t="s">
        <v>816</v>
      </c>
      <c r="I5" s="57"/>
      <c r="J5" s="57"/>
      <c r="K5" s="331">
        <v>0</v>
      </c>
      <c r="L5" s="57"/>
      <c r="M5" s="57"/>
      <c r="N5" s="57"/>
      <c r="O5" s="57"/>
      <c r="P5" s="337">
        <v>0</v>
      </c>
      <c r="Q5" s="106"/>
      <c r="R5" s="56"/>
      <c r="S5" s="58"/>
      <c r="T5" s="58"/>
      <c r="U5" s="58"/>
      <c r="V5" s="58" t="s">
        <v>47</v>
      </c>
      <c r="W5" s="57"/>
      <c r="X5" s="162">
        <v>46207</v>
      </c>
      <c r="Y5" s="26" t="s">
        <v>61</v>
      </c>
      <c r="Z5" s="58"/>
      <c r="AA5" s="58"/>
      <c r="AB5" s="58" t="s">
        <v>49</v>
      </c>
      <c r="AC5" s="58"/>
      <c r="AD5" s="254" t="s">
        <v>48</v>
      </c>
      <c r="AE5" s="59"/>
      <c r="AF5" s="57"/>
      <c r="AG5" s="57"/>
      <c r="AH5" s="58"/>
      <c r="AI5" s="58"/>
      <c r="AJ5" s="56"/>
      <c r="AK5" s="58"/>
      <c r="AL5" s="57">
        <v>18</v>
      </c>
      <c r="AM5" s="225" t="s">
        <v>588</v>
      </c>
      <c r="AN5" s="254" t="s">
        <v>51</v>
      </c>
      <c r="AO5" s="126"/>
      <c r="AP5" s="129"/>
    </row>
    <row r="6" spans="1:49" s="41" customFormat="1" ht="14.25" customHeight="1" x14ac:dyDescent="0.2">
      <c r="A6" s="164">
        <v>46207</v>
      </c>
      <c r="B6" s="162">
        <v>46237</v>
      </c>
      <c r="C6" s="296" t="s">
        <v>45</v>
      </c>
      <c r="D6" s="170" t="s">
        <v>55</v>
      </c>
      <c r="E6" s="330">
        <v>890</v>
      </c>
      <c r="F6" s="281">
        <v>6</v>
      </c>
      <c r="G6" s="85">
        <v>20607824666</v>
      </c>
      <c r="H6" s="85" t="s">
        <v>817</v>
      </c>
      <c r="I6" s="57"/>
      <c r="J6" s="57"/>
      <c r="K6" s="331">
        <v>6800</v>
      </c>
      <c r="L6" s="184"/>
      <c r="M6" s="184"/>
      <c r="N6" s="184"/>
      <c r="O6" s="184"/>
      <c r="P6" s="337">
        <v>6800</v>
      </c>
      <c r="Q6" s="332"/>
      <c r="R6" s="56"/>
      <c r="S6" s="58"/>
      <c r="T6" s="58"/>
      <c r="U6" s="58"/>
      <c r="V6" s="58" t="s">
        <v>47</v>
      </c>
      <c r="W6" s="57"/>
      <c r="X6" s="162">
        <v>46237</v>
      </c>
      <c r="Y6" s="26" t="s">
        <v>63</v>
      </c>
      <c r="Z6" s="58"/>
      <c r="AA6" s="58"/>
      <c r="AB6" s="58" t="s">
        <v>49</v>
      </c>
      <c r="AC6" s="58"/>
      <c r="AD6" s="254" t="s">
        <v>48</v>
      </c>
      <c r="AE6" s="59"/>
      <c r="AF6" s="57"/>
      <c r="AG6" s="57"/>
      <c r="AH6" s="58"/>
      <c r="AI6" s="58"/>
      <c r="AJ6" s="56"/>
      <c r="AK6" s="58"/>
      <c r="AL6" s="57">
        <v>18</v>
      </c>
      <c r="AM6" s="224" t="s">
        <v>50</v>
      </c>
      <c r="AN6" s="254"/>
      <c r="AO6" s="126"/>
      <c r="AP6" s="129"/>
    </row>
    <row r="7" spans="1:49" s="105" customFormat="1" ht="14.25" customHeight="1" x14ac:dyDescent="0.2">
      <c r="A7" s="164">
        <v>46207</v>
      </c>
      <c r="B7" s="162">
        <v>46207</v>
      </c>
      <c r="C7" s="296" t="s">
        <v>45</v>
      </c>
      <c r="D7" s="170" t="s">
        <v>55</v>
      </c>
      <c r="E7" s="330">
        <v>891</v>
      </c>
      <c r="F7" s="281">
        <v>6</v>
      </c>
      <c r="G7" s="85">
        <v>20607824666</v>
      </c>
      <c r="H7" s="85" t="s">
        <v>817</v>
      </c>
      <c r="I7" s="24"/>
      <c r="J7" s="24"/>
      <c r="K7" s="331">
        <v>0</v>
      </c>
      <c r="L7" s="187"/>
      <c r="M7" s="187"/>
      <c r="N7" s="187"/>
      <c r="O7" s="187"/>
      <c r="P7" s="337">
        <v>0</v>
      </c>
      <c r="Q7" s="333"/>
      <c r="R7" s="25"/>
      <c r="S7" s="26"/>
      <c r="T7" s="26"/>
      <c r="U7" s="26"/>
      <c r="V7" s="26" t="s">
        <v>47</v>
      </c>
      <c r="W7" s="24"/>
      <c r="X7" s="162">
        <v>46207</v>
      </c>
      <c r="Y7" s="26" t="s">
        <v>61</v>
      </c>
      <c r="Z7" s="58"/>
      <c r="AA7" s="58"/>
      <c r="AB7" s="58" t="s">
        <v>49</v>
      </c>
      <c r="AC7" s="58"/>
      <c r="AD7" s="254" t="s">
        <v>48</v>
      </c>
      <c r="AE7" s="59"/>
      <c r="AF7" s="57"/>
      <c r="AG7" s="57"/>
      <c r="AH7" s="58"/>
      <c r="AI7" s="58"/>
      <c r="AJ7" s="56"/>
      <c r="AK7" s="58"/>
      <c r="AL7" s="57">
        <v>18</v>
      </c>
      <c r="AM7" s="225" t="s">
        <v>588</v>
      </c>
      <c r="AN7" s="254" t="s">
        <v>51</v>
      </c>
      <c r="AO7" s="131"/>
      <c r="AP7" s="132"/>
      <c r="AW7" s="103"/>
    </row>
    <row r="8" spans="1:49" s="41" customFormat="1" ht="14.25" customHeight="1" x14ac:dyDescent="0.2">
      <c r="A8" s="164">
        <v>46213</v>
      </c>
      <c r="B8" s="162">
        <v>46213</v>
      </c>
      <c r="C8" s="296" t="s">
        <v>45</v>
      </c>
      <c r="D8" s="170" t="s">
        <v>55</v>
      </c>
      <c r="E8" s="330">
        <v>892</v>
      </c>
      <c r="F8" s="281">
        <v>6</v>
      </c>
      <c r="G8" s="85">
        <v>20610819738</v>
      </c>
      <c r="H8" s="85" t="s">
        <v>818</v>
      </c>
      <c r="I8" s="57"/>
      <c r="J8" s="57"/>
      <c r="K8" s="331">
        <v>5500</v>
      </c>
      <c r="L8" s="57"/>
      <c r="M8" s="57"/>
      <c r="N8" s="57"/>
      <c r="O8" s="57"/>
      <c r="P8" s="337">
        <v>5500</v>
      </c>
      <c r="Q8" s="332"/>
      <c r="R8" s="56"/>
      <c r="S8" s="58"/>
      <c r="T8" s="58"/>
      <c r="U8" s="58"/>
      <c r="V8" s="58" t="s">
        <v>47</v>
      </c>
      <c r="W8" s="57"/>
      <c r="X8" s="162">
        <v>46213</v>
      </c>
      <c r="Y8" s="26" t="s">
        <v>63</v>
      </c>
      <c r="Z8" s="58"/>
      <c r="AA8" s="58"/>
      <c r="AB8" s="58" t="s">
        <v>49</v>
      </c>
      <c r="AC8" s="58"/>
      <c r="AD8" s="254" t="s">
        <v>48</v>
      </c>
      <c r="AE8" s="59"/>
      <c r="AF8" s="57"/>
      <c r="AG8" s="57"/>
      <c r="AH8" s="58"/>
      <c r="AI8" s="58"/>
      <c r="AJ8" s="56"/>
      <c r="AK8" s="58"/>
      <c r="AL8" s="57">
        <v>18</v>
      </c>
      <c r="AM8" s="224" t="s">
        <v>50</v>
      </c>
      <c r="AN8" s="254"/>
      <c r="AO8" s="126"/>
      <c r="AP8" s="129"/>
    </row>
    <row r="9" spans="1:49" s="41" customFormat="1" ht="14.25" customHeight="1" x14ac:dyDescent="0.2">
      <c r="A9" s="164">
        <v>46213</v>
      </c>
      <c r="B9" s="162">
        <v>46213</v>
      </c>
      <c r="C9" s="296" t="s">
        <v>45</v>
      </c>
      <c r="D9" s="170" t="s">
        <v>55</v>
      </c>
      <c r="E9" s="330">
        <v>893</v>
      </c>
      <c r="F9" s="281">
        <v>6</v>
      </c>
      <c r="G9" s="85">
        <v>20610819738</v>
      </c>
      <c r="H9" s="85" t="s">
        <v>818</v>
      </c>
      <c r="I9" s="57"/>
      <c r="J9" s="57"/>
      <c r="K9" s="331">
        <v>0</v>
      </c>
      <c r="L9" s="188"/>
      <c r="M9" s="188"/>
      <c r="N9" s="188"/>
      <c r="O9" s="188"/>
      <c r="P9" s="337">
        <v>0</v>
      </c>
      <c r="Q9" s="332"/>
      <c r="R9" s="56"/>
      <c r="S9" s="58"/>
      <c r="T9" s="58"/>
      <c r="U9" s="58"/>
      <c r="V9" s="58" t="s">
        <v>47</v>
      </c>
      <c r="W9" s="57"/>
      <c r="X9" s="162">
        <v>46213</v>
      </c>
      <c r="Y9" s="26" t="s">
        <v>61</v>
      </c>
      <c r="Z9" s="58"/>
      <c r="AA9" s="58"/>
      <c r="AB9" s="58" t="s">
        <v>49</v>
      </c>
      <c r="AC9" s="58"/>
      <c r="AD9" s="254" t="s">
        <v>48</v>
      </c>
      <c r="AE9" s="59"/>
      <c r="AF9" s="57"/>
      <c r="AG9" s="57"/>
      <c r="AH9" s="58"/>
      <c r="AI9" s="58"/>
      <c r="AJ9" s="56"/>
      <c r="AK9" s="58"/>
      <c r="AL9" s="57">
        <v>18</v>
      </c>
      <c r="AM9" s="225" t="s">
        <v>588</v>
      </c>
      <c r="AN9" s="254" t="s">
        <v>51</v>
      </c>
      <c r="AO9" s="126"/>
      <c r="AP9" s="129"/>
    </row>
    <row r="10" spans="1:49" s="20" customFormat="1" ht="14.25" customHeight="1" x14ac:dyDescent="0.2">
      <c r="A10" s="164">
        <v>46217</v>
      </c>
      <c r="B10" s="162">
        <v>46217</v>
      </c>
      <c r="C10" s="296" t="s">
        <v>45</v>
      </c>
      <c r="D10" s="170" t="s">
        <v>55</v>
      </c>
      <c r="E10" s="330">
        <v>894</v>
      </c>
      <c r="F10" s="281">
        <v>6</v>
      </c>
      <c r="G10" s="85">
        <v>10452225242</v>
      </c>
      <c r="H10" s="85" t="s">
        <v>819</v>
      </c>
      <c r="I10" s="57"/>
      <c r="J10" s="57"/>
      <c r="K10" s="331">
        <v>6480</v>
      </c>
      <c r="L10" s="57"/>
      <c r="M10" s="57"/>
      <c r="N10" s="57"/>
      <c r="O10" s="57"/>
      <c r="P10" s="337">
        <v>6480</v>
      </c>
      <c r="Q10" s="332"/>
      <c r="R10" s="56"/>
      <c r="S10" s="58"/>
      <c r="T10" s="58"/>
      <c r="U10" s="58"/>
      <c r="V10" s="58" t="s">
        <v>47</v>
      </c>
      <c r="W10" s="57"/>
      <c r="X10" s="162">
        <v>46217</v>
      </c>
      <c r="Y10" s="26" t="s">
        <v>63</v>
      </c>
      <c r="Z10" s="58"/>
      <c r="AA10" s="58"/>
      <c r="AB10" s="58" t="s">
        <v>49</v>
      </c>
      <c r="AC10" s="58"/>
      <c r="AD10" s="254" t="s">
        <v>48</v>
      </c>
      <c r="AE10" s="59"/>
      <c r="AF10" s="57"/>
      <c r="AG10" s="57"/>
      <c r="AH10" s="58"/>
      <c r="AI10" s="58"/>
      <c r="AJ10" s="56"/>
      <c r="AK10" s="58"/>
      <c r="AL10" s="57">
        <v>18</v>
      </c>
      <c r="AM10" s="224" t="s">
        <v>50</v>
      </c>
      <c r="AN10" s="254"/>
      <c r="AO10" s="126"/>
      <c r="AP10" s="129"/>
    </row>
    <row r="11" spans="1:49" s="20" customFormat="1" ht="14.25" customHeight="1" x14ac:dyDescent="0.2">
      <c r="A11" s="164">
        <v>46217</v>
      </c>
      <c r="B11" s="162">
        <v>46217</v>
      </c>
      <c r="C11" s="296" t="s">
        <v>45</v>
      </c>
      <c r="D11" s="170" t="s">
        <v>55</v>
      </c>
      <c r="E11" s="330">
        <v>895</v>
      </c>
      <c r="F11" s="281">
        <v>6</v>
      </c>
      <c r="G11" s="85">
        <v>10452225242</v>
      </c>
      <c r="H11" s="85" t="s">
        <v>819</v>
      </c>
      <c r="I11" s="57"/>
      <c r="J11" s="57"/>
      <c r="K11" s="331">
        <v>0</v>
      </c>
      <c r="L11" s="188"/>
      <c r="M11" s="188"/>
      <c r="N11" s="188"/>
      <c r="O11" s="188"/>
      <c r="P11" s="337">
        <v>0</v>
      </c>
      <c r="Q11" s="332"/>
      <c r="R11" s="56"/>
      <c r="S11" s="58"/>
      <c r="T11" s="58"/>
      <c r="U11" s="58"/>
      <c r="V11" s="58" t="s">
        <v>47</v>
      </c>
      <c r="W11" s="57"/>
      <c r="X11" s="162">
        <v>46217</v>
      </c>
      <c r="Y11" s="26" t="s">
        <v>61</v>
      </c>
      <c r="Z11" s="58"/>
      <c r="AA11" s="58"/>
      <c r="AB11" s="58" t="s">
        <v>49</v>
      </c>
      <c r="AC11" s="58"/>
      <c r="AD11" s="254" t="s">
        <v>48</v>
      </c>
      <c r="AE11" s="59"/>
      <c r="AF11" s="57"/>
      <c r="AG11" s="57"/>
      <c r="AH11" s="58"/>
      <c r="AI11" s="58"/>
      <c r="AJ11" s="56"/>
      <c r="AK11" s="58"/>
      <c r="AL11" s="57">
        <v>18</v>
      </c>
      <c r="AM11" s="225" t="s">
        <v>588</v>
      </c>
      <c r="AN11" s="254" t="s">
        <v>51</v>
      </c>
      <c r="AO11" s="126"/>
      <c r="AP11" s="129"/>
    </row>
    <row r="12" spans="1:49" s="20" customFormat="1" ht="14.25" customHeight="1" x14ac:dyDescent="0.2">
      <c r="A12" s="164">
        <v>46225</v>
      </c>
      <c r="B12" s="162">
        <v>46287</v>
      </c>
      <c r="C12" s="296" t="s">
        <v>45</v>
      </c>
      <c r="D12" s="170" t="s">
        <v>55</v>
      </c>
      <c r="E12" s="330">
        <v>896</v>
      </c>
      <c r="F12" s="281">
        <v>6</v>
      </c>
      <c r="G12" s="85">
        <v>20601923778</v>
      </c>
      <c r="H12" s="85" t="s">
        <v>820</v>
      </c>
      <c r="I12" s="57"/>
      <c r="J12" s="57"/>
      <c r="K12" s="331">
        <v>4940</v>
      </c>
      <c r="L12" s="57"/>
      <c r="M12" s="57"/>
      <c r="N12" s="57"/>
      <c r="O12" s="57"/>
      <c r="P12" s="337">
        <v>4940</v>
      </c>
      <c r="Q12" s="332"/>
      <c r="R12" s="56"/>
      <c r="S12" s="58"/>
      <c r="T12" s="58"/>
      <c r="U12" s="58"/>
      <c r="V12" s="58" t="s">
        <v>47</v>
      </c>
      <c r="W12" s="57"/>
      <c r="X12" s="162">
        <v>46287</v>
      </c>
      <c r="Y12" s="26" t="s">
        <v>63</v>
      </c>
      <c r="Z12" s="58"/>
      <c r="AA12" s="58"/>
      <c r="AB12" s="58" t="s">
        <v>49</v>
      </c>
      <c r="AC12" s="58"/>
      <c r="AD12" s="254" t="s">
        <v>48</v>
      </c>
      <c r="AE12" s="59"/>
      <c r="AF12" s="57"/>
      <c r="AG12" s="57"/>
      <c r="AH12" s="58"/>
      <c r="AI12" s="58"/>
      <c r="AJ12" s="56"/>
      <c r="AK12" s="58"/>
      <c r="AL12" s="57">
        <v>18</v>
      </c>
      <c r="AM12" s="224" t="s">
        <v>50</v>
      </c>
      <c r="AN12" s="254"/>
      <c r="AO12" s="126"/>
      <c r="AP12" s="129"/>
    </row>
    <row r="13" spans="1:49" s="20" customFormat="1" ht="14.25" customHeight="1" x14ac:dyDescent="0.2">
      <c r="A13" s="164">
        <v>46225</v>
      </c>
      <c r="B13" s="162">
        <v>46287</v>
      </c>
      <c r="C13" s="296" t="s">
        <v>45</v>
      </c>
      <c r="D13" s="170" t="s">
        <v>55</v>
      </c>
      <c r="E13" s="330">
        <v>897</v>
      </c>
      <c r="F13" s="281">
        <v>6</v>
      </c>
      <c r="G13" s="85">
        <v>20601923778</v>
      </c>
      <c r="H13" s="85" t="s">
        <v>820</v>
      </c>
      <c r="I13" s="57"/>
      <c r="J13" s="57"/>
      <c r="K13" s="331">
        <v>4940</v>
      </c>
      <c r="L13" s="188"/>
      <c r="M13" s="188"/>
      <c r="N13" s="188"/>
      <c r="O13" s="188"/>
      <c r="P13" s="337">
        <v>4940</v>
      </c>
      <c r="Q13" s="332"/>
      <c r="R13" s="56"/>
      <c r="S13" s="58"/>
      <c r="T13" s="58"/>
      <c r="U13" s="58"/>
      <c r="V13" s="58" t="s">
        <v>47</v>
      </c>
      <c r="W13" s="57"/>
      <c r="X13" s="162">
        <v>46287</v>
      </c>
      <c r="Y13" s="26" t="s">
        <v>63</v>
      </c>
      <c r="Z13" s="58"/>
      <c r="AA13" s="58"/>
      <c r="AB13" s="58" t="s">
        <v>49</v>
      </c>
      <c r="AC13" s="58"/>
      <c r="AD13" s="254" t="s">
        <v>48</v>
      </c>
      <c r="AE13" s="59"/>
      <c r="AF13" s="57"/>
      <c r="AG13" s="57"/>
      <c r="AH13" s="58"/>
      <c r="AI13" s="58"/>
      <c r="AJ13" s="56"/>
      <c r="AK13" s="58"/>
      <c r="AL13" s="57">
        <v>18</v>
      </c>
      <c r="AM13" s="224" t="s">
        <v>50</v>
      </c>
      <c r="AN13" s="254"/>
      <c r="AO13" s="126"/>
      <c r="AP13" s="129"/>
    </row>
    <row r="14" spans="1:49" s="160" customFormat="1" ht="14.25" customHeight="1" x14ac:dyDescent="0.2">
      <c r="A14" s="165">
        <v>46227</v>
      </c>
      <c r="B14" s="161">
        <v>46227</v>
      </c>
      <c r="C14" s="334" t="s">
        <v>45</v>
      </c>
      <c r="D14" s="173" t="s">
        <v>55</v>
      </c>
      <c r="E14" s="335">
        <v>898</v>
      </c>
      <c r="F14" s="336">
        <v>6</v>
      </c>
      <c r="G14" s="182">
        <v>20612295451</v>
      </c>
      <c r="H14" s="182" t="s">
        <v>821</v>
      </c>
      <c r="I14" s="228"/>
      <c r="J14" s="228"/>
      <c r="K14" s="337">
        <v>8780</v>
      </c>
      <c r="L14" s="228"/>
      <c r="M14" s="228"/>
      <c r="N14" s="228"/>
      <c r="O14" s="228"/>
      <c r="P14" s="337">
        <v>8780</v>
      </c>
      <c r="Q14" s="338"/>
      <c r="R14" s="339"/>
      <c r="S14" s="194"/>
      <c r="T14" s="194"/>
      <c r="U14" s="194"/>
      <c r="V14" s="194" t="s">
        <v>47</v>
      </c>
      <c r="W14" s="228"/>
      <c r="X14" s="161">
        <v>46227</v>
      </c>
      <c r="Y14" s="229" t="s">
        <v>63</v>
      </c>
      <c r="Z14" s="194"/>
      <c r="AA14" s="194"/>
      <c r="AB14" s="194" t="s">
        <v>49</v>
      </c>
      <c r="AC14" s="194"/>
      <c r="AD14" s="256" t="s">
        <v>48</v>
      </c>
      <c r="AE14" s="340"/>
      <c r="AF14" s="228"/>
      <c r="AG14" s="228"/>
      <c r="AH14" s="194"/>
      <c r="AI14" s="194"/>
      <c r="AJ14" s="339"/>
      <c r="AK14" s="194"/>
      <c r="AL14" s="228">
        <v>18</v>
      </c>
      <c r="AM14" s="233" t="s">
        <v>50</v>
      </c>
      <c r="AN14" s="256"/>
      <c r="AO14" s="341"/>
      <c r="AP14" s="342"/>
    </row>
    <row r="15" spans="1:49" s="348" customFormat="1" ht="15" customHeight="1" x14ac:dyDescent="0.2">
      <c r="A15" s="161">
        <v>46206</v>
      </c>
      <c r="B15" s="161">
        <v>46206</v>
      </c>
      <c r="C15" s="343" t="s">
        <v>52</v>
      </c>
      <c r="D15" s="224" t="s">
        <v>53</v>
      </c>
      <c r="E15" s="174">
        <v>7625</v>
      </c>
      <c r="F15" s="182">
        <v>1</v>
      </c>
      <c r="G15" s="182">
        <v>72293214</v>
      </c>
      <c r="H15" s="182" t="s">
        <v>822</v>
      </c>
      <c r="I15" s="231"/>
      <c r="J15" s="231"/>
      <c r="K15" s="337">
        <v>6180</v>
      </c>
      <c r="L15" s="312"/>
      <c r="M15" s="312"/>
      <c r="N15" s="312"/>
      <c r="O15" s="312"/>
      <c r="P15" s="337">
        <v>6180</v>
      </c>
      <c r="Q15" s="344"/>
      <c r="R15" s="232"/>
      <c r="S15" s="229"/>
      <c r="T15" s="229"/>
      <c r="U15" s="229"/>
      <c r="V15" s="229" t="s">
        <v>47</v>
      </c>
      <c r="W15" s="194"/>
      <c r="X15" s="161">
        <v>46206</v>
      </c>
      <c r="Y15" s="229" t="s">
        <v>63</v>
      </c>
      <c r="Z15" s="229"/>
      <c r="AA15" s="229"/>
      <c r="AB15" s="229" t="s">
        <v>49</v>
      </c>
      <c r="AC15" s="229"/>
      <c r="AD15" s="256" t="s">
        <v>48</v>
      </c>
      <c r="AE15" s="230"/>
      <c r="AF15" s="231"/>
      <c r="AG15" s="231"/>
      <c r="AH15" s="229"/>
      <c r="AI15" s="229"/>
      <c r="AJ15" s="232"/>
      <c r="AK15" s="229"/>
      <c r="AL15" s="231">
        <v>18</v>
      </c>
      <c r="AM15" s="233" t="s">
        <v>50</v>
      </c>
      <c r="AN15" s="345"/>
      <c r="AO15" s="346"/>
      <c r="AP15" s="347"/>
    </row>
    <row r="16" spans="1:49" s="28" customFormat="1" ht="15" customHeight="1" x14ac:dyDescent="0.2">
      <c r="A16" s="162">
        <v>46206</v>
      </c>
      <c r="B16" s="162">
        <v>46206</v>
      </c>
      <c r="C16" s="343" t="s">
        <v>52</v>
      </c>
      <c r="D16" s="224" t="s">
        <v>53</v>
      </c>
      <c r="E16" s="171">
        <v>7626</v>
      </c>
      <c r="F16" s="85">
        <v>1</v>
      </c>
      <c r="G16" s="85">
        <v>72293214</v>
      </c>
      <c r="H16" s="85" t="s">
        <v>822</v>
      </c>
      <c r="I16" s="231"/>
      <c r="J16" s="231"/>
      <c r="K16" s="337">
        <v>0</v>
      </c>
      <c r="L16" s="231"/>
      <c r="M16" s="231"/>
      <c r="N16" s="231"/>
      <c r="O16" s="24"/>
      <c r="P16" s="337">
        <v>0</v>
      </c>
      <c r="Q16" s="135"/>
      <c r="R16" s="25"/>
      <c r="S16" s="26"/>
      <c r="T16" s="26"/>
      <c r="U16" s="26"/>
      <c r="V16" s="229" t="s">
        <v>47</v>
      </c>
      <c r="W16" s="58"/>
      <c r="X16" s="162">
        <v>46206</v>
      </c>
      <c r="Y16" s="26" t="s">
        <v>61</v>
      </c>
      <c r="Z16" s="58"/>
      <c r="AA16" s="58"/>
      <c r="AB16" s="58" t="s">
        <v>49</v>
      </c>
      <c r="AC16" s="58"/>
      <c r="AD16" s="254" t="s">
        <v>48</v>
      </c>
      <c r="AE16" s="59"/>
      <c r="AF16" s="57"/>
      <c r="AG16" s="57"/>
      <c r="AH16" s="58"/>
      <c r="AI16" s="58"/>
      <c r="AJ16" s="56"/>
      <c r="AK16" s="58"/>
      <c r="AL16" s="57">
        <v>18</v>
      </c>
      <c r="AM16" s="225" t="s">
        <v>588</v>
      </c>
      <c r="AN16" s="255" t="s">
        <v>51</v>
      </c>
      <c r="AO16" s="131"/>
      <c r="AP16" s="132"/>
    </row>
    <row r="17" spans="1:42" s="28" customFormat="1" ht="15" customHeight="1" x14ac:dyDescent="0.2">
      <c r="A17" s="162">
        <v>46206</v>
      </c>
      <c r="B17" s="162">
        <v>46233</v>
      </c>
      <c r="C17" s="343" t="s">
        <v>52</v>
      </c>
      <c r="D17" s="224" t="s">
        <v>53</v>
      </c>
      <c r="E17" s="174">
        <v>7627</v>
      </c>
      <c r="F17" s="85">
        <v>1</v>
      </c>
      <c r="G17" s="85">
        <v>44869785</v>
      </c>
      <c r="H17" s="85" t="s">
        <v>823</v>
      </c>
      <c r="I17" s="231"/>
      <c r="J17" s="231"/>
      <c r="K17" s="337">
        <v>6280</v>
      </c>
      <c r="L17" s="312"/>
      <c r="M17" s="312"/>
      <c r="N17" s="312"/>
      <c r="O17" s="203"/>
      <c r="P17" s="337">
        <v>6280</v>
      </c>
      <c r="Q17" s="135"/>
      <c r="R17" s="25"/>
      <c r="S17" s="26"/>
      <c r="T17" s="26"/>
      <c r="U17" s="26"/>
      <c r="V17" s="229" t="s">
        <v>47</v>
      </c>
      <c r="W17" s="58"/>
      <c r="X17" s="162">
        <v>46233</v>
      </c>
      <c r="Y17" s="26" t="s">
        <v>63</v>
      </c>
      <c r="Z17" s="26"/>
      <c r="AA17" s="26"/>
      <c r="AB17" s="26" t="s">
        <v>49</v>
      </c>
      <c r="AC17" s="26"/>
      <c r="AD17" s="254" t="s">
        <v>48</v>
      </c>
      <c r="AE17" s="27"/>
      <c r="AF17" s="24"/>
      <c r="AG17" s="24"/>
      <c r="AH17" s="26"/>
      <c r="AI17" s="26"/>
      <c r="AJ17" s="25"/>
      <c r="AK17" s="26"/>
      <c r="AL17" s="24">
        <v>18</v>
      </c>
      <c r="AM17" s="224" t="s">
        <v>50</v>
      </c>
      <c r="AN17" s="255"/>
      <c r="AO17" s="131"/>
      <c r="AP17" s="132"/>
    </row>
    <row r="18" spans="1:42" s="28" customFormat="1" ht="15" customHeight="1" x14ac:dyDescent="0.2">
      <c r="A18" s="162">
        <v>46206</v>
      </c>
      <c r="B18" s="162">
        <v>46206</v>
      </c>
      <c r="C18" s="343" t="s">
        <v>52</v>
      </c>
      <c r="D18" s="224" t="s">
        <v>53</v>
      </c>
      <c r="E18" s="174">
        <v>7628</v>
      </c>
      <c r="F18" s="85">
        <v>1</v>
      </c>
      <c r="G18" s="85">
        <v>45271126</v>
      </c>
      <c r="H18" s="85" t="s">
        <v>824</v>
      </c>
      <c r="I18" s="231"/>
      <c r="J18" s="231"/>
      <c r="K18" s="337">
        <v>5570</v>
      </c>
      <c r="L18" s="231"/>
      <c r="M18" s="231"/>
      <c r="N18" s="231"/>
      <c r="O18" s="24"/>
      <c r="P18" s="337">
        <v>5570</v>
      </c>
      <c r="Q18" s="135"/>
      <c r="R18" s="25"/>
      <c r="S18" s="26"/>
      <c r="T18" s="26"/>
      <c r="U18" s="26"/>
      <c r="V18" s="229" t="s">
        <v>47</v>
      </c>
      <c r="W18" s="58"/>
      <c r="X18" s="162">
        <v>46206</v>
      </c>
      <c r="Y18" s="26" t="s">
        <v>63</v>
      </c>
      <c r="Z18" s="26"/>
      <c r="AA18" s="26"/>
      <c r="AB18" s="26" t="s">
        <v>49</v>
      </c>
      <c r="AC18" s="26"/>
      <c r="AD18" s="254" t="s">
        <v>48</v>
      </c>
      <c r="AE18" s="27"/>
      <c r="AF18" s="24"/>
      <c r="AG18" s="24"/>
      <c r="AH18" s="26"/>
      <c r="AI18" s="26"/>
      <c r="AJ18" s="25"/>
      <c r="AK18" s="26"/>
      <c r="AL18" s="24">
        <v>18</v>
      </c>
      <c r="AM18" s="224" t="s">
        <v>50</v>
      </c>
      <c r="AN18" s="255"/>
      <c r="AO18" s="131"/>
      <c r="AP18" s="132"/>
    </row>
    <row r="19" spans="1:42" s="28" customFormat="1" ht="15" customHeight="1" x14ac:dyDescent="0.2">
      <c r="A19" s="162">
        <v>46206</v>
      </c>
      <c r="B19" s="162">
        <v>46206</v>
      </c>
      <c r="C19" s="343" t="s">
        <v>52</v>
      </c>
      <c r="D19" s="224" t="s">
        <v>53</v>
      </c>
      <c r="E19" s="174">
        <v>7629</v>
      </c>
      <c r="F19" s="85">
        <v>1</v>
      </c>
      <c r="G19" s="85">
        <v>45271126</v>
      </c>
      <c r="H19" s="85" t="s">
        <v>824</v>
      </c>
      <c r="I19" s="231"/>
      <c r="J19" s="231"/>
      <c r="K19" s="337">
        <v>0</v>
      </c>
      <c r="L19" s="312"/>
      <c r="M19" s="312"/>
      <c r="N19" s="312"/>
      <c r="O19" s="203"/>
      <c r="P19" s="337">
        <v>0</v>
      </c>
      <c r="Q19" s="135"/>
      <c r="R19" s="25"/>
      <c r="S19" s="26"/>
      <c r="T19" s="26"/>
      <c r="U19" s="26"/>
      <c r="V19" s="229" t="s">
        <v>47</v>
      </c>
      <c r="W19" s="58"/>
      <c r="X19" s="162">
        <v>46206</v>
      </c>
      <c r="Y19" s="26" t="s">
        <v>61</v>
      </c>
      <c r="Z19" s="58"/>
      <c r="AA19" s="58"/>
      <c r="AB19" s="58" t="s">
        <v>49</v>
      </c>
      <c r="AC19" s="58"/>
      <c r="AD19" s="254" t="s">
        <v>48</v>
      </c>
      <c r="AE19" s="59"/>
      <c r="AF19" s="57"/>
      <c r="AG19" s="57"/>
      <c r="AH19" s="58"/>
      <c r="AI19" s="58"/>
      <c r="AJ19" s="56"/>
      <c r="AK19" s="58"/>
      <c r="AL19" s="57">
        <v>18</v>
      </c>
      <c r="AM19" s="225" t="s">
        <v>588</v>
      </c>
      <c r="AN19" s="255" t="s">
        <v>51</v>
      </c>
      <c r="AO19" s="131"/>
      <c r="AP19" s="132"/>
    </row>
    <row r="20" spans="1:42" s="28" customFormat="1" ht="15" customHeight="1" x14ac:dyDescent="0.2">
      <c r="A20" s="162">
        <v>46206</v>
      </c>
      <c r="B20" s="162">
        <v>46206</v>
      </c>
      <c r="C20" s="343" t="s">
        <v>52</v>
      </c>
      <c r="D20" s="224" t="s">
        <v>53</v>
      </c>
      <c r="E20" s="171">
        <v>7630</v>
      </c>
      <c r="F20" s="85">
        <v>1</v>
      </c>
      <c r="G20" s="85">
        <v>48124768</v>
      </c>
      <c r="H20" s="85" t="s">
        <v>337</v>
      </c>
      <c r="I20" s="231"/>
      <c r="J20" s="231"/>
      <c r="K20" s="337">
        <v>0</v>
      </c>
      <c r="L20" s="231"/>
      <c r="M20" s="231"/>
      <c r="N20" s="231"/>
      <c r="O20" s="24"/>
      <c r="P20" s="337">
        <v>0</v>
      </c>
      <c r="Q20" s="135"/>
      <c r="R20" s="25"/>
      <c r="S20" s="26"/>
      <c r="T20" s="26"/>
      <c r="U20" s="26"/>
      <c r="V20" s="229" t="s">
        <v>47</v>
      </c>
      <c r="W20" s="58"/>
      <c r="X20" s="162">
        <v>46206</v>
      </c>
      <c r="Y20" s="26" t="s">
        <v>61</v>
      </c>
      <c r="Z20" s="58"/>
      <c r="AA20" s="58"/>
      <c r="AB20" s="58" t="s">
        <v>49</v>
      </c>
      <c r="AC20" s="58"/>
      <c r="AD20" s="254" t="s">
        <v>48</v>
      </c>
      <c r="AE20" s="59"/>
      <c r="AF20" s="57"/>
      <c r="AG20" s="57"/>
      <c r="AH20" s="58"/>
      <c r="AI20" s="58"/>
      <c r="AJ20" s="56"/>
      <c r="AK20" s="58"/>
      <c r="AL20" s="57">
        <v>18</v>
      </c>
      <c r="AM20" s="225" t="s">
        <v>588</v>
      </c>
      <c r="AN20" s="255" t="s">
        <v>51</v>
      </c>
      <c r="AO20" s="131"/>
      <c r="AP20" s="132"/>
    </row>
    <row r="21" spans="1:42" s="28" customFormat="1" ht="15" customHeight="1" x14ac:dyDescent="0.2">
      <c r="A21" s="162">
        <v>46206</v>
      </c>
      <c r="B21" s="162">
        <v>46233</v>
      </c>
      <c r="C21" s="343" t="s">
        <v>52</v>
      </c>
      <c r="D21" s="224" t="s">
        <v>53</v>
      </c>
      <c r="E21" s="174">
        <v>7631</v>
      </c>
      <c r="F21" s="85">
        <v>1</v>
      </c>
      <c r="G21" s="85">
        <v>77173858</v>
      </c>
      <c r="H21" s="85" t="s">
        <v>825</v>
      </c>
      <c r="I21" s="231"/>
      <c r="J21" s="231"/>
      <c r="K21" s="337">
        <v>5480</v>
      </c>
      <c r="L21" s="231"/>
      <c r="M21" s="231"/>
      <c r="N21" s="231"/>
      <c r="O21" s="24"/>
      <c r="P21" s="337">
        <v>5480</v>
      </c>
      <c r="Q21" s="135"/>
      <c r="R21" s="25"/>
      <c r="S21" s="26"/>
      <c r="T21" s="26"/>
      <c r="U21" s="26"/>
      <c r="V21" s="229" t="s">
        <v>47</v>
      </c>
      <c r="W21" s="58"/>
      <c r="X21" s="162">
        <v>46233</v>
      </c>
      <c r="Y21" s="26" t="s">
        <v>63</v>
      </c>
      <c r="Z21" s="26"/>
      <c r="AA21" s="26"/>
      <c r="AB21" s="26" t="s">
        <v>49</v>
      </c>
      <c r="AC21" s="26"/>
      <c r="AD21" s="254" t="s">
        <v>48</v>
      </c>
      <c r="AE21" s="27"/>
      <c r="AF21" s="24"/>
      <c r="AG21" s="24"/>
      <c r="AH21" s="26"/>
      <c r="AI21" s="26"/>
      <c r="AJ21" s="25"/>
      <c r="AK21" s="26"/>
      <c r="AL21" s="24">
        <v>18</v>
      </c>
      <c r="AM21" s="224" t="s">
        <v>50</v>
      </c>
      <c r="AN21" s="255"/>
      <c r="AO21" s="131"/>
      <c r="AP21" s="132"/>
    </row>
    <row r="22" spans="1:42" s="28" customFormat="1" ht="15" customHeight="1" x14ac:dyDescent="0.2">
      <c r="A22" s="162">
        <v>46206</v>
      </c>
      <c r="B22" s="162">
        <v>46206</v>
      </c>
      <c r="C22" s="343" t="s">
        <v>52</v>
      </c>
      <c r="D22" s="224" t="s">
        <v>53</v>
      </c>
      <c r="E22" s="174">
        <v>7632</v>
      </c>
      <c r="F22" s="85">
        <v>1</v>
      </c>
      <c r="G22" s="85">
        <v>42003391</v>
      </c>
      <c r="H22" s="85" t="s">
        <v>826</v>
      </c>
      <c r="I22" s="231"/>
      <c r="J22" s="231"/>
      <c r="K22" s="337">
        <v>6280</v>
      </c>
      <c r="L22" s="231"/>
      <c r="M22" s="231"/>
      <c r="N22" s="231"/>
      <c r="O22" s="24"/>
      <c r="P22" s="337">
        <v>6280</v>
      </c>
      <c r="Q22" s="135"/>
      <c r="R22" s="25"/>
      <c r="S22" s="26"/>
      <c r="T22" s="26"/>
      <c r="U22" s="26"/>
      <c r="V22" s="229" t="s">
        <v>47</v>
      </c>
      <c r="W22" s="58"/>
      <c r="X22" s="162">
        <v>46206</v>
      </c>
      <c r="Y22" s="26" t="s">
        <v>63</v>
      </c>
      <c r="Z22" s="26"/>
      <c r="AA22" s="26"/>
      <c r="AB22" s="26" t="s">
        <v>49</v>
      </c>
      <c r="AC22" s="26"/>
      <c r="AD22" s="254" t="s">
        <v>48</v>
      </c>
      <c r="AE22" s="27"/>
      <c r="AF22" s="24"/>
      <c r="AG22" s="24"/>
      <c r="AH22" s="26"/>
      <c r="AI22" s="26"/>
      <c r="AJ22" s="25"/>
      <c r="AK22" s="26"/>
      <c r="AL22" s="24">
        <v>18</v>
      </c>
      <c r="AM22" s="224" t="s">
        <v>50</v>
      </c>
      <c r="AN22" s="255"/>
      <c r="AO22" s="131"/>
      <c r="AP22" s="132"/>
    </row>
    <row r="23" spans="1:42" s="28" customFormat="1" ht="15" customHeight="1" x14ac:dyDescent="0.2">
      <c r="A23" s="162">
        <v>46206</v>
      </c>
      <c r="B23" s="162">
        <v>46206</v>
      </c>
      <c r="C23" s="343" t="s">
        <v>52</v>
      </c>
      <c r="D23" s="224" t="s">
        <v>53</v>
      </c>
      <c r="E23" s="174">
        <v>7633</v>
      </c>
      <c r="F23" s="85">
        <v>1</v>
      </c>
      <c r="G23" s="85">
        <v>42003391</v>
      </c>
      <c r="H23" s="85" t="s">
        <v>826</v>
      </c>
      <c r="I23" s="231"/>
      <c r="J23" s="231"/>
      <c r="K23" s="337">
        <v>0</v>
      </c>
      <c r="L23" s="231"/>
      <c r="M23" s="231"/>
      <c r="N23" s="231"/>
      <c r="O23" s="24"/>
      <c r="P23" s="337">
        <v>0</v>
      </c>
      <c r="Q23" s="135"/>
      <c r="R23" s="25"/>
      <c r="S23" s="26"/>
      <c r="T23" s="26"/>
      <c r="U23" s="26"/>
      <c r="V23" s="229" t="s">
        <v>47</v>
      </c>
      <c r="W23" s="58"/>
      <c r="X23" s="162">
        <v>46206</v>
      </c>
      <c r="Y23" s="26" t="s">
        <v>61</v>
      </c>
      <c r="Z23" s="58"/>
      <c r="AA23" s="58"/>
      <c r="AB23" s="58" t="s">
        <v>49</v>
      </c>
      <c r="AC23" s="58"/>
      <c r="AD23" s="254" t="s">
        <v>48</v>
      </c>
      <c r="AE23" s="59"/>
      <c r="AF23" s="57"/>
      <c r="AG23" s="57"/>
      <c r="AH23" s="58"/>
      <c r="AI23" s="58"/>
      <c r="AJ23" s="56"/>
      <c r="AK23" s="58"/>
      <c r="AL23" s="57">
        <v>18</v>
      </c>
      <c r="AM23" s="225" t="s">
        <v>588</v>
      </c>
      <c r="AN23" s="255" t="s">
        <v>51</v>
      </c>
      <c r="AO23" s="131"/>
      <c r="AP23" s="132"/>
    </row>
    <row r="24" spans="1:42" s="28" customFormat="1" ht="15" customHeight="1" x14ac:dyDescent="0.2">
      <c r="A24" s="162">
        <v>46206</v>
      </c>
      <c r="B24" s="162">
        <v>46206</v>
      </c>
      <c r="C24" s="343" t="s">
        <v>52</v>
      </c>
      <c r="D24" s="224" t="s">
        <v>53</v>
      </c>
      <c r="E24" s="171">
        <v>7634</v>
      </c>
      <c r="F24" s="85">
        <v>1</v>
      </c>
      <c r="G24" s="308" t="s">
        <v>815</v>
      </c>
      <c r="H24" s="85" t="s">
        <v>827</v>
      </c>
      <c r="I24" s="231"/>
      <c r="J24" s="231"/>
      <c r="K24" s="337">
        <v>5750</v>
      </c>
      <c r="L24" s="231"/>
      <c r="M24" s="231"/>
      <c r="N24" s="231"/>
      <c r="O24" s="24"/>
      <c r="P24" s="337">
        <v>5750</v>
      </c>
      <c r="Q24" s="135"/>
      <c r="R24" s="25"/>
      <c r="S24" s="26"/>
      <c r="T24" s="26"/>
      <c r="U24" s="26"/>
      <c r="V24" s="229" t="s">
        <v>47</v>
      </c>
      <c r="W24" s="58"/>
      <c r="X24" s="162">
        <v>46206</v>
      </c>
      <c r="Y24" s="26" t="s">
        <v>63</v>
      </c>
      <c r="Z24" s="26"/>
      <c r="AA24" s="26"/>
      <c r="AB24" s="26" t="s">
        <v>49</v>
      </c>
      <c r="AC24" s="26"/>
      <c r="AD24" s="254" t="s">
        <v>48</v>
      </c>
      <c r="AE24" s="27"/>
      <c r="AF24" s="24"/>
      <c r="AG24" s="24"/>
      <c r="AH24" s="26"/>
      <c r="AI24" s="26"/>
      <c r="AJ24" s="25"/>
      <c r="AK24" s="26"/>
      <c r="AL24" s="24">
        <v>18</v>
      </c>
      <c r="AM24" s="224" t="s">
        <v>50</v>
      </c>
      <c r="AN24" s="255"/>
      <c r="AO24" s="131"/>
      <c r="AP24" s="132"/>
    </row>
    <row r="25" spans="1:42" s="28" customFormat="1" ht="15" customHeight="1" x14ac:dyDescent="0.2">
      <c r="A25" s="162">
        <v>46206</v>
      </c>
      <c r="B25" s="162">
        <v>46206</v>
      </c>
      <c r="C25" s="343" t="s">
        <v>52</v>
      </c>
      <c r="D25" s="224" t="s">
        <v>53</v>
      </c>
      <c r="E25" s="174">
        <v>7635</v>
      </c>
      <c r="F25" s="85">
        <v>1</v>
      </c>
      <c r="G25" s="308" t="s">
        <v>815</v>
      </c>
      <c r="H25" s="85" t="s">
        <v>827</v>
      </c>
      <c r="I25" s="231"/>
      <c r="J25" s="231"/>
      <c r="K25" s="337">
        <v>0</v>
      </c>
      <c r="L25" s="231"/>
      <c r="M25" s="231"/>
      <c r="N25" s="231"/>
      <c r="O25" s="24"/>
      <c r="P25" s="337">
        <v>0</v>
      </c>
      <c r="Q25" s="135"/>
      <c r="R25" s="25"/>
      <c r="S25" s="26"/>
      <c r="T25" s="26"/>
      <c r="U25" s="26"/>
      <c r="V25" s="229" t="s">
        <v>47</v>
      </c>
      <c r="W25" s="58"/>
      <c r="X25" s="162">
        <v>46206</v>
      </c>
      <c r="Y25" s="26" t="s">
        <v>61</v>
      </c>
      <c r="Z25" s="58"/>
      <c r="AA25" s="58"/>
      <c r="AB25" s="58" t="s">
        <v>49</v>
      </c>
      <c r="AC25" s="58"/>
      <c r="AD25" s="254" t="s">
        <v>48</v>
      </c>
      <c r="AE25" s="59"/>
      <c r="AF25" s="57"/>
      <c r="AG25" s="57"/>
      <c r="AH25" s="58"/>
      <c r="AI25" s="58"/>
      <c r="AJ25" s="56"/>
      <c r="AK25" s="58"/>
      <c r="AL25" s="57">
        <v>18</v>
      </c>
      <c r="AM25" s="225" t="s">
        <v>588</v>
      </c>
      <c r="AN25" s="255" t="s">
        <v>51</v>
      </c>
      <c r="AO25" s="131"/>
      <c r="AP25" s="132"/>
    </row>
    <row r="26" spans="1:42" s="28" customFormat="1" ht="15" customHeight="1" x14ac:dyDescent="0.2">
      <c r="A26" s="162">
        <v>46206</v>
      </c>
      <c r="B26" s="162">
        <v>46206</v>
      </c>
      <c r="C26" s="343" t="s">
        <v>52</v>
      </c>
      <c r="D26" s="224" t="s">
        <v>53</v>
      </c>
      <c r="E26" s="174">
        <v>7636</v>
      </c>
      <c r="F26" s="85">
        <v>1</v>
      </c>
      <c r="G26" s="85">
        <v>44859731</v>
      </c>
      <c r="H26" s="85" t="s">
        <v>828</v>
      </c>
      <c r="I26" s="231"/>
      <c r="J26" s="231"/>
      <c r="K26" s="337">
        <v>5280</v>
      </c>
      <c r="L26" s="231"/>
      <c r="M26" s="231"/>
      <c r="N26" s="231"/>
      <c r="O26" s="24"/>
      <c r="P26" s="337">
        <v>5280</v>
      </c>
      <c r="Q26" s="135"/>
      <c r="R26" s="25"/>
      <c r="S26" s="26"/>
      <c r="T26" s="26"/>
      <c r="U26" s="26"/>
      <c r="V26" s="229" t="s">
        <v>47</v>
      </c>
      <c r="W26" s="58"/>
      <c r="X26" s="162">
        <v>46206</v>
      </c>
      <c r="Y26" s="26" t="s">
        <v>63</v>
      </c>
      <c r="Z26" s="26"/>
      <c r="AA26" s="26"/>
      <c r="AB26" s="26" t="s">
        <v>49</v>
      </c>
      <c r="AC26" s="26"/>
      <c r="AD26" s="254" t="s">
        <v>48</v>
      </c>
      <c r="AE26" s="27"/>
      <c r="AF26" s="24"/>
      <c r="AG26" s="24"/>
      <c r="AH26" s="26"/>
      <c r="AI26" s="26"/>
      <c r="AJ26" s="25"/>
      <c r="AK26" s="26"/>
      <c r="AL26" s="24">
        <v>18</v>
      </c>
      <c r="AM26" s="224" t="s">
        <v>50</v>
      </c>
      <c r="AN26" s="255"/>
      <c r="AO26" s="131"/>
      <c r="AP26" s="132"/>
    </row>
    <row r="27" spans="1:42" s="28" customFormat="1" ht="15" customHeight="1" x14ac:dyDescent="0.2">
      <c r="A27" s="162">
        <v>46206</v>
      </c>
      <c r="B27" s="162">
        <v>46206</v>
      </c>
      <c r="C27" s="343" t="s">
        <v>52</v>
      </c>
      <c r="D27" s="224" t="s">
        <v>53</v>
      </c>
      <c r="E27" s="174">
        <v>7637</v>
      </c>
      <c r="F27" s="85">
        <v>1</v>
      </c>
      <c r="G27" s="85">
        <v>44859731</v>
      </c>
      <c r="H27" s="85" t="s">
        <v>828</v>
      </c>
      <c r="I27" s="231"/>
      <c r="J27" s="231"/>
      <c r="K27" s="337">
        <v>0</v>
      </c>
      <c r="L27" s="231"/>
      <c r="M27" s="231"/>
      <c r="N27" s="231"/>
      <c r="O27" s="24"/>
      <c r="P27" s="337">
        <v>0</v>
      </c>
      <c r="Q27" s="135"/>
      <c r="R27" s="25"/>
      <c r="S27" s="26"/>
      <c r="T27" s="26"/>
      <c r="U27" s="26"/>
      <c r="V27" s="229" t="s">
        <v>47</v>
      </c>
      <c r="W27" s="58"/>
      <c r="X27" s="162">
        <v>46206</v>
      </c>
      <c r="Y27" s="26" t="s">
        <v>61</v>
      </c>
      <c r="Z27" s="58"/>
      <c r="AA27" s="58"/>
      <c r="AB27" s="58" t="s">
        <v>49</v>
      </c>
      <c r="AC27" s="58"/>
      <c r="AD27" s="254" t="s">
        <v>48</v>
      </c>
      <c r="AE27" s="59"/>
      <c r="AF27" s="57"/>
      <c r="AG27" s="57"/>
      <c r="AH27" s="58"/>
      <c r="AI27" s="58"/>
      <c r="AJ27" s="56"/>
      <c r="AK27" s="58"/>
      <c r="AL27" s="57">
        <v>18</v>
      </c>
      <c r="AM27" s="225" t="s">
        <v>588</v>
      </c>
      <c r="AN27" s="255" t="s">
        <v>51</v>
      </c>
      <c r="AO27" s="131"/>
      <c r="AP27" s="132"/>
    </row>
    <row r="28" spans="1:42" s="28" customFormat="1" ht="15" customHeight="1" x14ac:dyDescent="0.2">
      <c r="A28" s="162">
        <v>46206</v>
      </c>
      <c r="B28" s="162">
        <v>46206</v>
      </c>
      <c r="C28" s="343" t="s">
        <v>52</v>
      </c>
      <c r="D28" s="224" t="s">
        <v>53</v>
      </c>
      <c r="E28" s="171">
        <v>7638</v>
      </c>
      <c r="F28" s="85">
        <v>1</v>
      </c>
      <c r="G28" s="85">
        <v>46681112</v>
      </c>
      <c r="H28" s="85" t="s">
        <v>829</v>
      </c>
      <c r="I28" s="231"/>
      <c r="J28" s="231"/>
      <c r="K28" s="337">
        <v>5574</v>
      </c>
      <c r="L28" s="231"/>
      <c r="M28" s="231"/>
      <c r="N28" s="231"/>
      <c r="O28" s="24"/>
      <c r="P28" s="337">
        <v>5574</v>
      </c>
      <c r="Q28" s="135"/>
      <c r="R28" s="25"/>
      <c r="S28" s="26"/>
      <c r="T28" s="26"/>
      <c r="U28" s="26"/>
      <c r="V28" s="229" t="s">
        <v>47</v>
      </c>
      <c r="W28" s="58"/>
      <c r="X28" s="162">
        <v>46206</v>
      </c>
      <c r="Y28" s="26" t="s">
        <v>63</v>
      </c>
      <c r="Z28" s="26"/>
      <c r="AA28" s="26"/>
      <c r="AB28" s="26" t="s">
        <v>49</v>
      </c>
      <c r="AC28" s="26"/>
      <c r="AD28" s="254" t="s">
        <v>48</v>
      </c>
      <c r="AE28" s="27"/>
      <c r="AF28" s="24"/>
      <c r="AG28" s="24"/>
      <c r="AH28" s="26"/>
      <c r="AI28" s="26"/>
      <c r="AJ28" s="25"/>
      <c r="AK28" s="26"/>
      <c r="AL28" s="24">
        <v>18</v>
      </c>
      <c r="AM28" s="224" t="s">
        <v>50</v>
      </c>
      <c r="AN28" s="255"/>
      <c r="AO28" s="131"/>
      <c r="AP28" s="132"/>
    </row>
    <row r="29" spans="1:42" s="28" customFormat="1" ht="15" customHeight="1" x14ac:dyDescent="0.2">
      <c r="A29" s="162">
        <v>46206</v>
      </c>
      <c r="B29" s="162">
        <v>46206</v>
      </c>
      <c r="C29" s="343" t="s">
        <v>52</v>
      </c>
      <c r="D29" s="224" t="s">
        <v>53</v>
      </c>
      <c r="E29" s="174">
        <v>7639</v>
      </c>
      <c r="F29" s="85">
        <v>1</v>
      </c>
      <c r="G29" s="85">
        <v>46681112</v>
      </c>
      <c r="H29" s="85" t="s">
        <v>829</v>
      </c>
      <c r="I29" s="231"/>
      <c r="J29" s="231"/>
      <c r="K29" s="337">
        <v>0</v>
      </c>
      <c r="L29" s="231"/>
      <c r="M29" s="231"/>
      <c r="N29" s="231"/>
      <c r="O29" s="24"/>
      <c r="P29" s="337">
        <v>0</v>
      </c>
      <c r="Q29" s="135"/>
      <c r="R29" s="25"/>
      <c r="S29" s="26"/>
      <c r="T29" s="26"/>
      <c r="U29" s="26"/>
      <c r="V29" s="229" t="s">
        <v>47</v>
      </c>
      <c r="W29" s="58"/>
      <c r="X29" s="162">
        <v>46206</v>
      </c>
      <c r="Y29" s="26" t="s">
        <v>61</v>
      </c>
      <c r="Z29" s="58"/>
      <c r="AA29" s="58"/>
      <c r="AB29" s="58" t="s">
        <v>49</v>
      </c>
      <c r="AC29" s="58"/>
      <c r="AD29" s="254" t="s">
        <v>48</v>
      </c>
      <c r="AE29" s="59"/>
      <c r="AF29" s="57"/>
      <c r="AG29" s="57"/>
      <c r="AH29" s="58"/>
      <c r="AI29" s="58"/>
      <c r="AJ29" s="56"/>
      <c r="AK29" s="58"/>
      <c r="AL29" s="57">
        <v>18</v>
      </c>
      <c r="AM29" s="225" t="s">
        <v>588</v>
      </c>
      <c r="AN29" s="255" t="s">
        <v>51</v>
      </c>
      <c r="AO29" s="131"/>
      <c r="AP29" s="132"/>
    </row>
    <row r="30" spans="1:42" s="28" customFormat="1" ht="15" customHeight="1" x14ac:dyDescent="0.2">
      <c r="A30" s="162">
        <v>46206</v>
      </c>
      <c r="B30" s="162">
        <v>46233</v>
      </c>
      <c r="C30" s="343" t="s">
        <v>52</v>
      </c>
      <c r="D30" s="224" t="s">
        <v>53</v>
      </c>
      <c r="E30" s="174">
        <v>7640</v>
      </c>
      <c r="F30" s="85">
        <v>1</v>
      </c>
      <c r="G30" s="85">
        <v>47655334</v>
      </c>
      <c r="H30" s="85" t="s">
        <v>830</v>
      </c>
      <c r="I30" s="231"/>
      <c r="J30" s="231"/>
      <c r="K30" s="337">
        <v>7713</v>
      </c>
      <c r="L30" s="231"/>
      <c r="M30" s="231"/>
      <c r="N30" s="231"/>
      <c r="O30" s="24"/>
      <c r="P30" s="337">
        <v>7713</v>
      </c>
      <c r="Q30" s="135"/>
      <c r="R30" s="25"/>
      <c r="S30" s="26"/>
      <c r="T30" s="26"/>
      <c r="U30" s="26"/>
      <c r="V30" s="229" t="s">
        <v>47</v>
      </c>
      <c r="W30" s="58"/>
      <c r="X30" s="162">
        <v>46233</v>
      </c>
      <c r="Y30" s="26" t="s">
        <v>63</v>
      </c>
      <c r="Z30" s="26"/>
      <c r="AA30" s="26"/>
      <c r="AB30" s="26" t="s">
        <v>49</v>
      </c>
      <c r="AC30" s="26"/>
      <c r="AD30" s="254" t="s">
        <v>48</v>
      </c>
      <c r="AE30" s="27"/>
      <c r="AF30" s="24"/>
      <c r="AG30" s="24"/>
      <c r="AH30" s="26"/>
      <c r="AI30" s="26"/>
      <c r="AJ30" s="25"/>
      <c r="AK30" s="26"/>
      <c r="AL30" s="24">
        <v>18</v>
      </c>
      <c r="AM30" s="224" t="s">
        <v>50</v>
      </c>
      <c r="AN30" s="255"/>
      <c r="AO30" s="131"/>
      <c r="AP30" s="132"/>
    </row>
    <row r="31" spans="1:42" s="28" customFormat="1" ht="15" customHeight="1" x14ac:dyDescent="0.2">
      <c r="A31" s="162">
        <v>46206</v>
      </c>
      <c r="B31" s="162">
        <v>46233</v>
      </c>
      <c r="C31" s="343" t="s">
        <v>52</v>
      </c>
      <c r="D31" s="224" t="s">
        <v>53</v>
      </c>
      <c r="E31" s="174">
        <v>7641</v>
      </c>
      <c r="F31" s="85">
        <v>1</v>
      </c>
      <c r="G31" s="85">
        <v>21007292</v>
      </c>
      <c r="H31" s="85" t="s">
        <v>831</v>
      </c>
      <c r="I31" s="231"/>
      <c r="J31" s="231"/>
      <c r="K31" s="337">
        <v>7713</v>
      </c>
      <c r="L31" s="231"/>
      <c r="M31" s="231"/>
      <c r="N31" s="231"/>
      <c r="O31" s="24"/>
      <c r="P31" s="337">
        <v>7713</v>
      </c>
      <c r="Q31" s="135"/>
      <c r="R31" s="25"/>
      <c r="S31" s="26"/>
      <c r="T31" s="26"/>
      <c r="U31" s="26"/>
      <c r="V31" s="229" t="s">
        <v>47</v>
      </c>
      <c r="W31" s="58"/>
      <c r="X31" s="162">
        <v>46233</v>
      </c>
      <c r="Y31" s="26" t="s">
        <v>63</v>
      </c>
      <c r="Z31" s="26"/>
      <c r="AA31" s="26"/>
      <c r="AB31" s="26" t="s">
        <v>49</v>
      </c>
      <c r="AC31" s="26"/>
      <c r="AD31" s="254" t="s">
        <v>48</v>
      </c>
      <c r="AE31" s="27"/>
      <c r="AF31" s="24"/>
      <c r="AG31" s="24"/>
      <c r="AH31" s="26"/>
      <c r="AI31" s="26"/>
      <c r="AJ31" s="25"/>
      <c r="AK31" s="26"/>
      <c r="AL31" s="24">
        <v>18</v>
      </c>
      <c r="AM31" s="224" t="s">
        <v>50</v>
      </c>
      <c r="AN31" s="255"/>
      <c r="AO31" s="131"/>
      <c r="AP31" s="132"/>
    </row>
    <row r="32" spans="1:42" s="28" customFormat="1" ht="15" customHeight="1" x14ac:dyDescent="0.2">
      <c r="A32" s="162">
        <v>46206</v>
      </c>
      <c r="B32" s="162">
        <v>46206</v>
      </c>
      <c r="C32" s="343" t="s">
        <v>52</v>
      </c>
      <c r="D32" s="224" t="s">
        <v>53</v>
      </c>
      <c r="E32" s="171">
        <v>7642</v>
      </c>
      <c r="F32" s="85">
        <v>1</v>
      </c>
      <c r="G32" s="85">
        <v>20982872</v>
      </c>
      <c r="H32" s="85" t="s">
        <v>832</v>
      </c>
      <c r="I32" s="231"/>
      <c r="J32" s="231"/>
      <c r="K32" s="337">
        <v>5650</v>
      </c>
      <c r="L32" s="231"/>
      <c r="M32" s="231"/>
      <c r="N32" s="231"/>
      <c r="O32" s="24"/>
      <c r="P32" s="337">
        <v>5650</v>
      </c>
      <c r="Q32" s="135"/>
      <c r="R32" s="25"/>
      <c r="S32" s="26"/>
      <c r="T32" s="26"/>
      <c r="U32" s="26"/>
      <c r="V32" s="229" t="s">
        <v>47</v>
      </c>
      <c r="W32" s="58"/>
      <c r="X32" s="162">
        <v>46206</v>
      </c>
      <c r="Y32" s="26" t="s">
        <v>63</v>
      </c>
      <c r="Z32" s="26"/>
      <c r="AA32" s="26"/>
      <c r="AB32" s="26" t="s">
        <v>49</v>
      </c>
      <c r="AC32" s="26"/>
      <c r="AD32" s="254" t="s">
        <v>48</v>
      </c>
      <c r="AE32" s="27"/>
      <c r="AF32" s="24"/>
      <c r="AG32" s="24"/>
      <c r="AH32" s="26"/>
      <c r="AI32" s="26"/>
      <c r="AJ32" s="25"/>
      <c r="AK32" s="26"/>
      <c r="AL32" s="24">
        <v>18</v>
      </c>
      <c r="AM32" s="224" t="s">
        <v>50</v>
      </c>
      <c r="AN32" s="255"/>
      <c r="AO32" s="131"/>
      <c r="AP32" s="132"/>
    </row>
    <row r="33" spans="1:42" s="28" customFormat="1" ht="15" customHeight="1" x14ac:dyDescent="0.2">
      <c r="A33" s="162">
        <v>46206</v>
      </c>
      <c r="B33" s="162">
        <v>46233</v>
      </c>
      <c r="C33" s="343" t="s">
        <v>52</v>
      </c>
      <c r="D33" s="224" t="s">
        <v>53</v>
      </c>
      <c r="E33" s="174">
        <v>7643</v>
      </c>
      <c r="F33" s="85">
        <v>1</v>
      </c>
      <c r="G33" s="85">
        <v>60329755</v>
      </c>
      <c r="H33" s="85" t="s">
        <v>833</v>
      </c>
      <c r="I33" s="231"/>
      <c r="J33" s="231"/>
      <c r="K33" s="337">
        <v>6380</v>
      </c>
      <c r="L33" s="231"/>
      <c r="M33" s="231"/>
      <c r="N33" s="231"/>
      <c r="O33" s="24"/>
      <c r="P33" s="337">
        <v>6380</v>
      </c>
      <c r="Q33" s="135"/>
      <c r="R33" s="25"/>
      <c r="S33" s="26"/>
      <c r="T33" s="26"/>
      <c r="U33" s="26"/>
      <c r="V33" s="229" t="s">
        <v>47</v>
      </c>
      <c r="W33" s="58"/>
      <c r="X33" s="162">
        <v>46233</v>
      </c>
      <c r="Y33" s="26" t="s">
        <v>63</v>
      </c>
      <c r="Z33" s="26"/>
      <c r="AA33" s="26"/>
      <c r="AB33" s="26" t="s">
        <v>49</v>
      </c>
      <c r="AC33" s="26"/>
      <c r="AD33" s="254" t="s">
        <v>48</v>
      </c>
      <c r="AE33" s="27"/>
      <c r="AF33" s="24"/>
      <c r="AG33" s="24"/>
      <c r="AH33" s="26"/>
      <c r="AI33" s="26"/>
      <c r="AJ33" s="25"/>
      <c r="AK33" s="26"/>
      <c r="AL33" s="24">
        <v>18</v>
      </c>
      <c r="AM33" s="224" t="s">
        <v>50</v>
      </c>
      <c r="AN33" s="255"/>
      <c r="AO33" s="131"/>
      <c r="AP33" s="132"/>
    </row>
    <row r="34" spans="1:42" s="28" customFormat="1" ht="15" customHeight="1" x14ac:dyDescent="0.2">
      <c r="A34" s="162">
        <v>46206</v>
      </c>
      <c r="B34" s="162">
        <v>46265</v>
      </c>
      <c r="C34" s="343" t="s">
        <v>52</v>
      </c>
      <c r="D34" s="224" t="s">
        <v>53</v>
      </c>
      <c r="E34" s="174">
        <v>7644</v>
      </c>
      <c r="F34" s="85">
        <v>1</v>
      </c>
      <c r="G34" s="85">
        <v>20093129</v>
      </c>
      <c r="H34" s="85" t="s">
        <v>834</v>
      </c>
      <c r="I34" s="231"/>
      <c r="J34" s="231"/>
      <c r="K34" s="337">
        <v>10380</v>
      </c>
      <c r="L34" s="231"/>
      <c r="M34" s="231"/>
      <c r="N34" s="231"/>
      <c r="O34" s="24"/>
      <c r="P34" s="337">
        <v>10380</v>
      </c>
      <c r="Q34" s="135"/>
      <c r="R34" s="25"/>
      <c r="S34" s="26"/>
      <c r="T34" s="26"/>
      <c r="U34" s="26"/>
      <c r="V34" s="229" t="s">
        <v>47</v>
      </c>
      <c r="W34" s="58"/>
      <c r="X34" s="162">
        <v>46265</v>
      </c>
      <c r="Y34" s="26" t="s">
        <v>63</v>
      </c>
      <c r="Z34" s="26"/>
      <c r="AA34" s="26"/>
      <c r="AB34" s="26" t="s">
        <v>49</v>
      </c>
      <c r="AC34" s="26"/>
      <c r="AD34" s="254" t="s">
        <v>48</v>
      </c>
      <c r="AE34" s="27"/>
      <c r="AF34" s="24"/>
      <c r="AG34" s="24"/>
      <c r="AH34" s="26"/>
      <c r="AI34" s="26"/>
      <c r="AJ34" s="25"/>
      <c r="AK34" s="26"/>
      <c r="AL34" s="24">
        <v>18</v>
      </c>
      <c r="AM34" s="224" t="s">
        <v>50</v>
      </c>
      <c r="AN34" s="255"/>
      <c r="AO34" s="131"/>
      <c r="AP34" s="132"/>
    </row>
    <row r="35" spans="1:42" s="28" customFormat="1" ht="15" customHeight="1" x14ac:dyDescent="0.2">
      <c r="A35" s="162">
        <v>46206</v>
      </c>
      <c r="B35" s="162">
        <v>46206</v>
      </c>
      <c r="C35" s="343" t="s">
        <v>52</v>
      </c>
      <c r="D35" s="224" t="s">
        <v>53</v>
      </c>
      <c r="E35" s="174">
        <v>7645</v>
      </c>
      <c r="F35" s="85">
        <v>1</v>
      </c>
      <c r="G35" s="85">
        <v>41426090</v>
      </c>
      <c r="H35" s="85" t="s">
        <v>835</v>
      </c>
      <c r="I35" s="231"/>
      <c r="J35" s="231"/>
      <c r="K35" s="337">
        <v>4861</v>
      </c>
      <c r="L35" s="231"/>
      <c r="M35" s="231"/>
      <c r="N35" s="231"/>
      <c r="O35" s="24"/>
      <c r="P35" s="337">
        <v>4861</v>
      </c>
      <c r="Q35" s="135"/>
      <c r="R35" s="25"/>
      <c r="S35" s="26"/>
      <c r="T35" s="26"/>
      <c r="U35" s="26"/>
      <c r="V35" s="229" t="s">
        <v>47</v>
      </c>
      <c r="W35" s="58"/>
      <c r="X35" s="162">
        <v>46206</v>
      </c>
      <c r="Y35" s="26" t="s">
        <v>63</v>
      </c>
      <c r="Z35" s="26"/>
      <c r="AA35" s="26"/>
      <c r="AB35" s="26" t="s">
        <v>49</v>
      </c>
      <c r="AC35" s="26"/>
      <c r="AD35" s="254" t="s">
        <v>48</v>
      </c>
      <c r="AE35" s="27"/>
      <c r="AF35" s="24"/>
      <c r="AG35" s="24"/>
      <c r="AH35" s="26"/>
      <c r="AI35" s="26"/>
      <c r="AJ35" s="25"/>
      <c r="AK35" s="26"/>
      <c r="AL35" s="24">
        <v>18</v>
      </c>
      <c r="AM35" s="224" t="s">
        <v>50</v>
      </c>
      <c r="AN35" s="255"/>
      <c r="AO35" s="131"/>
      <c r="AP35" s="132"/>
    </row>
    <row r="36" spans="1:42" s="28" customFormat="1" ht="15" customHeight="1" x14ac:dyDescent="0.2">
      <c r="A36" s="162">
        <v>46206</v>
      </c>
      <c r="B36" s="162">
        <v>46218</v>
      </c>
      <c r="C36" s="343" t="s">
        <v>52</v>
      </c>
      <c r="D36" s="224" t="s">
        <v>53</v>
      </c>
      <c r="E36" s="171">
        <v>7646</v>
      </c>
      <c r="F36" s="85">
        <v>1</v>
      </c>
      <c r="G36" s="85">
        <v>77287125</v>
      </c>
      <c r="H36" s="85" t="s">
        <v>836</v>
      </c>
      <c r="I36" s="231"/>
      <c r="J36" s="231"/>
      <c r="K36" s="337">
        <v>6080</v>
      </c>
      <c r="L36" s="231"/>
      <c r="M36" s="231"/>
      <c r="N36" s="231"/>
      <c r="O36" s="24"/>
      <c r="P36" s="337">
        <v>6080</v>
      </c>
      <c r="Q36" s="135"/>
      <c r="R36" s="25"/>
      <c r="S36" s="26"/>
      <c r="T36" s="26"/>
      <c r="U36" s="26"/>
      <c r="V36" s="229" t="s">
        <v>47</v>
      </c>
      <c r="W36" s="58"/>
      <c r="X36" s="162">
        <v>46218</v>
      </c>
      <c r="Y36" s="26" t="s">
        <v>63</v>
      </c>
      <c r="Z36" s="26"/>
      <c r="AA36" s="26"/>
      <c r="AB36" s="26" t="s">
        <v>49</v>
      </c>
      <c r="AC36" s="26"/>
      <c r="AD36" s="254" t="s">
        <v>48</v>
      </c>
      <c r="AE36" s="27"/>
      <c r="AF36" s="24"/>
      <c r="AG36" s="24"/>
      <c r="AH36" s="26"/>
      <c r="AI36" s="26"/>
      <c r="AJ36" s="25"/>
      <c r="AK36" s="26"/>
      <c r="AL36" s="24">
        <v>18</v>
      </c>
      <c r="AM36" s="224" t="s">
        <v>50</v>
      </c>
      <c r="AN36" s="255"/>
      <c r="AO36" s="131"/>
      <c r="AP36" s="132"/>
    </row>
    <row r="37" spans="1:42" s="28" customFormat="1" ht="15" customHeight="1" x14ac:dyDescent="0.2">
      <c r="A37" s="162">
        <v>46206</v>
      </c>
      <c r="B37" s="162">
        <v>46206</v>
      </c>
      <c r="C37" s="343" t="s">
        <v>52</v>
      </c>
      <c r="D37" s="224" t="s">
        <v>53</v>
      </c>
      <c r="E37" s="174">
        <v>7647</v>
      </c>
      <c r="F37" s="85">
        <v>1</v>
      </c>
      <c r="G37" s="85">
        <v>74655998</v>
      </c>
      <c r="H37" s="85" t="s">
        <v>837</v>
      </c>
      <c r="I37" s="231"/>
      <c r="J37" s="231"/>
      <c r="K37" s="337">
        <v>5180</v>
      </c>
      <c r="L37" s="231"/>
      <c r="M37" s="231"/>
      <c r="N37" s="231"/>
      <c r="O37" s="24"/>
      <c r="P37" s="337">
        <v>5180</v>
      </c>
      <c r="Q37" s="135"/>
      <c r="R37" s="25"/>
      <c r="S37" s="26"/>
      <c r="T37" s="26"/>
      <c r="U37" s="26"/>
      <c r="V37" s="229" t="s">
        <v>47</v>
      </c>
      <c r="W37" s="58"/>
      <c r="X37" s="162">
        <v>46206</v>
      </c>
      <c r="Y37" s="26" t="s">
        <v>63</v>
      </c>
      <c r="Z37" s="26"/>
      <c r="AA37" s="26"/>
      <c r="AB37" s="26" t="s">
        <v>49</v>
      </c>
      <c r="AC37" s="26"/>
      <c r="AD37" s="254" t="s">
        <v>48</v>
      </c>
      <c r="AE37" s="27"/>
      <c r="AF37" s="24"/>
      <c r="AG37" s="24"/>
      <c r="AH37" s="26"/>
      <c r="AI37" s="26"/>
      <c r="AJ37" s="25"/>
      <c r="AK37" s="26"/>
      <c r="AL37" s="24">
        <v>18</v>
      </c>
      <c r="AM37" s="224" t="s">
        <v>50</v>
      </c>
      <c r="AN37" s="255"/>
      <c r="AO37" s="131"/>
      <c r="AP37" s="132"/>
    </row>
    <row r="38" spans="1:42" s="28" customFormat="1" ht="15" customHeight="1" x14ac:dyDescent="0.2">
      <c r="A38" s="162">
        <v>46206</v>
      </c>
      <c r="B38" s="162">
        <v>46206</v>
      </c>
      <c r="C38" s="343" t="s">
        <v>52</v>
      </c>
      <c r="D38" s="224" t="s">
        <v>53</v>
      </c>
      <c r="E38" s="174">
        <v>7648</v>
      </c>
      <c r="F38" s="85">
        <v>1</v>
      </c>
      <c r="G38" s="85">
        <v>74655998</v>
      </c>
      <c r="H38" s="85" t="s">
        <v>837</v>
      </c>
      <c r="I38" s="231"/>
      <c r="J38" s="231"/>
      <c r="K38" s="337">
        <v>0</v>
      </c>
      <c r="L38" s="231"/>
      <c r="M38" s="231"/>
      <c r="N38" s="231"/>
      <c r="O38" s="24"/>
      <c r="P38" s="337">
        <v>0</v>
      </c>
      <c r="Q38" s="135"/>
      <c r="R38" s="25"/>
      <c r="S38" s="26"/>
      <c r="T38" s="26"/>
      <c r="U38" s="26"/>
      <c r="V38" s="229" t="s">
        <v>47</v>
      </c>
      <c r="W38" s="58"/>
      <c r="X38" s="162">
        <v>46206</v>
      </c>
      <c r="Y38" s="26" t="s">
        <v>61</v>
      </c>
      <c r="Z38" s="58"/>
      <c r="AA38" s="58"/>
      <c r="AB38" s="58" t="s">
        <v>49</v>
      </c>
      <c r="AC38" s="58"/>
      <c r="AD38" s="254" t="s">
        <v>48</v>
      </c>
      <c r="AE38" s="59"/>
      <c r="AF38" s="57"/>
      <c r="AG38" s="57"/>
      <c r="AH38" s="58"/>
      <c r="AI38" s="58"/>
      <c r="AJ38" s="56"/>
      <c r="AK38" s="58"/>
      <c r="AL38" s="57">
        <v>18</v>
      </c>
      <c r="AM38" s="225" t="s">
        <v>588</v>
      </c>
      <c r="AN38" s="255" t="s">
        <v>51</v>
      </c>
      <c r="AO38" s="131"/>
      <c r="AP38" s="132"/>
    </row>
    <row r="39" spans="1:42" s="28" customFormat="1" ht="15" customHeight="1" x14ac:dyDescent="0.2">
      <c r="A39" s="162">
        <v>46206</v>
      </c>
      <c r="B39" s="162">
        <v>46206</v>
      </c>
      <c r="C39" s="343" t="s">
        <v>52</v>
      </c>
      <c r="D39" s="224" t="s">
        <v>53</v>
      </c>
      <c r="E39" s="174">
        <v>7649</v>
      </c>
      <c r="F39" s="85">
        <v>1</v>
      </c>
      <c r="G39" s="85">
        <v>77222913</v>
      </c>
      <c r="H39" s="85" t="s">
        <v>838</v>
      </c>
      <c r="I39" s="231"/>
      <c r="J39" s="231"/>
      <c r="K39" s="337">
        <v>12280</v>
      </c>
      <c r="L39" s="231"/>
      <c r="M39" s="231"/>
      <c r="N39" s="231"/>
      <c r="O39" s="24"/>
      <c r="P39" s="337">
        <v>12280</v>
      </c>
      <c r="Q39" s="135"/>
      <c r="R39" s="25"/>
      <c r="S39" s="26"/>
      <c r="T39" s="26"/>
      <c r="U39" s="26"/>
      <c r="V39" s="229" t="s">
        <v>47</v>
      </c>
      <c r="W39" s="58"/>
      <c r="X39" s="162">
        <v>46206</v>
      </c>
      <c r="Y39" s="26" t="s">
        <v>63</v>
      </c>
      <c r="Z39" s="26"/>
      <c r="AA39" s="26"/>
      <c r="AB39" s="26" t="s">
        <v>49</v>
      </c>
      <c r="AC39" s="26"/>
      <c r="AD39" s="254" t="s">
        <v>48</v>
      </c>
      <c r="AE39" s="27"/>
      <c r="AF39" s="24"/>
      <c r="AG39" s="24"/>
      <c r="AH39" s="26"/>
      <c r="AI39" s="26"/>
      <c r="AJ39" s="25"/>
      <c r="AK39" s="26"/>
      <c r="AL39" s="24">
        <v>18</v>
      </c>
      <c r="AM39" s="224" t="s">
        <v>50</v>
      </c>
      <c r="AN39" s="255"/>
      <c r="AO39" s="131"/>
      <c r="AP39" s="132"/>
    </row>
    <row r="40" spans="1:42" s="28" customFormat="1" ht="15" customHeight="1" x14ac:dyDescent="0.2">
      <c r="A40" s="162">
        <v>46206</v>
      </c>
      <c r="B40" s="162">
        <v>46206</v>
      </c>
      <c r="C40" s="343" t="s">
        <v>52</v>
      </c>
      <c r="D40" s="224" t="s">
        <v>53</v>
      </c>
      <c r="E40" s="171">
        <v>7650</v>
      </c>
      <c r="F40" s="85">
        <v>1</v>
      </c>
      <c r="G40" s="85">
        <v>77222913</v>
      </c>
      <c r="H40" s="85" t="s">
        <v>838</v>
      </c>
      <c r="I40" s="231"/>
      <c r="J40" s="231"/>
      <c r="K40" s="337">
        <v>0</v>
      </c>
      <c r="L40" s="231"/>
      <c r="M40" s="231"/>
      <c r="N40" s="231"/>
      <c r="O40" s="24"/>
      <c r="P40" s="337">
        <v>0</v>
      </c>
      <c r="Q40" s="135"/>
      <c r="R40" s="25"/>
      <c r="S40" s="26"/>
      <c r="T40" s="26"/>
      <c r="U40" s="26"/>
      <c r="V40" s="229" t="s">
        <v>47</v>
      </c>
      <c r="W40" s="58"/>
      <c r="X40" s="162">
        <v>46206</v>
      </c>
      <c r="Y40" s="26" t="s">
        <v>61</v>
      </c>
      <c r="Z40" s="58"/>
      <c r="AA40" s="58"/>
      <c r="AB40" s="58" t="s">
        <v>49</v>
      </c>
      <c r="AC40" s="58"/>
      <c r="AD40" s="254" t="s">
        <v>48</v>
      </c>
      <c r="AE40" s="59"/>
      <c r="AF40" s="57"/>
      <c r="AG40" s="57"/>
      <c r="AH40" s="58"/>
      <c r="AI40" s="58"/>
      <c r="AJ40" s="56"/>
      <c r="AK40" s="58"/>
      <c r="AL40" s="57">
        <v>18</v>
      </c>
      <c r="AM40" s="225" t="s">
        <v>588</v>
      </c>
      <c r="AN40" s="255" t="s">
        <v>51</v>
      </c>
      <c r="AO40" s="131"/>
      <c r="AP40" s="132"/>
    </row>
    <row r="41" spans="1:42" s="28" customFormat="1" ht="15" customHeight="1" x14ac:dyDescent="0.2">
      <c r="A41" s="162">
        <v>46206</v>
      </c>
      <c r="B41" s="162">
        <v>46206</v>
      </c>
      <c r="C41" s="343" t="s">
        <v>52</v>
      </c>
      <c r="D41" s="224" t="s">
        <v>53</v>
      </c>
      <c r="E41" s="174">
        <v>7651</v>
      </c>
      <c r="F41" s="85">
        <v>1</v>
      </c>
      <c r="G41" s="85">
        <v>75313923</v>
      </c>
      <c r="H41" s="85" t="s">
        <v>839</v>
      </c>
      <c r="I41" s="231"/>
      <c r="J41" s="231"/>
      <c r="K41" s="337">
        <v>4861</v>
      </c>
      <c r="L41" s="231"/>
      <c r="M41" s="231"/>
      <c r="N41" s="231"/>
      <c r="O41" s="24"/>
      <c r="P41" s="337">
        <v>4861</v>
      </c>
      <c r="Q41" s="135"/>
      <c r="R41" s="25"/>
      <c r="S41" s="26"/>
      <c r="T41" s="26"/>
      <c r="U41" s="26"/>
      <c r="V41" s="229" t="s">
        <v>47</v>
      </c>
      <c r="W41" s="58"/>
      <c r="X41" s="162">
        <v>46206</v>
      </c>
      <c r="Y41" s="26" t="s">
        <v>63</v>
      </c>
      <c r="Z41" s="26"/>
      <c r="AA41" s="26"/>
      <c r="AB41" s="26" t="s">
        <v>49</v>
      </c>
      <c r="AC41" s="26"/>
      <c r="AD41" s="254" t="s">
        <v>48</v>
      </c>
      <c r="AE41" s="27"/>
      <c r="AF41" s="24"/>
      <c r="AG41" s="24"/>
      <c r="AH41" s="26"/>
      <c r="AI41" s="26"/>
      <c r="AJ41" s="25"/>
      <c r="AK41" s="26"/>
      <c r="AL41" s="24">
        <v>18</v>
      </c>
      <c r="AM41" s="224" t="s">
        <v>50</v>
      </c>
      <c r="AN41" s="255"/>
      <c r="AO41" s="131"/>
      <c r="AP41" s="132"/>
    </row>
    <row r="42" spans="1:42" s="28" customFormat="1" ht="15" customHeight="1" x14ac:dyDescent="0.2">
      <c r="A42" s="162">
        <v>46206</v>
      </c>
      <c r="B42" s="162">
        <v>46206</v>
      </c>
      <c r="C42" s="343" t="s">
        <v>52</v>
      </c>
      <c r="D42" s="224" t="s">
        <v>53</v>
      </c>
      <c r="E42" s="174">
        <v>7652</v>
      </c>
      <c r="F42" s="85">
        <v>1</v>
      </c>
      <c r="G42" s="85">
        <v>75313923</v>
      </c>
      <c r="H42" s="85" t="s">
        <v>839</v>
      </c>
      <c r="I42" s="231"/>
      <c r="J42" s="231"/>
      <c r="K42" s="337">
        <v>0</v>
      </c>
      <c r="L42" s="231"/>
      <c r="M42" s="231"/>
      <c r="N42" s="231"/>
      <c r="O42" s="24"/>
      <c r="P42" s="337">
        <v>0</v>
      </c>
      <c r="Q42" s="135"/>
      <c r="R42" s="25"/>
      <c r="S42" s="26"/>
      <c r="T42" s="26"/>
      <c r="U42" s="26"/>
      <c r="V42" s="229" t="s">
        <v>47</v>
      </c>
      <c r="W42" s="58"/>
      <c r="X42" s="162">
        <v>46206</v>
      </c>
      <c r="Y42" s="26" t="s">
        <v>61</v>
      </c>
      <c r="Z42" s="58"/>
      <c r="AA42" s="58"/>
      <c r="AB42" s="58" t="s">
        <v>49</v>
      </c>
      <c r="AC42" s="58"/>
      <c r="AD42" s="254" t="s">
        <v>48</v>
      </c>
      <c r="AE42" s="59"/>
      <c r="AF42" s="57"/>
      <c r="AG42" s="57"/>
      <c r="AH42" s="58"/>
      <c r="AI42" s="58"/>
      <c r="AJ42" s="56"/>
      <c r="AK42" s="58"/>
      <c r="AL42" s="57">
        <v>18</v>
      </c>
      <c r="AM42" s="225" t="s">
        <v>588</v>
      </c>
      <c r="AN42" s="255" t="s">
        <v>51</v>
      </c>
      <c r="AO42" s="131"/>
      <c r="AP42" s="132"/>
    </row>
    <row r="43" spans="1:42" s="28" customFormat="1" ht="15" customHeight="1" x14ac:dyDescent="0.2">
      <c r="A43" s="162">
        <v>46206</v>
      </c>
      <c r="B43" s="162">
        <v>46206</v>
      </c>
      <c r="C43" s="343" t="s">
        <v>52</v>
      </c>
      <c r="D43" s="224" t="s">
        <v>53</v>
      </c>
      <c r="E43" s="174">
        <v>7653</v>
      </c>
      <c r="F43" s="85">
        <v>1</v>
      </c>
      <c r="G43" s="85">
        <v>61642891</v>
      </c>
      <c r="H43" s="85" t="s">
        <v>840</v>
      </c>
      <c r="I43" s="231"/>
      <c r="J43" s="231"/>
      <c r="K43" s="337">
        <v>5230</v>
      </c>
      <c r="L43" s="231"/>
      <c r="M43" s="231"/>
      <c r="N43" s="231"/>
      <c r="O43" s="24"/>
      <c r="P43" s="337">
        <v>5230</v>
      </c>
      <c r="Q43" s="135"/>
      <c r="R43" s="25"/>
      <c r="S43" s="26"/>
      <c r="T43" s="26"/>
      <c r="U43" s="26"/>
      <c r="V43" s="229" t="s">
        <v>47</v>
      </c>
      <c r="W43" s="58"/>
      <c r="X43" s="162">
        <v>46206</v>
      </c>
      <c r="Y43" s="26" t="s">
        <v>63</v>
      </c>
      <c r="Z43" s="26"/>
      <c r="AA43" s="26"/>
      <c r="AB43" s="26" t="s">
        <v>49</v>
      </c>
      <c r="AC43" s="26"/>
      <c r="AD43" s="254" t="s">
        <v>48</v>
      </c>
      <c r="AE43" s="27"/>
      <c r="AF43" s="24"/>
      <c r="AG43" s="24"/>
      <c r="AH43" s="26"/>
      <c r="AI43" s="26"/>
      <c r="AJ43" s="25"/>
      <c r="AK43" s="26"/>
      <c r="AL43" s="24">
        <v>18</v>
      </c>
      <c r="AM43" s="224" t="s">
        <v>50</v>
      </c>
      <c r="AN43" s="255"/>
      <c r="AO43" s="131"/>
      <c r="AP43" s="132"/>
    </row>
    <row r="44" spans="1:42" s="28" customFormat="1" ht="15" customHeight="1" x14ac:dyDescent="0.2">
      <c r="A44" s="162">
        <v>46206</v>
      </c>
      <c r="B44" s="162">
        <v>46206</v>
      </c>
      <c r="C44" s="343" t="s">
        <v>52</v>
      </c>
      <c r="D44" s="224" t="s">
        <v>53</v>
      </c>
      <c r="E44" s="171">
        <v>7654</v>
      </c>
      <c r="F44" s="85">
        <v>1</v>
      </c>
      <c r="G44" s="85">
        <v>61642891</v>
      </c>
      <c r="H44" s="85" t="s">
        <v>840</v>
      </c>
      <c r="I44" s="231"/>
      <c r="J44" s="231"/>
      <c r="K44" s="337">
        <v>0</v>
      </c>
      <c r="L44" s="231"/>
      <c r="M44" s="231"/>
      <c r="N44" s="231"/>
      <c r="O44" s="24"/>
      <c r="P44" s="337">
        <v>0</v>
      </c>
      <c r="Q44" s="135"/>
      <c r="R44" s="25"/>
      <c r="S44" s="26"/>
      <c r="T44" s="26"/>
      <c r="U44" s="26"/>
      <c r="V44" s="229" t="s">
        <v>47</v>
      </c>
      <c r="W44" s="58"/>
      <c r="X44" s="162">
        <v>46206</v>
      </c>
      <c r="Y44" s="26" t="s">
        <v>61</v>
      </c>
      <c r="Z44" s="58"/>
      <c r="AA44" s="58"/>
      <c r="AB44" s="58" t="s">
        <v>49</v>
      </c>
      <c r="AC44" s="58"/>
      <c r="AD44" s="254" t="s">
        <v>48</v>
      </c>
      <c r="AE44" s="59"/>
      <c r="AF44" s="57"/>
      <c r="AG44" s="57"/>
      <c r="AH44" s="58"/>
      <c r="AI44" s="58"/>
      <c r="AJ44" s="56"/>
      <c r="AK44" s="58"/>
      <c r="AL44" s="57">
        <v>18</v>
      </c>
      <c r="AM44" s="225" t="s">
        <v>588</v>
      </c>
      <c r="AN44" s="255" t="s">
        <v>51</v>
      </c>
      <c r="AO44" s="131"/>
      <c r="AP44" s="132"/>
    </row>
    <row r="45" spans="1:42" s="28" customFormat="1" ht="15" customHeight="1" x14ac:dyDescent="0.2">
      <c r="A45" s="162">
        <v>46206</v>
      </c>
      <c r="B45" s="162">
        <v>46206</v>
      </c>
      <c r="C45" s="343" t="s">
        <v>52</v>
      </c>
      <c r="D45" s="224" t="s">
        <v>53</v>
      </c>
      <c r="E45" s="174">
        <v>7655</v>
      </c>
      <c r="F45" s="85">
        <v>1</v>
      </c>
      <c r="G45" s="85">
        <v>70880328</v>
      </c>
      <c r="H45" s="85" t="s">
        <v>841</v>
      </c>
      <c r="I45" s="231"/>
      <c r="J45" s="231"/>
      <c r="K45" s="337">
        <v>4792</v>
      </c>
      <c r="L45" s="231"/>
      <c r="M45" s="231"/>
      <c r="N45" s="231"/>
      <c r="O45" s="24"/>
      <c r="P45" s="337">
        <v>4792</v>
      </c>
      <c r="Q45" s="135"/>
      <c r="R45" s="25"/>
      <c r="S45" s="26"/>
      <c r="T45" s="26"/>
      <c r="U45" s="26"/>
      <c r="V45" s="229" t="s">
        <v>47</v>
      </c>
      <c r="W45" s="58"/>
      <c r="X45" s="162">
        <v>46206</v>
      </c>
      <c r="Y45" s="26" t="s">
        <v>63</v>
      </c>
      <c r="Z45" s="26"/>
      <c r="AA45" s="26"/>
      <c r="AB45" s="26" t="s">
        <v>49</v>
      </c>
      <c r="AC45" s="26"/>
      <c r="AD45" s="254" t="s">
        <v>48</v>
      </c>
      <c r="AE45" s="27"/>
      <c r="AF45" s="24"/>
      <c r="AG45" s="24"/>
      <c r="AH45" s="26"/>
      <c r="AI45" s="26"/>
      <c r="AJ45" s="25"/>
      <c r="AK45" s="26"/>
      <c r="AL45" s="24">
        <v>18</v>
      </c>
      <c r="AM45" s="224" t="s">
        <v>50</v>
      </c>
      <c r="AN45" s="255"/>
      <c r="AO45" s="131"/>
      <c r="AP45" s="132"/>
    </row>
    <row r="46" spans="1:42" s="28" customFormat="1" ht="15" customHeight="1" x14ac:dyDescent="0.2">
      <c r="A46" s="162">
        <v>46206</v>
      </c>
      <c r="B46" s="162">
        <v>46206</v>
      </c>
      <c r="C46" s="343" t="s">
        <v>52</v>
      </c>
      <c r="D46" s="224" t="s">
        <v>53</v>
      </c>
      <c r="E46" s="174">
        <v>7656</v>
      </c>
      <c r="F46" s="85">
        <v>1</v>
      </c>
      <c r="G46" s="85">
        <v>70880328</v>
      </c>
      <c r="H46" s="85" t="s">
        <v>841</v>
      </c>
      <c r="I46" s="231"/>
      <c r="J46" s="231"/>
      <c r="K46" s="337">
        <v>0</v>
      </c>
      <c r="L46" s="231"/>
      <c r="M46" s="231"/>
      <c r="N46" s="231"/>
      <c r="O46" s="24"/>
      <c r="P46" s="337">
        <v>0</v>
      </c>
      <c r="Q46" s="135"/>
      <c r="R46" s="25"/>
      <c r="S46" s="26"/>
      <c r="T46" s="26"/>
      <c r="U46" s="26"/>
      <c r="V46" s="229" t="s">
        <v>47</v>
      </c>
      <c r="W46" s="58"/>
      <c r="X46" s="162">
        <v>46206</v>
      </c>
      <c r="Y46" s="26" t="s">
        <v>61</v>
      </c>
      <c r="Z46" s="58"/>
      <c r="AA46" s="58"/>
      <c r="AB46" s="58" t="s">
        <v>49</v>
      </c>
      <c r="AC46" s="58"/>
      <c r="AD46" s="254" t="s">
        <v>48</v>
      </c>
      <c r="AE46" s="59"/>
      <c r="AF46" s="57"/>
      <c r="AG46" s="57"/>
      <c r="AH46" s="58"/>
      <c r="AI46" s="58"/>
      <c r="AJ46" s="56"/>
      <c r="AK46" s="58"/>
      <c r="AL46" s="57">
        <v>18</v>
      </c>
      <c r="AM46" s="225" t="s">
        <v>588</v>
      </c>
      <c r="AN46" s="255" t="s">
        <v>51</v>
      </c>
      <c r="AO46" s="131"/>
      <c r="AP46" s="132"/>
    </row>
    <row r="47" spans="1:42" s="28" customFormat="1" ht="15" customHeight="1" x14ac:dyDescent="0.2">
      <c r="A47" s="162">
        <v>46207</v>
      </c>
      <c r="B47" s="162">
        <v>46207</v>
      </c>
      <c r="C47" s="343" t="s">
        <v>52</v>
      </c>
      <c r="D47" s="224" t="s">
        <v>53</v>
      </c>
      <c r="E47" s="174">
        <v>7657</v>
      </c>
      <c r="F47" s="85">
        <v>1</v>
      </c>
      <c r="G47" s="85">
        <v>76669471</v>
      </c>
      <c r="H47" s="85" t="s">
        <v>842</v>
      </c>
      <c r="I47" s="231"/>
      <c r="J47" s="231"/>
      <c r="K47" s="337">
        <v>0</v>
      </c>
      <c r="L47" s="231"/>
      <c r="M47" s="231"/>
      <c r="N47" s="231"/>
      <c r="O47" s="24"/>
      <c r="P47" s="337">
        <v>0</v>
      </c>
      <c r="Q47" s="135"/>
      <c r="R47" s="25"/>
      <c r="S47" s="26"/>
      <c r="T47" s="26"/>
      <c r="U47" s="26"/>
      <c r="V47" s="229" t="s">
        <v>47</v>
      </c>
      <c r="W47" s="58"/>
      <c r="X47" s="162">
        <v>46207</v>
      </c>
      <c r="Y47" s="26" t="s">
        <v>61</v>
      </c>
      <c r="Z47" s="58"/>
      <c r="AA47" s="58"/>
      <c r="AB47" s="58" t="s">
        <v>49</v>
      </c>
      <c r="AC47" s="58"/>
      <c r="AD47" s="254" t="s">
        <v>48</v>
      </c>
      <c r="AE47" s="59"/>
      <c r="AF47" s="57"/>
      <c r="AG47" s="57"/>
      <c r="AH47" s="58"/>
      <c r="AI47" s="58"/>
      <c r="AJ47" s="56"/>
      <c r="AK47" s="58"/>
      <c r="AL47" s="57">
        <v>18</v>
      </c>
      <c r="AM47" s="225" t="s">
        <v>588</v>
      </c>
      <c r="AN47" s="255" t="s">
        <v>51</v>
      </c>
      <c r="AO47" s="131"/>
      <c r="AP47" s="132"/>
    </row>
    <row r="48" spans="1:42" s="28" customFormat="1" ht="15" customHeight="1" x14ac:dyDescent="0.2">
      <c r="A48" s="162">
        <v>46207</v>
      </c>
      <c r="B48" s="162">
        <v>46207</v>
      </c>
      <c r="C48" s="343" t="s">
        <v>52</v>
      </c>
      <c r="D48" s="224" t="s">
        <v>53</v>
      </c>
      <c r="E48" s="171">
        <v>7658</v>
      </c>
      <c r="F48" s="85">
        <v>1</v>
      </c>
      <c r="G48" s="85">
        <v>21006405</v>
      </c>
      <c r="H48" s="85" t="s">
        <v>843</v>
      </c>
      <c r="I48" s="231"/>
      <c r="J48" s="231"/>
      <c r="K48" s="337">
        <v>11780</v>
      </c>
      <c r="L48" s="231"/>
      <c r="M48" s="231"/>
      <c r="N48" s="231"/>
      <c r="O48" s="24"/>
      <c r="P48" s="337">
        <v>11780</v>
      </c>
      <c r="Q48" s="135"/>
      <c r="R48" s="25"/>
      <c r="S48" s="26"/>
      <c r="T48" s="26"/>
      <c r="U48" s="26"/>
      <c r="V48" s="229" t="s">
        <v>47</v>
      </c>
      <c r="W48" s="58"/>
      <c r="X48" s="162">
        <v>46207</v>
      </c>
      <c r="Y48" s="26" t="s">
        <v>63</v>
      </c>
      <c r="Z48" s="26"/>
      <c r="AA48" s="26"/>
      <c r="AB48" s="26" t="s">
        <v>49</v>
      </c>
      <c r="AC48" s="26"/>
      <c r="AD48" s="254" t="s">
        <v>48</v>
      </c>
      <c r="AE48" s="27"/>
      <c r="AF48" s="24"/>
      <c r="AG48" s="24"/>
      <c r="AH48" s="26"/>
      <c r="AI48" s="26"/>
      <c r="AJ48" s="25"/>
      <c r="AK48" s="26"/>
      <c r="AL48" s="24">
        <v>18</v>
      </c>
      <c r="AM48" s="224" t="s">
        <v>50</v>
      </c>
      <c r="AN48" s="255"/>
      <c r="AO48" s="131"/>
      <c r="AP48" s="132"/>
    </row>
    <row r="49" spans="1:42" s="28" customFormat="1" ht="15" customHeight="1" x14ac:dyDescent="0.2">
      <c r="A49" s="162">
        <v>46207</v>
      </c>
      <c r="B49" s="162">
        <v>46207</v>
      </c>
      <c r="C49" s="343" t="s">
        <v>52</v>
      </c>
      <c r="D49" s="224" t="s">
        <v>53</v>
      </c>
      <c r="E49" s="174">
        <v>7659</v>
      </c>
      <c r="F49" s="85">
        <v>1</v>
      </c>
      <c r="G49" s="85">
        <v>76834380</v>
      </c>
      <c r="H49" s="85" t="s">
        <v>844</v>
      </c>
      <c r="I49" s="231"/>
      <c r="J49" s="231"/>
      <c r="K49" s="337">
        <v>5280</v>
      </c>
      <c r="L49" s="231"/>
      <c r="M49" s="231"/>
      <c r="N49" s="231"/>
      <c r="O49" s="24"/>
      <c r="P49" s="337">
        <v>5280</v>
      </c>
      <c r="Q49" s="135"/>
      <c r="R49" s="25"/>
      <c r="S49" s="26"/>
      <c r="T49" s="26"/>
      <c r="U49" s="26"/>
      <c r="V49" s="229" t="s">
        <v>47</v>
      </c>
      <c r="W49" s="58"/>
      <c r="X49" s="162">
        <v>46207</v>
      </c>
      <c r="Y49" s="26" t="s">
        <v>63</v>
      </c>
      <c r="Z49" s="26"/>
      <c r="AA49" s="26"/>
      <c r="AB49" s="26" t="s">
        <v>49</v>
      </c>
      <c r="AC49" s="26"/>
      <c r="AD49" s="254" t="s">
        <v>48</v>
      </c>
      <c r="AE49" s="27"/>
      <c r="AF49" s="24"/>
      <c r="AG49" s="24"/>
      <c r="AH49" s="26"/>
      <c r="AI49" s="26"/>
      <c r="AJ49" s="25"/>
      <c r="AK49" s="26"/>
      <c r="AL49" s="24">
        <v>18</v>
      </c>
      <c r="AM49" s="224" t="s">
        <v>50</v>
      </c>
      <c r="AN49" s="255"/>
      <c r="AO49" s="131"/>
      <c r="AP49" s="132"/>
    </row>
    <row r="50" spans="1:42" s="28" customFormat="1" ht="15" customHeight="1" x14ac:dyDescent="0.2">
      <c r="A50" s="162">
        <v>46207</v>
      </c>
      <c r="B50" s="162">
        <v>46207</v>
      </c>
      <c r="C50" s="343" t="s">
        <v>52</v>
      </c>
      <c r="D50" s="224" t="s">
        <v>53</v>
      </c>
      <c r="E50" s="174">
        <v>7660</v>
      </c>
      <c r="F50" s="85">
        <v>1</v>
      </c>
      <c r="G50" s="85">
        <v>76834380</v>
      </c>
      <c r="H50" s="85" t="s">
        <v>844</v>
      </c>
      <c r="I50" s="231"/>
      <c r="J50" s="231"/>
      <c r="K50" s="337">
        <v>0</v>
      </c>
      <c r="L50" s="231"/>
      <c r="M50" s="231"/>
      <c r="N50" s="231"/>
      <c r="O50" s="24"/>
      <c r="P50" s="337">
        <v>0</v>
      </c>
      <c r="Q50" s="135"/>
      <c r="R50" s="25"/>
      <c r="S50" s="26"/>
      <c r="T50" s="26"/>
      <c r="U50" s="26"/>
      <c r="V50" s="229" t="s">
        <v>47</v>
      </c>
      <c r="W50" s="58"/>
      <c r="X50" s="162">
        <v>46207</v>
      </c>
      <c r="Y50" s="26" t="s">
        <v>61</v>
      </c>
      <c r="Z50" s="58"/>
      <c r="AA50" s="58"/>
      <c r="AB50" s="58" t="s">
        <v>49</v>
      </c>
      <c r="AC50" s="58"/>
      <c r="AD50" s="254" t="s">
        <v>48</v>
      </c>
      <c r="AE50" s="59"/>
      <c r="AF50" s="57"/>
      <c r="AG50" s="57"/>
      <c r="AH50" s="58"/>
      <c r="AI50" s="58"/>
      <c r="AJ50" s="56"/>
      <c r="AK50" s="58"/>
      <c r="AL50" s="57">
        <v>18</v>
      </c>
      <c r="AM50" s="225" t="s">
        <v>588</v>
      </c>
      <c r="AN50" s="255" t="s">
        <v>51</v>
      </c>
      <c r="AO50" s="131"/>
      <c r="AP50" s="132"/>
    </row>
    <row r="51" spans="1:42" s="28" customFormat="1" ht="15" customHeight="1" x14ac:dyDescent="0.2">
      <c r="A51" s="162">
        <v>46207</v>
      </c>
      <c r="B51" s="162">
        <v>46207</v>
      </c>
      <c r="C51" s="343" t="s">
        <v>52</v>
      </c>
      <c r="D51" s="224" t="s">
        <v>53</v>
      </c>
      <c r="E51" s="174">
        <v>7661</v>
      </c>
      <c r="F51" s="85">
        <v>1</v>
      </c>
      <c r="G51" s="85">
        <v>73036805</v>
      </c>
      <c r="H51" s="85" t="s">
        <v>845</v>
      </c>
      <c r="I51" s="231"/>
      <c r="J51" s="231"/>
      <c r="K51" s="337">
        <v>4861</v>
      </c>
      <c r="L51" s="231"/>
      <c r="M51" s="231"/>
      <c r="N51" s="231"/>
      <c r="O51" s="24"/>
      <c r="P51" s="337">
        <v>4861</v>
      </c>
      <c r="Q51" s="135"/>
      <c r="R51" s="25"/>
      <c r="S51" s="26"/>
      <c r="T51" s="26"/>
      <c r="U51" s="26"/>
      <c r="V51" s="229" t="s">
        <v>47</v>
      </c>
      <c r="W51" s="58"/>
      <c r="X51" s="162">
        <v>46207</v>
      </c>
      <c r="Y51" s="26" t="s">
        <v>63</v>
      </c>
      <c r="Z51" s="26"/>
      <c r="AA51" s="26"/>
      <c r="AB51" s="26" t="s">
        <v>49</v>
      </c>
      <c r="AC51" s="26"/>
      <c r="AD51" s="254" t="s">
        <v>48</v>
      </c>
      <c r="AE51" s="27"/>
      <c r="AF51" s="24"/>
      <c r="AG51" s="24"/>
      <c r="AH51" s="26"/>
      <c r="AI51" s="26"/>
      <c r="AJ51" s="25"/>
      <c r="AK51" s="26"/>
      <c r="AL51" s="24">
        <v>18</v>
      </c>
      <c r="AM51" s="224" t="s">
        <v>50</v>
      </c>
      <c r="AN51" s="255"/>
      <c r="AO51" s="131"/>
      <c r="AP51" s="132"/>
    </row>
    <row r="52" spans="1:42" s="28" customFormat="1" ht="15" customHeight="1" x14ac:dyDescent="0.2">
      <c r="A52" s="162">
        <v>46207</v>
      </c>
      <c r="B52" s="162">
        <v>46207</v>
      </c>
      <c r="C52" s="343" t="s">
        <v>52</v>
      </c>
      <c r="D52" s="224" t="s">
        <v>53</v>
      </c>
      <c r="E52" s="171">
        <v>7662</v>
      </c>
      <c r="F52" s="85">
        <v>1</v>
      </c>
      <c r="G52" s="85">
        <v>73036805</v>
      </c>
      <c r="H52" s="85" t="s">
        <v>845</v>
      </c>
      <c r="I52" s="231"/>
      <c r="J52" s="231"/>
      <c r="K52" s="337">
        <v>0</v>
      </c>
      <c r="L52" s="231"/>
      <c r="M52" s="231"/>
      <c r="N52" s="231"/>
      <c r="O52" s="24"/>
      <c r="P52" s="337">
        <v>0</v>
      </c>
      <c r="Q52" s="135"/>
      <c r="R52" s="25"/>
      <c r="S52" s="26"/>
      <c r="T52" s="26"/>
      <c r="U52" s="26"/>
      <c r="V52" s="229" t="s">
        <v>47</v>
      </c>
      <c r="W52" s="58"/>
      <c r="X52" s="162">
        <v>46207</v>
      </c>
      <c r="Y52" s="26" t="s">
        <v>61</v>
      </c>
      <c r="Z52" s="58"/>
      <c r="AA52" s="58"/>
      <c r="AB52" s="58" t="s">
        <v>49</v>
      </c>
      <c r="AC52" s="58"/>
      <c r="AD52" s="254" t="s">
        <v>48</v>
      </c>
      <c r="AE52" s="59"/>
      <c r="AF52" s="57"/>
      <c r="AG52" s="57"/>
      <c r="AH52" s="58"/>
      <c r="AI52" s="58"/>
      <c r="AJ52" s="56"/>
      <c r="AK52" s="58"/>
      <c r="AL52" s="57">
        <v>18</v>
      </c>
      <c r="AM52" s="225" t="s">
        <v>588</v>
      </c>
      <c r="AN52" s="255" t="s">
        <v>51</v>
      </c>
      <c r="AO52" s="131"/>
      <c r="AP52" s="132"/>
    </row>
    <row r="53" spans="1:42" s="28" customFormat="1" ht="15" customHeight="1" x14ac:dyDescent="0.2">
      <c r="A53" s="162">
        <v>46209</v>
      </c>
      <c r="B53" s="162">
        <v>46209</v>
      </c>
      <c r="C53" s="343" t="s">
        <v>52</v>
      </c>
      <c r="D53" s="224" t="s">
        <v>53</v>
      </c>
      <c r="E53" s="174">
        <v>7663</v>
      </c>
      <c r="F53" s="85">
        <v>1</v>
      </c>
      <c r="G53" s="85">
        <v>46729635</v>
      </c>
      <c r="H53" s="85" t="s">
        <v>846</v>
      </c>
      <c r="I53" s="231"/>
      <c r="J53" s="231"/>
      <c r="K53" s="337">
        <v>0</v>
      </c>
      <c r="L53" s="231"/>
      <c r="M53" s="231"/>
      <c r="N53" s="231"/>
      <c r="O53" s="24"/>
      <c r="P53" s="337">
        <v>0</v>
      </c>
      <c r="Q53" s="135"/>
      <c r="R53" s="25"/>
      <c r="S53" s="26"/>
      <c r="T53" s="26"/>
      <c r="U53" s="26"/>
      <c r="V53" s="229" t="s">
        <v>47</v>
      </c>
      <c r="W53" s="58"/>
      <c r="X53" s="162">
        <v>46209</v>
      </c>
      <c r="Y53" s="26" t="s">
        <v>61</v>
      </c>
      <c r="Z53" s="58"/>
      <c r="AA53" s="58"/>
      <c r="AB53" s="58" t="s">
        <v>49</v>
      </c>
      <c r="AC53" s="58"/>
      <c r="AD53" s="254" t="s">
        <v>48</v>
      </c>
      <c r="AE53" s="59"/>
      <c r="AF53" s="57"/>
      <c r="AG53" s="57"/>
      <c r="AH53" s="58"/>
      <c r="AI53" s="58"/>
      <c r="AJ53" s="56"/>
      <c r="AK53" s="58"/>
      <c r="AL53" s="57">
        <v>18</v>
      </c>
      <c r="AM53" s="225" t="s">
        <v>588</v>
      </c>
      <c r="AN53" s="255" t="s">
        <v>51</v>
      </c>
      <c r="AO53" s="131"/>
      <c r="AP53" s="132"/>
    </row>
    <row r="54" spans="1:42" s="28" customFormat="1" ht="15" customHeight="1" x14ac:dyDescent="0.2">
      <c r="A54" s="162">
        <v>46209</v>
      </c>
      <c r="B54" s="162">
        <v>46209</v>
      </c>
      <c r="C54" s="343" t="s">
        <v>52</v>
      </c>
      <c r="D54" s="224" t="s">
        <v>53</v>
      </c>
      <c r="E54" s="174">
        <v>7664</v>
      </c>
      <c r="F54" s="85">
        <v>1</v>
      </c>
      <c r="G54" s="85">
        <v>46828796</v>
      </c>
      <c r="H54" s="85" t="s">
        <v>847</v>
      </c>
      <c r="I54" s="231"/>
      <c r="J54" s="231"/>
      <c r="K54" s="337">
        <v>0</v>
      </c>
      <c r="L54" s="231"/>
      <c r="M54" s="231"/>
      <c r="N54" s="231"/>
      <c r="O54" s="24"/>
      <c r="P54" s="337">
        <v>0</v>
      </c>
      <c r="Q54" s="135"/>
      <c r="R54" s="25"/>
      <c r="S54" s="26"/>
      <c r="T54" s="26"/>
      <c r="U54" s="26"/>
      <c r="V54" s="229" t="s">
        <v>47</v>
      </c>
      <c r="W54" s="58"/>
      <c r="X54" s="162">
        <v>46209</v>
      </c>
      <c r="Y54" s="26" t="s">
        <v>61</v>
      </c>
      <c r="Z54" s="58"/>
      <c r="AA54" s="58"/>
      <c r="AB54" s="58" t="s">
        <v>49</v>
      </c>
      <c r="AC54" s="58"/>
      <c r="AD54" s="254" t="s">
        <v>48</v>
      </c>
      <c r="AE54" s="59"/>
      <c r="AF54" s="57"/>
      <c r="AG54" s="57"/>
      <c r="AH54" s="58"/>
      <c r="AI54" s="58"/>
      <c r="AJ54" s="56"/>
      <c r="AK54" s="58"/>
      <c r="AL54" s="57">
        <v>18</v>
      </c>
      <c r="AM54" s="225" t="s">
        <v>588</v>
      </c>
      <c r="AN54" s="255" t="s">
        <v>51</v>
      </c>
      <c r="AO54" s="131"/>
      <c r="AP54" s="132"/>
    </row>
    <row r="55" spans="1:42" s="28" customFormat="1" ht="15" customHeight="1" x14ac:dyDescent="0.2">
      <c r="A55" s="162">
        <v>46209</v>
      </c>
      <c r="B55" s="162">
        <v>46209</v>
      </c>
      <c r="C55" s="343" t="s">
        <v>52</v>
      </c>
      <c r="D55" s="224" t="s">
        <v>53</v>
      </c>
      <c r="E55" s="174">
        <v>7665</v>
      </c>
      <c r="F55" s="85">
        <v>1</v>
      </c>
      <c r="G55" s="85">
        <v>73948960</v>
      </c>
      <c r="H55" s="85" t="s">
        <v>848</v>
      </c>
      <c r="I55" s="231"/>
      <c r="J55" s="231"/>
      <c r="K55" s="337">
        <v>10440</v>
      </c>
      <c r="L55" s="231"/>
      <c r="M55" s="231"/>
      <c r="N55" s="231"/>
      <c r="O55" s="24"/>
      <c r="P55" s="337">
        <v>10440</v>
      </c>
      <c r="Q55" s="135"/>
      <c r="R55" s="25"/>
      <c r="S55" s="26"/>
      <c r="T55" s="26"/>
      <c r="U55" s="26"/>
      <c r="V55" s="229" t="s">
        <v>47</v>
      </c>
      <c r="W55" s="58"/>
      <c r="X55" s="162">
        <v>46209</v>
      </c>
      <c r="Y55" s="26" t="s">
        <v>63</v>
      </c>
      <c r="Z55" s="26"/>
      <c r="AA55" s="26"/>
      <c r="AB55" s="26" t="s">
        <v>49</v>
      </c>
      <c r="AC55" s="26"/>
      <c r="AD55" s="254" t="s">
        <v>48</v>
      </c>
      <c r="AE55" s="27"/>
      <c r="AF55" s="24"/>
      <c r="AG55" s="24"/>
      <c r="AH55" s="26"/>
      <c r="AI55" s="26"/>
      <c r="AJ55" s="25"/>
      <c r="AK55" s="26"/>
      <c r="AL55" s="24">
        <v>18</v>
      </c>
      <c r="AM55" s="224" t="s">
        <v>50</v>
      </c>
      <c r="AN55" s="255"/>
      <c r="AO55" s="131"/>
      <c r="AP55" s="132"/>
    </row>
    <row r="56" spans="1:42" s="28" customFormat="1" ht="15" customHeight="1" x14ac:dyDescent="0.2">
      <c r="A56" s="162">
        <v>46209</v>
      </c>
      <c r="B56" s="162">
        <v>46209</v>
      </c>
      <c r="C56" s="343" t="s">
        <v>52</v>
      </c>
      <c r="D56" s="224" t="s">
        <v>53</v>
      </c>
      <c r="E56" s="171">
        <v>7666</v>
      </c>
      <c r="F56" s="85">
        <v>1</v>
      </c>
      <c r="G56" s="85">
        <v>60010738</v>
      </c>
      <c r="H56" s="85" t="s">
        <v>849</v>
      </c>
      <c r="I56" s="231"/>
      <c r="J56" s="231"/>
      <c r="K56" s="337">
        <v>6180</v>
      </c>
      <c r="L56" s="231"/>
      <c r="M56" s="231"/>
      <c r="N56" s="231"/>
      <c r="O56" s="24"/>
      <c r="P56" s="337">
        <v>6180</v>
      </c>
      <c r="Q56" s="135"/>
      <c r="R56" s="25"/>
      <c r="S56" s="26"/>
      <c r="T56" s="26"/>
      <c r="U56" s="26"/>
      <c r="V56" s="229" t="s">
        <v>47</v>
      </c>
      <c r="W56" s="58"/>
      <c r="X56" s="162">
        <v>46209</v>
      </c>
      <c r="Y56" s="26" t="s">
        <v>63</v>
      </c>
      <c r="Z56" s="26"/>
      <c r="AA56" s="26"/>
      <c r="AB56" s="26" t="s">
        <v>49</v>
      </c>
      <c r="AC56" s="26"/>
      <c r="AD56" s="254" t="s">
        <v>48</v>
      </c>
      <c r="AE56" s="27"/>
      <c r="AF56" s="24"/>
      <c r="AG56" s="24"/>
      <c r="AH56" s="26"/>
      <c r="AI56" s="26"/>
      <c r="AJ56" s="25"/>
      <c r="AK56" s="26"/>
      <c r="AL56" s="24">
        <v>18</v>
      </c>
      <c r="AM56" s="224" t="s">
        <v>50</v>
      </c>
      <c r="AN56" s="255"/>
      <c r="AO56" s="131"/>
      <c r="AP56" s="132"/>
    </row>
    <row r="57" spans="1:42" s="28" customFormat="1" ht="15" customHeight="1" x14ac:dyDescent="0.2">
      <c r="A57" s="162">
        <v>46209</v>
      </c>
      <c r="B57" s="162">
        <v>46209</v>
      </c>
      <c r="C57" s="343" t="s">
        <v>52</v>
      </c>
      <c r="D57" s="224" t="s">
        <v>53</v>
      </c>
      <c r="E57" s="174">
        <v>7667</v>
      </c>
      <c r="F57" s="85">
        <v>1</v>
      </c>
      <c r="G57" s="85">
        <v>60010738</v>
      </c>
      <c r="H57" s="85" t="s">
        <v>849</v>
      </c>
      <c r="I57" s="231"/>
      <c r="J57" s="231"/>
      <c r="K57" s="337">
        <v>0</v>
      </c>
      <c r="L57" s="231"/>
      <c r="M57" s="231"/>
      <c r="N57" s="231"/>
      <c r="O57" s="24"/>
      <c r="P57" s="337">
        <v>0</v>
      </c>
      <c r="Q57" s="135"/>
      <c r="R57" s="25"/>
      <c r="S57" s="26"/>
      <c r="T57" s="26"/>
      <c r="U57" s="26"/>
      <c r="V57" s="229" t="s">
        <v>47</v>
      </c>
      <c r="W57" s="58"/>
      <c r="X57" s="162">
        <v>46209</v>
      </c>
      <c r="Y57" s="26" t="s">
        <v>61</v>
      </c>
      <c r="Z57" s="58"/>
      <c r="AA57" s="58"/>
      <c r="AB57" s="58" t="s">
        <v>49</v>
      </c>
      <c r="AC57" s="58"/>
      <c r="AD57" s="254" t="s">
        <v>48</v>
      </c>
      <c r="AE57" s="59"/>
      <c r="AF57" s="57"/>
      <c r="AG57" s="57"/>
      <c r="AH57" s="58"/>
      <c r="AI57" s="58"/>
      <c r="AJ57" s="56"/>
      <c r="AK57" s="58"/>
      <c r="AL57" s="57">
        <v>18</v>
      </c>
      <c r="AM57" s="225" t="s">
        <v>588</v>
      </c>
      <c r="AN57" s="255" t="s">
        <v>51</v>
      </c>
      <c r="AO57" s="131"/>
      <c r="AP57" s="132"/>
    </row>
    <row r="58" spans="1:42" s="28" customFormat="1" ht="15" customHeight="1" x14ac:dyDescent="0.2">
      <c r="A58" s="162">
        <v>46209</v>
      </c>
      <c r="B58" s="162">
        <v>46209</v>
      </c>
      <c r="C58" s="343" t="s">
        <v>52</v>
      </c>
      <c r="D58" s="224" t="s">
        <v>53</v>
      </c>
      <c r="E58" s="174">
        <v>7668</v>
      </c>
      <c r="F58" s="85">
        <v>1</v>
      </c>
      <c r="G58" s="85">
        <v>20117486</v>
      </c>
      <c r="H58" s="85" t="s">
        <v>850</v>
      </c>
      <c r="I58" s="231"/>
      <c r="J58" s="231"/>
      <c r="K58" s="337">
        <v>5574</v>
      </c>
      <c r="L58" s="231"/>
      <c r="M58" s="231"/>
      <c r="N58" s="231"/>
      <c r="O58" s="24"/>
      <c r="P58" s="337">
        <v>5574</v>
      </c>
      <c r="Q58" s="135"/>
      <c r="R58" s="25"/>
      <c r="S58" s="26"/>
      <c r="T58" s="26"/>
      <c r="U58" s="26"/>
      <c r="V58" s="229" t="s">
        <v>47</v>
      </c>
      <c r="W58" s="58"/>
      <c r="X58" s="162">
        <v>46209</v>
      </c>
      <c r="Y58" s="26" t="s">
        <v>63</v>
      </c>
      <c r="Z58" s="26"/>
      <c r="AA58" s="26"/>
      <c r="AB58" s="26" t="s">
        <v>49</v>
      </c>
      <c r="AC58" s="26"/>
      <c r="AD58" s="254" t="s">
        <v>48</v>
      </c>
      <c r="AE58" s="27"/>
      <c r="AF58" s="24"/>
      <c r="AG58" s="24"/>
      <c r="AH58" s="26"/>
      <c r="AI58" s="26"/>
      <c r="AJ58" s="25"/>
      <c r="AK58" s="26"/>
      <c r="AL58" s="24">
        <v>18</v>
      </c>
      <c r="AM58" s="224" t="s">
        <v>50</v>
      </c>
      <c r="AN58" s="255"/>
      <c r="AO58" s="131"/>
      <c r="AP58" s="132"/>
    </row>
    <row r="59" spans="1:42" s="28" customFormat="1" ht="15" customHeight="1" x14ac:dyDescent="0.2">
      <c r="A59" s="162">
        <v>46210</v>
      </c>
      <c r="B59" s="162">
        <v>46210</v>
      </c>
      <c r="C59" s="343" t="s">
        <v>52</v>
      </c>
      <c r="D59" s="224" t="s">
        <v>53</v>
      </c>
      <c r="E59" s="174">
        <v>7669</v>
      </c>
      <c r="F59" s="85">
        <v>1</v>
      </c>
      <c r="G59" s="85">
        <v>45024107</v>
      </c>
      <c r="H59" s="85" t="s">
        <v>851</v>
      </c>
      <c r="I59" s="231"/>
      <c r="J59" s="231"/>
      <c r="K59" s="337">
        <v>5280</v>
      </c>
      <c r="L59" s="231"/>
      <c r="M59" s="231"/>
      <c r="N59" s="231"/>
      <c r="O59" s="24"/>
      <c r="P59" s="337">
        <v>5280</v>
      </c>
      <c r="Q59" s="135"/>
      <c r="R59" s="25"/>
      <c r="S59" s="26"/>
      <c r="T59" s="26"/>
      <c r="U59" s="26"/>
      <c r="V59" s="229" t="s">
        <v>47</v>
      </c>
      <c r="W59" s="58"/>
      <c r="X59" s="162">
        <v>46210</v>
      </c>
      <c r="Y59" s="26" t="s">
        <v>63</v>
      </c>
      <c r="Z59" s="26"/>
      <c r="AA59" s="26"/>
      <c r="AB59" s="26" t="s">
        <v>49</v>
      </c>
      <c r="AC59" s="26"/>
      <c r="AD59" s="254" t="s">
        <v>48</v>
      </c>
      <c r="AE59" s="27"/>
      <c r="AF59" s="24"/>
      <c r="AG59" s="24"/>
      <c r="AH59" s="26"/>
      <c r="AI59" s="26"/>
      <c r="AJ59" s="25"/>
      <c r="AK59" s="26"/>
      <c r="AL59" s="24">
        <v>18</v>
      </c>
      <c r="AM59" s="224" t="s">
        <v>50</v>
      </c>
      <c r="AN59" s="255"/>
      <c r="AO59" s="131"/>
      <c r="AP59" s="132"/>
    </row>
    <row r="60" spans="1:42" s="28" customFormat="1" ht="15" customHeight="1" x14ac:dyDescent="0.2">
      <c r="A60" s="162">
        <v>46210</v>
      </c>
      <c r="B60" s="162">
        <v>46210</v>
      </c>
      <c r="C60" s="343" t="s">
        <v>52</v>
      </c>
      <c r="D60" s="224" t="s">
        <v>53</v>
      </c>
      <c r="E60" s="171">
        <v>7670</v>
      </c>
      <c r="F60" s="85">
        <v>1</v>
      </c>
      <c r="G60" s="85">
        <v>45024107</v>
      </c>
      <c r="H60" s="85" t="s">
        <v>851</v>
      </c>
      <c r="I60" s="231"/>
      <c r="J60" s="231"/>
      <c r="K60" s="337">
        <v>0</v>
      </c>
      <c r="L60" s="231"/>
      <c r="M60" s="231"/>
      <c r="N60" s="231"/>
      <c r="O60" s="24"/>
      <c r="P60" s="337">
        <v>0</v>
      </c>
      <c r="Q60" s="135"/>
      <c r="R60" s="25"/>
      <c r="S60" s="26"/>
      <c r="T60" s="26"/>
      <c r="U60" s="26"/>
      <c r="V60" s="229" t="s">
        <v>47</v>
      </c>
      <c r="W60" s="58"/>
      <c r="X60" s="162">
        <v>46210</v>
      </c>
      <c r="Y60" s="26" t="s">
        <v>61</v>
      </c>
      <c r="Z60" s="58"/>
      <c r="AA60" s="58"/>
      <c r="AB60" s="58" t="s">
        <v>49</v>
      </c>
      <c r="AC60" s="58"/>
      <c r="AD60" s="254" t="s">
        <v>48</v>
      </c>
      <c r="AE60" s="59"/>
      <c r="AF60" s="57"/>
      <c r="AG60" s="57"/>
      <c r="AH60" s="58"/>
      <c r="AI60" s="58"/>
      <c r="AJ60" s="56"/>
      <c r="AK60" s="58"/>
      <c r="AL60" s="57">
        <v>18</v>
      </c>
      <c r="AM60" s="225" t="s">
        <v>588</v>
      </c>
      <c r="AN60" s="255" t="s">
        <v>51</v>
      </c>
      <c r="AO60" s="131"/>
      <c r="AP60" s="132"/>
    </row>
    <row r="61" spans="1:42" s="28" customFormat="1" ht="15" customHeight="1" x14ac:dyDescent="0.2">
      <c r="A61" s="162">
        <v>46210</v>
      </c>
      <c r="B61" s="162">
        <v>46210</v>
      </c>
      <c r="C61" s="343" t="s">
        <v>52</v>
      </c>
      <c r="D61" s="224" t="s">
        <v>53</v>
      </c>
      <c r="E61" s="174">
        <v>7671</v>
      </c>
      <c r="F61" s="85">
        <v>1</v>
      </c>
      <c r="G61" s="85">
        <v>40721959</v>
      </c>
      <c r="H61" s="85" t="s">
        <v>852</v>
      </c>
      <c r="I61" s="231"/>
      <c r="J61" s="231"/>
      <c r="K61" s="337">
        <v>12680</v>
      </c>
      <c r="L61" s="231"/>
      <c r="M61" s="231"/>
      <c r="N61" s="231"/>
      <c r="O61" s="24"/>
      <c r="P61" s="337">
        <v>12680</v>
      </c>
      <c r="Q61" s="135"/>
      <c r="R61" s="25"/>
      <c r="S61" s="26"/>
      <c r="T61" s="26"/>
      <c r="U61" s="26"/>
      <c r="V61" s="229" t="s">
        <v>47</v>
      </c>
      <c r="W61" s="58"/>
      <c r="X61" s="162">
        <v>46210</v>
      </c>
      <c r="Y61" s="26" t="s">
        <v>63</v>
      </c>
      <c r="Z61" s="26"/>
      <c r="AA61" s="26"/>
      <c r="AB61" s="26" t="s">
        <v>49</v>
      </c>
      <c r="AC61" s="26"/>
      <c r="AD61" s="254" t="s">
        <v>48</v>
      </c>
      <c r="AE61" s="27"/>
      <c r="AF61" s="24"/>
      <c r="AG61" s="24"/>
      <c r="AH61" s="26"/>
      <c r="AI61" s="26"/>
      <c r="AJ61" s="25"/>
      <c r="AK61" s="26"/>
      <c r="AL61" s="24">
        <v>18</v>
      </c>
      <c r="AM61" s="224" t="s">
        <v>50</v>
      </c>
      <c r="AN61" s="255"/>
      <c r="AO61" s="131"/>
      <c r="AP61" s="132"/>
    </row>
    <row r="62" spans="1:42" s="28" customFormat="1" ht="15" customHeight="1" x14ac:dyDescent="0.2">
      <c r="A62" s="162">
        <v>46211</v>
      </c>
      <c r="B62" s="162">
        <v>46211</v>
      </c>
      <c r="C62" s="343" t="s">
        <v>52</v>
      </c>
      <c r="D62" s="224" t="s">
        <v>53</v>
      </c>
      <c r="E62" s="174">
        <v>7672</v>
      </c>
      <c r="F62" s="85">
        <v>1</v>
      </c>
      <c r="G62" s="85">
        <v>23378661</v>
      </c>
      <c r="H62" s="85" t="s">
        <v>853</v>
      </c>
      <c r="I62" s="231"/>
      <c r="J62" s="231"/>
      <c r="K62" s="337">
        <v>5757</v>
      </c>
      <c r="L62" s="231"/>
      <c r="M62" s="231"/>
      <c r="N62" s="231"/>
      <c r="O62" s="24"/>
      <c r="P62" s="337">
        <v>5757</v>
      </c>
      <c r="Q62" s="135"/>
      <c r="R62" s="25"/>
      <c r="S62" s="26"/>
      <c r="T62" s="26"/>
      <c r="U62" s="26"/>
      <c r="V62" s="229" t="s">
        <v>47</v>
      </c>
      <c r="W62" s="58"/>
      <c r="X62" s="162">
        <v>46211</v>
      </c>
      <c r="Y62" s="26" t="s">
        <v>63</v>
      </c>
      <c r="Z62" s="26"/>
      <c r="AA62" s="26"/>
      <c r="AB62" s="26" t="s">
        <v>49</v>
      </c>
      <c r="AC62" s="26"/>
      <c r="AD62" s="254" t="s">
        <v>48</v>
      </c>
      <c r="AE62" s="27"/>
      <c r="AF62" s="24"/>
      <c r="AG62" s="24"/>
      <c r="AH62" s="26"/>
      <c r="AI62" s="26"/>
      <c r="AJ62" s="25"/>
      <c r="AK62" s="26"/>
      <c r="AL62" s="24">
        <v>18</v>
      </c>
      <c r="AM62" s="224" t="s">
        <v>50</v>
      </c>
      <c r="AN62" s="255"/>
      <c r="AO62" s="131"/>
      <c r="AP62" s="132"/>
    </row>
    <row r="63" spans="1:42" s="28" customFormat="1" ht="15" customHeight="1" x14ac:dyDescent="0.2">
      <c r="A63" s="162">
        <v>46211</v>
      </c>
      <c r="B63" s="162">
        <v>46211</v>
      </c>
      <c r="C63" s="343" t="s">
        <v>52</v>
      </c>
      <c r="D63" s="224" t="s">
        <v>53</v>
      </c>
      <c r="E63" s="174">
        <v>7673</v>
      </c>
      <c r="F63" s="85">
        <v>1</v>
      </c>
      <c r="G63" s="85">
        <v>23378661</v>
      </c>
      <c r="H63" s="85" t="s">
        <v>853</v>
      </c>
      <c r="I63" s="231"/>
      <c r="J63" s="231"/>
      <c r="K63" s="337">
        <v>0</v>
      </c>
      <c r="L63" s="231"/>
      <c r="M63" s="231"/>
      <c r="N63" s="231"/>
      <c r="O63" s="24"/>
      <c r="P63" s="337">
        <v>0</v>
      </c>
      <c r="Q63" s="135"/>
      <c r="R63" s="25"/>
      <c r="S63" s="26"/>
      <c r="T63" s="26"/>
      <c r="U63" s="26"/>
      <c r="V63" s="229" t="s">
        <v>47</v>
      </c>
      <c r="W63" s="58"/>
      <c r="X63" s="162">
        <v>46211</v>
      </c>
      <c r="Y63" s="26" t="s">
        <v>61</v>
      </c>
      <c r="Z63" s="58"/>
      <c r="AA63" s="58"/>
      <c r="AB63" s="58" t="s">
        <v>49</v>
      </c>
      <c r="AC63" s="58"/>
      <c r="AD63" s="254" t="s">
        <v>48</v>
      </c>
      <c r="AE63" s="59"/>
      <c r="AF63" s="57"/>
      <c r="AG63" s="57"/>
      <c r="AH63" s="58"/>
      <c r="AI63" s="58"/>
      <c r="AJ63" s="56"/>
      <c r="AK63" s="58"/>
      <c r="AL63" s="57">
        <v>18</v>
      </c>
      <c r="AM63" s="225" t="s">
        <v>588</v>
      </c>
      <c r="AN63" s="255" t="s">
        <v>51</v>
      </c>
      <c r="AO63" s="131"/>
      <c r="AP63" s="132"/>
    </row>
    <row r="64" spans="1:42" s="28" customFormat="1" ht="15" customHeight="1" x14ac:dyDescent="0.2">
      <c r="A64" s="162">
        <v>46213</v>
      </c>
      <c r="B64" s="162">
        <v>46213</v>
      </c>
      <c r="C64" s="343" t="s">
        <v>52</v>
      </c>
      <c r="D64" s="224" t="s">
        <v>53</v>
      </c>
      <c r="E64" s="171">
        <v>7674</v>
      </c>
      <c r="F64" s="85">
        <v>1</v>
      </c>
      <c r="G64" s="85">
        <v>75277198</v>
      </c>
      <c r="H64" s="85" t="s">
        <v>762</v>
      </c>
      <c r="I64" s="231"/>
      <c r="J64" s="231"/>
      <c r="K64" s="337">
        <v>0</v>
      </c>
      <c r="L64" s="231"/>
      <c r="M64" s="231"/>
      <c r="N64" s="231"/>
      <c r="O64" s="24"/>
      <c r="P64" s="337">
        <v>0</v>
      </c>
      <c r="Q64" s="135"/>
      <c r="R64" s="25"/>
      <c r="S64" s="26"/>
      <c r="T64" s="26"/>
      <c r="U64" s="26"/>
      <c r="V64" s="229" t="s">
        <v>47</v>
      </c>
      <c r="W64" s="58"/>
      <c r="X64" s="162">
        <v>46213</v>
      </c>
      <c r="Y64" s="26" t="s">
        <v>61</v>
      </c>
      <c r="Z64" s="58"/>
      <c r="AA64" s="58"/>
      <c r="AB64" s="58" t="s">
        <v>49</v>
      </c>
      <c r="AC64" s="58"/>
      <c r="AD64" s="254" t="s">
        <v>48</v>
      </c>
      <c r="AE64" s="59"/>
      <c r="AF64" s="57"/>
      <c r="AG64" s="57"/>
      <c r="AH64" s="58"/>
      <c r="AI64" s="58"/>
      <c r="AJ64" s="56"/>
      <c r="AK64" s="58"/>
      <c r="AL64" s="57">
        <v>18</v>
      </c>
      <c r="AM64" s="225" t="s">
        <v>588</v>
      </c>
      <c r="AN64" s="255" t="s">
        <v>51</v>
      </c>
      <c r="AO64" s="131"/>
      <c r="AP64" s="132"/>
    </row>
    <row r="65" spans="1:42" s="28" customFormat="1" ht="15" customHeight="1" x14ac:dyDescent="0.2">
      <c r="A65" s="162">
        <v>46213</v>
      </c>
      <c r="B65" s="162">
        <v>46213</v>
      </c>
      <c r="C65" s="343" t="s">
        <v>52</v>
      </c>
      <c r="D65" s="224" t="s">
        <v>53</v>
      </c>
      <c r="E65" s="174">
        <v>7675</v>
      </c>
      <c r="F65" s="85">
        <v>1</v>
      </c>
      <c r="G65" s="85">
        <v>43267348</v>
      </c>
      <c r="H65" s="85" t="s">
        <v>854</v>
      </c>
      <c r="I65" s="231"/>
      <c r="J65" s="231"/>
      <c r="K65" s="337">
        <v>5330</v>
      </c>
      <c r="L65" s="231"/>
      <c r="M65" s="231"/>
      <c r="N65" s="231"/>
      <c r="O65" s="24"/>
      <c r="P65" s="337">
        <v>5330</v>
      </c>
      <c r="Q65" s="135"/>
      <c r="R65" s="25"/>
      <c r="S65" s="26"/>
      <c r="T65" s="26"/>
      <c r="U65" s="26"/>
      <c r="V65" s="229" t="s">
        <v>47</v>
      </c>
      <c r="W65" s="58"/>
      <c r="X65" s="162">
        <v>46213</v>
      </c>
      <c r="Y65" s="26" t="s">
        <v>63</v>
      </c>
      <c r="Z65" s="26"/>
      <c r="AA65" s="26"/>
      <c r="AB65" s="26" t="s">
        <v>49</v>
      </c>
      <c r="AC65" s="26"/>
      <c r="AD65" s="254" t="s">
        <v>48</v>
      </c>
      <c r="AE65" s="27"/>
      <c r="AF65" s="24"/>
      <c r="AG65" s="24"/>
      <c r="AH65" s="26"/>
      <c r="AI65" s="26"/>
      <c r="AJ65" s="25"/>
      <c r="AK65" s="26"/>
      <c r="AL65" s="24">
        <v>18</v>
      </c>
      <c r="AM65" s="224" t="s">
        <v>50</v>
      </c>
      <c r="AN65" s="255"/>
      <c r="AO65" s="131"/>
      <c r="AP65" s="132"/>
    </row>
    <row r="66" spans="1:42" s="28" customFormat="1" ht="15" customHeight="1" x14ac:dyDescent="0.2">
      <c r="A66" s="162">
        <v>46213</v>
      </c>
      <c r="B66" s="162">
        <v>46213</v>
      </c>
      <c r="C66" s="343" t="s">
        <v>52</v>
      </c>
      <c r="D66" s="224" t="s">
        <v>53</v>
      </c>
      <c r="E66" s="174">
        <v>7676</v>
      </c>
      <c r="F66" s="85">
        <v>1</v>
      </c>
      <c r="G66" s="85">
        <v>43267348</v>
      </c>
      <c r="H66" s="85" t="s">
        <v>854</v>
      </c>
      <c r="I66" s="231"/>
      <c r="J66" s="231"/>
      <c r="K66" s="337">
        <v>0</v>
      </c>
      <c r="L66" s="231"/>
      <c r="M66" s="231"/>
      <c r="N66" s="231"/>
      <c r="O66" s="24"/>
      <c r="P66" s="337">
        <v>0</v>
      </c>
      <c r="Q66" s="135"/>
      <c r="R66" s="25"/>
      <c r="S66" s="26"/>
      <c r="T66" s="26"/>
      <c r="U66" s="26"/>
      <c r="V66" s="229" t="s">
        <v>47</v>
      </c>
      <c r="W66" s="58"/>
      <c r="X66" s="162">
        <v>46213</v>
      </c>
      <c r="Y66" s="26" t="s">
        <v>61</v>
      </c>
      <c r="Z66" s="58"/>
      <c r="AA66" s="58"/>
      <c r="AB66" s="58" t="s">
        <v>49</v>
      </c>
      <c r="AC66" s="58"/>
      <c r="AD66" s="254" t="s">
        <v>48</v>
      </c>
      <c r="AE66" s="59"/>
      <c r="AF66" s="57"/>
      <c r="AG66" s="57"/>
      <c r="AH66" s="58"/>
      <c r="AI66" s="58"/>
      <c r="AJ66" s="56"/>
      <c r="AK66" s="58"/>
      <c r="AL66" s="57">
        <v>18</v>
      </c>
      <c r="AM66" s="225" t="s">
        <v>588</v>
      </c>
      <c r="AN66" s="255" t="s">
        <v>51</v>
      </c>
      <c r="AO66" s="131"/>
      <c r="AP66" s="132"/>
    </row>
    <row r="67" spans="1:42" s="28" customFormat="1" ht="15" customHeight="1" x14ac:dyDescent="0.2">
      <c r="A67" s="162">
        <v>46213</v>
      </c>
      <c r="B67" s="162">
        <v>46213</v>
      </c>
      <c r="C67" s="343" t="s">
        <v>52</v>
      </c>
      <c r="D67" s="224" t="s">
        <v>53</v>
      </c>
      <c r="E67" s="174">
        <v>7677</v>
      </c>
      <c r="F67" s="85">
        <v>1</v>
      </c>
      <c r="G67" s="85">
        <v>19023922</v>
      </c>
      <c r="H67" s="85" t="s">
        <v>855</v>
      </c>
      <c r="I67" s="231"/>
      <c r="J67" s="231"/>
      <c r="K67" s="337">
        <v>11780</v>
      </c>
      <c r="L67" s="231"/>
      <c r="M67" s="231"/>
      <c r="N67" s="231"/>
      <c r="O67" s="24"/>
      <c r="P67" s="337">
        <v>11780</v>
      </c>
      <c r="Q67" s="135"/>
      <c r="R67" s="25"/>
      <c r="S67" s="26"/>
      <c r="T67" s="26"/>
      <c r="U67" s="26"/>
      <c r="V67" s="229" t="s">
        <v>47</v>
      </c>
      <c r="W67" s="58"/>
      <c r="X67" s="162">
        <v>46213</v>
      </c>
      <c r="Y67" s="26" t="s">
        <v>63</v>
      </c>
      <c r="Z67" s="26"/>
      <c r="AA67" s="26"/>
      <c r="AB67" s="26" t="s">
        <v>49</v>
      </c>
      <c r="AC67" s="26"/>
      <c r="AD67" s="254" t="s">
        <v>48</v>
      </c>
      <c r="AE67" s="27"/>
      <c r="AF67" s="24"/>
      <c r="AG67" s="24"/>
      <c r="AH67" s="26"/>
      <c r="AI67" s="26"/>
      <c r="AJ67" s="25"/>
      <c r="AK67" s="26"/>
      <c r="AL67" s="24">
        <v>18</v>
      </c>
      <c r="AM67" s="224" t="s">
        <v>50</v>
      </c>
      <c r="AN67" s="255"/>
      <c r="AO67" s="131"/>
      <c r="AP67" s="132"/>
    </row>
    <row r="68" spans="1:42" s="28" customFormat="1" ht="15" customHeight="1" x14ac:dyDescent="0.2">
      <c r="A68" s="162">
        <v>46213</v>
      </c>
      <c r="B68" s="162">
        <v>46213</v>
      </c>
      <c r="C68" s="343" t="s">
        <v>52</v>
      </c>
      <c r="D68" s="224" t="s">
        <v>53</v>
      </c>
      <c r="E68" s="171">
        <v>7678</v>
      </c>
      <c r="F68" s="85">
        <v>1</v>
      </c>
      <c r="G68" s="85">
        <v>19023922</v>
      </c>
      <c r="H68" s="85" t="s">
        <v>855</v>
      </c>
      <c r="I68" s="231"/>
      <c r="J68" s="231"/>
      <c r="K68" s="337">
        <v>0</v>
      </c>
      <c r="L68" s="231"/>
      <c r="M68" s="231"/>
      <c r="N68" s="231"/>
      <c r="O68" s="24"/>
      <c r="P68" s="337">
        <v>0</v>
      </c>
      <c r="Q68" s="135"/>
      <c r="R68" s="25"/>
      <c r="S68" s="26"/>
      <c r="T68" s="26"/>
      <c r="U68" s="26"/>
      <c r="V68" s="229" t="s">
        <v>47</v>
      </c>
      <c r="W68" s="58"/>
      <c r="X68" s="162">
        <v>46213</v>
      </c>
      <c r="Y68" s="26" t="s">
        <v>61</v>
      </c>
      <c r="Z68" s="58"/>
      <c r="AA68" s="58"/>
      <c r="AB68" s="58" t="s">
        <v>49</v>
      </c>
      <c r="AC68" s="58"/>
      <c r="AD68" s="254" t="s">
        <v>48</v>
      </c>
      <c r="AE68" s="59"/>
      <c r="AF68" s="57"/>
      <c r="AG68" s="57"/>
      <c r="AH68" s="58"/>
      <c r="AI68" s="58"/>
      <c r="AJ68" s="56"/>
      <c r="AK68" s="58"/>
      <c r="AL68" s="57">
        <v>18</v>
      </c>
      <c r="AM68" s="225" t="s">
        <v>588</v>
      </c>
      <c r="AN68" s="255" t="s">
        <v>51</v>
      </c>
      <c r="AO68" s="131"/>
      <c r="AP68" s="132"/>
    </row>
    <row r="69" spans="1:42" s="28" customFormat="1" ht="15" customHeight="1" x14ac:dyDescent="0.2">
      <c r="A69" s="162">
        <v>46213</v>
      </c>
      <c r="B69" s="162">
        <v>46213</v>
      </c>
      <c r="C69" s="343" t="s">
        <v>52</v>
      </c>
      <c r="D69" s="224" t="s">
        <v>53</v>
      </c>
      <c r="E69" s="174">
        <v>7679</v>
      </c>
      <c r="F69" s="85">
        <v>1</v>
      </c>
      <c r="G69" s="85">
        <v>71551166</v>
      </c>
      <c r="H69" s="85" t="s">
        <v>856</v>
      </c>
      <c r="I69" s="231"/>
      <c r="J69" s="231"/>
      <c r="K69" s="337">
        <v>4861</v>
      </c>
      <c r="L69" s="231"/>
      <c r="M69" s="231"/>
      <c r="N69" s="231"/>
      <c r="O69" s="24"/>
      <c r="P69" s="337">
        <v>4861</v>
      </c>
      <c r="Q69" s="135"/>
      <c r="R69" s="25"/>
      <c r="S69" s="26"/>
      <c r="T69" s="26"/>
      <c r="U69" s="26"/>
      <c r="V69" s="229" t="s">
        <v>47</v>
      </c>
      <c r="W69" s="58"/>
      <c r="X69" s="162">
        <v>46213</v>
      </c>
      <c r="Y69" s="26" t="s">
        <v>63</v>
      </c>
      <c r="Z69" s="26"/>
      <c r="AA69" s="26"/>
      <c r="AB69" s="26" t="s">
        <v>49</v>
      </c>
      <c r="AC69" s="26"/>
      <c r="AD69" s="254" t="s">
        <v>48</v>
      </c>
      <c r="AE69" s="27"/>
      <c r="AF69" s="24"/>
      <c r="AG69" s="24"/>
      <c r="AH69" s="26"/>
      <c r="AI69" s="26"/>
      <c r="AJ69" s="25"/>
      <c r="AK69" s="26"/>
      <c r="AL69" s="24">
        <v>18</v>
      </c>
      <c r="AM69" s="224" t="s">
        <v>50</v>
      </c>
      <c r="AN69" s="255"/>
      <c r="AO69" s="131"/>
      <c r="AP69" s="132"/>
    </row>
    <row r="70" spans="1:42" s="28" customFormat="1" ht="15" customHeight="1" x14ac:dyDescent="0.2">
      <c r="A70" s="162">
        <v>46213</v>
      </c>
      <c r="B70" s="162">
        <v>46213</v>
      </c>
      <c r="C70" s="343" t="s">
        <v>52</v>
      </c>
      <c r="D70" s="224" t="s">
        <v>53</v>
      </c>
      <c r="E70" s="174">
        <v>7680</v>
      </c>
      <c r="F70" s="85">
        <v>1</v>
      </c>
      <c r="G70" s="85">
        <v>71551166</v>
      </c>
      <c r="H70" s="85" t="s">
        <v>856</v>
      </c>
      <c r="I70" s="231"/>
      <c r="J70" s="231"/>
      <c r="K70" s="337">
        <v>0</v>
      </c>
      <c r="L70" s="231"/>
      <c r="M70" s="231"/>
      <c r="N70" s="231"/>
      <c r="O70" s="24"/>
      <c r="P70" s="337">
        <v>0</v>
      </c>
      <c r="Q70" s="135"/>
      <c r="R70" s="25"/>
      <c r="S70" s="26"/>
      <c r="T70" s="26"/>
      <c r="U70" s="26"/>
      <c r="V70" s="229" t="s">
        <v>47</v>
      </c>
      <c r="W70" s="58"/>
      <c r="X70" s="162">
        <v>46213</v>
      </c>
      <c r="Y70" s="26" t="s">
        <v>61</v>
      </c>
      <c r="Z70" s="58"/>
      <c r="AA70" s="58"/>
      <c r="AB70" s="58" t="s">
        <v>49</v>
      </c>
      <c r="AC70" s="58"/>
      <c r="AD70" s="254" t="s">
        <v>48</v>
      </c>
      <c r="AE70" s="59"/>
      <c r="AF70" s="57"/>
      <c r="AG70" s="57"/>
      <c r="AH70" s="58"/>
      <c r="AI70" s="58"/>
      <c r="AJ70" s="56"/>
      <c r="AK70" s="58"/>
      <c r="AL70" s="57">
        <v>18</v>
      </c>
      <c r="AM70" s="225" t="s">
        <v>588</v>
      </c>
      <c r="AN70" s="255" t="s">
        <v>51</v>
      </c>
      <c r="AO70" s="131"/>
      <c r="AP70" s="132"/>
    </row>
    <row r="71" spans="1:42" s="28" customFormat="1" ht="15" customHeight="1" x14ac:dyDescent="0.2">
      <c r="A71" s="162">
        <v>46214</v>
      </c>
      <c r="B71" s="162">
        <v>46214</v>
      </c>
      <c r="C71" s="343" t="s">
        <v>52</v>
      </c>
      <c r="D71" s="224" t="s">
        <v>53</v>
      </c>
      <c r="E71" s="174">
        <v>7681</v>
      </c>
      <c r="F71" s="85">
        <v>1</v>
      </c>
      <c r="G71" s="85">
        <v>75280156</v>
      </c>
      <c r="H71" s="85" t="s">
        <v>857</v>
      </c>
      <c r="I71" s="231"/>
      <c r="J71" s="231"/>
      <c r="K71" s="337">
        <v>11780</v>
      </c>
      <c r="L71" s="231"/>
      <c r="M71" s="231"/>
      <c r="N71" s="231"/>
      <c r="O71" s="24"/>
      <c r="P71" s="337">
        <v>11780</v>
      </c>
      <c r="Q71" s="135"/>
      <c r="R71" s="25"/>
      <c r="S71" s="26"/>
      <c r="T71" s="26"/>
      <c r="U71" s="26"/>
      <c r="V71" s="229" t="s">
        <v>47</v>
      </c>
      <c r="W71" s="58"/>
      <c r="X71" s="162">
        <v>46214</v>
      </c>
      <c r="Y71" s="26" t="s">
        <v>63</v>
      </c>
      <c r="Z71" s="26"/>
      <c r="AA71" s="26"/>
      <c r="AB71" s="26" t="s">
        <v>49</v>
      </c>
      <c r="AC71" s="26"/>
      <c r="AD71" s="254" t="s">
        <v>48</v>
      </c>
      <c r="AE71" s="27"/>
      <c r="AF71" s="24"/>
      <c r="AG71" s="24"/>
      <c r="AH71" s="26"/>
      <c r="AI71" s="26"/>
      <c r="AJ71" s="25"/>
      <c r="AK71" s="26"/>
      <c r="AL71" s="24">
        <v>18</v>
      </c>
      <c r="AM71" s="224" t="s">
        <v>50</v>
      </c>
      <c r="AN71" s="255"/>
      <c r="AO71" s="131"/>
      <c r="AP71" s="132"/>
    </row>
    <row r="72" spans="1:42" s="28" customFormat="1" ht="15" customHeight="1" x14ac:dyDescent="0.2">
      <c r="A72" s="162">
        <v>46214</v>
      </c>
      <c r="B72" s="162">
        <v>46214</v>
      </c>
      <c r="C72" s="343" t="s">
        <v>52</v>
      </c>
      <c r="D72" s="224" t="s">
        <v>53</v>
      </c>
      <c r="E72" s="171">
        <v>7682</v>
      </c>
      <c r="F72" s="85">
        <v>1</v>
      </c>
      <c r="G72" s="85">
        <v>75280156</v>
      </c>
      <c r="H72" s="85" t="s">
        <v>857</v>
      </c>
      <c r="I72" s="231"/>
      <c r="J72" s="231"/>
      <c r="K72" s="337">
        <v>0</v>
      </c>
      <c r="L72" s="231"/>
      <c r="M72" s="231"/>
      <c r="N72" s="231"/>
      <c r="O72" s="24"/>
      <c r="P72" s="337">
        <v>0</v>
      </c>
      <c r="Q72" s="135"/>
      <c r="R72" s="25"/>
      <c r="S72" s="26"/>
      <c r="T72" s="26"/>
      <c r="U72" s="26"/>
      <c r="V72" s="229" t="s">
        <v>47</v>
      </c>
      <c r="W72" s="58"/>
      <c r="X72" s="162">
        <v>46214</v>
      </c>
      <c r="Y72" s="26" t="s">
        <v>61</v>
      </c>
      <c r="Z72" s="58"/>
      <c r="AA72" s="58"/>
      <c r="AB72" s="58" t="s">
        <v>49</v>
      </c>
      <c r="AC72" s="58"/>
      <c r="AD72" s="254" t="s">
        <v>48</v>
      </c>
      <c r="AE72" s="59"/>
      <c r="AF72" s="57"/>
      <c r="AG72" s="57"/>
      <c r="AH72" s="58"/>
      <c r="AI72" s="58"/>
      <c r="AJ72" s="56"/>
      <c r="AK72" s="58"/>
      <c r="AL72" s="57">
        <v>18</v>
      </c>
      <c r="AM72" s="225" t="s">
        <v>588</v>
      </c>
      <c r="AN72" s="255" t="s">
        <v>51</v>
      </c>
      <c r="AO72" s="131"/>
      <c r="AP72" s="132"/>
    </row>
    <row r="73" spans="1:42" s="28" customFormat="1" ht="15" customHeight="1" x14ac:dyDescent="0.2">
      <c r="A73" s="162">
        <v>46216</v>
      </c>
      <c r="B73" s="162">
        <v>46216</v>
      </c>
      <c r="C73" s="343" t="s">
        <v>52</v>
      </c>
      <c r="D73" s="224" t="s">
        <v>53</v>
      </c>
      <c r="E73" s="174">
        <v>7683</v>
      </c>
      <c r="F73" s="85">
        <v>1</v>
      </c>
      <c r="G73" s="85">
        <v>46498657</v>
      </c>
      <c r="H73" s="85" t="s">
        <v>858</v>
      </c>
      <c r="I73" s="231"/>
      <c r="J73" s="231"/>
      <c r="K73" s="337">
        <v>11780</v>
      </c>
      <c r="L73" s="231"/>
      <c r="M73" s="231"/>
      <c r="N73" s="231"/>
      <c r="O73" s="24"/>
      <c r="P73" s="337">
        <v>11780</v>
      </c>
      <c r="Q73" s="135"/>
      <c r="R73" s="25"/>
      <c r="S73" s="26"/>
      <c r="T73" s="26"/>
      <c r="U73" s="26"/>
      <c r="V73" s="229" t="s">
        <v>47</v>
      </c>
      <c r="W73" s="58"/>
      <c r="X73" s="162">
        <v>46216</v>
      </c>
      <c r="Y73" s="26" t="s">
        <v>63</v>
      </c>
      <c r="Z73" s="26"/>
      <c r="AA73" s="26"/>
      <c r="AB73" s="26" t="s">
        <v>49</v>
      </c>
      <c r="AC73" s="26"/>
      <c r="AD73" s="254" t="s">
        <v>48</v>
      </c>
      <c r="AE73" s="27"/>
      <c r="AF73" s="24"/>
      <c r="AG73" s="24"/>
      <c r="AH73" s="26"/>
      <c r="AI73" s="26"/>
      <c r="AJ73" s="25"/>
      <c r="AK73" s="26"/>
      <c r="AL73" s="24">
        <v>18</v>
      </c>
      <c r="AM73" s="224" t="s">
        <v>50</v>
      </c>
      <c r="AN73" s="255"/>
      <c r="AO73" s="131"/>
      <c r="AP73" s="132"/>
    </row>
    <row r="74" spans="1:42" s="28" customFormat="1" ht="15" customHeight="1" x14ac:dyDescent="0.2">
      <c r="A74" s="162">
        <v>46216</v>
      </c>
      <c r="B74" s="162">
        <v>46216</v>
      </c>
      <c r="C74" s="343" t="s">
        <v>52</v>
      </c>
      <c r="D74" s="224" t="s">
        <v>53</v>
      </c>
      <c r="E74" s="174">
        <v>7684</v>
      </c>
      <c r="F74" s="85">
        <v>1</v>
      </c>
      <c r="G74" s="85">
        <v>46498657</v>
      </c>
      <c r="H74" s="85" t="s">
        <v>858</v>
      </c>
      <c r="I74" s="231"/>
      <c r="J74" s="231"/>
      <c r="K74" s="337">
        <v>0</v>
      </c>
      <c r="L74" s="231"/>
      <c r="M74" s="231"/>
      <c r="N74" s="231"/>
      <c r="O74" s="24"/>
      <c r="P74" s="337">
        <v>0</v>
      </c>
      <c r="Q74" s="135"/>
      <c r="R74" s="25"/>
      <c r="S74" s="26"/>
      <c r="T74" s="26"/>
      <c r="U74" s="26"/>
      <c r="V74" s="229" t="s">
        <v>47</v>
      </c>
      <c r="W74" s="58"/>
      <c r="X74" s="162">
        <v>46216</v>
      </c>
      <c r="Y74" s="26" t="s">
        <v>61</v>
      </c>
      <c r="Z74" s="58"/>
      <c r="AA74" s="58"/>
      <c r="AB74" s="58" t="s">
        <v>49</v>
      </c>
      <c r="AC74" s="58"/>
      <c r="AD74" s="254" t="s">
        <v>48</v>
      </c>
      <c r="AE74" s="59"/>
      <c r="AF74" s="57"/>
      <c r="AG74" s="57"/>
      <c r="AH74" s="58"/>
      <c r="AI74" s="58"/>
      <c r="AJ74" s="56"/>
      <c r="AK74" s="58"/>
      <c r="AL74" s="57">
        <v>18</v>
      </c>
      <c r="AM74" s="225" t="s">
        <v>588</v>
      </c>
      <c r="AN74" s="255" t="s">
        <v>51</v>
      </c>
      <c r="AO74" s="131"/>
      <c r="AP74" s="132"/>
    </row>
    <row r="75" spans="1:42" s="28" customFormat="1" ht="15" customHeight="1" x14ac:dyDescent="0.2">
      <c r="A75" s="162">
        <v>46216</v>
      </c>
      <c r="B75" s="162">
        <v>46216</v>
      </c>
      <c r="C75" s="343" t="s">
        <v>52</v>
      </c>
      <c r="D75" s="224" t="s">
        <v>53</v>
      </c>
      <c r="E75" s="174">
        <v>7685</v>
      </c>
      <c r="F75" s="85">
        <v>1</v>
      </c>
      <c r="G75" s="85">
        <v>46496832</v>
      </c>
      <c r="H75" s="85" t="s">
        <v>859</v>
      </c>
      <c r="I75" s="231"/>
      <c r="J75" s="231"/>
      <c r="K75" s="337">
        <v>5280</v>
      </c>
      <c r="L75" s="231"/>
      <c r="M75" s="231"/>
      <c r="N75" s="231"/>
      <c r="O75" s="24"/>
      <c r="P75" s="337">
        <v>5280</v>
      </c>
      <c r="Q75" s="135"/>
      <c r="R75" s="25"/>
      <c r="S75" s="26"/>
      <c r="T75" s="26"/>
      <c r="U75" s="26"/>
      <c r="V75" s="229" t="s">
        <v>47</v>
      </c>
      <c r="W75" s="58"/>
      <c r="X75" s="162">
        <v>46216</v>
      </c>
      <c r="Y75" s="26" t="s">
        <v>63</v>
      </c>
      <c r="Z75" s="26"/>
      <c r="AA75" s="26"/>
      <c r="AB75" s="26" t="s">
        <v>49</v>
      </c>
      <c r="AC75" s="26"/>
      <c r="AD75" s="254" t="s">
        <v>48</v>
      </c>
      <c r="AE75" s="27"/>
      <c r="AF75" s="24"/>
      <c r="AG75" s="24"/>
      <c r="AH75" s="26"/>
      <c r="AI75" s="26"/>
      <c r="AJ75" s="25"/>
      <c r="AK75" s="26"/>
      <c r="AL75" s="24">
        <v>18</v>
      </c>
      <c r="AM75" s="224" t="s">
        <v>50</v>
      </c>
      <c r="AN75" s="255"/>
      <c r="AO75" s="131"/>
      <c r="AP75" s="132"/>
    </row>
    <row r="76" spans="1:42" s="28" customFormat="1" ht="15" customHeight="1" x14ac:dyDescent="0.2">
      <c r="A76" s="162">
        <v>46216</v>
      </c>
      <c r="B76" s="162">
        <v>46216</v>
      </c>
      <c r="C76" s="343" t="s">
        <v>52</v>
      </c>
      <c r="D76" s="224" t="s">
        <v>53</v>
      </c>
      <c r="E76" s="171">
        <v>7686</v>
      </c>
      <c r="F76" s="85">
        <v>1</v>
      </c>
      <c r="G76" s="85">
        <v>72910712</v>
      </c>
      <c r="H76" s="85" t="s">
        <v>860</v>
      </c>
      <c r="I76" s="231"/>
      <c r="J76" s="231"/>
      <c r="K76" s="337">
        <v>0</v>
      </c>
      <c r="L76" s="231"/>
      <c r="M76" s="231"/>
      <c r="N76" s="231"/>
      <c r="O76" s="24"/>
      <c r="P76" s="337">
        <v>0</v>
      </c>
      <c r="Q76" s="135"/>
      <c r="R76" s="25"/>
      <c r="S76" s="26"/>
      <c r="T76" s="26"/>
      <c r="U76" s="26"/>
      <c r="V76" s="229" t="s">
        <v>47</v>
      </c>
      <c r="W76" s="58"/>
      <c r="X76" s="162">
        <v>46216</v>
      </c>
      <c r="Y76" s="26" t="s">
        <v>61</v>
      </c>
      <c r="Z76" s="58"/>
      <c r="AA76" s="58"/>
      <c r="AB76" s="58" t="s">
        <v>49</v>
      </c>
      <c r="AC76" s="58"/>
      <c r="AD76" s="254" t="s">
        <v>48</v>
      </c>
      <c r="AE76" s="59"/>
      <c r="AF76" s="57"/>
      <c r="AG76" s="57"/>
      <c r="AH76" s="58"/>
      <c r="AI76" s="58"/>
      <c r="AJ76" s="56"/>
      <c r="AK76" s="58"/>
      <c r="AL76" s="57">
        <v>18</v>
      </c>
      <c r="AM76" s="225" t="s">
        <v>588</v>
      </c>
      <c r="AN76" s="255" t="s">
        <v>51</v>
      </c>
      <c r="AO76" s="131"/>
      <c r="AP76" s="132"/>
    </row>
    <row r="77" spans="1:42" s="28" customFormat="1" ht="15" customHeight="1" x14ac:dyDescent="0.2">
      <c r="A77" s="162">
        <v>46216</v>
      </c>
      <c r="B77" s="162">
        <v>46216</v>
      </c>
      <c r="C77" s="343" t="s">
        <v>52</v>
      </c>
      <c r="D77" s="224" t="s">
        <v>53</v>
      </c>
      <c r="E77" s="174">
        <v>7687</v>
      </c>
      <c r="F77" s="85">
        <v>1</v>
      </c>
      <c r="G77" s="85">
        <v>46496832</v>
      </c>
      <c r="H77" s="85" t="s">
        <v>859</v>
      </c>
      <c r="I77" s="231"/>
      <c r="J77" s="231"/>
      <c r="K77" s="337">
        <v>0</v>
      </c>
      <c r="L77" s="231"/>
      <c r="M77" s="231"/>
      <c r="N77" s="231"/>
      <c r="O77" s="24"/>
      <c r="P77" s="337">
        <v>0</v>
      </c>
      <c r="Q77" s="135"/>
      <c r="R77" s="25"/>
      <c r="S77" s="26"/>
      <c r="T77" s="26"/>
      <c r="U77" s="26"/>
      <c r="V77" s="229" t="s">
        <v>47</v>
      </c>
      <c r="W77" s="58"/>
      <c r="X77" s="162">
        <v>46216</v>
      </c>
      <c r="Y77" s="26" t="s">
        <v>61</v>
      </c>
      <c r="Z77" s="58"/>
      <c r="AA77" s="58"/>
      <c r="AB77" s="58" t="s">
        <v>49</v>
      </c>
      <c r="AC77" s="58"/>
      <c r="AD77" s="254" t="s">
        <v>48</v>
      </c>
      <c r="AE77" s="59"/>
      <c r="AF77" s="57"/>
      <c r="AG77" s="57"/>
      <c r="AH77" s="58"/>
      <c r="AI77" s="58"/>
      <c r="AJ77" s="56"/>
      <c r="AK77" s="58"/>
      <c r="AL77" s="57">
        <v>18</v>
      </c>
      <c r="AM77" s="225" t="s">
        <v>588</v>
      </c>
      <c r="AN77" s="255" t="s">
        <v>51</v>
      </c>
      <c r="AO77" s="131"/>
      <c r="AP77" s="132"/>
    </row>
    <row r="78" spans="1:42" s="28" customFormat="1" ht="15" customHeight="1" x14ac:dyDescent="0.2">
      <c r="A78" s="162">
        <v>46216</v>
      </c>
      <c r="B78" s="162">
        <v>46216</v>
      </c>
      <c r="C78" s="343" t="s">
        <v>52</v>
      </c>
      <c r="D78" s="224" t="s">
        <v>53</v>
      </c>
      <c r="E78" s="174">
        <v>7688</v>
      </c>
      <c r="F78" s="85">
        <v>1</v>
      </c>
      <c r="G78" s="85">
        <v>45920735</v>
      </c>
      <c r="H78" s="85" t="s">
        <v>861</v>
      </c>
      <c r="I78" s="231"/>
      <c r="J78" s="231"/>
      <c r="K78" s="337">
        <v>5574</v>
      </c>
      <c r="L78" s="231"/>
      <c r="M78" s="231"/>
      <c r="N78" s="231"/>
      <c r="O78" s="24"/>
      <c r="P78" s="337">
        <v>5574</v>
      </c>
      <c r="Q78" s="135"/>
      <c r="R78" s="25"/>
      <c r="S78" s="26"/>
      <c r="T78" s="26"/>
      <c r="U78" s="26"/>
      <c r="V78" s="229" t="s">
        <v>47</v>
      </c>
      <c r="W78" s="58"/>
      <c r="X78" s="162">
        <v>46216</v>
      </c>
      <c r="Y78" s="26" t="s">
        <v>63</v>
      </c>
      <c r="Z78" s="26"/>
      <c r="AA78" s="26"/>
      <c r="AB78" s="26" t="s">
        <v>49</v>
      </c>
      <c r="AC78" s="26"/>
      <c r="AD78" s="254" t="s">
        <v>48</v>
      </c>
      <c r="AE78" s="27"/>
      <c r="AF78" s="24"/>
      <c r="AG78" s="24"/>
      <c r="AH78" s="26"/>
      <c r="AI78" s="26"/>
      <c r="AJ78" s="25"/>
      <c r="AK78" s="26"/>
      <c r="AL78" s="24">
        <v>18</v>
      </c>
      <c r="AM78" s="224" t="s">
        <v>50</v>
      </c>
      <c r="AN78" s="255"/>
      <c r="AO78" s="131"/>
      <c r="AP78" s="132"/>
    </row>
    <row r="79" spans="1:42" s="28" customFormat="1" ht="15" customHeight="1" x14ac:dyDescent="0.2">
      <c r="A79" s="162">
        <v>46216</v>
      </c>
      <c r="B79" s="162">
        <v>46216</v>
      </c>
      <c r="C79" s="343" t="s">
        <v>52</v>
      </c>
      <c r="D79" s="224" t="s">
        <v>53</v>
      </c>
      <c r="E79" s="174">
        <v>7689</v>
      </c>
      <c r="F79" s="85">
        <v>1</v>
      </c>
      <c r="G79" s="85">
        <v>45920735</v>
      </c>
      <c r="H79" s="85" t="s">
        <v>861</v>
      </c>
      <c r="I79" s="231"/>
      <c r="J79" s="231"/>
      <c r="K79" s="337">
        <v>0</v>
      </c>
      <c r="L79" s="231"/>
      <c r="M79" s="231"/>
      <c r="N79" s="231"/>
      <c r="O79" s="24"/>
      <c r="P79" s="337">
        <v>0</v>
      </c>
      <c r="Q79" s="135"/>
      <c r="R79" s="25"/>
      <c r="S79" s="26"/>
      <c r="T79" s="26"/>
      <c r="U79" s="26"/>
      <c r="V79" s="229" t="s">
        <v>47</v>
      </c>
      <c r="W79" s="58"/>
      <c r="X79" s="162">
        <v>46216</v>
      </c>
      <c r="Y79" s="26" t="s">
        <v>61</v>
      </c>
      <c r="Z79" s="58"/>
      <c r="AA79" s="58"/>
      <c r="AB79" s="58" t="s">
        <v>49</v>
      </c>
      <c r="AC79" s="58"/>
      <c r="AD79" s="254" t="s">
        <v>48</v>
      </c>
      <c r="AE79" s="59"/>
      <c r="AF79" s="57"/>
      <c r="AG79" s="57"/>
      <c r="AH79" s="58"/>
      <c r="AI79" s="58"/>
      <c r="AJ79" s="56"/>
      <c r="AK79" s="58"/>
      <c r="AL79" s="57">
        <v>18</v>
      </c>
      <c r="AM79" s="225" t="s">
        <v>588</v>
      </c>
      <c r="AN79" s="255" t="s">
        <v>51</v>
      </c>
      <c r="AO79" s="131"/>
      <c r="AP79" s="132"/>
    </row>
    <row r="80" spans="1:42" s="28" customFormat="1" ht="15" customHeight="1" x14ac:dyDescent="0.2">
      <c r="A80" s="162">
        <v>46216</v>
      </c>
      <c r="B80" s="162">
        <v>46216</v>
      </c>
      <c r="C80" s="343" t="s">
        <v>52</v>
      </c>
      <c r="D80" s="224" t="s">
        <v>53</v>
      </c>
      <c r="E80" s="171">
        <v>7690</v>
      </c>
      <c r="F80" s="85">
        <v>1</v>
      </c>
      <c r="G80" s="85">
        <v>70082638</v>
      </c>
      <c r="H80" s="85" t="s">
        <v>862</v>
      </c>
      <c r="I80" s="231"/>
      <c r="J80" s="231"/>
      <c r="K80" s="337">
        <v>5574</v>
      </c>
      <c r="L80" s="231"/>
      <c r="M80" s="231"/>
      <c r="N80" s="231"/>
      <c r="O80" s="24"/>
      <c r="P80" s="337">
        <v>5574</v>
      </c>
      <c r="Q80" s="135"/>
      <c r="R80" s="25"/>
      <c r="S80" s="26"/>
      <c r="T80" s="26"/>
      <c r="U80" s="26"/>
      <c r="V80" s="229" t="s">
        <v>47</v>
      </c>
      <c r="W80" s="58"/>
      <c r="X80" s="162">
        <v>46216</v>
      </c>
      <c r="Y80" s="26" t="s">
        <v>63</v>
      </c>
      <c r="Z80" s="26"/>
      <c r="AA80" s="26"/>
      <c r="AB80" s="26" t="s">
        <v>49</v>
      </c>
      <c r="AC80" s="26"/>
      <c r="AD80" s="254" t="s">
        <v>48</v>
      </c>
      <c r="AE80" s="27"/>
      <c r="AF80" s="24"/>
      <c r="AG80" s="24"/>
      <c r="AH80" s="26"/>
      <c r="AI80" s="26"/>
      <c r="AJ80" s="25"/>
      <c r="AK80" s="26"/>
      <c r="AL80" s="24">
        <v>18</v>
      </c>
      <c r="AM80" s="224" t="s">
        <v>50</v>
      </c>
      <c r="AN80" s="255"/>
      <c r="AO80" s="131"/>
      <c r="AP80" s="132"/>
    </row>
    <row r="81" spans="1:42" s="28" customFormat="1" ht="15" customHeight="1" x14ac:dyDescent="0.2">
      <c r="A81" s="162">
        <v>46216</v>
      </c>
      <c r="B81" s="162">
        <v>46216</v>
      </c>
      <c r="C81" s="343" t="s">
        <v>52</v>
      </c>
      <c r="D81" s="224" t="s">
        <v>53</v>
      </c>
      <c r="E81" s="174">
        <v>7691</v>
      </c>
      <c r="F81" s="85">
        <v>1</v>
      </c>
      <c r="G81" s="85">
        <v>70082638</v>
      </c>
      <c r="H81" s="85" t="s">
        <v>862</v>
      </c>
      <c r="I81" s="231"/>
      <c r="J81" s="231"/>
      <c r="K81" s="337">
        <v>0</v>
      </c>
      <c r="L81" s="231"/>
      <c r="M81" s="231"/>
      <c r="N81" s="231"/>
      <c r="O81" s="24"/>
      <c r="P81" s="337">
        <v>0</v>
      </c>
      <c r="Q81" s="135"/>
      <c r="R81" s="25"/>
      <c r="S81" s="26"/>
      <c r="T81" s="26"/>
      <c r="U81" s="26"/>
      <c r="V81" s="229" t="s">
        <v>47</v>
      </c>
      <c r="W81" s="58"/>
      <c r="X81" s="162">
        <v>46216</v>
      </c>
      <c r="Y81" s="26" t="s">
        <v>61</v>
      </c>
      <c r="Z81" s="58"/>
      <c r="AA81" s="58"/>
      <c r="AB81" s="58" t="s">
        <v>49</v>
      </c>
      <c r="AC81" s="58"/>
      <c r="AD81" s="254" t="s">
        <v>48</v>
      </c>
      <c r="AE81" s="59"/>
      <c r="AF81" s="57"/>
      <c r="AG81" s="57"/>
      <c r="AH81" s="58"/>
      <c r="AI81" s="58"/>
      <c r="AJ81" s="56"/>
      <c r="AK81" s="58"/>
      <c r="AL81" s="57">
        <v>18</v>
      </c>
      <c r="AM81" s="225" t="s">
        <v>588</v>
      </c>
      <c r="AN81" s="255" t="s">
        <v>51</v>
      </c>
      <c r="AO81" s="131"/>
      <c r="AP81" s="132"/>
    </row>
    <row r="82" spans="1:42" s="28" customFormat="1" ht="15" customHeight="1" x14ac:dyDescent="0.2">
      <c r="A82" s="162">
        <v>46216</v>
      </c>
      <c r="B82" s="162">
        <v>46216</v>
      </c>
      <c r="C82" s="343" t="s">
        <v>52</v>
      </c>
      <c r="D82" s="224" t="s">
        <v>53</v>
      </c>
      <c r="E82" s="174">
        <v>7692</v>
      </c>
      <c r="F82" s="85">
        <v>1</v>
      </c>
      <c r="G82" s="85">
        <v>75587449</v>
      </c>
      <c r="H82" s="85" t="s">
        <v>863</v>
      </c>
      <c r="I82" s="231"/>
      <c r="J82" s="231"/>
      <c r="K82" s="337">
        <v>5574</v>
      </c>
      <c r="L82" s="231"/>
      <c r="M82" s="231"/>
      <c r="N82" s="231"/>
      <c r="O82" s="24"/>
      <c r="P82" s="337">
        <v>5574</v>
      </c>
      <c r="Q82" s="135"/>
      <c r="R82" s="25"/>
      <c r="S82" s="26"/>
      <c r="T82" s="26"/>
      <c r="U82" s="26"/>
      <c r="V82" s="229" t="s">
        <v>47</v>
      </c>
      <c r="W82" s="58"/>
      <c r="X82" s="162">
        <v>46216</v>
      </c>
      <c r="Y82" s="26" t="s">
        <v>63</v>
      </c>
      <c r="Z82" s="26"/>
      <c r="AA82" s="26"/>
      <c r="AB82" s="26" t="s">
        <v>49</v>
      </c>
      <c r="AC82" s="26"/>
      <c r="AD82" s="254" t="s">
        <v>48</v>
      </c>
      <c r="AE82" s="27"/>
      <c r="AF82" s="24"/>
      <c r="AG82" s="24"/>
      <c r="AH82" s="26"/>
      <c r="AI82" s="26"/>
      <c r="AJ82" s="25"/>
      <c r="AK82" s="26"/>
      <c r="AL82" s="24">
        <v>18</v>
      </c>
      <c r="AM82" s="224" t="s">
        <v>50</v>
      </c>
      <c r="AN82" s="255"/>
      <c r="AO82" s="131"/>
      <c r="AP82" s="132"/>
    </row>
    <row r="83" spans="1:42" s="28" customFormat="1" ht="15" customHeight="1" x14ac:dyDescent="0.2">
      <c r="A83" s="162">
        <v>46216</v>
      </c>
      <c r="B83" s="162">
        <v>46216</v>
      </c>
      <c r="C83" s="343" t="s">
        <v>52</v>
      </c>
      <c r="D83" s="224" t="s">
        <v>53</v>
      </c>
      <c r="E83" s="174">
        <v>7693</v>
      </c>
      <c r="F83" s="85">
        <v>1</v>
      </c>
      <c r="G83" s="85">
        <v>75587449</v>
      </c>
      <c r="H83" s="85" t="s">
        <v>863</v>
      </c>
      <c r="I83" s="231"/>
      <c r="J83" s="231"/>
      <c r="K83" s="337">
        <v>0</v>
      </c>
      <c r="L83" s="231"/>
      <c r="M83" s="231"/>
      <c r="N83" s="231"/>
      <c r="O83" s="24"/>
      <c r="P83" s="337">
        <v>0</v>
      </c>
      <c r="Q83" s="135"/>
      <c r="R83" s="25"/>
      <c r="S83" s="26"/>
      <c r="T83" s="26"/>
      <c r="U83" s="26"/>
      <c r="V83" s="229" t="s">
        <v>47</v>
      </c>
      <c r="W83" s="58"/>
      <c r="X83" s="162">
        <v>46216</v>
      </c>
      <c r="Y83" s="26" t="s">
        <v>61</v>
      </c>
      <c r="Z83" s="58"/>
      <c r="AA83" s="58"/>
      <c r="AB83" s="58" t="s">
        <v>49</v>
      </c>
      <c r="AC83" s="58"/>
      <c r="AD83" s="254" t="s">
        <v>48</v>
      </c>
      <c r="AE83" s="59"/>
      <c r="AF83" s="57"/>
      <c r="AG83" s="57"/>
      <c r="AH83" s="58"/>
      <c r="AI83" s="58"/>
      <c r="AJ83" s="56"/>
      <c r="AK83" s="58"/>
      <c r="AL83" s="57">
        <v>18</v>
      </c>
      <c r="AM83" s="225" t="s">
        <v>588</v>
      </c>
      <c r="AN83" s="255" t="s">
        <v>51</v>
      </c>
      <c r="AO83" s="131"/>
      <c r="AP83" s="132"/>
    </row>
    <row r="84" spans="1:42" s="28" customFormat="1" ht="15" customHeight="1" x14ac:dyDescent="0.2">
      <c r="A84" s="162">
        <v>46216</v>
      </c>
      <c r="B84" s="162">
        <v>46216</v>
      </c>
      <c r="C84" s="343" t="s">
        <v>52</v>
      </c>
      <c r="D84" s="224" t="s">
        <v>53</v>
      </c>
      <c r="E84" s="171">
        <v>7694</v>
      </c>
      <c r="F84" s="85">
        <v>1</v>
      </c>
      <c r="G84" s="85">
        <v>71837540</v>
      </c>
      <c r="H84" s="85" t="s">
        <v>864</v>
      </c>
      <c r="I84" s="231"/>
      <c r="J84" s="231"/>
      <c r="K84" s="337">
        <v>6280</v>
      </c>
      <c r="L84" s="231"/>
      <c r="M84" s="231"/>
      <c r="N84" s="231"/>
      <c r="O84" s="24"/>
      <c r="P84" s="337">
        <v>6280</v>
      </c>
      <c r="Q84" s="135"/>
      <c r="R84" s="25"/>
      <c r="S84" s="26"/>
      <c r="T84" s="26"/>
      <c r="U84" s="26"/>
      <c r="V84" s="229" t="s">
        <v>47</v>
      </c>
      <c r="W84" s="58"/>
      <c r="X84" s="162">
        <v>46216</v>
      </c>
      <c r="Y84" s="26" t="s">
        <v>63</v>
      </c>
      <c r="Z84" s="26"/>
      <c r="AA84" s="26"/>
      <c r="AB84" s="26" t="s">
        <v>49</v>
      </c>
      <c r="AC84" s="26"/>
      <c r="AD84" s="254" t="s">
        <v>48</v>
      </c>
      <c r="AE84" s="27"/>
      <c r="AF84" s="24"/>
      <c r="AG84" s="24"/>
      <c r="AH84" s="26"/>
      <c r="AI84" s="26"/>
      <c r="AJ84" s="25"/>
      <c r="AK84" s="26"/>
      <c r="AL84" s="24">
        <v>18</v>
      </c>
      <c r="AM84" s="224" t="s">
        <v>50</v>
      </c>
      <c r="AN84" s="255"/>
      <c r="AO84" s="131"/>
      <c r="AP84" s="132"/>
    </row>
    <row r="85" spans="1:42" s="28" customFormat="1" ht="15" customHeight="1" x14ac:dyDescent="0.2">
      <c r="A85" s="162">
        <v>46216</v>
      </c>
      <c r="B85" s="162">
        <v>46216</v>
      </c>
      <c r="C85" s="343" t="s">
        <v>52</v>
      </c>
      <c r="D85" s="224" t="s">
        <v>53</v>
      </c>
      <c r="E85" s="174">
        <v>7695</v>
      </c>
      <c r="F85" s="85">
        <v>1</v>
      </c>
      <c r="G85" s="85">
        <v>71837540</v>
      </c>
      <c r="H85" s="85" t="s">
        <v>864</v>
      </c>
      <c r="I85" s="231"/>
      <c r="J85" s="231"/>
      <c r="K85" s="337">
        <v>0</v>
      </c>
      <c r="L85" s="231"/>
      <c r="M85" s="231"/>
      <c r="N85" s="231"/>
      <c r="O85" s="24"/>
      <c r="P85" s="337">
        <v>0</v>
      </c>
      <c r="Q85" s="135"/>
      <c r="R85" s="25"/>
      <c r="S85" s="26"/>
      <c r="T85" s="26"/>
      <c r="U85" s="26"/>
      <c r="V85" s="229" t="s">
        <v>47</v>
      </c>
      <c r="W85" s="58"/>
      <c r="X85" s="162">
        <v>46216</v>
      </c>
      <c r="Y85" s="26" t="s">
        <v>61</v>
      </c>
      <c r="Z85" s="58"/>
      <c r="AA85" s="58"/>
      <c r="AB85" s="58" t="s">
        <v>49</v>
      </c>
      <c r="AC85" s="58"/>
      <c r="AD85" s="254" t="s">
        <v>48</v>
      </c>
      <c r="AE85" s="59"/>
      <c r="AF85" s="57"/>
      <c r="AG85" s="57"/>
      <c r="AH85" s="58"/>
      <c r="AI85" s="58"/>
      <c r="AJ85" s="56"/>
      <c r="AK85" s="58"/>
      <c r="AL85" s="57">
        <v>18</v>
      </c>
      <c r="AM85" s="225" t="s">
        <v>588</v>
      </c>
      <c r="AN85" s="255" t="s">
        <v>51</v>
      </c>
      <c r="AO85" s="131"/>
      <c r="AP85" s="132"/>
    </row>
    <row r="86" spans="1:42" s="28" customFormat="1" ht="15" customHeight="1" x14ac:dyDescent="0.2">
      <c r="A86" s="162">
        <v>46216</v>
      </c>
      <c r="B86" s="162">
        <v>46216</v>
      </c>
      <c r="C86" s="343" t="s">
        <v>52</v>
      </c>
      <c r="D86" s="224" t="s">
        <v>53</v>
      </c>
      <c r="E86" s="174">
        <v>7696</v>
      </c>
      <c r="F86" s="85">
        <v>1</v>
      </c>
      <c r="G86" s="85">
        <v>70221465</v>
      </c>
      <c r="H86" s="85" t="s">
        <v>865</v>
      </c>
      <c r="I86" s="231"/>
      <c r="J86" s="231"/>
      <c r="K86" s="337">
        <v>6230</v>
      </c>
      <c r="L86" s="231"/>
      <c r="M86" s="231"/>
      <c r="N86" s="231"/>
      <c r="O86" s="24"/>
      <c r="P86" s="337">
        <v>6230</v>
      </c>
      <c r="Q86" s="135"/>
      <c r="R86" s="25"/>
      <c r="S86" s="26"/>
      <c r="T86" s="26"/>
      <c r="U86" s="26"/>
      <c r="V86" s="229" t="s">
        <v>47</v>
      </c>
      <c r="W86" s="58"/>
      <c r="X86" s="162">
        <v>46216</v>
      </c>
      <c r="Y86" s="26" t="s">
        <v>63</v>
      </c>
      <c r="Z86" s="26"/>
      <c r="AA86" s="26"/>
      <c r="AB86" s="26" t="s">
        <v>49</v>
      </c>
      <c r="AC86" s="26"/>
      <c r="AD86" s="254" t="s">
        <v>48</v>
      </c>
      <c r="AE86" s="27"/>
      <c r="AF86" s="24"/>
      <c r="AG86" s="24"/>
      <c r="AH86" s="26"/>
      <c r="AI86" s="26"/>
      <c r="AJ86" s="25"/>
      <c r="AK86" s="26"/>
      <c r="AL86" s="24">
        <v>18</v>
      </c>
      <c r="AM86" s="224" t="s">
        <v>50</v>
      </c>
      <c r="AN86" s="255"/>
      <c r="AO86" s="131"/>
      <c r="AP86" s="132"/>
    </row>
    <row r="87" spans="1:42" s="28" customFormat="1" ht="15" customHeight="1" x14ac:dyDescent="0.2">
      <c r="A87" s="162">
        <v>46216</v>
      </c>
      <c r="B87" s="162">
        <v>46216</v>
      </c>
      <c r="C87" s="343" t="s">
        <v>52</v>
      </c>
      <c r="D87" s="224" t="s">
        <v>53</v>
      </c>
      <c r="E87" s="174">
        <v>7697</v>
      </c>
      <c r="F87" s="85">
        <v>1</v>
      </c>
      <c r="G87" s="85">
        <v>70221465</v>
      </c>
      <c r="H87" s="85" t="s">
        <v>865</v>
      </c>
      <c r="I87" s="231"/>
      <c r="J87" s="231"/>
      <c r="K87" s="337">
        <v>0</v>
      </c>
      <c r="L87" s="231"/>
      <c r="M87" s="231"/>
      <c r="N87" s="231"/>
      <c r="O87" s="24"/>
      <c r="P87" s="337">
        <v>0</v>
      </c>
      <c r="Q87" s="135"/>
      <c r="R87" s="25"/>
      <c r="S87" s="26"/>
      <c r="T87" s="26"/>
      <c r="U87" s="26"/>
      <c r="V87" s="229" t="s">
        <v>47</v>
      </c>
      <c r="W87" s="58"/>
      <c r="X87" s="162">
        <v>46216</v>
      </c>
      <c r="Y87" s="26" t="s">
        <v>61</v>
      </c>
      <c r="Z87" s="58"/>
      <c r="AA87" s="58"/>
      <c r="AB87" s="58" t="s">
        <v>49</v>
      </c>
      <c r="AC87" s="58"/>
      <c r="AD87" s="254" t="s">
        <v>48</v>
      </c>
      <c r="AE87" s="59"/>
      <c r="AF87" s="57"/>
      <c r="AG87" s="57"/>
      <c r="AH87" s="58"/>
      <c r="AI87" s="58"/>
      <c r="AJ87" s="56"/>
      <c r="AK87" s="58"/>
      <c r="AL87" s="57">
        <v>18</v>
      </c>
      <c r="AM87" s="225" t="s">
        <v>588</v>
      </c>
      <c r="AN87" s="255" t="s">
        <v>51</v>
      </c>
      <c r="AO87" s="131"/>
      <c r="AP87" s="132"/>
    </row>
    <row r="88" spans="1:42" s="28" customFormat="1" ht="15" customHeight="1" x14ac:dyDescent="0.2">
      <c r="A88" s="162">
        <v>46217</v>
      </c>
      <c r="B88" s="162">
        <v>46217</v>
      </c>
      <c r="C88" s="343" t="s">
        <v>52</v>
      </c>
      <c r="D88" s="224" t="s">
        <v>53</v>
      </c>
      <c r="E88" s="171">
        <v>7698</v>
      </c>
      <c r="F88" s="85">
        <v>1</v>
      </c>
      <c r="G88" s="85">
        <v>47010193</v>
      </c>
      <c r="H88" s="85" t="s">
        <v>866</v>
      </c>
      <c r="I88" s="231"/>
      <c r="J88" s="231"/>
      <c r="K88" s="337">
        <v>5574</v>
      </c>
      <c r="L88" s="231"/>
      <c r="M88" s="231"/>
      <c r="N88" s="231"/>
      <c r="O88" s="24"/>
      <c r="P88" s="337">
        <v>5574</v>
      </c>
      <c r="Q88" s="135"/>
      <c r="R88" s="25"/>
      <c r="S88" s="26"/>
      <c r="T88" s="26"/>
      <c r="U88" s="26"/>
      <c r="V88" s="229" t="s">
        <v>47</v>
      </c>
      <c r="W88" s="58"/>
      <c r="X88" s="162">
        <v>46217</v>
      </c>
      <c r="Y88" s="26" t="s">
        <v>63</v>
      </c>
      <c r="Z88" s="26"/>
      <c r="AA88" s="26"/>
      <c r="AB88" s="26" t="s">
        <v>49</v>
      </c>
      <c r="AC88" s="26"/>
      <c r="AD88" s="254" t="s">
        <v>48</v>
      </c>
      <c r="AE88" s="27"/>
      <c r="AF88" s="24"/>
      <c r="AG88" s="24"/>
      <c r="AH88" s="26"/>
      <c r="AI88" s="26"/>
      <c r="AJ88" s="25"/>
      <c r="AK88" s="26"/>
      <c r="AL88" s="24">
        <v>18</v>
      </c>
      <c r="AM88" s="224" t="s">
        <v>50</v>
      </c>
      <c r="AN88" s="255"/>
      <c r="AO88" s="131"/>
      <c r="AP88" s="132"/>
    </row>
    <row r="89" spans="1:42" s="28" customFormat="1" ht="15" customHeight="1" x14ac:dyDescent="0.2">
      <c r="A89" s="162">
        <v>46217</v>
      </c>
      <c r="B89" s="162">
        <v>46217</v>
      </c>
      <c r="C89" s="343" t="s">
        <v>52</v>
      </c>
      <c r="D89" s="224" t="s">
        <v>53</v>
      </c>
      <c r="E89" s="174">
        <v>7699</v>
      </c>
      <c r="F89" s="85">
        <v>1</v>
      </c>
      <c r="G89" s="85">
        <v>47010193</v>
      </c>
      <c r="H89" s="85" t="s">
        <v>866</v>
      </c>
      <c r="I89" s="231"/>
      <c r="J89" s="231"/>
      <c r="K89" s="337">
        <v>0</v>
      </c>
      <c r="L89" s="231"/>
      <c r="M89" s="231"/>
      <c r="N89" s="231"/>
      <c r="O89" s="24"/>
      <c r="P89" s="337">
        <v>0</v>
      </c>
      <c r="Q89" s="135"/>
      <c r="R89" s="25"/>
      <c r="S89" s="26"/>
      <c r="T89" s="26"/>
      <c r="U89" s="26"/>
      <c r="V89" s="229" t="s">
        <v>47</v>
      </c>
      <c r="W89" s="58"/>
      <c r="X89" s="162">
        <v>46217</v>
      </c>
      <c r="Y89" s="26" t="s">
        <v>61</v>
      </c>
      <c r="Z89" s="58"/>
      <c r="AA89" s="58"/>
      <c r="AB89" s="58" t="s">
        <v>49</v>
      </c>
      <c r="AC89" s="58"/>
      <c r="AD89" s="254" t="s">
        <v>48</v>
      </c>
      <c r="AE89" s="59"/>
      <c r="AF89" s="57"/>
      <c r="AG89" s="57"/>
      <c r="AH89" s="58"/>
      <c r="AI89" s="58"/>
      <c r="AJ89" s="56"/>
      <c r="AK89" s="58"/>
      <c r="AL89" s="57">
        <v>18</v>
      </c>
      <c r="AM89" s="225" t="s">
        <v>588</v>
      </c>
      <c r="AN89" s="255" t="s">
        <v>51</v>
      </c>
      <c r="AO89" s="131"/>
      <c r="AP89" s="132"/>
    </row>
    <row r="90" spans="1:42" s="28" customFormat="1" ht="15" customHeight="1" x14ac:dyDescent="0.2">
      <c r="A90" s="162">
        <v>46217</v>
      </c>
      <c r="B90" s="162">
        <v>46217</v>
      </c>
      <c r="C90" s="343" t="s">
        <v>52</v>
      </c>
      <c r="D90" s="224" t="s">
        <v>53</v>
      </c>
      <c r="E90" s="174">
        <v>7700</v>
      </c>
      <c r="F90" s="85">
        <v>1</v>
      </c>
      <c r="G90" s="85">
        <v>44869785</v>
      </c>
      <c r="H90" s="85" t="s">
        <v>823</v>
      </c>
      <c r="I90" s="231"/>
      <c r="J90" s="231"/>
      <c r="K90" s="337">
        <v>0</v>
      </c>
      <c r="L90" s="231"/>
      <c r="M90" s="231"/>
      <c r="N90" s="231"/>
      <c r="O90" s="24"/>
      <c r="P90" s="337">
        <v>0</v>
      </c>
      <c r="Q90" s="135"/>
      <c r="R90" s="25"/>
      <c r="S90" s="26"/>
      <c r="T90" s="26"/>
      <c r="U90" s="26"/>
      <c r="V90" s="229" t="s">
        <v>47</v>
      </c>
      <c r="W90" s="58"/>
      <c r="X90" s="162">
        <v>46217</v>
      </c>
      <c r="Y90" s="26" t="s">
        <v>61</v>
      </c>
      <c r="Z90" s="58"/>
      <c r="AA90" s="58"/>
      <c r="AB90" s="58" t="s">
        <v>49</v>
      </c>
      <c r="AC90" s="58"/>
      <c r="AD90" s="254" t="s">
        <v>48</v>
      </c>
      <c r="AE90" s="59"/>
      <c r="AF90" s="57"/>
      <c r="AG90" s="57"/>
      <c r="AH90" s="58"/>
      <c r="AI90" s="58"/>
      <c r="AJ90" s="56"/>
      <c r="AK90" s="58"/>
      <c r="AL90" s="57">
        <v>18</v>
      </c>
      <c r="AM90" s="225" t="s">
        <v>588</v>
      </c>
      <c r="AN90" s="255" t="s">
        <v>51</v>
      </c>
      <c r="AO90" s="131"/>
      <c r="AP90" s="132"/>
    </row>
    <row r="91" spans="1:42" s="28" customFormat="1" ht="15" customHeight="1" x14ac:dyDescent="0.2">
      <c r="A91" s="162">
        <v>46217</v>
      </c>
      <c r="B91" s="162">
        <v>46217</v>
      </c>
      <c r="C91" s="343" t="s">
        <v>52</v>
      </c>
      <c r="D91" s="224" t="s">
        <v>53</v>
      </c>
      <c r="E91" s="174">
        <v>7701</v>
      </c>
      <c r="F91" s="85">
        <v>1</v>
      </c>
      <c r="G91" s="85">
        <v>81099229</v>
      </c>
      <c r="H91" s="85" t="s">
        <v>867</v>
      </c>
      <c r="I91" s="231"/>
      <c r="J91" s="231"/>
      <c r="K91" s="337">
        <v>6380</v>
      </c>
      <c r="L91" s="231"/>
      <c r="M91" s="231"/>
      <c r="N91" s="231"/>
      <c r="O91" s="24"/>
      <c r="P91" s="337">
        <v>6380</v>
      </c>
      <c r="Q91" s="135"/>
      <c r="R91" s="25"/>
      <c r="S91" s="26"/>
      <c r="T91" s="26"/>
      <c r="U91" s="26"/>
      <c r="V91" s="229" t="s">
        <v>47</v>
      </c>
      <c r="W91" s="58"/>
      <c r="X91" s="162">
        <v>46217</v>
      </c>
      <c r="Y91" s="26" t="s">
        <v>63</v>
      </c>
      <c r="Z91" s="26"/>
      <c r="AA91" s="26"/>
      <c r="AB91" s="26" t="s">
        <v>49</v>
      </c>
      <c r="AC91" s="26"/>
      <c r="AD91" s="254" t="s">
        <v>48</v>
      </c>
      <c r="AE91" s="27"/>
      <c r="AF91" s="24"/>
      <c r="AG91" s="24"/>
      <c r="AH91" s="26"/>
      <c r="AI91" s="26"/>
      <c r="AJ91" s="25"/>
      <c r="AK91" s="26"/>
      <c r="AL91" s="24">
        <v>18</v>
      </c>
      <c r="AM91" s="224" t="s">
        <v>50</v>
      </c>
      <c r="AN91" s="255"/>
      <c r="AO91" s="131"/>
      <c r="AP91" s="132"/>
    </row>
    <row r="92" spans="1:42" s="28" customFormat="1" ht="15" customHeight="1" x14ac:dyDescent="0.2">
      <c r="A92" s="162">
        <v>46217</v>
      </c>
      <c r="B92" s="162">
        <v>46217</v>
      </c>
      <c r="C92" s="343" t="s">
        <v>52</v>
      </c>
      <c r="D92" s="224" t="s">
        <v>53</v>
      </c>
      <c r="E92" s="171">
        <v>7702</v>
      </c>
      <c r="F92" s="85">
        <v>1</v>
      </c>
      <c r="G92" s="85">
        <v>81099229</v>
      </c>
      <c r="H92" s="85" t="s">
        <v>867</v>
      </c>
      <c r="I92" s="231"/>
      <c r="J92" s="231"/>
      <c r="K92" s="337">
        <v>0</v>
      </c>
      <c r="L92" s="231"/>
      <c r="M92" s="231"/>
      <c r="N92" s="231"/>
      <c r="O92" s="24"/>
      <c r="P92" s="337">
        <v>0</v>
      </c>
      <c r="Q92" s="135"/>
      <c r="R92" s="25"/>
      <c r="S92" s="26"/>
      <c r="T92" s="26"/>
      <c r="U92" s="26"/>
      <c r="V92" s="229" t="s">
        <v>47</v>
      </c>
      <c r="W92" s="58"/>
      <c r="X92" s="162">
        <v>46217</v>
      </c>
      <c r="Y92" s="26" t="s">
        <v>61</v>
      </c>
      <c r="Z92" s="58"/>
      <c r="AA92" s="58"/>
      <c r="AB92" s="58" t="s">
        <v>49</v>
      </c>
      <c r="AC92" s="58"/>
      <c r="AD92" s="254" t="s">
        <v>48</v>
      </c>
      <c r="AE92" s="59"/>
      <c r="AF92" s="57"/>
      <c r="AG92" s="57"/>
      <c r="AH92" s="58"/>
      <c r="AI92" s="58"/>
      <c r="AJ92" s="56"/>
      <c r="AK92" s="58"/>
      <c r="AL92" s="57">
        <v>18</v>
      </c>
      <c r="AM92" s="225" t="s">
        <v>588</v>
      </c>
      <c r="AN92" s="255" t="s">
        <v>51</v>
      </c>
      <c r="AO92" s="131"/>
      <c r="AP92" s="132"/>
    </row>
    <row r="93" spans="1:42" s="28" customFormat="1" ht="15" customHeight="1" x14ac:dyDescent="0.2">
      <c r="A93" s="162">
        <v>46218</v>
      </c>
      <c r="B93" s="162">
        <v>46218</v>
      </c>
      <c r="C93" s="343" t="s">
        <v>52</v>
      </c>
      <c r="D93" s="224" t="s">
        <v>53</v>
      </c>
      <c r="E93" s="174">
        <v>7703</v>
      </c>
      <c r="F93" s="85">
        <v>1</v>
      </c>
      <c r="G93" s="85">
        <v>77287125</v>
      </c>
      <c r="H93" s="85" t="s">
        <v>836</v>
      </c>
      <c r="I93" s="231"/>
      <c r="J93" s="231"/>
      <c r="K93" s="337">
        <v>0</v>
      </c>
      <c r="L93" s="231"/>
      <c r="M93" s="231"/>
      <c r="N93" s="231"/>
      <c r="O93" s="24"/>
      <c r="P93" s="337">
        <v>0</v>
      </c>
      <c r="Q93" s="135"/>
      <c r="R93" s="25"/>
      <c r="S93" s="26"/>
      <c r="T93" s="26"/>
      <c r="U93" s="26"/>
      <c r="V93" s="229" t="s">
        <v>47</v>
      </c>
      <c r="W93" s="58"/>
      <c r="X93" s="162">
        <v>46218</v>
      </c>
      <c r="Y93" s="26" t="s">
        <v>61</v>
      </c>
      <c r="Z93" s="58"/>
      <c r="AA93" s="58"/>
      <c r="AB93" s="58" t="s">
        <v>49</v>
      </c>
      <c r="AC93" s="58"/>
      <c r="AD93" s="254" t="s">
        <v>48</v>
      </c>
      <c r="AE93" s="59"/>
      <c r="AF93" s="57"/>
      <c r="AG93" s="57"/>
      <c r="AH93" s="58"/>
      <c r="AI93" s="58"/>
      <c r="AJ93" s="56"/>
      <c r="AK93" s="58"/>
      <c r="AL93" s="57">
        <v>18</v>
      </c>
      <c r="AM93" s="225" t="s">
        <v>588</v>
      </c>
      <c r="AN93" s="255" t="s">
        <v>51</v>
      </c>
      <c r="AO93" s="131"/>
      <c r="AP93" s="132"/>
    </row>
    <row r="94" spans="1:42" s="28" customFormat="1" ht="15" customHeight="1" x14ac:dyDescent="0.2">
      <c r="A94" s="162">
        <v>46219</v>
      </c>
      <c r="B94" s="162">
        <v>46219</v>
      </c>
      <c r="C94" s="343" t="s">
        <v>52</v>
      </c>
      <c r="D94" s="224" t="s">
        <v>53</v>
      </c>
      <c r="E94" s="174">
        <v>7704</v>
      </c>
      <c r="F94" s="85">
        <v>1</v>
      </c>
      <c r="G94" s="85">
        <v>70279291</v>
      </c>
      <c r="H94" s="85" t="s">
        <v>868</v>
      </c>
      <c r="I94" s="231"/>
      <c r="J94" s="231"/>
      <c r="K94" s="337">
        <v>10280</v>
      </c>
      <c r="L94" s="231"/>
      <c r="M94" s="231"/>
      <c r="N94" s="231"/>
      <c r="O94" s="24"/>
      <c r="P94" s="337">
        <v>10280</v>
      </c>
      <c r="Q94" s="135"/>
      <c r="R94" s="25"/>
      <c r="S94" s="26"/>
      <c r="T94" s="26"/>
      <c r="U94" s="26"/>
      <c r="V94" s="229" t="s">
        <v>47</v>
      </c>
      <c r="W94" s="58"/>
      <c r="X94" s="162">
        <v>46219</v>
      </c>
      <c r="Y94" s="26" t="s">
        <v>63</v>
      </c>
      <c r="Z94" s="26"/>
      <c r="AA94" s="26"/>
      <c r="AB94" s="26" t="s">
        <v>49</v>
      </c>
      <c r="AC94" s="26"/>
      <c r="AD94" s="254" t="s">
        <v>48</v>
      </c>
      <c r="AE94" s="27"/>
      <c r="AF94" s="24"/>
      <c r="AG94" s="24"/>
      <c r="AH94" s="26"/>
      <c r="AI94" s="26"/>
      <c r="AJ94" s="25"/>
      <c r="AK94" s="26"/>
      <c r="AL94" s="24">
        <v>18</v>
      </c>
      <c r="AM94" s="224" t="s">
        <v>50</v>
      </c>
      <c r="AN94" s="255"/>
      <c r="AO94" s="131"/>
      <c r="AP94" s="132"/>
    </row>
    <row r="95" spans="1:42" s="28" customFormat="1" ht="15" customHeight="1" x14ac:dyDescent="0.2">
      <c r="A95" s="162">
        <v>46219</v>
      </c>
      <c r="B95" s="162">
        <v>46219</v>
      </c>
      <c r="C95" s="343" t="s">
        <v>52</v>
      </c>
      <c r="D95" s="224" t="s">
        <v>53</v>
      </c>
      <c r="E95" s="174">
        <v>7705</v>
      </c>
      <c r="F95" s="85">
        <v>1</v>
      </c>
      <c r="G95" s="85">
        <v>70279291</v>
      </c>
      <c r="H95" s="85" t="s">
        <v>868</v>
      </c>
      <c r="I95" s="231"/>
      <c r="J95" s="231"/>
      <c r="K95" s="337">
        <v>0</v>
      </c>
      <c r="L95" s="231"/>
      <c r="M95" s="231"/>
      <c r="N95" s="231"/>
      <c r="O95" s="24"/>
      <c r="P95" s="337">
        <v>0</v>
      </c>
      <c r="Q95" s="135"/>
      <c r="R95" s="25"/>
      <c r="S95" s="26"/>
      <c r="T95" s="26"/>
      <c r="U95" s="26"/>
      <c r="V95" s="229" t="s">
        <v>47</v>
      </c>
      <c r="W95" s="58"/>
      <c r="X95" s="162">
        <v>46219</v>
      </c>
      <c r="Y95" s="26" t="s">
        <v>61</v>
      </c>
      <c r="Z95" s="58"/>
      <c r="AA95" s="58"/>
      <c r="AB95" s="58" t="s">
        <v>49</v>
      </c>
      <c r="AC95" s="58"/>
      <c r="AD95" s="254" t="s">
        <v>48</v>
      </c>
      <c r="AE95" s="59"/>
      <c r="AF95" s="57"/>
      <c r="AG95" s="57"/>
      <c r="AH95" s="58"/>
      <c r="AI95" s="58"/>
      <c r="AJ95" s="56"/>
      <c r="AK95" s="58"/>
      <c r="AL95" s="57">
        <v>18</v>
      </c>
      <c r="AM95" s="225" t="s">
        <v>588</v>
      </c>
      <c r="AN95" s="255" t="s">
        <v>51</v>
      </c>
      <c r="AO95" s="131"/>
      <c r="AP95" s="132"/>
    </row>
    <row r="96" spans="1:42" s="28" customFormat="1" ht="15" customHeight="1" x14ac:dyDescent="0.2">
      <c r="A96" s="162">
        <v>46219</v>
      </c>
      <c r="B96" s="162">
        <v>46219</v>
      </c>
      <c r="C96" s="343" t="s">
        <v>52</v>
      </c>
      <c r="D96" s="224" t="s">
        <v>53</v>
      </c>
      <c r="E96" s="171">
        <v>7706</v>
      </c>
      <c r="F96" s="85">
        <v>1</v>
      </c>
      <c r="G96" s="85">
        <v>74696267</v>
      </c>
      <c r="H96" s="85" t="s">
        <v>869</v>
      </c>
      <c r="I96" s="231"/>
      <c r="J96" s="231"/>
      <c r="K96" s="337">
        <v>5280</v>
      </c>
      <c r="L96" s="231"/>
      <c r="M96" s="231"/>
      <c r="N96" s="231"/>
      <c r="O96" s="24"/>
      <c r="P96" s="337">
        <v>5280</v>
      </c>
      <c r="Q96" s="135"/>
      <c r="R96" s="25"/>
      <c r="S96" s="26"/>
      <c r="T96" s="26"/>
      <c r="U96" s="26"/>
      <c r="V96" s="229" t="s">
        <v>47</v>
      </c>
      <c r="W96" s="58"/>
      <c r="X96" s="162">
        <v>46219</v>
      </c>
      <c r="Y96" s="26" t="s">
        <v>63</v>
      </c>
      <c r="Z96" s="26"/>
      <c r="AA96" s="26"/>
      <c r="AB96" s="26" t="s">
        <v>49</v>
      </c>
      <c r="AC96" s="26"/>
      <c r="AD96" s="254" t="s">
        <v>48</v>
      </c>
      <c r="AE96" s="27"/>
      <c r="AF96" s="24"/>
      <c r="AG96" s="24"/>
      <c r="AH96" s="26"/>
      <c r="AI96" s="26"/>
      <c r="AJ96" s="25"/>
      <c r="AK96" s="26"/>
      <c r="AL96" s="24">
        <v>18</v>
      </c>
      <c r="AM96" s="224" t="s">
        <v>50</v>
      </c>
      <c r="AN96" s="255"/>
      <c r="AO96" s="131"/>
      <c r="AP96" s="132"/>
    </row>
    <row r="97" spans="1:42" s="28" customFormat="1" ht="15" customHeight="1" x14ac:dyDescent="0.2">
      <c r="A97" s="162">
        <v>46219</v>
      </c>
      <c r="B97" s="162">
        <v>46219</v>
      </c>
      <c r="C97" s="343" t="s">
        <v>52</v>
      </c>
      <c r="D97" s="224" t="s">
        <v>53</v>
      </c>
      <c r="E97" s="174">
        <v>7707</v>
      </c>
      <c r="F97" s="85">
        <v>1</v>
      </c>
      <c r="G97" s="85">
        <v>74696267</v>
      </c>
      <c r="H97" s="85" t="s">
        <v>869</v>
      </c>
      <c r="I97" s="231"/>
      <c r="J97" s="231"/>
      <c r="K97" s="337">
        <v>0</v>
      </c>
      <c r="L97" s="231"/>
      <c r="M97" s="231"/>
      <c r="N97" s="231"/>
      <c r="O97" s="24"/>
      <c r="P97" s="337">
        <v>0</v>
      </c>
      <c r="Q97" s="135"/>
      <c r="R97" s="25"/>
      <c r="S97" s="26"/>
      <c r="T97" s="26"/>
      <c r="U97" s="26"/>
      <c r="V97" s="229" t="s">
        <v>47</v>
      </c>
      <c r="W97" s="58"/>
      <c r="X97" s="162">
        <v>46219</v>
      </c>
      <c r="Y97" s="26" t="s">
        <v>61</v>
      </c>
      <c r="Z97" s="58"/>
      <c r="AA97" s="58"/>
      <c r="AB97" s="58" t="s">
        <v>49</v>
      </c>
      <c r="AC97" s="58"/>
      <c r="AD97" s="254" t="s">
        <v>48</v>
      </c>
      <c r="AE97" s="59"/>
      <c r="AF97" s="57"/>
      <c r="AG97" s="57"/>
      <c r="AH97" s="58"/>
      <c r="AI97" s="58"/>
      <c r="AJ97" s="56"/>
      <c r="AK97" s="58"/>
      <c r="AL97" s="57">
        <v>18</v>
      </c>
      <c r="AM97" s="225" t="s">
        <v>588</v>
      </c>
      <c r="AN97" s="255" t="s">
        <v>51</v>
      </c>
      <c r="AO97" s="131"/>
      <c r="AP97" s="132"/>
    </row>
    <row r="98" spans="1:42" s="28" customFormat="1" ht="15" customHeight="1" x14ac:dyDescent="0.2">
      <c r="A98" s="162">
        <v>46220</v>
      </c>
      <c r="B98" s="162">
        <v>46315</v>
      </c>
      <c r="C98" s="343" t="s">
        <v>52</v>
      </c>
      <c r="D98" s="224" t="s">
        <v>53</v>
      </c>
      <c r="E98" s="174">
        <v>7708</v>
      </c>
      <c r="F98" s="85">
        <v>1</v>
      </c>
      <c r="G98" s="85">
        <v>20993717</v>
      </c>
      <c r="H98" s="85" t="s">
        <v>870</v>
      </c>
      <c r="I98" s="231"/>
      <c r="J98" s="231"/>
      <c r="K98" s="337">
        <v>6800</v>
      </c>
      <c r="L98" s="231"/>
      <c r="M98" s="231"/>
      <c r="N98" s="231"/>
      <c r="O98" s="24"/>
      <c r="P98" s="337">
        <v>6800</v>
      </c>
      <c r="Q98" s="135"/>
      <c r="R98" s="25"/>
      <c r="S98" s="26"/>
      <c r="T98" s="26"/>
      <c r="U98" s="26"/>
      <c r="V98" s="229" t="s">
        <v>47</v>
      </c>
      <c r="W98" s="58"/>
      <c r="X98" s="162">
        <v>46315</v>
      </c>
      <c r="Y98" s="26" t="s">
        <v>63</v>
      </c>
      <c r="Z98" s="26"/>
      <c r="AA98" s="26"/>
      <c r="AB98" s="26" t="s">
        <v>49</v>
      </c>
      <c r="AC98" s="26"/>
      <c r="AD98" s="254" t="s">
        <v>48</v>
      </c>
      <c r="AE98" s="27"/>
      <c r="AF98" s="24"/>
      <c r="AG98" s="24"/>
      <c r="AH98" s="26"/>
      <c r="AI98" s="26"/>
      <c r="AJ98" s="25"/>
      <c r="AK98" s="26"/>
      <c r="AL98" s="24">
        <v>18</v>
      </c>
      <c r="AM98" s="224" t="s">
        <v>50</v>
      </c>
      <c r="AN98" s="255"/>
      <c r="AO98" s="131"/>
      <c r="AP98" s="132"/>
    </row>
    <row r="99" spans="1:42" s="28" customFormat="1" ht="15" customHeight="1" x14ac:dyDescent="0.2">
      <c r="A99" s="162">
        <v>46220</v>
      </c>
      <c r="B99" s="162">
        <v>46220</v>
      </c>
      <c r="C99" s="343" t="s">
        <v>52</v>
      </c>
      <c r="D99" s="224" t="s">
        <v>53</v>
      </c>
      <c r="E99" s="174">
        <v>7709</v>
      </c>
      <c r="F99" s="85">
        <v>1</v>
      </c>
      <c r="G99" s="85">
        <v>20993717</v>
      </c>
      <c r="H99" s="85" t="s">
        <v>870</v>
      </c>
      <c r="I99" s="231"/>
      <c r="J99" s="231"/>
      <c r="K99" s="337">
        <v>0</v>
      </c>
      <c r="L99" s="231"/>
      <c r="M99" s="231"/>
      <c r="N99" s="231"/>
      <c r="O99" s="24"/>
      <c r="P99" s="337">
        <v>0</v>
      </c>
      <c r="Q99" s="135"/>
      <c r="R99" s="25"/>
      <c r="S99" s="26"/>
      <c r="T99" s="26"/>
      <c r="U99" s="26"/>
      <c r="V99" s="229" t="s">
        <v>47</v>
      </c>
      <c r="W99" s="58"/>
      <c r="X99" s="162">
        <v>46220</v>
      </c>
      <c r="Y99" s="26" t="s">
        <v>61</v>
      </c>
      <c r="Z99" s="58"/>
      <c r="AA99" s="58"/>
      <c r="AB99" s="58" t="s">
        <v>49</v>
      </c>
      <c r="AC99" s="58"/>
      <c r="AD99" s="254" t="s">
        <v>48</v>
      </c>
      <c r="AE99" s="59"/>
      <c r="AF99" s="57"/>
      <c r="AG99" s="57"/>
      <c r="AH99" s="58"/>
      <c r="AI99" s="58"/>
      <c r="AJ99" s="56"/>
      <c r="AK99" s="58"/>
      <c r="AL99" s="57">
        <v>18</v>
      </c>
      <c r="AM99" s="225" t="s">
        <v>588</v>
      </c>
      <c r="AN99" s="255" t="s">
        <v>51</v>
      </c>
      <c r="AO99" s="131"/>
      <c r="AP99" s="132"/>
    </row>
    <row r="100" spans="1:42" s="28" customFormat="1" ht="15" customHeight="1" x14ac:dyDescent="0.2">
      <c r="A100" s="162">
        <v>46221</v>
      </c>
      <c r="B100" s="162">
        <v>46221</v>
      </c>
      <c r="C100" s="343" t="s">
        <v>52</v>
      </c>
      <c r="D100" s="224" t="s">
        <v>53</v>
      </c>
      <c r="E100" s="171">
        <v>7710</v>
      </c>
      <c r="F100" s="85">
        <v>1</v>
      </c>
      <c r="G100" s="85">
        <v>47482961</v>
      </c>
      <c r="H100" s="85" t="s">
        <v>503</v>
      </c>
      <c r="I100" s="231"/>
      <c r="J100" s="231"/>
      <c r="K100" s="337">
        <v>5380</v>
      </c>
      <c r="L100" s="231"/>
      <c r="M100" s="231"/>
      <c r="N100" s="231"/>
      <c r="O100" s="24"/>
      <c r="P100" s="337">
        <v>5380</v>
      </c>
      <c r="Q100" s="135"/>
      <c r="R100" s="25"/>
      <c r="S100" s="26"/>
      <c r="T100" s="26"/>
      <c r="U100" s="26"/>
      <c r="V100" s="229" t="s">
        <v>47</v>
      </c>
      <c r="W100" s="58"/>
      <c r="X100" s="162">
        <v>46221</v>
      </c>
      <c r="Y100" s="26" t="s">
        <v>63</v>
      </c>
      <c r="Z100" s="26"/>
      <c r="AA100" s="26"/>
      <c r="AB100" s="26" t="s">
        <v>49</v>
      </c>
      <c r="AC100" s="26"/>
      <c r="AD100" s="254" t="s">
        <v>48</v>
      </c>
      <c r="AE100" s="27"/>
      <c r="AF100" s="24"/>
      <c r="AG100" s="24"/>
      <c r="AH100" s="26"/>
      <c r="AI100" s="26"/>
      <c r="AJ100" s="25"/>
      <c r="AK100" s="26"/>
      <c r="AL100" s="24">
        <v>18</v>
      </c>
      <c r="AM100" s="224" t="s">
        <v>50</v>
      </c>
      <c r="AN100" s="255"/>
      <c r="AO100" s="131"/>
      <c r="AP100" s="132"/>
    </row>
    <row r="101" spans="1:42" s="28" customFormat="1" ht="15" customHeight="1" x14ac:dyDescent="0.2">
      <c r="A101" s="162">
        <v>46221</v>
      </c>
      <c r="B101" s="162">
        <v>46221</v>
      </c>
      <c r="C101" s="343" t="s">
        <v>52</v>
      </c>
      <c r="D101" s="224" t="s">
        <v>53</v>
      </c>
      <c r="E101" s="174">
        <v>7711</v>
      </c>
      <c r="F101" s="85">
        <v>1</v>
      </c>
      <c r="G101" s="85">
        <v>47482961</v>
      </c>
      <c r="H101" s="85" t="s">
        <v>503</v>
      </c>
      <c r="I101" s="231"/>
      <c r="J101" s="231"/>
      <c r="K101" s="337">
        <v>0</v>
      </c>
      <c r="L101" s="231"/>
      <c r="M101" s="231"/>
      <c r="N101" s="231"/>
      <c r="O101" s="24"/>
      <c r="P101" s="337">
        <v>0</v>
      </c>
      <c r="Q101" s="135"/>
      <c r="R101" s="25"/>
      <c r="S101" s="26"/>
      <c r="T101" s="26"/>
      <c r="U101" s="26"/>
      <c r="V101" s="229" t="s">
        <v>47</v>
      </c>
      <c r="W101" s="58"/>
      <c r="X101" s="162">
        <v>46221</v>
      </c>
      <c r="Y101" s="26" t="s">
        <v>61</v>
      </c>
      <c r="Z101" s="58"/>
      <c r="AA101" s="58"/>
      <c r="AB101" s="58" t="s">
        <v>49</v>
      </c>
      <c r="AC101" s="58"/>
      <c r="AD101" s="254" t="s">
        <v>48</v>
      </c>
      <c r="AE101" s="59"/>
      <c r="AF101" s="57"/>
      <c r="AG101" s="57"/>
      <c r="AH101" s="58"/>
      <c r="AI101" s="58"/>
      <c r="AJ101" s="56"/>
      <c r="AK101" s="58"/>
      <c r="AL101" s="57">
        <v>18</v>
      </c>
      <c r="AM101" s="225" t="s">
        <v>588</v>
      </c>
      <c r="AN101" s="255" t="s">
        <v>51</v>
      </c>
      <c r="AO101" s="131"/>
      <c r="AP101" s="132"/>
    </row>
    <row r="102" spans="1:42" s="28" customFormat="1" ht="15" customHeight="1" x14ac:dyDescent="0.2">
      <c r="A102" s="162">
        <v>46221</v>
      </c>
      <c r="B102" s="162">
        <v>46221</v>
      </c>
      <c r="C102" s="343" t="s">
        <v>52</v>
      </c>
      <c r="D102" s="224" t="s">
        <v>53</v>
      </c>
      <c r="E102" s="174">
        <v>7712</v>
      </c>
      <c r="F102" s="85">
        <v>1</v>
      </c>
      <c r="G102" s="85">
        <v>48080280</v>
      </c>
      <c r="H102" s="85" t="s">
        <v>567</v>
      </c>
      <c r="I102" s="231"/>
      <c r="J102" s="231"/>
      <c r="K102" s="337">
        <v>4770</v>
      </c>
      <c r="L102" s="231"/>
      <c r="M102" s="231"/>
      <c r="N102" s="231"/>
      <c r="O102" s="24"/>
      <c r="P102" s="337">
        <v>4770</v>
      </c>
      <c r="Q102" s="135"/>
      <c r="R102" s="25"/>
      <c r="S102" s="26"/>
      <c r="T102" s="26"/>
      <c r="U102" s="26"/>
      <c r="V102" s="229" t="s">
        <v>47</v>
      </c>
      <c r="W102" s="58"/>
      <c r="X102" s="162">
        <v>46221</v>
      </c>
      <c r="Y102" s="26" t="s">
        <v>63</v>
      </c>
      <c r="Z102" s="26"/>
      <c r="AA102" s="26"/>
      <c r="AB102" s="26" t="s">
        <v>49</v>
      </c>
      <c r="AC102" s="26"/>
      <c r="AD102" s="254" t="s">
        <v>48</v>
      </c>
      <c r="AE102" s="27"/>
      <c r="AF102" s="24"/>
      <c r="AG102" s="24"/>
      <c r="AH102" s="26"/>
      <c r="AI102" s="26"/>
      <c r="AJ102" s="25"/>
      <c r="AK102" s="26"/>
      <c r="AL102" s="24">
        <v>18</v>
      </c>
      <c r="AM102" s="224" t="s">
        <v>50</v>
      </c>
      <c r="AN102" s="255"/>
      <c r="AO102" s="131"/>
      <c r="AP102" s="132"/>
    </row>
    <row r="103" spans="1:42" s="28" customFormat="1" ht="15" customHeight="1" x14ac:dyDescent="0.2">
      <c r="A103" s="162">
        <v>46221</v>
      </c>
      <c r="B103" s="162">
        <v>46221</v>
      </c>
      <c r="C103" s="343" t="s">
        <v>52</v>
      </c>
      <c r="D103" s="224" t="s">
        <v>53</v>
      </c>
      <c r="E103" s="174">
        <v>7713</v>
      </c>
      <c r="F103" s="85">
        <v>1</v>
      </c>
      <c r="G103" s="85">
        <v>48080280</v>
      </c>
      <c r="H103" s="85" t="s">
        <v>567</v>
      </c>
      <c r="I103" s="231"/>
      <c r="J103" s="231"/>
      <c r="K103" s="337">
        <v>0</v>
      </c>
      <c r="L103" s="231"/>
      <c r="M103" s="231"/>
      <c r="N103" s="231"/>
      <c r="O103" s="24"/>
      <c r="P103" s="337">
        <v>0</v>
      </c>
      <c r="Q103" s="135"/>
      <c r="R103" s="25"/>
      <c r="S103" s="26"/>
      <c r="T103" s="26"/>
      <c r="U103" s="26"/>
      <c r="V103" s="229" t="s">
        <v>47</v>
      </c>
      <c r="W103" s="58"/>
      <c r="X103" s="162">
        <v>46221</v>
      </c>
      <c r="Y103" s="26" t="s">
        <v>61</v>
      </c>
      <c r="Z103" s="58"/>
      <c r="AA103" s="58"/>
      <c r="AB103" s="58" t="s">
        <v>49</v>
      </c>
      <c r="AC103" s="58"/>
      <c r="AD103" s="254" t="s">
        <v>48</v>
      </c>
      <c r="AE103" s="59"/>
      <c r="AF103" s="57"/>
      <c r="AG103" s="57"/>
      <c r="AH103" s="58"/>
      <c r="AI103" s="58"/>
      <c r="AJ103" s="56"/>
      <c r="AK103" s="58"/>
      <c r="AL103" s="57">
        <v>18</v>
      </c>
      <c r="AM103" s="225" t="s">
        <v>588</v>
      </c>
      <c r="AN103" s="255" t="s">
        <v>51</v>
      </c>
      <c r="AO103" s="131"/>
      <c r="AP103" s="132"/>
    </row>
    <row r="104" spans="1:42" s="28" customFormat="1" ht="15" customHeight="1" x14ac:dyDescent="0.2">
      <c r="A104" s="162">
        <v>46223</v>
      </c>
      <c r="B104" s="162">
        <v>46223</v>
      </c>
      <c r="C104" s="343" t="s">
        <v>52</v>
      </c>
      <c r="D104" s="224" t="s">
        <v>53</v>
      </c>
      <c r="E104" s="171">
        <v>7714</v>
      </c>
      <c r="F104" s="85">
        <v>1</v>
      </c>
      <c r="G104" s="85">
        <v>76847983</v>
      </c>
      <c r="H104" s="85" t="s">
        <v>871</v>
      </c>
      <c r="I104" s="231"/>
      <c r="J104" s="231"/>
      <c r="K104" s="337">
        <v>5180</v>
      </c>
      <c r="L104" s="231"/>
      <c r="M104" s="231"/>
      <c r="N104" s="231"/>
      <c r="O104" s="24"/>
      <c r="P104" s="337">
        <v>5180</v>
      </c>
      <c r="Q104" s="135"/>
      <c r="R104" s="25"/>
      <c r="S104" s="26"/>
      <c r="T104" s="26"/>
      <c r="U104" s="26"/>
      <c r="V104" s="229" t="s">
        <v>47</v>
      </c>
      <c r="W104" s="58"/>
      <c r="X104" s="162">
        <v>46223</v>
      </c>
      <c r="Y104" s="26" t="s">
        <v>63</v>
      </c>
      <c r="Z104" s="26"/>
      <c r="AA104" s="26"/>
      <c r="AB104" s="26" t="s">
        <v>49</v>
      </c>
      <c r="AC104" s="26"/>
      <c r="AD104" s="254" t="s">
        <v>48</v>
      </c>
      <c r="AE104" s="27"/>
      <c r="AF104" s="24"/>
      <c r="AG104" s="24"/>
      <c r="AH104" s="26"/>
      <c r="AI104" s="26"/>
      <c r="AJ104" s="25"/>
      <c r="AK104" s="26"/>
      <c r="AL104" s="24">
        <v>18</v>
      </c>
      <c r="AM104" s="224" t="s">
        <v>50</v>
      </c>
      <c r="AN104" s="255"/>
      <c r="AO104" s="131"/>
      <c r="AP104" s="132"/>
    </row>
    <row r="105" spans="1:42" s="28" customFormat="1" ht="15" customHeight="1" x14ac:dyDescent="0.2">
      <c r="A105" s="162">
        <v>46223</v>
      </c>
      <c r="B105" s="162">
        <v>46223</v>
      </c>
      <c r="C105" s="343" t="s">
        <v>52</v>
      </c>
      <c r="D105" s="224" t="s">
        <v>53</v>
      </c>
      <c r="E105" s="174">
        <v>7715</v>
      </c>
      <c r="F105" s="85">
        <v>1</v>
      </c>
      <c r="G105" s="85">
        <v>76847983</v>
      </c>
      <c r="H105" s="85" t="s">
        <v>871</v>
      </c>
      <c r="I105" s="231"/>
      <c r="J105" s="231"/>
      <c r="K105" s="337">
        <v>0</v>
      </c>
      <c r="L105" s="231"/>
      <c r="M105" s="231"/>
      <c r="N105" s="231"/>
      <c r="O105" s="24"/>
      <c r="P105" s="337">
        <v>0</v>
      </c>
      <c r="Q105" s="135"/>
      <c r="R105" s="25"/>
      <c r="S105" s="26"/>
      <c r="T105" s="26"/>
      <c r="U105" s="26"/>
      <c r="V105" s="229" t="s">
        <v>47</v>
      </c>
      <c r="W105" s="58"/>
      <c r="X105" s="162">
        <v>46223</v>
      </c>
      <c r="Y105" s="26" t="s">
        <v>61</v>
      </c>
      <c r="Z105" s="58"/>
      <c r="AA105" s="58"/>
      <c r="AB105" s="58" t="s">
        <v>49</v>
      </c>
      <c r="AC105" s="58"/>
      <c r="AD105" s="254" t="s">
        <v>48</v>
      </c>
      <c r="AE105" s="59"/>
      <c r="AF105" s="57"/>
      <c r="AG105" s="57"/>
      <c r="AH105" s="58"/>
      <c r="AI105" s="58"/>
      <c r="AJ105" s="56"/>
      <c r="AK105" s="58"/>
      <c r="AL105" s="57">
        <v>18</v>
      </c>
      <c r="AM105" s="225" t="s">
        <v>588</v>
      </c>
      <c r="AN105" s="255" t="s">
        <v>51</v>
      </c>
      <c r="AO105" s="131"/>
      <c r="AP105" s="132"/>
    </row>
    <row r="106" spans="1:42" s="28" customFormat="1" ht="15" customHeight="1" x14ac:dyDescent="0.2">
      <c r="A106" s="162">
        <v>46223</v>
      </c>
      <c r="B106" s="162">
        <v>46223</v>
      </c>
      <c r="C106" s="343" t="s">
        <v>52</v>
      </c>
      <c r="D106" s="224" t="s">
        <v>53</v>
      </c>
      <c r="E106" s="174">
        <v>7716</v>
      </c>
      <c r="F106" s="85">
        <v>1</v>
      </c>
      <c r="G106" s="85">
        <v>75660813</v>
      </c>
      <c r="H106" s="85" t="s">
        <v>872</v>
      </c>
      <c r="I106" s="231"/>
      <c r="J106" s="231"/>
      <c r="K106" s="337">
        <v>15680</v>
      </c>
      <c r="L106" s="231"/>
      <c r="M106" s="231"/>
      <c r="N106" s="231"/>
      <c r="O106" s="24"/>
      <c r="P106" s="337">
        <v>15680</v>
      </c>
      <c r="Q106" s="135"/>
      <c r="R106" s="25"/>
      <c r="S106" s="26"/>
      <c r="T106" s="26"/>
      <c r="U106" s="26"/>
      <c r="V106" s="229" t="s">
        <v>47</v>
      </c>
      <c r="W106" s="58"/>
      <c r="X106" s="162">
        <v>46223</v>
      </c>
      <c r="Y106" s="26" t="s">
        <v>63</v>
      </c>
      <c r="Z106" s="26"/>
      <c r="AA106" s="26"/>
      <c r="AB106" s="26" t="s">
        <v>49</v>
      </c>
      <c r="AC106" s="26"/>
      <c r="AD106" s="254" t="s">
        <v>48</v>
      </c>
      <c r="AE106" s="27"/>
      <c r="AF106" s="24"/>
      <c r="AG106" s="24"/>
      <c r="AH106" s="26"/>
      <c r="AI106" s="26"/>
      <c r="AJ106" s="25"/>
      <c r="AK106" s="26"/>
      <c r="AL106" s="24">
        <v>18</v>
      </c>
      <c r="AM106" s="224" t="s">
        <v>50</v>
      </c>
      <c r="AN106" s="255"/>
      <c r="AO106" s="131"/>
      <c r="AP106" s="132"/>
    </row>
    <row r="107" spans="1:42" s="28" customFormat="1" ht="15" customHeight="1" x14ac:dyDescent="0.2">
      <c r="A107" s="162">
        <v>46223</v>
      </c>
      <c r="B107" s="162">
        <v>46223</v>
      </c>
      <c r="C107" s="343" t="s">
        <v>52</v>
      </c>
      <c r="D107" s="224" t="s">
        <v>53</v>
      </c>
      <c r="E107" s="174">
        <v>7717</v>
      </c>
      <c r="F107" s="85">
        <v>1</v>
      </c>
      <c r="G107" s="85">
        <v>78116472</v>
      </c>
      <c r="H107" s="85" t="s">
        <v>873</v>
      </c>
      <c r="I107" s="231"/>
      <c r="J107" s="231"/>
      <c r="K107" s="337">
        <v>11780</v>
      </c>
      <c r="L107" s="231"/>
      <c r="M107" s="231"/>
      <c r="N107" s="231"/>
      <c r="O107" s="24"/>
      <c r="P107" s="337">
        <v>11780</v>
      </c>
      <c r="Q107" s="135"/>
      <c r="R107" s="25"/>
      <c r="S107" s="26"/>
      <c r="T107" s="26"/>
      <c r="U107" s="26"/>
      <c r="V107" s="229" t="s">
        <v>47</v>
      </c>
      <c r="W107" s="58"/>
      <c r="X107" s="162">
        <v>46223</v>
      </c>
      <c r="Y107" s="26" t="s">
        <v>63</v>
      </c>
      <c r="Z107" s="26"/>
      <c r="AA107" s="26"/>
      <c r="AB107" s="26" t="s">
        <v>49</v>
      </c>
      <c r="AC107" s="26"/>
      <c r="AD107" s="254" t="s">
        <v>48</v>
      </c>
      <c r="AE107" s="27"/>
      <c r="AF107" s="24"/>
      <c r="AG107" s="24"/>
      <c r="AH107" s="26"/>
      <c r="AI107" s="26"/>
      <c r="AJ107" s="25"/>
      <c r="AK107" s="26"/>
      <c r="AL107" s="24">
        <v>18</v>
      </c>
      <c r="AM107" s="224" t="s">
        <v>50</v>
      </c>
      <c r="AN107" s="255"/>
      <c r="AO107" s="131"/>
      <c r="AP107" s="132"/>
    </row>
    <row r="108" spans="1:42" s="28" customFormat="1" ht="15" customHeight="1" x14ac:dyDescent="0.2">
      <c r="A108" s="162">
        <v>46223</v>
      </c>
      <c r="B108" s="162">
        <v>46223</v>
      </c>
      <c r="C108" s="343" t="s">
        <v>52</v>
      </c>
      <c r="D108" s="224" t="s">
        <v>53</v>
      </c>
      <c r="E108" s="171">
        <v>7718</v>
      </c>
      <c r="F108" s="85">
        <v>1</v>
      </c>
      <c r="G108" s="85">
        <v>45059043</v>
      </c>
      <c r="H108" s="85" t="s">
        <v>874</v>
      </c>
      <c r="I108" s="231"/>
      <c r="J108" s="231"/>
      <c r="K108" s="337">
        <v>5180</v>
      </c>
      <c r="L108" s="231"/>
      <c r="M108" s="231"/>
      <c r="N108" s="231"/>
      <c r="O108" s="24"/>
      <c r="P108" s="337">
        <v>5180</v>
      </c>
      <c r="Q108" s="135"/>
      <c r="R108" s="25"/>
      <c r="S108" s="26"/>
      <c r="T108" s="26"/>
      <c r="U108" s="26"/>
      <c r="V108" s="229" t="s">
        <v>47</v>
      </c>
      <c r="W108" s="58"/>
      <c r="X108" s="162">
        <v>46223</v>
      </c>
      <c r="Y108" s="26" t="s">
        <v>63</v>
      </c>
      <c r="Z108" s="26"/>
      <c r="AA108" s="26"/>
      <c r="AB108" s="26" t="s">
        <v>49</v>
      </c>
      <c r="AC108" s="26"/>
      <c r="AD108" s="254" t="s">
        <v>48</v>
      </c>
      <c r="AE108" s="27"/>
      <c r="AF108" s="24"/>
      <c r="AG108" s="24"/>
      <c r="AH108" s="26"/>
      <c r="AI108" s="26"/>
      <c r="AJ108" s="25"/>
      <c r="AK108" s="26"/>
      <c r="AL108" s="24">
        <v>18</v>
      </c>
      <c r="AM108" s="224" t="s">
        <v>50</v>
      </c>
      <c r="AN108" s="255"/>
      <c r="AO108" s="131"/>
      <c r="AP108" s="132"/>
    </row>
    <row r="109" spans="1:42" s="28" customFormat="1" ht="15" customHeight="1" x14ac:dyDescent="0.2">
      <c r="A109" s="162">
        <v>46223</v>
      </c>
      <c r="B109" s="162">
        <v>46223</v>
      </c>
      <c r="C109" s="343" t="s">
        <v>52</v>
      </c>
      <c r="D109" s="224" t="s">
        <v>53</v>
      </c>
      <c r="E109" s="174">
        <v>7719</v>
      </c>
      <c r="F109" s="85">
        <v>1</v>
      </c>
      <c r="G109" s="85">
        <v>45059043</v>
      </c>
      <c r="H109" s="85" t="s">
        <v>874</v>
      </c>
      <c r="I109" s="231"/>
      <c r="J109" s="231"/>
      <c r="K109" s="337">
        <v>0</v>
      </c>
      <c r="L109" s="231"/>
      <c r="M109" s="231"/>
      <c r="N109" s="231"/>
      <c r="O109" s="24"/>
      <c r="P109" s="337">
        <v>0</v>
      </c>
      <c r="Q109" s="135"/>
      <c r="R109" s="25"/>
      <c r="S109" s="26"/>
      <c r="T109" s="26"/>
      <c r="U109" s="26"/>
      <c r="V109" s="229" t="s">
        <v>47</v>
      </c>
      <c r="W109" s="58"/>
      <c r="X109" s="162">
        <v>46223</v>
      </c>
      <c r="Y109" s="26" t="s">
        <v>61</v>
      </c>
      <c r="Z109" s="58"/>
      <c r="AA109" s="58"/>
      <c r="AB109" s="58" t="s">
        <v>49</v>
      </c>
      <c r="AC109" s="58"/>
      <c r="AD109" s="254" t="s">
        <v>48</v>
      </c>
      <c r="AE109" s="59"/>
      <c r="AF109" s="57"/>
      <c r="AG109" s="57"/>
      <c r="AH109" s="58"/>
      <c r="AI109" s="58"/>
      <c r="AJ109" s="56"/>
      <c r="AK109" s="58"/>
      <c r="AL109" s="57">
        <v>18</v>
      </c>
      <c r="AM109" s="225" t="s">
        <v>588</v>
      </c>
      <c r="AN109" s="255" t="s">
        <v>51</v>
      </c>
      <c r="AO109" s="131"/>
      <c r="AP109" s="132"/>
    </row>
    <row r="110" spans="1:42" s="28" customFormat="1" ht="15" customHeight="1" x14ac:dyDescent="0.2">
      <c r="A110" s="162">
        <v>46223</v>
      </c>
      <c r="B110" s="162">
        <v>46223</v>
      </c>
      <c r="C110" s="343" t="s">
        <v>52</v>
      </c>
      <c r="D110" s="224" t="s">
        <v>53</v>
      </c>
      <c r="E110" s="174">
        <v>7720</v>
      </c>
      <c r="F110" s="85">
        <v>1</v>
      </c>
      <c r="G110" s="85">
        <v>78116472</v>
      </c>
      <c r="H110" s="85" t="s">
        <v>873</v>
      </c>
      <c r="I110" s="231"/>
      <c r="J110" s="231"/>
      <c r="K110" s="337">
        <v>0</v>
      </c>
      <c r="L110" s="231"/>
      <c r="M110" s="231"/>
      <c r="N110" s="231"/>
      <c r="O110" s="24"/>
      <c r="P110" s="337">
        <v>0</v>
      </c>
      <c r="Q110" s="135"/>
      <c r="R110" s="25"/>
      <c r="S110" s="26"/>
      <c r="T110" s="26"/>
      <c r="U110" s="26"/>
      <c r="V110" s="229" t="s">
        <v>47</v>
      </c>
      <c r="W110" s="58"/>
      <c r="X110" s="162">
        <v>46223</v>
      </c>
      <c r="Y110" s="26" t="s">
        <v>61</v>
      </c>
      <c r="Z110" s="58"/>
      <c r="AA110" s="58"/>
      <c r="AB110" s="58" t="s">
        <v>49</v>
      </c>
      <c r="AC110" s="58"/>
      <c r="AD110" s="254" t="s">
        <v>48</v>
      </c>
      <c r="AE110" s="59"/>
      <c r="AF110" s="57"/>
      <c r="AG110" s="57"/>
      <c r="AH110" s="58"/>
      <c r="AI110" s="58"/>
      <c r="AJ110" s="56"/>
      <c r="AK110" s="58"/>
      <c r="AL110" s="57">
        <v>18</v>
      </c>
      <c r="AM110" s="225" t="s">
        <v>588</v>
      </c>
      <c r="AN110" s="255" t="s">
        <v>51</v>
      </c>
      <c r="AO110" s="131"/>
      <c r="AP110" s="132"/>
    </row>
    <row r="111" spans="1:42" s="28" customFormat="1" ht="15" customHeight="1" x14ac:dyDescent="0.2">
      <c r="A111" s="162">
        <v>46223</v>
      </c>
      <c r="B111" s="162">
        <v>46223</v>
      </c>
      <c r="C111" s="343" t="s">
        <v>52</v>
      </c>
      <c r="D111" s="224" t="s">
        <v>53</v>
      </c>
      <c r="E111" s="174">
        <v>7721</v>
      </c>
      <c r="F111" s="85">
        <v>1</v>
      </c>
      <c r="G111" s="85">
        <v>48080280</v>
      </c>
      <c r="H111" s="85" t="s">
        <v>567</v>
      </c>
      <c r="I111" s="231"/>
      <c r="J111" s="231"/>
      <c r="K111" s="337">
        <v>4980</v>
      </c>
      <c r="L111" s="231"/>
      <c r="M111" s="231"/>
      <c r="N111" s="231"/>
      <c r="O111" s="24"/>
      <c r="P111" s="337">
        <v>4980</v>
      </c>
      <c r="Q111" s="135"/>
      <c r="R111" s="25"/>
      <c r="S111" s="26"/>
      <c r="T111" s="26"/>
      <c r="U111" s="26"/>
      <c r="V111" s="229" t="s">
        <v>47</v>
      </c>
      <c r="W111" s="58"/>
      <c r="X111" s="162">
        <v>46223</v>
      </c>
      <c r="Y111" s="26" t="s">
        <v>63</v>
      </c>
      <c r="Z111" s="26"/>
      <c r="AA111" s="26"/>
      <c r="AB111" s="26" t="s">
        <v>49</v>
      </c>
      <c r="AC111" s="26"/>
      <c r="AD111" s="254" t="s">
        <v>48</v>
      </c>
      <c r="AE111" s="27"/>
      <c r="AF111" s="24"/>
      <c r="AG111" s="24"/>
      <c r="AH111" s="26"/>
      <c r="AI111" s="26"/>
      <c r="AJ111" s="25"/>
      <c r="AK111" s="26"/>
      <c r="AL111" s="24">
        <v>18</v>
      </c>
      <c r="AM111" s="224" t="s">
        <v>50</v>
      </c>
      <c r="AN111" s="255"/>
      <c r="AO111" s="131"/>
      <c r="AP111" s="132"/>
    </row>
    <row r="112" spans="1:42" s="28" customFormat="1" ht="15" customHeight="1" x14ac:dyDescent="0.2">
      <c r="A112" s="162">
        <v>46224</v>
      </c>
      <c r="B112" s="162">
        <v>46224</v>
      </c>
      <c r="C112" s="343" t="s">
        <v>52</v>
      </c>
      <c r="D112" s="224" t="s">
        <v>53</v>
      </c>
      <c r="E112" s="171">
        <v>7722</v>
      </c>
      <c r="F112" s="85">
        <v>1</v>
      </c>
      <c r="G112" s="85">
        <v>48068891</v>
      </c>
      <c r="H112" s="85" t="s">
        <v>875</v>
      </c>
      <c r="I112" s="231"/>
      <c r="J112" s="231"/>
      <c r="K112" s="337">
        <v>10780</v>
      </c>
      <c r="L112" s="231"/>
      <c r="M112" s="231"/>
      <c r="N112" s="231"/>
      <c r="O112" s="24"/>
      <c r="P112" s="337">
        <v>10780</v>
      </c>
      <c r="Q112" s="135"/>
      <c r="R112" s="25"/>
      <c r="S112" s="26"/>
      <c r="T112" s="26"/>
      <c r="U112" s="26"/>
      <c r="V112" s="229" t="s">
        <v>47</v>
      </c>
      <c r="W112" s="58"/>
      <c r="X112" s="162">
        <v>46224</v>
      </c>
      <c r="Y112" s="26" t="s">
        <v>63</v>
      </c>
      <c r="Z112" s="26"/>
      <c r="AA112" s="26"/>
      <c r="AB112" s="26" t="s">
        <v>49</v>
      </c>
      <c r="AC112" s="26"/>
      <c r="AD112" s="254" t="s">
        <v>48</v>
      </c>
      <c r="AE112" s="27"/>
      <c r="AF112" s="24"/>
      <c r="AG112" s="24"/>
      <c r="AH112" s="26"/>
      <c r="AI112" s="26"/>
      <c r="AJ112" s="25"/>
      <c r="AK112" s="26"/>
      <c r="AL112" s="24">
        <v>18</v>
      </c>
      <c r="AM112" s="224" t="s">
        <v>50</v>
      </c>
      <c r="AN112" s="255"/>
      <c r="AO112" s="131"/>
      <c r="AP112" s="132"/>
    </row>
    <row r="113" spans="1:42" s="28" customFormat="1" ht="15" customHeight="1" x14ac:dyDescent="0.2">
      <c r="A113" s="162">
        <v>46224</v>
      </c>
      <c r="B113" s="162">
        <v>46286</v>
      </c>
      <c r="C113" s="343" t="s">
        <v>52</v>
      </c>
      <c r="D113" s="224" t="s">
        <v>53</v>
      </c>
      <c r="E113" s="174">
        <v>7723</v>
      </c>
      <c r="F113" s="85">
        <v>1</v>
      </c>
      <c r="G113" s="85">
        <v>47511115</v>
      </c>
      <c r="H113" s="85" t="s">
        <v>876</v>
      </c>
      <c r="I113" s="231"/>
      <c r="J113" s="231"/>
      <c r="K113" s="337">
        <v>6700</v>
      </c>
      <c r="L113" s="231"/>
      <c r="M113" s="231"/>
      <c r="N113" s="231"/>
      <c r="O113" s="24"/>
      <c r="P113" s="337">
        <v>6700</v>
      </c>
      <c r="Q113" s="135"/>
      <c r="R113" s="25"/>
      <c r="S113" s="26"/>
      <c r="T113" s="26"/>
      <c r="U113" s="26"/>
      <c r="V113" s="229" t="s">
        <v>47</v>
      </c>
      <c r="W113" s="58"/>
      <c r="X113" s="162">
        <v>46286</v>
      </c>
      <c r="Y113" s="26" t="s">
        <v>63</v>
      </c>
      <c r="Z113" s="26"/>
      <c r="AA113" s="26"/>
      <c r="AB113" s="26" t="s">
        <v>49</v>
      </c>
      <c r="AC113" s="26"/>
      <c r="AD113" s="254" t="s">
        <v>48</v>
      </c>
      <c r="AE113" s="27"/>
      <c r="AF113" s="24"/>
      <c r="AG113" s="24"/>
      <c r="AH113" s="26"/>
      <c r="AI113" s="26"/>
      <c r="AJ113" s="25"/>
      <c r="AK113" s="26"/>
      <c r="AL113" s="24">
        <v>18</v>
      </c>
      <c r="AM113" s="224" t="s">
        <v>50</v>
      </c>
      <c r="AN113" s="255"/>
      <c r="AO113" s="131"/>
      <c r="AP113" s="132"/>
    </row>
    <row r="114" spans="1:42" s="28" customFormat="1" ht="15" customHeight="1" x14ac:dyDescent="0.2">
      <c r="A114" s="162">
        <v>46224</v>
      </c>
      <c r="B114" s="162">
        <v>46224</v>
      </c>
      <c r="C114" s="343" t="s">
        <v>52</v>
      </c>
      <c r="D114" s="224" t="s">
        <v>53</v>
      </c>
      <c r="E114" s="174">
        <v>7724</v>
      </c>
      <c r="F114" s="85">
        <v>1</v>
      </c>
      <c r="G114" s="85">
        <v>47511115</v>
      </c>
      <c r="H114" s="85" t="s">
        <v>876</v>
      </c>
      <c r="I114" s="231"/>
      <c r="J114" s="231"/>
      <c r="K114" s="337">
        <v>0</v>
      </c>
      <c r="L114" s="231"/>
      <c r="M114" s="231"/>
      <c r="N114" s="231"/>
      <c r="O114" s="24"/>
      <c r="P114" s="337">
        <v>0</v>
      </c>
      <c r="Q114" s="135"/>
      <c r="R114" s="25"/>
      <c r="S114" s="26"/>
      <c r="T114" s="26"/>
      <c r="U114" s="26"/>
      <c r="V114" s="229" t="s">
        <v>47</v>
      </c>
      <c r="W114" s="58"/>
      <c r="X114" s="162">
        <v>46224</v>
      </c>
      <c r="Y114" s="26" t="s">
        <v>61</v>
      </c>
      <c r="Z114" s="58"/>
      <c r="AA114" s="58"/>
      <c r="AB114" s="58" t="s">
        <v>49</v>
      </c>
      <c r="AC114" s="58"/>
      <c r="AD114" s="254" t="s">
        <v>48</v>
      </c>
      <c r="AE114" s="59"/>
      <c r="AF114" s="57"/>
      <c r="AG114" s="57"/>
      <c r="AH114" s="58"/>
      <c r="AI114" s="58"/>
      <c r="AJ114" s="56"/>
      <c r="AK114" s="58"/>
      <c r="AL114" s="57">
        <v>18</v>
      </c>
      <c r="AM114" s="225" t="s">
        <v>588</v>
      </c>
      <c r="AN114" s="255" t="s">
        <v>51</v>
      </c>
      <c r="AO114" s="131"/>
      <c r="AP114" s="132"/>
    </row>
    <row r="115" spans="1:42" s="28" customFormat="1" ht="15" customHeight="1" x14ac:dyDescent="0.2">
      <c r="A115" s="162">
        <v>46224</v>
      </c>
      <c r="B115" s="162">
        <v>46224</v>
      </c>
      <c r="C115" s="343" t="s">
        <v>52</v>
      </c>
      <c r="D115" s="224" t="s">
        <v>53</v>
      </c>
      <c r="E115" s="174">
        <v>7725</v>
      </c>
      <c r="F115" s="85">
        <v>1</v>
      </c>
      <c r="G115" s="85">
        <v>48068891</v>
      </c>
      <c r="H115" s="85" t="s">
        <v>875</v>
      </c>
      <c r="I115" s="231"/>
      <c r="J115" s="231"/>
      <c r="K115" s="337">
        <v>0</v>
      </c>
      <c r="L115" s="231"/>
      <c r="M115" s="231"/>
      <c r="N115" s="231"/>
      <c r="O115" s="24"/>
      <c r="P115" s="337">
        <v>0</v>
      </c>
      <c r="Q115" s="135"/>
      <c r="R115" s="25"/>
      <c r="S115" s="26"/>
      <c r="T115" s="26"/>
      <c r="U115" s="26"/>
      <c r="V115" s="229" t="s">
        <v>47</v>
      </c>
      <c r="W115" s="58"/>
      <c r="X115" s="162">
        <v>46224</v>
      </c>
      <c r="Y115" s="26" t="s">
        <v>61</v>
      </c>
      <c r="Z115" s="58"/>
      <c r="AA115" s="58"/>
      <c r="AB115" s="58" t="s">
        <v>49</v>
      </c>
      <c r="AC115" s="58"/>
      <c r="AD115" s="254" t="s">
        <v>48</v>
      </c>
      <c r="AE115" s="59"/>
      <c r="AF115" s="57"/>
      <c r="AG115" s="57"/>
      <c r="AH115" s="58"/>
      <c r="AI115" s="58"/>
      <c r="AJ115" s="56"/>
      <c r="AK115" s="58"/>
      <c r="AL115" s="57">
        <v>18</v>
      </c>
      <c r="AM115" s="225" t="s">
        <v>588</v>
      </c>
      <c r="AN115" s="255" t="s">
        <v>51</v>
      </c>
      <c r="AO115" s="131"/>
      <c r="AP115" s="132"/>
    </row>
    <row r="116" spans="1:42" s="28" customFormat="1" ht="15" customHeight="1" x14ac:dyDescent="0.2">
      <c r="A116" s="162">
        <v>46225</v>
      </c>
      <c r="B116" s="162">
        <v>46287</v>
      </c>
      <c r="C116" s="343" t="s">
        <v>52</v>
      </c>
      <c r="D116" s="224" t="s">
        <v>53</v>
      </c>
      <c r="E116" s="171">
        <v>7726</v>
      </c>
      <c r="F116" s="85">
        <v>1</v>
      </c>
      <c r="G116" s="85">
        <v>16010906</v>
      </c>
      <c r="H116" s="85" t="s">
        <v>877</v>
      </c>
      <c r="I116" s="231"/>
      <c r="J116" s="231"/>
      <c r="K116" s="337">
        <v>9648</v>
      </c>
      <c r="L116" s="231"/>
      <c r="M116" s="231"/>
      <c r="N116" s="231"/>
      <c r="O116" s="24"/>
      <c r="P116" s="337">
        <v>9648</v>
      </c>
      <c r="Q116" s="135"/>
      <c r="R116" s="25"/>
      <c r="S116" s="26"/>
      <c r="T116" s="26"/>
      <c r="U116" s="26"/>
      <c r="V116" s="229" t="s">
        <v>47</v>
      </c>
      <c r="W116" s="58"/>
      <c r="X116" s="162">
        <v>46287</v>
      </c>
      <c r="Y116" s="26" t="s">
        <v>63</v>
      </c>
      <c r="Z116" s="26"/>
      <c r="AA116" s="26"/>
      <c r="AB116" s="26" t="s">
        <v>49</v>
      </c>
      <c r="AC116" s="26"/>
      <c r="AD116" s="254" t="s">
        <v>48</v>
      </c>
      <c r="AE116" s="27"/>
      <c r="AF116" s="24"/>
      <c r="AG116" s="24"/>
      <c r="AH116" s="26"/>
      <c r="AI116" s="26"/>
      <c r="AJ116" s="25"/>
      <c r="AK116" s="26"/>
      <c r="AL116" s="24">
        <v>18</v>
      </c>
      <c r="AM116" s="224" t="s">
        <v>50</v>
      </c>
      <c r="AN116" s="255"/>
      <c r="AO116" s="131"/>
      <c r="AP116" s="132"/>
    </row>
    <row r="117" spans="1:42" s="28" customFormat="1" ht="15" customHeight="1" x14ac:dyDescent="0.2">
      <c r="A117" s="162">
        <v>46225</v>
      </c>
      <c r="B117" s="162">
        <v>46225</v>
      </c>
      <c r="C117" s="343" t="s">
        <v>52</v>
      </c>
      <c r="D117" s="224" t="s">
        <v>53</v>
      </c>
      <c r="E117" s="174">
        <v>7727</v>
      </c>
      <c r="F117" s="85">
        <v>1</v>
      </c>
      <c r="G117" s="85">
        <v>19870863</v>
      </c>
      <c r="H117" s="85" t="s">
        <v>878</v>
      </c>
      <c r="I117" s="231"/>
      <c r="J117" s="231"/>
      <c r="K117" s="337">
        <v>6280</v>
      </c>
      <c r="L117" s="231"/>
      <c r="M117" s="231"/>
      <c r="N117" s="231"/>
      <c r="O117" s="24"/>
      <c r="P117" s="337">
        <v>6280</v>
      </c>
      <c r="Q117" s="135"/>
      <c r="R117" s="25"/>
      <c r="S117" s="26"/>
      <c r="T117" s="26"/>
      <c r="U117" s="26"/>
      <c r="V117" s="229" t="s">
        <v>47</v>
      </c>
      <c r="W117" s="58"/>
      <c r="X117" s="162">
        <v>46225</v>
      </c>
      <c r="Y117" s="26" t="s">
        <v>63</v>
      </c>
      <c r="Z117" s="26"/>
      <c r="AA117" s="26"/>
      <c r="AB117" s="26" t="s">
        <v>49</v>
      </c>
      <c r="AC117" s="26"/>
      <c r="AD117" s="254" t="s">
        <v>48</v>
      </c>
      <c r="AE117" s="27"/>
      <c r="AF117" s="24"/>
      <c r="AG117" s="24"/>
      <c r="AH117" s="26"/>
      <c r="AI117" s="26"/>
      <c r="AJ117" s="25"/>
      <c r="AK117" s="26"/>
      <c r="AL117" s="24">
        <v>18</v>
      </c>
      <c r="AM117" s="224" t="s">
        <v>50</v>
      </c>
      <c r="AN117" s="255"/>
      <c r="AO117" s="131"/>
      <c r="AP117" s="132"/>
    </row>
    <row r="118" spans="1:42" s="28" customFormat="1" ht="15" customHeight="1" x14ac:dyDescent="0.2">
      <c r="A118" s="162">
        <v>46225</v>
      </c>
      <c r="B118" s="162">
        <v>46225</v>
      </c>
      <c r="C118" s="343" t="s">
        <v>52</v>
      </c>
      <c r="D118" s="224" t="s">
        <v>53</v>
      </c>
      <c r="E118" s="174">
        <v>7728</v>
      </c>
      <c r="F118" s="85">
        <v>1</v>
      </c>
      <c r="G118" s="85">
        <v>19870863</v>
      </c>
      <c r="H118" s="85" t="s">
        <v>878</v>
      </c>
      <c r="I118" s="231"/>
      <c r="J118" s="231"/>
      <c r="K118" s="337">
        <v>0</v>
      </c>
      <c r="L118" s="231"/>
      <c r="M118" s="231"/>
      <c r="N118" s="231"/>
      <c r="O118" s="24"/>
      <c r="P118" s="337">
        <v>0</v>
      </c>
      <c r="Q118" s="135"/>
      <c r="R118" s="25"/>
      <c r="S118" s="26"/>
      <c r="T118" s="26"/>
      <c r="U118" s="26"/>
      <c r="V118" s="229" t="s">
        <v>47</v>
      </c>
      <c r="W118" s="58"/>
      <c r="X118" s="162">
        <v>46225</v>
      </c>
      <c r="Y118" s="26" t="s">
        <v>61</v>
      </c>
      <c r="Z118" s="58"/>
      <c r="AA118" s="58"/>
      <c r="AB118" s="58" t="s">
        <v>49</v>
      </c>
      <c r="AC118" s="58"/>
      <c r="AD118" s="254" t="s">
        <v>48</v>
      </c>
      <c r="AE118" s="59"/>
      <c r="AF118" s="57"/>
      <c r="AG118" s="57"/>
      <c r="AH118" s="58"/>
      <c r="AI118" s="58"/>
      <c r="AJ118" s="56"/>
      <c r="AK118" s="58"/>
      <c r="AL118" s="57">
        <v>18</v>
      </c>
      <c r="AM118" s="225" t="s">
        <v>588</v>
      </c>
      <c r="AN118" s="255" t="s">
        <v>51</v>
      </c>
      <c r="AO118" s="131"/>
      <c r="AP118" s="132"/>
    </row>
    <row r="119" spans="1:42" s="28" customFormat="1" ht="15" customHeight="1" x14ac:dyDescent="0.2">
      <c r="A119" s="162">
        <v>46225</v>
      </c>
      <c r="B119" s="162">
        <v>46225</v>
      </c>
      <c r="C119" s="343" t="s">
        <v>52</v>
      </c>
      <c r="D119" s="224" t="s">
        <v>53</v>
      </c>
      <c r="E119" s="174">
        <v>7729</v>
      </c>
      <c r="F119" s="85">
        <v>1</v>
      </c>
      <c r="G119" s="85">
        <v>73056615</v>
      </c>
      <c r="H119" s="85" t="s">
        <v>879</v>
      </c>
      <c r="I119" s="231"/>
      <c r="J119" s="231"/>
      <c r="K119" s="337">
        <v>10440</v>
      </c>
      <c r="L119" s="231"/>
      <c r="M119" s="231"/>
      <c r="N119" s="231"/>
      <c r="O119" s="24"/>
      <c r="P119" s="337">
        <v>10440</v>
      </c>
      <c r="Q119" s="135"/>
      <c r="R119" s="25"/>
      <c r="S119" s="26"/>
      <c r="T119" s="26"/>
      <c r="U119" s="26"/>
      <c r="V119" s="229" t="s">
        <v>47</v>
      </c>
      <c r="W119" s="58"/>
      <c r="X119" s="162">
        <v>46225</v>
      </c>
      <c r="Y119" s="26" t="s">
        <v>63</v>
      </c>
      <c r="Z119" s="26"/>
      <c r="AA119" s="26"/>
      <c r="AB119" s="26" t="s">
        <v>49</v>
      </c>
      <c r="AC119" s="26"/>
      <c r="AD119" s="254" t="s">
        <v>48</v>
      </c>
      <c r="AE119" s="27"/>
      <c r="AF119" s="24"/>
      <c r="AG119" s="24"/>
      <c r="AH119" s="26"/>
      <c r="AI119" s="26"/>
      <c r="AJ119" s="25"/>
      <c r="AK119" s="26"/>
      <c r="AL119" s="24">
        <v>18</v>
      </c>
      <c r="AM119" s="224" t="s">
        <v>50</v>
      </c>
      <c r="AN119" s="255"/>
      <c r="AO119" s="131"/>
      <c r="AP119" s="132"/>
    </row>
    <row r="120" spans="1:42" s="28" customFormat="1" ht="15" customHeight="1" x14ac:dyDescent="0.2">
      <c r="A120" s="162">
        <v>46225</v>
      </c>
      <c r="B120" s="162">
        <v>46225</v>
      </c>
      <c r="C120" s="343" t="s">
        <v>52</v>
      </c>
      <c r="D120" s="224" t="s">
        <v>53</v>
      </c>
      <c r="E120" s="171">
        <v>7730</v>
      </c>
      <c r="F120" s="85">
        <v>1</v>
      </c>
      <c r="G120" s="85">
        <v>44484086</v>
      </c>
      <c r="H120" s="85" t="s">
        <v>880</v>
      </c>
      <c r="I120" s="231"/>
      <c r="J120" s="231"/>
      <c r="K120" s="337">
        <v>5757</v>
      </c>
      <c r="L120" s="231"/>
      <c r="M120" s="231"/>
      <c r="N120" s="231"/>
      <c r="O120" s="24"/>
      <c r="P120" s="337">
        <v>5757</v>
      </c>
      <c r="Q120" s="135"/>
      <c r="R120" s="25"/>
      <c r="S120" s="26"/>
      <c r="T120" s="26"/>
      <c r="U120" s="26"/>
      <c r="V120" s="229" t="s">
        <v>47</v>
      </c>
      <c r="W120" s="58"/>
      <c r="X120" s="162">
        <v>46225</v>
      </c>
      <c r="Y120" s="26" t="s">
        <v>63</v>
      </c>
      <c r="Z120" s="26"/>
      <c r="AA120" s="26"/>
      <c r="AB120" s="26" t="s">
        <v>49</v>
      </c>
      <c r="AC120" s="26"/>
      <c r="AD120" s="254" t="s">
        <v>48</v>
      </c>
      <c r="AE120" s="27"/>
      <c r="AF120" s="24"/>
      <c r="AG120" s="24"/>
      <c r="AH120" s="26"/>
      <c r="AI120" s="26"/>
      <c r="AJ120" s="25"/>
      <c r="AK120" s="26"/>
      <c r="AL120" s="24">
        <v>18</v>
      </c>
      <c r="AM120" s="224" t="s">
        <v>50</v>
      </c>
      <c r="AN120" s="255"/>
      <c r="AO120" s="131"/>
      <c r="AP120" s="132"/>
    </row>
    <row r="121" spans="1:42" s="28" customFormat="1" ht="15" customHeight="1" x14ac:dyDescent="0.2">
      <c r="A121" s="162">
        <v>46225</v>
      </c>
      <c r="B121" s="162">
        <v>46225</v>
      </c>
      <c r="C121" s="343" t="s">
        <v>52</v>
      </c>
      <c r="D121" s="224" t="s">
        <v>53</v>
      </c>
      <c r="E121" s="174">
        <v>7731</v>
      </c>
      <c r="F121" s="85">
        <v>1</v>
      </c>
      <c r="G121" s="85">
        <v>44484086</v>
      </c>
      <c r="H121" s="85" t="s">
        <v>880</v>
      </c>
      <c r="I121" s="231"/>
      <c r="J121" s="231"/>
      <c r="K121" s="337">
        <v>0</v>
      </c>
      <c r="L121" s="231"/>
      <c r="M121" s="231"/>
      <c r="N121" s="231"/>
      <c r="O121" s="24"/>
      <c r="P121" s="337">
        <v>0</v>
      </c>
      <c r="Q121" s="135"/>
      <c r="R121" s="25"/>
      <c r="S121" s="26"/>
      <c r="T121" s="26"/>
      <c r="U121" s="26"/>
      <c r="V121" s="229" t="s">
        <v>47</v>
      </c>
      <c r="W121" s="58"/>
      <c r="X121" s="162">
        <v>46225</v>
      </c>
      <c r="Y121" s="26" t="s">
        <v>61</v>
      </c>
      <c r="Z121" s="58"/>
      <c r="AA121" s="58"/>
      <c r="AB121" s="58" t="s">
        <v>49</v>
      </c>
      <c r="AC121" s="58"/>
      <c r="AD121" s="254" t="s">
        <v>48</v>
      </c>
      <c r="AE121" s="59"/>
      <c r="AF121" s="57"/>
      <c r="AG121" s="57"/>
      <c r="AH121" s="58"/>
      <c r="AI121" s="58"/>
      <c r="AJ121" s="56"/>
      <c r="AK121" s="58"/>
      <c r="AL121" s="57">
        <v>18</v>
      </c>
      <c r="AM121" s="225" t="s">
        <v>588</v>
      </c>
      <c r="AN121" s="255" t="s">
        <v>51</v>
      </c>
      <c r="AO121" s="131"/>
      <c r="AP121" s="132"/>
    </row>
    <row r="122" spans="1:42" s="28" customFormat="1" ht="15" customHeight="1" x14ac:dyDescent="0.2">
      <c r="A122" s="162">
        <v>46225</v>
      </c>
      <c r="B122" s="162">
        <v>46225</v>
      </c>
      <c r="C122" s="343" t="s">
        <v>52</v>
      </c>
      <c r="D122" s="224" t="s">
        <v>53</v>
      </c>
      <c r="E122" s="174">
        <v>7732</v>
      </c>
      <c r="F122" s="85">
        <v>1</v>
      </c>
      <c r="G122" s="85">
        <v>46986268</v>
      </c>
      <c r="H122" s="85" t="s">
        <v>881</v>
      </c>
      <c r="I122" s="231"/>
      <c r="J122" s="231"/>
      <c r="K122" s="337">
        <v>6461</v>
      </c>
      <c r="L122" s="231"/>
      <c r="M122" s="231"/>
      <c r="N122" s="231"/>
      <c r="O122" s="24"/>
      <c r="P122" s="337">
        <v>6461</v>
      </c>
      <c r="Q122" s="135"/>
      <c r="R122" s="25"/>
      <c r="S122" s="26"/>
      <c r="T122" s="26"/>
      <c r="U122" s="26"/>
      <c r="V122" s="229" t="s">
        <v>47</v>
      </c>
      <c r="W122" s="58"/>
      <c r="X122" s="162">
        <v>46225</v>
      </c>
      <c r="Y122" s="26" t="s">
        <v>63</v>
      </c>
      <c r="Z122" s="26"/>
      <c r="AA122" s="26"/>
      <c r="AB122" s="26" t="s">
        <v>49</v>
      </c>
      <c r="AC122" s="26"/>
      <c r="AD122" s="254" t="s">
        <v>48</v>
      </c>
      <c r="AE122" s="27"/>
      <c r="AF122" s="24"/>
      <c r="AG122" s="24"/>
      <c r="AH122" s="26"/>
      <c r="AI122" s="26"/>
      <c r="AJ122" s="25"/>
      <c r="AK122" s="26"/>
      <c r="AL122" s="24">
        <v>18</v>
      </c>
      <c r="AM122" s="224" t="s">
        <v>50</v>
      </c>
      <c r="AN122" s="255"/>
      <c r="AO122" s="131"/>
      <c r="AP122" s="132"/>
    </row>
    <row r="123" spans="1:42" s="28" customFormat="1" ht="15" customHeight="1" x14ac:dyDescent="0.2">
      <c r="A123" s="162">
        <v>46225</v>
      </c>
      <c r="B123" s="162">
        <v>46225</v>
      </c>
      <c r="C123" s="343" t="s">
        <v>52</v>
      </c>
      <c r="D123" s="224" t="s">
        <v>53</v>
      </c>
      <c r="E123" s="174">
        <v>7733</v>
      </c>
      <c r="F123" s="85">
        <v>1</v>
      </c>
      <c r="G123" s="85">
        <v>75660813</v>
      </c>
      <c r="H123" s="85" t="s">
        <v>872</v>
      </c>
      <c r="I123" s="231"/>
      <c r="J123" s="231"/>
      <c r="K123" s="337">
        <v>0</v>
      </c>
      <c r="L123" s="231"/>
      <c r="M123" s="231"/>
      <c r="N123" s="231"/>
      <c r="O123" s="24"/>
      <c r="P123" s="337">
        <v>0</v>
      </c>
      <c r="Q123" s="135"/>
      <c r="R123" s="25"/>
      <c r="S123" s="26"/>
      <c r="T123" s="26"/>
      <c r="U123" s="26"/>
      <c r="V123" s="229" t="s">
        <v>47</v>
      </c>
      <c r="W123" s="58"/>
      <c r="X123" s="162">
        <v>46225</v>
      </c>
      <c r="Y123" s="26" t="s">
        <v>61</v>
      </c>
      <c r="Z123" s="58"/>
      <c r="AA123" s="58"/>
      <c r="AB123" s="58" t="s">
        <v>49</v>
      </c>
      <c r="AC123" s="58"/>
      <c r="AD123" s="254" t="s">
        <v>48</v>
      </c>
      <c r="AE123" s="59"/>
      <c r="AF123" s="57"/>
      <c r="AG123" s="57"/>
      <c r="AH123" s="58"/>
      <c r="AI123" s="58"/>
      <c r="AJ123" s="56"/>
      <c r="AK123" s="58"/>
      <c r="AL123" s="57">
        <v>18</v>
      </c>
      <c r="AM123" s="225" t="s">
        <v>588</v>
      </c>
      <c r="AN123" s="255" t="s">
        <v>51</v>
      </c>
      <c r="AO123" s="131"/>
      <c r="AP123" s="132"/>
    </row>
    <row r="124" spans="1:42" s="28" customFormat="1" ht="15" customHeight="1" x14ac:dyDescent="0.2">
      <c r="A124" s="162">
        <v>46226</v>
      </c>
      <c r="B124" s="162">
        <v>46226</v>
      </c>
      <c r="C124" s="343" t="s">
        <v>52</v>
      </c>
      <c r="D124" s="224" t="s">
        <v>53</v>
      </c>
      <c r="E124" s="171">
        <v>7734</v>
      </c>
      <c r="F124" s="85">
        <v>1</v>
      </c>
      <c r="G124" s="85">
        <v>21013187</v>
      </c>
      <c r="H124" s="85" t="s">
        <v>882</v>
      </c>
      <c r="I124" s="231"/>
      <c r="J124" s="231"/>
      <c r="K124" s="337">
        <v>6380</v>
      </c>
      <c r="L124" s="231"/>
      <c r="M124" s="231"/>
      <c r="N124" s="231"/>
      <c r="O124" s="24"/>
      <c r="P124" s="337">
        <v>6380</v>
      </c>
      <c r="Q124" s="135"/>
      <c r="R124" s="25"/>
      <c r="S124" s="26"/>
      <c r="T124" s="26"/>
      <c r="U124" s="26"/>
      <c r="V124" s="229" t="s">
        <v>47</v>
      </c>
      <c r="W124" s="58"/>
      <c r="X124" s="162">
        <v>46226</v>
      </c>
      <c r="Y124" s="26" t="s">
        <v>63</v>
      </c>
      <c r="Z124" s="26"/>
      <c r="AA124" s="26"/>
      <c r="AB124" s="26" t="s">
        <v>49</v>
      </c>
      <c r="AC124" s="26"/>
      <c r="AD124" s="254" t="s">
        <v>48</v>
      </c>
      <c r="AE124" s="27"/>
      <c r="AF124" s="24"/>
      <c r="AG124" s="24"/>
      <c r="AH124" s="26"/>
      <c r="AI124" s="26"/>
      <c r="AJ124" s="25"/>
      <c r="AK124" s="26"/>
      <c r="AL124" s="24">
        <v>18</v>
      </c>
      <c r="AM124" s="224" t="s">
        <v>50</v>
      </c>
      <c r="AN124" s="255"/>
      <c r="AO124" s="131"/>
      <c r="AP124" s="132"/>
    </row>
    <row r="125" spans="1:42" s="28" customFormat="1" ht="15" customHeight="1" x14ac:dyDescent="0.2">
      <c r="A125" s="162">
        <v>46226</v>
      </c>
      <c r="B125" s="162">
        <v>46226</v>
      </c>
      <c r="C125" s="343" t="s">
        <v>52</v>
      </c>
      <c r="D125" s="224" t="s">
        <v>53</v>
      </c>
      <c r="E125" s="174">
        <v>7735</v>
      </c>
      <c r="F125" s="85">
        <v>1</v>
      </c>
      <c r="G125" s="85">
        <v>21013187</v>
      </c>
      <c r="H125" s="85" t="s">
        <v>882</v>
      </c>
      <c r="I125" s="231"/>
      <c r="J125" s="231"/>
      <c r="K125" s="337">
        <v>0</v>
      </c>
      <c r="L125" s="231"/>
      <c r="M125" s="231"/>
      <c r="N125" s="231"/>
      <c r="O125" s="24"/>
      <c r="P125" s="337">
        <v>0</v>
      </c>
      <c r="Q125" s="135"/>
      <c r="R125" s="25"/>
      <c r="S125" s="26"/>
      <c r="T125" s="26"/>
      <c r="U125" s="26"/>
      <c r="V125" s="229" t="s">
        <v>47</v>
      </c>
      <c r="W125" s="58"/>
      <c r="X125" s="162">
        <v>46226</v>
      </c>
      <c r="Y125" s="26" t="s">
        <v>61</v>
      </c>
      <c r="Z125" s="58"/>
      <c r="AA125" s="58"/>
      <c r="AB125" s="58" t="s">
        <v>49</v>
      </c>
      <c r="AC125" s="58"/>
      <c r="AD125" s="254" t="s">
        <v>48</v>
      </c>
      <c r="AE125" s="59"/>
      <c r="AF125" s="57"/>
      <c r="AG125" s="57"/>
      <c r="AH125" s="58"/>
      <c r="AI125" s="58"/>
      <c r="AJ125" s="56"/>
      <c r="AK125" s="58"/>
      <c r="AL125" s="57">
        <v>18</v>
      </c>
      <c r="AM125" s="225" t="s">
        <v>588</v>
      </c>
      <c r="AN125" s="255" t="s">
        <v>51</v>
      </c>
      <c r="AO125" s="131"/>
      <c r="AP125" s="132"/>
    </row>
    <row r="126" spans="1:42" s="28" customFormat="1" ht="15" customHeight="1" x14ac:dyDescent="0.2">
      <c r="A126" s="162">
        <v>46227</v>
      </c>
      <c r="B126" s="162">
        <v>46350</v>
      </c>
      <c r="C126" s="343" t="s">
        <v>52</v>
      </c>
      <c r="D126" s="224" t="s">
        <v>53</v>
      </c>
      <c r="E126" s="174">
        <v>7736</v>
      </c>
      <c r="F126" s="85">
        <v>1</v>
      </c>
      <c r="G126" s="85">
        <v>60102472</v>
      </c>
      <c r="H126" s="85" t="s">
        <v>883</v>
      </c>
      <c r="I126" s="231"/>
      <c r="J126" s="231"/>
      <c r="K126" s="337">
        <v>6800</v>
      </c>
      <c r="L126" s="231"/>
      <c r="M126" s="231"/>
      <c r="N126" s="231"/>
      <c r="O126" s="24"/>
      <c r="P126" s="337">
        <v>6800</v>
      </c>
      <c r="Q126" s="135"/>
      <c r="R126" s="25"/>
      <c r="S126" s="26"/>
      <c r="T126" s="26"/>
      <c r="U126" s="26"/>
      <c r="V126" s="229" t="s">
        <v>47</v>
      </c>
      <c r="W126" s="58"/>
      <c r="X126" s="162">
        <v>46350</v>
      </c>
      <c r="Y126" s="26" t="s">
        <v>63</v>
      </c>
      <c r="Z126" s="26"/>
      <c r="AA126" s="26"/>
      <c r="AB126" s="26" t="s">
        <v>49</v>
      </c>
      <c r="AC126" s="26"/>
      <c r="AD126" s="254" t="s">
        <v>48</v>
      </c>
      <c r="AE126" s="27"/>
      <c r="AF126" s="24"/>
      <c r="AG126" s="24"/>
      <c r="AH126" s="26"/>
      <c r="AI126" s="26"/>
      <c r="AJ126" s="25"/>
      <c r="AK126" s="26"/>
      <c r="AL126" s="24">
        <v>18</v>
      </c>
      <c r="AM126" s="224" t="s">
        <v>50</v>
      </c>
      <c r="AN126" s="255"/>
      <c r="AO126" s="131"/>
      <c r="AP126" s="132"/>
    </row>
    <row r="127" spans="1:42" s="28" customFormat="1" ht="15" customHeight="1" x14ac:dyDescent="0.2">
      <c r="A127" s="162">
        <v>46227</v>
      </c>
      <c r="B127" s="162">
        <v>46227</v>
      </c>
      <c r="C127" s="343" t="s">
        <v>52</v>
      </c>
      <c r="D127" s="224" t="s">
        <v>53</v>
      </c>
      <c r="E127" s="174">
        <v>7737</v>
      </c>
      <c r="F127" s="85">
        <v>1</v>
      </c>
      <c r="G127" s="85">
        <v>60102472</v>
      </c>
      <c r="H127" s="85" t="s">
        <v>883</v>
      </c>
      <c r="I127" s="231"/>
      <c r="J127" s="231"/>
      <c r="K127" s="337">
        <v>0</v>
      </c>
      <c r="L127" s="231"/>
      <c r="M127" s="231"/>
      <c r="N127" s="231"/>
      <c r="O127" s="24"/>
      <c r="P127" s="337">
        <v>0</v>
      </c>
      <c r="Q127" s="135"/>
      <c r="R127" s="25"/>
      <c r="S127" s="26"/>
      <c r="T127" s="26"/>
      <c r="U127" s="26"/>
      <c r="V127" s="229" t="s">
        <v>47</v>
      </c>
      <c r="W127" s="58"/>
      <c r="X127" s="162">
        <v>46227</v>
      </c>
      <c r="Y127" s="26" t="s">
        <v>61</v>
      </c>
      <c r="Z127" s="58"/>
      <c r="AA127" s="58"/>
      <c r="AB127" s="58" t="s">
        <v>49</v>
      </c>
      <c r="AC127" s="58"/>
      <c r="AD127" s="254" t="s">
        <v>48</v>
      </c>
      <c r="AE127" s="59"/>
      <c r="AF127" s="57"/>
      <c r="AG127" s="57"/>
      <c r="AH127" s="58"/>
      <c r="AI127" s="58"/>
      <c r="AJ127" s="56"/>
      <c r="AK127" s="58"/>
      <c r="AL127" s="57">
        <v>18</v>
      </c>
      <c r="AM127" s="225" t="s">
        <v>588</v>
      </c>
      <c r="AN127" s="255" t="s">
        <v>51</v>
      </c>
      <c r="AO127" s="131"/>
      <c r="AP127" s="132"/>
    </row>
    <row r="128" spans="1:42" s="28" customFormat="1" ht="15" customHeight="1" x14ac:dyDescent="0.2">
      <c r="A128" s="162">
        <v>46228</v>
      </c>
      <c r="B128" s="162">
        <v>46228</v>
      </c>
      <c r="C128" s="343" t="s">
        <v>52</v>
      </c>
      <c r="D128" s="224" t="s">
        <v>53</v>
      </c>
      <c r="E128" s="171">
        <v>7738</v>
      </c>
      <c r="F128" s="85">
        <v>1</v>
      </c>
      <c r="G128" s="85">
        <v>20996393</v>
      </c>
      <c r="H128" s="85" t="s">
        <v>884</v>
      </c>
      <c r="I128" s="231"/>
      <c r="J128" s="231"/>
      <c r="K128" s="337">
        <v>5280</v>
      </c>
      <c r="L128" s="231"/>
      <c r="M128" s="231"/>
      <c r="N128" s="231"/>
      <c r="O128" s="24"/>
      <c r="P128" s="337">
        <v>5280</v>
      </c>
      <c r="Q128" s="135"/>
      <c r="R128" s="25"/>
      <c r="S128" s="26"/>
      <c r="T128" s="26"/>
      <c r="U128" s="26"/>
      <c r="V128" s="229" t="s">
        <v>47</v>
      </c>
      <c r="W128" s="58"/>
      <c r="X128" s="162">
        <v>46228</v>
      </c>
      <c r="Y128" s="26" t="s">
        <v>63</v>
      </c>
      <c r="Z128" s="26"/>
      <c r="AA128" s="26"/>
      <c r="AB128" s="26" t="s">
        <v>49</v>
      </c>
      <c r="AC128" s="26"/>
      <c r="AD128" s="254" t="s">
        <v>48</v>
      </c>
      <c r="AE128" s="27"/>
      <c r="AF128" s="24"/>
      <c r="AG128" s="24"/>
      <c r="AH128" s="26"/>
      <c r="AI128" s="26"/>
      <c r="AJ128" s="25"/>
      <c r="AK128" s="26"/>
      <c r="AL128" s="24">
        <v>18</v>
      </c>
      <c r="AM128" s="224" t="s">
        <v>50</v>
      </c>
      <c r="AN128" s="255"/>
      <c r="AO128" s="131"/>
      <c r="AP128" s="132"/>
    </row>
    <row r="129" spans="1:42" s="28" customFormat="1" ht="15" customHeight="1" x14ac:dyDescent="0.2">
      <c r="A129" s="162">
        <v>46228</v>
      </c>
      <c r="B129" s="162">
        <v>46228</v>
      </c>
      <c r="C129" s="343" t="s">
        <v>52</v>
      </c>
      <c r="D129" s="224" t="s">
        <v>53</v>
      </c>
      <c r="E129" s="174">
        <v>7739</v>
      </c>
      <c r="F129" s="85">
        <v>1</v>
      </c>
      <c r="G129" s="85">
        <v>20996393</v>
      </c>
      <c r="H129" s="85" t="s">
        <v>884</v>
      </c>
      <c r="I129" s="231"/>
      <c r="J129" s="231"/>
      <c r="K129" s="337">
        <v>0</v>
      </c>
      <c r="L129" s="231"/>
      <c r="M129" s="231"/>
      <c r="N129" s="231"/>
      <c r="O129" s="24"/>
      <c r="P129" s="337">
        <v>0</v>
      </c>
      <c r="Q129" s="135"/>
      <c r="R129" s="25"/>
      <c r="S129" s="26"/>
      <c r="T129" s="26"/>
      <c r="U129" s="26"/>
      <c r="V129" s="229" t="s">
        <v>47</v>
      </c>
      <c r="W129" s="58"/>
      <c r="X129" s="162">
        <v>46228</v>
      </c>
      <c r="Y129" s="26" t="s">
        <v>61</v>
      </c>
      <c r="Z129" s="58"/>
      <c r="AA129" s="58"/>
      <c r="AB129" s="58" t="s">
        <v>49</v>
      </c>
      <c r="AC129" s="58"/>
      <c r="AD129" s="254" t="s">
        <v>48</v>
      </c>
      <c r="AE129" s="59"/>
      <c r="AF129" s="57"/>
      <c r="AG129" s="57"/>
      <c r="AH129" s="58"/>
      <c r="AI129" s="58"/>
      <c r="AJ129" s="56"/>
      <c r="AK129" s="58"/>
      <c r="AL129" s="57">
        <v>18</v>
      </c>
      <c r="AM129" s="225" t="s">
        <v>588</v>
      </c>
      <c r="AN129" s="255" t="s">
        <v>51</v>
      </c>
      <c r="AO129" s="131"/>
      <c r="AP129" s="132"/>
    </row>
    <row r="130" spans="1:42" s="28" customFormat="1" ht="15" customHeight="1" x14ac:dyDescent="0.2">
      <c r="A130" s="162">
        <v>46228</v>
      </c>
      <c r="B130" s="162">
        <v>46228</v>
      </c>
      <c r="C130" s="343" t="s">
        <v>52</v>
      </c>
      <c r="D130" s="224" t="s">
        <v>53</v>
      </c>
      <c r="E130" s="174">
        <v>7740</v>
      </c>
      <c r="F130" s="85">
        <v>1</v>
      </c>
      <c r="G130" s="308" t="s">
        <v>902</v>
      </c>
      <c r="H130" s="85" t="s">
        <v>885</v>
      </c>
      <c r="I130" s="231"/>
      <c r="J130" s="231"/>
      <c r="K130" s="337">
        <v>6980</v>
      </c>
      <c r="L130" s="231"/>
      <c r="M130" s="231"/>
      <c r="N130" s="231"/>
      <c r="O130" s="24"/>
      <c r="P130" s="337">
        <v>6980</v>
      </c>
      <c r="Q130" s="135"/>
      <c r="R130" s="25"/>
      <c r="S130" s="26"/>
      <c r="T130" s="26"/>
      <c r="U130" s="26"/>
      <c r="V130" s="229" t="s">
        <v>47</v>
      </c>
      <c r="W130" s="58"/>
      <c r="X130" s="162">
        <v>46228</v>
      </c>
      <c r="Y130" s="26" t="s">
        <v>63</v>
      </c>
      <c r="Z130" s="26"/>
      <c r="AA130" s="26"/>
      <c r="AB130" s="26" t="s">
        <v>49</v>
      </c>
      <c r="AC130" s="26"/>
      <c r="AD130" s="254" t="s">
        <v>48</v>
      </c>
      <c r="AE130" s="27"/>
      <c r="AF130" s="24"/>
      <c r="AG130" s="24"/>
      <c r="AH130" s="26"/>
      <c r="AI130" s="26"/>
      <c r="AJ130" s="25"/>
      <c r="AK130" s="26"/>
      <c r="AL130" s="24">
        <v>18</v>
      </c>
      <c r="AM130" s="224" t="s">
        <v>50</v>
      </c>
      <c r="AN130" s="255"/>
      <c r="AO130" s="131"/>
      <c r="AP130" s="132"/>
    </row>
    <row r="131" spans="1:42" s="28" customFormat="1" ht="15" customHeight="1" x14ac:dyDescent="0.2">
      <c r="A131" s="162">
        <v>46228</v>
      </c>
      <c r="B131" s="162">
        <v>46320</v>
      </c>
      <c r="C131" s="343" t="s">
        <v>52</v>
      </c>
      <c r="D131" s="224" t="s">
        <v>53</v>
      </c>
      <c r="E131" s="174">
        <v>7741</v>
      </c>
      <c r="F131" s="85">
        <v>1</v>
      </c>
      <c r="G131" s="85">
        <v>75282689</v>
      </c>
      <c r="H131" s="85" t="s">
        <v>886</v>
      </c>
      <c r="I131" s="231"/>
      <c r="J131" s="231"/>
      <c r="K131" s="337">
        <v>5700</v>
      </c>
      <c r="L131" s="231"/>
      <c r="M131" s="231"/>
      <c r="N131" s="231"/>
      <c r="O131" s="24"/>
      <c r="P131" s="337">
        <v>5700</v>
      </c>
      <c r="Q131" s="135"/>
      <c r="R131" s="25"/>
      <c r="S131" s="26"/>
      <c r="T131" s="26"/>
      <c r="U131" s="26"/>
      <c r="V131" s="229" t="s">
        <v>47</v>
      </c>
      <c r="W131" s="58"/>
      <c r="X131" s="162">
        <v>46320</v>
      </c>
      <c r="Y131" s="26" t="s">
        <v>63</v>
      </c>
      <c r="Z131" s="26"/>
      <c r="AA131" s="26"/>
      <c r="AB131" s="26" t="s">
        <v>49</v>
      </c>
      <c r="AC131" s="26"/>
      <c r="AD131" s="254" t="s">
        <v>48</v>
      </c>
      <c r="AE131" s="27"/>
      <c r="AF131" s="24"/>
      <c r="AG131" s="24"/>
      <c r="AH131" s="26"/>
      <c r="AI131" s="26"/>
      <c r="AJ131" s="25"/>
      <c r="AK131" s="26"/>
      <c r="AL131" s="24">
        <v>18</v>
      </c>
      <c r="AM131" s="224" t="s">
        <v>50</v>
      </c>
      <c r="AN131" s="255"/>
      <c r="AO131" s="131"/>
      <c r="AP131" s="132"/>
    </row>
    <row r="132" spans="1:42" s="28" customFormat="1" ht="15" customHeight="1" x14ac:dyDescent="0.2">
      <c r="A132" s="162">
        <v>46228</v>
      </c>
      <c r="B132" s="162">
        <v>46228</v>
      </c>
      <c r="C132" s="343" t="s">
        <v>52</v>
      </c>
      <c r="D132" s="224" t="s">
        <v>53</v>
      </c>
      <c r="E132" s="171">
        <v>7742</v>
      </c>
      <c r="F132" s="85">
        <v>1</v>
      </c>
      <c r="G132" s="85">
        <v>75282689</v>
      </c>
      <c r="H132" s="85" t="s">
        <v>886</v>
      </c>
      <c r="I132" s="231"/>
      <c r="J132" s="231"/>
      <c r="K132" s="337">
        <v>0</v>
      </c>
      <c r="L132" s="231"/>
      <c r="M132" s="231"/>
      <c r="N132" s="231"/>
      <c r="O132" s="24"/>
      <c r="P132" s="337">
        <v>0</v>
      </c>
      <c r="Q132" s="135"/>
      <c r="R132" s="25"/>
      <c r="S132" s="26"/>
      <c r="T132" s="26"/>
      <c r="U132" s="26"/>
      <c r="V132" s="229" t="s">
        <v>47</v>
      </c>
      <c r="W132" s="58"/>
      <c r="X132" s="162">
        <v>46228</v>
      </c>
      <c r="Y132" s="26" t="s">
        <v>61</v>
      </c>
      <c r="Z132" s="58"/>
      <c r="AA132" s="58"/>
      <c r="AB132" s="58" t="s">
        <v>49</v>
      </c>
      <c r="AC132" s="58"/>
      <c r="AD132" s="254" t="s">
        <v>48</v>
      </c>
      <c r="AE132" s="59"/>
      <c r="AF132" s="57"/>
      <c r="AG132" s="57"/>
      <c r="AH132" s="58"/>
      <c r="AI132" s="58"/>
      <c r="AJ132" s="56"/>
      <c r="AK132" s="58"/>
      <c r="AL132" s="57">
        <v>18</v>
      </c>
      <c r="AM132" s="225" t="s">
        <v>588</v>
      </c>
      <c r="AN132" s="255" t="s">
        <v>51</v>
      </c>
      <c r="AO132" s="131"/>
      <c r="AP132" s="132"/>
    </row>
    <row r="133" spans="1:42" s="28" customFormat="1" ht="15" customHeight="1" x14ac:dyDescent="0.2">
      <c r="A133" s="162">
        <v>46228</v>
      </c>
      <c r="B133" s="162">
        <v>46228</v>
      </c>
      <c r="C133" s="343" t="s">
        <v>52</v>
      </c>
      <c r="D133" s="224" t="s">
        <v>53</v>
      </c>
      <c r="E133" s="174">
        <v>7743</v>
      </c>
      <c r="F133" s="85">
        <v>1</v>
      </c>
      <c r="G133" s="85">
        <v>73361996</v>
      </c>
      <c r="H133" s="85" t="s">
        <v>887</v>
      </c>
      <c r="I133" s="231"/>
      <c r="J133" s="231"/>
      <c r="K133" s="337">
        <v>11780</v>
      </c>
      <c r="L133" s="231"/>
      <c r="M133" s="231"/>
      <c r="N133" s="231"/>
      <c r="O133" s="24"/>
      <c r="P133" s="337">
        <v>11780</v>
      </c>
      <c r="Q133" s="135"/>
      <c r="R133" s="25"/>
      <c r="S133" s="26"/>
      <c r="T133" s="26"/>
      <c r="U133" s="26"/>
      <c r="V133" s="229" t="s">
        <v>47</v>
      </c>
      <c r="W133" s="58"/>
      <c r="X133" s="162">
        <v>46228</v>
      </c>
      <c r="Y133" s="26" t="s">
        <v>63</v>
      </c>
      <c r="Z133" s="26"/>
      <c r="AA133" s="26"/>
      <c r="AB133" s="26" t="s">
        <v>49</v>
      </c>
      <c r="AC133" s="26"/>
      <c r="AD133" s="254" t="s">
        <v>48</v>
      </c>
      <c r="AE133" s="27"/>
      <c r="AF133" s="24"/>
      <c r="AG133" s="24"/>
      <c r="AH133" s="26"/>
      <c r="AI133" s="26"/>
      <c r="AJ133" s="25"/>
      <c r="AK133" s="26"/>
      <c r="AL133" s="24">
        <v>18</v>
      </c>
      <c r="AM133" s="224" t="s">
        <v>50</v>
      </c>
      <c r="AN133" s="255"/>
      <c r="AO133" s="131"/>
      <c r="AP133" s="132"/>
    </row>
    <row r="134" spans="1:42" s="28" customFormat="1" ht="15" customHeight="1" x14ac:dyDescent="0.2">
      <c r="A134" s="162">
        <v>46228</v>
      </c>
      <c r="B134" s="162">
        <v>46228</v>
      </c>
      <c r="C134" s="343" t="s">
        <v>52</v>
      </c>
      <c r="D134" s="224" t="s">
        <v>53</v>
      </c>
      <c r="E134" s="174">
        <v>7744</v>
      </c>
      <c r="F134" s="85">
        <v>1</v>
      </c>
      <c r="G134" s="85">
        <v>73361996</v>
      </c>
      <c r="H134" s="85" t="s">
        <v>887</v>
      </c>
      <c r="I134" s="231"/>
      <c r="J134" s="231"/>
      <c r="K134" s="337">
        <v>0</v>
      </c>
      <c r="L134" s="231"/>
      <c r="M134" s="231"/>
      <c r="N134" s="231"/>
      <c r="O134" s="24"/>
      <c r="P134" s="337">
        <v>0</v>
      </c>
      <c r="Q134" s="135"/>
      <c r="R134" s="25"/>
      <c r="S134" s="26"/>
      <c r="T134" s="26"/>
      <c r="U134" s="26"/>
      <c r="V134" s="229" t="s">
        <v>47</v>
      </c>
      <c r="W134" s="58"/>
      <c r="X134" s="162">
        <v>46228</v>
      </c>
      <c r="Y134" s="26" t="s">
        <v>61</v>
      </c>
      <c r="Z134" s="58"/>
      <c r="AA134" s="58"/>
      <c r="AB134" s="58" t="s">
        <v>49</v>
      </c>
      <c r="AC134" s="58"/>
      <c r="AD134" s="254" t="s">
        <v>48</v>
      </c>
      <c r="AE134" s="59"/>
      <c r="AF134" s="57"/>
      <c r="AG134" s="57"/>
      <c r="AH134" s="58"/>
      <c r="AI134" s="58"/>
      <c r="AJ134" s="56"/>
      <c r="AK134" s="58"/>
      <c r="AL134" s="57">
        <v>18</v>
      </c>
      <c r="AM134" s="225" t="s">
        <v>588</v>
      </c>
      <c r="AN134" s="255" t="s">
        <v>51</v>
      </c>
      <c r="AO134" s="131"/>
      <c r="AP134" s="132"/>
    </row>
    <row r="135" spans="1:42" s="28" customFormat="1" ht="15" customHeight="1" x14ac:dyDescent="0.2">
      <c r="A135" s="162">
        <v>46228</v>
      </c>
      <c r="B135" s="162">
        <v>46259</v>
      </c>
      <c r="C135" s="343" t="s">
        <v>52</v>
      </c>
      <c r="D135" s="224" t="s">
        <v>53</v>
      </c>
      <c r="E135" s="174">
        <v>7745</v>
      </c>
      <c r="F135" s="85">
        <v>1</v>
      </c>
      <c r="G135" s="85">
        <v>44161310</v>
      </c>
      <c r="H135" s="85" t="s">
        <v>888</v>
      </c>
      <c r="I135" s="231"/>
      <c r="J135" s="231"/>
      <c r="K135" s="337">
        <v>5280</v>
      </c>
      <c r="L135" s="231"/>
      <c r="M135" s="231"/>
      <c r="N135" s="231"/>
      <c r="O135" s="24"/>
      <c r="P135" s="337">
        <v>5280</v>
      </c>
      <c r="Q135" s="135"/>
      <c r="R135" s="25"/>
      <c r="S135" s="26"/>
      <c r="T135" s="26"/>
      <c r="U135" s="26"/>
      <c r="V135" s="229" t="s">
        <v>47</v>
      </c>
      <c r="W135" s="58"/>
      <c r="X135" s="162">
        <v>46259</v>
      </c>
      <c r="Y135" s="26" t="s">
        <v>63</v>
      </c>
      <c r="Z135" s="26"/>
      <c r="AA135" s="26"/>
      <c r="AB135" s="26" t="s">
        <v>49</v>
      </c>
      <c r="AC135" s="26"/>
      <c r="AD135" s="254" t="s">
        <v>48</v>
      </c>
      <c r="AE135" s="27"/>
      <c r="AF135" s="24"/>
      <c r="AG135" s="24"/>
      <c r="AH135" s="26"/>
      <c r="AI135" s="26"/>
      <c r="AJ135" s="25"/>
      <c r="AK135" s="26"/>
      <c r="AL135" s="24">
        <v>18</v>
      </c>
      <c r="AM135" s="224" t="s">
        <v>50</v>
      </c>
      <c r="AN135" s="255"/>
      <c r="AO135" s="131"/>
      <c r="AP135" s="132"/>
    </row>
    <row r="136" spans="1:42" s="28" customFormat="1" ht="15" customHeight="1" x14ac:dyDescent="0.2">
      <c r="A136" s="162">
        <v>46228</v>
      </c>
      <c r="B136" s="162">
        <v>46228</v>
      </c>
      <c r="C136" s="343" t="s">
        <v>52</v>
      </c>
      <c r="D136" s="224" t="s">
        <v>53</v>
      </c>
      <c r="E136" s="171">
        <v>7746</v>
      </c>
      <c r="F136" s="85">
        <v>1</v>
      </c>
      <c r="G136" s="85">
        <v>44161310</v>
      </c>
      <c r="H136" s="85" t="s">
        <v>888</v>
      </c>
      <c r="I136" s="231"/>
      <c r="J136" s="231"/>
      <c r="K136" s="337">
        <v>0</v>
      </c>
      <c r="L136" s="231"/>
      <c r="M136" s="231"/>
      <c r="N136" s="231"/>
      <c r="O136" s="24"/>
      <c r="P136" s="337">
        <v>0</v>
      </c>
      <c r="Q136" s="135"/>
      <c r="R136" s="25"/>
      <c r="S136" s="26"/>
      <c r="T136" s="26"/>
      <c r="U136" s="26"/>
      <c r="V136" s="229" t="s">
        <v>47</v>
      </c>
      <c r="W136" s="58"/>
      <c r="X136" s="162">
        <v>46228</v>
      </c>
      <c r="Y136" s="26" t="s">
        <v>61</v>
      </c>
      <c r="Z136" s="58"/>
      <c r="AA136" s="58"/>
      <c r="AB136" s="58" t="s">
        <v>49</v>
      </c>
      <c r="AC136" s="58"/>
      <c r="AD136" s="254" t="s">
        <v>48</v>
      </c>
      <c r="AE136" s="59"/>
      <c r="AF136" s="57"/>
      <c r="AG136" s="57"/>
      <c r="AH136" s="58"/>
      <c r="AI136" s="58"/>
      <c r="AJ136" s="56"/>
      <c r="AK136" s="58"/>
      <c r="AL136" s="57">
        <v>18</v>
      </c>
      <c r="AM136" s="225" t="s">
        <v>588</v>
      </c>
      <c r="AN136" s="255" t="s">
        <v>51</v>
      </c>
      <c r="AO136" s="131"/>
      <c r="AP136" s="132"/>
    </row>
    <row r="137" spans="1:42" s="28" customFormat="1" ht="15" customHeight="1" x14ac:dyDescent="0.2">
      <c r="A137" s="162">
        <v>46228</v>
      </c>
      <c r="B137" s="162">
        <v>46228</v>
      </c>
      <c r="C137" s="343" t="s">
        <v>52</v>
      </c>
      <c r="D137" s="224" t="s">
        <v>53</v>
      </c>
      <c r="E137" s="174">
        <v>7747</v>
      </c>
      <c r="F137" s="85">
        <v>1</v>
      </c>
      <c r="G137" s="85">
        <v>75706404</v>
      </c>
      <c r="H137" s="85" t="s">
        <v>889</v>
      </c>
      <c r="I137" s="231"/>
      <c r="J137" s="231"/>
      <c r="K137" s="337">
        <v>6480</v>
      </c>
      <c r="L137" s="231"/>
      <c r="M137" s="231"/>
      <c r="N137" s="231"/>
      <c r="O137" s="24"/>
      <c r="P137" s="337">
        <v>6480</v>
      </c>
      <c r="Q137" s="135"/>
      <c r="R137" s="25"/>
      <c r="S137" s="26"/>
      <c r="T137" s="26"/>
      <c r="U137" s="26"/>
      <c r="V137" s="229" t="s">
        <v>47</v>
      </c>
      <c r="W137" s="58"/>
      <c r="X137" s="162">
        <v>46228</v>
      </c>
      <c r="Y137" s="26" t="s">
        <v>63</v>
      </c>
      <c r="Z137" s="26"/>
      <c r="AA137" s="26"/>
      <c r="AB137" s="26" t="s">
        <v>49</v>
      </c>
      <c r="AC137" s="26"/>
      <c r="AD137" s="254" t="s">
        <v>48</v>
      </c>
      <c r="AE137" s="27"/>
      <c r="AF137" s="24"/>
      <c r="AG137" s="24"/>
      <c r="AH137" s="26"/>
      <c r="AI137" s="26"/>
      <c r="AJ137" s="25"/>
      <c r="AK137" s="26"/>
      <c r="AL137" s="24">
        <v>18</v>
      </c>
      <c r="AM137" s="224" t="s">
        <v>50</v>
      </c>
      <c r="AN137" s="255"/>
      <c r="AO137" s="131"/>
      <c r="AP137" s="132"/>
    </row>
    <row r="138" spans="1:42" s="28" customFormat="1" ht="15" customHeight="1" x14ac:dyDescent="0.2">
      <c r="A138" s="162">
        <v>46228</v>
      </c>
      <c r="B138" s="162">
        <v>46228</v>
      </c>
      <c r="C138" s="343" t="s">
        <v>52</v>
      </c>
      <c r="D138" s="224" t="s">
        <v>53</v>
      </c>
      <c r="E138" s="174">
        <v>7748</v>
      </c>
      <c r="F138" s="85">
        <v>1</v>
      </c>
      <c r="G138" s="85">
        <v>72226075</v>
      </c>
      <c r="H138" s="85" t="s">
        <v>890</v>
      </c>
      <c r="I138" s="231"/>
      <c r="J138" s="231"/>
      <c r="K138" s="337">
        <v>12380</v>
      </c>
      <c r="L138" s="231"/>
      <c r="M138" s="231"/>
      <c r="N138" s="231"/>
      <c r="O138" s="24"/>
      <c r="P138" s="337">
        <v>12380</v>
      </c>
      <c r="Q138" s="135"/>
      <c r="R138" s="25"/>
      <c r="S138" s="26"/>
      <c r="T138" s="26"/>
      <c r="U138" s="26"/>
      <c r="V138" s="229" t="s">
        <v>47</v>
      </c>
      <c r="W138" s="58"/>
      <c r="X138" s="162">
        <v>46228</v>
      </c>
      <c r="Y138" s="26" t="s">
        <v>63</v>
      </c>
      <c r="Z138" s="26"/>
      <c r="AA138" s="26"/>
      <c r="AB138" s="26" t="s">
        <v>49</v>
      </c>
      <c r="AC138" s="26"/>
      <c r="AD138" s="254" t="s">
        <v>48</v>
      </c>
      <c r="AE138" s="27"/>
      <c r="AF138" s="24"/>
      <c r="AG138" s="24"/>
      <c r="AH138" s="26"/>
      <c r="AI138" s="26"/>
      <c r="AJ138" s="25"/>
      <c r="AK138" s="26"/>
      <c r="AL138" s="24">
        <v>18</v>
      </c>
      <c r="AM138" s="224" t="s">
        <v>50</v>
      </c>
      <c r="AN138" s="255"/>
      <c r="AO138" s="131"/>
      <c r="AP138" s="132"/>
    </row>
    <row r="139" spans="1:42" s="28" customFormat="1" ht="15" customHeight="1" x14ac:dyDescent="0.2">
      <c r="A139" s="162">
        <v>46228</v>
      </c>
      <c r="B139" s="162">
        <v>46228</v>
      </c>
      <c r="C139" s="343" t="s">
        <v>52</v>
      </c>
      <c r="D139" s="224" t="s">
        <v>53</v>
      </c>
      <c r="E139" s="174">
        <v>7749</v>
      </c>
      <c r="F139" s="85">
        <v>1</v>
      </c>
      <c r="G139" s="85">
        <v>72226075</v>
      </c>
      <c r="H139" s="85" t="s">
        <v>890</v>
      </c>
      <c r="I139" s="231"/>
      <c r="J139" s="231"/>
      <c r="K139" s="337">
        <v>0</v>
      </c>
      <c r="L139" s="231"/>
      <c r="M139" s="231"/>
      <c r="N139" s="231"/>
      <c r="O139" s="24"/>
      <c r="P139" s="337">
        <v>0</v>
      </c>
      <c r="Q139" s="135"/>
      <c r="R139" s="25"/>
      <c r="S139" s="26"/>
      <c r="T139" s="26"/>
      <c r="U139" s="26"/>
      <c r="V139" s="229" t="s">
        <v>47</v>
      </c>
      <c r="W139" s="58"/>
      <c r="X139" s="162">
        <v>46228</v>
      </c>
      <c r="Y139" s="26" t="s">
        <v>61</v>
      </c>
      <c r="Z139" s="58"/>
      <c r="AA139" s="58"/>
      <c r="AB139" s="58" t="s">
        <v>49</v>
      </c>
      <c r="AC139" s="58"/>
      <c r="AD139" s="254" t="s">
        <v>48</v>
      </c>
      <c r="AE139" s="59"/>
      <c r="AF139" s="57"/>
      <c r="AG139" s="57"/>
      <c r="AH139" s="58"/>
      <c r="AI139" s="58"/>
      <c r="AJ139" s="56"/>
      <c r="AK139" s="58"/>
      <c r="AL139" s="57">
        <v>18</v>
      </c>
      <c r="AM139" s="225" t="s">
        <v>588</v>
      </c>
      <c r="AN139" s="255" t="s">
        <v>51</v>
      </c>
      <c r="AO139" s="131"/>
      <c r="AP139" s="132"/>
    </row>
    <row r="140" spans="1:42" s="28" customFormat="1" ht="15" customHeight="1" x14ac:dyDescent="0.2">
      <c r="A140" s="162">
        <v>46230</v>
      </c>
      <c r="B140" s="162">
        <v>46230</v>
      </c>
      <c r="C140" s="343" t="s">
        <v>52</v>
      </c>
      <c r="D140" s="224" t="s">
        <v>53</v>
      </c>
      <c r="E140" s="171">
        <v>7750</v>
      </c>
      <c r="F140" s="85">
        <v>1</v>
      </c>
      <c r="G140" s="85">
        <v>75264971</v>
      </c>
      <c r="H140" s="85" t="s">
        <v>891</v>
      </c>
      <c r="I140" s="231"/>
      <c r="J140" s="231"/>
      <c r="K140" s="337">
        <v>0</v>
      </c>
      <c r="L140" s="231"/>
      <c r="M140" s="231"/>
      <c r="N140" s="231"/>
      <c r="O140" s="24"/>
      <c r="P140" s="337">
        <v>0</v>
      </c>
      <c r="Q140" s="135"/>
      <c r="R140" s="25"/>
      <c r="S140" s="26"/>
      <c r="T140" s="26"/>
      <c r="U140" s="26"/>
      <c r="V140" s="229" t="s">
        <v>47</v>
      </c>
      <c r="W140" s="58"/>
      <c r="X140" s="162">
        <v>46230</v>
      </c>
      <c r="Y140" s="26" t="s">
        <v>61</v>
      </c>
      <c r="Z140" s="58"/>
      <c r="AA140" s="58"/>
      <c r="AB140" s="58" t="s">
        <v>49</v>
      </c>
      <c r="AC140" s="58"/>
      <c r="AD140" s="254" t="s">
        <v>48</v>
      </c>
      <c r="AE140" s="59"/>
      <c r="AF140" s="57"/>
      <c r="AG140" s="57"/>
      <c r="AH140" s="58"/>
      <c r="AI140" s="58"/>
      <c r="AJ140" s="56"/>
      <c r="AK140" s="58"/>
      <c r="AL140" s="57">
        <v>18</v>
      </c>
      <c r="AM140" s="225" t="s">
        <v>588</v>
      </c>
      <c r="AN140" s="255" t="s">
        <v>51</v>
      </c>
      <c r="AO140" s="131"/>
      <c r="AP140" s="132"/>
    </row>
    <row r="141" spans="1:42" s="28" customFormat="1" ht="15" customHeight="1" x14ac:dyDescent="0.2">
      <c r="A141" s="162">
        <v>46230</v>
      </c>
      <c r="B141" s="162">
        <v>46230</v>
      </c>
      <c r="C141" s="343" t="s">
        <v>52</v>
      </c>
      <c r="D141" s="224" t="s">
        <v>53</v>
      </c>
      <c r="E141" s="174">
        <v>7751</v>
      </c>
      <c r="F141" s="85">
        <v>1</v>
      </c>
      <c r="G141" s="85">
        <v>48174522</v>
      </c>
      <c r="H141" s="85" t="s">
        <v>892</v>
      </c>
      <c r="I141" s="231"/>
      <c r="J141" s="231"/>
      <c r="K141" s="337">
        <v>11780</v>
      </c>
      <c r="L141" s="231"/>
      <c r="M141" s="231"/>
      <c r="N141" s="231"/>
      <c r="O141" s="24"/>
      <c r="P141" s="337">
        <v>11780</v>
      </c>
      <c r="Q141" s="135"/>
      <c r="R141" s="25"/>
      <c r="S141" s="26"/>
      <c r="T141" s="26"/>
      <c r="U141" s="26"/>
      <c r="V141" s="229" t="s">
        <v>47</v>
      </c>
      <c r="W141" s="58"/>
      <c r="X141" s="162">
        <v>46230</v>
      </c>
      <c r="Y141" s="26" t="s">
        <v>63</v>
      </c>
      <c r="Z141" s="26"/>
      <c r="AA141" s="26"/>
      <c r="AB141" s="26" t="s">
        <v>49</v>
      </c>
      <c r="AC141" s="26"/>
      <c r="AD141" s="254" t="s">
        <v>48</v>
      </c>
      <c r="AE141" s="27"/>
      <c r="AF141" s="24"/>
      <c r="AG141" s="24"/>
      <c r="AH141" s="26"/>
      <c r="AI141" s="26"/>
      <c r="AJ141" s="25"/>
      <c r="AK141" s="26"/>
      <c r="AL141" s="24">
        <v>18</v>
      </c>
      <c r="AM141" s="224" t="s">
        <v>50</v>
      </c>
      <c r="AN141" s="255"/>
      <c r="AO141" s="131"/>
      <c r="AP141" s="132"/>
    </row>
    <row r="142" spans="1:42" s="28" customFormat="1" ht="15" customHeight="1" x14ac:dyDescent="0.2">
      <c r="A142" s="162">
        <v>46230</v>
      </c>
      <c r="B142" s="162">
        <v>46230</v>
      </c>
      <c r="C142" s="343" t="s">
        <v>52</v>
      </c>
      <c r="D142" s="224" t="s">
        <v>53</v>
      </c>
      <c r="E142" s="174">
        <v>7752</v>
      </c>
      <c r="F142" s="85">
        <v>1</v>
      </c>
      <c r="G142" s="85">
        <v>72178503</v>
      </c>
      <c r="H142" s="85" t="s">
        <v>893</v>
      </c>
      <c r="I142" s="231"/>
      <c r="J142" s="231"/>
      <c r="K142" s="337">
        <v>6580</v>
      </c>
      <c r="L142" s="231"/>
      <c r="M142" s="231"/>
      <c r="N142" s="231"/>
      <c r="O142" s="24"/>
      <c r="P142" s="337">
        <v>6580</v>
      </c>
      <c r="Q142" s="135"/>
      <c r="R142" s="25"/>
      <c r="S142" s="26"/>
      <c r="T142" s="26"/>
      <c r="U142" s="26"/>
      <c r="V142" s="229" t="s">
        <v>47</v>
      </c>
      <c r="W142" s="58"/>
      <c r="X142" s="162">
        <v>46230</v>
      </c>
      <c r="Y142" s="26" t="s">
        <v>63</v>
      </c>
      <c r="Z142" s="26"/>
      <c r="AA142" s="26"/>
      <c r="AB142" s="26" t="s">
        <v>49</v>
      </c>
      <c r="AC142" s="26"/>
      <c r="AD142" s="254" t="s">
        <v>48</v>
      </c>
      <c r="AE142" s="27"/>
      <c r="AF142" s="24"/>
      <c r="AG142" s="24"/>
      <c r="AH142" s="26"/>
      <c r="AI142" s="26"/>
      <c r="AJ142" s="25"/>
      <c r="AK142" s="26"/>
      <c r="AL142" s="24">
        <v>18</v>
      </c>
      <c r="AM142" s="224" t="s">
        <v>50</v>
      </c>
      <c r="AN142" s="255"/>
      <c r="AO142" s="131"/>
      <c r="AP142" s="132"/>
    </row>
    <row r="143" spans="1:42" s="28" customFormat="1" ht="15" customHeight="1" x14ac:dyDescent="0.2">
      <c r="A143" s="162">
        <v>46230</v>
      </c>
      <c r="B143" s="162">
        <v>46230</v>
      </c>
      <c r="C143" s="343" t="s">
        <v>52</v>
      </c>
      <c r="D143" s="224" t="s">
        <v>53</v>
      </c>
      <c r="E143" s="174">
        <v>7753</v>
      </c>
      <c r="F143" s="85">
        <v>1</v>
      </c>
      <c r="G143" s="85">
        <v>20960064</v>
      </c>
      <c r="H143" s="85" t="s">
        <v>894</v>
      </c>
      <c r="I143" s="231"/>
      <c r="J143" s="231"/>
      <c r="K143" s="337">
        <v>5665</v>
      </c>
      <c r="L143" s="231"/>
      <c r="M143" s="231"/>
      <c r="N143" s="231"/>
      <c r="O143" s="24"/>
      <c r="P143" s="337">
        <v>5665</v>
      </c>
      <c r="Q143" s="135"/>
      <c r="R143" s="25"/>
      <c r="S143" s="26"/>
      <c r="T143" s="26"/>
      <c r="U143" s="26"/>
      <c r="V143" s="229" t="s">
        <v>47</v>
      </c>
      <c r="W143" s="58"/>
      <c r="X143" s="162">
        <v>46230</v>
      </c>
      <c r="Y143" s="26" t="s">
        <v>63</v>
      </c>
      <c r="Z143" s="26"/>
      <c r="AA143" s="26"/>
      <c r="AB143" s="26" t="s">
        <v>49</v>
      </c>
      <c r="AC143" s="26"/>
      <c r="AD143" s="254" t="s">
        <v>48</v>
      </c>
      <c r="AE143" s="27"/>
      <c r="AF143" s="24"/>
      <c r="AG143" s="24"/>
      <c r="AH143" s="26"/>
      <c r="AI143" s="26"/>
      <c r="AJ143" s="25"/>
      <c r="AK143" s="26"/>
      <c r="AL143" s="24">
        <v>18</v>
      </c>
      <c r="AM143" s="224" t="s">
        <v>50</v>
      </c>
      <c r="AN143" s="255"/>
      <c r="AO143" s="131"/>
      <c r="AP143" s="132"/>
    </row>
    <row r="144" spans="1:42" s="28" customFormat="1" ht="15" customHeight="1" x14ac:dyDescent="0.2">
      <c r="A144" s="162">
        <v>46230</v>
      </c>
      <c r="B144" s="162">
        <v>46230</v>
      </c>
      <c r="C144" s="343" t="s">
        <v>52</v>
      </c>
      <c r="D144" s="224" t="s">
        <v>53</v>
      </c>
      <c r="E144" s="171">
        <v>7754</v>
      </c>
      <c r="F144" s="85">
        <v>1</v>
      </c>
      <c r="G144" s="85">
        <v>20960064</v>
      </c>
      <c r="H144" s="85" t="s">
        <v>894</v>
      </c>
      <c r="I144" s="231"/>
      <c r="J144" s="231"/>
      <c r="K144" s="337">
        <v>0</v>
      </c>
      <c r="L144" s="231"/>
      <c r="M144" s="231"/>
      <c r="N144" s="231"/>
      <c r="O144" s="24"/>
      <c r="P144" s="337">
        <v>0</v>
      </c>
      <c r="Q144" s="135"/>
      <c r="R144" s="25"/>
      <c r="S144" s="26"/>
      <c r="T144" s="26"/>
      <c r="U144" s="26"/>
      <c r="V144" s="229" t="s">
        <v>47</v>
      </c>
      <c r="W144" s="58"/>
      <c r="X144" s="162">
        <v>46230</v>
      </c>
      <c r="Y144" s="26" t="s">
        <v>61</v>
      </c>
      <c r="Z144" s="58"/>
      <c r="AA144" s="58"/>
      <c r="AB144" s="58" t="s">
        <v>49</v>
      </c>
      <c r="AC144" s="58"/>
      <c r="AD144" s="254" t="s">
        <v>48</v>
      </c>
      <c r="AE144" s="59"/>
      <c r="AF144" s="57"/>
      <c r="AG144" s="57"/>
      <c r="AH144" s="58"/>
      <c r="AI144" s="58"/>
      <c r="AJ144" s="56"/>
      <c r="AK144" s="58"/>
      <c r="AL144" s="57">
        <v>18</v>
      </c>
      <c r="AM144" s="225" t="s">
        <v>588</v>
      </c>
      <c r="AN144" s="255" t="s">
        <v>51</v>
      </c>
      <c r="AO144" s="131"/>
      <c r="AP144" s="132"/>
    </row>
    <row r="145" spans="1:42" s="28" customFormat="1" ht="15" customHeight="1" x14ac:dyDescent="0.2">
      <c r="A145" s="162">
        <v>46230</v>
      </c>
      <c r="B145" s="162">
        <v>46230</v>
      </c>
      <c r="C145" s="343" t="s">
        <v>52</v>
      </c>
      <c r="D145" s="224" t="s">
        <v>53</v>
      </c>
      <c r="E145" s="174">
        <v>7755</v>
      </c>
      <c r="F145" s="85">
        <v>1</v>
      </c>
      <c r="G145" s="85">
        <v>70898697</v>
      </c>
      <c r="H145" s="85" t="s">
        <v>895</v>
      </c>
      <c r="I145" s="231"/>
      <c r="J145" s="231"/>
      <c r="K145" s="337">
        <v>13980</v>
      </c>
      <c r="L145" s="231"/>
      <c r="M145" s="231"/>
      <c r="N145" s="231"/>
      <c r="O145" s="24"/>
      <c r="P145" s="337">
        <v>13980</v>
      </c>
      <c r="Q145" s="135"/>
      <c r="R145" s="25"/>
      <c r="S145" s="26"/>
      <c r="T145" s="26"/>
      <c r="U145" s="26"/>
      <c r="V145" s="229" t="s">
        <v>47</v>
      </c>
      <c r="W145" s="58"/>
      <c r="X145" s="162">
        <v>46230</v>
      </c>
      <c r="Y145" s="26" t="s">
        <v>63</v>
      </c>
      <c r="Z145" s="26"/>
      <c r="AA145" s="26"/>
      <c r="AB145" s="26" t="s">
        <v>49</v>
      </c>
      <c r="AC145" s="26"/>
      <c r="AD145" s="254" t="s">
        <v>48</v>
      </c>
      <c r="AE145" s="27"/>
      <c r="AF145" s="24"/>
      <c r="AG145" s="24"/>
      <c r="AH145" s="26"/>
      <c r="AI145" s="26"/>
      <c r="AJ145" s="25"/>
      <c r="AK145" s="26"/>
      <c r="AL145" s="24">
        <v>18</v>
      </c>
      <c r="AM145" s="224" t="s">
        <v>50</v>
      </c>
      <c r="AN145" s="255"/>
      <c r="AO145" s="131"/>
      <c r="AP145" s="132"/>
    </row>
    <row r="146" spans="1:42" s="28" customFormat="1" ht="15" customHeight="1" x14ac:dyDescent="0.2">
      <c r="A146" s="162">
        <v>46230</v>
      </c>
      <c r="B146" s="162">
        <v>46230</v>
      </c>
      <c r="C146" s="343" t="s">
        <v>52</v>
      </c>
      <c r="D146" s="224" t="s">
        <v>53</v>
      </c>
      <c r="E146" s="174">
        <v>7756</v>
      </c>
      <c r="F146" s="85">
        <v>1</v>
      </c>
      <c r="G146" s="85">
        <v>70898697</v>
      </c>
      <c r="H146" s="85" t="s">
        <v>895</v>
      </c>
      <c r="I146" s="231"/>
      <c r="J146" s="231"/>
      <c r="K146" s="337">
        <v>0</v>
      </c>
      <c r="L146" s="231"/>
      <c r="M146" s="231"/>
      <c r="N146" s="231"/>
      <c r="O146" s="24"/>
      <c r="P146" s="337">
        <v>0</v>
      </c>
      <c r="Q146" s="135"/>
      <c r="R146" s="25"/>
      <c r="S146" s="26"/>
      <c r="T146" s="26"/>
      <c r="U146" s="26"/>
      <c r="V146" s="229" t="s">
        <v>47</v>
      </c>
      <c r="W146" s="58"/>
      <c r="X146" s="162">
        <v>46230</v>
      </c>
      <c r="Y146" s="26" t="s">
        <v>61</v>
      </c>
      <c r="Z146" s="58"/>
      <c r="AA146" s="58"/>
      <c r="AB146" s="58" t="s">
        <v>49</v>
      </c>
      <c r="AC146" s="58"/>
      <c r="AD146" s="254" t="s">
        <v>48</v>
      </c>
      <c r="AE146" s="59"/>
      <c r="AF146" s="57"/>
      <c r="AG146" s="57"/>
      <c r="AH146" s="58"/>
      <c r="AI146" s="58"/>
      <c r="AJ146" s="56"/>
      <c r="AK146" s="58"/>
      <c r="AL146" s="57">
        <v>18</v>
      </c>
      <c r="AM146" s="225" t="s">
        <v>588</v>
      </c>
      <c r="AN146" s="255" t="s">
        <v>51</v>
      </c>
      <c r="AO146" s="131"/>
      <c r="AP146" s="132"/>
    </row>
    <row r="147" spans="1:42" s="28" customFormat="1" ht="15" customHeight="1" x14ac:dyDescent="0.2">
      <c r="A147" s="162">
        <v>46230</v>
      </c>
      <c r="B147" s="162">
        <v>46230</v>
      </c>
      <c r="C147" s="343" t="s">
        <v>52</v>
      </c>
      <c r="D147" s="224" t="s">
        <v>53</v>
      </c>
      <c r="E147" s="174">
        <v>7757</v>
      </c>
      <c r="F147" s="85">
        <v>1</v>
      </c>
      <c r="G147" s="85">
        <v>74358547</v>
      </c>
      <c r="H147" s="85" t="s">
        <v>896</v>
      </c>
      <c r="I147" s="231"/>
      <c r="J147" s="231"/>
      <c r="K147" s="337">
        <v>12380</v>
      </c>
      <c r="L147" s="231"/>
      <c r="M147" s="231"/>
      <c r="N147" s="231"/>
      <c r="O147" s="24"/>
      <c r="P147" s="337">
        <v>12380</v>
      </c>
      <c r="Q147" s="135"/>
      <c r="R147" s="25"/>
      <c r="S147" s="26"/>
      <c r="T147" s="26"/>
      <c r="U147" s="26"/>
      <c r="V147" s="229" t="s">
        <v>47</v>
      </c>
      <c r="W147" s="58"/>
      <c r="X147" s="162">
        <v>46230</v>
      </c>
      <c r="Y147" s="26" t="s">
        <v>63</v>
      </c>
      <c r="Z147" s="26"/>
      <c r="AA147" s="26"/>
      <c r="AB147" s="26" t="s">
        <v>49</v>
      </c>
      <c r="AC147" s="26"/>
      <c r="AD147" s="254" t="s">
        <v>48</v>
      </c>
      <c r="AE147" s="27"/>
      <c r="AF147" s="24"/>
      <c r="AG147" s="24"/>
      <c r="AH147" s="26"/>
      <c r="AI147" s="26"/>
      <c r="AJ147" s="25"/>
      <c r="AK147" s="26"/>
      <c r="AL147" s="24">
        <v>18</v>
      </c>
      <c r="AM147" s="224" t="s">
        <v>50</v>
      </c>
      <c r="AN147" s="255"/>
      <c r="AO147" s="131"/>
      <c r="AP147" s="132"/>
    </row>
    <row r="148" spans="1:42" s="28" customFormat="1" ht="15" customHeight="1" x14ac:dyDescent="0.2">
      <c r="A148" s="162">
        <v>46230</v>
      </c>
      <c r="B148" s="162">
        <v>46230</v>
      </c>
      <c r="C148" s="343" t="s">
        <v>52</v>
      </c>
      <c r="D148" s="224" t="s">
        <v>53</v>
      </c>
      <c r="E148" s="171">
        <v>7758</v>
      </c>
      <c r="F148" s="85">
        <v>1</v>
      </c>
      <c r="G148" s="85">
        <v>74358547</v>
      </c>
      <c r="H148" s="85" t="s">
        <v>896</v>
      </c>
      <c r="I148" s="231"/>
      <c r="J148" s="231"/>
      <c r="K148" s="337">
        <v>0</v>
      </c>
      <c r="L148" s="231"/>
      <c r="M148" s="231"/>
      <c r="N148" s="231"/>
      <c r="O148" s="24"/>
      <c r="P148" s="337">
        <v>0</v>
      </c>
      <c r="Q148" s="135"/>
      <c r="R148" s="25"/>
      <c r="S148" s="26"/>
      <c r="T148" s="26"/>
      <c r="U148" s="26"/>
      <c r="V148" s="229" t="s">
        <v>47</v>
      </c>
      <c r="W148" s="58"/>
      <c r="X148" s="162">
        <v>46230</v>
      </c>
      <c r="Y148" s="26" t="s">
        <v>61</v>
      </c>
      <c r="Z148" s="58"/>
      <c r="AA148" s="58"/>
      <c r="AB148" s="58" t="s">
        <v>49</v>
      </c>
      <c r="AC148" s="58"/>
      <c r="AD148" s="254" t="s">
        <v>48</v>
      </c>
      <c r="AE148" s="59"/>
      <c r="AF148" s="57"/>
      <c r="AG148" s="57"/>
      <c r="AH148" s="58"/>
      <c r="AI148" s="58"/>
      <c r="AJ148" s="56"/>
      <c r="AK148" s="58"/>
      <c r="AL148" s="57">
        <v>18</v>
      </c>
      <c r="AM148" s="225" t="s">
        <v>588</v>
      </c>
      <c r="AN148" s="255" t="s">
        <v>51</v>
      </c>
      <c r="AO148" s="131"/>
      <c r="AP148" s="132"/>
    </row>
    <row r="149" spans="1:42" s="28" customFormat="1" ht="15" customHeight="1" x14ac:dyDescent="0.2">
      <c r="A149" s="162">
        <v>46230</v>
      </c>
      <c r="B149" s="162">
        <v>46230</v>
      </c>
      <c r="C149" s="343" t="s">
        <v>52</v>
      </c>
      <c r="D149" s="224" t="s">
        <v>53</v>
      </c>
      <c r="E149" s="174">
        <v>7759</v>
      </c>
      <c r="F149" s="85">
        <v>1</v>
      </c>
      <c r="G149" s="85">
        <v>60290668</v>
      </c>
      <c r="H149" s="85" t="s">
        <v>897</v>
      </c>
      <c r="I149" s="231"/>
      <c r="J149" s="231"/>
      <c r="K149" s="337">
        <v>5330</v>
      </c>
      <c r="L149" s="231"/>
      <c r="M149" s="231"/>
      <c r="N149" s="231"/>
      <c r="O149" s="24"/>
      <c r="P149" s="337">
        <v>5330</v>
      </c>
      <c r="Q149" s="135"/>
      <c r="R149" s="25"/>
      <c r="S149" s="26"/>
      <c r="T149" s="26"/>
      <c r="U149" s="26"/>
      <c r="V149" s="229" t="s">
        <v>47</v>
      </c>
      <c r="W149" s="58"/>
      <c r="X149" s="162">
        <v>46230</v>
      </c>
      <c r="Y149" s="26" t="s">
        <v>63</v>
      </c>
      <c r="Z149" s="26"/>
      <c r="AA149" s="26"/>
      <c r="AB149" s="26" t="s">
        <v>49</v>
      </c>
      <c r="AC149" s="26"/>
      <c r="AD149" s="254" t="s">
        <v>48</v>
      </c>
      <c r="AE149" s="27"/>
      <c r="AF149" s="24"/>
      <c r="AG149" s="24"/>
      <c r="AH149" s="26"/>
      <c r="AI149" s="26"/>
      <c r="AJ149" s="25"/>
      <c r="AK149" s="26"/>
      <c r="AL149" s="24">
        <v>18</v>
      </c>
      <c r="AM149" s="224" t="s">
        <v>50</v>
      </c>
      <c r="AN149" s="255"/>
      <c r="AO149" s="131"/>
      <c r="AP149" s="132"/>
    </row>
    <row r="150" spans="1:42" s="28" customFormat="1" ht="15" customHeight="1" x14ac:dyDescent="0.2">
      <c r="A150" s="162">
        <v>46230</v>
      </c>
      <c r="B150" s="162">
        <v>46230</v>
      </c>
      <c r="C150" s="343" t="s">
        <v>52</v>
      </c>
      <c r="D150" s="224" t="s">
        <v>53</v>
      </c>
      <c r="E150" s="174">
        <v>7760</v>
      </c>
      <c r="F150" s="85">
        <v>1</v>
      </c>
      <c r="G150" s="85">
        <v>60290668</v>
      </c>
      <c r="H150" s="85" t="s">
        <v>897</v>
      </c>
      <c r="I150" s="231"/>
      <c r="J150" s="231"/>
      <c r="K150" s="337">
        <v>0</v>
      </c>
      <c r="L150" s="231"/>
      <c r="M150" s="231"/>
      <c r="N150" s="231"/>
      <c r="O150" s="24"/>
      <c r="P150" s="337">
        <v>0</v>
      </c>
      <c r="Q150" s="135"/>
      <c r="R150" s="25"/>
      <c r="S150" s="26"/>
      <c r="T150" s="26"/>
      <c r="U150" s="26"/>
      <c r="V150" s="229" t="s">
        <v>47</v>
      </c>
      <c r="W150" s="58"/>
      <c r="X150" s="162">
        <v>46230</v>
      </c>
      <c r="Y150" s="26" t="s">
        <v>61</v>
      </c>
      <c r="Z150" s="58"/>
      <c r="AA150" s="58"/>
      <c r="AB150" s="58" t="s">
        <v>49</v>
      </c>
      <c r="AC150" s="58"/>
      <c r="AD150" s="254" t="s">
        <v>48</v>
      </c>
      <c r="AE150" s="59"/>
      <c r="AF150" s="57"/>
      <c r="AG150" s="57"/>
      <c r="AH150" s="58"/>
      <c r="AI150" s="58"/>
      <c r="AJ150" s="56"/>
      <c r="AK150" s="58"/>
      <c r="AL150" s="57">
        <v>18</v>
      </c>
      <c r="AM150" s="225" t="s">
        <v>588</v>
      </c>
      <c r="AN150" s="255" t="s">
        <v>51</v>
      </c>
      <c r="AO150" s="131"/>
      <c r="AP150" s="132"/>
    </row>
    <row r="151" spans="1:42" s="28" customFormat="1" ht="15" customHeight="1" x14ac:dyDescent="0.2">
      <c r="A151" s="162">
        <v>46233</v>
      </c>
      <c r="B151" s="162">
        <v>46233</v>
      </c>
      <c r="C151" s="343" t="s">
        <v>52</v>
      </c>
      <c r="D151" s="224" t="s">
        <v>53</v>
      </c>
      <c r="E151" s="174">
        <v>7761</v>
      </c>
      <c r="F151" s="85">
        <v>1</v>
      </c>
      <c r="G151" s="85">
        <v>71889120</v>
      </c>
      <c r="H151" s="85" t="s">
        <v>898</v>
      </c>
      <c r="I151" s="231"/>
      <c r="J151" s="231"/>
      <c r="K151" s="337">
        <v>5180</v>
      </c>
      <c r="L151" s="231"/>
      <c r="M151" s="231"/>
      <c r="N151" s="231"/>
      <c r="O151" s="24"/>
      <c r="P151" s="337">
        <v>5180</v>
      </c>
      <c r="Q151" s="135"/>
      <c r="R151" s="25"/>
      <c r="S151" s="26"/>
      <c r="T151" s="26"/>
      <c r="U151" s="26"/>
      <c r="V151" s="229" t="s">
        <v>47</v>
      </c>
      <c r="W151" s="58"/>
      <c r="X151" s="162">
        <v>46233</v>
      </c>
      <c r="Y151" s="26" t="s">
        <v>63</v>
      </c>
      <c r="Z151" s="26"/>
      <c r="AA151" s="26"/>
      <c r="AB151" s="26" t="s">
        <v>49</v>
      </c>
      <c r="AC151" s="26"/>
      <c r="AD151" s="254" t="s">
        <v>48</v>
      </c>
      <c r="AE151" s="27"/>
      <c r="AF151" s="24"/>
      <c r="AG151" s="24"/>
      <c r="AH151" s="26"/>
      <c r="AI151" s="26"/>
      <c r="AJ151" s="25"/>
      <c r="AK151" s="26"/>
      <c r="AL151" s="24">
        <v>18</v>
      </c>
      <c r="AM151" s="224" t="s">
        <v>50</v>
      </c>
      <c r="AN151" s="255"/>
      <c r="AO151" s="131"/>
      <c r="AP151" s="132"/>
    </row>
    <row r="152" spans="1:42" s="28" customFormat="1" ht="15" customHeight="1" x14ac:dyDescent="0.2">
      <c r="A152" s="162">
        <v>46233</v>
      </c>
      <c r="B152" s="162">
        <v>46233</v>
      </c>
      <c r="C152" s="343" t="s">
        <v>52</v>
      </c>
      <c r="D152" s="224" t="s">
        <v>53</v>
      </c>
      <c r="E152" s="171">
        <v>7762</v>
      </c>
      <c r="F152" s="85">
        <v>1</v>
      </c>
      <c r="G152" s="85">
        <v>71889120</v>
      </c>
      <c r="H152" s="85" t="s">
        <v>898</v>
      </c>
      <c r="I152" s="231"/>
      <c r="J152" s="231"/>
      <c r="K152" s="337">
        <v>0</v>
      </c>
      <c r="L152" s="231"/>
      <c r="M152" s="231"/>
      <c r="N152" s="231"/>
      <c r="O152" s="24"/>
      <c r="P152" s="337">
        <v>0</v>
      </c>
      <c r="Q152" s="135"/>
      <c r="R152" s="25"/>
      <c r="S152" s="26"/>
      <c r="T152" s="26"/>
      <c r="U152" s="26"/>
      <c r="V152" s="229" t="s">
        <v>47</v>
      </c>
      <c r="W152" s="58"/>
      <c r="X152" s="162">
        <v>46233</v>
      </c>
      <c r="Y152" s="26" t="s">
        <v>61</v>
      </c>
      <c r="Z152" s="58"/>
      <c r="AA152" s="58"/>
      <c r="AB152" s="58" t="s">
        <v>49</v>
      </c>
      <c r="AC152" s="58"/>
      <c r="AD152" s="254" t="s">
        <v>48</v>
      </c>
      <c r="AE152" s="59"/>
      <c r="AF152" s="57"/>
      <c r="AG152" s="57"/>
      <c r="AH152" s="58"/>
      <c r="AI152" s="58"/>
      <c r="AJ152" s="56"/>
      <c r="AK152" s="58"/>
      <c r="AL152" s="57">
        <v>18</v>
      </c>
      <c r="AM152" s="225" t="s">
        <v>588</v>
      </c>
      <c r="AN152" s="255" t="s">
        <v>51</v>
      </c>
      <c r="AO152" s="131"/>
      <c r="AP152" s="132"/>
    </row>
    <row r="153" spans="1:42" s="28" customFormat="1" ht="15" customHeight="1" x14ac:dyDescent="0.2">
      <c r="A153" s="162">
        <v>46233</v>
      </c>
      <c r="B153" s="162">
        <v>46233</v>
      </c>
      <c r="C153" s="343" t="s">
        <v>52</v>
      </c>
      <c r="D153" s="224" t="s">
        <v>53</v>
      </c>
      <c r="E153" s="174">
        <v>7763</v>
      </c>
      <c r="F153" s="85">
        <v>1</v>
      </c>
      <c r="G153" s="85">
        <v>75562032</v>
      </c>
      <c r="H153" s="85" t="s">
        <v>899</v>
      </c>
      <c r="I153" s="231"/>
      <c r="J153" s="231"/>
      <c r="K153" s="337">
        <v>5130</v>
      </c>
      <c r="L153" s="231"/>
      <c r="M153" s="231"/>
      <c r="N153" s="231"/>
      <c r="O153" s="24"/>
      <c r="P153" s="337">
        <v>5130</v>
      </c>
      <c r="Q153" s="135"/>
      <c r="R153" s="25"/>
      <c r="S153" s="26"/>
      <c r="T153" s="26"/>
      <c r="U153" s="26"/>
      <c r="V153" s="229" t="s">
        <v>47</v>
      </c>
      <c r="W153" s="58"/>
      <c r="X153" s="162">
        <v>46233</v>
      </c>
      <c r="Y153" s="26" t="s">
        <v>63</v>
      </c>
      <c r="Z153" s="26"/>
      <c r="AA153" s="26"/>
      <c r="AB153" s="26" t="s">
        <v>49</v>
      </c>
      <c r="AC153" s="26"/>
      <c r="AD153" s="254" t="s">
        <v>48</v>
      </c>
      <c r="AE153" s="27"/>
      <c r="AF153" s="24"/>
      <c r="AG153" s="24"/>
      <c r="AH153" s="26"/>
      <c r="AI153" s="26"/>
      <c r="AJ153" s="25"/>
      <c r="AK153" s="26"/>
      <c r="AL153" s="24">
        <v>18</v>
      </c>
      <c r="AM153" s="224" t="s">
        <v>50</v>
      </c>
      <c r="AN153" s="255"/>
      <c r="AO153" s="131"/>
      <c r="AP153" s="132"/>
    </row>
    <row r="154" spans="1:42" s="28" customFormat="1" ht="15" customHeight="1" x14ac:dyDescent="0.2">
      <c r="A154" s="162">
        <v>46233</v>
      </c>
      <c r="B154" s="162">
        <v>46233</v>
      </c>
      <c r="C154" s="343" t="s">
        <v>52</v>
      </c>
      <c r="D154" s="224" t="s">
        <v>53</v>
      </c>
      <c r="E154" s="174">
        <v>7764</v>
      </c>
      <c r="F154" s="85">
        <v>1</v>
      </c>
      <c r="G154" s="85">
        <v>75562032</v>
      </c>
      <c r="H154" s="85" t="s">
        <v>899</v>
      </c>
      <c r="I154" s="231"/>
      <c r="J154" s="231"/>
      <c r="K154" s="337">
        <v>0</v>
      </c>
      <c r="L154" s="231"/>
      <c r="M154" s="231"/>
      <c r="N154" s="231"/>
      <c r="O154" s="24"/>
      <c r="P154" s="337">
        <v>0</v>
      </c>
      <c r="Q154" s="135"/>
      <c r="R154" s="25"/>
      <c r="S154" s="26"/>
      <c r="T154" s="26"/>
      <c r="U154" s="26"/>
      <c r="V154" s="229" t="s">
        <v>47</v>
      </c>
      <c r="W154" s="58"/>
      <c r="X154" s="162">
        <v>46233</v>
      </c>
      <c r="Y154" s="26" t="s">
        <v>61</v>
      </c>
      <c r="Z154" s="58"/>
      <c r="AA154" s="58"/>
      <c r="AB154" s="58" t="s">
        <v>49</v>
      </c>
      <c r="AC154" s="58"/>
      <c r="AD154" s="254" t="s">
        <v>48</v>
      </c>
      <c r="AE154" s="59"/>
      <c r="AF154" s="57"/>
      <c r="AG154" s="57"/>
      <c r="AH154" s="58"/>
      <c r="AI154" s="58"/>
      <c r="AJ154" s="56"/>
      <c r="AK154" s="58"/>
      <c r="AL154" s="57">
        <v>18</v>
      </c>
      <c r="AM154" s="225" t="s">
        <v>588</v>
      </c>
      <c r="AN154" s="255" t="s">
        <v>51</v>
      </c>
      <c r="AO154" s="131"/>
      <c r="AP154" s="132"/>
    </row>
    <row r="155" spans="1:42" s="28" customFormat="1" ht="15" customHeight="1" x14ac:dyDescent="0.2">
      <c r="A155" s="162">
        <v>46233</v>
      </c>
      <c r="B155" s="162">
        <v>46233</v>
      </c>
      <c r="C155" s="343" t="s">
        <v>52</v>
      </c>
      <c r="D155" s="224" t="s">
        <v>53</v>
      </c>
      <c r="E155" s="174">
        <v>7765</v>
      </c>
      <c r="F155" s="85">
        <v>1</v>
      </c>
      <c r="G155" s="85">
        <v>43230182</v>
      </c>
      <c r="H155" s="85" t="s">
        <v>900</v>
      </c>
      <c r="I155" s="231"/>
      <c r="J155" s="231"/>
      <c r="K155" s="337">
        <v>4861</v>
      </c>
      <c r="L155" s="231"/>
      <c r="M155" s="231"/>
      <c r="N155" s="231"/>
      <c r="O155" s="24"/>
      <c r="P155" s="337">
        <v>4861</v>
      </c>
      <c r="Q155" s="135"/>
      <c r="R155" s="25"/>
      <c r="S155" s="26"/>
      <c r="T155" s="26"/>
      <c r="U155" s="26"/>
      <c r="V155" s="229" t="s">
        <v>47</v>
      </c>
      <c r="W155" s="58"/>
      <c r="X155" s="162">
        <v>46233</v>
      </c>
      <c r="Y155" s="26" t="s">
        <v>63</v>
      </c>
      <c r="Z155" s="26"/>
      <c r="AA155" s="26"/>
      <c r="AB155" s="26" t="s">
        <v>49</v>
      </c>
      <c r="AC155" s="26"/>
      <c r="AD155" s="254" t="s">
        <v>48</v>
      </c>
      <c r="AE155" s="27"/>
      <c r="AF155" s="24"/>
      <c r="AG155" s="24"/>
      <c r="AH155" s="26"/>
      <c r="AI155" s="26"/>
      <c r="AJ155" s="25"/>
      <c r="AK155" s="26"/>
      <c r="AL155" s="24">
        <v>18</v>
      </c>
      <c r="AM155" s="224" t="s">
        <v>50</v>
      </c>
      <c r="AN155" s="255"/>
      <c r="AO155" s="131"/>
      <c r="AP155" s="132"/>
    </row>
    <row r="156" spans="1:42" s="28" customFormat="1" ht="15" customHeight="1" x14ac:dyDescent="0.2">
      <c r="A156" s="162">
        <v>46233</v>
      </c>
      <c r="B156" s="162">
        <v>46233</v>
      </c>
      <c r="C156" s="343" t="s">
        <v>52</v>
      </c>
      <c r="D156" s="224" t="s">
        <v>53</v>
      </c>
      <c r="E156" s="171">
        <v>7766</v>
      </c>
      <c r="F156" s="85">
        <v>1</v>
      </c>
      <c r="G156" s="85">
        <v>43230182</v>
      </c>
      <c r="H156" s="85" t="s">
        <v>900</v>
      </c>
      <c r="I156" s="231"/>
      <c r="J156" s="231"/>
      <c r="K156" s="337">
        <v>0</v>
      </c>
      <c r="L156" s="231"/>
      <c r="M156" s="231"/>
      <c r="N156" s="231"/>
      <c r="O156" s="24"/>
      <c r="P156" s="337">
        <v>0</v>
      </c>
      <c r="Q156" s="135"/>
      <c r="R156" s="25"/>
      <c r="S156" s="26"/>
      <c r="T156" s="26"/>
      <c r="U156" s="26"/>
      <c r="V156" s="229" t="s">
        <v>47</v>
      </c>
      <c r="W156" s="58"/>
      <c r="X156" s="162">
        <v>46233</v>
      </c>
      <c r="Y156" s="26" t="s">
        <v>61</v>
      </c>
      <c r="Z156" s="58"/>
      <c r="AA156" s="58"/>
      <c r="AB156" s="58" t="s">
        <v>49</v>
      </c>
      <c r="AC156" s="58"/>
      <c r="AD156" s="254" t="s">
        <v>48</v>
      </c>
      <c r="AE156" s="59"/>
      <c r="AF156" s="57"/>
      <c r="AG156" s="57"/>
      <c r="AH156" s="58"/>
      <c r="AI156" s="58"/>
      <c r="AJ156" s="56"/>
      <c r="AK156" s="58"/>
      <c r="AL156" s="57">
        <v>18</v>
      </c>
      <c r="AM156" s="225" t="s">
        <v>588</v>
      </c>
      <c r="AN156" s="255" t="s">
        <v>51</v>
      </c>
      <c r="AO156" s="131"/>
      <c r="AP156" s="132"/>
    </row>
    <row r="157" spans="1:42" s="28" customFormat="1" ht="15" customHeight="1" x14ac:dyDescent="0.2">
      <c r="A157" s="162">
        <v>46234</v>
      </c>
      <c r="B157" s="162">
        <v>46234</v>
      </c>
      <c r="C157" s="343" t="s">
        <v>52</v>
      </c>
      <c r="D157" s="224" t="s">
        <v>53</v>
      </c>
      <c r="E157" s="174">
        <v>7767</v>
      </c>
      <c r="F157" s="85">
        <v>1</v>
      </c>
      <c r="G157" s="85">
        <v>60010738</v>
      </c>
      <c r="H157" s="85" t="s">
        <v>849</v>
      </c>
      <c r="I157" s="231"/>
      <c r="J157" s="231"/>
      <c r="K157" s="337">
        <v>4831</v>
      </c>
      <c r="L157" s="231"/>
      <c r="M157" s="231"/>
      <c r="N157" s="231"/>
      <c r="O157" s="24"/>
      <c r="P157" s="337">
        <v>4831</v>
      </c>
      <c r="Q157" s="135"/>
      <c r="R157" s="25"/>
      <c r="S157" s="26"/>
      <c r="T157" s="26"/>
      <c r="U157" s="26"/>
      <c r="V157" s="229" t="s">
        <v>47</v>
      </c>
      <c r="W157" s="58"/>
      <c r="X157" s="162">
        <v>46234</v>
      </c>
      <c r="Y157" s="26" t="s">
        <v>63</v>
      </c>
      <c r="Z157" s="26"/>
      <c r="AA157" s="26"/>
      <c r="AB157" s="26" t="s">
        <v>49</v>
      </c>
      <c r="AC157" s="26"/>
      <c r="AD157" s="254" t="s">
        <v>48</v>
      </c>
      <c r="AE157" s="27"/>
      <c r="AF157" s="24"/>
      <c r="AG157" s="24"/>
      <c r="AH157" s="26"/>
      <c r="AI157" s="26"/>
      <c r="AJ157" s="25"/>
      <c r="AK157" s="26"/>
      <c r="AL157" s="24">
        <v>18</v>
      </c>
      <c r="AM157" s="224" t="s">
        <v>50</v>
      </c>
      <c r="AN157" s="255"/>
      <c r="AO157" s="131"/>
      <c r="AP157" s="132"/>
    </row>
    <row r="158" spans="1:42" s="28" customFormat="1" ht="15" customHeight="1" x14ac:dyDescent="0.2">
      <c r="A158" s="162">
        <v>46234</v>
      </c>
      <c r="B158" s="162">
        <v>46234</v>
      </c>
      <c r="C158" s="343" t="s">
        <v>52</v>
      </c>
      <c r="D158" s="224" t="s">
        <v>53</v>
      </c>
      <c r="E158" s="174">
        <v>7768</v>
      </c>
      <c r="F158" s="85">
        <v>1</v>
      </c>
      <c r="G158" s="85">
        <v>60010738</v>
      </c>
      <c r="H158" s="85" t="s">
        <v>849</v>
      </c>
      <c r="I158" s="231"/>
      <c r="J158" s="231"/>
      <c r="K158" s="337">
        <v>0</v>
      </c>
      <c r="L158" s="231"/>
      <c r="M158" s="231"/>
      <c r="N158" s="231"/>
      <c r="O158" s="24"/>
      <c r="P158" s="337">
        <v>0</v>
      </c>
      <c r="Q158" s="135"/>
      <c r="R158" s="25"/>
      <c r="S158" s="26"/>
      <c r="T158" s="26"/>
      <c r="U158" s="26"/>
      <c r="V158" s="229" t="s">
        <v>47</v>
      </c>
      <c r="W158" s="58"/>
      <c r="X158" s="162">
        <v>46234</v>
      </c>
      <c r="Y158" s="26" t="s">
        <v>61</v>
      </c>
      <c r="Z158" s="58"/>
      <c r="AA158" s="58"/>
      <c r="AB158" s="58" t="s">
        <v>49</v>
      </c>
      <c r="AC158" s="58"/>
      <c r="AD158" s="254" t="s">
        <v>48</v>
      </c>
      <c r="AE158" s="59"/>
      <c r="AF158" s="57"/>
      <c r="AG158" s="57"/>
      <c r="AH158" s="58"/>
      <c r="AI158" s="58"/>
      <c r="AJ158" s="56"/>
      <c r="AK158" s="58"/>
      <c r="AL158" s="57">
        <v>18</v>
      </c>
      <c r="AM158" s="225" t="s">
        <v>588</v>
      </c>
      <c r="AN158" s="255" t="s">
        <v>51</v>
      </c>
      <c r="AO158" s="131"/>
      <c r="AP158" s="132"/>
    </row>
    <row r="159" spans="1:42" s="28" customFormat="1" ht="15" customHeight="1" x14ac:dyDescent="0.2">
      <c r="A159" s="162">
        <v>46234</v>
      </c>
      <c r="B159" s="162">
        <v>46234</v>
      </c>
      <c r="C159" s="343" t="s">
        <v>52</v>
      </c>
      <c r="D159" s="224" t="s">
        <v>53</v>
      </c>
      <c r="E159" s="174">
        <v>7769</v>
      </c>
      <c r="F159" s="85">
        <v>1</v>
      </c>
      <c r="G159" s="85">
        <v>72636379</v>
      </c>
      <c r="H159" s="85" t="s">
        <v>901</v>
      </c>
      <c r="I159" s="231"/>
      <c r="J159" s="231"/>
      <c r="K159" s="337">
        <v>13780</v>
      </c>
      <c r="L159" s="231"/>
      <c r="M159" s="231"/>
      <c r="N159" s="231"/>
      <c r="O159" s="24"/>
      <c r="P159" s="337">
        <v>13780</v>
      </c>
      <c r="Q159" s="135"/>
      <c r="R159" s="25"/>
      <c r="S159" s="26"/>
      <c r="T159" s="26"/>
      <c r="U159" s="26"/>
      <c r="V159" s="229" t="s">
        <v>47</v>
      </c>
      <c r="W159" s="58"/>
      <c r="X159" s="162">
        <v>46234</v>
      </c>
      <c r="Y159" s="26" t="s">
        <v>63</v>
      </c>
      <c r="Z159" s="26"/>
      <c r="AA159" s="26"/>
      <c r="AB159" s="26" t="s">
        <v>49</v>
      </c>
      <c r="AC159" s="26"/>
      <c r="AD159" s="254" t="s">
        <v>48</v>
      </c>
      <c r="AE159" s="27"/>
      <c r="AF159" s="24"/>
      <c r="AG159" s="24"/>
      <c r="AH159" s="26"/>
      <c r="AI159" s="26"/>
      <c r="AJ159" s="25"/>
      <c r="AK159" s="26"/>
      <c r="AL159" s="24">
        <v>18</v>
      </c>
      <c r="AM159" s="224" t="s">
        <v>50</v>
      </c>
      <c r="AN159" s="255"/>
      <c r="AO159" s="131"/>
      <c r="AP159" s="132"/>
    </row>
    <row r="160" spans="1:42" s="348" customFormat="1" ht="15" customHeight="1" x14ac:dyDescent="0.2">
      <c r="A160" s="161">
        <v>46234</v>
      </c>
      <c r="B160" s="161">
        <v>46234</v>
      </c>
      <c r="C160" s="343" t="s">
        <v>52</v>
      </c>
      <c r="D160" s="224" t="s">
        <v>53</v>
      </c>
      <c r="E160" s="174">
        <v>7770</v>
      </c>
      <c r="F160" s="182">
        <v>1</v>
      </c>
      <c r="G160" s="182">
        <v>72636379</v>
      </c>
      <c r="H160" s="182" t="s">
        <v>901</v>
      </c>
      <c r="I160" s="231"/>
      <c r="J160" s="231"/>
      <c r="K160" s="337">
        <v>0</v>
      </c>
      <c r="L160" s="231"/>
      <c r="M160" s="231"/>
      <c r="N160" s="231"/>
      <c r="O160" s="231"/>
      <c r="P160" s="337">
        <v>0</v>
      </c>
      <c r="Q160" s="344"/>
      <c r="R160" s="232"/>
      <c r="S160" s="229"/>
      <c r="T160" s="229"/>
      <c r="U160" s="229"/>
      <c r="V160" s="229" t="s">
        <v>47</v>
      </c>
      <c r="W160" s="194"/>
      <c r="X160" s="161">
        <v>46234</v>
      </c>
      <c r="Y160" s="26" t="s">
        <v>61</v>
      </c>
      <c r="Z160" s="58"/>
      <c r="AA160" s="58"/>
      <c r="AB160" s="58" t="s">
        <v>49</v>
      </c>
      <c r="AC160" s="58"/>
      <c r="AD160" s="254" t="s">
        <v>48</v>
      </c>
      <c r="AE160" s="59"/>
      <c r="AF160" s="57"/>
      <c r="AG160" s="57"/>
      <c r="AH160" s="58"/>
      <c r="AI160" s="58"/>
      <c r="AJ160" s="56"/>
      <c r="AK160" s="58"/>
      <c r="AL160" s="57">
        <v>18</v>
      </c>
      <c r="AM160" s="225" t="s">
        <v>588</v>
      </c>
      <c r="AN160" s="255" t="s">
        <v>51</v>
      </c>
      <c r="AO160" s="346"/>
      <c r="AP160" s="347"/>
    </row>
    <row r="161" spans="1:42" s="300" customFormat="1" ht="15.75" customHeight="1" x14ac:dyDescent="0.2">
      <c r="A161" s="247">
        <v>46210</v>
      </c>
      <c r="B161" s="247">
        <v>46210</v>
      </c>
      <c r="C161" s="277" t="s">
        <v>56</v>
      </c>
      <c r="D161" s="221" t="s">
        <v>53</v>
      </c>
      <c r="E161" s="349">
        <v>182</v>
      </c>
      <c r="F161" s="240">
        <v>1</v>
      </c>
      <c r="G161" s="240">
        <v>40721959</v>
      </c>
      <c r="H161" s="240" t="s">
        <v>852</v>
      </c>
      <c r="I161" s="299"/>
      <c r="J161" s="299"/>
      <c r="K161" s="350">
        <v>-12680</v>
      </c>
      <c r="L161" s="299"/>
      <c r="M161" s="299"/>
      <c r="N161" s="299"/>
      <c r="O161" s="299"/>
      <c r="P161" s="350">
        <v>-12680</v>
      </c>
      <c r="Q161" s="117"/>
      <c r="R161" s="222">
        <v>46193</v>
      </c>
      <c r="S161" s="277" t="s">
        <v>52</v>
      </c>
      <c r="T161" s="221" t="s">
        <v>53</v>
      </c>
      <c r="U161" s="240">
        <v>7595</v>
      </c>
      <c r="V161" s="69" t="s">
        <v>47</v>
      </c>
      <c r="W161" s="66"/>
      <c r="X161" s="247">
        <v>46210</v>
      </c>
      <c r="Y161" s="69" t="s">
        <v>63</v>
      </c>
      <c r="Z161" s="69"/>
      <c r="AA161" s="69"/>
      <c r="AB161" s="69" t="s">
        <v>49</v>
      </c>
      <c r="AC161" s="69"/>
      <c r="AD161" s="257" t="s">
        <v>48</v>
      </c>
      <c r="AE161" s="86"/>
      <c r="AF161" s="66"/>
      <c r="AG161" s="66"/>
      <c r="AH161" s="69"/>
      <c r="AI161" s="69"/>
      <c r="AJ161" s="68"/>
      <c r="AK161" s="69"/>
      <c r="AL161" s="66">
        <v>18</v>
      </c>
      <c r="AM161" s="238" t="s">
        <v>57</v>
      </c>
      <c r="AN161" s="257"/>
      <c r="AO161" s="298"/>
      <c r="AP161" s="298"/>
    </row>
    <row r="162" spans="1:42" s="300" customFormat="1" ht="15.75" customHeight="1" x14ac:dyDescent="0.2">
      <c r="A162" s="247">
        <v>46223</v>
      </c>
      <c r="B162" s="247">
        <v>46223</v>
      </c>
      <c r="C162" s="277" t="s">
        <v>56</v>
      </c>
      <c r="D162" s="221" t="s">
        <v>53</v>
      </c>
      <c r="E162" s="349">
        <v>183</v>
      </c>
      <c r="F162" s="240">
        <v>1</v>
      </c>
      <c r="G162" s="240">
        <v>48080280</v>
      </c>
      <c r="H162" s="240" t="s">
        <v>567</v>
      </c>
      <c r="I162" s="299"/>
      <c r="J162" s="299"/>
      <c r="K162" s="350">
        <v>-4770</v>
      </c>
      <c r="L162" s="299"/>
      <c r="M162" s="299"/>
      <c r="N162" s="299"/>
      <c r="O162" s="299"/>
      <c r="P162" s="350">
        <v>-4770</v>
      </c>
      <c r="Q162" s="117"/>
      <c r="R162" s="247">
        <v>46221</v>
      </c>
      <c r="S162" s="277" t="s">
        <v>52</v>
      </c>
      <c r="T162" s="221" t="s">
        <v>53</v>
      </c>
      <c r="U162" s="240">
        <v>7712</v>
      </c>
      <c r="V162" s="69" t="s">
        <v>47</v>
      </c>
      <c r="W162" s="66"/>
      <c r="X162" s="247">
        <v>46223</v>
      </c>
      <c r="Y162" s="69" t="s">
        <v>63</v>
      </c>
      <c r="Z162" s="69"/>
      <c r="AA162" s="69"/>
      <c r="AB162" s="69" t="s">
        <v>49</v>
      </c>
      <c r="AC162" s="69"/>
      <c r="AD162" s="257" t="s">
        <v>48</v>
      </c>
      <c r="AE162" s="86"/>
      <c r="AF162" s="66"/>
      <c r="AG162" s="66"/>
      <c r="AH162" s="69"/>
      <c r="AI162" s="69"/>
      <c r="AJ162" s="68"/>
      <c r="AK162" s="69"/>
      <c r="AL162" s="66">
        <v>18</v>
      </c>
      <c r="AM162" s="238" t="s">
        <v>57</v>
      </c>
      <c r="AN162" s="257"/>
      <c r="AO162" s="298"/>
      <c r="AP162" s="298"/>
    </row>
    <row r="163" spans="1:42" s="300" customFormat="1" ht="15.75" customHeight="1" x14ac:dyDescent="0.2">
      <c r="A163" s="247">
        <v>46226</v>
      </c>
      <c r="B163" s="247">
        <v>46226</v>
      </c>
      <c r="C163" s="277" t="s">
        <v>56</v>
      </c>
      <c r="D163" s="221" t="s">
        <v>53</v>
      </c>
      <c r="E163" s="349">
        <v>184</v>
      </c>
      <c r="F163" s="240">
        <v>1</v>
      </c>
      <c r="G163" s="240">
        <v>60329755</v>
      </c>
      <c r="H163" s="240" t="s">
        <v>833</v>
      </c>
      <c r="I163" s="299"/>
      <c r="J163" s="299"/>
      <c r="K163" s="350">
        <v>-6380</v>
      </c>
      <c r="L163" s="299"/>
      <c r="M163" s="299"/>
      <c r="N163" s="299"/>
      <c r="O163" s="299"/>
      <c r="P163" s="350">
        <v>-6380</v>
      </c>
      <c r="Q163" s="117"/>
      <c r="R163" s="247">
        <v>46206</v>
      </c>
      <c r="S163" s="277" t="s">
        <v>52</v>
      </c>
      <c r="T163" s="221" t="s">
        <v>53</v>
      </c>
      <c r="U163" s="240">
        <v>7643</v>
      </c>
      <c r="V163" s="69" t="s">
        <v>47</v>
      </c>
      <c r="W163" s="66"/>
      <c r="X163" s="247">
        <v>46226</v>
      </c>
      <c r="Y163" s="69" t="s">
        <v>63</v>
      </c>
      <c r="Z163" s="69"/>
      <c r="AA163" s="69"/>
      <c r="AB163" s="69" t="s">
        <v>49</v>
      </c>
      <c r="AC163" s="69"/>
      <c r="AD163" s="257" t="s">
        <v>48</v>
      </c>
      <c r="AE163" s="86"/>
      <c r="AF163" s="66"/>
      <c r="AG163" s="66"/>
      <c r="AH163" s="69"/>
      <c r="AI163" s="69"/>
      <c r="AJ163" s="68"/>
      <c r="AK163" s="69"/>
      <c r="AL163" s="66">
        <v>18</v>
      </c>
      <c r="AM163" s="238" t="s">
        <v>57</v>
      </c>
      <c r="AN163" s="257"/>
      <c r="AO163" s="298"/>
      <c r="AP163" s="298"/>
    </row>
    <row r="164" spans="1:42" s="36" customFormat="1" ht="15.75" customHeight="1" x14ac:dyDescent="0.2">
      <c r="A164" s="247">
        <v>46225</v>
      </c>
      <c r="B164" s="247">
        <v>46225</v>
      </c>
      <c r="C164" s="278" t="s">
        <v>58</v>
      </c>
      <c r="D164" s="221" t="s">
        <v>53</v>
      </c>
      <c r="E164" s="349">
        <v>541</v>
      </c>
      <c r="F164" s="240">
        <v>1</v>
      </c>
      <c r="G164" s="240">
        <v>43605107</v>
      </c>
      <c r="H164" s="240" t="s">
        <v>460</v>
      </c>
      <c r="I164" s="32"/>
      <c r="J164" s="32"/>
      <c r="K164" s="350">
        <v>416</v>
      </c>
      <c r="L164" s="210"/>
      <c r="M164" s="210"/>
      <c r="N164" s="210"/>
      <c r="O164" s="210"/>
      <c r="P164" s="350">
        <v>416</v>
      </c>
      <c r="Q164" s="240"/>
      <c r="R164" s="247">
        <v>46105</v>
      </c>
      <c r="S164" s="277" t="s">
        <v>52</v>
      </c>
      <c r="T164" s="324" t="s">
        <v>79</v>
      </c>
      <c r="U164" s="240">
        <v>7206</v>
      </c>
      <c r="V164" s="33" t="s">
        <v>47</v>
      </c>
      <c r="W164" s="32"/>
      <c r="X164" s="247">
        <v>46225</v>
      </c>
      <c r="Y164" s="69" t="s">
        <v>63</v>
      </c>
      <c r="Z164" s="33"/>
      <c r="AA164" s="33"/>
      <c r="AB164" s="33" t="s">
        <v>66</v>
      </c>
      <c r="AC164" s="33"/>
      <c r="AD164" s="258" t="s">
        <v>48</v>
      </c>
      <c r="AE164" s="34"/>
      <c r="AF164" s="32"/>
      <c r="AG164" s="32"/>
      <c r="AH164" s="33"/>
      <c r="AI164" s="33"/>
      <c r="AJ164" s="29"/>
      <c r="AK164" s="33"/>
      <c r="AL164" s="32">
        <v>18</v>
      </c>
      <c r="AM164" s="221" t="s">
        <v>810</v>
      </c>
      <c r="AN164" s="258"/>
      <c r="AO164" s="138"/>
      <c r="AP164" s="139"/>
    </row>
    <row r="165" spans="1:42" s="36" customFormat="1" ht="15.75" customHeight="1" x14ac:dyDescent="0.2">
      <c r="A165" s="222">
        <v>46225</v>
      </c>
      <c r="B165" s="222">
        <v>46225</v>
      </c>
      <c r="C165" s="33" t="s">
        <v>58</v>
      </c>
      <c r="D165" s="221" t="s">
        <v>53</v>
      </c>
      <c r="E165" s="178">
        <v>542</v>
      </c>
      <c r="F165" s="117">
        <v>1</v>
      </c>
      <c r="G165" s="117">
        <v>47431793</v>
      </c>
      <c r="H165" s="117" t="s">
        <v>479</v>
      </c>
      <c r="I165" s="32"/>
      <c r="J165" s="32"/>
      <c r="K165" s="351">
        <v>106.67</v>
      </c>
      <c r="L165" s="210"/>
      <c r="M165" s="210"/>
      <c r="N165" s="210"/>
      <c r="O165" s="210"/>
      <c r="P165" s="351">
        <v>106.67</v>
      </c>
      <c r="Q165" s="240"/>
      <c r="R165" s="222">
        <v>46105</v>
      </c>
      <c r="S165" s="277" t="s">
        <v>52</v>
      </c>
      <c r="T165" s="324" t="s">
        <v>79</v>
      </c>
      <c r="U165" s="117">
        <v>7208</v>
      </c>
      <c r="V165" s="33" t="s">
        <v>47</v>
      </c>
      <c r="W165" s="32"/>
      <c r="X165" s="222">
        <v>46225</v>
      </c>
      <c r="Y165" s="69" t="s">
        <v>63</v>
      </c>
      <c r="Z165" s="33"/>
      <c r="AA165" s="33"/>
      <c r="AB165" s="33" t="s">
        <v>66</v>
      </c>
      <c r="AC165" s="33"/>
      <c r="AD165" s="258" t="s">
        <v>48</v>
      </c>
      <c r="AE165" s="34"/>
      <c r="AF165" s="32"/>
      <c r="AG165" s="32"/>
      <c r="AH165" s="33"/>
      <c r="AI165" s="33"/>
      <c r="AJ165" s="29"/>
      <c r="AK165" s="33"/>
      <c r="AL165" s="32">
        <v>18</v>
      </c>
      <c r="AM165" s="221" t="s">
        <v>810</v>
      </c>
      <c r="AN165" s="258"/>
      <c r="AO165" s="138"/>
      <c r="AP165" s="139"/>
    </row>
    <row r="166" spans="1:42" s="36" customFormat="1" ht="15.75" customHeight="1" x14ac:dyDescent="0.2">
      <c r="A166" s="222">
        <v>46225</v>
      </c>
      <c r="B166" s="222">
        <v>46225</v>
      </c>
      <c r="C166" s="33" t="s">
        <v>58</v>
      </c>
      <c r="D166" s="221" t="s">
        <v>53</v>
      </c>
      <c r="E166" s="349">
        <v>543</v>
      </c>
      <c r="F166" s="117">
        <v>1</v>
      </c>
      <c r="G166" s="117">
        <v>42841161</v>
      </c>
      <c r="H166" s="117" t="s">
        <v>903</v>
      </c>
      <c r="I166" s="32"/>
      <c r="J166" s="32"/>
      <c r="K166" s="351">
        <v>414</v>
      </c>
      <c r="L166" s="210"/>
      <c r="M166" s="210"/>
      <c r="N166" s="210"/>
      <c r="O166" s="210"/>
      <c r="P166" s="351">
        <v>414</v>
      </c>
      <c r="Q166" s="240"/>
      <c r="R166" s="222">
        <v>46178</v>
      </c>
      <c r="S166" s="277" t="s">
        <v>52</v>
      </c>
      <c r="T166" s="324" t="s">
        <v>79</v>
      </c>
      <c r="U166" s="117">
        <v>7513</v>
      </c>
      <c r="V166" s="33" t="s">
        <v>47</v>
      </c>
      <c r="W166" s="32"/>
      <c r="X166" s="222">
        <v>46225</v>
      </c>
      <c r="Y166" s="69" t="s">
        <v>63</v>
      </c>
      <c r="Z166" s="33"/>
      <c r="AA166" s="33"/>
      <c r="AB166" s="33" t="s">
        <v>66</v>
      </c>
      <c r="AC166" s="33"/>
      <c r="AD166" s="258" t="s">
        <v>48</v>
      </c>
      <c r="AE166" s="34"/>
      <c r="AF166" s="32"/>
      <c r="AG166" s="32"/>
      <c r="AH166" s="33"/>
      <c r="AI166" s="33"/>
      <c r="AJ166" s="29"/>
      <c r="AK166" s="33"/>
      <c r="AL166" s="32">
        <v>18</v>
      </c>
      <c r="AM166" s="221" t="s">
        <v>810</v>
      </c>
      <c r="AN166" s="258"/>
      <c r="AO166" s="138"/>
      <c r="AP166" s="139"/>
    </row>
    <row r="167" spans="1:42" s="36" customFormat="1" ht="15.75" customHeight="1" x14ac:dyDescent="0.2">
      <c r="A167" s="222">
        <v>46225</v>
      </c>
      <c r="B167" s="222">
        <v>46225</v>
      </c>
      <c r="C167" s="33" t="s">
        <v>58</v>
      </c>
      <c r="D167" s="221" t="s">
        <v>53</v>
      </c>
      <c r="E167" s="349">
        <v>544</v>
      </c>
      <c r="F167" s="117">
        <v>1</v>
      </c>
      <c r="G167" s="117">
        <v>21010783</v>
      </c>
      <c r="H167" s="117" t="s">
        <v>490</v>
      </c>
      <c r="I167" s="32"/>
      <c r="J167" s="32"/>
      <c r="K167" s="351">
        <v>156</v>
      </c>
      <c r="L167" s="210"/>
      <c r="M167" s="210"/>
      <c r="N167" s="210"/>
      <c r="O167" s="210"/>
      <c r="P167" s="351">
        <v>156</v>
      </c>
      <c r="Q167" s="240"/>
      <c r="R167" s="222">
        <v>45958</v>
      </c>
      <c r="S167" s="277" t="s">
        <v>52</v>
      </c>
      <c r="T167" s="324" t="s">
        <v>79</v>
      </c>
      <c r="U167" s="117">
        <v>6631</v>
      </c>
      <c r="V167" s="33" t="s">
        <v>47</v>
      </c>
      <c r="W167" s="32"/>
      <c r="X167" s="222">
        <v>46225</v>
      </c>
      <c r="Y167" s="69" t="s">
        <v>63</v>
      </c>
      <c r="Z167" s="33"/>
      <c r="AA167" s="33"/>
      <c r="AB167" s="33" t="s">
        <v>66</v>
      </c>
      <c r="AC167" s="33"/>
      <c r="AD167" s="258" t="s">
        <v>48</v>
      </c>
      <c r="AE167" s="34"/>
      <c r="AF167" s="32"/>
      <c r="AG167" s="32"/>
      <c r="AH167" s="33"/>
      <c r="AI167" s="33"/>
      <c r="AJ167" s="29"/>
      <c r="AK167" s="33"/>
      <c r="AL167" s="32">
        <v>18</v>
      </c>
      <c r="AM167" s="221" t="s">
        <v>810</v>
      </c>
      <c r="AN167" s="258"/>
      <c r="AO167" s="138"/>
      <c r="AP167" s="139"/>
    </row>
    <row r="168" spans="1:42" s="36" customFormat="1" ht="15.75" customHeight="1" x14ac:dyDescent="0.2">
      <c r="A168" s="222">
        <v>46225</v>
      </c>
      <c r="B168" s="222">
        <v>46225</v>
      </c>
      <c r="C168" s="33" t="s">
        <v>58</v>
      </c>
      <c r="D168" s="221" t="s">
        <v>53</v>
      </c>
      <c r="E168" s="178">
        <v>545</v>
      </c>
      <c r="F168" s="117">
        <v>1</v>
      </c>
      <c r="G168" s="117">
        <v>73682943</v>
      </c>
      <c r="H168" s="117" t="s">
        <v>904</v>
      </c>
      <c r="I168" s="32"/>
      <c r="J168" s="32"/>
      <c r="K168" s="351">
        <v>254.5</v>
      </c>
      <c r="L168" s="210"/>
      <c r="M168" s="210"/>
      <c r="N168" s="210"/>
      <c r="O168" s="210"/>
      <c r="P168" s="351">
        <v>254.5</v>
      </c>
      <c r="Q168" s="240"/>
      <c r="R168" s="222">
        <v>46175</v>
      </c>
      <c r="S168" s="277" t="s">
        <v>52</v>
      </c>
      <c r="T168" s="324" t="s">
        <v>79</v>
      </c>
      <c r="U168" s="117">
        <v>7505</v>
      </c>
      <c r="V168" s="33" t="s">
        <v>47</v>
      </c>
      <c r="W168" s="32"/>
      <c r="X168" s="222">
        <v>46225</v>
      </c>
      <c r="Y168" s="69" t="s">
        <v>63</v>
      </c>
      <c r="Z168" s="33"/>
      <c r="AA168" s="33"/>
      <c r="AB168" s="33" t="s">
        <v>66</v>
      </c>
      <c r="AC168" s="33"/>
      <c r="AD168" s="258" t="s">
        <v>48</v>
      </c>
      <c r="AE168" s="34"/>
      <c r="AF168" s="32"/>
      <c r="AG168" s="32"/>
      <c r="AH168" s="33"/>
      <c r="AI168" s="33"/>
      <c r="AJ168" s="29"/>
      <c r="AK168" s="33"/>
      <c r="AL168" s="32">
        <v>18</v>
      </c>
      <c r="AM168" s="221" t="s">
        <v>810</v>
      </c>
      <c r="AN168" s="258"/>
      <c r="AO168" s="138"/>
      <c r="AP168" s="139"/>
    </row>
    <row r="169" spans="1:42" s="36" customFormat="1" ht="15.75" customHeight="1" x14ac:dyDescent="0.2">
      <c r="A169" s="222">
        <v>46225</v>
      </c>
      <c r="B169" s="222">
        <v>46225</v>
      </c>
      <c r="C169" s="33" t="s">
        <v>58</v>
      </c>
      <c r="D169" s="221" t="s">
        <v>53</v>
      </c>
      <c r="E169" s="349">
        <v>546</v>
      </c>
      <c r="F169" s="117">
        <v>1</v>
      </c>
      <c r="G169" s="117">
        <v>72348670</v>
      </c>
      <c r="H169" s="117" t="s">
        <v>528</v>
      </c>
      <c r="I169" s="32"/>
      <c r="J169" s="32"/>
      <c r="K169" s="351">
        <v>472.66</v>
      </c>
      <c r="L169" s="210"/>
      <c r="M169" s="210"/>
      <c r="N169" s="210"/>
      <c r="O169" s="210"/>
      <c r="P169" s="351">
        <v>472.66</v>
      </c>
      <c r="Q169" s="240"/>
      <c r="R169" s="222">
        <v>46123</v>
      </c>
      <c r="S169" s="277" t="s">
        <v>52</v>
      </c>
      <c r="T169" s="324" t="s">
        <v>79</v>
      </c>
      <c r="U169" s="117">
        <v>7285</v>
      </c>
      <c r="V169" s="33" t="s">
        <v>47</v>
      </c>
      <c r="W169" s="32"/>
      <c r="X169" s="222">
        <v>46225</v>
      </c>
      <c r="Y169" s="69" t="s">
        <v>63</v>
      </c>
      <c r="Z169" s="33"/>
      <c r="AA169" s="33"/>
      <c r="AB169" s="33" t="s">
        <v>66</v>
      </c>
      <c r="AC169" s="33"/>
      <c r="AD169" s="258" t="s">
        <v>48</v>
      </c>
      <c r="AE169" s="34"/>
      <c r="AF169" s="32"/>
      <c r="AG169" s="32"/>
      <c r="AH169" s="33"/>
      <c r="AI169" s="33"/>
      <c r="AJ169" s="29"/>
      <c r="AK169" s="33"/>
      <c r="AL169" s="32">
        <v>18</v>
      </c>
      <c r="AM169" s="221" t="s">
        <v>810</v>
      </c>
      <c r="AN169" s="258"/>
      <c r="AO169" s="138"/>
      <c r="AP169" s="139"/>
    </row>
    <row r="170" spans="1:42" s="36" customFormat="1" ht="15.75" customHeight="1" x14ac:dyDescent="0.2">
      <c r="A170" s="222">
        <v>46226</v>
      </c>
      <c r="B170" s="222">
        <v>46226</v>
      </c>
      <c r="C170" s="33" t="s">
        <v>58</v>
      </c>
      <c r="D170" s="221" t="s">
        <v>53</v>
      </c>
      <c r="E170" s="349">
        <v>547</v>
      </c>
      <c r="F170" s="117">
        <v>1</v>
      </c>
      <c r="G170" s="117">
        <v>42955229</v>
      </c>
      <c r="H170" s="117" t="s">
        <v>905</v>
      </c>
      <c r="I170" s="32"/>
      <c r="J170" s="32"/>
      <c r="K170" s="351">
        <v>280</v>
      </c>
      <c r="L170" s="210"/>
      <c r="M170" s="210"/>
      <c r="N170" s="210"/>
      <c r="O170" s="210"/>
      <c r="P170" s="351">
        <v>280</v>
      </c>
      <c r="Q170" s="240"/>
      <c r="R170" s="222">
        <v>46067</v>
      </c>
      <c r="S170" s="277" t="s">
        <v>52</v>
      </c>
      <c r="T170" s="324" t="s">
        <v>79</v>
      </c>
      <c r="U170" s="117">
        <v>7067</v>
      </c>
      <c r="V170" s="33" t="s">
        <v>47</v>
      </c>
      <c r="W170" s="32"/>
      <c r="X170" s="222">
        <v>46226</v>
      </c>
      <c r="Y170" s="69" t="s">
        <v>63</v>
      </c>
      <c r="Z170" s="33"/>
      <c r="AA170" s="33"/>
      <c r="AB170" s="33" t="s">
        <v>66</v>
      </c>
      <c r="AC170" s="33"/>
      <c r="AD170" s="258" t="s">
        <v>48</v>
      </c>
      <c r="AE170" s="34"/>
      <c r="AF170" s="32"/>
      <c r="AG170" s="32"/>
      <c r="AH170" s="33"/>
      <c r="AI170" s="33"/>
      <c r="AJ170" s="29"/>
      <c r="AK170" s="33"/>
      <c r="AL170" s="32">
        <v>18</v>
      </c>
      <c r="AM170" s="221" t="s">
        <v>810</v>
      </c>
      <c r="AN170" s="258"/>
      <c r="AO170" s="138"/>
      <c r="AP170" s="139"/>
    </row>
    <row r="171" spans="1:42" s="36" customFormat="1" ht="15.75" customHeight="1" x14ac:dyDescent="0.2">
      <c r="A171" s="222">
        <v>46226</v>
      </c>
      <c r="B171" s="222">
        <v>46226</v>
      </c>
      <c r="C171" s="33" t="s">
        <v>58</v>
      </c>
      <c r="D171" s="221" t="s">
        <v>53</v>
      </c>
      <c r="E171" s="178">
        <v>548</v>
      </c>
      <c r="F171" s="117">
        <v>1</v>
      </c>
      <c r="G171" s="117">
        <v>41274151</v>
      </c>
      <c r="H171" s="117" t="s">
        <v>906</v>
      </c>
      <c r="I171" s="32"/>
      <c r="J171" s="32"/>
      <c r="K171" s="351">
        <v>215</v>
      </c>
      <c r="L171" s="210"/>
      <c r="M171" s="210"/>
      <c r="N171" s="210"/>
      <c r="O171" s="210"/>
      <c r="P171" s="351">
        <v>215</v>
      </c>
      <c r="Q171" s="240"/>
      <c r="R171" s="222">
        <v>46178</v>
      </c>
      <c r="S171" s="277" t="s">
        <v>52</v>
      </c>
      <c r="T171" s="324" t="s">
        <v>79</v>
      </c>
      <c r="U171" s="117">
        <v>7516</v>
      </c>
      <c r="V171" s="33" t="s">
        <v>47</v>
      </c>
      <c r="W171" s="32"/>
      <c r="X171" s="222">
        <v>46226</v>
      </c>
      <c r="Y171" s="69" t="s">
        <v>63</v>
      </c>
      <c r="Z171" s="33"/>
      <c r="AA171" s="33"/>
      <c r="AB171" s="33" t="s">
        <v>66</v>
      </c>
      <c r="AC171" s="33"/>
      <c r="AD171" s="258" t="s">
        <v>48</v>
      </c>
      <c r="AE171" s="34"/>
      <c r="AF171" s="32"/>
      <c r="AG171" s="32"/>
      <c r="AH171" s="33"/>
      <c r="AI171" s="33"/>
      <c r="AJ171" s="29"/>
      <c r="AK171" s="33"/>
      <c r="AL171" s="32">
        <v>18</v>
      </c>
      <c r="AM171" s="221" t="s">
        <v>810</v>
      </c>
      <c r="AN171" s="258"/>
      <c r="AO171" s="138"/>
      <c r="AP171" s="139"/>
    </row>
    <row r="172" spans="1:42" s="36" customFormat="1" ht="15.75" customHeight="1" x14ac:dyDescent="0.2">
      <c r="A172" s="222">
        <v>46226</v>
      </c>
      <c r="B172" s="222">
        <v>46226</v>
      </c>
      <c r="C172" s="33" t="s">
        <v>58</v>
      </c>
      <c r="D172" s="221" t="s">
        <v>53</v>
      </c>
      <c r="E172" s="349">
        <v>549</v>
      </c>
      <c r="F172" s="117">
        <v>1</v>
      </c>
      <c r="G172" s="117">
        <v>48509993</v>
      </c>
      <c r="H172" s="117" t="s">
        <v>390</v>
      </c>
      <c r="I172" s="32"/>
      <c r="J172" s="32"/>
      <c r="K172" s="351">
        <v>362.5</v>
      </c>
      <c r="L172" s="210"/>
      <c r="M172" s="210"/>
      <c r="N172" s="210"/>
      <c r="O172" s="210"/>
      <c r="P172" s="351">
        <v>362.5</v>
      </c>
      <c r="Q172" s="240"/>
      <c r="R172" s="222">
        <v>45994</v>
      </c>
      <c r="S172" s="277" t="s">
        <v>52</v>
      </c>
      <c r="T172" s="324" t="s">
        <v>79</v>
      </c>
      <c r="U172" s="117">
        <v>6782</v>
      </c>
      <c r="V172" s="33" t="s">
        <v>47</v>
      </c>
      <c r="W172" s="32"/>
      <c r="X172" s="222">
        <v>46226</v>
      </c>
      <c r="Y172" s="69" t="s">
        <v>63</v>
      </c>
      <c r="Z172" s="33"/>
      <c r="AA172" s="33"/>
      <c r="AB172" s="33" t="s">
        <v>66</v>
      </c>
      <c r="AC172" s="33"/>
      <c r="AD172" s="258" t="s">
        <v>48</v>
      </c>
      <c r="AE172" s="34"/>
      <c r="AF172" s="32"/>
      <c r="AG172" s="32"/>
      <c r="AH172" s="33"/>
      <c r="AI172" s="33"/>
      <c r="AJ172" s="29"/>
      <c r="AK172" s="33"/>
      <c r="AL172" s="32">
        <v>18</v>
      </c>
      <c r="AM172" s="221" t="s">
        <v>810</v>
      </c>
      <c r="AN172" s="258"/>
      <c r="AO172" s="138"/>
      <c r="AP172" s="139"/>
    </row>
    <row r="173" spans="1:42" s="36" customFormat="1" ht="15.75" customHeight="1" x14ac:dyDescent="0.2">
      <c r="A173" s="222">
        <v>46226</v>
      </c>
      <c r="B173" s="222">
        <v>46226</v>
      </c>
      <c r="C173" s="33" t="s">
        <v>58</v>
      </c>
      <c r="D173" s="221" t="s">
        <v>53</v>
      </c>
      <c r="E173" s="349">
        <v>550</v>
      </c>
      <c r="F173" s="117">
        <v>1</v>
      </c>
      <c r="G173" s="117">
        <v>20582515</v>
      </c>
      <c r="H173" s="117" t="s">
        <v>508</v>
      </c>
      <c r="I173" s="32"/>
      <c r="J173" s="32"/>
      <c r="K173" s="351">
        <v>253</v>
      </c>
      <c r="L173" s="210"/>
      <c r="M173" s="210"/>
      <c r="N173" s="210"/>
      <c r="O173" s="210"/>
      <c r="P173" s="351">
        <v>253</v>
      </c>
      <c r="Q173" s="240"/>
      <c r="R173" s="222">
        <v>46116</v>
      </c>
      <c r="S173" s="277" t="s">
        <v>52</v>
      </c>
      <c r="T173" s="324" t="s">
        <v>79</v>
      </c>
      <c r="U173" s="117">
        <v>7247</v>
      </c>
      <c r="V173" s="33" t="s">
        <v>47</v>
      </c>
      <c r="W173" s="32"/>
      <c r="X173" s="222">
        <v>46226</v>
      </c>
      <c r="Y173" s="69" t="s">
        <v>63</v>
      </c>
      <c r="Z173" s="33"/>
      <c r="AA173" s="33"/>
      <c r="AB173" s="33" t="s">
        <v>66</v>
      </c>
      <c r="AC173" s="33"/>
      <c r="AD173" s="258" t="s">
        <v>48</v>
      </c>
      <c r="AE173" s="34"/>
      <c r="AF173" s="32"/>
      <c r="AG173" s="32"/>
      <c r="AH173" s="33"/>
      <c r="AI173" s="33"/>
      <c r="AJ173" s="29"/>
      <c r="AK173" s="33"/>
      <c r="AL173" s="32">
        <v>18</v>
      </c>
      <c r="AM173" s="221" t="s">
        <v>810</v>
      </c>
      <c r="AN173" s="258"/>
      <c r="AO173" s="138"/>
      <c r="AP173" s="139"/>
    </row>
    <row r="174" spans="1:42" s="36" customFormat="1" ht="15.75" customHeight="1" x14ac:dyDescent="0.2">
      <c r="A174" s="222">
        <v>46226</v>
      </c>
      <c r="B174" s="222">
        <v>46226</v>
      </c>
      <c r="C174" s="33" t="s">
        <v>58</v>
      </c>
      <c r="D174" s="221" t="s">
        <v>53</v>
      </c>
      <c r="E174" s="178">
        <v>551</v>
      </c>
      <c r="F174" s="117">
        <v>1</v>
      </c>
      <c r="G174" s="117">
        <v>73751311</v>
      </c>
      <c r="H174" s="117" t="s">
        <v>907</v>
      </c>
      <c r="I174" s="32"/>
      <c r="J174" s="32"/>
      <c r="K174" s="351">
        <v>239.67</v>
      </c>
      <c r="L174" s="210"/>
      <c r="M174" s="210"/>
      <c r="N174" s="210"/>
      <c r="O174" s="210"/>
      <c r="P174" s="351">
        <v>239.67</v>
      </c>
      <c r="Q174" s="240"/>
      <c r="R174" s="222">
        <v>46163</v>
      </c>
      <c r="S174" s="277" t="s">
        <v>52</v>
      </c>
      <c r="T174" s="324" t="s">
        <v>79</v>
      </c>
      <c r="U174" s="117">
        <v>7475</v>
      </c>
      <c r="V174" s="33" t="s">
        <v>47</v>
      </c>
      <c r="W174" s="32"/>
      <c r="X174" s="222">
        <v>46226</v>
      </c>
      <c r="Y174" s="69" t="s">
        <v>63</v>
      </c>
      <c r="Z174" s="33"/>
      <c r="AA174" s="33"/>
      <c r="AB174" s="33" t="s">
        <v>66</v>
      </c>
      <c r="AC174" s="33"/>
      <c r="AD174" s="258" t="s">
        <v>48</v>
      </c>
      <c r="AE174" s="34"/>
      <c r="AF174" s="32"/>
      <c r="AG174" s="32"/>
      <c r="AH174" s="33"/>
      <c r="AI174" s="33"/>
      <c r="AJ174" s="29"/>
      <c r="AK174" s="33"/>
      <c r="AL174" s="32">
        <v>18</v>
      </c>
      <c r="AM174" s="221" t="s">
        <v>810</v>
      </c>
      <c r="AN174" s="258"/>
      <c r="AO174" s="138"/>
      <c r="AP174" s="139"/>
    </row>
    <row r="175" spans="1:42" s="36" customFormat="1" ht="15.75" customHeight="1" x14ac:dyDescent="0.2">
      <c r="A175" s="222">
        <v>46226</v>
      </c>
      <c r="B175" s="222">
        <v>46226</v>
      </c>
      <c r="C175" s="33" t="s">
        <v>58</v>
      </c>
      <c r="D175" s="221" t="s">
        <v>53</v>
      </c>
      <c r="E175" s="349">
        <v>552</v>
      </c>
      <c r="F175" s="117">
        <v>1</v>
      </c>
      <c r="G175" s="117">
        <v>61642850</v>
      </c>
      <c r="H175" s="117" t="s">
        <v>393</v>
      </c>
      <c r="I175" s="32"/>
      <c r="J175" s="32"/>
      <c r="K175" s="351">
        <v>160</v>
      </c>
      <c r="L175" s="210"/>
      <c r="M175" s="210"/>
      <c r="N175" s="210"/>
      <c r="O175" s="210"/>
      <c r="P175" s="351">
        <v>160</v>
      </c>
      <c r="Q175" s="240"/>
      <c r="R175" s="222">
        <v>46198</v>
      </c>
      <c r="S175" s="277" t="s">
        <v>52</v>
      </c>
      <c r="T175" s="324" t="s">
        <v>79</v>
      </c>
      <c r="U175" s="117">
        <v>7613</v>
      </c>
      <c r="V175" s="33" t="s">
        <v>47</v>
      </c>
      <c r="W175" s="32"/>
      <c r="X175" s="222">
        <v>46226</v>
      </c>
      <c r="Y175" s="69" t="s">
        <v>63</v>
      </c>
      <c r="Z175" s="33"/>
      <c r="AA175" s="33"/>
      <c r="AB175" s="33" t="s">
        <v>66</v>
      </c>
      <c r="AC175" s="33"/>
      <c r="AD175" s="258" t="s">
        <v>48</v>
      </c>
      <c r="AE175" s="34"/>
      <c r="AF175" s="32"/>
      <c r="AG175" s="32"/>
      <c r="AH175" s="33"/>
      <c r="AI175" s="33"/>
      <c r="AJ175" s="29"/>
      <c r="AK175" s="33"/>
      <c r="AL175" s="32">
        <v>18</v>
      </c>
      <c r="AM175" s="221" t="s">
        <v>810</v>
      </c>
      <c r="AN175" s="258"/>
      <c r="AO175" s="138"/>
      <c r="AP175" s="139"/>
    </row>
    <row r="176" spans="1:42" s="36" customFormat="1" ht="15.75" customHeight="1" x14ac:dyDescent="0.2">
      <c r="A176" s="222">
        <v>46226</v>
      </c>
      <c r="B176" s="222">
        <v>46226</v>
      </c>
      <c r="C176" s="33" t="s">
        <v>58</v>
      </c>
      <c r="D176" s="221" t="s">
        <v>53</v>
      </c>
      <c r="E176" s="349">
        <v>553</v>
      </c>
      <c r="F176" s="117">
        <v>1</v>
      </c>
      <c r="G176" s="117">
        <v>45227343</v>
      </c>
      <c r="H176" s="117" t="s">
        <v>491</v>
      </c>
      <c r="I176" s="32"/>
      <c r="J176" s="32"/>
      <c r="K176" s="351">
        <v>227</v>
      </c>
      <c r="L176" s="210"/>
      <c r="M176" s="210"/>
      <c r="N176" s="210"/>
      <c r="O176" s="210"/>
      <c r="P176" s="351">
        <v>227</v>
      </c>
      <c r="Q176" s="240"/>
      <c r="R176" s="222">
        <v>46052</v>
      </c>
      <c r="S176" s="277" t="s">
        <v>52</v>
      </c>
      <c r="T176" s="324" t="s">
        <v>79</v>
      </c>
      <c r="U176" s="117">
        <v>7007</v>
      </c>
      <c r="V176" s="33" t="s">
        <v>47</v>
      </c>
      <c r="W176" s="32"/>
      <c r="X176" s="222">
        <v>46226</v>
      </c>
      <c r="Y176" s="69" t="s">
        <v>63</v>
      </c>
      <c r="Z176" s="33"/>
      <c r="AA176" s="33"/>
      <c r="AB176" s="33" t="s">
        <v>66</v>
      </c>
      <c r="AC176" s="33"/>
      <c r="AD176" s="258" t="s">
        <v>48</v>
      </c>
      <c r="AE176" s="34"/>
      <c r="AF176" s="32"/>
      <c r="AG176" s="32"/>
      <c r="AH176" s="33"/>
      <c r="AI176" s="33"/>
      <c r="AJ176" s="29"/>
      <c r="AK176" s="33"/>
      <c r="AL176" s="32">
        <v>18</v>
      </c>
      <c r="AM176" s="221" t="s">
        <v>810</v>
      </c>
      <c r="AN176" s="258"/>
      <c r="AO176" s="138"/>
      <c r="AP176" s="139"/>
    </row>
    <row r="177" spans="1:48" s="36" customFormat="1" ht="15.75" customHeight="1" x14ac:dyDescent="0.2">
      <c r="A177" s="222">
        <v>46227</v>
      </c>
      <c r="B177" s="222">
        <v>46227</v>
      </c>
      <c r="C177" s="33" t="s">
        <v>58</v>
      </c>
      <c r="D177" s="221" t="s">
        <v>53</v>
      </c>
      <c r="E177" s="178">
        <v>554</v>
      </c>
      <c r="F177" s="117">
        <v>1</v>
      </c>
      <c r="G177" s="117">
        <v>74318396</v>
      </c>
      <c r="H177" s="117" t="s">
        <v>394</v>
      </c>
      <c r="I177" s="32"/>
      <c r="J177" s="32"/>
      <c r="K177" s="351">
        <v>123.66</v>
      </c>
      <c r="L177" s="210"/>
      <c r="M177" s="210"/>
      <c r="N177" s="210"/>
      <c r="O177" s="210"/>
      <c r="P177" s="351">
        <v>123.66</v>
      </c>
      <c r="Q177" s="240"/>
      <c r="R177" s="222">
        <v>46009</v>
      </c>
      <c r="S177" s="277" t="s">
        <v>52</v>
      </c>
      <c r="T177" s="324" t="s">
        <v>79</v>
      </c>
      <c r="U177" s="117">
        <v>6850</v>
      </c>
      <c r="V177" s="33" t="s">
        <v>47</v>
      </c>
      <c r="W177" s="32"/>
      <c r="X177" s="222">
        <v>46227</v>
      </c>
      <c r="Y177" s="69" t="s">
        <v>63</v>
      </c>
      <c r="Z177" s="33"/>
      <c r="AA177" s="33"/>
      <c r="AB177" s="33" t="s">
        <v>66</v>
      </c>
      <c r="AC177" s="33"/>
      <c r="AD177" s="258" t="s">
        <v>48</v>
      </c>
      <c r="AE177" s="34"/>
      <c r="AF177" s="32"/>
      <c r="AG177" s="32"/>
      <c r="AH177" s="33"/>
      <c r="AI177" s="33"/>
      <c r="AJ177" s="29"/>
      <c r="AK177" s="33"/>
      <c r="AL177" s="32">
        <v>18</v>
      </c>
      <c r="AM177" s="221" t="s">
        <v>810</v>
      </c>
      <c r="AN177" s="258"/>
      <c r="AO177" s="138"/>
      <c r="AP177" s="139"/>
    </row>
    <row r="178" spans="1:48" s="36" customFormat="1" ht="15.75" customHeight="1" x14ac:dyDescent="0.2">
      <c r="A178" s="222">
        <v>46227</v>
      </c>
      <c r="B178" s="222">
        <v>46227</v>
      </c>
      <c r="C178" s="33" t="s">
        <v>58</v>
      </c>
      <c r="D178" s="221" t="s">
        <v>53</v>
      </c>
      <c r="E178" s="349">
        <v>555</v>
      </c>
      <c r="F178" s="117">
        <v>1</v>
      </c>
      <c r="G178" s="117">
        <v>75277198</v>
      </c>
      <c r="H178" s="117" t="s">
        <v>762</v>
      </c>
      <c r="I178" s="32"/>
      <c r="J178" s="32"/>
      <c r="K178" s="351">
        <v>110.33</v>
      </c>
      <c r="L178" s="210"/>
      <c r="M178" s="210"/>
      <c r="N178" s="210"/>
      <c r="O178" s="210"/>
      <c r="P178" s="351">
        <v>110.33</v>
      </c>
      <c r="Q178" s="240"/>
      <c r="R178" s="222">
        <v>46176</v>
      </c>
      <c r="S178" s="277" t="s">
        <v>52</v>
      </c>
      <c r="T178" s="324" t="s">
        <v>79</v>
      </c>
      <c r="U178" s="117">
        <v>7507</v>
      </c>
      <c r="V178" s="33" t="s">
        <v>47</v>
      </c>
      <c r="W178" s="32"/>
      <c r="X178" s="222">
        <v>46227</v>
      </c>
      <c r="Y178" s="69" t="s">
        <v>63</v>
      </c>
      <c r="Z178" s="33"/>
      <c r="AA178" s="33"/>
      <c r="AB178" s="33" t="s">
        <v>66</v>
      </c>
      <c r="AC178" s="33"/>
      <c r="AD178" s="258" t="s">
        <v>48</v>
      </c>
      <c r="AE178" s="34"/>
      <c r="AF178" s="32"/>
      <c r="AG178" s="32"/>
      <c r="AH178" s="33"/>
      <c r="AI178" s="33"/>
      <c r="AJ178" s="29"/>
      <c r="AK178" s="33"/>
      <c r="AL178" s="32">
        <v>18</v>
      </c>
      <c r="AM178" s="221" t="s">
        <v>810</v>
      </c>
      <c r="AN178" s="258"/>
      <c r="AO178" s="138"/>
      <c r="AP178" s="139"/>
    </row>
    <row r="179" spans="1:48" s="36" customFormat="1" ht="15.75" customHeight="1" x14ac:dyDescent="0.2">
      <c r="A179" s="222">
        <v>46227</v>
      </c>
      <c r="B179" s="222">
        <v>46227</v>
      </c>
      <c r="C179" s="33" t="s">
        <v>58</v>
      </c>
      <c r="D179" s="221" t="s">
        <v>53</v>
      </c>
      <c r="E179" s="349">
        <v>556</v>
      </c>
      <c r="F179" s="117">
        <v>1</v>
      </c>
      <c r="G179" s="117">
        <v>72977485</v>
      </c>
      <c r="H179" s="117" t="s">
        <v>908</v>
      </c>
      <c r="I179" s="32"/>
      <c r="J179" s="32"/>
      <c r="K179" s="351">
        <v>230.33</v>
      </c>
      <c r="L179" s="210"/>
      <c r="M179" s="210"/>
      <c r="N179" s="210"/>
      <c r="O179" s="210"/>
      <c r="P179" s="351">
        <v>230.33</v>
      </c>
      <c r="Q179" s="240"/>
      <c r="R179" s="222">
        <v>46149</v>
      </c>
      <c r="S179" s="277" t="s">
        <v>52</v>
      </c>
      <c r="T179" s="324" t="s">
        <v>79</v>
      </c>
      <c r="U179" s="117">
        <v>7398</v>
      </c>
      <c r="V179" s="33" t="s">
        <v>47</v>
      </c>
      <c r="W179" s="32"/>
      <c r="X179" s="222">
        <v>46227</v>
      </c>
      <c r="Y179" s="69" t="s">
        <v>63</v>
      </c>
      <c r="Z179" s="33"/>
      <c r="AA179" s="33"/>
      <c r="AB179" s="33" t="s">
        <v>66</v>
      </c>
      <c r="AC179" s="33"/>
      <c r="AD179" s="258" t="s">
        <v>48</v>
      </c>
      <c r="AE179" s="34"/>
      <c r="AF179" s="32"/>
      <c r="AG179" s="32"/>
      <c r="AH179" s="33"/>
      <c r="AI179" s="33"/>
      <c r="AJ179" s="29"/>
      <c r="AK179" s="33"/>
      <c r="AL179" s="32">
        <v>18</v>
      </c>
      <c r="AM179" s="221" t="s">
        <v>810</v>
      </c>
      <c r="AN179" s="258"/>
      <c r="AO179" s="138"/>
      <c r="AP179" s="139"/>
    </row>
    <row r="180" spans="1:48" s="36" customFormat="1" ht="15.75" customHeight="1" x14ac:dyDescent="0.2">
      <c r="A180" s="222">
        <v>46227</v>
      </c>
      <c r="B180" s="222">
        <v>46227</v>
      </c>
      <c r="C180" s="33" t="s">
        <v>58</v>
      </c>
      <c r="D180" s="221" t="s">
        <v>53</v>
      </c>
      <c r="E180" s="178">
        <v>557</v>
      </c>
      <c r="F180" s="117">
        <v>1</v>
      </c>
      <c r="G180" s="117">
        <v>20992961</v>
      </c>
      <c r="H180" s="117" t="s">
        <v>399</v>
      </c>
      <c r="I180" s="32"/>
      <c r="J180" s="32"/>
      <c r="K180" s="351">
        <v>79.17</v>
      </c>
      <c r="L180" s="210"/>
      <c r="M180" s="210"/>
      <c r="N180" s="210"/>
      <c r="O180" s="210"/>
      <c r="P180" s="351">
        <v>79.17</v>
      </c>
      <c r="Q180" s="240"/>
      <c r="R180" s="222">
        <v>45846</v>
      </c>
      <c r="S180" s="277" t="s">
        <v>52</v>
      </c>
      <c r="T180" s="324" t="s">
        <v>79</v>
      </c>
      <c r="U180" s="117">
        <v>6083</v>
      </c>
      <c r="V180" s="33" t="s">
        <v>47</v>
      </c>
      <c r="W180" s="32"/>
      <c r="X180" s="222">
        <v>46227</v>
      </c>
      <c r="Y180" s="69" t="s">
        <v>63</v>
      </c>
      <c r="Z180" s="33"/>
      <c r="AA180" s="33"/>
      <c r="AB180" s="33" t="s">
        <v>66</v>
      </c>
      <c r="AC180" s="33"/>
      <c r="AD180" s="258" t="s">
        <v>48</v>
      </c>
      <c r="AE180" s="34"/>
      <c r="AF180" s="32"/>
      <c r="AG180" s="32"/>
      <c r="AH180" s="33"/>
      <c r="AI180" s="33"/>
      <c r="AJ180" s="29"/>
      <c r="AK180" s="33"/>
      <c r="AL180" s="32">
        <v>18</v>
      </c>
      <c r="AM180" s="221" t="s">
        <v>810</v>
      </c>
      <c r="AN180" s="258"/>
      <c r="AO180" s="138"/>
      <c r="AP180" s="139"/>
    </row>
    <row r="181" spans="1:48" s="36" customFormat="1" ht="15.75" customHeight="1" x14ac:dyDescent="0.2">
      <c r="A181" s="222">
        <v>46227</v>
      </c>
      <c r="B181" s="222">
        <v>46227</v>
      </c>
      <c r="C181" s="33" t="s">
        <v>58</v>
      </c>
      <c r="D181" s="221" t="s">
        <v>53</v>
      </c>
      <c r="E181" s="349">
        <v>558</v>
      </c>
      <c r="F181" s="117">
        <v>1</v>
      </c>
      <c r="G181" s="117">
        <v>45393099</v>
      </c>
      <c r="H181" s="117" t="s">
        <v>909</v>
      </c>
      <c r="I181" s="32"/>
      <c r="J181" s="32"/>
      <c r="K181" s="351">
        <v>130.33000000000001</v>
      </c>
      <c r="L181" s="210"/>
      <c r="M181" s="210"/>
      <c r="N181" s="210"/>
      <c r="O181" s="210"/>
      <c r="P181" s="351">
        <v>130.33000000000001</v>
      </c>
      <c r="Q181" s="240"/>
      <c r="R181" s="222">
        <v>46189</v>
      </c>
      <c r="S181" s="277" t="s">
        <v>52</v>
      </c>
      <c r="T181" s="324" t="s">
        <v>79</v>
      </c>
      <c r="U181" s="117">
        <v>7566</v>
      </c>
      <c r="V181" s="33" t="s">
        <v>47</v>
      </c>
      <c r="W181" s="32"/>
      <c r="X181" s="222">
        <v>46227</v>
      </c>
      <c r="Y181" s="69" t="s">
        <v>63</v>
      </c>
      <c r="Z181" s="33"/>
      <c r="AA181" s="33"/>
      <c r="AB181" s="33" t="s">
        <v>66</v>
      </c>
      <c r="AC181" s="33"/>
      <c r="AD181" s="258" t="s">
        <v>48</v>
      </c>
      <c r="AE181" s="34"/>
      <c r="AF181" s="32"/>
      <c r="AG181" s="32"/>
      <c r="AH181" s="33"/>
      <c r="AI181" s="33"/>
      <c r="AJ181" s="29"/>
      <c r="AK181" s="33"/>
      <c r="AL181" s="32">
        <v>18</v>
      </c>
      <c r="AM181" s="221" t="s">
        <v>810</v>
      </c>
      <c r="AN181" s="258"/>
      <c r="AO181" s="138"/>
      <c r="AP181" s="139"/>
    </row>
    <row r="182" spans="1:48" s="36" customFormat="1" ht="15.75" customHeight="1" x14ac:dyDescent="0.2">
      <c r="A182" s="222">
        <v>46233</v>
      </c>
      <c r="B182" s="222">
        <v>46233</v>
      </c>
      <c r="C182" s="33" t="s">
        <v>58</v>
      </c>
      <c r="D182" s="221" t="s">
        <v>53</v>
      </c>
      <c r="E182" s="349">
        <v>559</v>
      </c>
      <c r="F182" s="117">
        <v>1</v>
      </c>
      <c r="G182" s="117">
        <v>73666073</v>
      </c>
      <c r="H182" s="117" t="s">
        <v>398</v>
      </c>
      <c r="I182" s="32"/>
      <c r="J182" s="32"/>
      <c r="K182" s="351">
        <v>341</v>
      </c>
      <c r="L182" s="210"/>
      <c r="M182" s="210"/>
      <c r="N182" s="210"/>
      <c r="O182" s="210"/>
      <c r="P182" s="351">
        <v>341</v>
      </c>
      <c r="Q182" s="240"/>
      <c r="R182" s="222">
        <v>46167</v>
      </c>
      <c r="S182" s="277" t="s">
        <v>52</v>
      </c>
      <c r="T182" s="324" t="s">
        <v>79</v>
      </c>
      <c r="U182" s="117">
        <v>7482</v>
      </c>
      <c r="V182" s="33" t="s">
        <v>47</v>
      </c>
      <c r="W182" s="32"/>
      <c r="X182" s="222">
        <v>46233</v>
      </c>
      <c r="Y182" s="69" t="s">
        <v>63</v>
      </c>
      <c r="Z182" s="33"/>
      <c r="AA182" s="33"/>
      <c r="AB182" s="33" t="s">
        <v>66</v>
      </c>
      <c r="AC182" s="33"/>
      <c r="AD182" s="258" t="s">
        <v>48</v>
      </c>
      <c r="AE182" s="34"/>
      <c r="AF182" s="32"/>
      <c r="AG182" s="32"/>
      <c r="AH182" s="33"/>
      <c r="AI182" s="33"/>
      <c r="AJ182" s="29"/>
      <c r="AK182" s="33"/>
      <c r="AL182" s="32">
        <v>18</v>
      </c>
      <c r="AM182" s="221" t="s">
        <v>810</v>
      </c>
      <c r="AN182" s="258"/>
      <c r="AO182" s="138"/>
      <c r="AP182" s="139"/>
    </row>
    <row r="183" spans="1:48" s="36" customFormat="1" ht="15.75" customHeight="1" x14ac:dyDescent="0.2">
      <c r="A183" s="222">
        <v>46233</v>
      </c>
      <c r="B183" s="222">
        <v>46233</v>
      </c>
      <c r="C183" s="33" t="s">
        <v>58</v>
      </c>
      <c r="D183" s="221" t="s">
        <v>53</v>
      </c>
      <c r="E183" s="178">
        <v>560</v>
      </c>
      <c r="F183" s="117">
        <v>1</v>
      </c>
      <c r="G183" s="117">
        <v>42955229</v>
      </c>
      <c r="H183" s="117" t="s">
        <v>905</v>
      </c>
      <c r="I183" s="32"/>
      <c r="J183" s="32"/>
      <c r="K183" s="351">
        <v>70</v>
      </c>
      <c r="L183" s="210"/>
      <c r="M183" s="210"/>
      <c r="N183" s="210"/>
      <c r="O183" s="210"/>
      <c r="P183" s="351">
        <v>70</v>
      </c>
      <c r="Q183" s="240"/>
      <c r="R183" s="222">
        <v>46067</v>
      </c>
      <c r="S183" s="277" t="s">
        <v>52</v>
      </c>
      <c r="T183" s="324" t="s">
        <v>79</v>
      </c>
      <c r="U183" s="117">
        <v>7067</v>
      </c>
      <c r="V183" s="33" t="s">
        <v>47</v>
      </c>
      <c r="W183" s="32"/>
      <c r="X183" s="222">
        <v>46233</v>
      </c>
      <c r="Y183" s="69" t="s">
        <v>63</v>
      </c>
      <c r="Z183" s="33"/>
      <c r="AA183" s="33"/>
      <c r="AB183" s="33" t="s">
        <v>66</v>
      </c>
      <c r="AC183" s="33"/>
      <c r="AD183" s="258" t="s">
        <v>48</v>
      </c>
      <c r="AE183" s="34"/>
      <c r="AF183" s="32"/>
      <c r="AG183" s="32"/>
      <c r="AH183" s="33"/>
      <c r="AI183" s="33"/>
      <c r="AJ183" s="29"/>
      <c r="AK183" s="33"/>
      <c r="AL183" s="32">
        <v>18</v>
      </c>
      <c r="AM183" s="221" t="s">
        <v>810</v>
      </c>
      <c r="AN183" s="258"/>
      <c r="AO183" s="138"/>
      <c r="AP183" s="139"/>
    </row>
    <row r="184" spans="1:48" s="36" customFormat="1" ht="15.75" customHeight="1" x14ac:dyDescent="0.2">
      <c r="A184" s="222">
        <v>46233</v>
      </c>
      <c r="B184" s="222">
        <v>46233</v>
      </c>
      <c r="C184" s="33" t="s">
        <v>58</v>
      </c>
      <c r="D184" s="221" t="s">
        <v>53</v>
      </c>
      <c r="E184" s="349">
        <v>561</v>
      </c>
      <c r="F184" s="117">
        <v>1</v>
      </c>
      <c r="G184" s="117">
        <v>48509993</v>
      </c>
      <c r="H184" s="117" t="s">
        <v>390</v>
      </c>
      <c r="I184" s="32"/>
      <c r="J184" s="32"/>
      <c r="K184" s="351">
        <v>72.5</v>
      </c>
      <c r="L184" s="210"/>
      <c r="M184" s="210"/>
      <c r="N184" s="210"/>
      <c r="O184" s="210"/>
      <c r="P184" s="351">
        <v>72.5</v>
      </c>
      <c r="Q184" s="240"/>
      <c r="R184" s="222">
        <v>45994</v>
      </c>
      <c r="S184" s="277" t="s">
        <v>52</v>
      </c>
      <c r="T184" s="324" t="s">
        <v>79</v>
      </c>
      <c r="U184" s="117">
        <v>6782</v>
      </c>
      <c r="V184" s="33" t="s">
        <v>47</v>
      </c>
      <c r="W184" s="32"/>
      <c r="X184" s="222">
        <v>46233</v>
      </c>
      <c r="Y184" s="69" t="s">
        <v>63</v>
      </c>
      <c r="Z184" s="33"/>
      <c r="AA184" s="33"/>
      <c r="AB184" s="33" t="s">
        <v>66</v>
      </c>
      <c r="AC184" s="33"/>
      <c r="AD184" s="258" t="s">
        <v>48</v>
      </c>
      <c r="AE184" s="34"/>
      <c r="AF184" s="32"/>
      <c r="AG184" s="32"/>
      <c r="AH184" s="33"/>
      <c r="AI184" s="33"/>
      <c r="AJ184" s="29"/>
      <c r="AK184" s="33"/>
      <c r="AL184" s="32">
        <v>18</v>
      </c>
      <c r="AM184" s="221" t="s">
        <v>810</v>
      </c>
      <c r="AN184" s="258"/>
      <c r="AO184" s="138"/>
      <c r="AP184" s="139"/>
    </row>
    <row r="185" spans="1:48" s="36" customFormat="1" ht="15.75" customHeight="1" x14ac:dyDescent="0.2">
      <c r="A185" s="222">
        <v>46233</v>
      </c>
      <c r="B185" s="222">
        <v>46233</v>
      </c>
      <c r="C185" s="33" t="s">
        <v>58</v>
      </c>
      <c r="D185" s="221" t="s">
        <v>53</v>
      </c>
      <c r="E185" s="349">
        <v>562</v>
      </c>
      <c r="F185" s="117">
        <v>1</v>
      </c>
      <c r="G185" s="117">
        <v>76515322</v>
      </c>
      <c r="H185" s="117" t="s">
        <v>539</v>
      </c>
      <c r="I185" s="32"/>
      <c r="J185" s="32"/>
      <c r="K185" s="351">
        <v>223.5</v>
      </c>
      <c r="L185" s="210"/>
      <c r="M185" s="210"/>
      <c r="N185" s="210"/>
      <c r="O185" s="210"/>
      <c r="P185" s="351">
        <v>223.5</v>
      </c>
      <c r="Q185" s="240"/>
      <c r="R185" s="222">
        <v>46130</v>
      </c>
      <c r="S185" s="277" t="s">
        <v>52</v>
      </c>
      <c r="T185" s="324" t="s">
        <v>79</v>
      </c>
      <c r="U185" s="117">
        <v>7308</v>
      </c>
      <c r="V185" s="33" t="s">
        <v>47</v>
      </c>
      <c r="W185" s="32"/>
      <c r="X185" s="222">
        <v>46233</v>
      </c>
      <c r="Y185" s="69" t="s">
        <v>63</v>
      </c>
      <c r="Z185" s="33"/>
      <c r="AA185" s="33"/>
      <c r="AB185" s="33" t="s">
        <v>66</v>
      </c>
      <c r="AC185" s="33"/>
      <c r="AD185" s="258" t="s">
        <v>48</v>
      </c>
      <c r="AE185" s="34"/>
      <c r="AF185" s="32"/>
      <c r="AG185" s="32"/>
      <c r="AH185" s="33"/>
      <c r="AI185" s="33"/>
      <c r="AJ185" s="29"/>
      <c r="AK185" s="33"/>
      <c r="AL185" s="32">
        <v>18</v>
      </c>
      <c r="AM185" s="221" t="s">
        <v>810</v>
      </c>
      <c r="AN185" s="258"/>
      <c r="AO185" s="138"/>
      <c r="AP185" s="139"/>
    </row>
    <row r="186" spans="1:48" s="6" customFormat="1" ht="15" x14ac:dyDescent="0.2">
      <c r="A186" s="155"/>
      <c r="B186" s="8"/>
      <c r="C186" s="279"/>
      <c r="D186" s="180"/>
      <c r="E186" s="306"/>
      <c r="F186" s="180"/>
      <c r="G186" s="180"/>
      <c r="H186" s="180"/>
      <c r="I186" s="214"/>
      <c r="J186" s="215">
        <f>SUM(J15:J185)</f>
        <v>0</v>
      </c>
      <c r="K186" s="215">
        <f>SUM(K4:K185)</f>
        <v>599153.82000000007</v>
      </c>
      <c r="L186" s="216"/>
      <c r="M186" s="216"/>
      <c r="N186" s="215">
        <f>SUM(N15:N185)</f>
        <v>0</v>
      </c>
      <c r="O186" s="215">
        <f>SUM(O15:O185)</f>
        <v>0</v>
      </c>
      <c r="P186" s="215">
        <f>SUM(P4:P185)</f>
        <v>599153.82000000007</v>
      </c>
      <c r="Q186" s="82"/>
      <c r="R186" s="223"/>
      <c r="S186" s="243"/>
      <c r="T186" s="243"/>
      <c r="U186" s="243"/>
      <c r="V186" s="243"/>
      <c r="W186" s="244"/>
      <c r="X186" s="223"/>
      <c r="Y186" s="243"/>
      <c r="Z186" s="243"/>
      <c r="AA186" s="243"/>
      <c r="AB186" s="243"/>
      <c r="AC186" s="243"/>
      <c r="AD186" s="243"/>
      <c r="AE186" s="245"/>
      <c r="AF186" s="244"/>
      <c r="AG186" s="244"/>
      <c r="AH186" s="243"/>
      <c r="AI186" s="243"/>
      <c r="AJ186" s="223"/>
      <c r="AK186" s="243"/>
      <c r="AL186" s="244"/>
      <c r="AM186" s="243"/>
      <c r="AN186" s="243"/>
      <c r="AO186" s="90"/>
      <c r="AP186" s="91"/>
    </row>
    <row r="188" spans="1:48" s="2" customFormat="1" x14ac:dyDescent="0.25">
      <c r="A188" s="168"/>
      <c r="B188" s="1"/>
      <c r="C188" s="280"/>
      <c r="D188" s="181"/>
      <c r="E188" s="307"/>
      <c r="F188" s="181"/>
      <c r="G188" s="181"/>
      <c r="H188" s="181"/>
      <c r="I188" s="217"/>
      <c r="J188" s="217"/>
      <c r="K188" s="217"/>
      <c r="L188" s="217"/>
      <c r="M188" s="217"/>
      <c r="N188" s="217"/>
      <c r="O188" s="217"/>
      <c r="P188" s="217"/>
      <c r="Q188" s="4"/>
      <c r="R188" s="168"/>
      <c r="S188" s="181"/>
      <c r="T188" s="181"/>
      <c r="U188" s="181"/>
      <c r="V188" s="181"/>
      <c r="W188" s="217"/>
      <c r="X188" s="168"/>
      <c r="Y188" s="181"/>
      <c r="Z188" s="181"/>
      <c r="AA188" s="181"/>
      <c r="AB188" s="181"/>
      <c r="AC188" s="181"/>
      <c r="AD188" s="181"/>
      <c r="AE188" s="246"/>
      <c r="AF188" s="217"/>
      <c r="AG188" s="217"/>
      <c r="AH188" s="181"/>
      <c r="AI188" s="181"/>
      <c r="AJ188" s="168"/>
      <c r="AK188" s="181"/>
      <c r="AL188" s="217"/>
      <c r="AM188" s="181"/>
      <c r="AN188" s="181"/>
      <c r="AP188" s="3"/>
      <c r="AQ188"/>
      <c r="AR188"/>
      <c r="AS188"/>
      <c r="AT188"/>
      <c r="AU188"/>
      <c r="AV188"/>
    </row>
  </sheetData>
  <autoFilter ref="A3:AW186" xr:uid="{DEE93C81-845F-4232-B57E-4786722F444D}"/>
  <mergeCells count="9">
    <mergeCell ref="I1:I3"/>
    <mergeCell ref="J1:J3"/>
    <mergeCell ref="N1:N3"/>
    <mergeCell ref="M1:M3"/>
    <mergeCell ref="L1:L3"/>
    <mergeCell ref="K1:K3"/>
    <mergeCell ref="Q1:Q3"/>
    <mergeCell ref="P1:P3"/>
    <mergeCell ref="O1:O3"/>
  </mergeCells>
  <pageMargins left="0.7" right="0.7" top="0.75" bottom="0.75" header="0.3" footer="0.3"/>
  <pageSetup paperSize="9" scale="79"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ENERO</vt:lpstr>
      <vt:lpstr>FEBRERO</vt:lpstr>
      <vt:lpstr>MARZO</vt:lpstr>
      <vt:lpstr>ABRIL</vt:lpstr>
      <vt:lpstr>MAYO</vt:lpstr>
      <vt:lpstr>JUNIO</vt:lpstr>
      <vt:lpstr>JULIO</vt:lpstr>
      <vt:lpstr>ABRIL!Área_de_impresión</vt:lpstr>
      <vt:lpstr>ENERO!Área_de_impresión</vt:lpstr>
      <vt:lpstr>FEBRERO!Área_de_impresión</vt:lpstr>
      <vt:lpstr>JULIO!Área_de_impresión</vt:lpstr>
      <vt:lpstr>JUNIO!Área_de_impresión</vt:lpstr>
      <vt:lpstr>MARZO!Área_de_impresión</vt:lpstr>
      <vt:lpstr>MAYO!Área_de_impresión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OIga</cp:lastModifiedBy>
  <cp:lastPrinted>2025-07-07T17:57:52Z</cp:lastPrinted>
  <dcterms:created xsi:type="dcterms:W3CDTF">2020-01-15T17:26:00Z</dcterms:created>
  <dcterms:modified xsi:type="dcterms:W3CDTF">2026-08-11T20:06:13Z</dcterms:modified>
</cp:coreProperties>
</file>