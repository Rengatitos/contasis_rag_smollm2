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Users\USUARIO\Documents\ARLETH EMPRESAS 2026\10. INVERSIONES JOAQUISAN\REGISTRO DE COMPRAS Y VENTAS\"/>
    </mc:Choice>
  </mc:AlternateContent>
  <xr:revisionPtr revIDLastSave="0" documentId="13_ncr:1_{1B5CD747-A3DE-4A8C-96F1-603FA2C34D93}" xr6:coauthVersionLast="47" xr6:coauthVersionMax="47" xr10:uidLastSave="{00000000-0000-0000-0000-000000000000}"/>
  <bookViews>
    <workbookView xWindow="-120" yWindow="-120" windowWidth="29040" windowHeight="15720" activeTab="1" xr2:uid="{00000000-000D-0000-FFFF-FFFF00000000}"/>
  </bookViews>
  <sheets>
    <sheet name="FORMATO_VENTAS" sheetId="1" r:id="rId1"/>
    <sheet name="FORMATO_ COMPRAS " sheetId="11" r:id="rId2"/>
    <sheet name="Hoja2" sheetId="13" r:id="rId3"/>
    <sheet name="Hoja1" sheetId="14" r:id="rId4"/>
  </sheets>
  <definedNames>
    <definedName name="_xlnm._FilterDatabase" localSheetId="1" hidden="1">'FORMATO_ COMPRAS '!$H$1:$H$14</definedName>
    <definedName name="_xlnm._FilterDatabase" localSheetId="0" hidden="1">FORMATO_VENTAS!$D$1:$D$413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68" i="14" l="1"/>
  <c r="J138" i="11" l="1"/>
  <c r="B367" i="1"/>
  <c r="J367" i="1"/>
  <c r="N367" i="1" s="1"/>
  <c r="B368" i="1"/>
  <c r="J368" i="1"/>
  <c r="N368" i="1" s="1"/>
  <c r="B369" i="1"/>
  <c r="J369" i="1"/>
  <c r="N369" i="1" s="1"/>
  <c r="B370" i="1"/>
  <c r="J370" i="1"/>
  <c r="N370" i="1" s="1"/>
  <c r="B371" i="1"/>
  <c r="J371" i="1"/>
  <c r="N371" i="1" s="1"/>
  <c r="B372" i="1"/>
  <c r="J372" i="1"/>
  <c r="N372" i="1" s="1"/>
  <c r="B14" i="11"/>
  <c r="J14" i="11"/>
  <c r="K14" i="11" s="1"/>
  <c r="B15" i="11"/>
  <c r="J15" i="11"/>
  <c r="K15" i="11" s="1"/>
  <c r="B16" i="11"/>
  <c r="J16" i="11"/>
  <c r="K16" i="11" s="1"/>
  <c r="B17" i="11"/>
  <c r="J17" i="11"/>
  <c r="K17" i="11" s="1"/>
  <c r="B18" i="11"/>
  <c r="J18" i="11"/>
  <c r="K18" i="11" s="1"/>
  <c r="B19" i="11"/>
  <c r="J19" i="11"/>
  <c r="K19" i="11" s="1"/>
  <c r="B20" i="11"/>
  <c r="J20" i="11"/>
  <c r="K20" i="11" s="1"/>
  <c r="B21" i="11"/>
  <c r="J21" i="11"/>
  <c r="K21" i="11" s="1"/>
  <c r="B22" i="11"/>
  <c r="J22" i="11"/>
  <c r="K22" i="11" s="1"/>
  <c r="B23" i="11"/>
  <c r="J23" i="11"/>
  <c r="K23" i="11" s="1"/>
  <c r="B24" i="11"/>
  <c r="J24" i="11"/>
  <c r="K24" i="11" s="1"/>
  <c r="B25" i="11"/>
  <c r="J25" i="11"/>
  <c r="K25" i="11" s="1"/>
  <c r="B26" i="11"/>
  <c r="J26" i="11"/>
  <c r="K26" i="11" s="1"/>
  <c r="B27" i="11"/>
  <c r="J27" i="11"/>
  <c r="K27" i="11" s="1"/>
  <c r="B28" i="11"/>
  <c r="J28" i="11"/>
  <c r="K28" i="11" s="1"/>
  <c r="B29" i="11"/>
  <c r="J29" i="11"/>
  <c r="K29" i="11" s="1"/>
  <c r="B30" i="11"/>
  <c r="J30" i="11"/>
  <c r="K30" i="11" s="1"/>
  <c r="B31" i="11"/>
  <c r="J31" i="11"/>
  <c r="K31" i="11" s="1"/>
  <c r="B32" i="11"/>
  <c r="J32" i="11"/>
  <c r="K32" i="11" s="1"/>
  <c r="B33" i="11"/>
  <c r="J33" i="11"/>
  <c r="K33" i="11" s="1"/>
  <c r="B34" i="11"/>
  <c r="J34" i="11"/>
  <c r="K34" i="11" s="1"/>
  <c r="B35" i="11"/>
  <c r="J35" i="11"/>
  <c r="K35" i="11" s="1"/>
  <c r="B36" i="11"/>
  <c r="J36" i="11"/>
  <c r="K36" i="11" s="1"/>
  <c r="B37" i="11"/>
  <c r="J37" i="11"/>
  <c r="K37" i="11" s="1"/>
  <c r="B38" i="11"/>
  <c r="J38" i="11"/>
  <c r="K38" i="11" s="1"/>
  <c r="B39" i="11"/>
  <c r="J39" i="11"/>
  <c r="K39" i="11" s="1"/>
  <c r="B40" i="11"/>
  <c r="J40" i="11"/>
  <c r="K40" i="11" s="1"/>
  <c r="B41" i="11"/>
  <c r="J41" i="11"/>
  <c r="K41" i="11" s="1"/>
  <c r="B42" i="11"/>
  <c r="J42" i="11"/>
  <c r="K42" i="11" s="1"/>
  <c r="B43" i="11"/>
  <c r="J43" i="11"/>
  <c r="K43" i="11"/>
  <c r="B44" i="11"/>
  <c r="J44" i="11"/>
  <c r="K44" i="11" s="1"/>
  <c r="B45" i="11"/>
  <c r="J45" i="11"/>
  <c r="K45" i="11" s="1"/>
  <c r="B46" i="11"/>
  <c r="J46" i="11"/>
  <c r="K46" i="11" s="1"/>
  <c r="B47" i="11"/>
  <c r="J47" i="11"/>
  <c r="K47" i="11" s="1"/>
  <c r="B48" i="11"/>
  <c r="J48" i="11"/>
  <c r="K48" i="11" s="1"/>
  <c r="B49" i="11"/>
  <c r="J49" i="11"/>
  <c r="K49" i="11" s="1"/>
  <c r="B50" i="11"/>
  <c r="J50" i="11"/>
  <c r="K50" i="11"/>
  <c r="B51" i="11"/>
  <c r="J51" i="11"/>
  <c r="K51" i="11" s="1"/>
  <c r="B52" i="11"/>
  <c r="J52" i="11"/>
  <c r="K52" i="11" s="1"/>
  <c r="B53" i="11"/>
  <c r="J53" i="11"/>
  <c r="K53" i="11" s="1"/>
  <c r="B54" i="11"/>
  <c r="J54" i="11"/>
  <c r="K54" i="11" s="1"/>
  <c r="B55" i="11"/>
  <c r="J55" i="11"/>
  <c r="K55" i="11" s="1"/>
  <c r="B56" i="11"/>
  <c r="J56" i="11"/>
  <c r="K56" i="11" s="1"/>
  <c r="B57" i="11"/>
  <c r="J57" i="11"/>
  <c r="K57" i="11" s="1"/>
  <c r="B58" i="11"/>
  <c r="J58" i="11"/>
  <c r="K58" i="11" s="1"/>
  <c r="B59" i="11"/>
  <c r="J59" i="11"/>
  <c r="K59" i="11" s="1"/>
  <c r="B60" i="11"/>
  <c r="J60" i="11"/>
  <c r="K60" i="11" s="1"/>
  <c r="B61" i="11"/>
  <c r="J61" i="11"/>
  <c r="K61" i="11" s="1"/>
  <c r="B62" i="11"/>
  <c r="J62" i="11"/>
  <c r="K62" i="11" s="1"/>
  <c r="B63" i="11"/>
  <c r="J63" i="11"/>
  <c r="K63" i="11" s="1"/>
  <c r="B64" i="11"/>
  <c r="J64" i="11"/>
  <c r="K64" i="11" s="1"/>
  <c r="B65" i="11"/>
  <c r="J65" i="11"/>
  <c r="K65" i="11" s="1"/>
  <c r="B66" i="11"/>
  <c r="J66" i="11"/>
  <c r="K66" i="11"/>
  <c r="B67" i="11"/>
  <c r="J67" i="11"/>
  <c r="K67" i="11" s="1"/>
  <c r="B68" i="11"/>
  <c r="J68" i="11"/>
  <c r="K68" i="11" s="1"/>
  <c r="B69" i="11"/>
  <c r="J69" i="11"/>
  <c r="K69" i="11" s="1"/>
  <c r="B70" i="11"/>
  <c r="J70" i="11"/>
  <c r="K70" i="11" s="1"/>
  <c r="B71" i="11"/>
  <c r="J71" i="11"/>
  <c r="K71" i="11" s="1"/>
  <c r="B72" i="11"/>
  <c r="J72" i="11"/>
  <c r="K72" i="11" s="1"/>
  <c r="B73" i="11"/>
  <c r="J73" i="11"/>
  <c r="K73" i="11"/>
  <c r="B74" i="11"/>
  <c r="J74" i="11"/>
  <c r="K74" i="11" s="1"/>
  <c r="B75" i="11"/>
  <c r="J75" i="11"/>
  <c r="K75" i="11" s="1"/>
  <c r="B76" i="11"/>
  <c r="J76" i="11"/>
  <c r="K76" i="11" s="1"/>
  <c r="B77" i="11"/>
  <c r="J77" i="11"/>
  <c r="K77" i="11" s="1"/>
  <c r="B78" i="11"/>
  <c r="J78" i="11"/>
  <c r="K78" i="11" s="1"/>
  <c r="B79" i="11"/>
  <c r="J79" i="11"/>
  <c r="K79" i="11" s="1"/>
  <c r="B80" i="11"/>
  <c r="J80" i="11"/>
  <c r="K80" i="11" s="1"/>
  <c r="B81" i="11"/>
  <c r="J81" i="11"/>
  <c r="K81" i="11" s="1"/>
  <c r="B82" i="11"/>
  <c r="J82" i="11"/>
  <c r="K82" i="11" s="1"/>
  <c r="B83" i="11"/>
  <c r="J83" i="11"/>
  <c r="K83" i="11" s="1"/>
  <c r="B84" i="11"/>
  <c r="J84" i="11"/>
  <c r="K84" i="11" s="1"/>
  <c r="B85" i="11"/>
  <c r="J85" i="11"/>
  <c r="K85" i="11" s="1"/>
  <c r="B86" i="11"/>
  <c r="J86" i="11"/>
  <c r="K86" i="11" s="1"/>
  <c r="B87" i="11"/>
  <c r="J87" i="11"/>
  <c r="K87" i="11" s="1"/>
  <c r="B88" i="11"/>
  <c r="J88" i="11"/>
  <c r="K88" i="11" s="1"/>
  <c r="B89" i="11"/>
  <c r="J89" i="11"/>
  <c r="K89" i="11" s="1"/>
  <c r="B90" i="11"/>
  <c r="J90" i="11"/>
  <c r="K90" i="11" s="1"/>
  <c r="B91" i="11"/>
  <c r="J91" i="11"/>
  <c r="K91" i="11" s="1"/>
  <c r="B92" i="11"/>
  <c r="J92" i="11"/>
  <c r="K92" i="11" s="1"/>
  <c r="B93" i="11"/>
  <c r="J93" i="11"/>
  <c r="K93" i="11"/>
  <c r="B94" i="11"/>
  <c r="J94" i="11"/>
  <c r="K94" i="11" s="1"/>
  <c r="B95" i="11"/>
  <c r="J95" i="11"/>
  <c r="K95" i="11" s="1"/>
  <c r="B96" i="11"/>
  <c r="J96" i="11"/>
  <c r="K96" i="11" s="1"/>
  <c r="B97" i="11"/>
  <c r="J97" i="11"/>
  <c r="K97" i="11" s="1"/>
  <c r="B98" i="11"/>
  <c r="J98" i="11"/>
  <c r="K98" i="11" s="1"/>
  <c r="B99" i="11"/>
  <c r="J99" i="11"/>
  <c r="K99" i="11" s="1"/>
  <c r="B100" i="11"/>
  <c r="J100" i="11"/>
  <c r="K100" i="11"/>
  <c r="B101" i="11"/>
  <c r="J101" i="11"/>
  <c r="K101" i="11" s="1"/>
  <c r="B102" i="11"/>
  <c r="J102" i="11"/>
  <c r="K102" i="11" s="1"/>
  <c r="B103" i="11"/>
  <c r="J103" i="11"/>
  <c r="K103" i="11" s="1"/>
  <c r="B104" i="11"/>
  <c r="J104" i="11"/>
  <c r="K104" i="11" s="1"/>
  <c r="B105" i="11"/>
  <c r="J105" i="11"/>
  <c r="K105" i="11" s="1"/>
  <c r="B106" i="11"/>
  <c r="J106" i="11"/>
  <c r="K106" i="11" s="1"/>
  <c r="B107" i="11"/>
  <c r="J107" i="11"/>
  <c r="K107" i="11" s="1"/>
  <c r="B108" i="11"/>
  <c r="J108" i="11"/>
  <c r="K108" i="11" s="1"/>
  <c r="B109" i="11"/>
  <c r="J109" i="11"/>
  <c r="K109" i="11" s="1"/>
  <c r="B110" i="11"/>
  <c r="J110" i="11"/>
  <c r="K110" i="11" s="1"/>
  <c r="B111" i="11"/>
  <c r="J111" i="11"/>
  <c r="K111" i="11" s="1"/>
  <c r="B112" i="11"/>
  <c r="J112" i="11"/>
  <c r="K112" i="11" s="1"/>
  <c r="B113" i="11"/>
  <c r="J113" i="11"/>
  <c r="K113" i="11" s="1"/>
  <c r="B114" i="11"/>
  <c r="J114" i="11"/>
  <c r="K114" i="11" s="1"/>
  <c r="B115" i="11"/>
  <c r="J115" i="11"/>
  <c r="K115" i="11" s="1"/>
  <c r="B116" i="11"/>
  <c r="J116" i="11"/>
  <c r="K116" i="11" s="1"/>
  <c r="B117" i="11"/>
  <c r="J117" i="11"/>
  <c r="K117" i="11" s="1"/>
  <c r="B118" i="11"/>
  <c r="J118" i="11"/>
  <c r="K118" i="11" s="1"/>
  <c r="B119" i="11"/>
  <c r="J119" i="11"/>
  <c r="K119" i="11" s="1"/>
  <c r="B120" i="11"/>
  <c r="J120" i="11"/>
  <c r="K120" i="11" s="1"/>
  <c r="B121" i="11"/>
  <c r="J121" i="11"/>
  <c r="K121" i="11" s="1"/>
  <c r="B122" i="11"/>
  <c r="J122" i="11"/>
  <c r="K122" i="11" s="1"/>
  <c r="B123" i="11"/>
  <c r="J123" i="11"/>
  <c r="K123" i="11" s="1"/>
  <c r="B124" i="11"/>
  <c r="J124" i="11"/>
  <c r="K124" i="11" s="1"/>
  <c r="B125" i="11"/>
  <c r="J125" i="11"/>
  <c r="K125" i="11"/>
  <c r="B126" i="11"/>
  <c r="J126" i="11"/>
  <c r="K126" i="11" s="1"/>
  <c r="B127" i="11"/>
  <c r="J127" i="11"/>
  <c r="K127" i="11" s="1"/>
  <c r="B128" i="11"/>
  <c r="J128" i="11"/>
  <c r="K128" i="11" s="1"/>
  <c r="B129" i="11"/>
  <c r="J129" i="11"/>
  <c r="K129" i="11" s="1"/>
  <c r="B130" i="11"/>
  <c r="J130" i="11"/>
  <c r="K130" i="11" s="1"/>
  <c r="B131" i="11"/>
  <c r="J131" i="11"/>
  <c r="K131" i="11" s="1"/>
  <c r="B132" i="11"/>
  <c r="J132" i="11"/>
  <c r="K132" i="11" s="1"/>
  <c r="B133" i="11"/>
  <c r="J133" i="11"/>
  <c r="K133" i="11" s="1"/>
  <c r="B134" i="11"/>
  <c r="J134" i="11"/>
  <c r="K134" i="11" s="1"/>
  <c r="B135" i="11"/>
  <c r="J135" i="11"/>
  <c r="K135" i="11" s="1"/>
  <c r="B136" i="11"/>
  <c r="J136" i="11"/>
  <c r="K136" i="11" s="1"/>
  <c r="B137" i="11"/>
  <c r="J137" i="11"/>
  <c r="K137" i="11" s="1"/>
  <c r="B9" i="1"/>
  <c r="J9" i="1"/>
  <c r="N9" i="1" s="1"/>
  <c r="B10" i="1"/>
  <c r="J10" i="1"/>
  <c r="N10" i="1" s="1"/>
  <c r="B11" i="1"/>
  <c r="J11" i="1"/>
  <c r="N11" i="1" s="1"/>
  <c r="B12" i="1"/>
  <c r="J12" i="1"/>
  <c r="N12" i="1" s="1"/>
  <c r="B13" i="1"/>
  <c r="J13" i="1"/>
  <c r="N13" i="1" s="1"/>
  <c r="B14" i="1"/>
  <c r="J14" i="1"/>
  <c r="N14" i="1" s="1"/>
  <c r="B15" i="1"/>
  <c r="J15" i="1"/>
  <c r="N15" i="1" s="1"/>
  <c r="B16" i="1"/>
  <c r="J16" i="1"/>
  <c r="N16" i="1" s="1"/>
  <c r="B17" i="1"/>
  <c r="J17" i="1"/>
  <c r="N17" i="1" s="1"/>
  <c r="B18" i="1"/>
  <c r="J18" i="1"/>
  <c r="N18" i="1" s="1"/>
  <c r="B19" i="1"/>
  <c r="J19" i="1"/>
  <c r="N19" i="1" s="1"/>
  <c r="B20" i="1"/>
  <c r="J20" i="1"/>
  <c r="N20" i="1" s="1"/>
  <c r="B21" i="1"/>
  <c r="J21" i="1"/>
  <c r="N21" i="1" s="1"/>
  <c r="B22" i="1"/>
  <c r="J22" i="1"/>
  <c r="N22" i="1" s="1"/>
  <c r="B23" i="1"/>
  <c r="J23" i="1"/>
  <c r="N23" i="1" s="1"/>
  <c r="B24" i="1"/>
  <c r="J24" i="1"/>
  <c r="N24" i="1" s="1"/>
  <c r="B25" i="1"/>
  <c r="J25" i="1"/>
  <c r="N25" i="1" s="1"/>
  <c r="B26" i="1"/>
  <c r="J26" i="1"/>
  <c r="N26" i="1" s="1"/>
  <c r="B27" i="1"/>
  <c r="J27" i="1"/>
  <c r="N27" i="1" s="1"/>
  <c r="B28" i="1"/>
  <c r="J28" i="1"/>
  <c r="N28" i="1" s="1"/>
  <c r="B29" i="1"/>
  <c r="J29" i="1"/>
  <c r="N29" i="1" s="1"/>
  <c r="B30" i="1"/>
  <c r="J30" i="1"/>
  <c r="N30" i="1" s="1"/>
  <c r="B31" i="1"/>
  <c r="J31" i="1"/>
  <c r="N31" i="1" s="1"/>
  <c r="B32" i="1"/>
  <c r="J32" i="1"/>
  <c r="N32" i="1" s="1"/>
  <c r="B33" i="1"/>
  <c r="J33" i="1"/>
  <c r="N33" i="1" s="1"/>
  <c r="B34" i="1"/>
  <c r="J34" i="1"/>
  <c r="N34" i="1" s="1"/>
  <c r="B35" i="1"/>
  <c r="J35" i="1"/>
  <c r="N35" i="1" s="1"/>
  <c r="B36" i="1"/>
  <c r="J36" i="1"/>
  <c r="N36" i="1" s="1"/>
  <c r="B37" i="1"/>
  <c r="J37" i="1"/>
  <c r="N37" i="1" s="1"/>
  <c r="B38" i="1"/>
  <c r="J38" i="1"/>
  <c r="N38" i="1" s="1"/>
  <c r="B39" i="1"/>
  <c r="J39" i="1"/>
  <c r="N39" i="1" s="1"/>
  <c r="B40" i="1"/>
  <c r="J40" i="1"/>
  <c r="N40" i="1" s="1"/>
  <c r="B41" i="1"/>
  <c r="J41" i="1"/>
  <c r="N41" i="1" s="1"/>
  <c r="B42" i="1"/>
  <c r="J42" i="1"/>
  <c r="N42" i="1" s="1"/>
  <c r="B43" i="1"/>
  <c r="J43" i="1"/>
  <c r="N43" i="1" s="1"/>
  <c r="B44" i="1"/>
  <c r="J44" i="1"/>
  <c r="N44" i="1" s="1"/>
  <c r="B45" i="1"/>
  <c r="J45" i="1"/>
  <c r="N45" i="1" s="1"/>
  <c r="B46" i="1"/>
  <c r="J46" i="1"/>
  <c r="N46" i="1" s="1"/>
  <c r="B47" i="1"/>
  <c r="J47" i="1"/>
  <c r="N47" i="1" s="1"/>
  <c r="B48" i="1"/>
  <c r="J48" i="1"/>
  <c r="N48" i="1" s="1"/>
  <c r="B49" i="1"/>
  <c r="J49" i="1"/>
  <c r="N49" i="1" s="1"/>
  <c r="B50" i="1"/>
  <c r="J50" i="1"/>
  <c r="N50" i="1" s="1"/>
  <c r="B51" i="1"/>
  <c r="J51" i="1"/>
  <c r="N51" i="1" s="1"/>
  <c r="B52" i="1"/>
  <c r="J52" i="1"/>
  <c r="N52" i="1" s="1"/>
  <c r="B53" i="1"/>
  <c r="J53" i="1"/>
  <c r="N53" i="1" s="1"/>
  <c r="B54" i="1"/>
  <c r="J54" i="1"/>
  <c r="N54" i="1" s="1"/>
  <c r="B55" i="1"/>
  <c r="J55" i="1"/>
  <c r="N55" i="1" s="1"/>
  <c r="B56" i="1"/>
  <c r="J56" i="1"/>
  <c r="N56" i="1" s="1"/>
  <c r="B57" i="1"/>
  <c r="J57" i="1"/>
  <c r="N57" i="1" s="1"/>
  <c r="B58" i="1"/>
  <c r="J58" i="1"/>
  <c r="N58" i="1" s="1"/>
  <c r="B59" i="1"/>
  <c r="J59" i="1"/>
  <c r="N59" i="1" s="1"/>
  <c r="B60" i="1"/>
  <c r="J60" i="1"/>
  <c r="N60" i="1" s="1"/>
  <c r="B61" i="1"/>
  <c r="J61" i="1"/>
  <c r="N61" i="1" s="1"/>
  <c r="B62" i="1"/>
  <c r="J62" i="1"/>
  <c r="N62" i="1" s="1"/>
  <c r="B63" i="1"/>
  <c r="J63" i="1"/>
  <c r="N63" i="1" s="1"/>
  <c r="B64" i="1"/>
  <c r="J64" i="1"/>
  <c r="N64" i="1" s="1"/>
  <c r="B65" i="1"/>
  <c r="J65" i="1"/>
  <c r="N65" i="1" s="1"/>
  <c r="B66" i="1"/>
  <c r="J66" i="1"/>
  <c r="N66" i="1" s="1"/>
  <c r="B67" i="1"/>
  <c r="J67" i="1"/>
  <c r="N67" i="1" s="1"/>
  <c r="B68" i="1"/>
  <c r="J68" i="1"/>
  <c r="N68" i="1" s="1"/>
  <c r="B69" i="1"/>
  <c r="J69" i="1"/>
  <c r="N69" i="1" s="1"/>
  <c r="B70" i="1"/>
  <c r="J70" i="1"/>
  <c r="N70" i="1" s="1"/>
  <c r="B71" i="1"/>
  <c r="J71" i="1"/>
  <c r="N71" i="1" s="1"/>
  <c r="B72" i="1"/>
  <c r="J72" i="1"/>
  <c r="N72" i="1" s="1"/>
  <c r="B73" i="1"/>
  <c r="J73" i="1"/>
  <c r="N73" i="1" s="1"/>
  <c r="B74" i="1"/>
  <c r="J74" i="1"/>
  <c r="N74" i="1" s="1"/>
  <c r="B75" i="1"/>
  <c r="J75" i="1"/>
  <c r="N75" i="1" s="1"/>
  <c r="B76" i="1"/>
  <c r="J76" i="1"/>
  <c r="N76" i="1" s="1"/>
  <c r="B77" i="1"/>
  <c r="J77" i="1"/>
  <c r="N77" i="1" s="1"/>
  <c r="B78" i="1"/>
  <c r="J78" i="1"/>
  <c r="N78" i="1" s="1"/>
  <c r="B79" i="1"/>
  <c r="J79" i="1"/>
  <c r="N79" i="1" s="1"/>
  <c r="B80" i="1"/>
  <c r="J80" i="1"/>
  <c r="N80" i="1" s="1"/>
  <c r="B81" i="1"/>
  <c r="J81" i="1"/>
  <c r="N81" i="1" s="1"/>
  <c r="B82" i="1"/>
  <c r="J82" i="1"/>
  <c r="N82" i="1" s="1"/>
  <c r="B83" i="1"/>
  <c r="J83" i="1"/>
  <c r="N83" i="1" s="1"/>
  <c r="B84" i="1"/>
  <c r="J84" i="1"/>
  <c r="N84" i="1" s="1"/>
  <c r="B85" i="1"/>
  <c r="J85" i="1"/>
  <c r="N85" i="1" s="1"/>
  <c r="B86" i="1"/>
  <c r="J86" i="1"/>
  <c r="N86" i="1" s="1"/>
  <c r="B87" i="1"/>
  <c r="J87" i="1"/>
  <c r="N87" i="1" s="1"/>
  <c r="B88" i="1"/>
  <c r="J88" i="1"/>
  <c r="N88" i="1" s="1"/>
  <c r="B89" i="1"/>
  <c r="J89" i="1"/>
  <c r="N89" i="1" s="1"/>
  <c r="B90" i="1"/>
  <c r="J90" i="1"/>
  <c r="N90" i="1" s="1"/>
  <c r="B91" i="1"/>
  <c r="J91" i="1"/>
  <c r="N91" i="1" s="1"/>
  <c r="B92" i="1"/>
  <c r="J92" i="1"/>
  <c r="N92" i="1" s="1"/>
  <c r="B93" i="1"/>
  <c r="J93" i="1"/>
  <c r="N93" i="1" s="1"/>
  <c r="B94" i="1"/>
  <c r="J94" i="1"/>
  <c r="N94" i="1" s="1"/>
  <c r="B95" i="1"/>
  <c r="J95" i="1"/>
  <c r="N95" i="1" s="1"/>
  <c r="B96" i="1"/>
  <c r="J96" i="1"/>
  <c r="N96" i="1" s="1"/>
  <c r="B97" i="1"/>
  <c r="J97" i="1"/>
  <c r="N97" i="1" s="1"/>
  <c r="B98" i="1"/>
  <c r="J98" i="1"/>
  <c r="N98" i="1" s="1"/>
  <c r="B99" i="1"/>
  <c r="J99" i="1"/>
  <c r="N99" i="1" s="1"/>
  <c r="B100" i="1"/>
  <c r="J100" i="1"/>
  <c r="N100" i="1" s="1"/>
  <c r="B101" i="1"/>
  <c r="J101" i="1"/>
  <c r="N101" i="1" s="1"/>
  <c r="B102" i="1"/>
  <c r="J102" i="1"/>
  <c r="N102" i="1" s="1"/>
  <c r="B103" i="1"/>
  <c r="J103" i="1"/>
  <c r="N103" i="1" s="1"/>
  <c r="B104" i="1"/>
  <c r="J104" i="1"/>
  <c r="N104" i="1" s="1"/>
  <c r="B105" i="1"/>
  <c r="J105" i="1"/>
  <c r="N105" i="1" s="1"/>
  <c r="B106" i="1"/>
  <c r="J106" i="1"/>
  <c r="N106" i="1" s="1"/>
  <c r="B107" i="1"/>
  <c r="J107" i="1"/>
  <c r="N107" i="1" s="1"/>
  <c r="B108" i="1"/>
  <c r="J108" i="1"/>
  <c r="N108" i="1" s="1"/>
  <c r="B109" i="1"/>
  <c r="J109" i="1"/>
  <c r="N109" i="1" s="1"/>
  <c r="B110" i="1"/>
  <c r="J110" i="1"/>
  <c r="N110" i="1" s="1"/>
  <c r="B111" i="1"/>
  <c r="J111" i="1"/>
  <c r="N111" i="1" s="1"/>
  <c r="B112" i="1"/>
  <c r="J112" i="1"/>
  <c r="N112" i="1" s="1"/>
  <c r="B113" i="1"/>
  <c r="J113" i="1"/>
  <c r="N113" i="1" s="1"/>
  <c r="B114" i="1"/>
  <c r="J114" i="1"/>
  <c r="N114" i="1" s="1"/>
  <c r="B115" i="1"/>
  <c r="J115" i="1"/>
  <c r="N115" i="1" s="1"/>
  <c r="B116" i="1"/>
  <c r="J116" i="1"/>
  <c r="N116" i="1" s="1"/>
  <c r="B117" i="1"/>
  <c r="J117" i="1"/>
  <c r="N117" i="1" s="1"/>
  <c r="B118" i="1"/>
  <c r="J118" i="1"/>
  <c r="N118" i="1" s="1"/>
  <c r="B119" i="1"/>
  <c r="J119" i="1"/>
  <c r="N119" i="1" s="1"/>
  <c r="B120" i="1"/>
  <c r="J120" i="1"/>
  <c r="N120" i="1" s="1"/>
  <c r="B121" i="1"/>
  <c r="J121" i="1"/>
  <c r="N121" i="1" s="1"/>
  <c r="B122" i="1"/>
  <c r="J122" i="1"/>
  <c r="N122" i="1" s="1"/>
  <c r="B123" i="1"/>
  <c r="J123" i="1"/>
  <c r="N123" i="1" s="1"/>
  <c r="B124" i="1"/>
  <c r="J124" i="1"/>
  <c r="N124" i="1" s="1"/>
  <c r="B125" i="1"/>
  <c r="J125" i="1"/>
  <c r="N125" i="1" s="1"/>
  <c r="B126" i="1"/>
  <c r="J126" i="1"/>
  <c r="N126" i="1" s="1"/>
  <c r="B127" i="1"/>
  <c r="J127" i="1"/>
  <c r="N127" i="1" s="1"/>
  <c r="B128" i="1"/>
  <c r="J128" i="1"/>
  <c r="N128" i="1" s="1"/>
  <c r="B129" i="1"/>
  <c r="J129" i="1"/>
  <c r="N129" i="1" s="1"/>
  <c r="B130" i="1"/>
  <c r="J130" i="1"/>
  <c r="N130" i="1" s="1"/>
  <c r="B131" i="1"/>
  <c r="J131" i="1"/>
  <c r="N131" i="1" s="1"/>
  <c r="B132" i="1"/>
  <c r="J132" i="1"/>
  <c r="N132" i="1" s="1"/>
  <c r="B133" i="1"/>
  <c r="J133" i="1"/>
  <c r="N133" i="1" s="1"/>
  <c r="B134" i="1"/>
  <c r="J134" i="1"/>
  <c r="N134" i="1" s="1"/>
  <c r="B135" i="1"/>
  <c r="J135" i="1"/>
  <c r="N135" i="1" s="1"/>
  <c r="B136" i="1"/>
  <c r="J136" i="1"/>
  <c r="N136" i="1" s="1"/>
  <c r="B137" i="1"/>
  <c r="J137" i="1"/>
  <c r="N137" i="1" s="1"/>
  <c r="B138" i="1"/>
  <c r="J138" i="1"/>
  <c r="N138" i="1" s="1"/>
  <c r="B139" i="1"/>
  <c r="J139" i="1"/>
  <c r="N139" i="1" s="1"/>
  <c r="B140" i="1"/>
  <c r="J140" i="1"/>
  <c r="N140" i="1" s="1"/>
  <c r="B141" i="1"/>
  <c r="J141" i="1"/>
  <c r="N141" i="1" s="1"/>
  <c r="B142" i="1"/>
  <c r="J142" i="1"/>
  <c r="N142" i="1" s="1"/>
  <c r="B143" i="1"/>
  <c r="J143" i="1"/>
  <c r="N143" i="1" s="1"/>
  <c r="B144" i="1"/>
  <c r="J144" i="1"/>
  <c r="N144" i="1" s="1"/>
  <c r="B145" i="1"/>
  <c r="J145" i="1"/>
  <c r="N145" i="1" s="1"/>
  <c r="B146" i="1"/>
  <c r="J146" i="1"/>
  <c r="N146" i="1" s="1"/>
  <c r="B147" i="1"/>
  <c r="J147" i="1"/>
  <c r="N147" i="1" s="1"/>
  <c r="B148" i="1"/>
  <c r="J148" i="1"/>
  <c r="N148" i="1" s="1"/>
  <c r="B149" i="1"/>
  <c r="J149" i="1"/>
  <c r="N149" i="1" s="1"/>
  <c r="B150" i="1"/>
  <c r="J150" i="1"/>
  <c r="N150" i="1" s="1"/>
  <c r="B151" i="1"/>
  <c r="J151" i="1"/>
  <c r="N151" i="1" s="1"/>
  <c r="B152" i="1"/>
  <c r="J152" i="1"/>
  <c r="N152" i="1" s="1"/>
  <c r="B153" i="1"/>
  <c r="J153" i="1"/>
  <c r="N153" i="1" s="1"/>
  <c r="B154" i="1"/>
  <c r="J154" i="1"/>
  <c r="N154" i="1" s="1"/>
  <c r="B155" i="1"/>
  <c r="J155" i="1"/>
  <c r="N155" i="1" s="1"/>
  <c r="B156" i="1"/>
  <c r="J156" i="1"/>
  <c r="N156" i="1" s="1"/>
  <c r="B157" i="1"/>
  <c r="J157" i="1"/>
  <c r="N157" i="1" s="1"/>
  <c r="B158" i="1"/>
  <c r="J158" i="1"/>
  <c r="N158" i="1" s="1"/>
  <c r="B159" i="1"/>
  <c r="J159" i="1"/>
  <c r="N159" i="1" s="1"/>
  <c r="B160" i="1"/>
  <c r="J160" i="1"/>
  <c r="N160" i="1" s="1"/>
  <c r="B161" i="1"/>
  <c r="J161" i="1"/>
  <c r="N161" i="1" s="1"/>
  <c r="B162" i="1"/>
  <c r="J162" i="1"/>
  <c r="N162" i="1" s="1"/>
  <c r="B163" i="1"/>
  <c r="J163" i="1"/>
  <c r="N163" i="1" s="1"/>
  <c r="B164" i="1"/>
  <c r="J164" i="1"/>
  <c r="N164" i="1" s="1"/>
  <c r="B165" i="1"/>
  <c r="J165" i="1"/>
  <c r="N165" i="1" s="1"/>
  <c r="B166" i="1"/>
  <c r="J166" i="1"/>
  <c r="N166" i="1" s="1"/>
  <c r="B167" i="1"/>
  <c r="J167" i="1"/>
  <c r="N167" i="1" s="1"/>
  <c r="B168" i="1"/>
  <c r="J168" i="1"/>
  <c r="N168" i="1" s="1"/>
  <c r="B169" i="1"/>
  <c r="J169" i="1"/>
  <c r="N169" i="1" s="1"/>
  <c r="B170" i="1"/>
  <c r="J170" i="1"/>
  <c r="N170" i="1" s="1"/>
  <c r="B171" i="1"/>
  <c r="J171" i="1"/>
  <c r="N171" i="1" s="1"/>
  <c r="B172" i="1"/>
  <c r="J172" i="1"/>
  <c r="N172" i="1" s="1"/>
  <c r="B173" i="1"/>
  <c r="J173" i="1"/>
  <c r="N173" i="1" s="1"/>
  <c r="B174" i="1"/>
  <c r="J174" i="1"/>
  <c r="N174" i="1" s="1"/>
  <c r="B175" i="1"/>
  <c r="J175" i="1"/>
  <c r="N175" i="1" s="1"/>
  <c r="B176" i="1"/>
  <c r="J176" i="1"/>
  <c r="N176" i="1" s="1"/>
  <c r="B177" i="1"/>
  <c r="J177" i="1"/>
  <c r="N177" i="1" s="1"/>
  <c r="B178" i="1"/>
  <c r="J178" i="1"/>
  <c r="N178" i="1" s="1"/>
  <c r="B179" i="1"/>
  <c r="J179" i="1"/>
  <c r="N179" i="1" s="1"/>
  <c r="B180" i="1"/>
  <c r="J180" i="1"/>
  <c r="N180" i="1" s="1"/>
  <c r="B181" i="1"/>
  <c r="J181" i="1"/>
  <c r="N181" i="1" s="1"/>
  <c r="B182" i="1"/>
  <c r="J182" i="1"/>
  <c r="N182" i="1" s="1"/>
  <c r="B183" i="1"/>
  <c r="J183" i="1"/>
  <c r="N183" i="1" s="1"/>
  <c r="B184" i="1"/>
  <c r="J184" i="1"/>
  <c r="N184" i="1" s="1"/>
  <c r="B185" i="1"/>
  <c r="J185" i="1"/>
  <c r="N185" i="1" s="1"/>
  <c r="B186" i="1"/>
  <c r="J186" i="1"/>
  <c r="N186" i="1" s="1"/>
  <c r="B187" i="1"/>
  <c r="J187" i="1"/>
  <c r="N187" i="1" s="1"/>
  <c r="B188" i="1"/>
  <c r="J188" i="1"/>
  <c r="N188" i="1" s="1"/>
  <c r="B189" i="1"/>
  <c r="J189" i="1"/>
  <c r="N189" i="1" s="1"/>
  <c r="B190" i="1"/>
  <c r="J190" i="1"/>
  <c r="N190" i="1" s="1"/>
  <c r="B191" i="1"/>
  <c r="J191" i="1"/>
  <c r="N191" i="1" s="1"/>
  <c r="B192" i="1"/>
  <c r="J192" i="1"/>
  <c r="N192" i="1" s="1"/>
  <c r="B193" i="1"/>
  <c r="J193" i="1"/>
  <c r="N193" i="1" s="1"/>
  <c r="B194" i="1"/>
  <c r="J194" i="1"/>
  <c r="N194" i="1" s="1"/>
  <c r="B195" i="1"/>
  <c r="J195" i="1"/>
  <c r="N195" i="1" s="1"/>
  <c r="B196" i="1"/>
  <c r="J196" i="1"/>
  <c r="N196" i="1" s="1"/>
  <c r="B197" i="1"/>
  <c r="J197" i="1"/>
  <c r="N197" i="1" s="1"/>
  <c r="B198" i="1"/>
  <c r="J198" i="1"/>
  <c r="N198" i="1" s="1"/>
  <c r="B199" i="1"/>
  <c r="J199" i="1"/>
  <c r="N199" i="1" s="1"/>
  <c r="B200" i="1"/>
  <c r="J200" i="1"/>
  <c r="N200" i="1" s="1"/>
  <c r="B201" i="1"/>
  <c r="J201" i="1"/>
  <c r="N201" i="1" s="1"/>
  <c r="B202" i="1"/>
  <c r="J202" i="1"/>
  <c r="N202" i="1" s="1"/>
  <c r="B203" i="1"/>
  <c r="J203" i="1"/>
  <c r="N203" i="1" s="1"/>
  <c r="B204" i="1"/>
  <c r="J204" i="1"/>
  <c r="N204" i="1" s="1"/>
  <c r="B205" i="1"/>
  <c r="J205" i="1"/>
  <c r="N205" i="1" s="1"/>
  <c r="B206" i="1"/>
  <c r="J206" i="1"/>
  <c r="N206" i="1" s="1"/>
  <c r="B207" i="1"/>
  <c r="J207" i="1"/>
  <c r="N207" i="1" s="1"/>
  <c r="B208" i="1"/>
  <c r="J208" i="1"/>
  <c r="N208" i="1" s="1"/>
  <c r="B209" i="1"/>
  <c r="J209" i="1"/>
  <c r="N209" i="1" s="1"/>
  <c r="B210" i="1"/>
  <c r="J210" i="1"/>
  <c r="N210" i="1" s="1"/>
  <c r="B211" i="1"/>
  <c r="J211" i="1"/>
  <c r="N211" i="1" s="1"/>
  <c r="B212" i="1"/>
  <c r="J212" i="1"/>
  <c r="N212" i="1" s="1"/>
  <c r="B213" i="1"/>
  <c r="J213" i="1"/>
  <c r="N213" i="1" s="1"/>
  <c r="B214" i="1"/>
  <c r="J214" i="1"/>
  <c r="N214" i="1" s="1"/>
  <c r="B215" i="1"/>
  <c r="J215" i="1"/>
  <c r="N215" i="1" s="1"/>
  <c r="B216" i="1"/>
  <c r="J216" i="1"/>
  <c r="N216" i="1" s="1"/>
  <c r="B217" i="1"/>
  <c r="J217" i="1"/>
  <c r="N217" i="1" s="1"/>
  <c r="B218" i="1"/>
  <c r="J218" i="1"/>
  <c r="N218" i="1" s="1"/>
  <c r="B219" i="1"/>
  <c r="J219" i="1"/>
  <c r="N219" i="1" s="1"/>
  <c r="B220" i="1"/>
  <c r="J220" i="1"/>
  <c r="N220" i="1" s="1"/>
  <c r="B221" i="1"/>
  <c r="J221" i="1"/>
  <c r="N221" i="1" s="1"/>
  <c r="B222" i="1"/>
  <c r="J222" i="1"/>
  <c r="N222" i="1" s="1"/>
  <c r="B223" i="1"/>
  <c r="J223" i="1"/>
  <c r="N223" i="1" s="1"/>
  <c r="B224" i="1"/>
  <c r="J224" i="1"/>
  <c r="N224" i="1" s="1"/>
  <c r="B225" i="1"/>
  <c r="J225" i="1"/>
  <c r="N225" i="1" s="1"/>
  <c r="B226" i="1"/>
  <c r="J226" i="1"/>
  <c r="N226" i="1" s="1"/>
  <c r="B227" i="1"/>
  <c r="J227" i="1"/>
  <c r="N227" i="1" s="1"/>
  <c r="B228" i="1"/>
  <c r="J228" i="1"/>
  <c r="N228" i="1" s="1"/>
  <c r="B229" i="1"/>
  <c r="J229" i="1"/>
  <c r="N229" i="1" s="1"/>
  <c r="B230" i="1"/>
  <c r="J230" i="1"/>
  <c r="N230" i="1" s="1"/>
  <c r="B231" i="1"/>
  <c r="J231" i="1"/>
  <c r="N231" i="1" s="1"/>
  <c r="B232" i="1"/>
  <c r="J232" i="1"/>
  <c r="N232" i="1" s="1"/>
  <c r="B233" i="1"/>
  <c r="J233" i="1"/>
  <c r="N233" i="1" s="1"/>
  <c r="B234" i="1"/>
  <c r="J234" i="1"/>
  <c r="N234" i="1" s="1"/>
  <c r="B235" i="1"/>
  <c r="J235" i="1"/>
  <c r="N235" i="1" s="1"/>
  <c r="B236" i="1"/>
  <c r="J236" i="1"/>
  <c r="N236" i="1" s="1"/>
  <c r="B237" i="1"/>
  <c r="J237" i="1"/>
  <c r="N237" i="1" s="1"/>
  <c r="B238" i="1"/>
  <c r="J238" i="1"/>
  <c r="N238" i="1" s="1"/>
  <c r="B239" i="1"/>
  <c r="J239" i="1"/>
  <c r="N239" i="1" s="1"/>
  <c r="B240" i="1"/>
  <c r="J240" i="1"/>
  <c r="N240" i="1" s="1"/>
  <c r="B241" i="1"/>
  <c r="J241" i="1"/>
  <c r="N241" i="1" s="1"/>
  <c r="B242" i="1"/>
  <c r="J242" i="1"/>
  <c r="N242" i="1" s="1"/>
  <c r="B243" i="1"/>
  <c r="J243" i="1"/>
  <c r="N243" i="1" s="1"/>
  <c r="B244" i="1"/>
  <c r="J244" i="1"/>
  <c r="N244" i="1" s="1"/>
  <c r="B245" i="1"/>
  <c r="J245" i="1"/>
  <c r="N245" i="1" s="1"/>
  <c r="B246" i="1"/>
  <c r="J246" i="1"/>
  <c r="N246" i="1" s="1"/>
  <c r="B247" i="1"/>
  <c r="J247" i="1"/>
  <c r="N247" i="1" s="1"/>
  <c r="B248" i="1"/>
  <c r="J248" i="1"/>
  <c r="N248" i="1" s="1"/>
  <c r="B249" i="1"/>
  <c r="J249" i="1"/>
  <c r="N249" i="1" s="1"/>
  <c r="B250" i="1"/>
  <c r="J250" i="1"/>
  <c r="N250" i="1" s="1"/>
  <c r="B251" i="1"/>
  <c r="J251" i="1"/>
  <c r="N251" i="1" s="1"/>
  <c r="B252" i="1"/>
  <c r="J252" i="1"/>
  <c r="N252" i="1" s="1"/>
  <c r="B253" i="1"/>
  <c r="J253" i="1"/>
  <c r="N253" i="1" s="1"/>
  <c r="B254" i="1"/>
  <c r="J254" i="1"/>
  <c r="N254" i="1" s="1"/>
  <c r="B255" i="1"/>
  <c r="J255" i="1"/>
  <c r="N255" i="1" s="1"/>
  <c r="B256" i="1"/>
  <c r="J256" i="1"/>
  <c r="N256" i="1" s="1"/>
  <c r="B257" i="1"/>
  <c r="J257" i="1"/>
  <c r="N257" i="1" s="1"/>
  <c r="B258" i="1"/>
  <c r="J258" i="1"/>
  <c r="N258" i="1" s="1"/>
  <c r="B259" i="1"/>
  <c r="J259" i="1"/>
  <c r="N259" i="1" s="1"/>
  <c r="B260" i="1"/>
  <c r="J260" i="1"/>
  <c r="N260" i="1" s="1"/>
  <c r="B261" i="1"/>
  <c r="J261" i="1"/>
  <c r="N261" i="1" s="1"/>
  <c r="B262" i="1"/>
  <c r="J262" i="1"/>
  <c r="N262" i="1" s="1"/>
  <c r="B263" i="1"/>
  <c r="J263" i="1"/>
  <c r="N263" i="1" s="1"/>
  <c r="B264" i="1"/>
  <c r="J264" i="1"/>
  <c r="N264" i="1" s="1"/>
  <c r="B265" i="1"/>
  <c r="J265" i="1"/>
  <c r="N265" i="1" s="1"/>
  <c r="B266" i="1"/>
  <c r="J266" i="1"/>
  <c r="N266" i="1" s="1"/>
  <c r="B267" i="1"/>
  <c r="J267" i="1"/>
  <c r="N267" i="1" s="1"/>
  <c r="B268" i="1"/>
  <c r="J268" i="1"/>
  <c r="N268" i="1" s="1"/>
  <c r="B269" i="1"/>
  <c r="J269" i="1"/>
  <c r="N269" i="1" s="1"/>
  <c r="B270" i="1"/>
  <c r="J270" i="1"/>
  <c r="N270" i="1" s="1"/>
  <c r="B271" i="1"/>
  <c r="J271" i="1"/>
  <c r="N271" i="1" s="1"/>
  <c r="B272" i="1"/>
  <c r="J272" i="1"/>
  <c r="N272" i="1" s="1"/>
  <c r="B273" i="1"/>
  <c r="J273" i="1"/>
  <c r="N273" i="1" s="1"/>
  <c r="B274" i="1"/>
  <c r="J274" i="1"/>
  <c r="N274" i="1" s="1"/>
  <c r="B275" i="1"/>
  <c r="J275" i="1"/>
  <c r="N275" i="1" s="1"/>
  <c r="B276" i="1"/>
  <c r="J276" i="1"/>
  <c r="N276" i="1" s="1"/>
  <c r="B277" i="1"/>
  <c r="J277" i="1"/>
  <c r="N277" i="1" s="1"/>
  <c r="B278" i="1"/>
  <c r="J278" i="1"/>
  <c r="N278" i="1" s="1"/>
  <c r="B279" i="1"/>
  <c r="J279" i="1"/>
  <c r="N279" i="1" s="1"/>
  <c r="B280" i="1"/>
  <c r="J280" i="1"/>
  <c r="N280" i="1" s="1"/>
  <c r="B281" i="1"/>
  <c r="J281" i="1"/>
  <c r="N281" i="1" s="1"/>
  <c r="B282" i="1"/>
  <c r="J282" i="1"/>
  <c r="N282" i="1" s="1"/>
  <c r="B283" i="1"/>
  <c r="J283" i="1"/>
  <c r="N283" i="1" s="1"/>
  <c r="B284" i="1"/>
  <c r="J284" i="1"/>
  <c r="N284" i="1" s="1"/>
  <c r="B285" i="1"/>
  <c r="J285" i="1"/>
  <c r="N285" i="1" s="1"/>
  <c r="B286" i="1"/>
  <c r="J286" i="1"/>
  <c r="N286" i="1" s="1"/>
  <c r="B287" i="1"/>
  <c r="J287" i="1"/>
  <c r="N287" i="1" s="1"/>
  <c r="B288" i="1"/>
  <c r="J288" i="1"/>
  <c r="N288" i="1" s="1"/>
  <c r="B289" i="1"/>
  <c r="J289" i="1"/>
  <c r="N289" i="1" s="1"/>
  <c r="B290" i="1"/>
  <c r="J290" i="1"/>
  <c r="N290" i="1" s="1"/>
  <c r="B291" i="1"/>
  <c r="J291" i="1"/>
  <c r="N291" i="1" s="1"/>
  <c r="B292" i="1"/>
  <c r="J292" i="1"/>
  <c r="N292" i="1" s="1"/>
  <c r="B293" i="1"/>
  <c r="J293" i="1"/>
  <c r="N293" i="1" s="1"/>
  <c r="B294" i="1"/>
  <c r="J294" i="1"/>
  <c r="N294" i="1" s="1"/>
  <c r="B295" i="1"/>
  <c r="J295" i="1"/>
  <c r="N295" i="1" s="1"/>
  <c r="B296" i="1"/>
  <c r="J296" i="1"/>
  <c r="N296" i="1" s="1"/>
  <c r="B297" i="1"/>
  <c r="J297" i="1"/>
  <c r="N297" i="1" s="1"/>
  <c r="B298" i="1"/>
  <c r="J298" i="1"/>
  <c r="N298" i="1" s="1"/>
  <c r="B299" i="1"/>
  <c r="J299" i="1"/>
  <c r="N299" i="1" s="1"/>
  <c r="B300" i="1"/>
  <c r="J300" i="1"/>
  <c r="N300" i="1" s="1"/>
  <c r="B301" i="1"/>
  <c r="J301" i="1"/>
  <c r="N301" i="1" s="1"/>
  <c r="B302" i="1"/>
  <c r="J302" i="1"/>
  <c r="N302" i="1" s="1"/>
  <c r="B303" i="1"/>
  <c r="J303" i="1"/>
  <c r="N303" i="1" s="1"/>
  <c r="B304" i="1"/>
  <c r="J304" i="1"/>
  <c r="N304" i="1" s="1"/>
  <c r="B305" i="1"/>
  <c r="J305" i="1"/>
  <c r="N305" i="1" s="1"/>
  <c r="B306" i="1"/>
  <c r="J306" i="1"/>
  <c r="N306" i="1" s="1"/>
  <c r="B307" i="1"/>
  <c r="J307" i="1"/>
  <c r="N307" i="1" s="1"/>
  <c r="B308" i="1"/>
  <c r="J308" i="1"/>
  <c r="N308" i="1" s="1"/>
  <c r="B309" i="1"/>
  <c r="J309" i="1"/>
  <c r="N309" i="1" s="1"/>
  <c r="B310" i="1"/>
  <c r="J310" i="1"/>
  <c r="N310" i="1" s="1"/>
  <c r="B311" i="1"/>
  <c r="J311" i="1"/>
  <c r="N311" i="1" s="1"/>
  <c r="B312" i="1"/>
  <c r="J312" i="1"/>
  <c r="N312" i="1" s="1"/>
  <c r="B313" i="1"/>
  <c r="J313" i="1"/>
  <c r="N313" i="1" s="1"/>
  <c r="B314" i="1"/>
  <c r="J314" i="1"/>
  <c r="N314" i="1" s="1"/>
  <c r="B315" i="1"/>
  <c r="J315" i="1"/>
  <c r="N315" i="1" s="1"/>
  <c r="B316" i="1"/>
  <c r="J316" i="1"/>
  <c r="N316" i="1" s="1"/>
  <c r="B317" i="1"/>
  <c r="J317" i="1"/>
  <c r="N317" i="1" s="1"/>
  <c r="B318" i="1"/>
  <c r="J318" i="1"/>
  <c r="N318" i="1" s="1"/>
  <c r="B319" i="1"/>
  <c r="J319" i="1"/>
  <c r="N319" i="1" s="1"/>
  <c r="B320" i="1"/>
  <c r="J320" i="1"/>
  <c r="N320" i="1" s="1"/>
  <c r="B321" i="1"/>
  <c r="J321" i="1"/>
  <c r="N321" i="1" s="1"/>
  <c r="B322" i="1"/>
  <c r="J322" i="1"/>
  <c r="N322" i="1" s="1"/>
  <c r="B323" i="1"/>
  <c r="J323" i="1"/>
  <c r="N323" i="1" s="1"/>
  <c r="B324" i="1"/>
  <c r="J324" i="1"/>
  <c r="N324" i="1" s="1"/>
  <c r="B325" i="1"/>
  <c r="J325" i="1"/>
  <c r="N325" i="1" s="1"/>
  <c r="B326" i="1"/>
  <c r="J326" i="1"/>
  <c r="N326" i="1" s="1"/>
  <c r="B327" i="1"/>
  <c r="J327" i="1"/>
  <c r="N327" i="1" s="1"/>
  <c r="B328" i="1"/>
  <c r="J328" i="1"/>
  <c r="N328" i="1" s="1"/>
  <c r="B329" i="1"/>
  <c r="J329" i="1"/>
  <c r="N329" i="1" s="1"/>
  <c r="B330" i="1"/>
  <c r="J330" i="1"/>
  <c r="N330" i="1" s="1"/>
  <c r="B331" i="1"/>
  <c r="J331" i="1"/>
  <c r="N331" i="1" s="1"/>
  <c r="B332" i="1"/>
  <c r="J332" i="1"/>
  <c r="N332" i="1" s="1"/>
  <c r="B333" i="1"/>
  <c r="J333" i="1"/>
  <c r="N333" i="1" s="1"/>
  <c r="B334" i="1"/>
  <c r="J334" i="1"/>
  <c r="N334" i="1" s="1"/>
  <c r="B335" i="1"/>
  <c r="J335" i="1"/>
  <c r="N335" i="1" s="1"/>
  <c r="B336" i="1"/>
  <c r="J336" i="1"/>
  <c r="N336" i="1" s="1"/>
  <c r="B337" i="1"/>
  <c r="J337" i="1"/>
  <c r="N337" i="1" s="1"/>
  <c r="B338" i="1"/>
  <c r="J338" i="1"/>
  <c r="N338" i="1" s="1"/>
  <c r="B339" i="1"/>
  <c r="J339" i="1"/>
  <c r="N339" i="1" s="1"/>
  <c r="B340" i="1"/>
  <c r="J340" i="1"/>
  <c r="N340" i="1" s="1"/>
  <c r="B341" i="1"/>
  <c r="J341" i="1"/>
  <c r="N341" i="1" s="1"/>
  <c r="B342" i="1"/>
  <c r="J342" i="1"/>
  <c r="N342" i="1" s="1"/>
  <c r="B343" i="1"/>
  <c r="J343" i="1"/>
  <c r="N343" i="1" s="1"/>
  <c r="B344" i="1"/>
  <c r="J344" i="1"/>
  <c r="N344" i="1" s="1"/>
  <c r="B345" i="1"/>
  <c r="J345" i="1"/>
  <c r="N345" i="1" s="1"/>
  <c r="B346" i="1"/>
  <c r="J346" i="1"/>
  <c r="N346" i="1" s="1"/>
  <c r="B347" i="1"/>
  <c r="J347" i="1"/>
  <c r="N347" i="1" s="1"/>
  <c r="B348" i="1"/>
  <c r="J348" i="1"/>
  <c r="N348" i="1" s="1"/>
  <c r="B349" i="1"/>
  <c r="J349" i="1"/>
  <c r="N349" i="1" s="1"/>
  <c r="B350" i="1"/>
  <c r="J350" i="1"/>
  <c r="N350" i="1" s="1"/>
  <c r="B351" i="1"/>
  <c r="J351" i="1"/>
  <c r="N351" i="1" s="1"/>
  <c r="B352" i="1"/>
  <c r="J352" i="1"/>
  <c r="N352" i="1" s="1"/>
  <c r="B353" i="1"/>
  <c r="J353" i="1"/>
  <c r="N353" i="1" s="1"/>
  <c r="B354" i="1"/>
  <c r="J354" i="1"/>
  <c r="N354" i="1" s="1"/>
  <c r="B355" i="1"/>
  <c r="J355" i="1"/>
  <c r="N355" i="1" s="1"/>
  <c r="B356" i="1"/>
  <c r="J356" i="1"/>
  <c r="N356" i="1" s="1"/>
  <c r="B357" i="1"/>
  <c r="J357" i="1"/>
  <c r="N357" i="1" s="1"/>
  <c r="B358" i="1"/>
  <c r="J358" i="1"/>
  <c r="N358" i="1" s="1"/>
  <c r="B359" i="1"/>
  <c r="J359" i="1"/>
  <c r="N359" i="1" s="1"/>
  <c r="B360" i="1"/>
  <c r="J360" i="1"/>
  <c r="N360" i="1" s="1"/>
  <c r="B361" i="1"/>
  <c r="J361" i="1"/>
  <c r="N361" i="1" s="1"/>
  <c r="B362" i="1"/>
  <c r="J362" i="1"/>
  <c r="N362" i="1" s="1"/>
  <c r="B363" i="1"/>
  <c r="J363" i="1"/>
  <c r="N363" i="1" s="1"/>
  <c r="B364" i="1"/>
  <c r="J364" i="1"/>
  <c r="N364" i="1" s="1"/>
  <c r="B365" i="1"/>
  <c r="J365" i="1"/>
  <c r="N365" i="1" s="1"/>
  <c r="B366" i="1"/>
  <c r="J366" i="1"/>
  <c r="N366" i="1" s="1"/>
  <c r="S138" i="11"/>
  <c r="B5" i="1"/>
  <c r="J5" i="1"/>
  <c r="N5" i="1" s="1"/>
  <c r="B6" i="1"/>
  <c r="J6" i="1"/>
  <c r="N6" i="1" s="1"/>
  <c r="B7" i="1"/>
  <c r="J7" i="1"/>
  <c r="N7" i="1" s="1"/>
  <c r="B8" i="1"/>
  <c r="J8" i="1"/>
  <c r="N8" i="1" s="1"/>
  <c r="L138" i="11"/>
  <c r="M138" i="11"/>
  <c r="N138" i="11"/>
  <c r="O138" i="11"/>
  <c r="P138" i="11"/>
  <c r="Q138" i="11"/>
  <c r="R138" i="11"/>
  <c r="K373" i="1"/>
  <c r="L373" i="1"/>
  <c r="M373" i="1"/>
  <c r="O373" i="1"/>
  <c r="P373" i="1"/>
  <c r="T138" i="11"/>
  <c r="U138" i="11"/>
  <c r="V138" i="11"/>
  <c r="J373" i="1" l="1"/>
  <c r="K376" i="1" s="1"/>
  <c r="K138" i="11"/>
  <c r="N373" i="1"/>
  <c r="P139" i="11"/>
  <c r="J375" i="1" l="1"/>
  <c r="J376" i="1"/>
  <c r="N37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DENIS</author>
  </authors>
  <commentList>
    <comment ref="V1" authorId="0" shapeId="0" xr:uid="{00000000-0006-0000-0000-000001000000}">
      <text>
        <r>
          <rPr>
            <b/>
            <sz val="9"/>
            <color indexed="81"/>
            <rFont val="Tahoma"/>
            <family val="2"/>
          </rPr>
          <t>CONTASIS:
NUEVOS SOLES (S)
DOLARES AMERICANOS (D)</t>
        </r>
      </text>
    </comment>
    <comment ref="W1" authorId="0" shapeId="0" xr:uid="{00000000-0006-0000-0000-000002000000}">
      <text>
        <r>
          <rPr>
            <b/>
            <sz val="9"/>
            <color indexed="81"/>
            <rFont val="Tahoma"/>
            <family val="2"/>
          </rPr>
          <t>CONTASIS:
Este dato debe estar presente en todas los documentos cuya moneda sea dolares americanos</t>
        </r>
      </text>
    </comment>
    <comment ref="Y1" authorId="0" shapeId="0" xr:uid="{00000000-0006-0000-0000-000003000000}">
      <text>
        <r>
          <rPr>
            <b/>
            <sz val="9"/>
            <color indexed="81"/>
            <rFont val="Tahoma"/>
            <family val="2"/>
          </rPr>
          <t>CONTASIS:
Contado (CON)
Crédito (CRE)</t>
        </r>
      </text>
    </comment>
    <comment ref="AE1" authorId="0" shapeId="0" xr:uid="{00000000-0006-0000-0000-000004000000}">
      <text>
        <r>
          <rPr>
            <b/>
            <sz val="9"/>
            <color indexed="81"/>
            <rFont val="Tahoma"/>
            <family val="2"/>
          </rPr>
          <t>CONTASIS:
Regimen Especial
1   DETRACCION
2   PERCEPCION
3   RETENCION</t>
        </r>
      </text>
    </comment>
    <comment ref="AF1" authorId="0" shapeId="0" xr:uid="{00000000-0006-0000-0000-000005000000}">
      <text>
        <r>
          <rPr>
            <b/>
            <sz val="9"/>
            <color indexed="81"/>
            <rFont val="Tahoma"/>
            <family val="2"/>
          </rPr>
          <t>CONTASIS:
Porcentaje regimen especial</t>
        </r>
      </text>
    </comment>
    <comment ref="AG1" authorId="0" shapeId="0" xr:uid="{00000000-0006-0000-0000-000006000000}">
      <text>
        <r>
          <rPr>
            <b/>
            <sz val="9"/>
            <color indexed="81"/>
            <rFont val="Tahoma"/>
            <family val="2"/>
          </rPr>
          <t>CONTASIS:
Importe regimen especial</t>
        </r>
      </text>
    </comment>
    <comment ref="AH1" authorId="0" shapeId="0" xr:uid="{00000000-0006-0000-0000-000007000000}">
      <text>
        <r>
          <rPr>
            <b/>
            <sz val="9"/>
            <color indexed="81"/>
            <rFont val="Tahoma"/>
            <family val="2"/>
          </rPr>
          <t>CONTASIS:
Serie documento regimen especial</t>
        </r>
      </text>
    </comment>
    <comment ref="AI1" authorId="0" shapeId="0" xr:uid="{00000000-0006-0000-0000-000008000000}">
      <text>
        <r>
          <rPr>
            <b/>
            <sz val="9"/>
            <color indexed="81"/>
            <rFont val="Tahoma"/>
            <family val="2"/>
          </rPr>
          <t>CONTASIS:
Número documento regimen especial</t>
        </r>
      </text>
    </comment>
    <comment ref="AJ1" authorId="0" shapeId="0" xr:uid="{00000000-0006-0000-0000-000009000000}">
      <text>
        <r>
          <rPr>
            <b/>
            <sz val="9"/>
            <color indexed="81"/>
            <rFont val="Tahoma"/>
            <family val="2"/>
          </rPr>
          <t>CONTASIS:
Fecha documento regimen especial</t>
        </r>
      </text>
    </comment>
    <comment ref="AL1" authorId="0" shapeId="0" xr:uid="{00000000-0006-0000-0000-00000A000000}">
      <text>
        <r>
          <rPr>
            <b/>
            <sz val="9"/>
            <color indexed="81"/>
            <rFont val="Tahoma"/>
            <family val="2"/>
          </rPr>
          <t>CONTASIS:
Porcentaje I.G.V.
Ejemplo :    18.00</t>
        </r>
      </text>
    </comment>
    <comment ref="AM1" authorId="0" shapeId="0" xr:uid="{00000000-0006-0000-0000-00000B000000}">
      <text>
        <r>
          <rPr>
            <b/>
            <sz val="9"/>
            <color indexed="81"/>
            <rFont val="Tahoma"/>
            <family val="2"/>
          </rPr>
          <t>CONTASIS:
Glosa</t>
        </r>
      </text>
    </comment>
    <comment ref="AN1" authorId="0" shapeId="0" xr:uid="{00000000-0006-0000-0000-00000C000000}">
      <text>
        <r>
          <rPr>
            <b/>
            <sz val="9"/>
            <color indexed="81"/>
            <rFont val="Tahoma"/>
            <family val="2"/>
          </rPr>
          <t xml:space="preserve">CONTASIS:
Tipo de Medio de Pago
001  DEPOSITO EN CUENTA
002  GIRO
003  TRANSFERENCIA DE FONDOS
004  ORDEN DE PAGO
005  TARJETA DE DÉBITO
006  TARJETA DE CRÉDITO
007  CHEQUES "NO NEGOCIABLE" "INTRANSFERIBLE"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1" authorId="0" shapeId="0" xr:uid="{00000000-0006-0000-0000-00000D000000}">
      <text>
        <r>
          <rPr>
            <b/>
            <sz val="9"/>
            <color indexed="81"/>
            <rFont val="Tahoma"/>
            <family val="2"/>
          </rPr>
          <t>CONTASIS:
1: Si está Dentro
2: Si está Fuera</t>
        </r>
      </text>
    </comment>
    <comment ref="AP1" authorId="0" shapeId="0" xr:uid="{00000000-0006-0000-0000-00000E000000}">
      <text>
        <r>
          <rPr>
            <b/>
            <sz val="9"/>
            <color indexed="81"/>
            <rFont val="Tahoma"/>
            <family val="2"/>
          </rPr>
          <t>CONTASIS:
Importe para cálculo de Régimen Especial</t>
        </r>
      </text>
    </comment>
    <comment ref="H2" authorId="0" shapeId="0" xr:uid="{00000000-0006-0000-0000-00000F000000}">
      <text>
        <r>
          <rPr>
            <b/>
            <sz val="9"/>
            <color indexed="81"/>
            <rFont val="Tahoma"/>
            <family val="2"/>
          </rPr>
          <t>CONTASIS:
Modo de ingreso: 
Para Razón Social
Ejem: INDUSTRIAS PERUANAS S.A.
Para apellidos y nombres separados por comas
PATERNO,MATERNO,NOMBRE1,NOMBRE2
Ejem: PEREZ,SOSA,JUAN,LUIS</t>
        </r>
      </text>
    </comment>
    <comment ref="C3" authorId="0" shapeId="0" xr:uid="{00000000-0006-0000-0000-000010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3" authorId="0" shapeId="0" xr:uid="{00000000-0006-0000-0000-000011000000}">
      <text>
        <r>
          <rPr>
            <b/>
            <sz val="9"/>
            <color indexed="81"/>
            <rFont val="Tahoma"/>
            <family val="2"/>
          </rPr>
          <t>CONTASIS:
N° Serie o N° Serie de la maquina registradora.</t>
        </r>
      </text>
    </comment>
    <comment ref="F3" authorId="0" shapeId="0" xr:uid="{00000000-0006-0000-0000-000012000000}">
      <text>
        <r>
          <rPr>
            <b/>
            <sz val="9"/>
            <color indexed="81"/>
            <rFont val="Tahoma"/>
            <family val="2"/>
          </rPr>
          <t xml:space="preserve">CONTASIS:
Tipo de Documento
0  OTROS TIPOS DE DOCUMENTOS
1  DNI / DOCUMENTO NACIONAL DE IDENTIDAD
4  CARNET DE EXTRANJERIA
6  RUC / REGISTRO ÚNICO DE CONTRIBUYENTES
7  PASAPORTE
A  CÉDULA DIPLOMÁTICA DE IDENTIDAD
</t>
        </r>
      </text>
    </comment>
    <comment ref="S3" authorId="0" shapeId="0" xr:uid="{00000000-0006-0000-0000-000013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4" authorId="0" shapeId="0" xr:uid="{00000000-0006-0000-0000-000014000000}">
      <text>
        <r>
          <rPr>
            <b/>
            <sz val="9"/>
            <color indexed="81"/>
            <rFont val="Tahoma"/>
            <family val="2"/>
          </rPr>
          <t>CONTASIS:
Este dato debe estar presente en todas las lineas del documento.</t>
        </r>
      </text>
    </comment>
    <comment ref="B4" authorId="0" shapeId="0" xr:uid="{00000000-0006-0000-0000-000015000000}">
      <text>
        <r>
          <rPr>
            <b/>
            <sz val="9"/>
            <color indexed="81"/>
            <rFont val="Tahoma"/>
            <family val="2"/>
          </rPr>
          <t>CONTASIS:
Este dato debe estar presente en todas las lineas del documento.</t>
        </r>
      </text>
    </comment>
    <comment ref="C4" authorId="0" shapeId="0" xr:uid="{00000000-0006-0000-0000-000016000000}">
      <text>
        <r>
          <rPr>
            <b/>
            <sz val="9"/>
            <color indexed="81"/>
            <rFont val="Tahoma"/>
            <family val="2"/>
          </rPr>
          <t>CONTASIS:
Este dato debe estar presente en todas las lineas del documento.</t>
        </r>
      </text>
    </comment>
    <comment ref="D4" authorId="0" shapeId="0" xr:uid="{00000000-0006-0000-0000-000017000000}">
      <text>
        <r>
          <rPr>
            <b/>
            <sz val="9"/>
            <color indexed="81"/>
            <rFont val="Tahoma"/>
            <family val="2"/>
          </rPr>
          <t>CONTASIS:
Este dato debe estar presente en todas las lineas del documento.</t>
        </r>
      </text>
    </comment>
    <comment ref="E4" authorId="0" shapeId="0" xr:uid="{00000000-0006-0000-0000-000018000000}">
      <text>
        <r>
          <rPr>
            <b/>
            <sz val="9"/>
            <color indexed="81"/>
            <rFont val="Tahoma"/>
            <family val="2"/>
          </rPr>
          <t>CONTASIS:
Este dato debe estar presente en todas las lineas del documento.</t>
        </r>
      </text>
    </comment>
    <comment ref="F4" authorId="0" shapeId="0" xr:uid="{00000000-0006-0000-0000-000019000000}">
      <text>
        <r>
          <rPr>
            <b/>
            <sz val="9"/>
            <color indexed="81"/>
            <rFont val="Tahoma"/>
            <family val="2"/>
          </rPr>
          <t>CONTASIS:
Este dato debe estar presente en todas las lineas del documento.</t>
        </r>
      </text>
    </comment>
    <comment ref="G4" authorId="0" shapeId="0" xr:uid="{00000000-0006-0000-0000-00001A000000}">
      <text>
        <r>
          <rPr>
            <b/>
            <sz val="9"/>
            <color indexed="81"/>
            <rFont val="Tahoma"/>
            <family val="2"/>
          </rPr>
          <t>CONTASIS:
Este dato debe estar presente en todas las lineas del documento.</t>
        </r>
      </text>
    </comment>
    <comment ref="H4" authorId="0" shapeId="0" xr:uid="{00000000-0006-0000-0000-00001B000000}">
      <text>
        <r>
          <rPr>
            <b/>
            <sz val="9"/>
            <color indexed="81"/>
            <rFont val="Tahoma"/>
            <family val="2"/>
          </rPr>
          <t>CONTASIS:
Este dato debe estar presente en todas las lineas del documento.</t>
        </r>
      </text>
    </comment>
    <comment ref="Q4" authorId="0" shapeId="0" xr:uid="{00000000-0006-0000-0000-00001C000000}">
      <text>
        <r>
          <rPr>
            <b/>
            <sz val="9"/>
            <color indexed="81"/>
            <rFont val="Tahoma"/>
            <family val="2"/>
          </rPr>
          <t>CONTASIS:
Este dato debe estar presente en todas las lineas del documento.</t>
        </r>
      </text>
    </comment>
    <comment ref="R4" authorId="0" shapeId="0" xr:uid="{00000000-0006-0000-0000-00001D000000}">
      <text>
        <r>
          <rPr>
            <b/>
            <sz val="9"/>
            <color indexed="81"/>
            <rFont val="Tahoma"/>
            <family val="2"/>
          </rPr>
          <t>CONTASIS:
Este dato debe estar presente en todas las lineas del documento.</t>
        </r>
      </text>
    </comment>
    <comment ref="S4" authorId="0" shapeId="0" xr:uid="{00000000-0006-0000-0000-00001E000000}">
      <text>
        <r>
          <rPr>
            <b/>
            <sz val="9"/>
            <color indexed="81"/>
            <rFont val="Tahoma"/>
            <family val="2"/>
          </rPr>
          <t>CONTASIS:
Este dato debe estar presente en todas las lineas del documento.</t>
        </r>
      </text>
    </comment>
    <comment ref="T4" authorId="0" shapeId="0" xr:uid="{00000000-0006-0000-0000-00001F000000}">
      <text>
        <r>
          <rPr>
            <b/>
            <sz val="9"/>
            <color indexed="81"/>
            <rFont val="Tahoma"/>
            <family val="2"/>
          </rPr>
          <t>CONTASIS:
Este dato debe estar presente en todas las lineas del documento.</t>
        </r>
      </text>
    </comment>
    <comment ref="U4" authorId="0" shapeId="0" xr:uid="{00000000-0006-0000-0000-000020000000}">
      <text>
        <r>
          <rPr>
            <b/>
            <sz val="9"/>
            <color indexed="81"/>
            <rFont val="Tahoma"/>
            <family val="2"/>
          </rPr>
          <t>CONTASIS:
Este dato debe estar presente en todas las lineas del documento.</t>
        </r>
      </text>
    </comment>
    <comment ref="V4" authorId="0" shapeId="0" xr:uid="{00000000-0006-0000-0000-000021000000}">
      <text>
        <r>
          <rPr>
            <b/>
            <sz val="9"/>
            <color indexed="81"/>
            <rFont val="Tahoma"/>
            <family val="2"/>
          </rPr>
          <t>CONTASIS:
Este dato debe estar presente en todas las lineas del documento.</t>
        </r>
      </text>
    </comment>
    <comment ref="X4" authorId="0" shapeId="0" xr:uid="{00000000-0006-0000-0000-000022000000}">
      <text>
        <r>
          <rPr>
            <b/>
            <sz val="9"/>
            <color indexed="81"/>
            <rFont val="Tahoma"/>
            <family val="2"/>
          </rPr>
          <t>CONTASIS:
Este dato debe estar presente en todas las lineas del documento.</t>
        </r>
      </text>
    </comment>
    <comment ref="Y4" authorId="0" shapeId="0" xr:uid="{00000000-0006-0000-0000-000023000000}">
      <text>
        <r>
          <rPr>
            <b/>
            <sz val="9"/>
            <color indexed="81"/>
            <rFont val="Tahoma"/>
            <family val="2"/>
          </rPr>
          <t>CONTASIS:
Este dato debe estar presente en todas las lineas del documento.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DENIS</author>
    <author>Serconssa</author>
  </authors>
  <commentList>
    <comment ref="F10" authorId="0" shapeId="0" xr:uid="{00000000-0006-0000-0100-000001000000}">
      <text>
        <r>
          <rPr>
            <b/>
            <sz val="9"/>
            <color indexed="81"/>
            <rFont val="Tahoma"/>
            <family val="2"/>
          </rPr>
          <t>CONTASIS:
N° comprobante pago, documento, N° de orden del formulario fisico/virtual, N° de DUA,DSI o liquidación de cobranza u otros documentos emitidos por sunat para acreditar el credito fiscal en la importación</t>
        </r>
      </text>
    </comment>
    <comment ref="AB10" authorId="0" shapeId="0" xr:uid="{00000000-0006-0000-0100-000002000000}">
      <text>
        <r>
          <rPr>
            <b/>
            <sz val="9"/>
            <color indexed="81"/>
            <rFont val="Tahoma"/>
            <family val="2"/>
          </rPr>
          <t>CONTASIS:
NUEVOS SOLES (S)
DOLARES AMERICANOS (D)</t>
        </r>
      </text>
    </comment>
    <comment ref="AC10" authorId="0" shapeId="0" xr:uid="{00000000-0006-0000-0100-000003000000}">
      <text>
        <r>
          <rPr>
            <b/>
            <sz val="9"/>
            <color indexed="81"/>
            <rFont val="Tahoma"/>
            <family val="2"/>
          </rPr>
          <t>CONTASIS:
Este dato debe estar presente en todas los documentos cuya moneda sea dolares americanos</t>
        </r>
      </text>
    </comment>
    <comment ref="AE10" authorId="0" shapeId="0" xr:uid="{00000000-0006-0000-0100-000004000000}">
      <text>
        <r>
          <rPr>
            <b/>
            <sz val="9"/>
            <color indexed="81"/>
            <rFont val="Tahoma"/>
            <family val="2"/>
          </rPr>
          <t>CONTASIS:
Contado (CON)
Crédito (CRE)</t>
        </r>
      </text>
    </comment>
    <comment ref="AK10" authorId="0" shapeId="0" xr:uid="{00000000-0006-0000-0100-000005000000}">
      <text>
        <r>
          <rPr>
            <b/>
            <sz val="9"/>
            <color indexed="81"/>
            <rFont val="Tahoma"/>
            <family val="2"/>
          </rPr>
          <t>CONTASIS:
Regimen Especial
1   DETRACCION
2   PERCEPCION
3   RETENCION</t>
        </r>
      </text>
    </comment>
    <comment ref="AL10" authorId="0" shapeId="0" xr:uid="{00000000-0006-0000-0100-000006000000}">
      <text>
        <r>
          <rPr>
            <b/>
            <sz val="9"/>
            <color indexed="81"/>
            <rFont val="Tahoma"/>
            <family val="2"/>
          </rPr>
          <t>CONTASIS:
Porcentaje regimen especial</t>
        </r>
      </text>
    </comment>
    <comment ref="AM10" authorId="0" shapeId="0" xr:uid="{00000000-0006-0000-0100-000007000000}">
      <text>
        <r>
          <rPr>
            <b/>
            <sz val="9"/>
            <color indexed="81"/>
            <rFont val="Tahoma"/>
            <family val="2"/>
          </rPr>
          <t>CONTASIS:
Importe regimen especial</t>
        </r>
      </text>
    </comment>
    <comment ref="AN10" authorId="0" shapeId="0" xr:uid="{00000000-0006-0000-0100-000008000000}">
      <text>
        <r>
          <rPr>
            <b/>
            <sz val="9"/>
            <color indexed="81"/>
            <rFont val="Tahoma"/>
            <family val="2"/>
          </rPr>
          <t>CONTASIS:
Serie documento regimen especial</t>
        </r>
      </text>
    </comment>
    <comment ref="AO10" authorId="0" shapeId="0" xr:uid="{00000000-0006-0000-0100-000009000000}">
      <text>
        <r>
          <rPr>
            <b/>
            <sz val="9"/>
            <color indexed="81"/>
            <rFont val="Tahoma"/>
            <family val="2"/>
          </rPr>
          <t>CONTASIS:
Número documento regimen especial</t>
        </r>
      </text>
    </comment>
    <comment ref="AP10" authorId="0" shapeId="0" xr:uid="{00000000-0006-0000-0100-00000A000000}">
      <text>
        <r>
          <rPr>
            <b/>
            <sz val="9"/>
            <color indexed="81"/>
            <rFont val="Tahoma"/>
            <family val="2"/>
          </rPr>
          <t>CONTASIS:
Fecha documento regimen especial</t>
        </r>
      </text>
    </comment>
    <comment ref="AR10" authorId="0" shapeId="0" xr:uid="{00000000-0006-0000-0100-00000B000000}">
      <text>
        <r>
          <rPr>
            <b/>
            <sz val="9"/>
            <color indexed="81"/>
            <rFont val="Tahoma"/>
            <family val="2"/>
          </rPr>
          <t>CONTASIS:
Porcentaje I.G.V.
Ejemplo :    18.00</t>
        </r>
      </text>
    </comment>
    <comment ref="AS10" authorId="0" shapeId="0" xr:uid="{00000000-0006-0000-0100-00000C000000}">
      <text>
        <r>
          <rPr>
            <b/>
            <sz val="9"/>
            <color indexed="81"/>
            <rFont val="Tahoma"/>
            <family val="2"/>
          </rPr>
          <t>CONTASIS:
Glosa</t>
        </r>
      </text>
    </comment>
    <comment ref="AT10" authorId="0" shapeId="0" xr:uid="{00000000-0006-0000-0100-00000D000000}">
      <text>
        <r>
          <rPr>
            <b/>
            <sz val="9"/>
            <color indexed="81"/>
            <rFont val="Tahoma"/>
            <family val="2"/>
          </rPr>
          <t>CONTASIS:
1: Si está Dentro
2: Si está Fuera</t>
        </r>
      </text>
    </comment>
    <comment ref="AU10" authorId="0" shapeId="0" xr:uid="{00000000-0006-0000-0100-00000E000000}">
      <text>
        <r>
          <rPr>
            <b/>
            <sz val="9"/>
            <color indexed="81"/>
            <rFont val="Tahoma"/>
            <family val="2"/>
          </rPr>
          <t>CONTASIS:
Importe para cálculo de Régimen Especial</t>
        </r>
      </text>
    </comment>
    <comment ref="I11" authorId="0" shapeId="0" xr:uid="{00000000-0006-0000-0100-00000F000000}">
      <text>
        <r>
          <rPr>
            <b/>
            <sz val="9"/>
            <color indexed="81"/>
            <rFont val="Tahoma"/>
            <family val="2"/>
          </rPr>
          <t>CONTASIS:
Modo de ingreso: 
Para Razón Social
Ejem: INDUSTRIAS PERUANAS S.A.
Para apellidos y nombres separados por comas
PATERNO,MATERNO,NOMBRE1,NOMBRE2
Ejem: PEREZ,SOSA,JUAN,LUIS</t>
        </r>
      </text>
    </comment>
    <comment ref="C12" authorId="0" shapeId="0" xr:uid="{00000000-0006-0000-0100-000010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12" authorId="0" shapeId="0" xr:uid="{00000000-0006-0000-0100-000011000000}">
      <text>
        <r>
          <rPr>
            <b/>
            <sz val="9"/>
            <color indexed="81"/>
            <rFont val="Tahoma"/>
            <family val="2"/>
          </rPr>
          <t>CONTASIS:
Serie o codigo de la dependencia aduanera</t>
        </r>
      </text>
    </comment>
    <comment ref="G12" authorId="0" shapeId="0" xr:uid="{00000000-0006-0000-0100-000012000000}">
      <text>
        <r>
          <rPr>
            <b/>
            <sz val="9"/>
            <color indexed="81"/>
            <rFont val="Tahoma"/>
            <family val="2"/>
          </rPr>
          <t xml:space="preserve">CONTASIS:
Tipo de documento
0  OTROS TIPOS DE DOCUMENTOS
1  DOCUMENTO NACIONAL DE IDENTIDAD (DNI)
4  CARNET DE EXTRANJERIA
6  REGISTRO ÚNICO DE CONTRIBUYENTES
7  PASAPORTE
</t>
        </r>
      </text>
    </comment>
    <comment ref="U12" authorId="0" shapeId="0" xr:uid="{00000000-0006-0000-0100-000013000000}">
      <text>
        <r>
          <rPr>
            <b/>
            <sz val="9"/>
            <color indexed="81"/>
            <rFont val="Tahoma"/>
            <family val="2"/>
          </rPr>
          <t xml:space="preserve">CONTASIS:
SERIE-NUMERO (Serie 6 Carac - Numero 13 Carac)
NUMERO (13 Carac)
</t>
        </r>
      </text>
    </comment>
    <comment ref="Y12" authorId="0" shapeId="0" xr:uid="{00000000-0006-0000-0100-000014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13" authorId="0" shapeId="0" xr:uid="{00000000-0006-0000-0100-000015000000}">
      <text>
        <r>
          <rPr>
            <b/>
            <sz val="9"/>
            <color indexed="81"/>
            <rFont val="Tahoma"/>
            <family val="2"/>
          </rPr>
          <t>CONTASIS:
Este dato debe estar presente en todas las lineas del documento.</t>
        </r>
      </text>
    </comment>
    <comment ref="B13" authorId="0" shapeId="0" xr:uid="{00000000-0006-0000-0100-000016000000}">
      <text>
        <r>
          <rPr>
            <b/>
            <sz val="9"/>
            <color indexed="81"/>
            <rFont val="Tahoma"/>
            <family val="2"/>
          </rPr>
          <t>CONTASIS:
Este dato debe estar presente en todas las lineas del documento.</t>
        </r>
      </text>
    </comment>
    <comment ref="C13" authorId="0" shapeId="0" xr:uid="{00000000-0006-0000-0100-000017000000}">
      <text>
        <r>
          <rPr>
            <b/>
            <sz val="9"/>
            <color indexed="81"/>
            <rFont val="Tahoma"/>
            <family val="2"/>
          </rPr>
          <t>CONTASIS:
Este dato debe estar presente en todas las lineas del documento.</t>
        </r>
      </text>
    </comment>
    <comment ref="D13" authorId="0" shapeId="0" xr:uid="{00000000-0006-0000-0100-000018000000}">
      <text>
        <r>
          <rPr>
            <b/>
            <sz val="9"/>
            <color indexed="81"/>
            <rFont val="Tahoma"/>
            <family val="2"/>
          </rPr>
          <t>CONTASIS:
Este dato debe estar presente en todas las lineas del documento.</t>
        </r>
      </text>
    </comment>
    <comment ref="E13" authorId="0" shapeId="0" xr:uid="{00000000-0006-0000-0100-000019000000}">
      <text>
        <r>
          <rPr>
            <b/>
            <sz val="9"/>
            <color indexed="81"/>
            <rFont val="Tahoma"/>
            <family val="2"/>
          </rPr>
          <t>CONTASIS:
Este dato debe estar presente en todas las lineas del documento.</t>
        </r>
      </text>
    </comment>
    <comment ref="F13" authorId="0" shapeId="0" xr:uid="{00000000-0006-0000-0100-00001A000000}">
      <text>
        <r>
          <rPr>
            <b/>
            <sz val="9"/>
            <color indexed="81"/>
            <rFont val="Tahoma"/>
            <family val="2"/>
          </rPr>
          <t>CONTASIS:
Este dato debe estar presente en todas las lineas del documento.</t>
        </r>
      </text>
    </comment>
    <comment ref="G13" authorId="0" shapeId="0" xr:uid="{00000000-0006-0000-0100-00001B000000}">
      <text>
        <r>
          <rPr>
            <b/>
            <sz val="9"/>
            <color indexed="81"/>
            <rFont val="Tahoma"/>
            <family val="2"/>
          </rPr>
          <t>CONTASIS:
Este dato debe estar presente en todas las lineas del documento.</t>
        </r>
      </text>
    </comment>
    <comment ref="H13" authorId="0" shapeId="0" xr:uid="{00000000-0006-0000-0100-00001C000000}">
      <text>
        <r>
          <rPr>
            <b/>
            <sz val="9"/>
            <color indexed="81"/>
            <rFont val="Tahoma"/>
            <family val="2"/>
          </rPr>
          <t>CONTASIS:
Este dato debe estar presente en todas las lineas del documento.</t>
        </r>
      </text>
    </comment>
    <comment ref="I13" authorId="0" shapeId="0" xr:uid="{00000000-0006-0000-0100-00001D000000}">
      <text>
        <r>
          <rPr>
            <b/>
            <sz val="9"/>
            <color indexed="81"/>
            <rFont val="Tahoma"/>
            <family val="2"/>
          </rPr>
          <t>CONTASIS:
Este dato debe estar presente en todas las lineas del documento.</t>
        </r>
      </text>
    </comment>
    <comment ref="T13" authorId="0" shapeId="0" xr:uid="{00000000-0006-0000-0100-00001E000000}">
      <text>
        <r>
          <rPr>
            <b/>
            <sz val="9"/>
            <color indexed="81"/>
            <rFont val="Tahoma"/>
            <family val="2"/>
          </rPr>
          <t>CONTASIS:
Este dato debe estar presente en todas las lineas del documento.</t>
        </r>
      </text>
    </comment>
    <comment ref="U13" authorId="0" shapeId="0" xr:uid="{00000000-0006-0000-0100-00001F000000}">
      <text>
        <r>
          <rPr>
            <b/>
            <sz val="9"/>
            <color indexed="81"/>
            <rFont val="Tahoma"/>
            <family val="2"/>
          </rPr>
          <t>CONTASIS:
Este dato debe estar presente en todas las lineas del documento.</t>
        </r>
      </text>
    </comment>
    <comment ref="V13" authorId="0" shapeId="0" xr:uid="{00000000-0006-0000-0100-000020000000}">
      <text>
        <r>
          <rPr>
            <b/>
            <sz val="9"/>
            <color indexed="81"/>
            <rFont val="Tahoma"/>
            <family val="2"/>
          </rPr>
          <t>CONTASIS:
Este dato debe estar presente en todas las lineas del documento.</t>
        </r>
      </text>
    </comment>
    <comment ref="W13" authorId="0" shapeId="0" xr:uid="{00000000-0006-0000-0100-000021000000}">
      <text>
        <r>
          <rPr>
            <b/>
            <sz val="9"/>
            <color indexed="81"/>
            <rFont val="Tahoma"/>
            <family val="2"/>
          </rPr>
          <t>CONTASIS:
Este dato debe estar presente en todas las lineas del documento.</t>
        </r>
      </text>
    </comment>
    <comment ref="X13" authorId="0" shapeId="0" xr:uid="{00000000-0006-0000-0100-000022000000}">
      <text>
        <r>
          <rPr>
            <b/>
            <sz val="9"/>
            <color indexed="81"/>
            <rFont val="Tahoma"/>
            <family val="2"/>
          </rPr>
          <t>CONTASIS:
Este dato debe estar presente en todas las lineas del documento.</t>
        </r>
      </text>
    </comment>
    <comment ref="Y13" authorId="0" shapeId="0" xr:uid="{00000000-0006-0000-0100-000023000000}">
      <text>
        <r>
          <rPr>
            <b/>
            <sz val="9"/>
            <color indexed="81"/>
            <rFont val="Tahoma"/>
            <family val="2"/>
          </rPr>
          <t>CONTASIS:
Este dato debe estar presente en todas las lineas del documento.</t>
        </r>
      </text>
    </comment>
    <comment ref="Z13" authorId="0" shapeId="0" xr:uid="{00000000-0006-0000-0100-000024000000}">
      <text>
        <r>
          <rPr>
            <b/>
            <sz val="9"/>
            <color indexed="81"/>
            <rFont val="Tahoma"/>
            <family val="2"/>
          </rPr>
          <t>CONTASIS:
Este dato debe estar presente en todas las lineas del documento.</t>
        </r>
      </text>
    </comment>
    <comment ref="AA13" authorId="0" shapeId="0" xr:uid="{00000000-0006-0000-0100-000025000000}">
      <text>
        <r>
          <rPr>
            <b/>
            <sz val="9"/>
            <color indexed="81"/>
            <rFont val="Tahoma"/>
            <family val="2"/>
          </rPr>
          <t>CONTASIS:
Este dato debe estar presente en todas las lineas del documento.</t>
        </r>
      </text>
    </comment>
    <comment ref="AB13" authorId="0" shapeId="0" xr:uid="{00000000-0006-0000-0100-000026000000}">
      <text>
        <r>
          <rPr>
            <b/>
            <sz val="9"/>
            <color indexed="81"/>
            <rFont val="Tahoma"/>
            <family val="2"/>
          </rPr>
          <t>CONTASIS:
Este dato debe estar presente en todas las lineas del documento.</t>
        </r>
      </text>
    </comment>
    <comment ref="AD13" authorId="0" shapeId="0" xr:uid="{00000000-0006-0000-0100-000027000000}">
      <text>
        <r>
          <rPr>
            <b/>
            <sz val="9"/>
            <color indexed="81"/>
            <rFont val="Tahoma"/>
            <family val="2"/>
          </rPr>
          <t>CONTASIS:
Este dato debe estar presente en todas las lineas del documento.</t>
        </r>
      </text>
    </comment>
    <comment ref="AE13" authorId="0" shapeId="0" xr:uid="{00000000-0006-0000-0100-000028000000}">
      <text>
        <r>
          <rPr>
            <b/>
            <sz val="9"/>
            <color indexed="81"/>
            <rFont val="Tahoma"/>
            <family val="2"/>
          </rPr>
          <t>CONTASIS:
Este dato debe estar presente en todas las lineas del documento.</t>
        </r>
      </text>
    </comment>
    <comment ref="F14" authorId="1" shapeId="0" xr:uid="{A9051180-9AAB-43AA-848C-926CFBC5C3E2}">
      <text>
        <r>
          <rPr>
            <b/>
            <sz val="11"/>
            <color indexed="81"/>
            <rFont val="Tahoma"/>
            <family val="2"/>
          </rPr>
          <t>Serconssa:
ANTES 8333</t>
        </r>
      </text>
    </comment>
    <comment ref="W14" authorId="1" shapeId="0" xr:uid="{C4D8F15B-19A5-43C6-9541-5931E2954AED}">
      <text>
        <r>
          <rPr>
            <b/>
            <sz val="11"/>
            <color indexed="81"/>
            <rFont val="Tahoma"/>
            <family val="2"/>
          </rPr>
          <t>Serconssa:</t>
        </r>
        <r>
          <rPr>
            <sz val="11"/>
            <color indexed="81"/>
            <rFont val="Tahoma"/>
            <family val="2"/>
          </rPr>
          <t xml:space="preserve">
</t>
        </r>
      </text>
    </comment>
  </commentList>
</comments>
</file>

<file path=xl/sharedStrings.xml><?xml version="1.0" encoding="utf-8"?>
<sst xmlns="http://schemas.openxmlformats.org/spreadsheetml/2006/main" count="6899" uniqueCount="1444">
  <si>
    <t>NOTA :</t>
  </si>
  <si>
    <t>1.- Usar Microsoft Excel 97-2003 ó Microsoft Excel 2007</t>
  </si>
  <si>
    <t>2.- Llenar los datos en la Fila y Columna de acuerdo a la cantidad de caracteres y/o numeros</t>
  </si>
  <si>
    <t>3.- Eliminar la Fila 1 a 13 dejando solo los ingresos realizados</t>
  </si>
  <si>
    <t>4.- Guardar el archivo en formato .xls (Ms. Excel 97-2003) ó .xlsx (Ms. Excel 2007)</t>
  </si>
  <si>
    <t>FECHA DE EMISION DEL COMPROBANTE DE PAGO O DOCUMENTO</t>
  </si>
  <si>
    <t>dd/mm/yyyy</t>
  </si>
  <si>
    <t>FECHA DE VENCIMIENTO O FECHA DE PAGO</t>
  </si>
  <si>
    <t>COMPROBANTE DE PAGO O DOCUMENTO</t>
  </si>
  <si>
    <t>TIPO</t>
  </si>
  <si>
    <t>02 CARACTERES</t>
  </si>
  <si>
    <t>N° SERIE/N° SERIE MAQ REGIS</t>
  </si>
  <si>
    <t>06 CARACTERES</t>
  </si>
  <si>
    <t>NUMERO</t>
  </si>
  <si>
    <t>13 CARACTERES</t>
  </si>
  <si>
    <t>INFORMACION DEL CLIENTE</t>
  </si>
  <si>
    <t>DOCUMENTO IDENTIDAD</t>
  </si>
  <si>
    <t>01 CARACTER</t>
  </si>
  <si>
    <t>11 CARACTERES</t>
  </si>
  <si>
    <t>APELLIDOS Y NOMBRES, DENOMINACION O RAZON SOCIAL</t>
  </si>
  <si>
    <t>60 CARACTERES</t>
  </si>
  <si>
    <t>VALOR FACTURADO DE LA EXPORTACION</t>
  </si>
  <si>
    <t>(15,2) NUMERICO</t>
  </si>
  <si>
    <t>BASE IMPONIBLE DE LA OPERACION GRAVADA</t>
  </si>
  <si>
    <t>IMPORTE TOTAL DE LA OPERACION EXONERADA O INAFECTA</t>
  </si>
  <si>
    <t>EXONERADA</t>
  </si>
  <si>
    <t>INAFECTA</t>
  </si>
  <si>
    <t>ISC</t>
  </si>
  <si>
    <t>IGV Y/O IPM</t>
  </si>
  <si>
    <t>OTROS TRIBUTOS Y CARGOS QUE NO FORMAN PARTE DE LA BASE IMPONIBLE</t>
  </si>
  <si>
    <t>IMPORTE TOTAL DEL COMPROBANTE DE PAGO</t>
  </si>
  <si>
    <t>TIPO DE CAMBIO</t>
  </si>
  <si>
    <t>(10,4) NUMERICO</t>
  </si>
  <si>
    <t>REFERENCIA DEL COMPROBANTE DE PAGO O DOCUMENTO ORIGINAL QUE SE MODIFICA</t>
  </si>
  <si>
    <t>FECHA</t>
  </si>
  <si>
    <t>SERIE</t>
  </si>
  <si>
    <t>N° COMPROBANTE PAGO O DOCUMENTO</t>
  </si>
  <si>
    <t>MONEDA</t>
  </si>
  <si>
    <t>EQUIVALENTE EN DOLARES AMERICANOS</t>
  </si>
  <si>
    <t>FECHA VENCIMIENTO</t>
  </si>
  <si>
    <t>CONDICION CONTADO/CREDITO</t>
  </si>
  <si>
    <t>03 CARACTERES</t>
  </si>
  <si>
    <t>CODIGO CENTRO DE COSTOS</t>
  </si>
  <si>
    <t>09 CARACTERES</t>
  </si>
  <si>
    <t>CODIGO CENTRO DE COSTOS 2</t>
  </si>
  <si>
    <t>CUENTA CONTABLE BASE IMPONIBLE</t>
  </si>
  <si>
    <t>10 CARACTERES</t>
  </si>
  <si>
    <t>CUENTA CONTABLE OTROS TRIBUTOS Y CARGOS</t>
  </si>
  <si>
    <t>CUENTA CONTABLE TOTAL</t>
  </si>
  <si>
    <t>REGIMEN ESPECIAL</t>
  </si>
  <si>
    <t>1 NUMERICO</t>
  </si>
  <si>
    <t>PORCENTAJE REGIMEN ESPECIAL</t>
  </si>
  <si>
    <t>(5,2) NUMERICO</t>
  </si>
  <si>
    <t>IMPORTE REGIMEN ESPECIAL</t>
  </si>
  <si>
    <t>SERIE DOCUMENTO REGIMEN ESPECIAL</t>
  </si>
  <si>
    <t>NUMERO DOCUMENTO REGIMEN ESPECIAL</t>
  </si>
  <si>
    <t>FECHA DOCUMENTO REGIMEN ESPECIAL</t>
  </si>
  <si>
    <t>CODIGO PRESUPUESTO</t>
  </si>
  <si>
    <t>PORCENTAJE I.G.V.</t>
  </si>
  <si>
    <t>GLOSA</t>
  </si>
  <si>
    <t>MEDIO DE PAGO</t>
  </si>
  <si>
    <t>CONDICIÓN DE PERCEPCIÓN</t>
  </si>
  <si>
    <t>IMPORTE PARA CALCULO RÉGIMEN ESPECIAL</t>
  </si>
  <si>
    <t>FORMATO REGISTRO DE COMPRAS  - SISTEMA EXPERTO CONTABLE 14.00</t>
  </si>
  <si>
    <t>N° COMPROBANTE PAGO</t>
  </si>
  <si>
    <t>INFORMACION PROVEEDOR</t>
  </si>
  <si>
    <t>ADQUISICIONES GRAVADAS DESTINADAS A OPERACIONES GRAVADAS Y/O EXPORTACION</t>
  </si>
  <si>
    <t>ADQUISICIONES GRAVADAS DESTINADAS A OPERACIONES GRAVADAS Y/O DE EXPORTACION Y A OPERACIONES NO GRAVADAS</t>
  </si>
  <si>
    <t>ADQUISICIONES GRAVADAS DESTINADAS A OPERACIONES NO GRAVADAS</t>
  </si>
  <si>
    <t>VALOR DE LAS ADQUISICIONES NO GRAVADAS</t>
  </si>
  <si>
    <t>OTROS TRIBUTOS Y CARGOS</t>
  </si>
  <si>
    <t>IMPORTE TOTAL</t>
  </si>
  <si>
    <t>N° COMPROBANTE DE PAGO EMITIDO POR SUJETO NO DOMICILIADO</t>
  </si>
  <si>
    <t>CONSTANCIA DE DEPOSITO DE DETRACCION</t>
  </si>
  <si>
    <t>IMPORTE RÉGIMEN ESPECIAL</t>
  </si>
  <si>
    <t>SERIE/CODIGO ADUANA</t>
  </si>
  <si>
    <t>AÑO EMISION DUA O DSI</t>
  </si>
  <si>
    <t>BASE IMPONIBLE</t>
  </si>
  <si>
    <t>IGV</t>
  </si>
  <si>
    <t>FECHA EMISION</t>
  </si>
  <si>
    <t>04 CARACTERES</t>
  </si>
  <si>
    <t>20 CARACTERES</t>
  </si>
  <si>
    <t>TOTAL</t>
  </si>
  <si>
    <t>01</t>
  </si>
  <si>
    <t xml:space="preserve">TOTAL </t>
  </si>
  <si>
    <t>RENTA</t>
  </si>
  <si>
    <t>S</t>
  </si>
  <si>
    <t>CON</t>
  </si>
  <si>
    <t>4212</t>
  </si>
  <si>
    <t>F001</t>
  </si>
  <si>
    <t>F015</t>
  </si>
  <si>
    <t>F040</t>
  </si>
  <si>
    <t>FE01</t>
  </si>
  <si>
    <t>GRIFO HUANCAS E I R LTDA</t>
  </si>
  <si>
    <t>ENERGICA S.R.L.</t>
  </si>
  <si>
    <t>GRIFO JOSE OLAYA E.I.R.L.</t>
  </si>
  <si>
    <t>MOTOCENTRO EL CRESPO E.I.R.L.</t>
  </si>
  <si>
    <t>Periodo</t>
  </si>
  <si>
    <t>CAR SUNAT</t>
  </si>
  <si>
    <t>Fecha de emisión</t>
  </si>
  <si>
    <t>Fecha Vcto/Pago</t>
  </si>
  <si>
    <t>Tipo CP/Doc.</t>
  </si>
  <si>
    <t>Serie del CDP</t>
  </si>
  <si>
    <t>Nro CP o Doc. Nro Inicial (Rango)</t>
  </si>
  <si>
    <t>Nro Final (Rango)</t>
  </si>
  <si>
    <t>Tipo Doc Identidad</t>
  </si>
  <si>
    <t>Nro Doc Identidad</t>
  </si>
  <si>
    <t>ICBPER</t>
  </si>
  <si>
    <t>Total CP</t>
  </si>
  <si>
    <t>Moneda</t>
  </si>
  <si>
    <t>Fecha Emisión Doc Modificado</t>
  </si>
  <si>
    <t>Tipo CP Modificado</t>
  </si>
  <si>
    <t>Serie CP Modificado</t>
  </si>
  <si>
    <t>Nro CP Modificado</t>
  </si>
  <si>
    <t>Tipo de Nota</t>
  </si>
  <si>
    <t>INVERSIONES JOAQUISAN E.I.R.L.</t>
  </si>
  <si>
    <t>PEN</t>
  </si>
  <si>
    <t>GRIFO REAL S.A.</t>
  </si>
  <si>
    <t>07</t>
  </si>
  <si>
    <t>Ruc</t>
  </si>
  <si>
    <t>Razon Social</t>
  </si>
  <si>
    <t>Apellidos Nombres/ Razón Social</t>
  </si>
  <si>
    <t>Valor Facturado Exportación</t>
  </si>
  <si>
    <t>BI Gravada</t>
  </si>
  <si>
    <t>Dscto BI</t>
  </si>
  <si>
    <t>IGV / IPM</t>
  </si>
  <si>
    <t>Dscto IGV / IPM</t>
  </si>
  <si>
    <t>Mto Exonerado</t>
  </si>
  <si>
    <t>Mto Inafecto</t>
  </si>
  <si>
    <t>BI Grav IVAP</t>
  </si>
  <si>
    <t>IVAP</t>
  </si>
  <si>
    <t>Otros Tributos</t>
  </si>
  <si>
    <t>Tipo Cambio</t>
  </si>
  <si>
    <t>ID Proyecto Operadores Atribución</t>
  </si>
  <si>
    <t>Est. Comp</t>
  </si>
  <si>
    <t>Valor FOB Embarcado</t>
  </si>
  <si>
    <t>Valor OP Gratuitas</t>
  </si>
  <si>
    <t>Tipo Operación</t>
  </si>
  <si>
    <t>DAM / CP</t>
  </si>
  <si>
    <t>CLU</t>
  </si>
  <si>
    <t>2060899710603EB010000003665</t>
  </si>
  <si>
    <t>EB01</t>
  </si>
  <si>
    <t>-</t>
  </si>
  <si>
    <t>VARIOS CLIENTES</t>
  </si>
  <si>
    <t>2060899710603EB010000003666</t>
  </si>
  <si>
    <t>CELESTE URPY COLL CARDENAS LEO</t>
  </si>
  <si>
    <t>2060899710603EB010000003667</t>
  </si>
  <si>
    <t>2060899710603EB010000003668</t>
  </si>
  <si>
    <t>NERY YANINA ALMONACID CABALLERO</t>
  </si>
  <si>
    <t>2060899710603EB010000003669</t>
  </si>
  <si>
    <t>FLORENCIA POMA VILCA</t>
  </si>
  <si>
    <t>2060899710603EB010000003670</t>
  </si>
  <si>
    <t>FRIDA POMA RIOS</t>
  </si>
  <si>
    <t>2060899710603EB010000003671</t>
  </si>
  <si>
    <t>2060899710603EB010000003672</t>
  </si>
  <si>
    <t>2060899710603EB010000003673</t>
  </si>
  <si>
    <t>LUZ SANCHEZ JERONIMO</t>
  </si>
  <si>
    <t>2060899710603EB010000003674</t>
  </si>
  <si>
    <t>2060899710601E0010000000034</t>
  </si>
  <si>
    <t>E001</t>
  </si>
  <si>
    <t>UNIVERSIDAD PRIVADA DE HUANCAYO FRANKLIN ROOSEVELT SOCIEDAD ANONIMA CERRADA</t>
  </si>
  <si>
    <t>2060899710601E0010000000035</t>
  </si>
  <si>
    <t>CONSORCIO PARAISO</t>
  </si>
  <si>
    <t>2060899710603EB010000003676</t>
  </si>
  <si>
    <t>VALERIA POMA RIOS</t>
  </si>
  <si>
    <t>2060899710603EB010000003677</t>
  </si>
  <si>
    <t>VANESSA POMA RIVERA</t>
  </si>
  <si>
    <t>2060899710603EB010000003678</t>
  </si>
  <si>
    <t>DORIS POMASUNCO POMA</t>
  </si>
  <si>
    <t>2060899710603EB010000003679</t>
  </si>
  <si>
    <t>VILMA POMA SANTOS</t>
  </si>
  <si>
    <t>2060899710603EB010000003680</t>
  </si>
  <si>
    <t>FLOR RIVERA SANCHEZ</t>
  </si>
  <si>
    <t>2060899710603EB010000003681</t>
  </si>
  <si>
    <t>2060899710603EB010000003682</t>
  </si>
  <si>
    <t>SANDRA PORRAS VILCA</t>
  </si>
  <si>
    <t>2060899710603EB010000003683</t>
  </si>
  <si>
    <t>FLOR POMA RIVERA</t>
  </si>
  <si>
    <t>2060899710603EB010000003684</t>
  </si>
  <si>
    <t>SANDRA RIVERA JIMENES</t>
  </si>
  <si>
    <t>2060899710603EB010000003675</t>
  </si>
  <si>
    <t>2060899710603EB010000003685</t>
  </si>
  <si>
    <t>NORMA RIOS VILCA</t>
  </si>
  <si>
    <t>2060899710603EB010000003686</t>
  </si>
  <si>
    <t>ROSARIO TOLENTINO RIOS</t>
  </si>
  <si>
    <t>2060899710603EB010000003687</t>
  </si>
  <si>
    <t>JIMENA JOAQUIN DIAZ</t>
  </si>
  <si>
    <t>2060899710603EB010000003688</t>
  </si>
  <si>
    <t>SOLEDAD RIVERA NUÑEZ</t>
  </si>
  <si>
    <t>2060899710603EB010000003689</t>
  </si>
  <si>
    <t>NOHEMI CARO VILCA</t>
  </si>
  <si>
    <t>2060899710603EB010000003690</t>
  </si>
  <si>
    <t>ROCIO CONTRERAS VILCA</t>
  </si>
  <si>
    <t>2060899710603EB010000003691</t>
  </si>
  <si>
    <t>SANTA MARIA POMA</t>
  </si>
  <si>
    <t>2060899710603EB010000003692</t>
  </si>
  <si>
    <t>VALERIA ROCIO POMA</t>
  </si>
  <si>
    <t>2060899710603EB010000003693</t>
  </si>
  <si>
    <t>VANESSA POMA VILCA</t>
  </si>
  <si>
    <t>2060899710603EB010000003694</t>
  </si>
  <si>
    <t>PAMELA VILCA TAYPE</t>
  </si>
  <si>
    <t>2060899710603EB010000003695</t>
  </si>
  <si>
    <t>OLINDA JERONIMO RIVERA</t>
  </si>
  <si>
    <t>2060899710603EB010000003696</t>
  </si>
  <si>
    <t>PALOMA SANTOS VILCHEZ</t>
  </si>
  <si>
    <t>2060899710603EB010000003697</t>
  </si>
  <si>
    <t>CARLOS RIVERA POMA</t>
  </si>
  <si>
    <t>2060899710603EB010000003698</t>
  </si>
  <si>
    <t>PEDRO JOAQUIN DIAZ</t>
  </si>
  <si>
    <t>2060899710603EB010000003699</t>
  </si>
  <si>
    <t>SANDRA ROJAS POMA</t>
  </si>
  <si>
    <t>2060899710603EB010000003700</t>
  </si>
  <si>
    <t>CARMEN ROJAS VILCHEZ</t>
  </si>
  <si>
    <t>2060899710603EB010000003701</t>
  </si>
  <si>
    <t>EDER CURO VILCA</t>
  </si>
  <si>
    <t>2060899710603EB010000003702</t>
  </si>
  <si>
    <t>MARIA RAYMUNDO MALDONADO</t>
  </si>
  <si>
    <t>2060899710603EB010000003703</t>
  </si>
  <si>
    <t>FLOR RIOS POMA</t>
  </si>
  <si>
    <t>2060899710603EB010000003704</t>
  </si>
  <si>
    <t>CARMEN POMA SINCHE</t>
  </si>
  <si>
    <t>2060899710603EB010000003705</t>
  </si>
  <si>
    <t>ROSA MENESES JAVIER</t>
  </si>
  <si>
    <t>2060899710603EB010000003706</t>
  </si>
  <si>
    <t>JHAUDI LUIS ALFARO VALERO</t>
  </si>
  <si>
    <t>2060899710603EB010000003707</t>
  </si>
  <si>
    <t>JUAN ANDRES ROJAS TORRES</t>
  </si>
  <si>
    <t>2060899710603EB010000003708</t>
  </si>
  <si>
    <t>EPIFANIA TORRES YUPARI</t>
  </si>
  <si>
    <t>2060899710603EB010000003709</t>
  </si>
  <si>
    <t>VANESA BARRETO VILCA</t>
  </si>
  <si>
    <t>2060899710603EB010000003710</t>
  </si>
  <si>
    <t>ESCOLASTICA ESTRADA CAISAHUANA</t>
  </si>
  <si>
    <t>2060899710603EB010000003711</t>
  </si>
  <si>
    <t>CARMEN ROJAS POMA</t>
  </si>
  <si>
    <t>2060899710603EB010000003712</t>
  </si>
  <si>
    <t>MARIA ROJAS FLORES</t>
  </si>
  <si>
    <t>2060899710603EB010000003713</t>
  </si>
  <si>
    <t>ESTHER RUTH SANCHEZ JERONIMO</t>
  </si>
  <si>
    <t>2060899710603EB010000003714</t>
  </si>
  <si>
    <t>FAVIOLA TANGA ARMAULIA</t>
  </si>
  <si>
    <t>2060899710603EB010000003715</t>
  </si>
  <si>
    <t>RAMONA SANCHEZ ARMAULIA</t>
  </si>
  <si>
    <t>2060899710603EB010000003716</t>
  </si>
  <si>
    <t>ROSA VILCA SANTOS</t>
  </si>
  <si>
    <t>2060899710603EB010000003717</t>
  </si>
  <si>
    <t>SANDRA RIOS VILCA</t>
  </si>
  <si>
    <t>2060899710603EB010000003718</t>
  </si>
  <si>
    <t>DORIS POMASUNCO VILCA</t>
  </si>
  <si>
    <t>2060899710603EB010000003719</t>
  </si>
  <si>
    <t>SONIA PAYTAN SEDANO</t>
  </si>
  <si>
    <t>2060899710603EB010000003720</t>
  </si>
  <si>
    <t>DEYSI SOTO POMA</t>
  </si>
  <si>
    <t>2060899710603EB010000003721</t>
  </si>
  <si>
    <t>MARIA RAMOS VILCA</t>
  </si>
  <si>
    <t>2060899710603EB010000003722</t>
  </si>
  <si>
    <t>MIRIAN POMA RIVERA</t>
  </si>
  <si>
    <t>2060899710603EB010000003723</t>
  </si>
  <si>
    <t>FLOR ROJAS VILCA</t>
  </si>
  <si>
    <t>2060899710603EB010000003724</t>
  </si>
  <si>
    <t>2060899710603EB010000003725</t>
  </si>
  <si>
    <t>FLOR ROCIO POMA</t>
  </si>
  <si>
    <t>2060899710603EB010000003726</t>
  </si>
  <si>
    <t>PEDRO ROQUE POMA</t>
  </si>
  <si>
    <t>2060899710603EB010000003727</t>
  </si>
  <si>
    <t>ROSITA POMA VILA</t>
  </si>
  <si>
    <t>2060899710603EB010000003728</t>
  </si>
  <si>
    <t>FLOR POMA RIOS</t>
  </si>
  <si>
    <t>2060899710603EB010000003729</t>
  </si>
  <si>
    <t>ROCIO POMA VILCA</t>
  </si>
  <si>
    <t>2060899710603EB010000003730</t>
  </si>
  <si>
    <t>FLOR ROJAS PEÑA</t>
  </si>
  <si>
    <t>2060899710603EB010000003731</t>
  </si>
  <si>
    <t>JAVIER CHAYO POMA</t>
  </si>
  <si>
    <t>2060899710603EB010000003732</t>
  </si>
  <si>
    <t>FLOR ROJAS PINO</t>
  </si>
  <si>
    <t>2060899710603EB010000003733</t>
  </si>
  <si>
    <t>SANDRA RIOS POMA</t>
  </si>
  <si>
    <t>2060899710603EB010000003734</t>
  </si>
  <si>
    <t>POMA RIOS VILCA</t>
  </si>
  <si>
    <t>2060899710603EB010000003735</t>
  </si>
  <si>
    <t>FLOR ROJAS CANTARIN</t>
  </si>
  <si>
    <t>2060899710603EB010000003736</t>
  </si>
  <si>
    <t>ESTHER SANTOS VILCA</t>
  </si>
  <si>
    <t>2060899710603EB010000003737</t>
  </si>
  <si>
    <t>2060899710603EB010000003738</t>
  </si>
  <si>
    <t>HUGO DE LA O MERCADO</t>
  </si>
  <si>
    <t>2060899710603EB010000003739</t>
  </si>
  <si>
    <t>2060899710603EB010000003740</t>
  </si>
  <si>
    <t>FAVIAN POMA ROJAS</t>
  </si>
  <si>
    <t>2060899710603EB010000003741</t>
  </si>
  <si>
    <t>ALONDRA COSINGA SEIKO</t>
  </si>
  <si>
    <t>2060899710603EB010000003742</t>
  </si>
  <si>
    <t>FLOR ROJAS SOTO</t>
  </si>
  <si>
    <t>2060899710603EB010000003743</t>
  </si>
  <si>
    <t>ZENAIDA VALLADOLID TAPIA</t>
  </si>
  <si>
    <t>2060899710603EB010000003744</t>
  </si>
  <si>
    <t>MASSIEL AGUILAR LUJAN</t>
  </si>
  <si>
    <t>2060899710603EB010000003745</t>
  </si>
  <si>
    <t>2060899710603EB010000003746</t>
  </si>
  <si>
    <t>MARCOS CORDOVA ESTRADA</t>
  </si>
  <si>
    <t>2060899710603EB010000003747</t>
  </si>
  <si>
    <t>FLOR ROJAS ÑAVEZ</t>
  </si>
  <si>
    <t>2060899710603EB010000003748</t>
  </si>
  <si>
    <t>LAURA CHAVEZ DIONICIO</t>
  </si>
  <si>
    <t>2060899710603EB010000003749</t>
  </si>
  <si>
    <t>VALERIA JOAQUIN DIAZ</t>
  </si>
  <si>
    <t>2060899710603EB010000003750</t>
  </si>
  <si>
    <t>JAVIER RIOS LAURA</t>
  </si>
  <si>
    <t>2060899710603EB010000003751</t>
  </si>
  <si>
    <t>ADAN POMA VILCA</t>
  </si>
  <si>
    <t>2060899710603EB010000003752</t>
  </si>
  <si>
    <t>ALEJANDRA GAMARRA MAYTA</t>
  </si>
  <si>
    <t>2060899710603EB010000003753</t>
  </si>
  <si>
    <t>VICTOR HILARIO GAMARRA QUINTO</t>
  </si>
  <si>
    <t>2060899710603EB010000003754</t>
  </si>
  <si>
    <t>DIONICIA DELIA TOVAR RUPAY</t>
  </si>
  <si>
    <t>2060899710603EB010000003755</t>
  </si>
  <si>
    <t>PEDRO JACINTO QUISPE</t>
  </si>
  <si>
    <t>2060899710603EB010000003756</t>
  </si>
  <si>
    <t>SEFERINO SANTIAGO CORDOVA BONIFACIO</t>
  </si>
  <si>
    <t>2060899710603EB010000003757</t>
  </si>
  <si>
    <t>DIONISIO RONCAL RIVERA</t>
  </si>
  <si>
    <t>2060899710603EB010000003758</t>
  </si>
  <si>
    <t>CAYO CARLOS CENTENO MILCHOR</t>
  </si>
  <si>
    <t>2060899710603EB010000003759</t>
  </si>
  <si>
    <t>TEOFILA CHAUCA UCHUA</t>
  </si>
  <si>
    <t>2060899710603EB010000003760</t>
  </si>
  <si>
    <t>PASCUAL RIVERA DE LA CRUZ</t>
  </si>
  <si>
    <t>2060899710603EB010000003761</t>
  </si>
  <si>
    <t>2060899710603EB010000003762</t>
  </si>
  <si>
    <t>DIONISIA TAYPE SANCHEZ</t>
  </si>
  <si>
    <t>2060899710603EB010000003763</t>
  </si>
  <si>
    <t>MAURO QUISPE TRILLO</t>
  </si>
  <si>
    <t>2060899710603EB010000003764</t>
  </si>
  <si>
    <t>2060899710603EB010000003765</t>
  </si>
  <si>
    <t>ROCIO POMA VELIZ</t>
  </si>
  <si>
    <t>2060899710603EB010000003766</t>
  </si>
  <si>
    <t>VALERIA RAMOS VILCA</t>
  </si>
  <si>
    <t>2060899710603EB010000003767</t>
  </si>
  <si>
    <t>ROCIO ALIAGA POMA</t>
  </si>
  <si>
    <t>2060899710603EB010000003768</t>
  </si>
  <si>
    <t>FAVILOA CUBA GAMARRA</t>
  </si>
  <si>
    <t>2060899710603EB010000003769</t>
  </si>
  <si>
    <t>ESTHER SANCHEZ JERONIMO</t>
  </si>
  <si>
    <t>2060899710603EB010000003770</t>
  </si>
  <si>
    <t>FLOR ROCIO POMA VILCA</t>
  </si>
  <si>
    <t>2060899710603EB010000003771</t>
  </si>
  <si>
    <t>LURDES CARDENAS RETAMOZO</t>
  </si>
  <si>
    <t>2060899710603EB010000003772</t>
  </si>
  <si>
    <t>SANTA POMA VILCA</t>
  </si>
  <si>
    <t>2060899710603EB010000003773</t>
  </si>
  <si>
    <t>SUSANA VILCA POMA</t>
  </si>
  <si>
    <t>2060899710603EB010000003774</t>
  </si>
  <si>
    <t>SARA RODRIGUES POMA</t>
  </si>
  <si>
    <t>2060899710603EB010000003776</t>
  </si>
  <si>
    <t>FILOMENO TANGA ARMAULIA</t>
  </si>
  <si>
    <t>2060899710603EB010000003777</t>
  </si>
  <si>
    <t>FLOR ROJAS SANTOS</t>
  </si>
  <si>
    <t>2060899710603EB010000003778</t>
  </si>
  <si>
    <t>SANDRA QUISPE PINO</t>
  </si>
  <si>
    <t>2060899710603EB010000003779</t>
  </si>
  <si>
    <t>ARON RICSE POMA</t>
  </si>
  <si>
    <t>2060899710603EB010000003780</t>
  </si>
  <si>
    <t>CARMEN ROJAS VILCA</t>
  </si>
  <si>
    <t>2060899710603EB010000003781</t>
  </si>
  <si>
    <t>CATALINA POMA SANTOS</t>
  </si>
  <si>
    <t>2060899710603EB010000003782</t>
  </si>
  <si>
    <t>MIRIAN ROJAS MALLMA</t>
  </si>
  <si>
    <t>2060899710603EB010000003783</t>
  </si>
  <si>
    <t>SELENA ROJAS CARO</t>
  </si>
  <si>
    <t>2060899710603EB010000003784</t>
  </si>
  <si>
    <t>CARMEN RIOS TACNA</t>
  </si>
  <si>
    <t>2060899710603EB010000003785</t>
  </si>
  <si>
    <t>ANITA RODRIGUES POMA</t>
  </si>
  <si>
    <t>2060899710603EB010000003786</t>
  </si>
  <si>
    <t>VILMA POMA VERA</t>
  </si>
  <si>
    <t>2060899710603EB010000003787</t>
  </si>
  <si>
    <t>ROCIO POMA RIVERA</t>
  </si>
  <si>
    <t>2060899710603EB010000003788</t>
  </si>
  <si>
    <t>CARMEN ROJAS VEGA</t>
  </si>
  <si>
    <t>2060899710601E0010000000036</t>
  </si>
  <si>
    <t>MONTECRISTO DEL ESTE S.A.C</t>
  </si>
  <si>
    <t>2060899710603EB010000003789</t>
  </si>
  <si>
    <t>ALEJANDRO ROJAS PONCE</t>
  </si>
  <si>
    <t>2060899710603EB010000003790</t>
  </si>
  <si>
    <t>LUIS RAMOS VILCA</t>
  </si>
  <si>
    <t>2060899710603EB010000003791</t>
  </si>
  <si>
    <t>VILMA RIOS POMA</t>
  </si>
  <si>
    <t>2060899710603EB010000003792</t>
  </si>
  <si>
    <t>2060899710603EB010000003793</t>
  </si>
  <si>
    <t>SOLEDAD POMA VILCA</t>
  </si>
  <si>
    <t>2060899710603EB010000003794</t>
  </si>
  <si>
    <t>FREDY POMA VILCA</t>
  </si>
  <si>
    <t>2060899710603EB010000003795</t>
  </si>
  <si>
    <t>RUBEN RAMOS VILA</t>
  </si>
  <si>
    <t>2060899710603EB010000003796</t>
  </si>
  <si>
    <t>VIOLETA PINO SANTOS</t>
  </si>
  <si>
    <t>2060899710603EB010000003797</t>
  </si>
  <si>
    <t>VIRGINIA MENDOZA POMA</t>
  </si>
  <si>
    <t>2060899710603EB010000003798</t>
  </si>
  <si>
    <t>JAVIER RIOS POMA</t>
  </si>
  <si>
    <t>2060899710603EB010000003799</t>
  </si>
  <si>
    <t>2060899710603EB010000003800</t>
  </si>
  <si>
    <t>ROCIO FLORES ÑAVEZ</t>
  </si>
  <si>
    <t>2060899710603EB010000003801</t>
  </si>
  <si>
    <t>FLOR DE ROCIO POMA</t>
  </si>
  <si>
    <t>2060899710603EB010000003802</t>
  </si>
  <si>
    <t>SANDRA ROJAS PINO</t>
  </si>
  <si>
    <t>2060899710603EB010000003803</t>
  </si>
  <si>
    <t>LUIS GONSALES FLORES</t>
  </si>
  <si>
    <t>2060899710603EB010000003805</t>
  </si>
  <si>
    <t>JOSE POMA VILCA</t>
  </si>
  <si>
    <t>2060899710603EB010000003806</t>
  </si>
  <si>
    <t>CLEMENTE MENDOZA POMA</t>
  </si>
  <si>
    <t>2060899710603EB010000003807</t>
  </si>
  <si>
    <t>2060899710603EB010000003808</t>
  </si>
  <si>
    <t>FREDY VILA CASTRO</t>
  </si>
  <si>
    <t>2060899710603EB010000003809</t>
  </si>
  <si>
    <t>TEODORO POMA RIVERA</t>
  </si>
  <si>
    <t>2060899710603EB010000003810</t>
  </si>
  <si>
    <t>SARITA POMA RIOS</t>
  </si>
  <si>
    <t>2060899710603EB010000003811</t>
  </si>
  <si>
    <t>SULEMA CARO VILCA</t>
  </si>
  <si>
    <t>2060899710603EB010000003775</t>
  </si>
  <si>
    <t>SOLEDAD POMA RIOS</t>
  </si>
  <si>
    <t>2060899710603EB010000003812</t>
  </si>
  <si>
    <t>2060899710603EB010000003813</t>
  </si>
  <si>
    <t>FLOR ROJAS POMA</t>
  </si>
  <si>
    <t>2060899710603EB010000003814</t>
  </si>
  <si>
    <t>JAVIER RAMOS SANTOS</t>
  </si>
  <si>
    <t>2060899710603EB010000003815</t>
  </si>
  <si>
    <t>PEDRO RIOS VILCA</t>
  </si>
  <si>
    <t>2060899710603EB010000003816</t>
  </si>
  <si>
    <t>PEDRO ROJAS ÑAVES</t>
  </si>
  <si>
    <t>2060899710603EB010000003817</t>
  </si>
  <si>
    <t>2060899710603EB010000003818</t>
  </si>
  <si>
    <t>ROSA CARO VILCA</t>
  </si>
  <si>
    <t>2060899710603EB010000003819</t>
  </si>
  <si>
    <t>FIDEL SANTOS VILCA</t>
  </si>
  <si>
    <t>2060899710603EB010000003820</t>
  </si>
  <si>
    <t>2060899710603EB010000003821</t>
  </si>
  <si>
    <t>CLIPER CARO VILCA</t>
  </si>
  <si>
    <t>2060899710603EB010000003822</t>
  </si>
  <si>
    <t>ADAN ROJAS QUISPE</t>
  </si>
  <si>
    <t>2060899710603EB010000003823</t>
  </si>
  <si>
    <t>FREDY QUISPE POMA</t>
  </si>
  <si>
    <t>2060899710603EB010000003824</t>
  </si>
  <si>
    <t>RICARDO GUILLEN POMA</t>
  </si>
  <si>
    <t>2060899710603EB010000003825</t>
  </si>
  <si>
    <t>2060899710603EB010000003826</t>
  </si>
  <si>
    <t>FLOR ROJAS SANCHEZ</t>
  </si>
  <si>
    <t>2060899710603EB010000003827</t>
  </si>
  <si>
    <t>2060899710603EB010000003804</t>
  </si>
  <si>
    <t>CARMEN ROJAS PINO</t>
  </si>
  <si>
    <t>2060899710603EB010000003828</t>
  </si>
  <si>
    <t>SONIA RIOS VILCA</t>
  </si>
  <si>
    <t>2060899710603EB010000003829</t>
  </si>
  <si>
    <t>VALERIA JOAQUIN SANCHEZ</t>
  </si>
  <si>
    <t>2060899710603EB010000003830</t>
  </si>
  <si>
    <t>2060899710603EB010000003831</t>
  </si>
  <si>
    <t>PEDRO JOAQUN POMA</t>
  </si>
  <si>
    <t>2060899710603EB010000003832</t>
  </si>
  <si>
    <t>FLORCITA POMA RIVERA</t>
  </si>
  <si>
    <t>2060899710603EB010000003833</t>
  </si>
  <si>
    <t>SALOME AYUQUE MONTAÑEZ</t>
  </si>
  <si>
    <t>2060899710603EB010000003834</t>
  </si>
  <si>
    <t>FELICIANO CARDENAS CANO</t>
  </si>
  <si>
    <t>2060899710603EB010000003835</t>
  </si>
  <si>
    <t>ERIKA MERCEDES BALVIN FLORES</t>
  </si>
  <si>
    <t>2060899710603EB010000003836</t>
  </si>
  <si>
    <t>HONORATO VENTURA GARCIA</t>
  </si>
  <si>
    <t>2060899710603EB010000003837</t>
  </si>
  <si>
    <t>TEOFILO MARCIANO PEREZ RIVERA</t>
  </si>
  <si>
    <t>2060899710603EB010000003839</t>
  </si>
  <si>
    <t>JULIAN ESTRADA MAITA</t>
  </si>
  <si>
    <t>2060899710603EB010000003840</t>
  </si>
  <si>
    <t>OLIMPIO GAMARRA PALOMINO</t>
  </si>
  <si>
    <t>2060899710603EB010000003841</t>
  </si>
  <si>
    <t>2060899710603EB010000003842</t>
  </si>
  <si>
    <t>VICTOR REYES MALLMA</t>
  </si>
  <si>
    <t>2060899710603EB010000003843</t>
  </si>
  <si>
    <t>ALCIDES VELI FLORES</t>
  </si>
  <si>
    <t>2060899710603EB010000003844</t>
  </si>
  <si>
    <t>SERGIO BERRIOS MENDOZA</t>
  </si>
  <si>
    <t>2060899710603EB010000003845</t>
  </si>
  <si>
    <t>AQUILINA CANO MEZA</t>
  </si>
  <si>
    <t>2060899710603EB010000003846</t>
  </si>
  <si>
    <t>BENIGNA RAMOZ SAMANIEGO</t>
  </si>
  <si>
    <t>2060899710603EB010000003847</t>
  </si>
  <si>
    <t>NILDA MEDINA SURICHAQUI</t>
  </si>
  <si>
    <t>2060899710603EB010000003848</t>
  </si>
  <si>
    <t>ISABEL GARCIA LOZANO</t>
  </si>
  <si>
    <t>2060899710603EB010000003849</t>
  </si>
  <si>
    <t>DINA FINA TORRES VIVANCOS</t>
  </si>
  <si>
    <t>2060899710603EB010000003850</t>
  </si>
  <si>
    <t>ELENA CLARA PALOMINO VENTURO</t>
  </si>
  <si>
    <t>2060899710603EB010000003851</t>
  </si>
  <si>
    <t>JULIA PEREZ MAYTA</t>
  </si>
  <si>
    <t>2060899710603EB010000003852</t>
  </si>
  <si>
    <t>GLORIA PEREZ GARCIA</t>
  </si>
  <si>
    <t>2060899710603EB010000003853</t>
  </si>
  <si>
    <t>ISAIAS POMA RIVERA</t>
  </si>
  <si>
    <t>2060899710603EB010000003856</t>
  </si>
  <si>
    <t>IRENY LLANTOY SANTOS</t>
  </si>
  <si>
    <t>2060899710603EB010000003861</t>
  </si>
  <si>
    <t>JUSTINA DE LA CRUZ HUAMAN</t>
  </si>
  <si>
    <t>2060899710603EB010000003855</t>
  </si>
  <si>
    <t>FELIPE CANTARO CUBA</t>
  </si>
  <si>
    <t>2060899710603EB010000003857</t>
  </si>
  <si>
    <t>CRISTINA FLORA TELLO GOMEZ</t>
  </si>
  <si>
    <t>2060899710603EB010000003860</t>
  </si>
  <si>
    <t>ELIZABETH DE LA CRUZ HUAMAN</t>
  </si>
  <si>
    <t>2060899710603EB010000003862</t>
  </si>
  <si>
    <t>ALEJANDRO PRADO GAVILAN</t>
  </si>
  <si>
    <t>2060899710603EB010000003867</t>
  </si>
  <si>
    <t>ANTONIETA QUISPE DE LA CRUZ</t>
  </si>
  <si>
    <t>2060899710603EB010000003866</t>
  </si>
  <si>
    <t>LUCIA ANTEZANA LIRA</t>
  </si>
  <si>
    <t>2060899710603EB010000003871</t>
  </si>
  <si>
    <t>DEMETRIO QUISPE MONTALVO</t>
  </si>
  <si>
    <t>2060899710603EB010000003873</t>
  </si>
  <si>
    <t>2060899710603EB010000003872</t>
  </si>
  <si>
    <t>JAIME GOMEZ ESTRADA</t>
  </si>
  <si>
    <t>2060899710603EB010000003874</t>
  </si>
  <si>
    <t>REYNALDA QUINTO DE LA CRUZ</t>
  </si>
  <si>
    <t>2060899710603EB010000003854</t>
  </si>
  <si>
    <t>MARGARITA REQUELME AGUILAR</t>
  </si>
  <si>
    <t>2060899710603EB010000003863</t>
  </si>
  <si>
    <t>YENY NOA CCENTE</t>
  </si>
  <si>
    <t>2060899710603EB010000003865</t>
  </si>
  <si>
    <t>LINDA LIZ RUIZ FERNANDEZ</t>
  </si>
  <si>
    <t>2060899710603EB010000003864</t>
  </si>
  <si>
    <t>BIVIANA PAUCAR DE HERRERA</t>
  </si>
  <si>
    <t>2060899710603EB010000003869</t>
  </si>
  <si>
    <t>2060899710603EB010000003858</t>
  </si>
  <si>
    <t>CATALINA SANTOS CONTRERAS</t>
  </si>
  <si>
    <t>2060899710603EB010000003859</t>
  </si>
  <si>
    <t>RONAL CORNELIO DE LA CRUZ HUAMAN</t>
  </si>
  <si>
    <t>2060899710603EB010000003868</t>
  </si>
  <si>
    <t>SENAYDA PACHECO CONDORI</t>
  </si>
  <si>
    <t>2060899710603EB010000003870</t>
  </si>
  <si>
    <t>2060899710601E0010000000040</t>
  </si>
  <si>
    <t>CONTRATISTAS Y CONSULTORES PALFIG S.A.C.</t>
  </si>
  <si>
    <t>2060899710603EB010000003875</t>
  </si>
  <si>
    <t>HECTOR DARIO MERCADO HIDALGO</t>
  </si>
  <si>
    <t>2060899710603EB010000003876</t>
  </si>
  <si>
    <t>IRMA SOLEDAD MERCADO SUAREZ</t>
  </si>
  <si>
    <t>2060899710603EB010000003877</t>
  </si>
  <si>
    <t>HECTOR CABRERA ESTRADA</t>
  </si>
  <si>
    <t>2060899710603EB010000003878</t>
  </si>
  <si>
    <t>MARCELINA LOPEZ ARROYO</t>
  </si>
  <si>
    <t>2060899710603EB010000003879</t>
  </si>
  <si>
    <t>BEATRIZ MONICA DANIEL CARHUAS</t>
  </si>
  <si>
    <t>2060899710603EB010000003880</t>
  </si>
  <si>
    <t>BERTHA QUISPE QUISPE</t>
  </si>
  <si>
    <t>2060899710603EB010000003881</t>
  </si>
  <si>
    <t>JORGE ESPINOZA HUARCAYA</t>
  </si>
  <si>
    <t>2060899710603EB010000003882</t>
  </si>
  <si>
    <t>FAUSTINO ATAUCUSI TUNQUI</t>
  </si>
  <si>
    <t>2060899710603EB010000003883</t>
  </si>
  <si>
    <t>PEPE JUSTINIO QUISPE TAYPE</t>
  </si>
  <si>
    <t>2060899710603EB010000003884</t>
  </si>
  <si>
    <t>2060899710603EB010000003885</t>
  </si>
  <si>
    <t>FAUSTINA ESPINOZA MATAMOROS</t>
  </si>
  <si>
    <t>2060899710603EB010000003886</t>
  </si>
  <si>
    <t>ALBERTO PAUCAR HUAMAN</t>
  </si>
  <si>
    <t>2060899710603EB010000003838</t>
  </si>
  <si>
    <t>MAXIMILIANO FELIX DE LA CRUZ GARCIA</t>
  </si>
  <si>
    <t>2060899710601E0010000000037</t>
  </si>
  <si>
    <t>LOVERA TORRES ELUTERIO EDUARDO</t>
  </si>
  <si>
    <t>2060899710601E0010000000038</t>
  </si>
  <si>
    <t>2060899710603EB010000003887</t>
  </si>
  <si>
    <t>SEBASTIAN ESPINOZA PEÑALOZA</t>
  </si>
  <si>
    <t>2060899710603EB010000003888</t>
  </si>
  <si>
    <t>2060899710603EB010000003889</t>
  </si>
  <si>
    <t>AURELIO ROSALES QUISPE</t>
  </si>
  <si>
    <t>2060899710603EB010000003890</t>
  </si>
  <si>
    <t>YENY RAMOS HUAMAN</t>
  </si>
  <si>
    <t>2060899710603EB010000003891</t>
  </si>
  <si>
    <t>DOROTEA RIVERA QUISPE</t>
  </si>
  <si>
    <t>2060899710603EB010000003892</t>
  </si>
  <si>
    <t>NARCISA TEODORA RAMOS HUAMAN</t>
  </si>
  <si>
    <t>2060899710603EB010000003893</t>
  </si>
  <si>
    <t>ELISABETH CHOCCA TUNQUE</t>
  </si>
  <si>
    <t>2060899710603EB010000003894</t>
  </si>
  <si>
    <t>PABLO QUISPE QUINCHO</t>
  </si>
  <si>
    <t>2060899710603EB010000003895</t>
  </si>
  <si>
    <t>2060899710603EB010000003896</t>
  </si>
  <si>
    <t>LEONCIA ORTENSIA DANIEL CARHUAS</t>
  </si>
  <si>
    <t>2060899710603EB010000003897</t>
  </si>
  <si>
    <t>FELIX ROSALES QUINCHO</t>
  </si>
  <si>
    <t>2060899710603EB010000003898</t>
  </si>
  <si>
    <t>2060899710603EB010000003899</t>
  </si>
  <si>
    <t>CESAR FELIMON ESPINOZA QUISPE</t>
  </si>
  <si>
    <t>2060899710603EB010000003900</t>
  </si>
  <si>
    <t>2060899710603EB010000003901</t>
  </si>
  <si>
    <t>TEODORA QUINCHO DE VILCA</t>
  </si>
  <si>
    <t>2060899710603EB010000003902</t>
  </si>
  <si>
    <t>2060899710603EB010000003903</t>
  </si>
  <si>
    <t>DONATILDA RIVERA QUISPE</t>
  </si>
  <si>
    <t>2060899710603EB010000003904</t>
  </si>
  <si>
    <t>MARCELINA QUISPE ENRIQUEZ</t>
  </si>
  <si>
    <t>2060899710603EB010000003905</t>
  </si>
  <si>
    <t>2060899710603EB010000003906</t>
  </si>
  <si>
    <t>2060899710603EB010000003907</t>
  </si>
  <si>
    <t>SONIA MARTHA CRISPIN QUICHCA</t>
  </si>
  <si>
    <t>2060899710603EB010000003909</t>
  </si>
  <si>
    <t>MARTINA RAMOS QUISPE</t>
  </si>
  <si>
    <t>2060899710603EB010000003910</t>
  </si>
  <si>
    <t>MARCELA CRISPIN QUICHCA</t>
  </si>
  <si>
    <t>2060899710607E0010000000001</t>
  </si>
  <si>
    <t>2060899710601E0010000000039</t>
  </si>
  <si>
    <t>2060899710603EB010000003908</t>
  </si>
  <si>
    <t>ANGENITA DOLORES SOTO RAMOS</t>
  </si>
  <si>
    <t>2060899710603EB010000003911</t>
  </si>
  <si>
    <t>2060899710603EB010000003912</t>
  </si>
  <si>
    <t>2060899710603EB010000003913</t>
  </si>
  <si>
    <t>ELVIRA ESCOBAR DE BARRIENTOS</t>
  </si>
  <si>
    <t>2060899710601E0010000000041</t>
  </si>
  <si>
    <t>2060899710603EB010000003914</t>
  </si>
  <si>
    <t>MARIA SERAFINA MACHUCA CRISPIN</t>
  </si>
  <si>
    <t>2060899710603EB010000003915</t>
  </si>
  <si>
    <t>2060899710603EB010000003916</t>
  </si>
  <si>
    <t>PASCUAL VIDAL SOTO QUISPE</t>
  </si>
  <si>
    <t>2060899710603EB010000003917</t>
  </si>
  <si>
    <t>AVIGAEL PAUCAR QUISPE</t>
  </si>
  <si>
    <t>2060899710603EB010000003918</t>
  </si>
  <si>
    <t>ANTONIA IRENE TICA HUAMAN</t>
  </si>
  <si>
    <t>2060899710603EB010000003919</t>
  </si>
  <si>
    <t>GLISERIO PEDRO QUICHCA LAYME</t>
  </si>
  <si>
    <t>2060899710603EB010000003920</t>
  </si>
  <si>
    <t>VICENTA HUAMAN QUICHCA</t>
  </si>
  <si>
    <t>2060899710603EB010000003921</t>
  </si>
  <si>
    <t>FORTUNATO MACHUCA HUAMAN</t>
  </si>
  <si>
    <t>2060899710603EB010000003922</t>
  </si>
  <si>
    <t>2060899710603EB010000003923</t>
  </si>
  <si>
    <t>JANETH GABRIEL QUISPE</t>
  </si>
  <si>
    <t>2060899710603EB010000003924</t>
  </si>
  <si>
    <t>ROXANA FERNANDEZ CRISPIN</t>
  </si>
  <si>
    <t>2060899710603EB010000003925</t>
  </si>
  <si>
    <t>RUBEN CAMARGO MUÑOZ</t>
  </si>
  <si>
    <t>2060899710603EB010000003926</t>
  </si>
  <si>
    <t>2060899710603EB010000003927</t>
  </si>
  <si>
    <t>BENIGNA MERCADO MENDOZA</t>
  </si>
  <si>
    <t>2060899710603EB010000003928</t>
  </si>
  <si>
    <t>2060899710603EB010000003929</t>
  </si>
  <si>
    <t>ARMINGOL CAMARENA VERA</t>
  </si>
  <si>
    <t>2060899710603EB010000003930</t>
  </si>
  <si>
    <t>FORTUNATA CAMARGO DE BARJA</t>
  </si>
  <si>
    <t>2060899710603EB010000003931</t>
  </si>
  <si>
    <t>DELFINA PEREZ ENRIQUEZ</t>
  </si>
  <si>
    <t>2060899710603EB010000003932</t>
  </si>
  <si>
    <t>CELSO TOMAS OLARTE SALAZAR</t>
  </si>
  <si>
    <t>2060899710603EB010000003933</t>
  </si>
  <si>
    <t>VANESA KIARA TORRES PEREZ</t>
  </si>
  <si>
    <t>2060899710603EB010000003934</t>
  </si>
  <si>
    <t>ADELA BAUTISTA CUSICHE</t>
  </si>
  <si>
    <t>2060899710603EB010000003935</t>
  </si>
  <si>
    <t>2060899710603EB010000003936</t>
  </si>
  <si>
    <t>2060899710603EB010000003937</t>
  </si>
  <si>
    <t>2060899710603EB010000003938</t>
  </si>
  <si>
    <t>2060899710603EB010000003939</t>
  </si>
  <si>
    <t>2060899710603EB010000003940</t>
  </si>
  <si>
    <t>REYNA FLORES LIMACHE</t>
  </si>
  <si>
    <t>2060899710603EB010000003941</t>
  </si>
  <si>
    <t>ROCY ROSMERY VALENCIA RAMOS</t>
  </si>
  <si>
    <t>2060899710603EB010000003942</t>
  </si>
  <si>
    <t>MARITZA PARAGUAY PEREZ</t>
  </si>
  <si>
    <t>2060899710603EB010000003943</t>
  </si>
  <si>
    <t>YOVANA HUANCAS CANCHANYA</t>
  </si>
  <si>
    <t>2060899710603EB010000003944</t>
  </si>
  <si>
    <t>CHAYO JAVIER RIVAS SANCHEZ</t>
  </si>
  <si>
    <t>2060899710603EB010000003945</t>
  </si>
  <si>
    <t>FIORELA POMA VILCA</t>
  </si>
  <si>
    <t>2060899710603EB010000003946</t>
  </si>
  <si>
    <t>ROBERTO SANCHEZ PASTOR</t>
  </si>
  <si>
    <t>2060899710603EB010000003947</t>
  </si>
  <si>
    <t>OSCAR RICSE POMA</t>
  </si>
  <si>
    <t>2060899710603EB010000003948</t>
  </si>
  <si>
    <t>JOSE SANCHEZ ARMAULIA</t>
  </si>
  <si>
    <t>2060899710603EB010000003949</t>
  </si>
  <si>
    <t>PALOMA ROSAS CASTRO</t>
  </si>
  <si>
    <t>2060899710603EB010000003950</t>
  </si>
  <si>
    <t>PILAR MENDOZA POMA</t>
  </si>
  <si>
    <t>2060899710603EB010000003951</t>
  </si>
  <si>
    <t>MARLENI CARO VILCA</t>
  </si>
  <si>
    <t>2060899710603EB010000003952</t>
  </si>
  <si>
    <t>JAVIER POMA VILCA</t>
  </si>
  <si>
    <t>2060899710603EB010000003953</t>
  </si>
  <si>
    <t>MARISOL RICSE POMA</t>
  </si>
  <si>
    <t>2060899710603EB010000003954</t>
  </si>
  <si>
    <t>LUIS JOAQUIN DIAZ</t>
  </si>
  <si>
    <t>2060899710603EB010000003955</t>
  </si>
  <si>
    <t>FLOR ROJAS ALIAGA</t>
  </si>
  <si>
    <t>2060899710603EB010000003956</t>
  </si>
  <si>
    <t>ERLINDA RELICARIO VILA</t>
  </si>
  <si>
    <t>2060899710603EB010000003957</t>
  </si>
  <si>
    <t>LUZ SANCHEZ TORREZ</t>
  </si>
  <si>
    <t>2060899710603EB010000003958</t>
  </si>
  <si>
    <t>ESTHER POMA RIVERA</t>
  </si>
  <si>
    <t>2060899710603EB010000003959</t>
  </si>
  <si>
    <t>SANDRA ROJAS ÑAVEZ</t>
  </si>
  <si>
    <t>2060899710603EB010000003960</t>
  </si>
  <si>
    <t>PAULINA PALOMINO SANTOS</t>
  </si>
  <si>
    <t>2060899710603EB010000003961</t>
  </si>
  <si>
    <t>ANDREAS CARO VILCA</t>
  </si>
  <si>
    <t>2060899710603EB010000003962</t>
  </si>
  <si>
    <t>LUSLI POMA RIVERA</t>
  </si>
  <si>
    <t>2060899710603EB010000003964</t>
  </si>
  <si>
    <t>POMA RICSE SANTOS</t>
  </si>
  <si>
    <t>2060899710603EB010000003965</t>
  </si>
  <si>
    <t>REYNA CASTRO PINO</t>
  </si>
  <si>
    <t>2060899710603EB010000003963</t>
  </si>
  <si>
    <t>LUIS PINO VILCA</t>
  </si>
  <si>
    <t>2060899710603EB010000003966</t>
  </si>
  <si>
    <t>BRAYAN CASOS CANTO</t>
  </si>
  <si>
    <t>2060899710603EB010000003967</t>
  </si>
  <si>
    <t>FLOR MARIA POMA RIVERA</t>
  </si>
  <si>
    <t>2060899710603EB010000003968</t>
  </si>
  <si>
    <t>JAVIER RIVAS VILCA</t>
  </si>
  <si>
    <t>2060899710603EB010000003969</t>
  </si>
  <si>
    <t>MAGALI PONCE SANTOS</t>
  </si>
  <si>
    <t>2060899710603EB010000003970</t>
  </si>
  <si>
    <t>2060899710603EB010000003971</t>
  </si>
  <si>
    <t>FAUSTINO SANTOS VILCA</t>
  </si>
  <si>
    <t>2060899710603EB010000003972</t>
  </si>
  <si>
    <t>CLAUDIA RICSE POMA</t>
  </si>
  <si>
    <t>2060899710603EB010000003973</t>
  </si>
  <si>
    <t>FRANCISCO POMA VILCA</t>
  </si>
  <si>
    <t>2060899710603EB010000003975</t>
  </si>
  <si>
    <t>FIORELA RAYMUNDO MALDONADO</t>
  </si>
  <si>
    <t>2060899710603EB010000003976</t>
  </si>
  <si>
    <t>SANTA POMA ROJAS</t>
  </si>
  <si>
    <t>2060899710603EB010000003977</t>
  </si>
  <si>
    <t>SANTA FIORELA VILCA</t>
  </si>
  <si>
    <t>2060899710603EB010000003978</t>
  </si>
  <si>
    <t>ROCIO POMA RICSE</t>
  </si>
  <si>
    <t>2060899710603EB010000003979</t>
  </si>
  <si>
    <t>FREDI POMA RICSE</t>
  </si>
  <si>
    <t>2060899710603EB010000003980</t>
  </si>
  <si>
    <t>JACINTA RAMOS ÑAVEZ</t>
  </si>
  <si>
    <t>2060899710603EB010000003981</t>
  </si>
  <si>
    <t>ROSA PONCE QUINTO</t>
  </si>
  <si>
    <t>2060899710603EB010000003982</t>
  </si>
  <si>
    <t>ANA FLORES TORREZ</t>
  </si>
  <si>
    <t>2060899710603EB010000003983</t>
  </si>
  <si>
    <t>VANESA BARRETO POMA</t>
  </si>
  <si>
    <t>2060899710603EB010000003984</t>
  </si>
  <si>
    <t>RAFAEL LOPEZ VILA</t>
  </si>
  <si>
    <t>2060899710603EB010000003985</t>
  </si>
  <si>
    <t>OSCAR SANTOS ÑAVEZ</t>
  </si>
  <si>
    <t>2060899710603EB010000003986</t>
  </si>
  <si>
    <t>SULIANA SANCHEZ JERONIMO</t>
  </si>
  <si>
    <t>2060899710603EB010000003987</t>
  </si>
  <si>
    <t>JOSE LUIS CHAHUAYA</t>
  </si>
  <si>
    <t>2060899710603EB010000003974</t>
  </si>
  <si>
    <t>2060899710603EB010000003988</t>
  </si>
  <si>
    <t>ROCIO CARO VILCA</t>
  </si>
  <si>
    <t>2060899710603EB010000003989</t>
  </si>
  <si>
    <t>PAMELA LOPEZ POMA</t>
  </si>
  <si>
    <t>2060899710603EB010000003990</t>
  </si>
  <si>
    <t>2060899710603EB010000003991</t>
  </si>
  <si>
    <t>OSCAR RICSE MESA</t>
  </si>
  <si>
    <t>2060899710603EB010000003992</t>
  </si>
  <si>
    <t>2060899710603EB010000003993</t>
  </si>
  <si>
    <t>HUGO GARCIA SANTOS</t>
  </si>
  <si>
    <t>2060899710603EB010000003994</t>
  </si>
  <si>
    <t>VILMA ROJAS POMA</t>
  </si>
  <si>
    <t>2060899710603EB010000003995</t>
  </si>
  <si>
    <t>VIRGINIA CARRION VILCA</t>
  </si>
  <si>
    <t>2060899710603EB010000003996</t>
  </si>
  <si>
    <t>OLINDA JERONIMO PALOMINO</t>
  </si>
  <si>
    <t>2060899710603EB010000003997</t>
  </si>
  <si>
    <t>EUGENIO TACNA ARMAULIA</t>
  </si>
  <si>
    <t>2060899710603EB010000003998</t>
  </si>
  <si>
    <t>ELENA CANTO VILCA</t>
  </si>
  <si>
    <t>2060899710603EB010000003999</t>
  </si>
  <si>
    <t>2060899710603EB010000004000</t>
  </si>
  <si>
    <t>DINA PAUCAR PONCE</t>
  </si>
  <si>
    <t>2060899710603EB010000004001</t>
  </si>
  <si>
    <t>CARMEN PALOMINO ROJAS</t>
  </si>
  <si>
    <t>2060899710603EB010000004002</t>
  </si>
  <si>
    <t>CANDI POMA RIOS</t>
  </si>
  <si>
    <t>2060899710603EB010000004003</t>
  </si>
  <si>
    <t>OLGA CARO VILCA</t>
  </si>
  <si>
    <t>2060899710603EB010000004004</t>
  </si>
  <si>
    <t>2060899710603EB010000004005</t>
  </si>
  <si>
    <t>LUIS POMA RIVERA</t>
  </si>
  <si>
    <t>2060899710603EB010000004006</t>
  </si>
  <si>
    <t>LURDES CURO PALOMINO</t>
  </si>
  <si>
    <t>2060899710603EB010000004007</t>
  </si>
  <si>
    <t>TANIA ROJAS POMA</t>
  </si>
  <si>
    <t>2060899710603EB010000004008</t>
  </si>
  <si>
    <t>CARINA POMA ROJAS</t>
  </si>
  <si>
    <t>2060899710603EB010000004009</t>
  </si>
  <si>
    <t>ROSARIO RICSE MESA</t>
  </si>
  <si>
    <t>2060899710603EB010000004010</t>
  </si>
  <si>
    <t>SANDRA RAYPE PONCE</t>
  </si>
  <si>
    <t>2060899710603EB010000004011</t>
  </si>
  <si>
    <t>RUTH POMA SANTOS</t>
  </si>
  <si>
    <t>2060899710603EB010000004012</t>
  </si>
  <si>
    <t>FLOR RIOS VILCA</t>
  </si>
  <si>
    <t>2060899710603EB010000004013</t>
  </si>
  <si>
    <t>FLOR PONCE CANTO</t>
  </si>
  <si>
    <t>2060899710603EB010000004014</t>
  </si>
  <si>
    <t>VANESA CANTO PONCE</t>
  </si>
  <si>
    <t>2060899710603EB010000004016</t>
  </si>
  <si>
    <t>FREDY CANTO SUARES</t>
  </si>
  <si>
    <t>2060899710603EB010000004018</t>
  </si>
  <si>
    <t>ANDRE ROJAS ÑAVEZ</t>
  </si>
  <si>
    <t>2060899710603EB010000004020</t>
  </si>
  <si>
    <t>REYNA VILA ZURICHACA</t>
  </si>
  <si>
    <t>70111</t>
  </si>
  <si>
    <t>03</t>
  </si>
  <si>
    <t>COMBUSTIBLE</t>
  </si>
  <si>
    <t>COMPRA DE MERCADERIA</t>
  </si>
  <si>
    <t>REPUESTOS</t>
  </si>
  <si>
    <t>ANULACION DE LA OPERACIÓN</t>
  </si>
  <si>
    <t>d</t>
  </si>
  <si>
    <t>68819</t>
  </si>
  <si>
    <t>68818</t>
  </si>
  <si>
    <t>68801</t>
  </si>
  <si>
    <t>68784</t>
  </si>
  <si>
    <t>68655</t>
  </si>
  <si>
    <t>68733</t>
  </si>
  <si>
    <t>68730</t>
  </si>
  <si>
    <t>68743</t>
  </si>
  <si>
    <t>68744</t>
  </si>
  <si>
    <t>68747</t>
  </si>
  <si>
    <t>68769</t>
  </si>
  <si>
    <t>68704</t>
  </si>
  <si>
    <t>68675</t>
  </si>
  <si>
    <t>68659</t>
  </si>
  <si>
    <t>68445</t>
  </si>
  <si>
    <t>68469</t>
  </si>
  <si>
    <t>68461</t>
  </si>
  <si>
    <t>68462</t>
  </si>
  <si>
    <t>68463</t>
  </si>
  <si>
    <t>68394</t>
  </si>
  <si>
    <t>68385</t>
  </si>
  <si>
    <t>68387</t>
  </si>
  <si>
    <t>68369</t>
  </si>
  <si>
    <t>68373</t>
  </si>
  <si>
    <t>68371</t>
  </si>
  <si>
    <t>68448</t>
  </si>
  <si>
    <t>68409</t>
  </si>
  <si>
    <t>68413</t>
  </si>
  <si>
    <t>68398</t>
  </si>
  <si>
    <t>68399</t>
  </si>
  <si>
    <t>68776</t>
  </si>
  <si>
    <t>68702</t>
  </si>
  <si>
    <t>68567</t>
  </si>
  <si>
    <t>68630</t>
  </si>
  <si>
    <t>68625</t>
  </si>
  <si>
    <t>68601</t>
  </si>
  <si>
    <t>68602</t>
  </si>
  <si>
    <t>68619</t>
  </si>
  <si>
    <t>68592</t>
  </si>
  <si>
    <t>68561</t>
  </si>
  <si>
    <t>68646</t>
  </si>
  <si>
    <t>68716</t>
  </si>
  <si>
    <t>68589</t>
  </si>
  <si>
    <t>68545</t>
  </si>
  <si>
    <t>68543</t>
  </si>
  <si>
    <t>68560</t>
  </si>
  <si>
    <t>68537</t>
  </si>
  <si>
    <t>68525</t>
  </si>
  <si>
    <t>68478</t>
  </si>
  <si>
    <t>68511</t>
  </si>
  <si>
    <t>68498</t>
  </si>
  <si>
    <t>68501</t>
  </si>
  <si>
    <t>71970</t>
  </si>
  <si>
    <t>71707</t>
  </si>
  <si>
    <t>71926</t>
  </si>
  <si>
    <t>62520</t>
  </si>
  <si>
    <t>62299</t>
  </si>
  <si>
    <t>62240</t>
  </si>
  <si>
    <t>62763</t>
  </si>
  <si>
    <t>62580</t>
  </si>
  <si>
    <t>62933</t>
  </si>
  <si>
    <t>62651</t>
  </si>
  <si>
    <t>5036</t>
  </si>
  <si>
    <t>5032</t>
  </si>
  <si>
    <t>5029</t>
  </si>
  <si>
    <t>5026</t>
  </si>
  <si>
    <t>4976</t>
  </si>
  <si>
    <t>5024</t>
  </si>
  <si>
    <t>4991</t>
  </si>
  <si>
    <t>4990</t>
  </si>
  <si>
    <t>5013</t>
  </si>
  <si>
    <t>5018</t>
  </si>
  <si>
    <t>19332</t>
  </si>
  <si>
    <t>19336</t>
  </si>
  <si>
    <t>19342</t>
  </si>
  <si>
    <t>19329</t>
  </si>
  <si>
    <t>19319</t>
  </si>
  <si>
    <t>19315</t>
  </si>
  <si>
    <t>19314</t>
  </si>
  <si>
    <t>19149</t>
  </si>
  <si>
    <t>19343</t>
  </si>
  <si>
    <t>19146</t>
  </si>
  <si>
    <t>19127</t>
  </si>
  <si>
    <t>19114</t>
  </si>
  <si>
    <t>19109</t>
  </si>
  <si>
    <t>19093</t>
  </si>
  <si>
    <t>19088</t>
  </si>
  <si>
    <t>19070</t>
  </si>
  <si>
    <t>19067</t>
  </si>
  <si>
    <t>19053</t>
  </si>
  <si>
    <t>19045</t>
  </si>
  <si>
    <t>19028</t>
  </si>
  <si>
    <t>19018</t>
  </si>
  <si>
    <t>18996</t>
  </si>
  <si>
    <t>18991</t>
  </si>
  <si>
    <t>18973</t>
  </si>
  <si>
    <t>18960</t>
  </si>
  <si>
    <t>18955</t>
  </si>
  <si>
    <t>18938</t>
  </si>
  <si>
    <t>18936</t>
  </si>
  <si>
    <t>18915</t>
  </si>
  <si>
    <t>18905</t>
  </si>
  <si>
    <t>18890</t>
  </si>
  <si>
    <t>18882</t>
  </si>
  <si>
    <t>18864</t>
  </si>
  <si>
    <t>18858</t>
  </si>
  <si>
    <t>18838</t>
  </si>
  <si>
    <t>18831</t>
  </si>
  <si>
    <t>18818</t>
  </si>
  <si>
    <t>18804</t>
  </si>
  <si>
    <t>18800</t>
  </si>
  <si>
    <t>18784</t>
  </si>
  <si>
    <t>18781</t>
  </si>
  <si>
    <t>18765</t>
  </si>
  <si>
    <t>18761</t>
  </si>
  <si>
    <t>18747</t>
  </si>
  <si>
    <t>18745</t>
  </si>
  <si>
    <t>18728</t>
  </si>
  <si>
    <t>18721</t>
  </si>
  <si>
    <t>18708</t>
  </si>
  <si>
    <t>CRE</t>
  </si>
  <si>
    <t>VENTA DE MERCADERIA</t>
  </si>
  <si>
    <t>6011020</t>
  </si>
  <si>
    <t>603202521</t>
  </si>
  <si>
    <t xml:space="preserve">6033025   </t>
  </si>
  <si>
    <t>EB01 - 4022</t>
  </si>
  <si>
    <t>RACHEL POMA VILCA</t>
  </si>
  <si>
    <t>EB01 - 4021</t>
  </si>
  <si>
    <t>FLORCITA VIAN POMA</t>
  </si>
  <si>
    <t>EB01 - 4020</t>
  </si>
  <si>
    <t>EB01 - 4019</t>
  </si>
  <si>
    <t>JIMENA ROJAS SANTOS</t>
  </si>
  <si>
    <t>EB01 - 4018</t>
  </si>
  <si>
    <t>ANDRE ROJAS ÃAVEZ</t>
  </si>
  <si>
    <t>EB01 - 4017</t>
  </si>
  <si>
    <t>CLARA JIMENA JOAQUIN</t>
  </si>
  <si>
    <t>EB01 - 4016</t>
  </si>
  <si>
    <t>EB01 - 4015</t>
  </si>
  <si>
    <t>BRENDA COLONIO ROJAS</t>
  </si>
  <si>
    <t>EB01 - 4014</t>
  </si>
  <si>
    <t>EB01 - 4013</t>
  </si>
  <si>
    <t>EB01 - 4012</t>
  </si>
  <si>
    <t>EB01 - 4011</t>
  </si>
  <si>
    <t>EB01 - 4010</t>
  </si>
  <si>
    <t>EB01 - 4009</t>
  </si>
  <si>
    <t>EB01 - 4008</t>
  </si>
  <si>
    <t>EB01 - 4007</t>
  </si>
  <si>
    <t>EB01 - 4006</t>
  </si>
  <si>
    <t>EB01 - 4005</t>
  </si>
  <si>
    <t>EB01 - 4004</t>
  </si>
  <si>
    <t>EB01 - 4003</t>
  </si>
  <si>
    <t>EB01 - 4002</t>
  </si>
  <si>
    <t>EB01 - 4001</t>
  </si>
  <si>
    <t>EB01 - 4000</t>
  </si>
  <si>
    <t>EB01 - 3999</t>
  </si>
  <si>
    <t>EB01 - 3998</t>
  </si>
  <si>
    <t>EB01 - 3997</t>
  </si>
  <si>
    <t>EB01 - 3996</t>
  </si>
  <si>
    <t>EB01 - 3995</t>
  </si>
  <si>
    <t>EB01 - 3994</t>
  </si>
  <si>
    <t>EB01 - 3993</t>
  </si>
  <si>
    <t>EB01 - 3992</t>
  </si>
  <si>
    <t>FLOR ROJAS ÃAVEZ</t>
  </si>
  <si>
    <t>EB01 - 3991</t>
  </si>
  <si>
    <t>EB01 - 3990</t>
  </si>
  <si>
    <t>EB01 - 3989</t>
  </si>
  <si>
    <t>EB01 - 3988</t>
  </si>
  <si>
    <t>EB01 - 3987</t>
  </si>
  <si>
    <t>EB01 - 3986</t>
  </si>
  <si>
    <t>EB01 - 3985</t>
  </si>
  <si>
    <t>OSCAR SANTOS ÃAVEZ</t>
  </si>
  <si>
    <t>EB01 - 3984</t>
  </si>
  <si>
    <t>EB01 - 3983</t>
  </si>
  <si>
    <t>EB01 - 3982</t>
  </si>
  <si>
    <t>EB01 - 3981</t>
  </si>
  <si>
    <t>EB01 - 3980</t>
  </si>
  <si>
    <t>JACINTA RAMOS ÃAVEZ</t>
  </si>
  <si>
    <t>EB01 - 3979</t>
  </si>
  <si>
    <t>EB01 - 3978</t>
  </si>
  <si>
    <t>EB01 - 3977</t>
  </si>
  <si>
    <t>EB01 - 3976</t>
  </si>
  <si>
    <t>EB01 - 3975</t>
  </si>
  <si>
    <t>EB01 - 3974</t>
  </si>
  <si>
    <t>41372681 - ESTHER RUTH SANCHEZ JERONIMO</t>
  </si>
  <si>
    <t>EB01 - 3973</t>
  </si>
  <si>
    <t>EB01 - 3972</t>
  </si>
  <si>
    <t>EB01 - 3971</t>
  </si>
  <si>
    <t>EB01 - 3970</t>
  </si>
  <si>
    <t>EB01 - 3969</t>
  </si>
  <si>
    <t>EB01 - 3968</t>
  </si>
  <si>
    <t>EB01 - 3967</t>
  </si>
  <si>
    <t>EB01 - 3966</t>
  </si>
  <si>
    <t>EB01 - 3965</t>
  </si>
  <si>
    <t>EB01 - 3964</t>
  </si>
  <si>
    <t>EB01 - 3963</t>
  </si>
  <si>
    <t>EB01 - 3962</t>
  </si>
  <si>
    <t>EB01 - 3961</t>
  </si>
  <si>
    <t>EB01 - 3960</t>
  </si>
  <si>
    <t>EB01 - 3959</t>
  </si>
  <si>
    <t>SANDRA ROJAS ÃAVEZ</t>
  </si>
  <si>
    <t>EB01 - 3958</t>
  </si>
  <si>
    <t>EB01 - 3957</t>
  </si>
  <si>
    <t>EB01 - 3956</t>
  </si>
  <si>
    <t>EB01 - 3955</t>
  </si>
  <si>
    <t>EB01 - 3954</t>
  </si>
  <si>
    <t>EB01 - 3953</t>
  </si>
  <si>
    <t>EB01 - 3952</t>
  </si>
  <si>
    <t>EB01 - 3951</t>
  </si>
  <si>
    <t>EB01 - 3950</t>
  </si>
  <si>
    <t>EB01 - 3949</t>
  </si>
  <si>
    <t>EB01 - 3948</t>
  </si>
  <si>
    <t>EB01 - 3947</t>
  </si>
  <si>
    <t>EB01 - 3946</t>
  </si>
  <si>
    <t>EB01 - 3945</t>
  </si>
  <si>
    <t>EB01 - 3944</t>
  </si>
  <si>
    <t>60006660 - CHAYO JAVIER RIVAS SANCHEZ</t>
  </si>
  <si>
    <t>EB01 - 3943</t>
  </si>
  <si>
    <t>71380136 - YOVANA HUANCAS CANCHANYA</t>
  </si>
  <si>
    <t>EB01 - 3942</t>
  </si>
  <si>
    <t>46881183 - MARITZA PARAGUAY PEREZ</t>
  </si>
  <si>
    <t>EB01 - 3941</t>
  </si>
  <si>
    <t>71350105 - ROCY ROSMERY VALENCIA RAMOS</t>
  </si>
  <si>
    <t>EB01 - 3940</t>
  </si>
  <si>
    <t>80130130 - REYNA FLORES LIMACHE</t>
  </si>
  <si>
    <t>EB01 - 3939</t>
  </si>
  <si>
    <t>44206524 - PEPE JUSTINIO QUISPE TAYPE</t>
  </si>
  <si>
    <t>EB01 - 3938</t>
  </si>
  <si>
    <t>71546205 - BERTHA QUISPE QUISPE</t>
  </si>
  <si>
    <t>EB01 - 3937</t>
  </si>
  <si>
    <t>43225930 - BEATRIZ MONICA DANIEL CARHUAS</t>
  </si>
  <si>
    <t>EB01 - 3936</t>
  </si>
  <si>
    <t>40759200 - HECTOR CABRERA ESTRADA</t>
  </si>
  <si>
    <t>EB01 - 3935</t>
  </si>
  <si>
    <t>23217674 - MARCELINA LOPEZ ARROYO</t>
  </si>
  <si>
    <t>EB01 - 3934</t>
  </si>
  <si>
    <t>71414600 - ADELA BAUTISTA CUSICHE</t>
  </si>
  <si>
    <t>EB01 - 3933</t>
  </si>
  <si>
    <t>60210275 - VANESA KIARA TORRES PEREZ</t>
  </si>
  <si>
    <t>EB01 - 3932</t>
  </si>
  <si>
    <t>47006834 - CELSO TOMAS OLARTE SALAZAR</t>
  </si>
  <si>
    <t>EB01 - 3931</t>
  </si>
  <si>
    <t>45180346 - DELFINA PEREZ ENRIQUEZ</t>
  </si>
  <si>
    <t>EB01 - 3930</t>
  </si>
  <si>
    <t>19974546 - FORTUNATA CAMARGO DE BARJA</t>
  </si>
  <si>
    <t>EB01 - 3929</t>
  </si>
  <si>
    <t>19975637 - ARMINGOL CAMARENA VERA</t>
  </si>
  <si>
    <t>EB01 - 3928</t>
  </si>
  <si>
    <t>10515186 - HUGO DE LA O MERCADO</t>
  </si>
  <si>
    <t>EB01 - 3927</t>
  </si>
  <si>
    <t>10796885 - BENIGNA MERCADO MENDOZA</t>
  </si>
  <si>
    <t>EB01 - 3926</t>
  </si>
  <si>
    <t>EB01 - 3925</t>
  </si>
  <si>
    <t>44382015 - RUBEN CAMARGO MUÃOZ</t>
  </si>
  <si>
    <t>EB01 - 3924</t>
  </si>
  <si>
    <t>71549263 - ROXANA FERNANDEZ CRISPIN</t>
  </si>
  <si>
    <t>EB01 - 3923</t>
  </si>
  <si>
    <t>71380093 - JANETH GABRIEL QUISPE</t>
  </si>
  <si>
    <t>EB01 - 3922</t>
  </si>
  <si>
    <t>40867468 - DONATILDA RIVERA QUISPE</t>
  </si>
  <si>
    <t>EB01 - 3921</t>
  </si>
  <si>
    <t>23237490 - FORTUNATO MACHUCA HUAMAN</t>
  </si>
  <si>
    <t>EB01 - 3920</t>
  </si>
  <si>
    <t>41264192 - VICENTA HUAMAN QUICHCA</t>
  </si>
  <si>
    <t>EB01 - 3919</t>
  </si>
  <si>
    <t>43443312 - GLISERIO PEDRO QUICHCA LAYME</t>
  </si>
  <si>
    <t>EB01 - 3918</t>
  </si>
  <si>
    <t>41742977 - ANTONIA IRENE TICA HUAMAN</t>
  </si>
  <si>
    <t>EB01 - 3917</t>
  </si>
  <si>
    <t>71529539 - AVIGAEL PAUCAR QUISPE</t>
  </si>
  <si>
    <t>EB01 - 3916</t>
  </si>
  <si>
    <t>71527523 - PASCUAL VIDAL SOTO QUISPE</t>
  </si>
  <si>
    <t>EB01 - 3915</t>
  </si>
  <si>
    <t>71529553 - MARIA SERAFINA MACHUCA CRISPIN</t>
  </si>
  <si>
    <t>EB01 - 3914</t>
  </si>
  <si>
    <t>EB01 - 3913</t>
  </si>
  <si>
    <t>23221644 - ELVIRA ESCOBAR DE BARRIENTOS</t>
  </si>
  <si>
    <t>EB01 - 3912</t>
  </si>
  <si>
    <t>23278026 - MARCELA CRISPIN QUICHCA</t>
  </si>
  <si>
    <t>EB01 - 3911</t>
  </si>
  <si>
    <t>EB01 - 3910</t>
  </si>
  <si>
    <t>EB01 - 3909</t>
  </si>
  <si>
    <t>23237194 - MARTINA RAMOS QUISPE</t>
  </si>
  <si>
    <t>EB01 - 3908</t>
  </si>
  <si>
    <t>71551833 - ANGENITA DOLORES SOTO RAMOS</t>
  </si>
  <si>
    <t>EB01 - 3907</t>
  </si>
  <si>
    <t>41057536 - SONIA MARTHA CRISPIN QUICHCA</t>
  </si>
  <si>
    <t>EB01 - 3906</t>
  </si>
  <si>
    <t>23258385 - MARCELINA QUISPE ENRIQUEZ</t>
  </si>
  <si>
    <t>EB01 - 3905</t>
  </si>
  <si>
    <t>EB01 - 3904</t>
  </si>
  <si>
    <t>EB01 - 3903</t>
  </si>
  <si>
    <t>EB01 - 3902</t>
  </si>
  <si>
    <t>40705038 - CESAR FELIMON ESPINOZA QUISPE</t>
  </si>
  <si>
    <t>EB01 - 3901</t>
  </si>
  <si>
    <t>23237131 - TEODORA QUINCHO DE VILCA</t>
  </si>
  <si>
    <t>EB01 - 3900</t>
  </si>
  <si>
    <t>EB01 - 3899</t>
  </si>
  <si>
    <t>EB01 - 3898</t>
  </si>
  <si>
    <t>EB01 - 3897</t>
  </si>
  <si>
    <t>23236482 - FELIX ROSALES QUINCHO</t>
  </si>
  <si>
    <t>EB01 - 3896</t>
  </si>
  <si>
    <t>71531364 - LEONCIA ORTENSIA DANIEL CARHUAS</t>
  </si>
  <si>
    <t>EB01 - 3895</t>
  </si>
  <si>
    <t>71526343 - ELISABETH CHOCCA TUNQUE</t>
  </si>
  <si>
    <t>EB01 - 3894</t>
  </si>
  <si>
    <t>19889839 - PABLO QUISPE QUINCHO</t>
  </si>
  <si>
    <t>EB01 - 3893</t>
  </si>
  <si>
    <t>EB01 - 3892</t>
  </si>
  <si>
    <t>42713349 - NARCISA TEODORA RAMOS HUAMAN</t>
  </si>
  <si>
    <t>EB01 - 3891</t>
  </si>
  <si>
    <t>23238360 - DOROTEA RIVERA QUISPE</t>
  </si>
  <si>
    <t>EB01 - 3890</t>
  </si>
  <si>
    <t>45370597 - YENY RAMOS HUAMAN</t>
  </si>
  <si>
    <t>EB01 - 3889</t>
  </si>
  <si>
    <t>23237793 - AURELIO ROSALES QUISPE</t>
  </si>
  <si>
    <t>EB01 - 3888</t>
  </si>
  <si>
    <t>23217741 - FAUSTINA ESPINOZA MATAMOROS</t>
  </si>
  <si>
    <t>EB01 - 3887</t>
  </si>
  <si>
    <t>42453929 - SEBASTIAN ESPINOZA PEÃALOZA</t>
  </si>
  <si>
    <t>EB01 - 3886</t>
  </si>
  <si>
    <t>23257027 - ALBERTO PAUCAR HUAMAN</t>
  </si>
  <si>
    <t>EB01 - 3885</t>
  </si>
  <si>
    <t>EB01 - 3884</t>
  </si>
  <si>
    <t>EB01 - 3883</t>
  </si>
  <si>
    <t>EB01 - 3882</t>
  </si>
  <si>
    <t>23255298 - FAUSTINO ATAUCUSI TUNQUI</t>
  </si>
  <si>
    <t>EB01 - 3881</t>
  </si>
  <si>
    <t>23257235 - JORGE ESPINOZA HUARCAYA</t>
  </si>
  <si>
    <t>EB01 - 3880</t>
  </si>
  <si>
    <t>EB01 - 3879</t>
  </si>
  <si>
    <t>EB01 - 3878</t>
  </si>
  <si>
    <t>EB01 - 3877</t>
  </si>
  <si>
    <t>EB01 - 3876</t>
  </si>
  <si>
    <t>75769994 - IRMA SOLEDAD MERCADO SUAREZ</t>
  </si>
  <si>
    <t>EB01 - 3875</t>
  </si>
  <si>
    <t>20995587 - HECTOR DARIO MERCADO HIDALGO</t>
  </si>
  <si>
    <t>EB01 - 3874</t>
  </si>
  <si>
    <t>43470449 - REYNALDA QUINTO DE LA CRUZ</t>
  </si>
  <si>
    <t>EB01 - 3873</t>
  </si>
  <si>
    <t>42146347 - MARCOS CORDOVA ESTRADA</t>
  </si>
  <si>
    <t>EB01 - 3872</t>
  </si>
  <si>
    <t>41403731 - JAIME GOMEZ ESTRADA</t>
  </si>
  <si>
    <t>EB01 - 3871</t>
  </si>
  <si>
    <t>80357332 - DEMETRIO QUISPE MONTALVO</t>
  </si>
  <si>
    <t>EB01 - 3870</t>
  </si>
  <si>
    <t>23642861 - ZENAIDA VALLADOLID TAPIA</t>
  </si>
  <si>
    <t>EB01 - 3869</t>
  </si>
  <si>
    <t>40056594 - LUCIA ANTEZANA LIRA</t>
  </si>
  <si>
    <t>EB01 - 3868</t>
  </si>
  <si>
    <t>20079811 - SENAYDA PACHECO CONDORI</t>
  </si>
  <si>
    <t>EB01 - 3867</t>
  </si>
  <si>
    <t>19808574 - ANTONIETA QUISPE DE LA CRUZ</t>
  </si>
  <si>
    <t>EB01 - 3866</t>
  </si>
  <si>
    <t>EB01 - 3865</t>
  </si>
  <si>
    <t>71550302 - LINDA LIZ RUIZ FERNANDEZ</t>
  </si>
  <si>
    <t>EB01 - 3864</t>
  </si>
  <si>
    <t>20415925 - BIVIANA PAUCAR DE HERRERA</t>
  </si>
  <si>
    <t>EB01 - 3863</t>
  </si>
  <si>
    <t>46848260 - YENY NOA CCENTE</t>
  </si>
  <si>
    <t>EB01 - 3862</t>
  </si>
  <si>
    <t>23681523 - ALEJANDRO PRADO GAVILAN</t>
  </si>
  <si>
    <t>EB01 - 3861</t>
  </si>
  <si>
    <t>44483319 - JUSTINA DE LA CRUZ HUAMAN</t>
  </si>
  <si>
    <t>EB01 - 3860</t>
  </si>
  <si>
    <t>71659543 - ELIZABETH DE LA CRUZ HUAMAN</t>
  </si>
  <si>
    <t>EB01 - 3859</t>
  </si>
  <si>
    <t>74411998 - RONAL CORNELIO DE LA CRUZ HUAMAN</t>
  </si>
  <si>
    <t>EB01 - 3858</t>
  </si>
  <si>
    <t>23711888 - CATALINA SANTOS CONTRERAS</t>
  </si>
  <si>
    <t>EB01 - 3857</t>
  </si>
  <si>
    <t>23712039 - CRISTINA FLORA TELLO GOMEZ</t>
  </si>
  <si>
    <t>EB01 - 3856</t>
  </si>
  <si>
    <t>71607340 - IRENY LLANTOY SANTOS</t>
  </si>
  <si>
    <t>EB01 - 3855</t>
  </si>
  <si>
    <t>20974978 - FELIPE CANTARO CUBA</t>
  </si>
  <si>
    <t>EB01 - 3854</t>
  </si>
  <si>
    <t>80060583 - MARGARITA REQUELME AGUILAR</t>
  </si>
  <si>
    <t>EB01 - 3853</t>
  </si>
  <si>
    <t>EB01 - 3852</t>
  </si>
  <si>
    <t>44254609 - GLORIA PEREZ GARCIA</t>
  </si>
  <si>
    <t>EB01 - 3851</t>
  </si>
  <si>
    <t>43774361 - JULIA PEREZ MAYTA</t>
  </si>
  <si>
    <t>EB01 - 3850</t>
  </si>
  <si>
    <t>19949816 - ELENA CLARA PALOMINO VENTURO</t>
  </si>
  <si>
    <t>EB01 - 3849</t>
  </si>
  <si>
    <t>20016945 - DINA FINA TORRES VIVANCOS</t>
  </si>
  <si>
    <t>EB01 - 3848</t>
  </si>
  <si>
    <t>19949984 - ISABEL GARCIA LOZANO</t>
  </si>
  <si>
    <t>EB01 - 3847</t>
  </si>
  <si>
    <t>48291602 - NILDA MEDINA SURICHAQUI</t>
  </si>
  <si>
    <t>EB01 - 3846</t>
  </si>
  <si>
    <t>44400915 - BENIGNA RAMOZ SAMANIEGO</t>
  </si>
  <si>
    <t>EB01 - 3845</t>
  </si>
  <si>
    <t>20092200 - AQUILINA CANO MEZA</t>
  </si>
  <si>
    <t>EB01 - 3844</t>
  </si>
  <si>
    <t>19973696 - SERGIO BERRIOS MENDOZA</t>
  </si>
  <si>
    <t>EB01 - 3843</t>
  </si>
  <si>
    <t>19973729 - ALCIDES VELI FLORES</t>
  </si>
  <si>
    <t>EB01 - 3842</t>
  </si>
  <si>
    <t>23665082 - VICTOR REYES MALLMA</t>
  </si>
  <si>
    <t>EB01 - 3841</t>
  </si>
  <si>
    <t>20093164 - FELICIANO CARDENAS CANO</t>
  </si>
  <si>
    <t>EB01 - 3840</t>
  </si>
  <si>
    <t>20104809 - OLIMPIO GAMARRA PALOMINO</t>
  </si>
  <si>
    <t>EB01 - 3839</t>
  </si>
  <si>
    <t>19950238 - JULIAN ESTRADA MAITA</t>
  </si>
  <si>
    <t>EB01 - 3838</t>
  </si>
  <si>
    <t>19950833 - MAXIMILIANO FELIX DE LA CRUZ GARCIA</t>
  </si>
  <si>
    <t>EB01 - 3837</t>
  </si>
  <si>
    <t>20014475 - TEOFILO MARCIANO PEREZ RIVERA</t>
  </si>
  <si>
    <t>EB01 - 3836</t>
  </si>
  <si>
    <t>20065718 - HONORATO VENTURA GARCIA</t>
  </si>
  <si>
    <t>EB01 - 3835</t>
  </si>
  <si>
    <t>41303981 - ERIKA MERCEDES BALVIN FLORES</t>
  </si>
  <si>
    <t>EB01 - 3834</t>
  </si>
  <si>
    <t>EB01 - 3833</t>
  </si>
  <si>
    <t>23701778 - SALOME AYUQUE MONTAÃEZ</t>
  </si>
  <si>
    <t>EB01 - 3832</t>
  </si>
  <si>
    <t>EB01 - 3831</t>
  </si>
  <si>
    <t>EB01 - 3830</t>
  </si>
  <si>
    <t>EB01 - 3829</t>
  </si>
  <si>
    <t>EB01 - 3828</t>
  </si>
  <si>
    <t>EB01 - 3827</t>
  </si>
  <si>
    <t>EB01 - 3826</t>
  </si>
  <si>
    <t>EB01 - 3825</t>
  </si>
  <si>
    <t>EB01 - 3824</t>
  </si>
  <si>
    <t>EB01 - 3823</t>
  </si>
  <si>
    <t>EB01 - 3822</t>
  </si>
  <si>
    <t>EB01 - 3821</t>
  </si>
  <si>
    <t>EB01 - 3820</t>
  </si>
  <si>
    <t>EB01 - 3819</t>
  </si>
  <si>
    <t>EB01 - 3818</t>
  </si>
  <si>
    <t>EB01 - 3817</t>
  </si>
  <si>
    <t>EB01 - 3816</t>
  </si>
  <si>
    <t>PEDRO ROJAS ÃAVES</t>
  </si>
  <si>
    <t>EB01 - 3815</t>
  </si>
  <si>
    <t>EB01 - 3814</t>
  </si>
  <si>
    <t>EB01 - 3813</t>
  </si>
  <si>
    <t>EB01 - 3812</t>
  </si>
  <si>
    <t>EB01 - 3811</t>
  </si>
  <si>
    <t>EB01 - 3810</t>
  </si>
  <si>
    <t>EB01 - 3809</t>
  </si>
  <si>
    <t>EB01 - 3808</t>
  </si>
  <si>
    <t>EB01 - 3807</t>
  </si>
  <si>
    <t>EB01 - 3806</t>
  </si>
  <si>
    <t>EB01 - 3805</t>
  </si>
  <si>
    <t>EB01 - 3804</t>
  </si>
  <si>
    <t>EB01 - 3803</t>
  </si>
  <si>
    <t>EB01 - 3802</t>
  </si>
  <si>
    <t>EB01 - 3801</t>
  </si>
  <si>
    <t>EB01 - 3800</t>
  </si>
  <si>
    <t>ROCIO FLORES ÃAVEZ</t>
  </si>
  <si>
    <t>EB01 - 3799</t>
  </si>
  <si>
    <t>EB01 - 3798</t>
  </si>
  <si>
    <t>EB01 - 3797</t>
  </si>
  <si>
    <t>45717198 - VIRGINIA MENDOZA POMA</t>
  </si>
  <si>
    <t>EB01 - 3796</t>
  </si>
  <si>
    <t>EB01 - 3795</t>
  </si>
  <si>
    <t>EB01 - 3794</t>
  </si>
  <si>
    <t>EB01 - 3793</t>
  </si>
  <si>
    <t>EB01 - 3792</t>
  </si>
  <si>
    <t>EB01 - 3791</t>
  </si>
  <si>
    <t>EB01 - 3790</t>
  </si>
  <si>
    <t>EB01 - 3789</t>
  </si>
  <si>
    <t>EB01 - 3788</t>
  </si>
  <si>
    <t>EB01 - 3787</t>
  </si>
  <si>
    <t>EB01 - 3786</t>
  </si>
  <si>
    <t>EB01 - 3785</t>
  </si>
  <si>
    <t>EB01 - 3784</t>
  </si>
  <si>
    <t>EB01 - 3783</t>
  </si>
  <si>
    <t>EB01 - 3782</t>
  </si>
  <si>
    <t>EB01 - 3781</t>
  </si>
  <si>
    <t>EB01 - 3780</t>
  </si>
  <si>
    <t>EB01 - 3779</t>
  </si>
  <si>
    <t>EB01 - 3778</t>
  </si>
  <si>
    <t>EB01 - 3777</t>
  </si>
  <si>
    <t>EB01 - 3776</t>
  </si>
  <si>
    <t>EB01 - 3775</t>
  </si>
  <si>
    <t>EB01 - 3774</t>
  </si>
  <si>
    <t>EB01 - 3773</t>
  </si>
  <si>
    <t>EB01 - 3772</t>
  </si>
  <si>
    <t>EB01 - 3771</t>
  </si>
  <si>
    <t>EB01 - 3770</t>
  </si>
  <si>
    <t>EB01 - 3769</t>
  </si>
  <si>
    <t>EB01 - 3768</t>
  </si>
  <si>
    <t>EB01 - 3767</t>
  </si>
  <si>
    <t>EB01 - 3766</t>
  </si>
  <si>
    <t>EB01 - 3765</t>
  </si>
  <si>
    <t>EB01 - 3764</t>
  </si>
  <si>
    <t>EB01 - 3763</t>
  </si>
  <si>
    <t>23267827 - MAURO QUISPE TRILLO</t>
  </si>
  <si>
    <t>EB01 - 3762</t>
  </si>
  <si>
    <t>46813090 - DIONISIA TAYPE SANCHEZ</t>
  </si>
  <si>
    <t>EB01 - 3761</t>
  </si>
  <si>
    <t>20065450 - PASCUAL RIVERA DE LA CRUZ</t>
  </si>
  <si>
    <t>EB01 - 3760</t>
  </si>
  <si>
    <t>EB01 - 3759</t>
  </si>
  <si>
    <t>20014296 - TEOFILA CHAUCA UCHUA</t>
  </si>
  <si>
    <t>EB01 - 3758</t>
  </si>
  <si>
    <t>80093673 - CAYO CARLOS CENTENO MILCHOR</t>
  </si>
  <si>
    <t>EB01 - 3757</t>
  </si>
  <si>
    <t>42530956 - DIONISIO RONCAL RIVERA</t>
  </si>
  <si>
    <t>EB01 - 3756</t>
  </si>
  <si>
    <t>40359962 - SEFERINO SANTIAGO CORDOVA BONIFACIO</t>
  </si>
  <si>
    <t>EB01 - 3755</t>
  </si>
  <si>
    <t>20014739 - PEDRO JACINTO QUISPE</t>
  </si>
  <si>
    <t>EB01 - 3754</t>
  </si>
  <si>
    <t>19949626 - DIONICIA DELIA TOVAR RUPAY</t>
  </si>
  <si>
    <t>EB01 - 3753</t>
  </si>
  <si>
    <t>20014022 - VICTOR HILARIO GAMARRA QUINTO</t>
  </si>
  <si>
    <t>EB01 - 3752</t>
  </si>
  <si>
    <t>80024369 - ALEJANDRA GAMARRA MAYTA</t>
  </si>
  <si>
    <t>EB01 - 3751</t>
  </si>
  <si>
    <t>EB01 - 3750</t>
  </si>
  <si>
    <t>EB01 - 3749</t>
  </si>
  <si>
    <t>EB01 - 3748</t>
  </si>
  <si>
    <t>48686005 - LAURA CHAVEZ DIONICIO</t>
  </si>
  <si>
    <t>EB01 - 3747</t>
  </si>
  <si>
    <t>EB01 - 3746</t>
  </si>
  <si>
    <t>EB01 - 3745</t>
  </si>
  <si>
    <t>46169303 - CELESTE URPY COLL CARDENAS LEO</t>
  </si>
  <si>
    <t>EB01 - 3744</t>
  </si>
  <si>
    <t>46488260 - MASSIEL AGUILAR LUJAN</t>
  </si>
  <si>
    <t>EB01 - 3743</t>
  </si>
  <si>
    <t>EB01 - 3742</t>
  </si>
  <si>
    <t>EB01 - 3741</t>
  </si>
  <si>
    <t>70386655 - ALONDRA COSINGA SEIKO</t>
  </si>
  <si>
    <t>EB01 - 3740</t>
  </si>
  <si>
    <t>EB01 - 3739</t>
  </si>
  <si>
    <t>EB01 - 3738</t>
  </si>
  <si>
    <t>EB01 - 3737</t>
  </si>
  <si>
    <t>EB01 - 3736</t>
  </si>
  <si>
    <t>EB01 - 3735</t>
  </si>
  <si>
    <t>EB01 - 3734</t>
  </si>
  <si>
    <t>EB01 - 3733</t>
  </si>
  <si>
    <t>EB01 - 3732</t>
  </si>
  <si>
    <t>EB01 - 3731</t>
  </si>
  <si>
    <t>EB01 - 3730</t>
  </si>
  <si>
    <t>FLOR ROJAS PEÃA</t>
  </si>
  <si>
    <t>EB01 - 3729</t>
  </si>
  <si>
    <t>EB01 - 3728</t>
  </si>
  <si>
    <t>EB01 - 3727</t>
  </si>
  <si>
    <t>EB01 - 3726</t>
  </si>
  <si>
    <t>EB01 - 3725</t>
  </si>
  <si>
    <t>EB01 - 3724</t>
  </si>
  <si>
    <t>EB01 - 3723</t>
  </si>
  <si>
    <t>EB01 - 3722</t>
  </si>
  <si>
    <t>EB01 - 3721</t>
  </si>
  <si>
    <t>EB01 - 3720</t>
  </si>
  <si>
    <t>EB01 - 3719</t>
  </si>
  <si>
    <t>EB01 - 3718</t>
  </si>
  <si>
    <t>EB01 - 3717</t>
  </si>
  <si>
    <t>EB01 - 3716</t>
  </si>
  <si>
    <t>EB01 - 3715</t>
  </si>
  <si>
    <t>EB01 - 3714</t>
  </si>
  <si>
    <t>EB01 - 3713</t>
  </si>
  <si>
    <t>EB01 - 3712</t>
  </si>
  <si>
    <t>EB01 - 3711</t>
  </si>
  <si>
    <t>EB01 - 3710</t>
  </si>
  <si>
    <t>20014176 - ESCOLASTICA ESTRADA CAISAHUANA</t>
  </si>
  <si>
    <t>EB01 - 3709</t>
  </si>
  <si>
    <t>EB01 - 3708</t>
  </si>
  <si>
    <t>19951329 - EPIFANIA TORRES YUPARI</t>
  </si>
  <si>
    <t>EB01 - 3707</t>
  </si>
  <si>
    <t>42201091 - JUAN ANDRES ROJAS TORRES</t>
  </si>
  <si>
    <t>EB01 - 3706</t>
  </si>
  <si>
    <t>76427279 - JHAUDI LUIS ALFARO VALERO</t>
  </si>
  <si>
    <t>EB01 - 3705</t>
  </si>
  <si>
    <t>EB01 - 3704</t>
  </si>
  <si>
    <t>EB01 - 3703</t>
  </si>
  <si>
    <t>EB01 - 3702</t>
  </si>
  <si>
    <t>EB01 - 3701</t>
  </si>
  <si>
    <t>EB01 - 3700</t>
  </si>
  <si>
    <t>EB01 - 3699</t>
  </si>
  <si>
    <t>EB01 - 3698</t>
  </si>
  <si>
    <t>EB01 - 3697</t>
  </si>
  <si>
    <t>EB01 - 3696</t>
  </si>
  <si>
    <t>EB01 - 3695</t>
  </si>
  <si>
    <t>EB01 - 3694</t>
  </si>
  <si>
    <t>EB01 - 3693</t>
  </si>
  <si>
    <t>EB01 - 3692</t>
  </si>
  <si>
    <t>EB01 - 3691</t>
  </si>
  <si>
    <t>EB01 - 3690</t>
  </si>
  <si>
    <t>EB01 - 3689</t>
  </si>
  <si>
    <t>EB01 - 3688</t>
  </si>
  <si>
    <t>SOLEDAD RIVERA NUÃEZ</t>
  </si>
  <si>
    <t>EB01 - 3687</t>
  </si>
  <si>
    <t>EB01 - 3686</t>
  </si>
  <si>
    <t>EB01 - 3685</t>
  </si>
  <si>
    <t>EB01 - 3684</t>
  </si>
  <si>
    <t>EB01 - 3683</t>
  </si>
  <si>
    <t>EB01 - 3682</t>
  </si>
  <si>
    <t>EB01 - 3681</t>
  </si>
  <si>
    <t>EB01 - 3680</t>
  </si>
  <si>
    <t>EB01 - 3679</t>
  </si>
  <si>
    <t>EB01 - 3678</t>
  </si>
  <si>
    <t>EB01 - 3677</t>
  </si>
  <si>
    <t>EB01 - 3676</t>
  </si>
  <si>
    <t>EB01 - 3675</t>
  </si>
  <si>
    <t>EB01 - 3674</t>
  </si>
  <si>
    <t>EB01 - 3673</t>
  </si>
  <si>
    <t>EB01 - 3672</t>
  </si>
  <si>
    <t>EB01 - 3671</t>
  </si>
  <si>
    <t>EB01 - 3670</t>
  </si>
  <si>
    <t>EB01 - 3669</t>
  </si>
  <si>
    <t>EB01 - 3668</t>
  </si>
  <si>
    <t>23262129 - NERY YANINA ALMONACID CABALLERO</t>
  </si>
  <si>
    <t>EB01 - 3667</t>
  </si>
  <si>
    <t>EB01 - 3666</t>
  </si>
  <si>
    <t>EB01 - 3665</t>
  </si>
  <si>
    <t>E001 - 41</t>
  </si>
  <si>
    <t>20615178901 - CONSORCIO PARAISO</t>
  </si>
  <si>
    <t>E001 - 40</t>
  </si>
  <si>
    <t>20603433867 - CONTRATISTAS Y CONSULTORES PALFIG S.A.C.</t>
  </si>
  <si>
    <t>E001 - 39</t>
  </si>
  <si>
    <t>10200169170 - LOVERA TORRES ELUTERIO EDUARDO</t>
  </si>
  <si>
    <t>E001 - 38</t>
  </si>
  <si>
    <t>E001 - 37</t>
  </si>
  <si>
    <t>E001 - 36</t>
  </si>
  <si>
    <t>20614227037 - MONTECRISTO DEL ESTE S.A.C</t>
  </si>
  <si>
    <t>E001 - 35</t>
  </si>
  <si>
    <t>E001 - 34</t>
  </si>
  <si>
    <t>20541310038 - UNIVERSIDAD PRIVADA DE HUANCAYO FRANKLIN ROOSEVELT SOCIEDAD ANONIMA CERRADA</t>
  </si>
  <si>
    <t>E001 - 1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</si>
</sst>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S/&quot;#,##0.00;[Red]&quot;S/&quot;\-#,##0.00"/>
    <numFmt numFmtId="43" formatCode="_ * #,##0.00_ ;_ * \-#,##0.00_ ;_ * &quot;-&quot;??_ ;_ @_ "/>
    <numFmt numFmtId="164" formatCode="#,##0.0000"/>
    <numFmt numFmtId="165" formatCode="_ * #,##0_ ;_ * \-#,##0_ ;_ * &quot;-&quot;??_ ;_ @_ "/>
    <numFmt numFmtId="166" formatCode="_ * #,##0.000_ ;_ * \-#,##0.000_ ;_ * &quot;-&quot;??_ ;_ @_ "/>
  </numFmts>
  <fonts count="25" x14ac:knownFonts="1">
    <font>
      <sz val="11"/>
      <color theme="1"/>
      <name val="Calibri"/>
      <family val="2"/>
      <scheme val="minor"/>
    </font>
    <font>
      <b/>
      <sz val="9"/>
      <color indexed="81"/>
      <name val="Tahoma"/>
      <family val="2"/>
    </font>
    <font>
      <sz val="9"/>
      <color theme="1"/>
      <name val="Century"/>
      <family val="1"/>
    </font>
    <font>
      <sz val="7.5"/>
      <color theme="1"/>
      <name val="Century"/>
      <family val="1"/>
    </font>
    <font>
      <sz val="7.5"/>
      <color rgb="FF0000FF"/>
      <name val="Century"/>
      <family val="1"/>
    </font>
    <font>
      <sz val="7"/>
      <color theme="1"/>
      <name val="Century"/>
      <family val="1"/>
    </font>
    <font>
      <sz val="7"/>
      <color rgb="FF0000FF"/>
      <name val="Century"/>
      <family val="1"/>
    </font>
    <font>
      <b/>
      <sz val="9"/>
      <color theme="1"/>
      <name val="Century"/>
      <family val="1"/>
    </font>
    <font>
      <sz val="11"/>
      <color theme="1"/>
      <name val="Calibri"/>
      <family val="2"/>
      <scheme val="minor"/>
    </font>
    <font>
      <sz val="8"/>
      <name val="Calibri"/>
      <family val="2"/>
      <scheme val="minor"/>
    </font>
    <font>
      <sz val="9"/>
      <color theme="1"/>
      <name val="Calibri Light"/>
      <family val="2"/>
    </font>
    <font>
      <sz val="9"/>
      <color theme="1"/>
      <name val="Calibri Light"/>
      <family val="2"/>
      <scheme val="major"/>
    </font>
    <font>
      <sz val="9"/>
      <color rgb="FF0000FF"/>
      <name val="Calibri Light"/>
      <family val="2"/>
    </font>
    <font>
      <b/>
      <sz val="9"/>
      <color theme="1"/>
      <name val="Calibri Light"/>
      <family val="2"/>
    </font>
    <font>
      <b/>
      <sz val="8"/>
      <color theme="1"/>
      <name val="Century"/>
      <family val="1"/>
    </font>
    <font>
      <sz val="9"/>
      <color rgb="FF0000FF"/>
      <name val="Calibri Light"/>
      <family val="2"/>
      <scheme val="major"/>
    </font>
    <font>
      <sz val="9"/>
      <color theme="0"/>
      <name val="Calibri Light"/>
      <family val="2"/>
      <scheme val="major"/>
    </font>
    <font>
      <b/>
      <sz val="11"/>
      <color indexed="81"/>
      <name val="Tahoma"/>
      <family val="2"/>
    </font>
    <font>
      <sz val="11"/>
      <color indexed="81"/>
      <name val="Tahoma"/>
      <family val="2"/>
    </font>
    <font>
      <sz val="8"/>
      <color theme="1"/>
      <name val="Calibri Light"/>
      <family val="2"/>
    </font>
    <font>
      <sz val="9"/>
      <color rgb="FFFF0000"/>
      <name val="Calibri Light"/>
      <family val="2"/>
      <scheme val="major"/>
    </font>
    <font>
      <sz val="8"/>
      <color rgb="FFFF0000"/>
      <name val="Calibri Light"/>
      <family val="2"/>
    </font>
    <font>
      <sz val="7.5"/>
      <color rgb="FFFF0000"/>
      <name val="Century"/>
      <family val="1"/>
    </font>
    <font>
      <sz val="9"/>
      <color rgb="FFFF0000"/>
      <name val="Calibri Light"/>
      <family val="2"/>
    </font>
    <font>
      <sz val="8"/>
      <color rgb="FF000000"/>
      <name val="Tahoma"/>
      <family val="2"/>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
      <left/>
      <right/>
      <top style="thin">
        <color auto="1"/>
      </top>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cellStyleXfs>
  <cellXfs count="234">
    <xf numFmtId="0" fontId="0" fillId="0" borderId="0" xfId="0"/>
    <xf numFmtId="14" fontId="2" fillId="0" borderId="0" xfId="0" applyNumberFormat="1" applyFont="1" applyAlignment="1">
      <alignment horizontal="center"/>
    </xf>
    <xf numFmtId="49" fontId="2" fillId="0" borderId="0" xfId="0" applyNumberFormat="1" applyFont="1" applyAlignment="1">
      <alignment horizontal="center"/>
    </xf>
    <xf numFmtId="4" fontId="2" fillId="0" borderId="0" xfId="0" applyNumberFormat="1" applyFont="1" applyAlignment="1">
      <alignment horizontal="center"/>
    </xf>
    <xf numFmtId="164" fontId="2" fillId="0" borderId="0" xfId="0" applyNumberFormat="1" applyFont="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14" fontId="2"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3" fontId="2" fillId="0" borderId="0" xfId="0" applyNumberFormat="1" applyFont="1" applyAlignment="1">
      <alignment horizontal="center" vertical="center" wrapText="1"/>
    </xf>
    <xf numFmtId="0" fontId="3" fillId="0" borderId="0" xfId="0" applyFont="1" applyAlignment="1">
      <alignment horizontal="center"/>
    </xf>
    <xf numFmtId="49" fontId="3" fillId="0" borderId="1" xfId="0" applyNumberFormat="1" applyFont="1" applyBorder="1" applyAlignment="1">
      <alignment horizontal="center" vertical="center" wrapText="1"/>
    </xf>
    <xf numFmtId="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5" fillId="0" borderId="0" xfId="0" applyNumberFormat="1" applyFont="1" applyAlignment="1">
      <alignment horizontal="center"/>
    </xf>
    <xf numFmtId="49" fontId="5" fillId="0" borderId="0" xfId="0" applyNumberFormat="1" applyFont="1" applyAlignment="1">
      <alignment horizontal="center" vertical="center" wrapText="1"/>
    </xf>
    <xf numFmtId="4" fontId="7" fillId="0" borderId="0" xfId="0" applyNumberFormat="1" applyFont="1" applyAlignment="1">
      <alignment horizontal="center"/>
    </xf>
    <xf numFmtId="14" fontId="4"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43" fontId="12" fillId="0" borderId="2" xfId="1" applyFont="1" applyBorder="1" applyAlignment="1">
      <alignment vertical="center" wrapText="1"/>
    </xf>
    <xf numFmtId="43" fontId="10" fillId="0" borderId="0" xfId="1" applyFont="1" applyAlignment="1"/>
    <xf numFmtId="165" fontId="14" fillId="0" borderId="1" xfId="1" applyNumberFormat="1" applyFont="1" applyBorder="1" applyAlignment="1">
      <alignment horizontal="center" vertical="center" wrapText="1"/>
    </xf>
    <xf numFmtId="165" fontId="14" fillId="0" borderId="0" xfId="1" applyNumberFormat="1" applyFont="1" applyAlignment="1">
      <alignment horizontal="center" vertical="center" wrapText="1"/>
    </xf>
    <xf numFmtId="165" fontId="7" fillId="0" borderId="1" xfId="1" applyNumberFormat="1" applyFont="1" applyBorder="1" applyAlignment="1">
      <alignment horizontal="center" vertical="center" wrapText="1"/>
    </xf>
    <xf numFmtId="165" fontId="2" fillId="0" borderId="0" xfId="1" applyNumberFormat="1" applyFont="1" applyAlignment="1">
      <alignment horizontal="center" vertical="center" wrapText="1"/>
    </xf>
    <xf numFmtId="166" fontId="2" fillId="0" borderId="0" xfId="1" applyNumberFormat="1" applyFont="1" applyAlignment="1">
      <alignment horizontal="center"/>
    </xf>
    <xf numFmtId="166" fontId="4" fillId="0" borderId="2" xfId="1" applyNumberFormat="1" applyFont="1" applyBorder="1" applyAlignment="1">
      <alignment horizontal="center" vertical="center" wrapText="1"/>
    </xf>
    <xf numFmtId="166" fontId="2" fillId="0" borderId="1" xfId="1" applyNumberFormat="1" applyFont="1" applyBorder="1" applyAlignment="1">
      <alignment horizontal="center" vertical="center" wrapText="1"/>
    </xf>
    <xf numFmtId="166" fontId="2" fillId="0" borderId="0" xfId="1" applyNumberFormat="1" applyFont="1" applyAlignment="1">
      <alignment horizontal="center" vertical="center" wrapText="1"/>
    </xf>
    <xf numFmtId="165" fontId="10" fillId="0" borderId="0" xfId="1" applyNumberFormat="1" applyFont="1" applyAlignment="1"/>
    <xf numFmtId="49" fontId="4" fillId="0" borderId="4" xfId="0" applyNumberFormat="1" applyFont="1" applyBorder="1" applyAlignment="1">
      <alignment horizontal="center" vertical="center" wrapText="1"/>
    </xf>
    <xf numFmtId="4" fontId="4" fillId="0" borderId="4" xfId="0" applyNumberFormat="1" applyFont="1" applyBorder="1" applyAlignment="1">
      <alignment horizontal="center" vertical="center" wrapText="1"/>
    </xf>
    <xf numFmtId="0" fontId="3" fillId="0" borderId="0" xfId="0" applyFont="1" applyAlignment="1">
      <alignment horizontal="center" vertical="center"/>
    </xf>
    <xf numFmtId="43" fontId="10" fillId="0" borderId="1" xfId="1" applyFont="1" applyFill="1" applyBorder="1" applyAlignment="1">
      <alignment vertical="center" wrapText="1"/>
    </xf>
    <xf numFmtId="14" fontId="11"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43" fontId="11" fillId="0" borderId="1" xfId="2" applyFont="1" applyBorder="1" applyAlignment="1">
      <alignment horizontal="center" vertical="center" wrapText="1"/>
    </xf>
    <xf numFmtId="14"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43" fontId="11" fillId="0" borderId="1" xfId="2" applyFont="1" applyBorder="1" applyAlignment="1">
      <alignment horizontal="center" vertical="center"/>
    </xf>
    <xf numFmtId="166" fontId="11" fillId="0" borderId="1" xfId="2" applyNumberFormat="1" applyFont="1" applyBorder="1" applyAlignment="1">
      <alignment vertical="center"/>
    </xf>
    <xf numFmtId="164" fontId="11"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wrapText="1"/>
    </xf>
    <xf numFmtId="49" fontId="15" fillId="0" borderId="1" xfId="0" applyNumberFormat="1" applyFont="1" applyBorder="1" applyAlignment="1">
      <alignment horizontal="center" vertical="center" wrapText="1"/>
    </xf>
    <xf numFmtId="3" fontId="15" fillId="0" borderId="4" xfId="0" applyNumberFormat="1" applyFont="1" applyBorder="1" applyAlignment="1">
      <alignment horizontal="center" vertical="center" wrapText="1"/>
    </xf>
    <xf numFmtId="4" fontId="15" fillId="0" borderId="4" xfId="0" applyNumberFormat="1" applyFont="1" applyBorder="1" applyAlignment="1">
      <alignment horizontal="center" vertical="center" wrapText="1"/>
    </xf>
    <xf numFmtId="49" fontId="15" fillId="0" borderId="4" xfId="0" applyNumberFormat="1" applyFont="1" applyBorder="1" applyAlignment="1">
      <alignment horizontal="center" vertical="center" wrapText="1"/>
    </xf>
    <xf numFmtId="14" fontId="15" fillId="0" borderId="4" xfId="0" applyNumberFormat="1" applyFont="1" applyBorder="1" applyAlignment="1">
      <alignment horizontal="center" vertical="center" wrapText="1"/>
    </xf>
    <xf numFmtId="14" fontId="10" fillId="0" borderId="0" xfId="0" applyNumberFormat="1" applyFont="1"/>
    <xf numFmtId="49" fontId="10" fillId="0" borderId="0" xfId="0" applyNumberFormat="1" applyFont="1"/>
    <xf numFmtId="4" fontId="10" fillId="0" borderId="0" xfId="0" applyNumberFormat="1" applyFont="1"/>
    <xf numFmtId="164" fontId="10" fillId="0" borderId="0" xfId="0" applyNumberFormat="1" applyFont="1"/>
    <xf numFmtId="3" fontId="10" fillId="0" borderId="0" xfId="0" applyNumberFormat="1" applyFont="1"/>
    <xf numFmtId="0" fontId="10" fillId="0" borderId="0" xfId="0" applyFont="1"/>
    <xf numFmtId="14" fontId="12" fillId="0" borderId="2" xfId="0" applyNumberFormat="1" applyFont="1" applyBorder="1" applyAlignment="1">
      <alignment vertical="center" wrapText="1"/>
    </xf>
    <xf numFmtId="49" fontId="12" fillId="0" borderId="2" xfId="0" applyNumberFormat="1" applyFont="1" applyBorder="1" applyAlignment="1">
      <alignment vertical="center" wrapText="1"/>
    </xf>
    <xf numFmtId="4" fontId="12" fillId="0" borderId="2" xfId="0" applyNumberFormat="1" applyFont="1" applyBorder="1" applyAlignment="1">
      <alignment vertical="center" wrapText="1"/>
    </xf>
    <xf numFmtId="164" fontId="12" fillId="0" borderId="2" xfId="0" applyNumberFormat="1" applyFont="1" applyBorder="1" applyAlignment="1">
      <alignment vertical="center" wrapText="1"/>
    </xf>
    <xf numFmtId="3" fontId="12" fillId="0" borderId="2" xfId="0" applyNumberFormat="1" applyFont="1" applyBorder="1" applyAlignment="1">
      <alignment vertical="center" wrapText="1"/>
    </xf>
    <xf numFmtId="49" fontId="10" fillId="0" borderId="1" xfId="0" applyNumberFormat="1" applyFont="1" applyBorder="1" applyAlignment="1">
      <alignment vertical="center" wrapText="1"/>
    </xf>
    <xf numFmtId="14" fontId="10" fillId="0" borderId="1" xfId="0" applyNumberFormat="1" applyFont="1" applyBorder="1" applyAlignment="1">
      <alignment vertical="center" wrapText="1"/>
    </xf>
    <xf numFmtId="14" fontId="11" fillId="2" borderId="1" xfId="0" applyNumberFormat="1"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xf>
    <xf numFmtId="43" fontId="11" fillId="2" borderId="1" xfId="1" applyFont="1" applyFill="1" applyBorder="1" applyAlignment="1">
      <alignment horizontal="center" vertical="center" wrapText="1"/>
    </xf>
    <xf numFmtId="166" fontId="16" fillId="2" borderId="1" xfId="1" applyNumberFormat="1" applyFont="1" applyFill="1" applyBorder="1" applyAlignment="1">
      <alignment horizontal="center"/>
    </xf>
    <xf numFmtId="49" fontId="11" fillId="2" borderId="1" xfId="0" applyNumberFormat="1" applyFont="1" applyFill="1" applyBorder="1" applyAlignment="1">
      <alignment horizontal="center"/>
    </xf>
    <xf numFmtId="3" fontId="11" fillId="2" borderId="1" xfId="0" applyNumberFormat="1" applyFont="1" applyFill="1" applyBorder="1" applyAlignment="1">
      <alignment horizontal="center" vertical="center" wrapText="1"/>
    </xf>
    <xf numFmtId="4" fontId="11" fillId="2" borderId="1" xfId="0" applyNumberFormat="1" applyFont="1" applyFill="1" applyBorder="1" applyAlignment="1">
      <alignment horizontal="center" vertical="center" wrapText="1"/>
    </xf>
    <xf numFmtId="49" fontId="11" fillId="2" borderId="1" xfId="0" applyNumberFormat="1" applyFont="1" applyFill="1" applyBorder="1" applyAlignment="1">
      <alignment horizontal="left" vertical="center" wrapText="1"/>
    </xf>
    <xf numFmtId="49" fontId="19" fillId="2" borderId="1" xfId="0" applyNumberFormat="1" applyFont="1" applyFill="1" applyBorder="1" applyAlignment="1">
      <alignment vertical="center" wrapText="1"/>
    </xf>
    <xf numFmtId="4" fontId="19" fillId="2" borderId="1" xfId="0" applyNumberFormat="1" applyFont="1" applyFill="1" applyBorder="1" applyAlignment="1">
      <alignment vertical="center" wrapText="1"/>
    </xf>
    <xf numFmtId="0" fontId="19" fillId="2" borderId="1" xfId="0" applyFont="1" applyFill="1" applyBorder="1"/>
    <xf numFmtId="165" fontId="13" fillId="2" borderId="1" xfId="1" applyNumberFormat="1" applyFont="1" applyFill="1" applyBorder="1" applyAlignment="1"/>
    <xf numFmtId="0" fontId="10" fillId="2" borderId="0" xfId="0" applyFont="1" applyFill="1"/>
    <xf numFmtId="49" fontId="10" fillId="0" borderId="0" xfId="0" applyNumberFormat="1" applyFont="1" applyAlignment="1">
      <alignment horizontal="center"/>
    </xf>
    <xf numFmtId="49" fontId="12" fillId="0" borderId="2" xfId="0" applyNumberFormat="1" applyFont="1" applyBorder="1" applyAlignment="1">
      <alignment horizontal="center" vertical="center" wrapText="1"/>
    </xf>
    <xf numFmtId="14" fontId="11" fillId="2" borderId="9" xfId="0" applyNumberFormat="1" applyFont="1" applyFill="1" applyBorder="1" applyAlignment="1">
      <alignment horizontal="center" vertical="center" wrapText="1"/>
    </xf>
    <xf numFmtId="0" fontId="19" fillId="2" borderId="10" xfId="0" applyFont="1" applyFill="1" applyBorder="1"/>
    <xf numFmtId="164" fontId="10" fillId="2" borderId="1" xfId="0" applyNumberFormat="1" applyFont="1" applyFill="1" applyBorder="1"/>
    <xf numFmtId="14" fontId="10" fillId="2" borderId="1" xfId="0" applyNumberFormat="1" applyFont="1" applyFill="1" applyBorder="1"/>
    <xf numFmtId="49" fontId="10" fillId="2" borderId="1" xfId="0" applyNumberFormat="1" applyFont="1" applyFill="1" applyBorder="1"/>
    <xf numFmtId="4" fontId="10" fillId="2" borderId="1" xfId="0" applyNumberFormat="1" applyFont="1" applyFill="1" applyBorder="1"/>
    <xf numFmtId="3" fontId="10" fillId="2" borderId="1" xfId="0" applyNumberFormat="1" applyFont="1" applyFill="1" applyBorder="1"/>
    <xf numFmtId="49" fontId="10" fillId="0" borderId="0" xfId="0" applyNumberFormat="1" applyFont="1" applyAlignment="1">
      <alignment horizontal="left"/>
    </xf>
    <xf numFmtId="49" fontId="12" fillId="0" borderId="2" xfId="0" applyNumberFormat="1" applyFont="1" applyBorder="1" applyAlignment="1">
      <alignment horizontal="left" vertical="center" wrapText="1"/>
    </xf>
    <xf numFmtId="49" fontId="10" fillId="2" borderId="1" xfId="0" applyNumberFormat="1" applyFont="1" applyFill="1" applyBorder="1" applyAlignment="1">
      <alignment horizontal="left"/>
    </xf>
    <xf numFmtId="0" fontId="19" fillId="2" borderId="0" xfId="0" applyFont="1" applyFill="1"/>
    <xf numFmtId="14" fontId="0" fillId="0" borderId="0" xfId="0" applyNumberFormat="1"/>
    <xf numFmtId="14" fontId="20" fillId="2" borderId="1" xfId="0" applyNumberFormat="1" applyFont="1" applyFill="1" applyBorder="1" applyAlignment="1">
      <alignment horizontal="center" vertical="center" wrapText="1"/>
    </xf>
    <xf numFmtId="49" fontId="20"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1" xfId="0" applyFont="1" applyFill="1" applyBorder="1" applyAlignment="1">
      <alignment horizontal="center"/>
    </xf>
    <xf numFmtId="43" fontId="20" fillId="2" borderId="1" xfId="1" applyFont="1" applyFill="1" applyBorder="1" applyAlignment="1">
      <alignment horizontal="center" vertical="center" wrapText="1"/>
    </xf>
    <xf numFmtId="14" fontId="20" fillId="2" borderId="9" xfId="0" applyNumberFormat="1" applyFont="1" applyFill="1" applyBorder="1" applyAlignment="1">
      <alignment horizontal="center" vertical="center" wrapText="1"/>
    </xf>
    <xf numFmtId="166" fontId="20" fillId="2" borderId="1" xfId="1" applyNumberFormat="1" applyFont="1" applyFill="1" applyBorder="1" applyAlignment="1">
      <alignment horizontal="center"/>
    </xf>
    <xf numFmtId="49" fontId="20" fillId="2" borderId="1" xfId="0" applyNumberFormat="1" applyFont="1" applyFill="1" applyBorder="1" applyAlignment="1">
      <alignment horizontal="center"/>
    </xf>
    <xf numFmtId="3" fontId="20" fillId="2" borderId="1" xfId="0" applyNumberFormat="1" applyFont="1" applyFill="1" applyBorder="1" applyAlignment="1">
      <alignment horizontal="center" vertical="center" wrapText="1"/>
    </xf>
    <xf numFmtId="4" fontId="20" fillId="2" borderId="1" xfId="0" applyNumberFormat="1" applyFont="1" applyFill="1" applyBorder="1" applyAlignment="1">
      <alignment horizontal="center" vertical="center" wrapText="1"/>
    </xf>
    <xf numFmtId="49" fontId="20" fillId="2" borderId="1" xfId="0" applyNumberFormat="1" applyFont="1" applyFill="1" applyBorder="1" applyAlignment="1">
      <alignment horizontal="left" vertical="center" wrapText="1"/>
    </xf>
    <xf numFmtId="49" fontId="21" fillId="2" borderId="1" xfId="0" applyNumberFormat="1" applyFont="1" applyFill="1" applyBorder="1" applyAlignment="1">
      <alignment vertical="center" wrapText="1"/>
    </xf>
    <xf numFmtId="4" fontId="21" fillId="2" borderId="1" xfId="0" applyNumberFormat="1" applyFont="1" applyFill="1" applyBorder="1" applyAlignment="1">
      <alignment vertical="center" wrapText="1"/>
    </xf>
    <xf numFmtId="0" fontId="21" fillId="2" borderId="0" xfId="0" applyFont="1" applyFill="1"/>
    <xf numFmtId="14" fontId="20" fillId="0" borderId="1" xfId="0" applyNumberFormat="1" applyFont="1" applyBorder="1" applyAlignment="1">
      <alignment horizontal="center" vertical="center"/>
    </xf>
    <xf numFmtId="14" fontId="20" fillId="0" borderId="1" xfId="0" applyNumberFormat="1" applyFont="1" applyBorder="1" applyAlignment="1">
      <alignment horizontal="center" vertical="center" wrapText="1"/>
    </xf>
    <xf numFmtId="49" fontId="20" fillId="0" borderId="1" xfId="0" applyNumberFormat="1" applyFont="1" applyBorder="1" applyAlignment="1">
      <alignment horizontal="center" vertical="center" wrapText="1"/>
    </xf>
    <xf numFmtId="0" fontId="20" fillId="0" borderId="1" xfId="0" applyFont="1" applyBorder="1" applyAlignment="1">
      <alignment horizontal="center" vertical="center"/>
    </xf>
    <xf numFmtId="4" fontId="20" fillId="0" borderId="1" xfId="0" applyNumberFormat="1" applyFont="1" applyBorder="1" applyAlignment="1">
      <alignment horizontal="center" vertical="center" wrapText="1"/>
    </xf>
    <xf numFmtId="43" fontId="20" fillId="0" borderId="1" xfId="2" applyFont="1" applyBorder="1" applyAlignment="1">
      <alignment horizontal="center" vertical="center" wrapText="1"/>
    </xf>
    <xf numFmtId="43" fontId="20" fillId="0" borderId="1" xfId="2" applyFont="1" applyBorder="1" applyAlignment="1">
      <alignment horizontal="center" vertical="center"/>
    </xf>
    <xf numFmtId="166" fontId="20" fillId="0" borderId="1" xfId="2" applyNumberFormat="1" applyFont="1" applyBorder="1" applyAlignment="1">
      <alignment vertical="center"/>
    </xf>
    <xf numFmtId="164" fontId="20" fillId="0" borderId="1" xfId="0" applyNumberFormat="1" applyFont="1" applyBorder="1" applyAlignment="1">
      <alignment horizontal="center" vertical="center" wrapText="1"/>
    </xf>
    <xf numFmtId="1" fontId="20" fillId="0" borderId="1" xfId="0" applyNumberFormat="1" applyFont="1" applyBorder="1" applyAlignment="1">
      <alignment horizontal="center" vertical="center" wrapText="1"/>
    </xf>
    <xf numFmtId="3" fontId="20" fillId="0" borderId="4" xfId="0" applyNumberFormat="1" applyFont="1" applyBorder="1" applyAlignment="1">
      <alignment horizontal="center" vertical="center" wrapText="1"/>
    </xf>
    <xf numFmtId="4" fontId="20" fillId="0" borderId="4" xfId="0" applyNumberFormat="1" applyFont="1" applyBorder="1" applyAlignment="1">
      <alignment horizontal="center" vertical="center" wrapText="1"/>
    </xf>
    <xf numFmtId="49" fontId="20" fillId="0" borderId="4" xfId="0" applyNumberFormat="1" applyFont="1" applyBorder="1" applyAlignment="1">
      <alignment horizontal="center" vertical="center" wrapText="1"/>
    </xf>
    <xf numFmtId="14" fontId="20" fillId="0" borderId="4" xfId="0" applyNumberFormat="1" applyFont="1" applyBorder="1" applyAlignment="1">
      <alignment horizontal="center" vertical="center" wrapText="1"/>
    </xf>
    <xf numFmtId="49" fontId="22" fillId="0" borderId="4" xfId="0" applyNumberFormat="1" applyFont="1" applyBorder="1" applyAlignment="1">
      <alignment horizontal="center" vertical="center" wrapText="1"/>
    </xf>
    <xf numFmtId="4" fontId="22" fillId="0" borderId="4" xfId="0" applyNumberFormat="1" applyFont="1" applyBorder="1" applyAlignment="1">
      <alignment horizontal="center" vertical="center" wrapText="1"/>
    </xf>
    <xf numFmtId="0" fontId="22" fillId="0" borderId="0" xfId="0" applyFont="1" applyAlignment="1">
      <alignment horizontal="center" vertical="center"/>
    </xf>
    <xf numFmtId="14" fontId="11" fillId="3" borderId="1" xfId="0" applyNumberFormat="1" applyFont="1" applyFill="1" applyBorder="1" applyAlignment="1">
      <alignment horizontal="center" vertical="center" wrapText="1"/>
    </xf>
    <xf numFmtId="49" fontId="11" fillId="3"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xf>
    <xf numFmtId="43" fontId="11" fillId="3" borderId="1" xfId="1" applyFont="1" applyFill="1" applyBorder="1" applyAlignment="1">
      <alignment horizontal="center" vertical="center" wrapText="1"/>
    </xf>
    <xf numFmtId="14" fontId="11" fillId="3" borderId="9" xfId="0" applyNumberFormat="1" applyFont="1" applyFill="1" applyBorder="1" applyAlignment="1">
      <alignment horizontal="center" vertical="center" wrapText="1"/>
    </xf>
    <xf numFmtId="166" fontId="16" fillId="3" borderId="1" xfId="1" applyNumberFormat="1" applyFont="1" applyFill="1" applyBorder="1" applyAlignment="1">
      <alignment horizontal="center"/>
    </xf>
    <xf numFmtId="49" fontId="11" fillId="3" borderId="1" xfId="0" applyNumberFormat="1" applyFont="1" applyFill="1" applyBorder="1" applyAlignment="1">
      <alignment horizontal="center"/>
    </xf>
    <xf numFmtId="3" fontId="11" fillId="3" borderId="1" xfId="0" applyNumberFormat="1" applyFont="1" applyFill="1" applyBorder="1" applyAlignment="1">
      <alignment horizontal="center" vertical="center" wrapText="1"/>
    </xf>
    <xf numFmtId="4" fontId="11" fillId="3" borderId="1" xfId="0" applyNumberFormat="1" applyFont="1" applyFill="1" applyBorder="1" applyAlignment="1">
      <alignment horizontal="center" vertical="center" wrapText="1"/>
    </xf>
    <xf numFmtId="49" fontId="11" fillId="3" borderId="1" xfId="0" applyNumberFormat="1" applyFont="1" applyFill="1" applyBorder="1" applyAlignment="1">
      <alignment horizontal="left" vertical="center" wrapText="1"/>
    </xf>
    <xf numFmtId="49" fontId="19" fillId="3" borderId="1" xfId="0" applyNumberFormat="1" applyFont="1" applyFill="1" applyBorder="1" applyAlignment="1">
      <alignment vertical="center" wrapText="1"/>
    </xf>
    <xf numFmtId="4" fontId="19" fillId="3" borderId="1" xfId="0" applyNumberFormat="1" applyFont="1" applyFill="1" applyBorder="1" applyAlignment="1">
      <alignment vertical="center" wrapText="1"/>
    </xf>
    <xf numFmtId="0" fontId="19" fillId="3" borderId="0" xfId="0" applyFont="1" applyFill="1"/>
    <xf numFmtId="4" fontId="10" fillId="3" borderId="1" xfId="0" applyNumberFormat="1" applyFont="1" applyFill="1" applyBorder="1"/>
    <xf numFmtId="49" fontId="10" fillId="3" borderId="1" xfId="0" applyNumberFormat="1" applyFont="1" applyFill="1" applyBorder="1"/>
    <xf numFmtId="4" fontId="23" fillId="2" borderId="1" xfId="0" applyNumberFormat="1" applyFont="1" applyFill="1" applyBorder="1"/>
    <xf numFmtId="49" fontId="23" fillId="2" borderId="1" xfId="0" applyNumberFormat="1" applyFont="1" applyFill="1" applyBorder="1"/>
    <xf numFmtId="49" fontId="10" fillId="2" borderId="1" xfId="0" applyNumberFormat="1" applyFont="1" applyFill="1" applyBorder="1" applyAlignment="1">
      <alignment horizontal="center"/>
    </xf>
    <xf numFmtId="49" fontId="10" fillId="3" borderId="1" xfId="0" applyNumberFormat="1" applyFont="1" applyFill="1" applyBorder="1" applyAlignment="1">
      <alignment horizontal="center"/>
    </xf>
    <xf numFmtId="49" fontId="23" fillId="2" borderId="1" xfId="0" applyNumberFormat="1" applyFont="1" applyFill="1" applyBorder="1" applyAlignment="1">
      <alignment horizontal="center"/>
    </xf>
    <xf numFmtId="0" fontId="0" fillId="0" borderId="0" xfId="0" applyAlignment="1">
      <alignment vertical="center" wrapText="1"/>
    </xf>
    <xf numFmtId="0" fontId="24" fillId="0" borderId="0" xfId="0" applyFont="1" applyAlignment="1">
      <alignment vertical="center" wrapText="1"/>
    </xf>
    <xf numFmtId="8" fontId="0" fillId="0" borderId="0" xfId="0" applyNumberFormat="1"/>
    <xf numFmtId="8" fontId="0" fillId="0" borderId="0" xfId="0" applyNumberFormat="1" applyAlignment="1">
      <alignment vertical="center" wrapText="1"/>
    </xf>
    <xf numFmtId="8" fontId="24" fillId="0" borderId="0" xfId="0" applyNumberFormat="1" applyFont="1" applyAlignment="1">
      <alignment vertical="center" wrapText="1"/>
    </xf>
    <xf numFmtId="14" fontId="0" fillId="0" borderId="0" xfId="0" applyNumberFormat="1" applyAlignment="1">
      <alignment vertical="center" wrapText="1"/>
    </xf>
    <xf numFmtId="14" fontId="24" fillId="0" borderId="0" xfId="0" applyNumberFormat="1" applyFont="1" applyAlignment="1">
      <alignment vertical="center" wrapText="1"/>
    </xf>
    <xf numFmtId="0" fontId="24" fillId="0" borderId="14" xfId="0" applyFont="1" applyBorder="1" applyAlignment="1">
      <alignment vertical="center" wrapText="1"/>
    </xf>
    <xf numFmtId="0" fontId="24" fillId="0" borderId="15" xfId="0" applyFont="1" applyBorder="1" applyAlignment="1">
      <alignment vertical="center" wrapText="1"/>
    </xf>
    <xf numFmtId="8" fontId="24" fillId="0" borderId="15" xfId="0" applyNumberFormat="1" applyFont="1" applyBorder="1" applyAlignment="1">
      <alignment vertical="center" wrapText="1"/>
    </xf>
    <xf numFmtId="14" fontId="24" fillId="0" borderId="15" xfId="0" applyNumberFormat="1" applyFont="1" applyBorder="1" applyAlignment="1">
      <alignment vertical="center" wrapText="1"/>
    </xf>
    <xf numFmtId="0" fontId="24" fillId="0" borderId="17" xfId="0" applyFont="1" applyBorder="1" applyAlignment="1">
      <alignment vertical="center" wrapText="1"/>
    </xf>
    <xf numFmtId="0" fontId="24" fillId="0" borderId="19" xfId="0" applyFont="1" applyBorder="1" applyAlignment="1">
      <alignment vertical="center" wrapText="1"/>
    </xf>
    <xf numFmtId="0" fontId="24" fillId="0" borderId="20" xfId="0" applyFont="1" applyBorder="1" applyAlignment="1">
      <alignment vertical="center" wrapText="1"/>
    </xf>
    <xf numFmtId="8" fontId="24" fillId="0" borderId="20" xfId="0" applyNumberFormat="1" applyFont="1" applyBorder="1" applyAlignment="1">
      <alignment vertical="center" wrapText="1"/>
    </xf>
    <xf numFmtId="14" fontId="24" fillId="0" borderId="20" xfId="0" applyNumberFormat="1" applyFont="1"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8" fontId="0" fillId="0" borderId="15" xfId="0" applyNumberFormat="1" applyBorder="1" applyAlignment="1">
      <alignment vertical="center" wrapText="1"/>
    </xf>
    <xf numFmtId="14" fontId="0" fillId="0" borderId="15" xfId="0" applyNumberFormat="1"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8" fontId="0" fillId="0" borderId="20" xfId="0" applyNumberFormat="1" applyBorder="1" applyAlignment="1">
      <alignment vertical="center" wrapText="1"/>
    </xf>
    <xf numFmtId="14" fontId="0" fillId="0" borderId="20" xfId="0" applyNumberFormat="1"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8" fontId="0" fillId="0" borderId="23" xfId="0" applyNumberFormat="1" applyBorder="1" applyAlignment="1">
      <alignment vertical="center" wrapText="1"/>
    </xf>
    <xf numFmtId="14" fontId="0" fillId="0" borderId="23" xfId="0" applyNumberFormat="1" applyBorder="1" applyAlignment="1">
      <alignment vertical="center" wrapText="1"/>
    </xf>
    <xf numFmtId="0" fontId="0" fillId="0" borderId="24" xfId="0" applyBorder="1" applyAlignment="1">
      <alignment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 fontId="3" fillId="0" borderId="2" xfId="0" applyNumberFormat="1" applyFont="1" applyBorder="1" applyAlignment="1">
      <alignment horizontal="center" vertical="center" wrapText="1"/>
    </xf>
    <xf numFmtId="4" fontId="3" fillId="0" borderId="3" xfId="0" applyNumberFormat="1" applyFont="1" applyBorder="1" applyAlignment="1">
      <alignment horizontal="center" vertical="center" wrapText="1"/>
    </xf>
    <xf numFmtId="4" fontId="3" fillId="0" borderId="4" xfId="0" applyNumberFormat="1" applyFont="1" applyBorder="1" applyAlignment="1">
      <alignment horizontal="center" vertical="center" wrapText="1"/>
    </xf>
    <xf numFmtId="14" fontId="3" fillId="0" borderId="2"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4" xfId="0" applyNumberFormat="1" applyFont="1" applyBorder="1" applyAlignment="1">
      <alignment horizontal="center" vertical="center" wrapText="1"/>
    </xf>
    <xf numFmtId="3" fontId="3" fillId="0" borderId="2" xfId="0" applyNumberFormat="1" applyFont="1" applyBorder="1" applyAlignment="1">
      <alignment horizontal="center" vertical="center" wrapText="1"/>
    </xf>
    <xf numFmtId="3" fontId="3" fillId="0" borderId="3" xfId="0" applyNumberFormat="1" applyFont="1" applyBorder="1" applyAlignment="1">
      <alignment horizontal="center" vertical="center" wrapText="1"/>
    </xf>
    <xf numFmtId="3" fontId="3" fillId="0" borderId="4"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13"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xf numFmtId="49" fontId="3" fillId="0" borderId="10" xfId="0" applyNumberFormat="1" applyFont="1"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 fontId="3" fillId="0" borderId="5" xfId="0" applyNumberFormat="1" applyFont="1" applyBorder="1" applyAlignment="1">
      <alignment horizontal="center" vertical="center" wrapText="1"/>
    </xf>
    <xf numFmtId="4" fontId="3" fillId="0" borderId="6" xfId="0" applyNumberFormat="1" applyFont="1" applyBorder="1" applyAlignment="1">
      <alignment horizontal="center" vertical="center" wrapText="1"/>
    </xf>
    <xf numFmtId="4" fontId="3" fillId="0" borderId="7" xfId="0" applyNumberFormat="1" applyFont="1" applyBorder="1" applyAlignment="1">
      <alignment horizontal="center" vertical="center" wrapText="1"/>
    </xf>
    <xf numFmtId="4" fontId="3" fillId="0" borderId="8" xfId="0" applyNumberFormat="1" applyFont="1" applyBorder="1" applyAlignment="1">
      <alignment horizontal="center" vertical="center" wrapText="1"/>
    </xf>
    <xf numFmtId="166" fontId="3" fillId="0" borderId="2" xfId="1" applyNumberFormat="1" applyFont="1" applyFill="1" applyBorder="1" applyAlignment="1">
      <alignment horizontal="center" vertical="center" wrapText="1"/>
    </xf>
    <xf numFmtId="166" fontId="3" fillId="0" borderId="3" xfId="1" applyNumberFormat="1" applyFont="1" applyFill="1" applyBorder="1" applyAlignment="1">
      <alignment horizontal="center" vertical="center" wrapText="1"/>
    </xf>
    <xf numFmtId="166" fontId="3" fillId="0" borderId="4" xfId="1" applyNumberFormat="1" applyFont="1" applyFill="1" applyBorder="1" applyAlignment="1">
      <alignment horizontal="center" vertical="center" wrapText="1"/>
    </xf>
    <xf numFmtId="14" fontId="13" fillId="2" borderId="1" xfId="0" applyNumberFormat="1" applyFont="1" applyFill="1" applyBorder="1" applyAlignment="1">
      <alignment horizontal="center"/>
    </xf>
    <xf numFmtId="0" fontId="10" fillId="0" borderId="1" xfId="0" applyFont="1" applyBorder="1" applyAlignment="1">
      <alignment vertical="center" wrapText="1"/>
    </xf>
    <xf numFmtId="49" fontId="10" fillId="0" borderId="1" xfId="0" applyNumberFormat="1" applyFont="1" applyBorder="1" applyAlignment="1">
      <alignment horizontal="left" vertical="center" wrapText="1"/>
    </xf>
    <xf numFmtId="49" fontId="10" fillId="0" borderId="1" xfId="0" applyNumberFormat="1" applyFont="1" applyBorder="1" applyAlignment="1">
      <alignment vertical="center" wrapText="1"/>
    </xf>
    <xf numFmtId="14" fontId="10" fillId="0" borderId="1" xfId="0" applyNumberFormat="1" applyFont="1" applyBorder="1" applyAlignment="1">
      <alignment vertical="center" wrapText="1"/>
    </xf>
    <xf numFmtId="4" fontId="10" fillId="0" borderId="1" xfId="0" applyNumberFormat="1" applyFont="1" applyBorder="1" applyAlignment="1">
      <alignment vertical="center" wrapText="1"/>
    </xf>
    <xf numFmtId="49" fontId="10" fillId="0" borderId="1" xfId="0" applyNumberFormat="1" applyFont="1" applyBorder="1" applyAlignment="1">
      <alignment horizontal="center" vertical="center" wrapText="1"/>
    </xf>
    <xf numFmtId="0" fontId="10" fillId="0" borderId="0" xfId="0" applyFont="1" applyAlignment="1">
      <alignment vertical="center"/>
    </xf>
    <xf numFmtId="43" fontId="10" fillId="0" borderId="1" xfId="1" applyFont="1" applyFill="1" applyBorder="1" applyAlignment="1">
      <alignment vertical="center" wrapText="1"/>
    </xf>
    <xf numFmtId="3" fontId="10" fillId="0" borderId="1" xfId="0" applyNumberFormat="1" applyFont="1" applyBorder="1" applyAlignment="1">
      <alignment vertical="center" wrapText="1"/>
    </xf>
    <xf numFmtId="164" fontId="10" fillId="0" borderId="1" xfId="0" applyNumberFormat="1" applyFont="1" applyBorder="1" applyAlignment="1">
      <alignment vertical="center" wrapText="1"/>
    </xf>
  </cellXfs>
  <cellStyles count="4">
    <cellStyle name="Millares" xfId="1" builtinId="3"/>
    <cellStyle name="Millares 2" xfId="3" xr:uid="{ACB5D503-A8D1-4EDC-8CC3-41BB01061A57}"/>
    <cellStyle name="Millares 3" xfId="2" xr:uid="{2D043804-B0EC-4855-AEAD-25348583EDD0}"/>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U413"/>
  <sheetViews>
    <sheetView showGridLines="0" zoomScale="94" zoomScaleNormal="94" workbookViewId="0">
      <pane ySplit="4" topLeftCell="A107" activePane="bottomLeft" state="frozen"/>
      <selection pane="bottomLeft" activeCell="D15" sqref="C1:E15"/>
    </sheetView>
  </sheetViews>
  <sheetFormatPr baseColWidth="10" defaultColWidth="11.42578125" defaultRowHeight="13.5" x14ac:dyDescent="0.25"/>
  <cols>
    <col min="1" max="2" width="13.7109375" style="1" customWidth="1"/>
    <col min="3" max="3" width="5" style="2" customWidth="1"/>
    <col min="4" max="4" width="6.7109375" style="2" customWidth="1"/>
    <col min="5" max="5" width="10.140625" style="2" customWidth="1"/>
    <col min="6" max="6" width="3.28515625" style="2" customWidth="1"/>
    <col min="7" max="7" width="13.85546875" style="2" customWidth="1"/>
    <col min="8" max="8" width="54" style="16" customWidth="1"/>
    <col min="9" max="9" width="15.7109375" style="3" hidden="1" customWidth="1"/>
    <col min="10" max="10" width="14.140625" style="3" customWidth="1"/>
    <col min="11" max="11" width="11.140625" style="3" customWidth="1"/>
    <col min="12" max="12" width="7.42578125" style="3" hidden="1" customWidth="1"/>
    <col min="13" max="13" width="15.7109375" style="3" hidden="1" customWidth="1"/>
    <col min="14" max="14" width="15.7109375" style="3" customWidth="1"/>
    <col min="15" max="15" width="15.7109375" style="3" hidden="1" customWidth="1"/>
    <col min="16" max="16" width="14.140625" style="3" customWidth="1"/>
    <col min="17" max="17" width="7.28515625" style="34" customWidth="1"/>
    <col min="18" max="18" width="10.28515625" style="1" customWidth="1"/>
    <col min="19" max="19" width="5.28515625" style="2" customWidth="1"/>
    <col min="20" max="20" width="9.7109375" style="2" customWidth="1"/>
    <col min="21" max="21" width="7.5703125" style="2" customWidth="1"/>
    <col min="22" max="22" width="4.28515625" style="2" customWidth="1"/>
    <col min="23" max="23" width="14.7109375" style="3" hidden="1" customWidth="1"/>
    <col min="24" max="24" width="13.7109375" style="1" customWidth="1"/>
    <col min="25" max="25" width="8" style="2" customWidth="1"/>
    <col min="26" max="27" width="13.7109375" style="2" hidden="1" customWidth="1"/>
    <col min="28" max="28" width="9.42578125" style="2" customWidth="1"/>
    <col min="29" max="29" width="13.7109375" style="2" hidden="1" customWidth="1"/>
    <col min="30" max="30" width="5.5703125" style="2" customWidth="1"/>
    <col min="31" max="31" width="13.7109375" style="5" hidden="1" customWidth="1"/>
    <col min="32" max="33" width="15.7109375" style="3" hidden="1" customWidth="1"/>
    <col min="34" max="34" width="10.7109375" style="2" hidden="1" customWidth="1"/>
    <col min="35" max="35" width="15.7109375" style="2" hidden="1" customWidth="1"/>
    <col min="36" max="36" width="10.7109375" style="1" hidden="1" customWidth="1"/>
    <col min="37" max="37" width="11.7109375" style="2" hidden="1" customWidth="1"/>
    <col min="38" max="38" width="8.140625" style="3" customWidth="1"/>
    <col min="39" max="39" width="23.5703125" style="2" customWidth="1"/>
    <col min="40" max="40" width="15.28515625" style="2" customWidth="1"/>
    <col min="41" max="41" width="9.7109375" style="2" customWidth="1"/>
    <col min="42" max="42" width="15.7109375" style="3" customWidth="1"/>
    <col min="43" max="16384" width="11.42578125" style="6"/>
  </cols>
  <sheetData>
    <row r="1" spans="1:42" s="12" customFormat="1" ht="21.95" customHeight="1" x14ac:dyDescent="0.15">
      <c r="A1" s="191" t="s">
        <v>5</v>
      </c>
      <c r="B1" s="191" t="s">
        <v>7</v>
      </c>
      <c r="C1" s="205" t="s">
        <v>8</v>
      </c>
      <c r="D1" s="206"/>
      <c r="E1" s="207"/>
      <c r="F1" s="211" t="s">
        <v>15</v>
      </c>
      <c r="G1" s="212"/>
      <c r="H1" s="213"/>
      <c r="I1" s="188" t="s">
        <v>21</v>
      </c>
      <c r="J1" s="188" t="s">
        <v>23</v>
      </c>
      <c r="K1" s="216" t="s">
        <v>24</v>
      </c>
      <c r="L1" s="217"/>
      <c r="M1" s="188" t="s">
        <v>27</v>
      </c>
      <c r="N1" s="188" t="s">
        <v>28</v>
      </c>
      <c r="O1" s="188" t="s">
        <v>29</v>
      </c>
      <c r="P1" s="188" t="s">
        <v>30</v>
      </c>
      <c r="Q1" s="220" t="s">
        <v>31</v>
      </c>
      <c r="R1" s="199" t="s">
        <v>33</v>
      </c>
      <c r="S1" s="200"/>
      <c r="T1" s="200"/>
      <c r="U1" s="201"/>
      <c r="V1" s="185" t="s">
        <v>37</v>
      </c>
      <c r="W1" s="188" t="s">
        <v>38</v>
      </c>
      <c r="X1" s="191" t="s">
        <v>39</v>
      </c>
      <c r="Y1" s="185" t="s">
        <v>40</v>
      </c>
      <c r="Z1" s="185" t="s">
        <v>42</v>
      </c>
      <c r="AA1" s="185" t="s">
        <v>44</v>
      </c>
      <c r="AB1" s="185" t="s">
        <v>45</v>
      </c>
      <c r="AC1" s="185" t="s">
        <v>47</v>
      </c>
      <c r="AD1" s="185" t="s">
        <v>48</v>
      </c>
      <c r="AE1" s="194" t="s">
        <v>49</v>
      </c>
      <c r="AF1" s="188" t="s">
        <v>51</v>
      </c>
      <c r="AG1" s="188" t="s">
        <v>53</v>
      </c>
      <c r="AH1" s="185" t="s">
        <v>54</v>
      </c>
      <c r="AI1" s="185" t="s">
        <v>55</v>
      </c>
      <c r="AJ1" s="191" t="s">
        <v>56</v>
      </c>
      <c r="AK1" s="185" t="s">
        <v>57</v>
      </c>
      <c r="AL1" s="188" t="s">
        <v>58</v>
      </c>
      <c r="AM1" s="185" t="s">
        <v>59</v>
      </c>
      <c r="AN1" s="185" t="s">
        <v>60</v>
      </c>
      <c r="AO1" s="185" t="s">
        <v>61</v>
      </c>
      <c r="AP1" s="188" t="s">
        <v>62</v>
      </c>
    </row>
    <row r="2" spans="1:42" s="12" customFormat="1" ht="21.95" customHeight="1" x14ac:dyDescent="0.15">
      <c r="A2" s="192"/>
      <c r="B2" s="192"/>
      <c r="C2" s="208"/>
      <c r="D2" s="209"/>
      <c r="E2" s="210"/>
      <c r="F2" s="211" t="s">
        <v>16</v>
      </c>
      <c r="G2" s="213"/>
      <c r="H2" s="214" t="s">
        <v>19</v>
      </c>
      <c r="I2" s="189"/>
      <c r="J2" s="189"/>
      <c r="K2" s="218"/>
      <c r="L2" s="219"/>
      <c r="M2" s="189"/>
      <c r="N2" s="189"/>
      <c r="O2" s="189"/>
      <c r="P2" s="189"/>
      <c r="Q2" s="221"/>
      <c r="R2" s="202"/>
      <c r="S2" s="203"/>
      <c r="T2" s="203"/>
      <c r="U2" s="204"/>
      <c r="V2" s="186"/>
      <c r="W2" s="189"/>
      <c r="X2" s="192"/>
      <c r="Y2" s="186"/>
      <c r="Z2" s="186"/>
      <c r="AA2" s="186"/>
      <c r="AB2" s="186"/>
      <c r="AC2" s="186"/>
      <c r="AD2" s="186"/>
      <c r="AE2" s="195"/>
      <c r="AF2" s="189"/>
      <c r="AG2" s="189"/>
      <c r="AH2" s="186"/>
      <c r="AI2" s="186"/>
      <c r="AJ2" s="192"/>
      <c r="AK2" s="186"/>
      <c r="AL2" s="189"/>
      <c r="AM2" s="186"/>
      <c r="AN2" s="186"/>
      <c r="AO2" s="186"/>
      <c r="AP2" s="189"/>
    </row>
    <row r="3" spans="1:42" s="12" customFormat="1" ht="45" customHeight="1" x14ac:dyDescent="0.15">
      <c r="A3" s="193"/>
      <c r="B3" s="193"/>
      <c r="C3" s="13" t="s">
        <v>9</v>
      </c>
      <c r="D3" s="13" t="s">
        <v>11</v>
      </c>
      <c r="E3" s="13" t="s">
        <v>13</v>
      </c>
      <c r="F3" s="13" t="s">
        <v>9</v>
      </c>
      <c r="G3" s="13" t="s">
        <v>13</v>
      </c>
      <c r="H3" s="215"/>
      <c r="I3" s="190"/>
      <c r="J3" s="190"/>
      <c r="K3" s="14" t="s">
        <v>25</v>
      </c>
      <c r="L3" s="14" t="s">
        <v>26</v>
      </c>
      <c r="M3" s="190"/>
      <c r="N3" s="190"/>
      <c r="O3" s="190"/>
      <c r="P3" s="190"/>
      <c r="Q3" s="222"/>
      <c r="R3" s="15" t="s">
        <v>34</v>
      </c>
      <c r="S3" s="13" t="s">
        <v>9</v>
      </c>
      <c r="T3" s="13" t="s">
        <v>35</v>
      </c>
      <c r="U3" s="13" t="s">
        <v>36</v>
      </c>
      <c r="V3" s="187"/>
      <c r="W3" s="190"/>
      <c r="X3" s="193"/>
      <c r="Y3" s="187"/>
      <c r="Z3" s="187"/>
      <c r="AA3" s="187"/>
      <c r="AB3" s="187"/>
      <c r="AC3" s="187"/>
      <c r="AD3" s="187"/>
      <c r="AE3" s="196"/>
      <c r="AF3" s="190"/>
      <c r="AG3" s="190"/>
      <c r="AH3" s="187"/>
      <c r="AI3" s="187"/>
      <c r="AJ3" s="193"/>
      <c r="AK3" s="187"/>
      <c r="AL3" s="190"/>
      <c r="AM3" s="187"/>
      <c r="AN3" s="187"/>
      <c r="AO3" s="187"/>
      <c r="AP3" s="190"/>
    </row>
    <row r="4" spans="1:42" s="12" customFormat="1" ht="24.6" customHeight="1" x14ac:dyDescent="0.15">
      <c r="A4" s="19" t="s">
        <v>6</v>
      </c>
      <c r="B4" s="19" t="s">
        <v>6</v>
      </c>
      <c r="C4" s="20" t="s">
        <v>10</v>
      </c>
      <c r="D4" s="20" t="s">
        <v>12</v>
      </c>
      <c r="E4" s="20" t="s">
        <v>14</v>
      </c>
      <c r="F4" s="20" t="s">
        <v>17</v>
      </c>
      <c r="G4" s="20" t="s">
        <v>18</v>
      </c>
      <c r="H4" s="21" t="s">
        <v>20</v>
      </c>
      <c r="I4" s="22" t="s">
        <v>22</v>
      </c>
      <c r="J4" s="22" t="s">
        <v>22</v>
      </c>
      <c r="K4" s="22" t="s">
        <v>22</v>
      </c>
      <c r="L4" s="22" t="s">
        <v>22</v>
      </c>
      <c r="M4" s="22" t="s">
        <v>22</v>
      </c>
      <c r="N4" s="22" t="s">
        <v>22</v>
      </c>
      <c r="O4" s="22" t="s">
        <v>22</v>
      </c>
      <c r="P4" s="22"/>
      <c r="Q4" s="35" t="s">
        <v>32</v>
      </c>
      <c r="R4" s="19" t="s">
        <v>6</v>
      </c>
      <c r="S4" s="20" t="s">
        <v>10</v>
      </c>
      <c r="T4" s="20" t="s">
        <v>12</v>
      </c>
      <c r="U4" s="20" t="s">
        <v>14</v>
      </c>
      <c r="V4" s="20" t="s">
        <v>17</v>
      </c>
      <c r="W4" s="22" t="s">
        <v>22</v>
      </c>
      <c r="X4" s="19" t="s">
        <v>6</v>
      </c>
      <c r="Y4" s="20" t="s">
        <v>41</v>
      </c>
      <c r="Z4" s="20" t="s">
        <v>43</v>
      </c>
      <c r="AA4" s="20" t="s">
        <v>43</v>
      </c>
      <c r="AB4" s="20" t="s">
        <v>46</v>
      </c>
      <c r="AC4" s="20" t="s">
        <v>46</v>
      </c>
      <c r="AD4" s="20" t="s">
        <v>46</v>
      </c>
      <c r="AE4" s="23" t="s">
        <v>50</v>
      </c>
      <c r="AF4" s="22" t="s">
        <v>52</v>
      </c>
      <c r="AG4" s="22" t="s">
        <v>22</v>
      </c>
      <c r="AH4" s="20" t="s">
        <v>12</v>
      </c>
      <c r="AI4" s="20" t="s">
        <v>14</v>
      </c>
      <c r="AJ4" s="19" t="s">
        <v>6</v>
      </c>
      <c r="AK4" s="20" t="s">
        <v>46</v>
      </c>
      <c r="AL4" s="22" t="s">
        <v>52</v>
      </c>
      <c r="AM4" s="20" t="s">
        <v>20</v>
      </c>
      <c r="AN4" s="20" t="s">
        <v>41</v>
      </c>
      <c r="AO4" s="20" t="s">
        <v>17</v>
      </c>
      <c r="AP4" s="22" t="s">
        <v>22</v>
      </c>
    </row>
    <row r="5" spans="1:42" s="41" customFormat="1" ht="18.75" customHeight="1" x14ac:dyDescent="0.25">
      <c r="A5" s="47">
        <v>46174</v>
      </c>
      <c r="B5" s="43">
        <f t="shared" ref="B5:B8" si="0">+A5</f>
        <v>46174</v>
      </c>
      <c r="C5" s="44" t="s">
        <v>814</v>
      </c>
      <c r="D5" s="48" t="s">
        <v>141</v>
      </c>
      <c r="E5" s="48">
        <v>3665</v>
      </c>
      <c r="F5" s="48">
        <v>1</v>
      </c>
      <c r="G5" s="48">
        <v>11111111</v>
      </c>
      <c r="H5" s="48" t="s">
        <v>143</v>
      </c>
      <c r="I5" s="45"/>
      <c r="J5" s="46">
        <f t="shared" ref="J5:J8" si="1">+P5/1.18</f>
        <v>44.067796610169495</v>
      </c>
      <c r="K5" s="46"/>
      <c r="L5" s="46"/>
      <c r="M5" s="46"/>
      <c r="N5" s="46">
        <f t="shared" ref="N5:N8" si="2">+J5*0.18</f>
        <v>7.9322033898305087</v>
      </c>
      <c r="O5" s="46"/>
      <c r="P5" s="49">
        <v>52</v>
      </c>
      <c r="Q5" s="50"/>
      <c r="R5" s="43"/>
      <c r="S5" s="45"/>
      <c r="T5" s="44"/>
      <c r="U5" s="44"/>
      <c r="V5" s="51" t="s">
        <v>86</v>
      </c>
      <c r="W5" s="46"/>
      <c r="X5" s="47">
        <v>46174</v>
      </c>
      <c r="Y5" s="44" t="s">
        <v>87</v>
      </c>
      <c r="Z5" s="44"/>
      <c r="AA5" s="44"/>
      <c r="AB5" s="44" t="s">
        <v>813</v>
      </c>
      <c r="AC5" s="52"/>
      <c r="AD5" s="52">
        <v>1212</v>
      </c>
      <c r="AE5" s="54"/>
      <c r="AF5" s="55"/>
      <c r="AG5" s="55"/>
      <c r="AH5" s="56"/>
      <c r="AI5" s="56"/>
      <c r="AJ5" s="57"/>
      <c r="AK5" s="56"/>
      <c r="AL5" s="46">
        <v>18</v>
      </c>
      <c r="AM5" s="53" t="s">
        <v>941</v>
      </c>
      <c r="AN5" s="39"/>
      <c r="AO5" s="39"/>
      <c r="AP5" s="40"/>
    </row>
    <row r="6" spans="1:42" s="41" customFormat="1" ht="18.75" customHeight="1" x14ac:dyDescent="0.25">
      <c r="A6" s="47">
        <v>46174</v>
      </c>
      <c r="B6" s="43">
        <f t="shared" si="0"/>
        <v>46174</v>
      </c>
      <c r="C6" s="44" t="s">
        <v>814</v>
      </c>
      <c r="D6" s="48" t="s">
        <v>141</v>
      </c>
      <c r="E6" s="48">
        <v>3666</v>
      </c>
      <c r="F6" s="48">
        <v>1</v>
      </c>
      <c r="G6" s="48">
        <v>46169303</v>
      </c>
      <c r="H6" s="48" t="s">
        <v>145</v>
      </c>
      <c r="I6" s="45"/>
      <c r="J6" s="46">
        <f t="shared" si="1"/>
        <v>43.220338983050851</v>
      </c>
      <c r="K6" s="46"/>
      <c r="L6" s="46"/>
      <c r="M6" s="46"/>
      <c r="N6" s="46">
        <f t="shared" si="2"/>
        <v>7.7796610169491531</v>
      </c>
      <c r="O6" s="46"/>
      <c r="P6" s="49">
        <v>51</v>
      </c>
      <c r="Q6" s="50"/>
      <c r="R6" s="43"/>
      <c r="S6" s="45"/>
      <c r="T6" s="44"/>
      <c r="U6" s="44"/>
      <c r="V6" s="51" t="s">
        <v>86</v>
      </c>
      <c r="W6" s="46"/>
      <c r="X6" s="47">
        <v>46174</v>
      </c>
      <c r="Y6" s="44" t="s">
        <v>87</v>
      </c>
      <c r="Z6" s="44"/>
      <c r="AA6" s="44"/>
      <c r="AB6" s="44" t="s">
        <v>813</v>
      </c>
      <c r="AC6" s="52"/>
      <c r="AD6" s="52">
        <v>1212</v>
      </c>
      <c r="AE6" s="54"/>
      <c r="AF6" s="55"/>
      <c r="AG6" s="55"/>
      <c r="AH6" s="56"/>
      <c r="AI6" s="56"/>
      <c r="AJ6" s="57"/>
      <c r="AK6" s="56"/>
      <c r="AL6" s="46">
        <v>18</v>
      </c>
      <c r="AM6" s="53" t="s">
        <v>941</v>
      </c>
      <c r="AN6" s="39"/>
      <c r="AO6" s="39"/>
      <c r="AP6" s="40"/>
    </row>
    <row r="7" spans="1:42" s="41" customFormat="1" ht="18.75" customHeight="1" x14ac:dyDescent="0.25">
      <c r="A7" s="47">
        <v>46174</v>
      </c>
      <c r="B7" s="43">
        <f t="shared" si="0"/>
        <v>46174</v>
      </c>
      <c r="C7" s="44" t="s">
        <v>814</v>
      </c>
      <c r="D7" s="48" t="s">
        <v>141</v>
      </c>
      <c r="E7" s="48">
        <v>3667</v>
      </c>
      <c r="F7" s="48">
        <v>1</v>
      </c>
      <c r="G7" s="48">
        <v>11111111</v>
      </c>
      <c r="H7" s="48" t="s">
        <v>143</v>
      </c>
      <c r="I7" s="45"/>
      <c r="J7" s="46">
        <f t="shared" si="1"/>
        <v>83.050847457627128</v>
      </c>
      <c r="K7" s="46"/>
      <c r="L7" s="46"/>
      <c r="M7" s="46"/>
      <c r="N7" s="46">
        <f t="shared" si="2"/>
        <v>14.949152542372882</v>
      </c>
      <c r="O7" s="46"/>
      <c r="P7" s="49">
        <v>98</v>
      </c>
      <c r="Q7" s="50"/>
      <c r="R7" s="43"/>
      <c r="S7" s="45"/>
      <c r="T7" s="44"/>
      <c r="U7" s="44"/>
      <c r="V7" s="51" t="s">
        <v>86</v>
      </c>
      <c r="W7" s="46"/>
      <c r="X7" s="47">
        <v>46174</v>
      </c>
      <c r="Y7" s="44" t="s">
        <v>87</v>
      </c>
      <c r="Z7" s="44"/>
      <c r="AA7" s="44"/>
      <c r="AB7" s="44" t="s">
        <v>813</v>
      </c>
      <c r="AC7" s="52"/>
      <c r="AD7" s="52">
        <v>1212</v>
      </c>
      <c r="AE7" s="54"/>
      <c r="AF7" s="55"/>
      <c r="AG7" s="55"/>
      <c r="AH7" s="56"/>
      <c r="AI7" s="56"/>
      <c r="AJ7" s="57"/>
      <c r="AK7" s="56"/>
      <c r="AL7" s="46">
        <v>18</v>
      </c>
      <c r="AM7" s="53" t="s">
        <v>941</v>
      </c>
      <c r="AN7" s="39"/>
      <c r="AO7" s="39"/>
      <c r="AP7" s="40"/>
    </row>
    <row r="8" spans="1:42" s="41" customFormat="1" ht="18.75" customHeight="1" x14ac:dyDescent="0.25">
      <c r="A8" s="47">
        <v>46174</v>
      </c>
      <c r="B8" s="43">
        <f t="shared" si="0"/>
        <v>46174</v>
      </c>
      <c r="C8" s="44" t="s">
        <v>814</v>
      </c>
      <c r="D8" s="48" t="s">
        <v>141</v>
      </c>
      <c r="E8" s="48">
        <v>3668</v>
      </c>
      <c r="F8" s="48">
        <v>1</v>
      </c>
      <c r="G8" s="48">
        <v>23262129</v>
      </c>
      <c r="H8" s="48" t="s">
        <v>148</v>
      </c>
      <c r="I8" s="45"/>
      <c r="J8" s="46">
        <f t="shared" si="1"/>
        <v>116.94915254237289</v>
      </c>
      <c r="K8" s="46"/>
      <c r="L8" s="46"/>
      <c r="M8" s="46"/>
      <c r="N8" s="46">
        <f t="shared" si="2"/>
        <v>21.050847457627118</v>
      </c>
      <c r="O8" s="46"/>
      <c r="P8" s="49">
        <v>138</v>
      </c>
      <c r="Q8" s="50"/>
      <c r="R8" s="43"/>
      <c r="S8" s="45"/>
      <c r="T8" s="44"/>
      <c r="U8" s="44"/>
      <c r="V8" s="51" t="s">
        <v>86</v>
      </c>
      <c r="W8" s="46"/>
      <c r="X8" s="47">
        <v>46174</v>
      </c>
      <c r="Y8" s="44" t="s">
        <v>87</v>
      </c>
      <c r="Z8" s="44"/>
      <c r="AA8" s="44"/>
      <c r="AB8" s="44" t="s">
        <v>813</v>
      </c>
      <c r="AC8" s="52"/>
      <c r="AD8" s="52">
        <v>1212</v>
      </c>
      <c r="AE8" s="54"/>
      <c r="AF8" s="55"/>
      <c r="AG8" s="55"/>
      <c r="AH8" s="56"/>
      <c r="AI8" s="56"/>
      <c r="AJ8" s="57"/>
      <c r="AK8" s="56"/>
      <c r="AL8" s="46">
        <v>18</v>
      </c>
      <c r="AM8" s="53" t="s">
        <v>941</v>
      </c>
      <c r="AN8" s="39"/>
      <c r="AO8" s="39"/>
      <c r="AP8" s="40"/>
    </row>
    <row r="9" spans="1:42" s="41" customFormat="1" ht="18.75" customHeight="1" x14ac:dyDescent="0.25">
      <c r="A9" s="47">
        <v>46174</v>
      </c>
      <c r="B9" s="43">
        <f t="shared" ref="B9:B72" si="3">+A9</f>
        <v>46174</v>
      </c>
      <c r="C9" s="44" t="s">
        <v>814</v>
      </c>
      <c r="D9" s="48" t="s">
        <v>141</v>
      </c>
      <c r="E9" s="48">
        <v>3669</v>
      </c>
      <c r="F9" s="48">
        <v>1</v>
      </c>
      <c r="G9" s="48">
        <v>11111111</v>
      </c>
      <c r="H9" s="48" t="s">
        <v>143</v>
      </c>
      <c r="I9" s="45"/>
      <c r="J9" s="46">
        <f t="shared" ref="J9:J72" si="4">+P9/1.18</f>
        <v>42.372881355932208</v>
      </c>
      <c r="K9" s="46"/>
      <c r="L9" s="46"/>
      <c r="M9" s="46"/>
      <c r="N9" s="46">
        <f t="shared" ref="N9:N72" si="5">+J9*0.18</f>
        <v>7.6271186440677967</v>
      </c>
      <c r="O9" s="46"/>
      <c r="P9" s="49">
        <v>50</v>
      </c>
      <c r="Q9" s="50"/>
      <c r="R9" s="43"/>
      <c r="S9" s="45"/>
      <c r="T9" s="44"/>
      <c r="U9" s="44"/>
      <c r="V9" s="51" t="s">
        <v>86</v>
      </c>
      <c r="W9" s="46"/>
      <c r="X9" s="47">
        <v>46174</v>
      </c>
      <c r="Y9" s="44" t="s">
        <v>87</v>
      </c>
      <c r="Z9" s="44"/>
      <c r="AA9" s="44"/>
      <c r="AB9" s="44" t="s">
        <v>813</v>
      </c>
      <c r="AC9" s="52"/>
      <c r="AD9" s="52">
        <v>1212</v>
      </c>
      <c r="AE9" s="54"/>
      <c r="AF9" s="55"/>
      <c r="AG9" s="55"/>
      <c r="AH9" s="56"/>
      <c r="AI9" s="56"/>
      <c r="AJ9" s="57"/>
      <c r="AK9" s="56"/>
      <c r="AL9" s="46">
        <v>18</v>
      </c>
      <c r="AM9" s="53" t="s">
        <v>941</v>
      </c>
      <c r="AN9" s="39"/>
      <c r="AO9" s="39"/>
      <c r="AP9" s="40"/>
    </row>
    <row r="10" spans="1:42" s="41" customFormat="1" ht="18.75" customHeight="1" x14ac:dyDescent="0.25">
      <c r="A10" s="47">
        <v>46174</v>
      </c>
      <c r="B10" s="43">
        <f t="shared" si="3"/>
        <v>46174</v>
      </c>
      <c r="C10" s="44" t="s">
        <v>814</v>
      </c>
      <c r="D10" s="48" t="s">
        <v>141</v>
      </c>
      <c r="E10" s="48">
        <v>3670</v>
      </c>
      <c r="F10" s="48">
        <v>1</v>
      </c>
      <c r="G10" s="48">
        <v>11111111</v>
      </c>
      <c r="H10" s="48" t="s">
        <v>143</v>
      </c>
      <c r="I10" s="45"/>
      <c r="J10" s="46">
        <f t="shared" si="4"/>
        <v>42.372881355932208</v>
      </c>
      <c r="K10" s="46"/>
      <c r="L10" s="46"/>
      <c r="M10" s="46"/>
      <c r="N10" s="46">
        <f t="shared" si="5"/>
        <v>7.6271186440677967</v>
      </c>
      <c r="O10" s="46"/>
      <c r="P10" s="49">
        <v>50</v>
      </c>
      <c r="Q10" s="50"/>
      <c r="R10" s="43"/>
      <c r="S10" s="45"/>
      <c r="T10" s="44"/>
      <c r="U10" s="44"/>
      <c r="V10" s="51" t="s">
        <v>86</v>
      </c>
      <c r="W10" s="46"/>
      <c r="X10" s="47">
        <v>46174</v>
      </c>
      <c r="Y10" s="44" t="s">
        <v>87</v>
      </c>
      <c r="Z10" s="44"/>
      <c r="AA10" s="44"/>
      <c r="AB10" s="44" t="s">
        <v>813</v>
      </c>
      <c r="AC10" s="52"/>
      <c r="AD10" s="52">
        <v>1212</v>
      </c>
      <c r="AE10" s="54"/>
      <c r="AF10" s="55"/>
      <c r="AG10" s="55"/>
      <c r="AH10" s="56"/>
      <c r="AI10" s="56"/>
      <c r="AJ10" s="57"/>
      <c r="AK10" s="56"/>
      <c r="AL10" s="46">
        <v>18</v>
      </c>
      <c r="AM10" s="53" t="s">
        <v>941</v>
      </c>
      <c r="AN10" s="39"/>
      <c r="AO10" s="39"/>
      <c r="AP10" s="40"/>
    </row>
    <row r="11" spans="1:42" s="41" customFormat="1" ht="18.75" customHeight="1" x14ac:dyDescent="0.25">
      <c r="A11" s="47">
        <v>46174</v>
      </c>
      <c r="B11" s="43">
        <f t="shared" si="3"/>
        <v>46174</v>
      </c>
      <c r="C11" s="44" t="s">
        <v>814</v>
      </c>
      <c r="D11" s="48" t="s">
        <v>141</v>
      </c>
      <c r="E11" s="48">
        <v>3671</v>
      </c>
      <c r="F11" s="48">
        <v>1</v>
      </c>
      <c r="G11" s="48">
        <v>11111111</v>
      </c>
      <c r="H11" s="48" t="s">
        <v>143</v>
      </c>
      <c r="I11" s="45"/>
      <c r="J11" s="46">
        <f t="shared" si="4"/>
        <v>81.355932203389841</v>
      </c>
      <c r="K11" s="46"/>
      <c r="L11" s="46"/>
      <c r="M11" s="46"/>
      <c r="N11" s="46">
        <f t="shared" si="5"/>
        <v>14.644067796610171</v>
      </c>
      <c r="O11" s="46"/>
      <c r="P11" s="49">
        <v>96</v>
      </c>
      <c r="Q11" s="50"/>
      <c r="R11" s="43"/>
      <c r="S11" s="45"/>
      <c r="T11" s="44"/>
      <c r="U11" s="44"/>
      <c r="V11" s="51" t="s">
        <v>86</v>
      </c>
      <c r="W11" s="46"/>
      <c r="X11" s="47">
        <v>46174</v>
      </c>
      <c r="Y11" s="44" t="s">
        <v>87</v>
      </c>
      <c r="Z11" s="44"/>
      <c r="AA11" s="44"/>
      <c r="AB11" s="44" t="s">
        <v>813</v>
      </c>
      <c r="AC11" s="52"/>
      <c r="AD11" s="52">
        <v>1212</v>
      </c>
      <c r="AE11" s="54"/>
      <c r="AF11" s="55"/>
      <c r="AG11" s="55"/>
      <c r="AH11" s="56"/>
      <c r="AI11" s="56"/>
      <c r="AJ11" s="57"/>
      <c r="AK11" s="56"/>
      <c r="AL11" s="46">
        <v>18</v>
      </c>
      <c r="AM11" s="53" t="s">
        <v>941</v>
      </c>
      <c r="AN11" s="39"/>
      <c r="AO11" s="39"/>
      <c r="AP11" s="40"/>
    </row>
    <row r="12" spans="1:42" s="41" customFormat="1" ht="18.75" customHeight="1" x14ac:dyDescent="0.25">
      <c r="A12" s="47">
        <v>46174</v>
      </c>
      <c r="B12" s="43">
        <f t="shared" si="3"/>
        <v>46174</v>
      </c>
      <c r="C12" s="44" t="s">
        <v>814</v>
      </c>
      <c r="D12" s="48" t="s">
        <v>141</v>
      </c>
      <c r="E12" s="48">
        <v>3672</v>
      </c>
      <c r="F12" s="48">
        <v>1</v>
      </c>
      <c r="G12" s="48">
        <v>11111111</v>
      </c>
      <c r="H12" s="48" t="s">
        <v>143</v>
      </c>
      <c r="I12" s="45"/>
      <c r="J12" s="46">
        <f t="shared" si="4"/>
        <v>42.372881355932208</v>
      </c>
      <c r="K12" s="46"/>
      <c r="L12" s="46"/>
      <c r="M12" s="46"/>
      <c r="N12" s="46">
        <f t="shared" si="5"/>
        <v>7.6271186440677967</v>
      </c>
      <c r="O12" s="46"/>
      <c r="P12" s="49">
        <v>50</v>
      </c>
      <c r="Q12" s="50"/>
      <c r="R12" s="43"/>
      <c r="S12" s="45"/>
      <c r="T12" s="44"/>
      <c r="U12" s="44"/>
      <c r="V12" s="51" t="s">
        <v>86</v>
      </c>
      <c r="W12" s="46"/>
      <c r="X12" s="47">
        <v>46174</v>
      </c>
      <c r="Y12" s="44" t="s">
        <v>87</v>
      </c>
      <c r="Z12" s="44"/>
      <c r="AA12" s="44"/>
      <c r="AB12" s="44" t="s">
        <v>813</v>
      </c>
      <c r="AC12" s="52"/>
      <c r="AD12" s="52">
        <v>1212</v>
      </c>
      <c r="AE12" s="54"/>
      <c r="AF12" s="55"/>
      <c r="AG12" s="55"/>
      <c r="AH12" s="56"/>
      <c r="AI12" s="56"/>
      <c r="AJ12" s="57"/>
      <c r="AK12" s="56"/>
      <c r="AL12" s="46">
        <v>18</v>
      </c>
      <c r="AM12" s="53" t="s">
        <v>941</v>
      </c>
      <c r="AN12" s="39"/>
      <c r="AO12" s="39"/>
      <c r="AP12" s="40"/>
    </row>
    <row r="13" spans="1:42" s="41" customFormat="1" ht="18.75" customHeight="1" x14ac:dyDescent="0.25">
      <c r="A13" s="47">
        <v>46174</v>
      </c>
      <c r="B13" s="43">
        <f t="shared" si="3"/>
        <v>46174</v>
      </c>
      <c r="C13" s="44" t="s">
        <v>814</v>
      </c>
      <c r="D13" s="48" t="s">
        <v>141</v>
      </c>
      <c r="E13" s="48">
        <v>3673</v>
      </c>
      <c r="F13" s="48">
        <v>1</v>
      </c>
      <c r="G13" s="48">
        <v>11111111</v>
      </c>
      <c r="H13" s="48" t="s">
        <v>143</v>
      </c>
      <c r="I13" s="45"/>
      <c r="J13" s="46">
        <f t="shared" si="4"/>
        <v>372.88135593220341</v>
      </c>
      <c r="K13" s="46"/>
      <c r="L13" s="46"/>
      <c r="M13" s="46"/>
      <c r="N13" s="46">
        <f t="shared" si="5"/>
        <v>67.118644067796609</v>
      </c>
      <c r="O13" s="46"/>
      <c r="P13" s="49">
        <v>440</v>
      </c>
      <c r="Q13" s="50"/>
      <c r="R13" s="43"/>
      <c r="S13" s="45"/>
      <c r="T13" s="44"/>
      <c r="U13" s="44"/>
      <c r="V13" s="51" t="s">
        <v>86</v>
      </c>
      <c r="W13" s="46"/>
      <c r="X13" s="47">
        <v>46174</v>
      </c>
      <c r="Y13" s="44" t="s">
        <v>87</v>
      </c>
      <c r="Z13" s="44"/>
      <c r="AA13" s="44"/>
      <c r="AB13" s="44" t="s">
        <v>813</v>
      </c>
      <c r="AC13" s="52"/>
      <c r="AD13" s="52">
        <v>1212</v>
      </c>
      <c r="AE13" s="54"/>
      <c r="AF13" s="55"/>
      <c r="AG13" s="55"/>
      <c r="AH13" s="56"/>
      <c r="AI13" s="56"/>
      <c r="AJ13" s="57"/>
      <c r="AK13" s="56"/>
      <c r="AL13" s="46">
        <v>18</v>
      </c>
      <c r="AM13" s="53" t="s">
        <v>941</v>
      </c>
      <c r="AN13" s="39"/>
      <c r="AO13" s="39"/>
      <c r="AP13" s="40"/>
    </row>
    <row r="14" spans="1:42" s="41" customFormat="1" ht="18.75" customHeight="1" x14ac:dyDescent="0.25">
      <c r="A14" s="47">
        <v>46174</v>
      </c>
      <c r="B14" s="43">
        <f t="shared" si="3"/>
        <v>46174</v>
      </c>
      <c r="C14" s="44" t="s">
        <v>814</v>
      </c>
      <c r="D14" s="48" t="s">
        <v>141</v>
      </c>
      <c r="E14" s="48">
        <v>3674</v>
      </c>
      <c r="F14" s="48">
        <v>1</v>
      </c>
      <c r="G14" s="48">
        <v>11111111</v>
      </c>
      <c r="H14" s="48" t="s">
        <v>143</v>
      </c>
      <c r="I14" s="45"/>
      <c r="J14" s="46">
        <f t="shared" si="4"/>
        <v>81.355932203389841</v>
      </c>
      <c r="K14" s="46"/>
      <c r="L14" s="46"/>
      <c r="M14" s="46"/>
      <c r="N14" s="46">
        <f t="shared" si="5"/>
        <v>14.644067796610171</v>
      </c>
      <c r="O14" s="46"/>
      <c r="P14" s="49">
        <v>96</v>
      </c>
      <c r="Q14" s="50"/>
      <c r="R14" s="43"/>
      <c r="S14" s="45"/>
      <c r="T14" s="44"/>
      <c r="U14" s="44"/>
      <c r="V14" s="51" t="s">
        <v>86</v>
      </c>
      <c r="W14" s="46"/>
      <c r="X14" s="47">
        <v>46174</v>
      </c>
      <c r="Y14" s="44" t="s">
        <v>87</v>
      </c>
      <c r="Z14" s="44"/>
      <c r="AA14" s="44"/>
      <c r="AB14" s="44" t="s">
        <v>813</v>
      </c>
      <c r="AC14" s="52"/>
      <c r="AD14" s="52">
        <v>1212</v>
      </c>
      <c r="AE14" s="54"/>
      <c r="AF14" s="55"/>
      <c r="AG14" s="55"/>
      <c r="AH14" s="56"/>
      <c r="AI14" s="56"/>
      <c r="AJ14" s="57"/>
      <c r="AK14" s="56"/>
      <c r="AL14" s="46">
        <v>18</v>
      </c>
      <c r="AM14" s="53" t="s">
        <v>941</v>
      </c>
      <c r="AN14" s="39"/>
      <c r="AO14" s="39"/>
      <c r="AP14" s="40"/>
    </row>
    <row r="15" spans="1:42" s="41" customFormat="1" ht="18.75" customHeight="1" x14ac:dyDescent="0.25">
      <c r="A15" s="47">
        <v>46177</v>
      </c>
      <c r="B15" s="43">
        <f t="shared" si="3"/>
        <v>46177</v>
      </c>
      <c r="C15" s="44" t="s">
        <v>83</v>
      </c>
      <c r="D15" s="48" t="s">
        <v>159</v>
      </c>
      <c r="E15" s="48">
        <v>34</v>
      </c>
      <c r="F15" s="48">
        <v>6</v>
      </c>
      <c r="G15" s="48">
        <v>20541310038</v>
      </c>
      <c r="H15" s="48" t="s">
        <v>160</v>
      </c>
      <c r="I15" s="45"/>
      <c r="J15" s="46">
        <f t="shared" si="4"/>
        <v>44.067796610169495</v>
      </c>
      <c r="K15" s="46"/>
      <c r="L15" s="46"/>
      <c r="M15" s="46"/>
      <c r="N15" s="46">
        <f t="shared" si="5"/>
        <v>7.9322033898305087</v>
      </c>
      <c r="O15" s="46"/>
      <c r="P15" s="49">
        <v>52</v>
      </c>
      <c r="Q15" s="50"/>
      <c r="R15" s="43"/>
      <c r="S15" s="45"/>
      <c r="T15" s="44"/>
      <c r="U15" s="44"/>
      <c r="V15" s="51" t="s">
        <v>86</v>
      </c>
      <c r="W15" s="46"/>
      <c r="X15" s="47">
        <v>46177</v>
      </c>
      <c r="Y15" s="44" t="s">
        <v>87</v>
      </c>
      <c r="Z15" s="44"/>
      <c r="AA15" s="44"/>
      <c r="AB15" s="44" t="s">
        <v>813</v>
      </c>
      <c r="AC15" s="52"/>
      <c r="AD15" s="52">
        <v>1212</v>
      </c>
      <c r="AE15" s="54"/>
      <c r="AF15" s="55"/>
      <c r="AG15" s="55"/>
      <c r="AH15" s="56"/>
      <c r="AI15" s="56"/>
      <c r="AJ15" s="57"/>
      <c r="AK15" s="56"/>
      <c r="AL15" s="46">
        <v>18</v>
      </c>
      <c r="AM15" s="53" t="s">
        <v>941</v>
      </c>
      <c r="AN15" s="39"/>
      <c r="AO15" s="39"/>
      <c r="AP15" s="40"/>
    </row>
    <row r="16" spans="1:42" s="41" customFormat="1" ht="18.75" customHeight="1" x14ac:dyDescent="0.25">
      <c r="A16" s="47">
        <v>46187</v>
      </c>
      <c r="B16" s="43">
        <f t="shared" si="3"/>
        <v>46187</v>
      </c>
      <c r="C16" s="44" t="s">
        <v>83</v>
      </c>
      <c r="D16" s="48" t="s">
        <v>159</v>
      </c>
      <c r="E16" s="48">
        <v>35</v>
      </c>
      <c r="F16" s="48">
        <v>6</v>
      </c>
      <c r="G16" s="48">
        <v>20615178901</v>
      </c>
      <c r="H16" s="48" t="s">
        <v>162</v>
      </c>
      <c r="I16" s="45"/>
      <c r="J16" s="46">
        <f t="shared" si="4"/>
        <v>155.93220338983051</v>
      </c>
      <c r="K16" s="46"/>
      <c r="L16" s="46"/>
      <c r="M16" s="46"/>
      <c r="N16" s="46">
        <f t="shared" si="5"/>
        <v>28.067796610169491</v>
      </c>
      <c r="O16" s="46"/>
      <c r="P16" s="49">
        <v>184</v>
      </c>
      <c r="Q16" s="50"/>
      <c r="R16" s="43"/>
      <c r="S16" s="45"/>
      <c r="T16" s="44"/>
      <c r="U16" s="44"/>
      <c r="V16" s="51" t="s">
        <v>86</v>
      </c>
      <c r="W16" s="46"/>
      <c r="X16" s="47">
        <v>46187</v>
      </c>
      <c r="Y16" s="44" t="s">
        <v>87</v>
      </c>
      <c r="Z16" s="44"/>
      <c r="AA16" s="44"/>
      <c r="AB16" s="44" t="s">
        <v>813</v>
      </c>
      <c r="AC16" s="52"/>
      <c r="AD16" s="52">
        <v>1212</v>
      </c>
      <c r="AE16" s="54"/>
      <c r="AF16" s="55"/>
      <c r="AG16" s="55"/>
      <c r="AH16" s="56"/>
      <c r="AI16" s="56"/>
      <c r="AJ16" s="57"/>
      <c r="AK16" s="56"/>
      <c r="AL16" s="46">
        <v>18</v>
      </c>
      <c r="AM16" s="53" t="s">
        <v>941</v>
      </c>
      <c r="AN16" s="39"/>
      <c r="AO16" s="39"/>
      <c r="AP16" s="40"/>
    </row>
    <row r="17" spans="1:42" s="41" customFormat="1" ht="18.75" customHeight="1" x14ac:dyDescent="0.25">
      <c r="A17" s="47">
        <v>46189</v>
      </c>
      <c r="B17" s="43">
        <f t="shared" si="3"/>
        <v>46189</v>
      </c>
      <c r="C17" s="44" t="s">
        <v>814</v>
      </c>
      <c r="D17" s="48" t="s">
        <v>141</v>
      </c>
      <c r="E17" s="48">
        <v>3676</v>
      </c>
      <c r="F17" s="48">
        <v>1</v>
      </c>
      <c r="G17" s="48">
        <v>11111111</v>
      </c>
      <c r="H17" s="48" t="s">
        <v>143</v>
      </c>
      <c r="I17" s="45"/>
      <c r="J17" s="46">
        <f t="shared" si="4"/>
        <v>43.220338983050851</v>
      </c>
      <c r="K17" s="46"/>
      <c r="L17" s="46"/>
      <c r="M17" s="46"/>
      <c r="N17" s="46">
        <f t="shared" si="5"/>
        <v>7.7796610169491531</v>
      </c>
      <c r="O17" s="46"/>
      <c r="P17" s="49">
        <v>51</v>
      </c>
      <c r="Q17" s="50"/>
      <c r="R17" s="43"/>
      <c r="S17" s="45"/>
      <c r="T17" s="44"/>
      <c r="U17" s="44"/>
      <c r="V17" s="51" t="s">
        <v>86</v>
      </c>
      <c r="W17" s="46"/>
      <c r="X17" s="47">
        <v>46189</v>
      </c>
      <c r="Y17" s="44" t="s">
        <v>87</v>
      </c>
      <c r="Z17" s="44"/>
      <c r="AA17" s="44"/>
      <c r="AB17" s="44" t="s">
        <v>813</v>
      </c>
      <c r="AC17" s="52"/>
      <c r="AD17" s="52">
        <v>1212</v>
      </c>
      <c r="AE17" s="54"/>
      <c r="AF17" s="55"/>
      <c r="AG17" s="55"/>
      <c r="AH17" s="56"/>
      <c r="AI17" s="56"/>
      <c r="AJ17" s="57"/>
      <c r="AK17" s="56"/>
      <c r="AL17" s="46">
        <v>18</v>
      </c>
      <c r="AM17" s="53" t="s">
        <v>941</v>
      </c>
      <c r="AN17" s="39"/>
      <c r="AO17" s="39"/>
      <c r="AP17" s="40"/>
    </row>
    <row r="18" spans="1:42" s="41" customFormat="1" ht="18.75" customHeight="1" x14ac:dyDescent="0.25">
      <c r="A18" s="47">
        <v>46189</v>
      </c>
      <c r="B18" s="43">
        <f t="shared" si="3"/>
        <v>46189</v>
      </c>
      <c r="C18" s="44" t="s">
        <v>814</v>
      </c>
      <c r="D18" s="48" t="s">
        <v>141</v>
      </c>
      <c r="E18" s="48">
        <v>3677</v>
      </c>
      <c r="F18" s="48">
        <v>1</v>
      </c>
      <c r="G18" s="48">
        <v>11111111</v>
      </c>
      <c r="H18" s="48" t="s">
        <v>143</v>
      </c>
      <c r="I18" s="45"/>
      <c r="J18" s="46">
        <f t="shared" si="4"/>
        <v>76.271186440677965</v>
      </c>
      <c r="K18" s="46"/>
      <c r="L18" s="46"/>
      <c r="M18" s="46"/>
      <c r="N18" s="46">
        <f t="shared" si="5"/>
        <v>13.728813559322033</v>
      </c>
      <c r="O18" s="46"/>
      <c r="P18" s="49">
        <v>90</v>
      </c>
      <c r="Q18" s="50"/>
      <c r="R18" s="43"/>
      <c r="S18" s="45"/>
      <c r="T18" s="44"/>
      <c r="U18" s="44"/>
      <c r="V18" s="51" t="s">
        <v>86</v>
      </c>
      <c r="W18" s="46"/>
      <c r="X18" s="47">
        <v>46189</v>
      </c>
      <c r="Y18" s="44" t="s">
        <v>87</v>
      </c>
      <c r="Z18" s="44"/>
      <c r="AA18" s="44"/>
      <c r="AB18" s="44" t="s">
        <v>813</v>
      </c>
      <c r="AC18" s="52"/>
      <c r="AD18" s="52">
        <v>1212</v>
      </c>
      <c r="AE18" s="54"/>
      <c r="AF18" s="55"/>
      <c r="AG18" s="55"/>
      <c r="AH18" s="56"/>
      <c r="AI18" s="56"/>
      <c r="AJ18" s="57"/>
      <c r="AK18" s="56"/>
      <c r="AL18" s="46">
        <v>18</v>
      </c>
      <c r="AM18" s="53" t="s">
        <v>941</v>
      </c>
      <c r="AN18" s="39"/>
      <c r="AO18" s="39"/>
      <c r="AP18" s="40"/>
    </row>
    <row r="19" spans="1:42" s="41" customFormat="1" ht="18.75" customHeight="1" x14ac:dyDescent="0.25">
      <c r="A19" s="47">
        <v>46189</v>
      </c>
      <c r="B19" s="43">
        <f t="shared" si="3"/>
        <v>46189</v>
      </c>
      <c r="C19" s="44" t="s">
        <v>814</v>
      </c>
      <c r="D19" s="48" t="s">
        <v>141</v>
      </c>
      <c r="E19" s="48">
        <v>3678</v>
      </c>
      <c r="F19" s="48">
        <v>1</v>
      </c>
      <c r="G19" s="48">
        <v>11111111</v>
      </c>
      <c r="H19" s="48" t="s">
        <v>143</v>
      </c>
      <c r="I19" s="45"/>
      <c r="J19" s="46">
        <f t="shared" si="4"/>
        <v>114.40677966101696</v>
      </c>
      <c r="K19" s="46"/>
      <c r="L19" s="46"/>
      <c r="M19" s="46"/>
      <c r="N19" s="46">
        <f t="shared" si="5"/>
        <v>20.593220338983052</v>
      </c>
      <c r="O19" s="46"/>
      <c r="P19" s="49">
        <v>135</v>
      </c>
      <c r="Q19" s="50"/>
      <c r="R19" s="43"/>
      <c r="S19" s="45"/>
      <c r="T19" s="44"/>
      <c r="U19" s="44"/>
      <c r="V19" s="51" t="s">
        <v>86</v>
      </c>
      <c r="W19" s="46"/>
      <c r="X19" s="47">
        <v>46189</v>
      </c>
      <c r="Y19" s="44" t="s">
        <v>87</v>
      </c>
      <c r="Z19" s="44"/>
      <c r="AA19" s="44"/>
      <c r="AB19" s="44" t="s">
        <v>813</v>
      </c>
      <c r="AC19" s="52"/>
      <c r="AD19" s="52">
        <v>1212</v>
      </c>
      <c r="AE19" s="54"/>
      <c r="AF19" s="55"/>
      <c r="AG19" s="55"/>
      <c r="AH19" s="56"/>
      <c r="AI19" s="56"/>
      <c r="AJ19" s="57"/>
      <c r="AK19" s="56"/>
      <c r="AL19" s="46">
        <v>18</v>
      </c>
      <c r="AM19" s="53" t="s">
        <v>941</v>
      </c>
      <c r="AN19" s="39"/>
      <c r="AO19" s="39"/>
      <c r="AP19" s="40"/>
    </row>
    <row r="20" spans="1:42" s="41" customFormat="1" ht="18.75" customHeight="1" x14ac:dyDescent="0.25">
      <c r="A20" s="47">
        <v>46189</v>
      </c>
      <c r="B20" s="43">
        <f t="shared" si="3"/>
        <v>46189</v>
      </c>
      <c r="C20" s="44" t="s">
        <v>814</v>
      </c>
      <c r="D20" s="48" t="s">
        <v>141</v>
      </c>
      <c r="E20" s="48">
        <v>3679</v>
      </c>
      <c r="F20" s="48">
        <v>1</v>
      </c>
      <c r="G20" s="48">
        <v>11111111</v>
      </c>
      <c r="H20" s="48" t="s">
        <v>143</v>
      </c>
      <c r="I20" s="45"/>
      <c r="J20" s="46">
        <f t="shared" si="4"/>
        <v>42.372881355932208</v>
      </c>
      <c r="K20" s="46"/>
      <c r="L20" s="46"/>
      <c r="M20" s="46"/>
      <c r="N20" s="46">
        <f t="shared" si="5"/>
        <v>7.6271186440677967</v>
      </c>
      <c r="O20" s="46"/>
      <c r="P20" s="49">
        <v>50</v>
      </c>
      <c r="Q20" s="50"/>
      <c r="R20" s="43"/>
      <c r="S20" s="45"/>
      <c r="T20" s="44"/>
      <c r="U20" s="44"/>
      <c r="V20" s="51" t="s">
        <v>86</v>
      </c>
      <c r="W20" s="46"/>
      <c r="X20" s="47">
        <v>46189</v>
      </c>
      <c r="Y20" s="44" t="s">
        <v>87</v>
      </c>
      <c r="Z20" s="44"/>
      <c r="AA20" s="44"/>
      <c r="AB20" s="44" t="s">
        <v>813</v>
      </c>
      <c r="AC20" s="52"/>
      <c r="AD20" s="52">
        <v>1212</v>
      </c>
      <c r="AE20" s="54"/>
      <c r="AF20" s="55"/>
      <c r="AG20" s="55"/>
      <c r="AH20" s="56"/>
      <c r="AI20" s="56"/>
      <c r="AJ20" s="57"/>
      <c r="AK20" s="56"/>
      <c r="AL20" s="46">
        <v>18</v>
      </c>
      <c r="AM20" s="53" t="s">
        <v>941</v>
      </c>
      <c r="AN20" s="39"/>
      <c r="AO20" s="39"/>
      <c r="AP20" s="40"/>
    </row>
    <row r="21" spans="1:42" s="41" customFormat="1" ht="18.75" customHeight="1" x14ac:dyDescent="0.25">
      <c r="A21" s="47">
        <v>46189</v>
      </c>
      <c r="B21" s="43">
        <f t="shared" si="3"/>
        <v>46189</v>
      </c>
      <c r="C21" s="44" t="s">
        <v>814</v>
      </c>
      <c r="D21" s="48" t="s">
        <v>141</v>
      </c>
      <c r="E21" s="48">
        <v>3680</v>
      </c>
      <c r="F21" s="48">
        <v>1</v>
      </c>
      <c r="G21" s="48">
        <v>11111111</v>
      </c>
      <c r="H21" s="48" t="s">
        <v>143</v>
      </c>
      <c r="I21" s="45"/>
      <c r="J21" s="46">
        <f t="shared" si="4"/>
        <v>77.966101694915253</v>
      </c>
      <c r="K21" s="46"/>
      <c r="L21" s="46"/>
      <c r="M21" s="46"/>
      <c r="N21" s="46">
        <f t="shared" si="5"/>
        <v>14.033898305084746</v>
      </c>
      <c r="O21" s="46"/>
      <c r="P21" s="49">
        <v>92</v>
      </c>
      <c r="Q21" s="50"/>
      <c r="R21" s="43"/>
      <c r="S21" s="45"/>
      <c r="T21" s="44"/>
      <c r="U21" s="44"/>
      <c r="V21" s="51" t="s">
        <v>86</v>
      </c>
      <c r="W21" s="46"/>
      <c r="X21" s="47">
        <v>46189</v>
      </c>
      <c r="Y21" s="44" t="s">
        <v>87</v>
      </c>
      <c r="Z21" s="44"/>
      <c r="AA21" s="44"/>
      <c r="AB21" s="44" t="s">
        <v>813</v>
      </c>
      <c r="AC21" s="52"/>
      <c r="AD21" s="52">
        <v>1212</v>
      </c>
      <c r="AE21" s="54"/>
      <c r="AF21" s="55"/>
      <c r="AG21" s="55"/>
      <c r="AH21" s="56"/>
      <c r="AI21" s="56"/>
      <c r="AJ21" s="57"/>
      <c r="AK21" s="56"/>
      <c r="AL21" s="46">
        <v>18</v>
      </c>
      <c r="AM21" s="53" t="s">
        <v>941</v>
      </c>
      <c r="AN21" s="39"/>
      <c r="AO21" s="39"/>
      <c r="AP21" s="40"/>
    </row>
    <row r="22" spans="1:42" s="41" customFormat="1" ht="18.75" customHeight="1" x14ac:dyDescent="0.25">
      <c r="A22" s="47">
        <v>46189</v>
      </c>
      <c r="B22" s="43">
        <f t="shared" si="3"/>
        <v>46189</v>
      </c>
      <c r="C22" s="44" t="s">
        <v>814</v>
      </c>
      <c r="D22" s="48" t="s">
        <v>141</v>
      </c>
      <c r="E22" s="48">
        <v>3681</v>
      </c>
      <c r="F22" s="48">
        <v>1</v>
      </c>
      <c r="G22" s="48">
        <v>11111111</v>
      </c>
      <c r="H22" s="48" t="s">
        <v>143</v>
      </c>
      <c r="I22" s="45"/>
      <c r="J22" s="46">
        <f t="shared" si="4"/>
        <v>364.40677966101697</v>
      </c>
      <c r="K22" s="46"/>
      <c r="L22" s="46"/>
      <c r="M22" s="46"/>
      <c r="N22" s="46">
        <f t="shared" si="5"/>
        <v>65.593220338983059</v>
      </c>
      <c r="O22" s="46"/>
      <c r="P22" s="49">
        <v>430</v>
      </c>
      <c r="Q22" s="50"/>
      <c r="R22" s="43"/>
      <c r="S22" s="45"/>
      <c r="T22" s="44"/>
      <c r="U22" s="44"/>
      <c r="V22" s="51" t="s">
        <v>86</v>
      </c>
      <c r="W22" s="46"/>
      <c r="X22" s="47">
        <v>46189</v>
      </c>
      <c r="Y22" s="44" t="s">
        <v>87</v>
      </c>
      <c r="Z22" s="44"/>
      <c r="AA22" s="44"/>
      <c r="AB22" s="44" t="s">
        <v>813</v>
      </c>
      <c r="AC22" s="52"/>
      <c r="AD22" s="52">
        <v>1212</v>
      </c>
      <c r="AE22" s="54"/>
      <c r="AF22" s="55"/>
      <c r="AG22" s="55"/>
      <c r="AH22" s="56"/>
      <c r="AI22" s="56"/>
      <c r="AJ22" s="57"/>
      <c r="AK22" s="56"/>
      <c r="AL22" s="46">
        <v>18</v>
      </c>
      <c r="AM22" s="53" t="s">
        <v>941</v>
      </c>
      <c r="AN22" s="39"/>
      <c r="AO22" s="39"/>
      <c r="AP22" s="40"/>
    </row>
    <row r="23" spans="1:42" s="41" customFormat="1" ht="18.75" customHeight="1" x14ac:dyDescent="0.25">
      <c r="A23" s="47">
        <v>46189</v>
      </c>
      <c r="B23" s="43">
        <f t="shared" si="3"/>
        <v>46189</v>
      </c>
      <c r="C23" s="44" t="s">
        <v>814</v>
      </c>
      <c r="D23" s="48" t="s">
        <v>141</v>
      </c>
      <c r="E23" s="48">
        <v>3682</v>
      </c>
      <c r="F23" s="48">
        <v>1</v>
      </c>
      <c r="G23" s="48">
        <v>11111111</v>
      </c>
      <c r="H23" s="48" t="s">
        <v>143</v>
      </c>
      <c r="I23" s="45"/>
      <c r="J23" s="46">
        <f t="shared" si="4"/>
        <v>42.372881355932208</v>
      </c>
      <c r="K23" s="46"/>
      <c r="L23" s="46"/>
      <c r="M23" s="46"/>
      <c r="N23" s="46">
        <f t="shared" si="5"/>
        <v>7.6271186440677967</v>
      </c>
      <c r="O23" s="46"/>
      <c r="P23" s="49">
        <v>50</v>
      </c>
      <c r="Q23" s="50"/>
      <c r="R23" s="43"/>
      <c r="S23" s="45"/>
      <c r="T23" s="44"/>
      <c r="U23" s="44"/>
      <c r="V23" s="51" t="s">
        <v>86</v>
      </c>
      <c r="W23" s="46"/>
      <c r="X23" s="47">
        <v>46189</v>
      </c>
      <c r="Y23" s="44" t="s">
        <v>87</v>
      </c>
      <c r="Z23" s="44"/>
      <c r="AA23" s="44"/>
      <c r="AB23" s="44" t="s">
        <v>813</v>
      </c>
      <c r="AC23" s="52"/>
      <c r="AD23" s="52">
        <v>1212</v>
      </c>
      <c r="AE23" s="54"/>
      <c r="AF23" s="55"/>
      <c r="AG23" s="55"/>
      <c r="AH23" s="56"/>
      <c r="AI23" s="56"/>
      <c r="AJ23" s="57"/>
      <c r="AK23" s="56"/>
      <c r="AL23" s="46">
        <v>18</v>
      </c>
      <c r="AM23" s="53" t="s">
        <v>941</v>
      </c>
      <c r="AN23" s="39"/>
      <c r="AO23" s="39"/>
      <c r="AP23" s="40"/>
    </row>
    <row r="24" spans="1:42" s="41" customFormat="1" ht="18.75" customHeight="1" x14ac:dyDescent="0.25">
      <c r="A24" s="47">
        <v>46189</v>
      </c>
      <c r="B24" s="43">
        <f t="shared" si="3"/>
        <v>46189</v>
      </c>
      <c r="C24" s="44" t="s">
        <v>814</v>
      </c>
      <c r="D24" s="48" t="s">
        <v>141</v>
      </c>
      <c r="E24" s="48">
        <v>3683</v>
      </c>
      <c r="F24" s="48">
        <v>1</v>
      </c>
      <c r="G24" s="48">
        <v>11111111</v>
      </c>
      <c r="H24" s="48" t="s">
        <v>143</v>
      </c>
      <c r="I24" s="45"/>
      <c r="J24" s="46">
        <f t="shared" si="4"/>
        <v>43.220338983050851</v>
      </c>
      <c r="K24" s="46"/>
      <c r="L24" s="46"/>
      <c r="M24" s="46"/>
      <c r="N24" s="46">
        <f t="shared" si="5"/>
        <v>7.7796610169491531</v>
      </c>
      <c r="O24" s="46"/>
      <c r="P24" s="49">
        <v>51</v>
      </c>
      <c r="Q24" s="50"/>
      <c r="R24" s="43"/>
      <c r="S24" s="45"/>
      <c r="T24" s="44"/>
      <c r="U24" s="44"/>
      <c r="V24" s="51" t="s">
        <v>86</v>
      </c>
      <c r="W24" s="46"/>
      <c r="X24" s="47">
        <v>46189</v>
      </c>
      <c r="Y24" s="44" t="s">
        <v>87</v>
      </c>
      <c r="Z24" s="44"/>
      <c r="AA24" s="44"/>
      <c r="AB24" s="44" t="s">
        <v>813</v>
      </c>
      <c r="AC24" s="52"/>
      <c r="AD24" s="52">
        <v>1212</v>
      </c>
      <c r="AE24" s="54"/>
      <c r="AF24" s="55"/>
      <c r="AG24" s="55"/>
      <c r="AH24" s="56"/>
      <c r="AI24" s="56"/>
      <c r="AJ24" s="57"/>
      <c r="AK24" s="56"/>
      <c r="AL24" s="46">
        <v>18</v>
      </c>
      <c r="AM24" s="53" t="s">
        <v>941</v>
      </c>
      <c r="AN24" s="39"/>
      <c r="AO24" s="39"/>
      <c r="AP24" s="40"/>
    </row>
    <row r="25" spans="1:42" s="41" customFormat="1" ht="18.75" customHeight="1" x14ac:dyDescent="0.25">
      <c r="A25" s="47">
        <v>46189</v>
      </c>
      <c r="B25" s="43">
        <f t="shared" si="3"/>
        <v>46189</v>
      </c>
      <c r="C25" s="44" t="s">
        <v>814</v>
      </c>
      <c r="D25" s="48" t="s">
        <v>141</v>
      </c>
      <c r="E25" s="48">
        <v>3684</v>
      </c>
      <c r="F25" s="48">
        <v>1</v>
      </c>
      <c r="G25" s="48">
        <v>11111111</v>
      </c>
      <c r="H25" s="48" t="s">
        <v>143</v>
      </c>
      <c r="I25" s="45"/>
      <c r="J25" s="46">
        <f t="shared" si="4"/>
        <v>81.355932203389841</v>
      </c>
      <c r="K25" s="46"/>
      <c r="L25" s="46"/>
      <c r="M25" s="46"/>
      <c r="N25" s="46">
        <f t="shared" si="5"/>
        <v>14.644067796610171</v>
      </c>
      <c r="O25" s="46"/>
      <c r="P25" s="49">
        <v>96</v>
      </c>
      <c r="Q25" s="50"/>
      <c r="R25" s="43"/>
      <c r="S25" s="45"/>
      <c r="T25" s="44"/>
      <c r="U25" s="44"/>
      <c r="V25" s="51" t="s">
        <v>86</v>
      </c>
      <c r="W25" s="46"/>
      <c r="X25" s="47">
        <v>46189</v>
      </c>
      <c r="Y25" s="44" t="s">
        <v>87</v>
      </c>
      <c r="Z25" s="44"/>
      <c r="AA25" s="44"/>
      <c r="AB25" s="44" t="s">
        <v>813</v>
      </c>
      <c r="AC25" s="52"/>
      <c r="AD25" s="52">
        <v>1212</v>
      </c>
      <c r="AE25" s="54"/>
      <c r="AF25" s="55"/>
      <c r="AG25" s="55"/>
      <c r="AH25" s="56"/>
      <c r="AI25" s="56"/>
      <c r="AJ25" s="57"/>
      <c r="AK25" s="56"/>
      <c r="AL25" s="46">
        <v>18</v>
      </c>
      <c r="AM25" s="53" t="s">
        <v>941</v>
      </c>
      <c r="AN25" s="39"/>
      <c r="AO25" s="39"/>
      <c r="AP25" s="40"/>
    </row>
    <row r="26" spans="1:42" s="41" customFormat="1" ht="18.75" customHeight="1" x14ac:dyDescent="0.25">
      <c r="A26" s="47">
        <v>46190</v>
      </c>
      <c r="B26" s="43">
        <f t="shared" si="3"/>
        <v>46190</v>
      </c>
      <c r="C26" s="44" t="s">
        <v>814</v>
      </c>
      <c r="D26" s="48" t="s">
        <v>141</v>
      </c>
      <c r="E26" s="48">
        <v>3675</v>
      </c>
      <c r="F26" s="48">
        <v>1</v>
      </c>
      <c r="G26" s="48">
        <v>11111111</v>
      </c>
      <c r="H26" s="48" t="s">
        <v>143</v>
      </c>
      <c r="I26" s="45"/>
      <c r="J26" s="46">
        <f t="shared" si="4"/>
        <v>44.067796610169495</v>
      </c>
      <c r="K26" s="46"/>
      <c r="L26" s="46"/>
      <c r="M26" s="46"/>
      <c r="N26" s="46">
        <f t="shared" si="5"/>
        <v>7.9322033898305087</v>
      </c>
      <c r="O26" s="46"/>
      <c r="P26" s="49">
        <v>52</v>
      </c>
      <c r="Q26" s="50"/>
      <c r="R26" s="43"/>
      <c r="S26" s="45"/>
      <c r="T26" s="44"/>
      <c r="U26" s="44"/>
      <c r="V26" s="51" t="s">
        <v>86</v>
      </c>
      <c r="W26" s="46"/>
      <c r="X26" s="47">
        <v>46190</v>
      </c>
      <c r="Y26" s="44" t="s">
        <v>87</v>
      </c>
      <c r="Z26" s="44"/>
      <c r="AA26" s="44"/>
      <c r="AB26" s="44" t="s">
        <v>813</v>
      </c>
      <c r="AC26" s="52"/>
      <c r="AD26" s="52">
        <v>1212</v>
      </c>
      <c r="AE26" s="54"/>
      <c r="AF26" s="55"/>
      <c r="AG26" s="55"/>
      <c r="AH26" s="56"/>
      <c r="AI26" s="56"/>
      <c r="AJ26" s="57"/>
      <c r="AK26" s="56"/>
      <c r="AL26" s="46">
        <v>18</v>
      </c>
      <c r="AM26" s="53" t="s">
        <v>941</v>
      </c>
      <c r="AN26" s="39"/>
      <c r="AO26" s="39"/>
      <c r="AP26" s="40"/>
    </row>
    <row r="27" spans="1:42" s="41" customFormat="1" ht="18.75" customHeight="1" x14ac:dyDescent="0.25">
      <c r="A27" s="47">
        <v>46190</v>
      </c>
      <c r="B27" s="43">
        <f t="shared" si="3"/>
        <v>46190</v>
      </c>
      <c r="C27" s="44" t="s">
        <v>814</v>
      </c>
      <c r="D27" s="48" t="s">
        <v>141</v>
      </c>
      <c r="E27" s="48">
        <v>3685</v>
      </c>
      <c r="F27" s="48">
        <v>1</v>
      </c>
      <c r="G27" s="48">
        <v>11111111</v>
      </c>
      <c r="H27" s="48" t="s">
        <v>143</v>
      </c>
      <c r="I27" s="45"/>
      <c r="J27" s="46">
        <f t="shared" si="4"/>
        <v>43.220338983050851</v>
      </c>
      <c r="K27" s="46"/>
      <c r="L27" s="46"/>
      <c r="M27" s="46"/>
      <c r="N27" s="46">
        <f t="shared" si="5"/>
        <v>7.7796610169491531</v>
      </c>
      <c r="O27" s="46"/>
      <c r="P27" s="49">
        <v>51</v>
      </c>
      <c r="Q27" s="50"/>
      <c r="R27" s="43"/>
      <c r="S27" s="45"/>
      <c r="T27" s="44"/>
      <c r="U27" s="44"/>
      <c r="V27" s="51" t="s">
        <v>86</v>
      </c>
      <c r="W27" s="46"/>
      <c r="X27" s="47">
        <v>46190</v>
      </c>
      <c r="Y27" s="44" t="s">
        <v>87</v>
      </c>
      <c r="Z27" s="44"/>
      <c r="AA27" s="44"/>
      <c r="AB27" s="44" t="s">
        <v>813</v>
      </c>
      <c r="AC27" s="52"/>
      <c r="AD27" s="52">
        <v>1212</v>
      </c>
      <c r="AE27" s="54"/>
      <c r="AF27" s="55"/>
      <c r="AG27" s="55"/>
      <c r="AH27" s="56"/>
      <c r="AI27" s="56"/>
      <c r="AJ27" s="57"/>
      <c r="AK27" s="56"/>
      <c r="AL27" s="46">
        <v>18</v>
      </c>
      <c r="AM27" s="53" t="s">
        <v>941</v>
      </c>
      <c r="AN27" s="39"/>
      <c r="AO27" s="39"/>
      <c r="AP27" s="40"/>
    </row>
    <row r="28" spans="1:42" s="41" customFormat="1" ht="18.75" customHeight="1" x14ac:dyDescent="0.25">
      <c r="A28" s="47">
        <v>46190</v>
      </c>
      <c r="B28" s="43">
        <f t="shared" si="3"/>
        <v>46190</v>
      </c>
      <c r="C28" s="44" t="s">
        <v>814</v>
      </c>
      <c r="D28" s="48" t="s">
        <v>141</v>
      </c>
      <c r="E28" s="48">
        <v>3686</v>
      </c>
      <c r="F28" s="48">
        <v>1</v>
      </c>
      <c r="G28" s="48">
        <v>11111111</v>
      </c>
      <c r="H28" s="48" t="s">
        <v>143</v>
      </c>
      <c r="I28" s="45"/>
      <c r="J28" s="46">
        <f t="shared" si="4"/>
        <v>79.66101694915254</v>
      </c>
      <c r="K28" s="46"/>
      <c r="L28" s="46"/>
      <c r="M28" s="46"/>
      <c r="N28" s="46">
        <f t="shared" si="5"/>
        <v>14.338983050847457</v>
      </c>
      <c r="O28" s="46"/>
      <c r="P28" s="49">
        <v>94</v>
      </c>
      <c r="Q28" s="50"/>
      <c r="R28" s="43"/>
      <c r="S28" s="45"/>
      <c r="T28" s="44"/>
      <c r="U28" s="44"/>
      <c r="V28" s="51" t="s">
        <v>86</v>
      </c>
      <c r="W28" s="46"/>
      <c r="X28" s="47">
        <v>46190</v>
      </c>
      <c r="Y28" s="44" t="s">
        <v>87</v>
      </c>
      <c r="Z28" s="44"/>
      <c r="AA28" s="44"/>
      <c r="AB28" s="44" t="s">
        <v>813</v>
      </c>
      <c r="AC28" s="52"/>
      <c r="AD28" s="52">
        <v>1212</v>
      </c>
      <c r="AE28" s="54"/>
      <c r="AF28" s="55"/>
      <c r="AG28" s="55"/>
      <c r="AH28" s="56"/>
      <c r="AI28" s="56"/>
      <c r="AJ28" s="57"/>
      <c r="AK28" s="56"/>
      <c r="AL28" s="46">
        <v>18</v>
      </c>
      <c r="AM28" s="53" t="s">
        <v>941</v>
      </c>
      <c r="AN28" s="39"/>
      <c r="AO28" s="39"/>
      <c r="AP28" s="40"/>
    </row>
    <row r="29" spans="1:42" s="41" customFormat="1" ht="18.75" customHeight="1" x14ac:dyDescent="0.25">
      <c r="A29" s="47">
        <v>46190</v>
      </c>
      <c r="B29" s="43">
        <f t="shared" si="3"/>
        <v>46190</v>
      </c>
      <c r="C29" s="44" t="s">
        <v>814</v>
      </c>
      <c r="D29" s="48" t="s">
        <v>141</v>
      </c>
      <c r="E29" s="48">
        <v>3687</v>
      </c>
      <c r="F29" s="48">
        <v>1</v>
      </c>
      <c r="G29" s="48">
        <v>11111111</v>
      </c>
      <c r="H29" s="48" t="s">
        <v>143</v>
      </c>
      <c r="I29" s="45"/>
      <c r="J29" s="46">
        <f t="shared" si="4"/>
        <v>114.40677966101696</v>
      </c>
      <c r="K29" s="46"/>
      <c r="L29" s="46"/>
      <c r="M29" s="46"/>
      <c r="N29" s="46">
        <f t="shared" si="5"/>
        <v>20.593220338983052</v>
      </c>
      <c r="O29" s="46"/>
      <c r="P29" s="49">
        <v>135</v>
      </c>
      <c r="Q29" s="50"/>
      <c r="R29" s="43"/>
      <c r="S29" s="45"/>
      <c r="T29" s="44"/>
      <c r="U29" s="44"/>
      <c r="V29" s="51" t="s">
        <v>86</v>
      </c>
      <c r="W29" s="46"/>
      <c r="X29" s="47">
        <v>46190</v>
      </c>
      <c r="Y29" s="44" t="s">
        <v>87</v>
      </c>
      <c r="Z29" s="44"/>
      <c r="AA29" s="44"/>
      <c r="AB29" s="44" t="s">
        <v>813</v>
      </c>
      <c r="AC29" s="52"/>
      <c r="AD29" s="52">
        <v>1212</v>
      </c>
      <c r="AE29" s="54"/>
      <c r="AF29" s="55"/>
      <c r="AG29" s="55"/>
      <c r="AH29" s="56"/>
      <c r="AI29" s="56"/>
      <c r="AJ29" s="57"/>
      <c r="AK29" s="56"/>
      <c r="AL29" s="46">
        <v>18</v>
      </c>
      <c r="AM29" s="53" t="s">
        <v>941</v>
      </c>
      <c r="AN29" s="39"/>
      <c r="AO29" s="39"/>
      <c r="AP29" s="40"/>
    </row>
    <row r="30" spans="1:42" s="41" customFormat="1" ht="18.75" customHeight="1" x14ac:dyDescent="0.25">
      <c r="A30" s="47">
        <v>46190</v>
      </c>
      <c r="B30" s="43">
        <f t="shared" si="3"/>
        <v>46190</v>
      </c>
      <c r="C30" s="44" t="s">
        <v>814</v>
      </c>
      <c r="D30" s="48" t="s">
        <v>141</v>
      </c>
      <c r="E30" s="48">
        <v>3688</v>
      </c>
      <c r="F30" s="48">
        <v>1</v>
      </c>
      <c r="G30" s="48">
        <v>11111111</v>
      </c>
      <c r="H30" s="48" t="s">
        <v>143</v>
      </c>
      <c r="I30" s="45"/>
      <c r="J30" s="46">
        <f t="shared" si="4"/>
        <v>42.372881355932208</v>
      </c>
      <c r="K30" s="46"/>
      <c r="L30" s="46"/>
      <c r="M30" s="46"/>
      <c r="N30" s="46">
        <f t="shared" si="5"/>
        <v>7.6271186440677967</v>
      </c>
      <c r="O30" s="46"/>
      <c r="P30" s="49">
        <v>50</v>
      </c>
      <c r="Q30" s="50"/>
      <c r="R30" s="43"/>
      <c r="S30" s="45"/>
      <c r="T30" s="44"/>
      <c r="U30" s="44"/>
      <c r="V30" s="51" t="s">
        <v>86</v>
      </c>
      <c r="W30" s="46"/>
      <c r="X30" s="47">
        <v>46190</v>
      </c>
      <c r="Y30" s="44" t="s">
        <v>87</v>
      </c>
      <c r="Z30" s="44"/>
      <c r="AA30" s="44"/>
      <c r="AB30" s="44" t="s">
        <v>813</v>
      </c>
      <c r="AC30" s="52"/>
      <c r="AD30" s="52">
        <v>1212</v>
      </c>
      <c r="AE30" s="54"/>
      <c r="AF30" s="55"/>
      <c r="AG30" s="55"/>
      <c r="AH30" s="56"/>
      <c r="AI30" s="56"/>
      <c r="AJ30" s="57"/>
      <c r="AK30" s="56"/>
      <c r="AL30" s="46">
        <v>18</v>
      </c>
      <c r="AM30" s="53" t="s">
        <v>941</v>
      </c>
      <c r="AN30" s="39"/>
      <c r="AO30" s="39"/>
      <c r="AP30" s="40"/>
    </row>
    <row r="31" spans="1:42" s="41" customFormat="1" ht="18.75" customHeight="1" x14ac:dyDescent="0.25">
      <c r="A31" s="47">
        <v>46190</v>
      </c>
      <c r="B31" s="43">
        <f t="shared" si="3"/>
        <v>46190</v>
      </c>
      <c r="C31" s="44" t="s">
        <v>814</v>
      </c>
      <c r="D31" s="48" t="s">
        <v>141</v>
      </c>
      <c r="E31" s="48">
        <v>3689</v>
      </c>
      <c r="F31" s="48">
        <v>1</v>
      </c>
      <c r="G31" s="48">
        <v>11111111</v>
      </c>
      <c r="H31" s="48" t="s">
        <v>143</v>
      </c>
      <c r="I31" s="45"/>
      <c r="J31" s="46">
        <f t="shared" si="4"/>
        <v>186.4406779661017</v>
      </c>
      <c r="K31" s="46"/>
      <c r="L31" s="46"/>
      <c r="M31" s="46"/>
      <c r="N31" s="46">
        <f t="shared" si="5"/>
        <v>33.559322033898304</v>
      </c>
      <c r="O31" s="46"/>
      <c r="P31" s="49">
        <v>220</v>
      </c>
      <c r="Q31" s="50"/>
      <c r="R31" s="43"/>
      <c r="S31" s="45"/>
      <c r="T31" s="44"/>
      <c r="U31" s="44"/>
      <c r="V31" s="51" t="s">
        <v>86</v>
      </c>
      <c r="W31" s="46"/>
      <c r="X31" s="47">
        <v>46190</v>
      </c>
      <c r="Y31" s="44" t="s">
        <v>87</v>
      </c>
      <c r="Z31" s="44"/>
      <c r="AA31" s="44"/>
      <c r="AB31" s="44" t="s">
        <v>813</v>
      </c>
      <c r="AC31" s="52"/>
      <c r="AD31" s="52">
        <v>1212</v>
      </c>
      <c r="AE31" s="54"/>
      <c r="AF31" s="55"/>
      <c r="AG31" s="55"/>
      <c r="AH31" s="56"/>
      <c r="AI31" s="56"/>
      <c r="AJ31" s="57"/>
      <c r="AK31" s="56"/>
      <c r="AL31" s="46">
        <v>18</v>
      </c>
      <c r="AM31" s="53" t="s">
        <v>941</v>
      </c>
      <c r="AN31" s="39"/>
      <c r="AO31" s="39"/>
      <c r="AP31" s="40"/>
    </row>
    <row r="32" spans="1:42" s="41" customFormat="1" ht="18.75" customHeight="1" x14ac:dyDescent="0.25">
      <c r="A32" s="47">
        <v>46190</v>
      </c>
      <c r="B32" s="43">
        <f t="shared" si="3"/>
        <v>46190</v>
      </c>
      <c r="C32" s="44" t="s">
        <v>814</v>
      </c>
      <c r="D32" s="48" t="s">
        <v>141</v>
      </c>
      <c r="E32" s="48">
        <v>3690</v>
      </c>
      <c r="F32" s="48">
        <v>1</v>
      </c>
      <c r="G32" s="48">
        <v>11111111</v>
      </c>
      <c r="H32" s="48" t="s">
        <v>143</v>
      </c>
      <c r="I32" s="45"/>
      <c r="J32" s="46">
        <f t="shared" si="4"/>
        <v>43.220338983050851</v>
      </c>
      <c r="K32" s="46"/>
      <c r="L32" s="46"/>
      <c r="M32" s="46"/>
      <c r="N32" s="46">
        <f t="shared" si="5"/>
        <v>7.7796610169491531</v>
      </c>
      <c r="O32" s="46"/>
      <c r="P32" s="49">
        <v>51</v>
      </c>
      <c r="Q32" s="50"/>
      <c r="R32" s="43"/>
      <c r="S32" s="45"/>
      <c r="T32" s="44"/>
      <c r="U32" s="44"/>
      <c r="V32" s="51" t="s">
        <v>86</v>
      </c>
      <c r="W32" s="46"/>
      <c r="X32" s="47">
        <v>46190</v>
      </c>
      <c r="Y32" s="44" t="s">
        <v>87</v>
      </c>
      <c r="Z32" s="44"/>
      <c r="AA32" s="44"/>
      <c r="AB32" s="44" t="s">
        <v>813</v>
      </c>
      <c r="AC32" s="52"/>
      <c r="AD32" s="52">
        <v>1212</v>
      </c>
      <c r="AE32" s="54"/>
      <c r="AF32" s="55"/>
      <c r="AG32" s="55"/>
      <c r="AH32" s="56"/>
      <c r="AI32" s="56"/>
      <c r="AJ32" s="57"/>
      <c r="AK32" s="56"/>
      <c r="AL32" s="46">
        <v>18</v>
      </c>
      <c r="AM32" s="53" t="s">
        <v>941</v>
      </c>
      <c r="AN32" s="39"/>
      <c r="AO32" s="39"/>
      <c r="AP32" s="40"/>
    </row>
    <row r="33" spans="1:42" s="41" customFormat="1" ht="18.75" customHeight="1" x14ac:dyDescent="0.25">
      <c r="A33" s="47">
        <v>46190</v>
      </c>
      <c r="B33" s="43">
        <f t="shared" si="3"/>
        <v>46190</v>
      </c>
      <c r="C33" s="44" t="s">
        <v>814</v>
      </c>
      <c r="D33" s="48" t="s">
        <v>141</v>
      </c>
      <c r="E33" s="48">
        <v>3691</v>
      </c>
      <c r="F33" s="48">
        <v>1</v>
      </c>
      <c r="G33" s="48">
        <v>11111111</v>
      </c>
      <c r="H33" s="48" t="s">
        <v>143</v>
      </c>
      <c r="I33" s="45"/>
      <c r="J33" s="46">
        <f t="shared" si="4"/>
        <v>152.54237288135593</v>
      </c>
      <c r="K33" s="46"/>
      <c r="L33" s="46"/>
      <c r="M33" s="46"/>
      <c r="N33" s="46">
        <f t="shared" si="5"/>
        <v>27.457627118644066</v>
      </c>
      <c r="O33" s="46"/>
      <c r="P33" s="49">
        <v>180</v>
      </c>
      <c r="Q33" s="50"/>
      <c r="R33" s="43"/>
      <c r="S33" s="45"/>
      <c r="T33" s="44"/>
      <c r="U33" s="44"/>
      <c r="V33" s="51" t="s">
        <v>86</v>
      </c>
      <c r="W33" s="46"/>
      <c r="X33" s="47">
        <v>46190</v>
      </c>
      <c r="Y33" s="44" t="s">
        <v>87</v>
      </c>
      <c r="Z33" s="44"/>
      <c r="AA33" s="44"/>
      <c r="AB33" s="44" t="s">
        <v>813</v>
      </c>
      <c r="AC33" s="52"/>
      <c r="AD33" s="52">
        <v>1212</v>
      </c>
      <c r="AE33" s="54"/>
      <c r="AF33" s="55"/>
      <c r="AG33" s="55"/>
      <c r="AH33" s="56"/>
      <c r="AI33" s="56"/>
      <c r="AJ33" s="57"/>
      <c r="AK33" s="56"/>
      <c r="AL33" s="46">
        <v>18</v>
      </c>
      <c r="AM33" s="53" t="s">
        <v>941</v>
      </c>
      <c r="AN33" s="39"/>
      <c r="AO33" s="39"/>
      <c r="AP33" s="40"/>
    </row>
    <row r="34" spans="1:42" s="41" customFormat="1" ht="18.75" customHeight="1" x14ac:dyDescent="0.25">
      <c r="A34" s="47">
        <v>46190</v>
      </c>
      <c r="B34" s="43">
        <f t="shared" si="3"/>
        <v>46190</v>
      </c>
      <c r="C34" s="44" t="s">
        <v>814</v>
      </c>
      <c r="D34" s="48" t="s">
        <v>141</v>
      </c>
      <c r="E34" s="48">
        <v>3692</v>
      </c>
      <c r="F34" s="48">
        <v>1</v>
      </c>
      <c r="G34" s="48">
        <v>11111111</v>
      </c>
      <c r="H34" s="48" t="s">
        <v>143</v>
      </c>
      <c r="I34" s="45"/>
      <c r="J34" s="46">
        <f t="shared" si="4"/>
        <v>79.66101694915254</v>
      </c>
      <c r="K34" s="46"/>
      <c r="L34" s="46"/>
      <c r="M34" s="46"/>
      <c r="N34" s="46">
        <f t="shared" si="5"/>
        <v>14.338983050847457</v>
      </c>
      <c r="O34" s="46"/>
      <c r="P34" s="49">
        <v>94</v>
      </c>
      <c r="Q34" s="50"/>
      <c r="R34" s="43"/>
      <c r="S34" s="45"/>
      <c r="T34" s="44"/>
      <c r="U34" s="44"/>
      <c r="V34" s="51" t="s">
        <v>86</v>
      </c>
      <c r="W34" s="46"/>
      <c r="X34" s="47">
        <v>46190</v>
      </c>
      <c r="Y34" s="44" t="s">
        <v>87</v>
      </c>
      <c r="Z34" s="44"/>
      <c r="AA34" s="44"/>
      <c r="AB34" s="44" t="s">
        <v>813</v>
      </c>
      <c r="AC34" s="52"/>
      <c r="AD34" s="52">
        <v>1212</v>
      </c>
      <c r="AE34" s="54"/>
      <c r="AF34" s="55"/>
      <c r="AG34" s="55"/>
      <c r="AH34" s="56"/>
      <c r="AI34" s="56"/>
      <c r="AJ34" s="57"/>
      <c r="AK34" s="56"/>
      <c r="AL34" s="46">
        <v>18</v>
      </c>
      <c r="AM34" s="53" t="s">
        <v>941</v>
      </c>
      <c r="AN34" s="39"/>
      <c r="AO34" s="39"/>
      <c r="AP34" s="40"/>
    </row>
    <row r="35" spans="1:42" s="41" customFormat="1" ht="18.75" customHeight="1" x14ac:dyDescent="0.25">
      <c r="A35" s="47">
        <v>46190</v>
      </c>
      <c r="B35" s="43">
        <f t="shared" si="3"/>
        <v>46190</v>
      </c>
      <c r="C35" s="44" t="s">
        <v>814</v>
      </c>
      <c r="D35" s="48" t="s">
        <v>141</v>
      </c>
      <c r="E35" s="48">
        <v>3693</v>
      </c>
      <c r="F35" s="48">
        <v>1</v>
      </c>
      <c r="G35" s="48">
        <v>11111111</v>
      </c>
      <c r="H35" s="48" t="s">
        <v>143</v>
      </c>
      <c r="I35" s="45"/>
      <c r="J35" s="46">
        <f t="shared" si="4"/>
        <v>43.220338983050851</v>
      </c>
      <c r="K35" s="46"/>
      <c r="L35" s="46"/>
      <c r="M35" s="46"/>
      <c r="N35" s="46">
        <f t="shared" si="5"/>
        <v>7.7796610169491531</v>
      </c>
      <c r="O35" s="46"/>
      <c r="P35" s="49">
        <v>51</v>
      </c>
      <c r="Q35" s="50"/>
      <c r="R35" s="43"/>
      <c r="S35" s="45"/>
      <c r="T35" s="44"/>
      <c r="U35" s="44"/>
      <c r="V35" s="51" t="s">
        <v>86</v>
      </c>
      <c r="W35" s="46"/>
      <c r="X35" s="47">
        <v>46190</v>
      </c>
      <c r="Y35" s="44" t="s">
        <v>87</v>
      </c>
      <c r="Z35" s="44"/>
      <c r="AA35" s="44"/>
      <c r="AB35" s="44" t="s">
        <v>813</v>
      </c>
      <c r="AC35" s="52"/>
      <c r="AD35" s="52">
        <v>1212</v>
      </c>
      <c r="AE35" s="54"/>
      <c r="AF35" s="55"/>
      <c r="AG35" s="55"/>
      <c r="AH35" s="56"/>
      <c r="AI35" s="56"/>
      <c r="AJ35" s="57"/>
      <c r="AK35" s="56"/>
      <c r="AL35" s="46">
        <v>18</v>
      </c>
      <c r="AM35" s="53" t="s">
        <v>941</v>
      </c>
      <c r="AN35" s="39"/>
      <c r="AO35" s="39"/>
      <c r="AP35" s="40"/>
    </row>
    <row r="36" spans="1:42" s="41" customFormat="1" ht="18.75" customHeight="1" x14ac:dyDescent="0.25">
      <c r="A36" s="47">
        <v>46190</v>
      </c>
      <c r="B36" s="43">
        <f t="shared" si="3"/>
        <v>46190</v>
      </c>
      <c r="C36" s="44" t="s">
        <v>814</v>
      </c>
      <c r="D36" s="48" t="s">
        <v>141</v>
      </c>
      <c r="E36" s="48">
        <v>3694</v>
      </c>
      <c r="F36" s="48">
        <v>1</v>
      </c>
      <c r="G36" s="48">
        <v>11111111</v>
      </c>
      <c r="H36" s="48" t="s">
        <v>143</v>
      </c>
      <c r="I36" s="45"/>
      <c r="J36" s="46">
        <f t="shared" si="4"/>
        <v>83.050847457627128</v>
      </c>
      <c r="K36" s="46"/>
      <c r="L36" s="46"/>
      <c r="M36" s="46"/>
      <c r="N36" s="46">
        <f t="shared" si="5"/>
        <v>14.949152542372882</v>
      </c>
      <c r="O36" s="46"/>
      <c r="P36" s="49">
        <v>98</v>
      </c>
      <c r="Q36" s="50"/>
      <c r="R36" s="43"/>
      <c r="S36" s="45"/>
      <c r="T36" s="44"/>
      <c r="U36" s="44"/>
      <c r="V36" s="51" t="s">
        <v>86</v>
      </c>
      <c r="W36" s="46"/>
      <c r="X36" s="47">
        <v>46190</v>
      </c>
      <c r="Y36" s="44" t="s">
        <v>87</v>
      </c>
      <c r="Z36" s="44"/>
      <c r="AA36" s="44"/>
      <c r="AB36" s="44" t="s">
        <v>813</v>
      </c>
      <c r="AC36" s="52"/>
      <c r="AD36" s="52">
        <v>1212</v>
      </c>
      <c r="AE36" s="54"/>
      <c r="AF36" s="55"/>
      <c r="AG36" s="55"/>
      <c r="AH36" s="56"/>
      <c r="AI36" s="56"/>
      <c r="AJ36" s="57"/>
      <c r="AK36" s="56"/>
      <c r="AL36" s="46">
        <v>18</v>
      </c>
      <c r="AM36" s="53" t="s">
        <v>941</v>
      </c>
      <c r="AN36" s="39"/>
      <c r="AO36" s="39"/>
      <c r="AP36" s="40"/>
    </row>
    <row r="37" spans="1:42" s="41" customFormat="1" ht="18.75" customHeight="1" x14ac:dyDescent="0.25">
      <c r="A37" s="47">
        <v>46190</v>
      </c>
      <c r="B37" s="43">
        <f t="shared" si="3"/>
        <v>46190</v>
      </c>
      <c r="C37" s="44" t="s">
        <v>814</v>
      </c>
      <c r="D37" s="48" t="s">
        <v>141</v>
      </c>
      <c r="E37" s="48">
        <v>3695</v>
      </c>
      <c r="F37" s="48">
        <v>1</v>
      </c>
      <c r="G37" s="48">
        <v>11111111</v>
      </c>
      <c r="H37" s="48" t="s">
        <v>143</v>
      </c>
      <c r="I37" s="45"/>
      <c r="J37" s="46">
        <f t="shared" si="4"/>
        <v>114.40677966101696</v>
      </c>
      <c r="K37" s="46"/>
      <c r="L37" s="46"/>
      <c r="M37" s="46"/>
      <c r="N37" s="46">
        <f t="shared" si="5"/>
        <v>20.593220338983052</v>
      </c>
      <c r="O37" s="46"/>
      <c r="P37" s="49">
        <v>135</v>
      </c>
      <c r="Q37" s="50"/>
      <c r="R37" s="43"/>
      <c r="S37" s="45"/>
      <c r="T37" s="44"/>
      <c r="U37" s="44"/>
      <c r="V37" s="51" t="s">
        <v>86</v>
      </c>
      <c r="W37" s="46"/>
      <c r="X37" s="47">
        <v>46190</v>
      </c>
      <c r="Y37" s="44" t="s">
        <v>87</v>
      </c>
      <c r="Z37" s="44"/>
      <c r="AA37" s="44"/>
      <c r="AB37" s="44" t="s">
        <v>813</v>
      </c>
      <c r="AC37" s="52"/>
      <c r="AD37" s="52">
        <v>1212</v>
      </c>
      <c r="AE37" s="54"/>
      <c r="AF37" s="55"/>
      <c r="AG37" s="55"/>
      <c r="AH37" s="56"/>
      <c r="AI37" s="56"/>
      <c r="AJ37" s="57"/>
      <c r="AK37" s="56"/>
      <c r="AL37" s="46">
        <v>18</v>
      </c>
      <c r="AM37" s="53" t="s">
        <v>941</v>
      </c>
      <c r="AN37" s="39"/>
      <c r="AO37" s="39"/>
      <c r="AP37" s="40"/>
    </row>
    <row r="38" spans="1:42" s="41" customFormat="1" ht="18.75" customHeight="1" x14ac:dyDescent="0.25">
      <c r="A38" s="47">
        <v>46190</v>
      </c>
      <c r="B38" s="43">
        <f t="shared" si="3"/>
        <v>46190</v>
      </c>
      <c r="C38" s="44" t="s">
        <v>814</v>
      </c>
      <c r="D38" s="48" t="s">
        <v>141</v>
      </c>
      <c r="E38" s="48">
        <v>3696</v>
      </c>
      <c r="F38" s="48">
        <v>1</v>
      </c>
      <c r="G38" s="48">
        <v>11111111</v>
      </c>
      <c r="H38" s="48" t="s">
        <v>143</v>
      </c>
      <c r="I38" s="45"/>
      <c r="J38" s="46">
        <f t="shared" si="4"/>
        <v>145.76271186440678</v>
      </c>
      <c r="K38" s="46"/>
      <c r="L38" s="46"/>
      <c r="M38" s="46"/>
      <c r="N38" s="46">
        <f t="shared" si="5"/>
        <v>26.237288135593221</v>
      </c>
      <c r="O38" s="46"/>
      <c r="P38" s="49">
        <v>172</v>
      </c>
      <c r="Q38" s="50"/>
      <c r="R38" s="43"/>
      <c r="S38" s="45"/>
      <c r="T38" s="44"/>
      <c r="U38" s="44"/>
      <c r="V38" s="51" t="s">
        <v>86</v>
      </c>
      <c r="W38" s="46"/>
      <c r="X38" s="47">
        <v>46190</v>
      </c>
      <c r="Y38" s="44" t="s">
        <v>87</v>
      </c>
      <c r="Z38" s="44"/>
      <c r="AA38" s="44"/>
      <c r="AB38" s="44" t="s">
        <v>813</v>
      </c>
      <c r="AC38" s="52"/>
      <c r="AD38" s="52">
        <v>1212</v>
      </c>
      <c r="AE38" s="54"/>
      <c r="AF38" s="55"/>
      <c r="AG38" s="55"/>
      <c r="AH38" s="56"/>
      <c r="AI38" s="56"/>
      <c r="AJ38" s="57"/>
      <c r="AK38" s="56"/>
      <c r="AL38" s="46">
        <v>18</v>
      </c>
      <c r="AM38" s="53" t="s">
        <v>941</v>
      </c>
      <c r="AN38" s="39"/>
      <c r="AO38" s="39"/>
      <c r="AP38" s="40"/>
    </row>
    <row r="39" spans="1:42" s="41" customFormat="1" ht="18.75" customHeight="1" x14ac:dyDescent="0.25">
      <c r="A39" s="47">
        <v>46190</v>
      </c>
      <c r="B39" s="43">
        <f t="shared" si="3"/>
        <v>46190</v>
      </c>
      <c r="C39" s="44" t="s">
        <v>814</v>
      </c>
      <c r="D39" s="48" t="s">
        <v>141</v>
      </c>
      <c r="E39" s="48">
        <v>3697</v>
      </c>
      <c r="F39" s="48">
        <v>1</v>
      </c>
      <c r="G39" s="48">
        <v>11111111</v>
      </c>
      <c r="H39" s="48" t="s">
        <v>143</v>
      </c>
      <c r="I39" s="45"/>
      <c r="J39" s="46">
        <f t="shared" si="4"/>
        <v>43.220338983050851</v>
      </c>
      <c r="K39" s="46"/>
      <c r="L39" s="46"/>
      <c r="M39" s="46"/>
      <c r="N39" s="46">
        <f t="shared" si="5"/>
        <v>7.7796610169491531</v>
      </c>
      <c r="O39" s="46"/>
      <c r="P39" s="49">
        <v>51</v>
      </c>
      <c r="Q39" s="50"/>
      <c r="R39" s="43"/>
      <c r="S39" s="45"/>
      <c r="T39" s="44"/>
      <c r="U39" s="44"/>
      <c r="V39" s="51" t="s">
        <v>86</v>
      </c>
      <c r="W39" s="46"/>
      <c r="X39" s="47">
        <v>46190</v>
      </c>
      <c r="Y39" s="44" t="s">
        <v>87</v>
      </c>
      <c r="Z39" s="44"/>
      <c r="AA39" s="44"/>
      <c r="AB39" s="44" t="s">
        <v>813</v>
      </c>
      <c r="AC39" s="52"/>
      <c r="AD39" s="52">
        <v>1212</v>
      </c>
      <c r="AE39" s="54"/>
      <c r="AF39" s="55"/>
      <c r="AG39" s="55"/>
      <c r="AH39" s="56"/>
      <c r="AI39" s="56"/>
      <c r="AJ39" s="57"/>
      <c r="AK39" s="56"/>
      <c r="AL39" s="46">
        <v>18</v>
      </c>
      <c r="AM39" s="53" t="s">
        <v>941</v>
      </c>
      <c r="AN39" s="39"/>
      <c r="AO39" s="39"/>
      <c r="AP39" s="40"/>
    </row>
    <row r="40" spans="1:42" s="41" customFormat="1" ht="18.75" customHeight="1" x14ac:dyDescent="0.25">
      <c r="A40" s="47">
        <v>46190</v>
      </c>
      <c r="B40" s="43">
        <f t="shared" si="3"/>
        <v>46190</v>
      </c>
      <c r="C40" s="44" t="s">
        <v>814</v>
      </c>
      <c r="D40" s="48" t="s">
        <v>141</v>
      </c>
      <c r="E40" s="48">
        <v>3698</v>
      </c>
      <c r="F40" s="48">
        <v>1</v>
      </c>
      <c r="G40" s="48">
        <v>11111111</v>
      </c>
      <c r="H40" s="48" t="s">
        <v>143</v>
      </c>
      <c r="I40" s="45"/>
      <c r="J40" s="46">
        <f t="shared" si="4"/>
        <v>81.355932203389841</v>
      </c>
      <c r="K40" s="46"/>
      <c r="L40" s="46"/>
      <c r="M40" s="46"/>
      <c r="N40" s="46">
        <f t="shared" si="5"/>
        <v>14.644067796610171</v>
      </c>
      <c r="O40" s="46"/>
      <c r="P40" s="49">
        <v>96</v>
      </c>
      <c r="Q40" s="50"/>
      <c r="R40" s="43"/>
      <c r="S40" s="45"/>
      <c r="T40" s="44"/>
      <c r="U40" s="44"/>
      <c r="V40" s="51" t="s">
        <v>86</v>
      </c>
      <c r="W40" s="46"/>
      <c r="X40" s="47">
        <v>46190</v>
      </c>
      <c r="Y40" s="44" t="s">
        <v>87</v>
      </c>
      <c r="Z40" s="44"/>
      <c r="AA40" s="44"/>
      <c r="AB40" s="44" t="s">
        <v>813</v>
      </c>
      <c r="AC40" s="52"/>
      <c r="AD40" s="52">
        <v>1212</v>
      </c>
      <c r="AE40" s="54"/>
      <c r="AF40" s="55"/>
      <c r="AG40" s="55"/>
      <c r="AH40" s="56"/>
      <c r="AI40" s="56"/>
      <c r="AJ40" s="57"/>
      <c r="AK40" s="56"/>
      <c r="AL40" s="46">
        <v>18</v>
      </c>
      <c r="AM40" s="53" t="s">
        <v>941</v>
      </c>
      <c r="AN40" s="39"/>
      <c r="AO40" s="39"/>
      <c r="AP40" s="40"/>
    </row>
    <row r="41" spans="1:42" s="41" customFormat="1" ht="18.75" customHeight="1" x14ac:dyDescent="0.25">
      <c r="A41" s="47">
        <v>46190</v>
      </c>
      <c r="B41" s="43">
        <f t="shared" si="3"/>
        <v>46190</v>
      </c>
      <c r="C41" s="44" t="s">
        <v>814</v>
      </c>
      <c r="D41" s="48" t="s">
        <v>141</v>
      </c>
      <c r="E41" s="48">
        <v>3699</v>
      </c>
      <c r="F41" s="48">
        <v>1</v>
      </c>
      <c r="G41" s="48">
        <v>11111111</v>
      </c>
      <c r="H41" s="48" t="s">
        <v>143</v>
      </c>
      <c r="I41" s="45"/>
      <c r="J41" s="46">
        <f t="shared" si="4"/>
        <v>114.40677966101696</v>
      </c>
      <c r="K41" s="46"/>
      <c r="L41" s="46"/>
      <c r="M41" s="46"/>
      <c r="N41" s="46">
        <f t="shared" si="5"/>
        <v>20.593220338983052</v>
      </c>
      <c r="O41" s="46"/>
      <c r="P41" s="49">
        <v>135</v>
      </c>
      <c r="Q41" s="50"/>
      <c r="R41" s="43"/>
      <c r="S41" s="45"/>
      <c r="T41" s="44"/>
      <c r="U41" s="44"/>
      <c r="V41" s="51" t="s">
        <v>86</v>
      </c>
      <c r="W41" s="46"/>
      <c r="X41" s="47">
        <v>46190</v>
      </c>
      <c r="Y41" s="44" t="s">
        <v>87</v>
      </c>
      <c r="Z41" s="44"/>
      <c r="AA41" s="44"/>
      <c r="AB41" s="44" t="s">
        <v>813</v>
      </c>
      <c r="AC41" s="52"/>
      <c r="AD41" s="52">
        <v>1212</v>
      </c>
      <c r="AE41" s="54"/>
      <c r="AF41" s="55"/>
      <c r="AG41" s="55"/>
      <c r="AH41" s="56"/>
      <c r="AI41" s="56"/>
      <c r="AJ41" s="57"/>
      <c r="AK41" s="56"/>
      <c r="AL41" s="46">
        <v>18</v>
      </c>
      <c r="AM41" s="53" t="s">
        <v>941</v>
      </c>
      <c r="AN41" s="39"/>
      <c r="AO41" s="39"/>
      <c r="AP41" s="40"/>
    </row>
    <row r="42" spans="1:42" s="41" customFormat="1" ht="18.75" customHeight="1" x14ac:dyDescent="0.25">
      <c r="A42" s="47">
        <v>46190</v>
      </c>
      <c r="B42" s="43">
        <f t="shared" si="3"/>
        <v>46190</v>
      </c>
      <c r="C42" s="44" t="s">
        <v>814</v>
      </c>
      <c r="D42" s="48" t="s">
        <v>141</v>
      </c>
      <c r="E42" s="48">
        <v>3700</v>
      </c>
      <c r="F42" s="48">
        <v>1</v>
      </c>
      <c r="G42" s="48">
        <v>11111111</v>
      </c>
      <c r="H42" s="48" t="s">
        <v>143</v>
      </c>
      <c r="I42" s="45"/>
      <c r="J42" s="46">
        <f t="shared" si="4"/>
        <v>42.372881355932208</v>
      </c>
      <c r="K42" s="46"/>
      <c r="L42" s="46"/>
      <c r="M42" s="46"/>
      <c r="N42" s="46">
        <f t="shared" si="5"/>
        <v>7.6271186440677967</v>
      </c>
      <c r="O42" s="46"/>
      <c r="P42" s="49">
        <v>50</v>
      </c>
      <c r="Q42" s="50"/>
      <c r="R42" s="43"/>
      <c r="S42" s="45"/>
      <c r="T42" s="44"/>
      <c r="U42" s="44"/>
      <c r="V42" s="51" t="s">
        <v>86</v>
      </c>
      <c r="W42" s="46"/>
      <c r="X42" s="47">
        <v>46190</v>
      </c>
      <c r="Y42" s="44" t="s">
        <v>87</v>
      </c>
      <c r="Z42" s="44"/>
      <c r="AA42" s="44"/>
      <c r="AB42" s="44" t="s">
        <v>813</v>
      </c>
      <c r="AC42" s="52"/>
      <c r="AD42" s="52">
        <v>1212</v>
      </c>
      <c r="AE42" s="54"/>
      <c r="AF42" s="55"/>
      <c r="AG42" s="55"/>
      <c r="AH42" s="56"/>
      <c r="AI42" s="56"/>
      <c r="AJ42" s="57"/>
      <c r="AK42" s="56"/>
      <c r="AL42" s="46">
        <v>18</v>
      </c>
      <c r="AM42" s="53" t="s">
        <v>941</v>
      </c>
      <c r="AN42" s="39"/>
      <c r="AO42" s="39"/>
      <c r="AP42" s="40"/>
    </row>
    <row r="43" spans="1:42" s="41" customFormat="1" ht="18.75" customHeight="1" x14ac:dyDescent="0.25">
      <c r="A43" s="47">
        <v>46190</v>
      </c>
      <c r="B43" s="43">
        <f t="shared" si="3"/>
        <v>46190</v>
      </c>
      <c r="C43" s="44" t="s">
        <v>814</v>
      </c>
      <c r="D43" s="48" t="s">
        <v>141</v>
      </c>
      <c r="E43" s="48">
        <v>3701</v>
      </c>
      <c r="F43" s="48">
        <v>1</v>
      </c>
      <c r="G43" s="48">
        <v>11111111</v>
      </c>
      <c r="H43" s="48" t="s">
        <v>143</v>
      </c>
      <c r="I43" s="45"/>
      <c r="J43" s="46">
        <f t="shared" si="4"/>
        <v>186.4406779661017</v>
      </c>
      <c r="K43" s="46"/>
      <c r="L43" s="46"/>
      <c r="M43" s="46"/>
      <c r="N43" s="46">
        <f t="shared" si="5"/>
        <v>33.559322033898304</v>
      </c>
      <c r="O43" s="46"/>
      <c r="P43" s="49">
        <v>220</v>
      </c>
      <c r="Q43" s="50"/>
      <c r="R43" s="43"/>
      <c r="S43" s="45"/>
      <c r="T43" s="44"/>
      <c r="U43" s="44"/>
      <c r="V43" s="51" t="s">
        <v>86</v>
      </c>
      <c r="W43" s="46"/>
      <c r="X43" s="47">
        <v>46190</v>
      </c>
      <c r="Y43" s="44" t="s">
        <v>87</v>
      </c>
      <c r="Z43" s="44"/>
      <c r="AA43" s="44"/>
      <c r="AB43" s="44" t="s">
        <v>813</v>
      </c>
      <c r="AC43" s="52"/>
      <c r="AD43" s="52">
        <v>1212</v>
      </c>
      <c r="AE43" s="54"/>
      <c r="AF43" s="55"/>
      <c r="AG43" s="55"/>
      <c r="AH43" s="56"/>
      <c r="AI43" s="56"/>
      <c r="AJ43" s="57"/>
      <c r="AK43" s="56"/>
      <c r="AL43" s="46">
        <v>18</v>
      </c>
      <c r="AM43" s="53" t="s">
        <v>941</v>
      </c>
      <c r="AN43" s="39"/>
      <c r="AO43" s="39"/>
      <c r="AP43" s="40"/>
    </row>
    <row r="44" spans="1:42" s="41" customFormat="1" ht="18.75" customHeight="1" x14ac:dyDescent="0.25">
      <c r="A44" s="47">
        <v>46190</v>
      </c>
      <c r="B44" s="43">
        <f t="shared" si="3"/>
        <v>46190</v>
      </c>
      <c r="C44" s="44" t="s">
        <v>814</v>
      </c>
      <c r="D44" s="48" t="s">
        <v>141</v>
      </c>
      <c r="E44" s="48">
        <v>3702</v>
      </c>
      <c r="F44" s="48">
        <v>1</v>
      </c>
      <c r="G44" s="48">
        <v>11111111</v>
      </c>
      <c r="H44" s="48" t="s">
        <v>143</v>
      </c>
      <c r="I44" s="45"/>
      <c r="J44" s="46">
        <f t="shared" si="4"/>
        <v>43.220338983050851</v>
      </c>
      <c r="K44" s="46"/>
      <c r="L44" s="46"/>
      <c r="M44" s="46"/>
      <c r="N44" s="46">
        <f t="shared" si="5"/>
        <v>7.7796610169491531</v>
      </c>
      <c r="O44" s="46"/>
      <c r="P44" s="49">
        <v>51</v>
      </c>
      <c r="Q44" s="50"/>
      <c r="R44" s="43"/>
      <c r="S44" s="45"/>
      <c r="T44" s="44"/>
      <c r="U44" s="44"/>
      <c r="V44" s="51" t="s">
        <v>86</v>
      </c>
      <c r="W44" s="46"/>
      <c r="X44" s="47">
        <v>46190</v>
      </c>
      <c r="Y44" s="44" t="s">
        <v>87</v>
      </c>
      <c r="Z44" s="44"/>
      <c r="AA44" s="44"/>
      <c r="AB44" s="44" t="s">
        <v>813</v>
      </c>
      <c r="AC44" s="52"/>
      <c r="AD44" s="52">
        <v>1212</v>
      </c>
      <c r="AE44" s="54"/>
      <c r="AF44" s="55"/>
      <c r="AG44" s="55"/>
      <c r="AH44" s="56"/>
      <c r="AI44" s="56"/>
      <c r="AJ44" s="57"/>
      <c r="AK44" s="56"/>
      <c r="AL44" s="46">
        <v>18</v>
      </c>
      <c r="AM44" s="53" t="s">
        <v>941</v>
      </c>
      <c r="AN44" s="39"/>
      <c r="AO44" s="39"/>
      <c r="AP44" s="40"/>
    </row>
    <row r="45" spans="1:42" s="41" customFormat="1" ht="18.75" customHeight="1" x14ac:dyDescent="0.25">
      <c r="A45" s="47">
        <v>46190</v>
      </c>
      <c r="B45" s="43">
        <f t="shared" si="3"/>
        <v>46190</v>
      </c>
      <c r="C45" s="44" t="s">
        <v>814</v>
      </c>
      <c r="D45" s="48" t="s">
        <v>141</v>
      </c>
      <c r="E45" s="48">
        <v>3703</v>
      </c>
      <c r="F45" s="48">
        <v>1</v>
      </c>
      <c r="G45" s="48">
        <v>11111111</v>
      </c>
      <c r="H45" s="48" t="s">
        <v>143</v>
      </c>
      <c r="I45" s="45"/>
      <c r="J45" s="46">
        <f t="shared" si="4"/>
        <v>81.355932203389841</v>
      </c>
      <c r="K45" s="46"/>
      <c r="L45" s="46"/>
      <c r="M45" s="46"/>
      <c r="N45" s="46">
        <f t="shared" si="5"/>
        <v>14.644067796610171</v>
      </c>
      <c r="O45" s="46"/>
      <c r="P45" s="49">
        <v>96</v>
      </c>
      <c r="Q45" s="50"/>
      <c r="R45" s="43"/>
      <c r="S45" s="45"/>
      <c r="T45" s="44"/>
      <c r="U45" s="44"/>
      <c r="V45" s="51" t="s">
        <v>86</v>
      </c>
      <c r="W45" s="46"/>
      <c r="X45" s="47">
        <v>46190</v>
      </c>
      <c r="Y45" s="44" t="s">
        <v>87</v>
      </c>
      <c r="Z45" s="44"/>
      <c r="AA45" s="44"/>
      <c r="AB45" s="44" t="s">
        <v>813</v>
      </c>
      <c r="AC45" s="52"/>
      <c r="AD45" s="52">
        <v>1212</v>
      </c>
      <c r="AE45" s="54"/>
      <c r="AF45" s="55"/>
      <c r="AG45" s="55"/>
      <c r="AH45" s="56"/>
      <c r="AI45" s="56"/>
      <c r="AJ45" s="57"/>
      <c r="AK45" s="56"/>
      <c r="AL45" s="46">
        <v>18</v>
      </c>
      <c r="AM45" s="53" t="s">
        <v>941</v>
      </c>
      <c r="AN45" s="39"/>
      <c r="AO45" s="39"/>
      <c r="AP45" s="40"/>
    </row>
    <row r="46" spans="1:42" s="41" customFormat="1" ht="18.75" customHeight="1" x14ac:dyDescent="0.25">
      <c r="A46" s="47">
        <v>46190</v>
      </c>
      <c r="B46" s="43">
        <f t="shared" si="3"/>
        <v>46190</v>
      </c>
      <c r="C46" s="44" t="s">
        <v>814</v>
      </c>
      <c r="D46" s="48" t="s">
        <v>141</v>
      </c>
      <c r="E46" s="48">
        <v>3704</v>
      </c>
      <c r="F46" s="48">
        <v>1</v>
      </c>
      <c r="G46" s="48">
        <v>11111111</v>
      </c>
      <c r="H46" s="48" t="s">
        <v>143</v>
      </c>
      <c r="I46" s="45"/>
      <c r="J46" s="46">
        <f t="shared" si="4"/>
        <v>114.40677966101696</v>
      </c>
      <c r="K46" s="46"/>
      <c r="L46" s="46"/>
      <c r="M46" s="46"/>
      <c r="N46" s="46">
        <f t="shared" si="5"/>
        <v>20.593220338983052</v>
      </c>
      <c r="O46" s="46"/>
      <c r="P46" s="49">
        <v>135</v>
      </c>
      <c r="Q46" s="50"/>
      <c r="R46" s="43"/>
      <c r="S46" s="45"/>
      <c r="T46" s="44"/>
      <c r="U46" s="44"/>
      <c r="V46" s="51" t="s">
        <v>86</v>
      </c>
      <c r="W46" s="46"/>
      <c r="X46" s="47">
        <v>46190</v>
      </c>
      <c r="Y46" s="44" t="s">
        <v>87</v>
      </c>
      <c r="Z46" s="44"/>
      <c r="AA46" s="44"/>
      <c r="AB46" s="44" t="s">
        <v>813</v>
      </c>
      <c r="AC46" s="52"/>
      <c r="AD46" s="52">
        <v>1212</v>
      </c>
      <c r="AE46" s="54"/>
      <c r="AF46" s="55"/>
      <c r="AG46" s="55"/>
      <c r="AH46" s="56"/>
      <c r="AI46" s="56"/>
      <c r="AJ46" s="57"/>
      <c r="AK46" s="56"/>
      <c r="AL46" s="46">
        <v>18</v>
      </c>
      <c r="AM46" s="53" t="s">
        <v>941</v>
      </c>
      <c r="AN46" s="39"/>
      <c r="AO46" s="39"/>
      <c r="AP46" s="40"/>
    </row>
    <row r="47" spans="1:42" s="41" customFormat="1" ht="18.75" customHeight="1" x14ac:dyDescent="0.25">
      <c r="A47" s="47">
        <v>46190</v>
      </c>
      <c r="B47" s="43">
        <f t="shared" si="3"/>
        <v>46190</v>
      </c>
      <c r="C47" s="44" t="s">
        <v>814</v>
      </c>
      <c r="D47" s="48" t="s">
        <v>141</v>
      </c>
      <c r="E47" s="48">
        <v>3705</v>
      </c>
      <c r="F47" s="48">
        <v>1</v>
      </c>
      <c r="G47" s="48">
        <v>11111111</v>
      </c>
      <c r="H47" s="48" t="s">
        <v>143</v>
      </c>
      <c r="I47" s="45"/>
      <c r="J47" s="46">
        <f t="shared" si="4"/>
        <v>42.372881355932208</v>
      </c>
      <c r="K47" s="46"/>
      <c r="L47" s="46"/>
      <c r="M47" s="46"/>
      <c r="N47" s="46">
        <f t="shared" si="5"/>
        <v>7.6271186440677967</v>
      </c>
      <c r="O47" s="46"/>
      <c r="P47" s="49">
        <v>50</v>
      </c>
      <c r="Q47" s="50"/>
      <c r="R47" s="43"/>
      <c r="S47" s="45"/>
      <c r="T47" s="44"/>
      <c r="U47" s="44"/>
      <c r="V47" s="51" t="s">
        <v>86</v>
      </c>
      <c r="W47" s="46"/>
      <c r="X47" s="47">
        <v>46190</v>
      </c>
      <c r="Y47" s="44" t="s">
        <v>87</v>
      </c>
      <c r="Z47" s="44"/>
      <c r="AA47" s="44"/>
      <c r="AB47" s="44" t="s">
        <v>813</v>
      </c>
      <c r="AC47" s="52"/>
      <c r="AD47" s="52">
        <v>1212</v>
      </c>
      <c r="AE47" s="54"/>
      <c r="AF47" s="55"/>
      <c r="AG47" s="55"/>
      <c r="AH47" s="56"/>
      <c r="AI47" s="56"/>
      <c r="AJ47" s="57"/>
      <c r="AK47" s="56"/>
      <c r="AL47" s="46">
        <v>18</v>
      </c>
      <c r="AM47" s="53" t="s">
        <v>941</v>
      </c>
      <c r="AN47" s="39"/>
      <c r="AO47" s="39"/>
      <c r="AP47" s="40"/>
    </row>
    <row r="48" spans="1:42" s="41" customFormat="1" ht="18.75" customHeight="1" x14ac:dyDescent="0.25">
      <c r="A48" s="47">
        <v>46193</v>
      </c>
      <c r="B48" s="43">
        <f t="shared" si="3"/>
        <v>46193</v>
      </c>
      <c r="C48" s="44" t="s">
        <v>814</v>
      </c>
      <c r="D48" s="48" t="s">
        <v>141</v>
      </c>
      <c r="E48" s="48">
        <v>3706</v>
      </c>
      <c r="F48" s="48">
        <v>1</v>
      </c>
      <c r="G48" s="48">
        <v>76427279</v>
      </c>
      <c r="H48" s="48" t="s">
        <v>224</v>
      </c>
      <c r="I48" s="45"/>
      <c r="J48" s="46">
        <f t="shared" si="4"/>
        <v>36.440677966101696</v>
      </c>
      <c r="K48" s="46"/>
      <c r="L48" s="46"/>
      <c r="M48" s="46"/>
      <c r="N48" s="46">
        <f t="shared" si="5"/>
        <v>6.5593220338983054</v>
      </c>
      <c r="O48" s="46"/>
      <c r="P48" s="49">
        <v>43</v>
      </c>
      <c r="Q48" s="50"/>
      <c r="R48" s="43"/>
      <c r="S48" s="45"/>
      <c r="T48" s="44"/>
      <c r="U48" s="44"/>
      <c r="V48" s="51" t="s">
        <v>86</v>
      </c>
      <c r="W48" s="46"/>
      <c r="X48" s="47">
        <v>46193</v>
      </c>
      <c r="Y48" s="44" t="s">
        <v>87</v>
      </c>
      <c r="Z48" s="44"/>
      <c r="AA48" s="44"/>
      <c r="AB48" s="44" t="s">
        <v>813</v>
      </c>
      <c r="AC48" s="52"/>
      <c r="AD48" s="52">
        <v>1212</v>
      </c>
      <c r="AE48" s="54"/>
      <c r="AF48" s="55"/>
      <c r="AG48" s="55"/>
      <c r="AH48" s="56"/>
      <c r="AI48" s="56"/>
      <c r="AJ48" s="57"/>
      <c r="AK48" s="56"/>
      <c r="AL48" s="46">
        <v>18</v>
      </c>
      <c r="AM48" s="53" t="s">
        <v>941</v>
      </c>
      <c r="AN48" s="39"/>
      <c r="AO48" s="39"/>
      <c r="AP48" s="40"/>
    </row>
    <row r="49" spans="1:42" s="41" customFormat="1" ht="18.75" customHeight="1" x14ac:dyDescent="0.25">
      <c r="A49" s="47">
        <v>46193</v>
      </c>
      <c r="B49" s="43">
        <f t="shared" si="3"/>
        <v>46193</v>
      </c>
      <c r="C49" s="44" t="s">
        <v>814</v>
      </c>
      <c r="D49" s="48" t="s">
        <v>141</v>
      </c>
      <c r="E49" s="48">
        <v>3707</v>
      </c>
      <c r="F49" s="48">
        <v>1</v>
      </c>
      <c r="G49" s="48">
        <v>42201091</v>
      </c>
      <c r="H49" s="48" t="s">
        <v>226</v>
      </c>
      <c r="I49" s="45"/>
      <c r="J49" s="46">
        <f t="shared" si="4"/>
        <v>74.576271186440678</v>
      </c>
      <c r="K49" s="46"/>
      <c r="L49" s="46"/>
      <c r="M49" s="46"/>
      <c r="N49" s="46">
        <f t="shared" si="5"/>
        <v>13.423728813559322</v>
      </c>
      <c r="O49" s="46"/>
      <c r="P49" s="49">
        <v>88</v>
      </c>
      <c r="Q49" s="50"/>
      <c r="R49" s="43"/>
      <c r="S49" s="45"/>
      <c r="T49" s="44"/>
      <c r="U49" s="44"/>
      <c r="V49" s="51" t="s">
        <v>86</v>
      </c>
      <c r="W49" s="46"/>
      <c r="X49" s="47">
        <v>46193</v>
      </c>
      <c r="Y49" s="44" t="s">
        <v>87</v>
      </c>
      <c r="Z49" s="44"/>
      <c r="AA49" s="44"/>
      <c r="AB49" s="44" t="s">
        <v>813</v>
      </c>
      <c r="AC49" s="52"/>
      <c r="AD49" s="52">
        <v>1212</v>
      </c>
      <c r="AE49" s="54"/>
      <c r="AF49" s="55"/>
      <c r="AG49" s="55"/>
      <c r="AH49" s="56"/>
      <c r="AI49" s="56"/>
      <c r="AJ49" s="57"/>
      <c r="AK49" s="56"/>
      <c r="AL49" s="46">
        <v>18</v>
      </c>
      <c r="AM49" s="53" t="s">
        <v>941</v>
      </c>
      <c r="AN49" s="39"/>
      <c r="AO49" s="39"/>
      <c r="AP49" s="40"/>
    </row>
    <row r="50" spans="1:42" s="41" customFormat="1" ht="18.75" customHeight="1" x14ac:dyDescent="0.25">
      <c r="A50" s="47">
        <v>46193</v>
      </c>
      <c r="B50" s="43">
        <f t="shared" si="3"/>
        <v>46193</v>
      </c>
      <c r="C50" s="44" t="s">
        <v>814</v>
      </c>
      <c r="D50" s="48" t="s">
        <v>141</v>
      </c>
      <c r="E50" s="48">
        <v>3708</v>
      </c>
      <c r="F50" s="48">
        <v>1</v>
      </c>
      <c r="G50" s="48">
        <v>19951329</v>
      </c>
      <c r="H50" s="48" t="s">
        <v>228</v>
      </c>
      <c r="I50" s="45"/>
      <c r="J50" s="46">
        <f t="shared" si="4"/>
        <v>114.40677966101696</v>
      </c>
      <c r="K50" s="46"/>
      <c r="L50" s="46"/>
      <c r="M50" s="46"/>
      <c r="N50" s="46">
        <f t="shared" si="5"/>
        <v>20.593220338983052</v>
      </c>
      <c r="O50" s="46"/>
      <c r="P50" s="49">
        <v>135</v>
      </c>
      <c r="Q50" s="50"/>
      <c r="R50" s="43"/>
      <c r="S50" s="45"/>
      <c r="T50" s="44"/>
      <c r="U50" s="44"/>
      <c r="V50" s="51" t="s">
        <v>86</v>
      </c>
      <c r="W50" s="46"/>
      <c r="X50" s="47">
        <v>46193</v>
      </c>
      <c r="Y50" s="44" t="s">
        <v>87</v>
      </c>
      <c r="Z50" s="44"/>
      <c r="AA50" s="44"/>
      <c r="AB50" s="44" t="s">
        <v>813</v>
      </c>
      <c r="AC50" s="52"/>
      <c r="AD50" s="52">
        <v>1212</v>
      </c>
      <c r="AE50" s="54"/>
      <c r="AF50" s="55"/>
      <c r="AG50" s="55"/>
      <c r="AH50" s="56"/>
      <c r="AI50" s="56"/>
      <c r="AJ50" s="57"/>
      <c r="AK50" s="56"/>
      <c r="AL50" s="46">
        <v>18</v>
      </c>
      <c r="AM50" s="53" t="s">
        <v>941</v>
      </c>
      <c r="AN50" s="39"/>
      <c r="AO50" s="39"/>
      <c r="AP50" s="40"/>
    </row>
    <row r="51" spans="1:42" s="41" customFormat="1" ht="18.75" customHeight="1" x14ac:dyDescent="0.25">
      <c r="A51" s="47">
        <v>46193</v>
      </c>
      <c r="B51" s="43">
        <f t="shared" si="3"/>
        <v>46193</v>
      </c>
      <c r="C51" s="44" t="s">
        <v>814</v>
      </c>
      <c r="D51" s="48" t="s">
        <v>141</v>
      </c>
      <c r="E51" s="48">
        <v>3709</v>
      </c>
      <c r="F51" s="48">
        <v>1</v>
      </c>
      <c r="G51" s="48">
        <v>11111111</v>
      </c>
      <c r="H51" s="48" t="s">
        <v>143</v>
      </c>
      <c r="I51" s="45"/>
      <c r="J51" s="46">
        <f t="shared" si="4"/>
        <v>43.220338983050851</v>
      </c>
      <c r="K51" s="46"/>
      <c r="L51" s="46"/>
      <c r="M51" s="46"/>
      <c r="N51" s="46">
        <f t="shared" si="5"/>
        <v>7.7796610169491531</v>
      </c>
      <c r="O51" s="46"/>
      <c r="P51" s="49">
        <v>51</v>
      </c>
      <c r="Q51" s="50"/>
      <c r="R51" s="43"/>
      <c r="S51" s="45"/>
      <c r="T51" s="44"/>
      <c r="U51" s="44"/>
      <c r="V51" s="51" t="s">
        <v>86</v>
      </c>
      <c r="W51" s="46"/>
      <c r="X51" s="47">
        <v>46193</v>
      </c>
      <c r="Y51" s="44" t="s">
        <v>87</v>
      </c>
      <c r="Z51" s="44"/>
      <c r="AA51" s="44"/>
      <c r="AB51" s="44" t="s">
        <v>813</v>
      </c>
      <c r="AC51" s="52"/>
      <c r="AD51" s="52">
        <v>1212</v>
      </c>
      <c r="AE51" s="54"/>
      <c r="AF51" s="55"/>
      <c r="AG51" s="55"/>
      <c r="AH51" s="56"/>
      <c r="AI51" s="56"/>
      <c r="AJ51" s="57"/>
      <c r="AK51" s="56"/>
      <c r="AL51" s="46">
        <v>18</v>
      </c>
      <c r="AM51" s="53" t="s">
        <v>941</v>
      </c>
      <c r="AN51" s="39"/>
      <c r="AO51" s="39"/>
      <c r="AP51" s="40"/>
    </row>
    <row r="52" spans="1:42" s="41" customFormat="1" ht="18.75" customHeight="1" x14ac:dyDescent="0.25">
      <c r="A52" s="47">
        <v>46193</v>
      </c>
      <c r="B52" s="43">
        <f t="shared" si="3"/>
        <v>46193</v>
      </c>
      <c r="C52" s="44" t="s">
        <v>814</v>
      </c>
      <c r="D52" s="48" t="s">
        <v>141</v>
      </c>
      <c r="E52" s="48">
        <v>3710</v>
      </c>
      <c r="F52" s="48">
        <v>1</v>
      </c>
      <c r="G52" s="48">
        <v>20014176</v>
      </c>
      <c r="H52" s="48" t="s">
        <v>232</v>
      </c>
      <c r="I52" s="45"/>
      <c r="J52" s="46">
        <f t="shared" si="4"/>
        <v>77.966101694915253</v>
      </c>
      <c r="K52" s="46"/>
      <c r="L52" s="46"/>
      <c r="M52" s="46"/>
      <c r="N52" s="46">
        <f t="shared" si="5"/>
        <v>14.033898305084746</v>
      </c>
      <c r="O52" s="46"/>
      <c r="P52" s="49">
        <v>92</v>
      </c>
      <c r="Q52" s="50"/>
      <c r="R52" s="43"/>
      <c r="S52" s="45"/>
      <c r="T52" s="44"/>
      <c r="U52" s="44"/>
      <c r="V52" s="51" t="s">
        <v>86</v>
      </c>
      <c r="W52" s="46"/>
      <c r="X52" s="47">
        <v>46193</v>
      </c>
      <c r="Y52" s="44" t="s">
        <v>87</v>
      </c>
      <c r="Z52" s="44"/>
      <c r="AA52" s="44"/>
      <c r="AB52" s="44" t="s">
        <v>813</v>
      </c>
      <c r="AC52" s="52"/>
      <c r="AD52" s="52">
        <v>1212</v>
      </c>
      <c r="AE52" s="54"/>
      <c r="AF52" s="55"/>
      <c r="AG52" s="55"/>
      <c r="AH52" s="56"/>
      <c r="AI52" s="56"/>
      <c r="AJ52" s="57"/>
      <c r="AK52" s="56"/>
      <c r="AL52" s="46">
        <v>18</v>
      </c>
      <c r="AM52" s="53" t="s">
        <v>941</v>
      </c>
      <c r="AN52" s="39"/>
      <c r="AO52" s="39"/>
      <c r="AP52" s="40"/>
    </row>
    <row r="53" spans="1:42" s="41" customFormat="1" ht="18.75" customHeight="1" x14ac:dyDescent="0.25">
      <c r="A53" s="47">
        <v>46193</v>
      </c>
      <c r="B53" s="43">
        <f t="shared" si="3"/>
        <v>46193</v>
      </c>
      <c r="C53" s="44" t="s">
        <v>814</v>
      </c>
      <c r="D53" s="48" t="s">
        <v>141</v>
      </c>
      <c r="E53" s="48">
        <v>3711</v>
      </c>
      <c r="F53" s="48">
        <v>1</v>
      </c>
      <c r="G53" s="48">
        <v>11111111</v>
      </c>
      <c r="H53" s="48" t="s">
        <v>143</v>
      </c>
      <c r="I53" s="45"/>
      <c r="J53" s="46">
        <f t="shared" si="4"/>
        <v>43.220338983050851</v>
      </c>
      <c r="K53" s="46"/>
      <c r="L53" s="46"/>
      <c r="M53" s="46"/>
      <c r="N53" s="46">
        <f t="shared" si="5"/>
        <v>7.7796610169491531</v>
      </c>
      <c r="O53" s="46"/>
      <c r="P53" s="49">
        <v>51</v>
      </c>
      <c r="Q53" s="50"/>
      <c r="R53" s="43"/>
      <c r="S53" s="45"/>
      <c r="T53" s="44"/>
      <c r="U53" s="44"/>
      <c r="V53" s="51" t="s">
        <v>86</v>
      </c>
      <c r="W53" s="46"/>
      <c r="X53" s="47">
        <v>46193</v>
      </c>
      <c r="Y53" s="44" t="s">
        <v>87</v>
      </c>
      <c r="Z53" s="44"/>
      <c r="AA53" s="44"/>
      <c r="AB53" s="44" t="s">
        <v>813</v>
      </c>
      <c r="AC53" s="52"/>
      <c r="AD53" s="52">
        <v>1212</v>
      </c>
      <c r="AE53" s="54"/>
      <c r="AF53" s="55"/>
      <c r="AG53" s="55"/>
      <c r="AH53" s="56"/>
      <c r="AI53" s="56"/>
      <c r="AJ53" s="57"/>
      <c r="AK53" s="56"/>
      <c r="AL53" s="46">
        <v>18</v>
      </c>
      <c r="AM53" s="53" t="s">
        <v>941</v>
      </c>
      <c r="AN53" s="39"/>
      <c r="AO53" s="39"/>
      <c r="AP53" s="40"/>
    </row>
    <row r="54" spans="1:42" s="41" customFormat="1" ht="18.75" customHeight="1" x14ac:dyDescent="0.25">
      <c r="A54" s="47">
        <v>46193</v>
      </c>
      <c r="B54" s="43">
        <f t="shared" si="3"/>
        <v>46193</v>
      </c>
      <c r="C54" s="44" t="s">
        <v>814</v>
      </c>
      <c r="D54" s="48" t="s">
        <v>141</v>
      </c>
      <c r="E54" s="48">
        <v>3712</v>
      </c>
      <c r="F54" s="48">
        <v>1</v>
      </c>
      <c r="G54" s="48">
        <v>11111111</v>
      </c>
      <c r="H54" s="48" t="s">
        <v>143</v>
      </c>
      <c r="I54" s="45"/>
      <c r="J54" s="46">
        <f t="shared" si="4"/>
        <v>119.49152542372882</v>
      </c>
      <c r="K54" s="46"/>
      <c r="L54" s="46"/>
      <c r="M54" s="46"/>
      <c r="N54" s="46">
        <f t="shared" si="5"/>
        <v>21.508474576271187</v>
      </c>
      <c r="O54" s="46"/>
      <c r="P54" s="49">
        <v>141</v>
      </c>
      <c r="Q54" s="50"/>
      <c r="R54" s="43"/>
      <c r="S54" s="45"/>
      <c r="T54" s="44"/>
      <c r="U54" s="44"/>
      <c r="V54" s="51" t="s">
        <v>86</v>
      </c>
      <c r="W54" s="46"/>
      <c r="X54" s="47">
        <v>46193</v>
      </c>
      <c r="Y54" s="44" t="s">
        <v>87</v>
      </c>
      <c r="Z54" s="44"/>
      <c r="AA54" s="44"/>
      <c r="AB54" s="44" t="s">
        <v>813</v>
      </c>
      <c r="AC54" s="52"/>
      <c r="AD54" s="52">
        <v>1212</v>
      </c>
      <c r="AE54" s="54"/>
      <c r="AF54" s="55"/>
      <c r="AG54" s="55"/>
      <c r="AH54" s="56"/>
      <c r="AI54" s="56"/>
      <c r="AJ54" s="57"/>
      <c r="AK54" s="56"/>
      <c r="AL54" s="46">
        <v>18</v>
      </c>
      <c r="AM54" s="53" t="s">
        <v>941</v>
      </c>
      <c r="AN54" s="39"/>
      <c r="AO54" s="39"/>
      <c r="AP54" s="40"/>
    </row>
    <row r="55" spans="1:42" s="41" customFormat="1" ht="18.75" customHeight="1" x14ac:dyDescent="0.25">
      <c r="A55" s="47">
        <v>46193</v>
      </c>
      <c r="B55" s="43">
        <f t="shared" si="3"/>
        <v>46193</v>
      </c>
      <c r="C55" s="44" t="s">
        <v>814</v>
      </c>
      <c r="D55" s="48" t="s">
        <v>141</v>
      </c>
      <c r="E55" s="48">
        <v>3713</v>
      </c>
      <c r="F55" s="48">
        <v>1</v>
      </c>
      <c r="G55" s="48">
        <v>41372681</v>
      </c>
      <c r="H55" s="48" t="s">
        <v>238</v>
      </c>
      <c r="I55" s="45"/>
      <c r="J55" s="46">
        <f t="shared" si="4"/>
        <v>42.372881355932208</v>
      </c>
      <c r="K55" s="46"/>
      <c r="L55" s="46"/>
      <c r="M55" s="46"/>
      <c r="N55" s="46">
        <f t="shared" si="5"/>
        <v>7.6271186440677967</v>
      </c>
      <c r="O55" s="46"/>
      <c r="P55" s="49">
        <v>50</v>
      </c>
      <c r="Q55" s="50"/>
      <c r="R55" s="43"/>
      <c r="S55" s="45"/>
      <c r="T55" s="44"/>
      <c r="U55" s="44"/>
      <c r="V55" s="51" t="s">
        <v>86</v>
      </c>
      <c r="W55" s="46"/>
      <c r="X55" s="47">
        <v>46193</v>
      </c>
      <c r="Y55" s="44" t="s">
        <v>87</v>
      </c>
      <c r="Z55" s="44"/>
      <c r="AA55" s="44"/>
      <c r="AB55" s="44" t="s">
        <v>813</v>
      </c>
      <c r="AC55" s="52"/>
      <c r="AD55" s="52">
        <v>1212</v>
      </c>
      <c r="AE55" s="54"/>
      <c r="AF55" s="55"/>
      <c r="AG55" s="55"/>
      <c r="AH55" s="56"/>
      <c r="AI55" s="56"/>
      <c r="AJ55" s="57"/>
      <c r="AK55" s="56"/>
      <c r="AL55" s="46">
        <v>18</v>
      </c>
      <c r="AM55" s="53" t="s">
        <v>941</v>
      </c>
      <c r="AN55" s="39"/>
      <c r="AO55" s="39"/>
      <c r="AP55" s="40"/>
    </row>
    <row r="56" spans="1:42" s="41" customFormat="1" ht="18.75" customHeight="1" x14ac:dyDescent="0.25">
      <c r="A56" s="47">
        <v>46193</v>
      </c>
      <c r="B56" s="43">
        <f t="shared" si="3"/>
        <v>46193</v>
      </c>
      <c r="C56" s="44" t="s">
        <v>814</v>
      </c>
      <c r="D56" s="48" t="s">
        <v>141</v>
      </c>
      <c r="E56" s="48">
        <v>3714</v>
      </c>
      <c r="F56" s="48">
        <v>1</v>
      </c>
      <c r="G56" s="48">
        <v>11111111</v>
      </c>
      <c r="H56" s="48" t="s">
        <v>143</v>
      </c>
      <c r="I56" s="45"/>
      <c r="J56" s="46">
        <f t="shared" si="4"/>
        <v>186.4406779661017</v>
      </c>
      <c r="K56" s="46"/>
      <c r="L56" s="46"/>
      <c r="M56" s="46"/>
      <c r="N56" s="46">
        <f t="shared" si="5"/>
        <v>33.559322033898304</v>
      </c>
      <c r="O56" s="46"/>
      <c r="P56" s="49">
        <v>220</v>
      </c>
      <c r="Q56" s="50"/>
      <c r="R56" s="43"/>
      <c r="S56" s="45"/>
      <c r="T56" s="44"/>
      <c r="U56" s="44"/>
      <c r="V56" s="51" t="s">
        <v>86</v>
      </c>
      <c r="W56" s="46"/>
      <c r="X56" s="47">
        <v>46193</v>
      </c>
      <c r="Y56" s="44" t="s">
        <v>87</v>
      </c>
      <c r="Z56" s="44"/>
      <c r="AA56" s="44"/>
      <c r="AB56" s="44" t="s">
        <v>813</v>
      </c>
      <c r="AC56" s="52"/>
      <c r="AD56" s="52">
        <v>1212</v>
      </c>
      <c r="AE56" s="54"/>
      <c r="AF56" s="55"/>
      <c r="AG56" s="55"/>
      <c r="AH56" s="56"/>
      <c r="AI56" s="56"/>
      <c r="AJ56" s="57"/>
      <c r="AK56" s="56"/>
      <c r="AL56" s="46">
        <v>18</v>
      </c>
      <c r="AM56" s="53" t="s">
        <v>941</v>
      </c>
      <c r="AN56" s="39"/>
      <c r="AO56" s="39"/>
      <c r="AP56" s="40"/>
    </row>
    <row r="57" spans="1:42" s="41" customFormat="1" ht="18.75" customHeight="1" x14ac:dyDescent="0.25">
      <c r="A57" s="47">
        <v>46193</v>
      </c>
      <c r="B57" s="43">
        <f t="shared" si="3"/>
        <v>46193</v>
      </c>
      <c r="C57" s="44" t="s">
        <v>814</v>
      </c>
      <c r="D57" s="48" t="s">
        <v>141</v>
      </c>
      <c r="E57" s="48">
        <v>3715</v>
      </c>
      <c r="F57" s="48">
        <v>1</v>
      </c>
      <c r="G57" s="48">
        <v>11111111</v>
      </c>
      <c r="H57" s="48" t="s">
        <v>143</v>
      </c>
      <c r="I57" s="45"/>
      <c r="J57" s="46">
        <f t="shared" si="4"/>
        <v>79.66101694915254</v>
      </c>
      <c r="K57" s="46"/>
      <c r="L57" s="46"/>
      <c r="M57" s="46"/>
      <c r="N57" s="46">
        <f t="shared" si="5"/>
        <v>14.338983050847457</v>
      </c>
      <c r="O57" s="46"/>
      <c r="P57" s="49">
        <v>94</v>
      </c>
      <c r="Q57" s="50"/>
      <c r="R57" s="43"/>
      <c r="S57" s="45"/>
      <c r="T57" s="44"/>
      <c r="U57" s="44"/>
      <c r="V57" s="51" t="s">
        <v>86</v>
      </c>
      <c r="W57" s="46"/>
      <c r="X57" s="47">
        <v>46193</v>
      </c>
      <c r="Y57" s="44" t="s">
        <v>87</v>
      </c>
      <c r="Z57" s="44"/>
      <c r="AA57" s="44"/>
      <c r="AB57" s="44" t="s">
        <v>813</v>
      </c>
      <c r="AC57" s="52"/>
      <c r="AD57" s="52">
        <v>1212</v>
      </c>
      <c r="AE57" s="54"/>
      <c r="AF57" s="55"/>
      <c r="AG57" s="55"/>
      <c r="AH57" s="56"/>
      <c r="AI57" s="56"/>
      <c r="AJ57" s="57"/>
      <c r="AK57" s="56"/>
      <c r="AL57" s="46">
        <v>18</v>
      </c>
      <c r="AM57" s="53" t="s">
        <v>941</v>
      </c>
      <c r="AN57" s="39"/>
      <c r="AO57" s="39"/>
      <c r="AP57" s="40"/>
    </row>
    <row r="58" spans="1:42" s="41" customFormat="1" ht="18.75" customHeight="1" x14ac:dyDescent="0.25">
      <c r="A58" s="47">
        <v>46193</v>
      </c>
      <c r="B58" s="43">
        <f t="shared" si="3"/>
        <v>46193</v>
      </c>
      <c r="C58" s="44" t="s">
        <v>814</v>
      </c>
      <c r="D58" s="48" t="s">
        <v>141</v>
      </c>
      <c r="E58" s="48">
        <v>3716</v>
      </c>
      <c r="F58" s="48">
        <v>1</v>
      </c>
      <c r="G58" s="48">
        <v>11111111</v>
      </c>
      <c r="H58" s="48" t="s">
        <v>143</v>
      </c>
      <c r="I58" s="45"/>
      <c r="J58" s="46">
        <f t="shared" si="4"/>
        <v>42.372881355932208</v>
      </c>
      <c r="K58" s="46"/>
      <c r="L58" s="46"/>
      <c r="M58" s="46"/>
      <c r="N58" s="46">
        <f t="shared" si="5"/>
        <v>7.6271186440677967</v>
      </c>
      <c r="O58" s="46"/>
      <c r="P58" s="49">
        <v>50</v>
      </c>
      <c r="Q58" s="50"/>
      <c r="R58" s="43"/>
      <c r="S58" s="45"/>
      <c r="T58" s="44"/>
      <c r="U58" s="44"/>
      <c r="V58" s="51" t="s">
        <v>86</v>
      </c>
      <c r="W58" s="46"/>
      <c r="X58" s="47">
        <v>46193</v>
      </c>
      <c r="Y58" s="44" t="s">
        <v>87</v>
      </c>
      <c r="Z58" s="44"/>
      <c r="AA58" s="44"/>
      <c r="AB58" s="44" t="s">
        <v>813</v>
      </c>
      <c r="AC58" s="52"/>
      <c r="AD58" s="52">
        <v>1212</v>
      </c>
      <c r="AE58" s="54"/>
      <c r="AF58" s="55"/>
      <c r="AG58" s="55"/>
      <c r="AH58" s="56"/>
      <c r="AI58" s="56"/>
      <c r="AJ58" s="57"/>
      <c r="AK58" s="56"/>
      <c r="AL58" s="46">
        <v>18</v>
      </c>
      <c r="AM58" s="53" t="s">
        <v>941</v>
      </c>
      <c r="AN58" s="39"/>
      <c r="AO58" s="39"/>
      <c r="AP58" s="40"/>
    </row>
    <row r="59" spans="1:42" s="41" customFormat="1" ht="18.75" customHeight="1" x14ac:dyDescent="0.25">
      <c r="A59" s="47">
        <v>46193</v>
      </c>
      <c r="B59" s="43">
        <f t="shared" si="3"/>
        <v>46193</v>
      </c>
      <c r="C59" s="44" t="s">
        <v>814</v>
      </c>
      <c r="D59" s="48" t="s">
        <v>141</v>
      </c>
      <c r="E59" s="48">
        <v>3717</v>
      </c>
      <c r="F59" s="48">
        <v>1</v>
      </c>
      <c r="G59" s="48">
        <v>11111111</v>
      </c>
      <c r="H59" s="48" t="s">
        <v>143</v>
      </c>
      <c r="I59" s="45"/>
      <c r="J59" s="46">
        <f t="shared" si="4"/>
        <v>111.86440677966102</v>
      </c>
      <c r="K59" s="46"/>
      <c r="L59" s="46"/>
      <c r="M59" s="46"/>
      <c r="N59" s="46">
        <f t="shared" si="5"/>
        <v>20.135593220338983</v>
      </c>
      <c r="O59" s="46"/>
      <c r="P59" s="49">
        <v>132</v>
      </c>
      <c r="Q59" s="50"/>
      <c r="R59" s="43"/>
      <c r="S59" s="45"/>
      <c r="T59" s="44"/>
      <c r="U59" s="44"/>
      <c r="V59" s="51" t="s">
        <v>86</v>
      </c>
      <c r="W59" s="46"/>
      <c r="X59" s="47">
        <v>46193</v>
      </c>
      <c r="Y59" s="44" t="s">
        <v>87</v>
      </c>
      <c r="Z59" s="44"/>
      <c r="AA59" s="44"/>
      <c r="AB59" s="44" t="s">
        <v>813</v>
      </c>
      <c r="AC59" s="52"/>
      <c r="AD59" s="52">
        <v>1212</v>
      </c>
      <c r="AE59" s="54"/>
      <c r="AF59" s="55"/>
      <c r="AG59" s="55"/>
      <c r="AH59" s="56"/>
      <c r="AI59" s="56"/>
      <c r="AJ59" s="57"/>
      <c r="AK59" s="56"/>
      <c r="AL59" s="46">
        <v>18</v>
      </c>
      <c r="AM59" s="53" t="s">
        <v>941</v>
      </c>
      <c r="AN59" s="39"/>
      <c r="AO59" s="39"/>
      <c r="AP59" s="40"/>
    </row>
    <row r="60" spans="1:42" s="41" customFormat="1" ht="18.75" customHeight="1" x14ac:dyDescent="0.25">
      <c r="A60" s="47">
        <v>46193</v>
      </c>
      <c r="B60" s="43">
        <f t="shared" si="3"/>
        <v>46193</v>
      </c>
      <c r="C60" s="44" t="s">
        <v>814</v>
      </c>
      <c r="D60" s="48" t="s">
        <v>141</v>
      </c>
      <c r="E60" s="48">
        <v>3718</v>
      </c>
      <c r="F60" s="48">
        <v>1</v>
      </c>
      <c r="G60" s="48">
        <v>11111111</v>
      </c>
      <c r="H60" s="48" t="s">
        <v>143</v>
      </c>
      <c r="I60" s="45"/>
      <c r="J60" s="46">
        <f t="shared" si="4"/>
        <v>77.966101694915253</v>
      </c>
      <c r="K60" s="46"/>
      <c r="L60" s="46"/>
      <c r="M60" s="46"/>
      <c r="N60" s="46">
        <f t="shared" si="5"/>
        <v>14.033898305084746</v>
      </c>
      <c r="O60" s="46"/>
      <c r="P60" s="49">
        <v>92</v>
      </c>
      <c r="Q60" s="50"/>
      <c r="R60" s="43"/>
      <c r="S60" s="45"/>
      <c r="T60" s="44"/>
      <c r="U60" s="44"/>
      <c r="V60" s="51" t="s">
        <v>86</v>
      </c>
      <c r="W60" s="46"/>
      <c r="X60" s="47">
        <v>46193</v>
      </c>
      <c r="Y60" s="44" t="s">
        <v>87</v>
      </c>
      <c r="Z60" s="44"/>
      <c r="AA60" s="44"/>
      <c r="AB60" s="44" t="s">
        <v>813</v>
      </c>
      <c r="AC60" s="52"/>
      <c r="AD60" s="52">
        <v>1212</v>
      </c>
      <c r="AE60" s="54"/>
      <c r="AF60" s="55"/>
      <c r="AG60" s="55"/>
      <c r="AH60" s="56"/>
      <c r="AI60" s="56"/>
      <c r="AJ60" s="57"/>
      <c r="AK60" s="56"/>
      <c r="AL60" s="46">
        <v>18</v>
      </c>
      <c r="AM60" s="53" t="s">
        <v>941</v>
      </c>
      <c r="AN60" s="39"/>
      <c r="AO60" s="39"/>
      <c r="AP60" s="40"/>
    </row>
    <row r="61" spans="1:42" s="41" customFormat="1" ht="18.75" customHeight="1" x14ac:dyDescent="0.25">
      <c r="A61" s="47">
        <v>46193</v>
      </c>
      <c r="B61" s="43">
        <f t="shared" si="3"/>
        <v>46193</v>
      </c>
      <c r="C61" s="44" t="s">
        <v>814</v>
      </c>
      <c r="D61" s="48" t="s">
        <v>141</v>
      </c>
      <c r="E61" s="48">
        <v>3719</v>
      </c>
      <c r="F61" s="48">
        <v>1</v>
      </c>
      <c r="G61" s="48">
        <v>11111111</v>
      </c>
      <c r="H61" s="48" t="s">
        <v>143</v>
      </c>
      <c r="I61" s="45"/>
      <c r="J61" s="46">
        <f t="shared" si="4"/>
        <v>152.54237288135593</v>
      </c>
      <c r="K61" s="46"/>
      <c r="L61" s="46"/>
      <c r="M61" s="46"/>
      <c r="N61" s="46">
        <f t="shared" si="5"/>
        <v>27.457627118644066</v>
      </c>
      <c r="O61" s="46"/>
      <c r="P61" s="49">
        <v>180</v>
      </c>
      <c r="Q61" s="50"/>
      <c r="R61" s="43"/>
      <c r="S61" s="45"/>
      <c r="T61" s="44"/>
      <c r="U61" s="44"/>
      <c r="V61" s="51" t="s">
        <v>86</v>
      </c>
      <c r="W61" s="46"/>
      <c r="X61" s="47">
        <v>46193</v>
      </c>
      <c r="Y61" s="44" t="s">
        <v>87</v>
      </c>
      <c r="Z61" s="44"/>
      <c r="AA61" s="44"/>
      <c r="AB61" s="44" t="s">
        <v>813</v>
      </c>
      <c r="AC61" s="52"/>
      <c r="AD61" s="52">
        <v>1212</v>
      </c>
      <c r="AE61" s="54"/>
      <c r="AF61" s="55"/>
      <c r="AG61" s="55"/>
      <c r="AH61" s="56"/>
      <c r="AI61" s="56"/>
      <c r="AJ61" s="57"/>
      <c r="AK61" s="56"/>
      <c r="AL61" s="46">
        <v>18</v>
      </c>
      <c r="AM61" s="53" t="s">
        <v>941</v>
      </c>
      <c r="AN61" s="39"/>
      <c r="AO61" s="39"/>
      <c r="AP61" s="40"/>
    </row>
    <row r="62" spans="1:42" s="41" customFormat="1" ht="18.75" customHeight="1" x14ac:dyDescent="0.25">
      <c r="A62" s="47">
        <v>46193</v>
      </c>
      <c r="B62" s="43">
        <f t="shared" si="3"/>
        <v>46193</v>
      </c>
      <c r="C62" s="44" t="s">
        <v>814</v>
      </c>
      <c r="D62" s="48" t="s">
        <v>141</v>
      </c>
      <c r="E62" s="48">
        <v>3720</v>
      </c>
      <c r="F62" s="48">
        <v>1</v>
      </c>
      <c r="G62" s="48">
        <v>11111111</v>
      </c>
      <c r="H62" s="48" t="s">
        <v>143</v>
      </c>
      <c r="I62" s="45"/>
      <c r="J62" s="46">
        <f t="shared" si="4"/>
        <v>111.86440677966102</v>
      </c>
      <c r="K62" s="46"/>
      <c r="L62" s="46"/>
      <c r="M62" s="46"/>
      <c r="N62" s="46">
        <f t="shared" si="5"/>
        <v>20.135593220338983</v>
      </c>
      <c r="O62" s="46"/>
      <c r="P62" s="49">
        <v>132</v>
      </c>
      <c r="Q62" s="50"/>
      <c r="R62" s="43"/>
      <c r="S62" s="45"/>
      <c r="T62" s="44"/>
      <c r="U62" s="44"/>
      <c r="V62" s="51" t="s">
        <v>86</v>
      </c>
      <c r="W62" s="46"/>
      <c r="X62" s="47">
        <v>46193</v>
      </c>
      <c r="Y62" s="44" t="s">
        <v>87</v>
      </c>
      <c r="Z62" s="44"/>
      <c r="AA62" s="44"/>
      <c r="AB62" s="44" t="s">
        <v>813</v>
      </c>
      <c r="AC62" s="52"/>
      <c r="AD62" s="52">
        <v>1212</v>
      </c>
      <c r="AE62" s="54"/>
      <c r="AF62" s="55"/>
      <c r="AG62" s="55"/>
      <c r="AH62" s="56"/>
      <c r="AI62" s="56"/>
      <c r="AJ62" s="57"/>
      <c r="AK62" s="56"/>
      <c r="AL62" s="46">
        <v>18</v>
      </c>
      <c r="AM62" s="53" t="s">
        <v>941</v>
      </c>
      <c r="AN62" s="39"/>
      <c r="AO62" s="39"/>
      <c r="AP62" s="40"/>
    </row>
    <row r="63" spans="1:42" s="41" customFormat="1" ht="18.75" customHeight="1" x14ac:dyDescent="0.25">
      <c r="A63" s="47">
        <v>46194</v>
      </c>
      <c r="B63" s="43">
        <f t="shared" si="3"/>
        <v>46194</v>
      </c>
      <c r="C63" s="44" t="s">
        <v>814</v>
      </c>
      <c r="D63" s="48" t="s">
        <v>141</v>
      </c>
      <c r="E63" s="48">
        <v>3721</v>
      </c>
      <c r="F63" s="48">
        <v>1</v>
      </c>
      <c r="G63" s="48">
        <v>11111111</v>
      </c>
      <c r="H63" s="48" t="s">
        <v>143</v>
      </c>
      <c r="I63" s="45"/>
      <c r="J63" s="46">
        <f t="shared" si="4"/>
        <v>43.220338983050851</v>
      </c>
      <c r="K63" s="46"/>
      <c r="L63" s="46"/>
      <c r="M63" s="46"/>
      <c r="N63" s="46">
        <f t="shared" si="5"/>
        <v>7.7796610169491531</v>
      </c>
      <c r="O63" s="46"/>
      <c r="P63" s="49">
        <v>51</v>
      </c>
      <c r="Q63" s="50"/>
      <c r="R63" s="43"/>
      <c r="S63" s="45"/>
      <c r="T63" s="44"/>
      <c r="U63" s="44"/>
      <c r="V63" s="51" t="s">
        <v>86</v>
      </c>
      <c r="W63" s="46"/>
      <c r="X63" s="47">
        <v>46194</v>
      </c>
      <c r="Y63" s="44" t="s">
        <v>87</v>
      </c>
      <c r="Z63" s="44"/>
      <c r="AA63" s="44"/>
      <c r="AB63" s="44" t="s">
        <v>813</v>
      </c>
      <c r="AC63" s="52"/>
      <c r="AD63" s="52">
        <v>1212</v>
      </c>
      <c r="AE63" s="54"/>
      <c r="AF63" s="55"/>
      <c r="AG63" s="55"/>
      <c r="AH63" s="56"/>
      <c r="AI63" s="56"/>
      <c r="AJ63" s="57"/>
      <c r="AK63" s="56"/>
      <c r="AL63" s="46">
        <v>18</v>
      </c>
      <c r="AM63" s="53" t="s">
        <v>941</v>
      </c>
      <c r="AN63" s="39"/>
      <c r="AO63" s="39"/>
      <c r="AP63" s="40"/>
    </row>
    <row r="64" spans="1:42" s="41" customFormat="1" ht="18.75" customHeight="1" x14ac:dyDescent="0.25">
      <c r="A64" s="47">
        <v>46194</v>
      </c>
      <c r="B64" s="43">
        <f t="shared" si="3"/>
        <v>46194</v>
      </c>
      <c r="C64" s="44" t="s">
        <v>814</v>
      </c>
      <c r="D64" s="48" t="s">
        <v>141</v>
      </c>
      <c r="E64" s="48">
        <v>3722</v>
      </c>
      <c r="F64" s="48">
        <v>1</v>
      </c>
      <c r="G64" s="48">
        <v>11111111</v>
      </c>
      <c r="H64" s="48" t="s">
        <v>143</v>
      </c>
      <c r="I64" s="45"/>
      <c r="J64" s="46">
        <f t="shared" si="4"/>
        <v>83.050847457627128</v>
      </c>
      <c r="K64" s="46"/>
      <c r="L64" s="46"/>
      <c r="M64" s="46"/>
      <c r="N64" s="46">
        <f t="shared" si="5"/>
        <v>14.949152542372882</v>
      </c>
      <c r="O64" s="46"/>
      <c r="P64" s="49">
        <v>98</v>
      </c>
      <c r="Q64" s="50"/>
      <c r="R64" s="43"/>
      <c r="S64" s="45"/>
      <c r="T64" s="44"/>
      <c r="U64" s="44"/>
      <c r="V64" s="51" t="s">
        <v>86</v>
      </c>
      <c r="W64" s="46"/>
      <c r="X64" s="47">
        <v>46194</v>
      </c>
      <c r="Y64" s="44" t="s">
        <v>87</v>
      </c>
      <c r="Z64" s="44"/>
      <c r="AA64" s="44"/>
      <c r="AB64" s="44" t="s">
        <v>813</v>
      </c>
      <c r="AC64" s="52"/>
      <c r="AD64" s="52">
        <v>1212</v>
      </c>
      <c r="AE64" s="54"/>
      <c r="AF64" s="55"/>
      <c r="AG64" s="55"/>
      <c r="AH64" s="56"/>
      <c r="AI64" s="56"/>
      <c r="AJ64" s="57"/>
      <c r="AK64" s="56"/>
      <c r="AL64" s="46">
        <v>18</v>
      </c>
      <c r="AM64" s="53" t="s">
        <v>941</v>
      </c>
      <c r="AN64" s="39"/>
      <c r="AO64" s="39"/>
      <c r="AP64" s="40"/>
    </row>
    <row r="65" spans="1:42" s="41" customFormat="1" ht="18.75" customHeight="1" x14ac:dyDescent="0.25">
      <c r="A65" s="47">
        <v>46194</v>
      </c>
      <c r="B65" s="43">
        <f t="shared" si="3"/>
        <v>46194</v>
      </c>
      <c r="C65" s="44" t="s">
        <v>814</v>
      </c>
      <c r="D65" s="48" t="s">
        <v>141</v>
      </c>
      <c r="E65" s="48">
        <v>3723</v>
      </c>
      <c r="F65" s="48">
        <v>1</v>
      </c>
      <c r="G65" s="48">
        <v>11111111</v>
      </c>
      <c r="H65" s="48" t="s">
        <v>143</v>
      </c>
      <c r="I65" s="45"/>
      <c r="J65" s="46">
        <f t="shared" si="4"/>
        <v>122.03389830508475</v>
      </c>
      <c r="K65" s="46"/>
      <c r="L65" s="46"/>
      <c r="M65" s="46"/>
      <c r="N65" s="46">
        <f t="shared" si="5"/>
        <v>21.966101694915253</v>
      </c>
      <c r="O65" s="46"/>
      <c r="P65" s="49">
        <v>144</v>
      </c>
      <c r="Q65" s="50"/>
      <c r="R65" s="43"/>
      <c r="S65" s="45"/>
      <c r="T65" s="44"/>
      <c r="U65" s="44"/>
      <c r="V65" s="51" t="s">
        <v>86</v>
      </c>
      <c r="W65" s="46"/>
      <c r="X65" s="47">
        <v>46194</v>
      </c>
      <c r="Y65" s="44" t="s">
        <v>87</v>
      </c>
      <c r="Z65" s="44"/>
      <c r="AA65" s="44"/>
      <c r="AB65" s="44" t="s">
        <v>813</v>
      </c>
      <c r="AC65" s="52"/>
      <c r="AD65" s="52">
        <v>1212</v>
      </c>
      <c r="AE65" s="54"/>
      <c r="AF65" s="55"/>
      <c r="AG65" s="55"/>
      <c r="AH65" s="56"/>
      <c r="AI65" s="56"/>
      <c r="AJ65" s="57"/>
      <c r="AK65" s="56"/>
      <c r="AL65" s="46">
        <v>18</v>
      </c>
      <c r="AM65" s="53" t="s">
        <v>941</v>
      </c>
      <c r="AN65" s="39"/>
      <c r="AO65" s="39"/>
      <c r="AP65" s="40"/>
    </row>
    <row r="66" spans="1:42" s="41" customFormat="1" ht="18.75" customHeight="1" x14ac:dyDescent="0.25">
      <c r="A66" s="47">
        <v>46194</v>
      </c>
      <c r="B66" s="43">
        <f t="shared" si="3"/>
        <v>46194</v>
      </c>
      <c r="C66" s="44" t="s">
        <v>814</v>
      </c>
      <c r="D66" s="48" t="s">
        <v>141</v>
      </c>
      <c r="E66" s="48">
        <v>3724</v>
      </c>
      <c r="F66" s="48">
        <v>1</v>
      </c>
      <c r="G66" s="48">
        <v>11111111</v>
      </c>
      <c r="H66" s="48" t="s">
        <v>143</v>
      </c>
      <c r="I66" s="45"/>
      <c r="J66" s="46">
        <f t="shared" si="4"/>
        <v>182.20338983050848</v>
      </c>
      <c r="K66" s="46"/>
      <c r="L66" s="46"/>
      <c r="M66" s="46"/>
      <c r="N66" s="46">
        <f t="shared" si="5"/>
        <v>32.79661016949153</v>
      </c>
      <c r="O66" s="46"/>
      <c r="P66" s="49">
        <v>215</v>
      </c>
      <c r="Q66" s="50"/>
      <c r="R66" s="43"/>
      <c r="S66" s="45"/>
      <c r="T66" s="44"/>
      <c r="U66" s="44"/>
      <c r="V66" s="51" t="s">
        <v>86</v>
      </c>
      <c r="W66" s="46"/>
      <c r="X66" s="47">
        <v>46194</v>
      </c>
      <c r="Y66" s="44" t="s">
        <v>87</v>
      </c>
      <c r="Z66" s="44"/>
      <c r="AA66" s="44"/>
      <c r="AB66" s="44" t="s">
        <v>813</v>
      </c>
      <c r="AC66" s="52"/>
      <c r="AD66" s="52">
        <v>1212</v>
      </c>
      <c r="AE66" s="54"/>
      <c r="AF66" s="55"/>
      <c r="AG66" s="55"/>
      <c r="AH66" s="56"/>
      <c r="AI66" s="56"/>
      <c r="AJ66" s="57"/>
      <c r="AK66" s="56"/>
      <c r="AL66" s="46">
        <v>18</v>
      </c>
      <c r="AM66" s="53" t="s">
        <v>941</v>
      </c>
      <c r="AN66" s="39"/>
      <c r="AO66" s="39"/>
      <c r="AP66" s="40"/>
    </row>
    <row r="67" spans="1:42" s="41" customFormat="1" ht="18.75" customHeight="1" x14ac:dyDescent="0.25">
      <c r="A67" s="47">
        <v>46194</v>
      </c>
      <c r="B67" s="43">
        <f t="shared" si="3"/>
        <v>46194</v>
      </c>
      <c r="C67" s="44" t="s">
        <v>814</v>
      </c>
      <c r="D67" s="48" t="s">
        <v>141</v>
      </c>
      <c r="E67" s="48">
        <v>3725</v>
      </c>
      <c r="F67" s="48">
        <v>1</v>
      </c>
      <c r="G67" s="48">
        <v>11111111</v>
      </c>
      <c r="H67" s="48" t="s">
        <v>143</v>
      </c>
      <c r="I67" s="45"/>
      <c r="J67" s="46">
        <f t="shared" si="4"/>
        <v>43.220338983050851</v>
      </c>
      <c r="K67" s="46"/>
      <c r="L67" s="46"/>
      <c r="M67" s="46"/>
      <c r="N67" s="46">
        <f t="shared" si="5"/>
        <v>7.7796610169491531</v>
      </c>
      <c r="O67" s="46"/>
      <c r="P67" s="49">
        <v>51</v>
      </c>
      <c r="Q67" s="50"/>
      <c r="R67" s="43"/>
      <c r="S67" s="45"/>
      <c r="T67" s="44"/>
      <c r="U67" s="44"/>
      <c r="V67" s="51" t="s">
        <v>86</v>
      </c>
      <c r="W67" s="46"/>
      <c r="X67" s="47">
        <v>46194</v>
      </c>
      <c r="Y67" s="44" t="s">
        <v>87</v>
      </c>
      <c r="Z67" s="44"/>
      <c r="AA67" s="44"/>
      <c r="AB67" s="44" t="s">
        <v>813</v>
      </c>
      <c r="AC67" s="52"/>
      <c r="AD67" s="52">
        <v>1212</v>
      </c>
      <c r="AE67" s="54"/>
      <c r="AF67" s="55"/>
      <c r="AG67" s="55"/>
      <c r="AH67" s="56"/>
      <c r="AI67" s="56"/>
      <c r="AJ67" s="57"/>
      <c r="AK67" s="56"/>
      <c r="AL67" s="46">
        <v>18</v>
      </c>
      <c r="AM67" s="53" t="s">
        <v>941</v>
      </c>
      <c r="AN67" s="39"/>
      <c r="AO67" s="39"/>
      <c r="AP67" s="40"/>
    </row>
    <row r="68" spans="1:42" s="41" customFormat="1" ht="18.75" customHeight="1" x14ac:dyDescent="0.25">
      <c r="A68" s="47">
        <v>46194</v>
      </c>
      <c r="B68" s="43">
        <f t="shared" si="3"/>
        <v>46194</v>
      </c>
      <c r="C68" s="44" t="s">
        <v>814</v>
      </c>
      <c r="D68" s="48" t="s">
        <v>141</v>
      </c>
      <c r="E68" s="48">
        <v>3726</v>
      </c>
      <c r="F68" s="48">
        <v>1</v>
      </c>
      <c r="G68" s="48">
        <v>11111111</v>
      </c>
      <c r="H68" s="48" t="s">
        <v>143</v>
      </c>
      <c r="I68" s="45"/>
      <c r="J68" s="46">
        <f t="shared" si="4"/>
        <v>79.66101694915254</v>
      </c>
      <c r="K68" s="46"/>
      <c r="L68" s="46"/>
      <c r="M68" s="46"/>
      <c r="N68" s="46">
        <f t="shared" si="5"/>
        <v>14.338983050847457</v>
      </c>
      <c r="O68" s="46"/>
      <c r="P68" s="49">
        <v>94</v>
      </c>
      <c r="Q68" s="50"/>
      <c r="R68" s="43"/>
      <c r="S68" s="45"/>
      <c r="T68" s="44"/>
      <c r="U68" s="44"/>
      <c r="V68" s="51" t="s">
        <v>86</v>
      </c>
      <c r="W68" s="46"/>
      <c r="X68" s="47">
        <v>46194</v>
      </c>
      <c r="Y68" s="44" t="s">
        <v>87</v>
      </c>
      <c r="Z68" s="44"/>
      <c r="AA68" s="44"/>
      <c r="AB68" s="44" t="s">
        <v>813</v>
      </c>
      <c r="AC68" s="52"/>
      <c r="AD68" s="52">
        <v>1212</v>
      </c>
      <c r="AE68" s="54"/>
      <c r="AF68" s="55"/>
      <c r="AG68" s="55"/>
      <c r="AH68" s="56"/>
      <c r="AI68" s="56"/>
      <c r="AJ68" s="57"/>
      <c r="AK68" s="56"/>
      <c r="AL68" s="46">
        <v>18</v>
      </c>
      <c r="AM68" s="53" t="s">
        <v>941</v>
      </c>
      <c r="AN68" s="39"/>
      <c r="AO68" s="39"/>
      <c r="AP68" s="40"/>
    </row>
    <row r="69" spans="1:42" s="41" customFormat="1" ht="18.75" customHeight="1" x14ac:dyDescent="0.25">
      <c r="A69" s="47">
        <v>46194</v>
      </c>
      <c r="B69" s="43">
        <f t="shared" si="3"/>
        <v>46194</v>
      </c>
      <c r="C69" s="44" t="s">
        <v>814</v>
      </c>
      <c r="D69" s="48" t="s">
        <v>141</v>
      </c>
      <c r="E69" s="48">
        <v>3727</v>
      </c>
      <c r="F69" s="48">
        <v>1</v>
      </c>
      <c r="G69" s="48">
        <v>11111111</v>
      </c>
      <c r="H69" s="48" t="s">
        <v>143</v>
      </c>
      <c r="I69" s="45"/>
      <c r="J69" s="46">
        <f t="shared" si="4"/>
        <v>76.271186440677965</v>
      </c>
      <c r="K69" s="46"/>
      <c r="L69" s="46"/>
      <c r="M69" s="46"/>
      <c r="N69" s="46">
        <f t="shared" si="5"/>
        <v>13.728813559322033</v>
      </c>
      <c r="O69" s="46"/>
      <c r="P69" s="49">
        <v>90</v>
      </c>
      <c r="Q69" s="50"/>
      <c r="R69" s="43"/>
      <c r="S69" s="45"/>
      <c r="T69" s="44"/>
      <c r="U69" s="44"/>
      <c r="V69" s="51" t="s">
        <v>86</v>
      </c>
      <c r="W69" s="46"/>
      <c r="X69" s="47">
        <v>46194</v>
      </c>
      <c r="Y69" s="44" t="s">
        <v>87</v>
      </c>
      <c r="Z69" s="44"/>
      <c r="AA69" s="44"/>
      <c r="AB69" s="44" t="s">
        <v>813</v>
      </c>
      <c r="AC69" s="52"/>
      <c r="AD69" s="52">
        <v>1212</v>
      </c>
      <c r="AE69" s="54"/>
      <c r="AF69" s="55"/>
      <c r="AG69" s="55"/>
      <c r="AH69" s="56"/>
      <c r="AI69" s="56"/>
      <c r="AJ69" s="57"/>
      <c r="AK69" s="56"/>
      <c r="AL69" s="46">
        <v>18</v>
      </c>
      <c r="AM69" s="53" t="s">
        <v>941</v>
      </c>
      <c r="AN69" s="39"/>
      <c r="AO69" s="39"/>
      <c r="AP69" s="40"/>
    </row>
    <row r="70" spans="1:42" s="41" customFormat="1" ht="18.75" customHeight="1" x14ac:dyDescent="0.25">
      <c r="A70" s="47">
        <v>46194</v>
      </c>
      <c r="B70" s="43">
        <f t="shared" si="3"/>
        <v>46194</v>
      </c>
      <c r="C70" s="44" t="s">
        <v>814</v>
      </c>
      <c r="D70" s="48" t="s">
        <v>141</v>
      </c>
      <c r="E70" s="48">
        <v>3728</v>
      </c>
      <c r="F70" s="48">
        <v>1</v>
      </c>
      <c r="G70" s="48">
        <v>11111111</v>
      </c>
      <c r="H70" s="48" t="s">
        <v>143</v>
      </c>
      <c r="I70" s="45"/>
      <c r="J70" s="46">
        <f t="shared" si="4"/>
        <v>42.372881355932208</v>
      </c>
      <c r="K70" s="46"/>
      <c r="L70" s="46"/>
      <c r="M70" s="46"/>
      <c r="N70" s="46">
        <f t="shared" si="5"/>
        <v>7.6271186440677967</v>
      </c>
      <c r="O70" s="46"/>
      <c r="P70" s="49">
        <v>50</v>
      </c>
      <c r="Q70" s="50"/>
      <c r="R70" s="43"/>
      <c r="S70" s="45"/>
      <c r="T70" s="44"/>
      <c r="U70" s="44"/>
      <c r="V70" s="51" t="s">
        <v>86</v>
      </c>
      <c r="W70" s="46"/>
      <c r="X70" s="47">
        <v>46194</v>
      </c>
      <c r="Y70" s="44" t="s">
        <v>87</v>
      </c>
      <c r="Z70" s="44"/>
      <c r="AA70" s="44"/>
      <c r="AB70" s="44" t="s">
        <v>813</v>
      </c>
      <c r="AC70" s="52"/>
      <c r="AD70" s="52">
        <v>1212</v>
      </c>
      <c r="AE70" s="54"/>
      <c r="AF70" s="55"/>
      <c r="AG70" s="55"/>
      <c r="AH70" s="56"/>
      <c r="AI70" s="56"/>
      <c r="AJ70" s="57"/>
      <c r="AK70" s="56"/>
      <c r="AL70" s="46">
        <v>18</v>
      </c>
      <c r="AM70" s="53" t="s">
        <v>941</v>
      </c>
      <c r="AN70" s="39"/>
      <c r="AO70" s="39"/>
      <c r="AP70" s="40"/>
    </row>
    <row r="71" spans="1:42" s="41" customFormat="1" ht="18.75" customHeight="1" x14ac:dyDescent="0.25">
      <c r="A71" s="47">
        <v>46194</v>
      </c>
      <c r="B71" s="43">
        <f t="shared" si="3"/>
        <v>46194</v>
      </c>
      <c r="C71" s="44" t="s">
        <v>814</v>
      </c>
      <c r="D71" s="48" t="s">
        <v>141</v>
      </c>
      <c r="E71" s="48">
        <v>3729</v>
      </c>
      <c r="F71" s="48">
        <v>1</v>
      </c>
      <c r="G71" s="48">
        <v>11111111</v>
      </c>
      <c r="H71" s="48" t="s">
        <v>143</v>
      </c>
      <c r="I71" s="45"/>
      <c r="J71" s="46">
        <f t="shared" si="4"/>
        <v>149.15254237288136</v>
      </c>
      <c r="K71" s="46"/>
      <c r="L71" s="46"/>
      <c r="M71" s="46"/>
      <c r="N71" s="46">
        <f t="shared" si="5"/>
        <v>26.847457627118644</v>
      </c>
      <c r="O71" s="46"/>
      <c r="P71" s="49">
        <v>176</v>
      </c>
      <c r="Q71" s="50"/>
      <c r="R71" s="43"/>
      <c r="S71" s="45"/>
      <c r="T71" s="44"/>
      <c r="U71" s="44"/>
      <c r="V71" s="51" t="s">
        <v>86</v>
      </c>
      <c r="W71" s="46"/>
      <c r="X71" s="47">
        <v>46194</v>
      </c>
      <c r="Y71" s="44" t="s">
        <v>87</v>
      </c>
      <c r="Z71" s="44"/>
      <c r="AA71" s="44"/>
      <c r="AB71" s="44" t="s">
        <v>813</v>
      </c>
      <c r="AC71" s="52"/>
      <c r="AD71" s="52">
        <v>1212</v>
      </c>
      <c r="AE71" s="54"/>
      <c r="AF71" s="55"/>
      <c r="AG71" s="55"/>
      <c r="AH71" s="56"/>
      <c r="AI71" s="56"/>
      <c r="AJ71" s="57"/>
      <c r="AK71" s="56"/>
      <c r="AL71" s="46">
        <v>18</v>
      </c>
      <c r="AM71" s="53" t="s">
        <v>941</v>
      </c>
      <c r="AN71" s="39"/>
      <c r="AO71" s="39"/>
      <c r="AP71" s="40"/>
    </row>
    <row r="72" spans="1:42" s="41" customFormat="1" ht="18.75" customHeight="1" x14ac:dyDescent="0.25">
      <c r="A72" s="47">
        <v>46194</v>
      </c>
      <c r="B72" s="43">
        <f t="shared" si="3"/>
        <v>46194</v>
      </c>
      <c r="C72" s="44" t="s">
        <v>814</v>
      </c>
      <c r="D72" s="48" t="s">
        <v>141</v>
      </c>
      <c r="E72" s="48">
        <v>3730</v>
      </c>
      <c r="F72" s="48">
        <v>1</v>
      </c>
      <c r="G72" s="48">
        <v>11111111</v>
      </c>
      <c r="H72" s="48" t="s">
        <v>143</v>
      </c>
      <c r="I72" s="45"/>
      <c r="J72" s="46">
        <f t="shared" si="4"/>
        <v>43.220338983050851</v>
      </c>
      <c r="K72" s="46"/>
      <c r="L72" s="46"/>
      <c r="M72" s="46"/>
      <c r="N72" s="46">
        <f t="shared" si="5"/>
        <v>7.7796610169491531</v>
      </c>
      <c r="O72" s="46"/>
      <c r="P72" s="49">
        <v>51</v>
      </c>
      <c r="Q72" s="50"/>
      <c r="R72" s="43"/>
      <c r="S72" s="45"/>
      <c r="T72" s="44"/>
      <c r="U72" s="44"/>
      <c r="V72" s="51" t="s">
        <v>86</v>
      </c>
      <c r="W72" s="46"/>
      <c r="X72" s="47">
        <v>46194</v>
      </c>
      <c r="Y72" s="44" t="s">
        <v>87</v>
      </c>
      <c r="Z72" s="44"/>
      <c r="AA72" s="44"/>
      <c r="AB72" s="44" t="s">
        <v>813</v>
      </c>
      <c r="AC72" s="52"/>
      <c r="AD72" s="52">
        <v>1212</v>
      </c>
      <c r="AE72" s="54"/>
      <c r="AF72" s="55"/>
      <c r="AG72" s="55"/>
      <c r="AH72" s="56"/>
      <c r="AI72" s="56"/>
      <c r="AJ72" s="57"/>
      <c r="AK72" s="56"/>
      <c r="AL72" s="46">
        <v>18</v>
      </c>
      <c r="AM72" s="53" t="s">
        <v>941</v>
      </c>
      <c r="AN72" s="39"/>
      <c r="AO72" s="39"/>
      <c r="AP72" s="40"/>
    </row>
    <row r="73" spans="1:42" s="41" customFormat="1" ht="18.75" customHeight="1" x14ac:dyDescent="0.25">
      <c r="A73" s="47">
        <v>46194</v>
      </c>
      <c r="B73" s="43">
        <f t="shared" ref="B73:B136" si="6">+A73</f>
        <v>46194</v>
      </c>
      <c r="C73" s="44" t="s">
        <v>814</v>
      </c>
      <c r="D73" s="48" t="s">
        <v>141</v>
      </c>
      <c r="E73" s="48">
        <v>3731</v>
      </c>
      <c r="F73" s="48">
        <v>1</v>
      </c>
      <c r="G73" s="48">
        <v>11111111</v>
      </c>
      <c r="H73" s="48" t="s">
        <v>143</v>
      </c>
      <c r="I73" s="45"/>
      <c r="J73" s="46">
        <f t="shared" ref="J73:J136" si="7">+P73/1.18</f>
        <v>182.20338983050848</v>
      </c>
      <c r="K73" s="46"/>
      <c r="L73" s="46"/>
      <c r="M73" s="46"/>
      <c r="N73" s="46">
        <f t="shared" ref="N73:N136" si="8">+J73*0.18</f>
        <v>32.79661016949153</v>
      </c>
      <c r="O73" s="46"/>
      <c r="P73" s="49">
        <v>215</v>
      </c>
      <c r="Q73" s="50"/>
      <c r="R73" s="43"/>
      <c r="S73" s="45"/>
      <c r="T73" s="44"/>
      <c r="U73" s="44"/>
      <c r="V73" s="51" t="s">
        <v>86</v>
      </c>
      <c r="W73" s="46"/>
      <c r="X73" s="47">
        <v>46194</v>
      </c>
      <c r="Y73" s="44" t="s">
        <v>87</v>
      </c>
      <c r="Z73" s="44"/>
      <c r="AA73" s="44"/>
      <c r="AB73" s="44" t="s">
        <v>813</v>
      </c>
      <c r="AC73" s="52"/>
      <c r="AD73" s="52">
        <v>1212</v>
      </c>
      <c r="AE73" s="54"/>
      <c r="AF73" s="55"/>
      <c r="AG73" s="55"/>
      <c r="AH73" s="56"/>
      <c r="AI73" s="56"/>
      <c r="AJ73" s="57"/>
      <c r="AK73" s="56"/>
      <c r="AL73" s="46">
        <v>18</v>
      </c>
      <c r="AM73" s="53" t="s">
        <v>941</v>
      </c>
      <c r="AN73" s="39"/>
      <c r="AO73" s="39"/>
      <c r="AP73" s="40"/>
    </row>
    <row r="74" spans="1:42" s="41" customFormat="1" ht="18.75" customHeight="1" x14ac:dyDescent="0.25">
      <c r="A74" s="47">
        <v>46194</v>
      </c>
      <c r="B74" s="43">
        <f t="shared" si="6"/>
        <v>46194</v>
      </c>
      <c r="C74" s="44" t="s">
        <v>814</v>
      </c>
      <c r="D74" s="48" t="s">
        <v>141</v>
      </c>
      <c r="E74" s="48">
        <v>3732</v>
      </c>
      <c r="F74" s="48">
        <v>1</v>
      </c>
      <c r="G74" s="48">
        <v>11111111</v>
      </c>
      <c r="H74" s="48" t="s">
        <v>143</v>
      </c>
      <c r="I74" s="45"/>
      <c r="J74" s="46">
        <f t="shared" si="7"/>
        <v>42.372881355932208</v>
      </c>
      <c r="K74" s="46"/>
      <c r="L74" s="46"/>
      <c r="M74" s="46"/>
      <c r="N74" s="46">
        <f t="shared" si="8"/>
        <v>7.6271186440677967</v>
      </c>
      <c r="O74" s="46"/>
      <c r="P74" s="49">
        <v>50</v>
      </c>
      <c r="Q74" s="50"/>
      <c r="R74" s="43"/>
      <c r="S74" s="45"/>
      <c r="T74" s="44"/>
      <c r="U74" s="44"/>
      <c r="V74" s="51" t="s">
        <v>86</v>
      </c>
      <c r="W74" s="46"/>
      <c r="X74" s="47">
        <v>46194</v>
      </c>
      <c r="Y74" s="44" t="s">
        <v>87</v>
      </c>
      <c r="Z74" s="44"/>
      <c r="AA74" s="44"/>
      <c r="AB74" s="44" t="s">
        <v>813</v>
      </c>
      <c r="AC74" s="52"/>
      <c r="AD74" s="52">
        <v>1212</v>
      </c>
      <c r="AE74" s="54"/>
      <c r="AF74" s="55"/>
      <c r="AG74" s="55"/>
      <c r="AH74" s="56"/>
      <c r="AI74" s="56"/>
      <c r="AJ74" s="57"/>
      <c r="AK74" s="56"/>
      <c r="AL74" s="46">
        <v>18</v>
      </c>
      <c r="AM74" s="53" t="s">
        <v>941</v>
      </c>
      <c r="AN74" s="39"/>
      <c r="AO74" s="39"/>
      <c r="AP74" s="40"/>
    </row>
    <row r="75" spans="1:42" s="41" customFormat="1" ht="18.75" customHeight="1" x14ac:dyDescent="0.25">
      <c r="A75" s="47">
        <v>46194</v>
      </c>
      <c r="B75" s="43">
        <f t="shared" si="6"/>
        <v>46194</v>
      </c>
      <c r="C75" s="44" t="s">
        <v>814</v>
      </c>
      <c r="D75" s="48" t="s">
        <v>141</v>
      </c>
      <c r="E75" s="48">
        <v>3733</v>
      </c>
      <c r="F75" s="48">
        <v>1</v>
      </c>
      <c r="G75" s="48">
        <v>11111111</v>
      </c>
      <c r="H75" s="48" t="s">
        <v>143</v>
      </c>
      <c r="I75" s="45"/>
      <c r="J75" s="46">
        <f t="shared" si="7"/>
        <v>79.66101694915254</v>
      </c>
      <c r="K75" s="46"/>
      <c r="L75" s="46"/>
      <c r="M75" s="46"/>
      <c r="N75" s="46">
        <f t="shared" si="8"/>
        <v>14.338983050847457</v>
      </c>
      <c r="O75" s="46"/>
      <c r="P75" s="49">
        <v>94</v>
      </c>
      <c r="Q75" s="50"/>
      <c r="R75" s="43"/>
      <c r="S75" s="45"/>
      <c r="T75" s="44"/>
      <c r="U75" s="44"/>
      <c r="V75" s="51" t="s">
        <v>86</v>
      </c>
      <c r="W75" s="46"/>
      <c r="X75" s="47">
        <v>46194</v>
      </c>
      <c r="Y75" s="44" t="s">
        <v>87</v>
      </c>
      <c r="Z75" s="44"/>
      <c r="AA75" s="44"/>
      <c r="AB75" s="44" t="s">
        <v>813</v>
      </c>
      <c r="AC75" s="52"/>
      <c r="AD75" s="52">
        <v>1212</v>
      </c>
      <c r="AE75" s="54"/>
      <c r="AF75" s="55"/>
      <c r="AG75" s="55"/>
      <c r="AH75" s="56"/>
      <c r="AI75" s="56"/>
      <c r="AJ75" s="57"/>
      <c r="AK75" s="56"/>
      <c r="AL75" s="46">
        <v>18</v>
      </c>
      <c r="AM75" s="53" t="s">
        <v>941</v>
      </c>
      <c r="AN75" s="39"/>
      <c r="AO75" s="39"/>
      <c r="AP75" s="40"/>
    </row>
    <row r="76" spans="1:42" s="41" customFormat="1" ht="18.75" customHeight="1" x14ac:dyDescent="0.25">
      <c r="A76" s="47">
        <v>46194</v>
      </c>
      <c r="B76" s="43">
        <f t="shared" si="6"/>
        <v>46194</v>
      </c>
      <c r="C76" s="44" t="s">
        <v>814</v>
      </c>
      <c r="D76" s="48" t="s">
        <v>141</v>
      </c>
      <c r="E76" s="48">
        <v>3734</v>
      </c>
      <c r="F76" s="48">
        <v>1</v>
      </c>
      <c r="G76" s="48">
        <v>11111111</v>
      </c>
      <c r="H76" s="48" t="s">
        <v>143</v>
      </c>
      <c r="I76" s="45"/>
      <c r="J76" s="46">
        <f t="shared" si="7"/>
        <v>114.40677966101696</v>
      </c>
      <c r="K76" s="46"/>
      <c r="L76" s="46"/>
      <c r="M76" s="46"/>
      <c r="N76" s="46">
        <f t="shared" si="8"/>
        <v>20.593220338983052</v>
      </c>
      <c r="O76" s="46"/>
      <c r="P76" s="49">
        <v>135</v>
      </c>
      <c r="Q76" s="50"/>
      <c r="R76" s="43"/>
      <c r="S76" s="45"/>
      <c r="T76" s="44"/>
      <c r="U76" s="44"/>
      <c r="V76" s="51" t="s">
        <v>86</v>
      </c>
      <c r="W76" s="46"/>
      <c r="X76" s="47">
        <v>46194</v>
      </c>
      <c r="Y76" s="44" t="s">
        <v>87</v>
      </c>
      <c r="Z76" s="44"/>
      <c r="AA76" s="44"/>
      <c r="AB76" s="44" t="s">
        <v>813</v>
      </c>
      <c r="AC76" s="52"/>
      <c r="AD76" s="52">
        <v>1212</v>
      </c>
      <c r="AE76" s="54"/>
      <c r="AF76" s="55"/>
      <c r="AG76" s="55"/>
      <c r="AH76" s="56"/>
      <c r="AI76" s="56"/>
      <c r="AJ76" s="57"/>
      <c r="AK76" s="56"/>
      <c r="AL76" s="46">
        <v>18</v>
      </c>
      <c r="AM76" s="53" t="s">
        <v>941</v>
      </c>
      <c r="AN76" s="39"/>
      <c r="AO76" s="39"/>
      <c r="AP76" s="40"/>
    </row>
    <row r="77" spans="1:42" s="41" customFormat="1" ht="18.75" customHeight="1" x14ac:dyDescent="0.25">
      <c r="A77" s="47">
        <v>46194</v>
      </c>
      <c r="B77" s="43">
        <f t="shared" si="6"/>
        <v>46194</v>
      </c>
      <c r="C77" s="44" t="s">
        <v>814</v>
      </c>
      <c r="D77" s="48" t="s">
        <v>141</v>
      </c>
      <c r="E77" s="48">
        <v>3735</v>
      </c>
      <c r="F77" s="48">
        <v>1</v>
      </c>
      <c r="G77" s="48">
        <v>11111111</v>
      </c>
      <c r="H77" s="48" t="s">
        <v>143</v>
      </c>
      <c r="I77" s="45"/>
      <c r="J77" s="46">
        <f t="shared" si="7"/>
        <v>42.372881355932208</v>
      </c>
      <c r="K77" s="46"/>
      <c r="L77" s="46"/>
      <c r="M77" s="46"/>
      <c r="N77" s="46">
        <f t="shared" si="8"/>
        <v>7.6271186440677967</v>
      </c>
      <c r="O77" s="46"/>
      <c r="P77" s="49">
        <v>50</v>
      </c>
      <c r="Q77" s="50"/>
      <c r="R77" s="43"/>
      <c r="S77" s="45"/>
      <c r="T77" s="44"/>
      <c r="U77" s="44"/>
      <c r="V77" s="51" t="s">
        <v>86</v>
      </c>
      <c r="W77" s="46"/>
      <c r="X77" s="47">
        <v>46194</v>
      </c>
      <c r="Y77" s="44" t="s">
        <v>87</v>
      </c>
      <c r="Z77" s="44"/>
      <c r="AA77" s="44"/>
      <c r="AB77" s="44" t="s">
        <v>813</v>
      </c>
      <c r="AC77" s="52"/>
      <c r="AD77" s="52">
        <v>1212</v>
      </c>
      <c r="AE77" s="54"/>
      <c r="AF77" s="55"/>
      <c r="AG77" s="55"/>
      <c r="AH77" s="56"/>
      <c r="AI77" s="56"/>
      <c r="AJ77" s="57"/>
      <c r="AK77" s="56"/>
      <c r="AL77" s="46">
        <v>18</v>
      </c>
      <c r="AM77" s="53" t="s">
        <v>941</v>
      </c>
      <c r="AN77" s="39"/>
      <c r="AO77" s="39"/>
      <c r="AP77" s="40"/>
    </row>
    <row r="78" spans="1:42" s="41" customFormat="1" ht="18.75" customHeight="1" x14ac:dyDescent="0.25">
      <c r="A78" s="47">
        <v>46194</v>
      </c>
      <c r="B78" s="43">
        <f t="shared" si="6"/>
        <v>46194</v>
      </c>
      <c r="C78" s="44" t="s">
        <v>814</v>
      </c>
      <c r="D78" s="48" t="s">
        <v>141</v>
      </c>
      <c r="E78" s="48">
        <v>3736</v>
      </c>
      <c r="F78" s="48">
        <v>1</v>
      </c>
      <c r="G78" s="48">
        <v>11111111</v>
      </c>
      <c r="H78" s="48" t="s">
        <v>143</v>
      </c>
      <c r="I78" s="45"/>
      <c r="J78" s="46">
        <f t="shared" si="7"/>
        <v>42.372881355932208</v>
      </c>
      <c r="K78" s="46"/>
      <c r="L78" s="46"/>
      <c r="M78" s="46"/>
      <c r="N78" s="46">
        <f t="shared" si="8"/>
        <v>7.6271186440677967</v>
      </c>
      <c r="O78" s="46"/>
      <c r="P78" s="49">
        <v>50</v>
      </c>
      <c r="Q78" s="50"/>
      <c r="R78" s="43"/>
      <c r="S78" s="45"/>
      <c r="T78" s="44"/>
      <c r="U78" s="44"/>
      <c r="V78" s="51" t="s">
        <v>86</v>
      </c>
      <c r="W78" s="46"/>
      <c r="X78" s="47">
        <v>46194</v>
      </c>
      <c r="Y78" s="44" t="s">
        <v>87</v>
      </c>
      <c r="Z78" s="44"/>
      <c r="AA78" s="44"/>
      <c r="AB78" s="44" t="s">
        <v>813</v>
      </c>
      <c r="AC78" s="52"/>
      <c r="AD78" s="52">
        <v>1212</v>
      </c>
      <c r="AE78" s="54"/>
      <c r="AF78" s="55"/>
      <c r="AG78" s="55"/>
      <c r="AH78" s="56"/>
      <c r="AI78" s="56"/>
      <c r="AJ78" s="57"/>
      <c r="AK78" s="56"/>
      <c r="AL78" s="46">
        <v>18</v>
      </c>
      <c r="AM78" s="53" t="s">
        <v>941</v>
      </c>
      <c r="AN78" s="39"/>
      <c r="AO78" s="39"/>
      <c r="AP78" s="40"/>
    </row>
    <row r="79" spans="1:42" s="41" customFormat="1" ht="18.75" customHeight="1" x14ac:dyDescent="0.25">
      <c r="A79" s="47">
        <v>46194</v>
      </c>
      <c r="B79" s="43">
        <f t="shared" si="6"/>
        <v>46194</v>
      </c>
      <c r="C79" s="44" t="s">
        <v>814</v>
      </c>
      <c r="D79" s="48" t="s">
        <v>141</v>
      </c>
      <c r="E79" s="48">
        <v>3737</v>
      </c>
      <c r="F79" s="48">
        <v>1</v>
      </c>
      <c r="G79" s="48">
        <v>41372681</v>
      </c>
      <c r="H79" s="48" t="s">
        <v>238</v>
      </c>
      <c r="I79" s="45"/>
      <c r="J79" s="46">
        <f t="shared" si="7"/>
        <v>364.40677966101697</v>
      </c>
      <c r="K79" s="46"/>
      <c r="L79" s="46"/>
      <c r="M79" s="46"/>
      <c r="N79" s="46">
        <f t="shared" si="8"/>
        <v>65.593220338983059</v>
      </c>
      <c r="O79" s="46"/>
      <c r="P79" s="49">
        <v>430</v>
      </c>
      <c r="Q79" s="50"/>
      <c r="R79" s="43"/>
      <c r="S79" s="45"/>
      <c r="T79" s="44"/>
      <c r="U79" s="44"/>
      <c r="V79" s="51" t="s">
        <v>86</v>
      </c>
      <c r="W79" s="46"/>
      <c r="X79" s="47">
        <v>46194</v>
      </c>
      <c r="Y79" s="44" t="s">
        <v>87</v>
      </c>
      <c r="Z79" s="44"/>
      <c r="AA79" s="44"/>
      <c r="AB79" s="44" t="s">
        <v>813</v>
      </c>
      <c r="AC79" s="52"/>
      <c r="AD79" s="52">
        <v>1212</v>
      </c>
      <c r="AE79" s="54"/>
      <c r="AF79" s="55"/>
      <c r="AG79" s="55"/>
      <c r="AH79" s="56"/>
      <c r="AI79" s="56"/>
      <c r="AJ79" s="57"/>
      <c r="AK79" s="56"/>
      <c r="AL79" s="46">
        <v>18</v>
      </c>
      <c r="AM79" s="53" t="s">
        <v>941</v>
      </c>
      <c r="AN79" s="39"/>
      <c r="AO79" s="39"/>
      <c r="AP79" s="40"/>
    </row>
    <row r="80" spans="1:42" s="41" customFormat="1" ht="18.75" customHeight="1" x14ac:dyDescent="0.25">
      <c r="A80" s="47">
        <v>46194</v>
      </c>
      <c r="B80" s="43">
        <f t="shared" si="6"/>
        <v>46194</v>
      </c>
      <c r="C80" s="44" t="s">
        <v>814</v>
      </c>
      <c r="D80" s="48" t="s">
        <v>141</v>
      </c>
      <c r="E80" s="48">
        <v>3738</v>
      </c>
      <c r="F80" s="48">
        <v>1</v>
      </c>
      <c r="G80" s="48">
        <v>10515186</v>
      </c>
      <c r="H80" s="48" t="s">
        <v>286</v>
      </c>
      <c r="I80" s="45"/>
      <c r="J80" s="46">
        <f t="shared" si="7"/>
        <v>43.220338983050851</v>
      </c>
      <c r="K80" s="46"/>
      <c r="L80" s="46"/>
      <c r="M80" s="46"/>
      <c r="N80" s="46">
        <f t="shared" si="8"/>
        <v>7.7796610169491531</v>
      </c>
      <c r="O80" s="46"/>
      <c r="P80" s="49">
        <v>51</v>
      </c>
      <c r="Q80" s="50"/>
      <c r="R80" s="43"/>
      <c r="S80" s="45"/>
      <c r="T80" s="44"/>
      <c r="U80" s="44"/>
      <c r="V80" s="51" t="s">
        <v>86</v>
      </c>
      <c r="W80" s="46"/>
      <c r="X80" s="47">
        <v>46194</v>
      </c>
      <c r="Y80" s="44" t="s">
        <v>87</v>
      </c>
      <c r="Z80" s="44"/>
      <c r="AA80" s="44"/>
      <c r="AB80" s="44" t="s">
        <v>813</v>
      </c>
      <c r="AC80" s="52"/>
      <c r="AD80" s="52">
        <v>1212</v>
      </c>
      <c r="AE80" s="54"/>
      <c r="AF80" s="55"/>
      <c r="AG80" s="55"/>
      <c r="AH80" s="56"/>
      <c r="AI80" s="56"/>
      <c r="AJ80" s="57"/>
      <c r="AK80" s="56"/>
      <c r="AL80" s="46">
        <v>18</v>
      </c>
      <c r="AM80" s="53" t="s">
        <v>941</v>
      </c>
      <c r="AN80" s="39"/>
      <c r="AO80" s="39"/>
      <c r="AP80" s="40"/>
    </row>
    <row r="81" spans="1:42" s="41" customFormat="1" ht="18.75" customHeight="1" x14ac:dyDescent="0.25">
      <c r="A81" s="47">
        <v>46194</v>
      </c>
      <c r="B81" s="43">
        <f t="shared" si="6"/>
        <v>46194</v>
      </c>
      <c r="C81" s="44" t="s">
        <v>814</v>
      </c>
      <c r="D81" s="48" t="s">
        <v>141</v>
      </c>
      <c r="E81" s="48">
        <v>3739</v>
      </c>
      <c r="F81" s="48">
        <v>1</v>
      </c>
      <c r="G81" s="48">
        <v>11111111</v>
      </c>
      <c r="H81" s="48" t="s">
        <v>143</v>
      </c>
      <c r="I81" s="45"/>
      <c r="J81" s="46">
        <f t="shared" si="7"/>
        <v>79.66101694915254</v>
      </c>
      <c r="K81" s="46"/>
      <c r="L81" s="46"/>
      <c r="M81" s="46"/>
      <c r="N81" s="46">
        <f t="shared" si="8"/>
        <v>14.338983050847457</v>
      </c>
      <c r="O81" s="46"/>
      <c r="P81" s="49">
        <v>94</v>
      </c>
      <c r="Q81" s="50"/>
      <c r="R81" s="43"/>
      <c r="S81" s="45"/>
      <c r="T81" s="44"/>
      <c r="U81" s="44"/>
      <c r="V81" s="51" t="s">
        <v>86</v>
      </c>
      <c r="W81" s="46"/>
      <c r="X81" s="47">
        <v>46194</v>
      </c>
      <c r="Y81" s="44" t="s">
        <v>87</v>
      </c>
      <c r="Z81" s="44"/>
      <c r="AA81" s="44"/>
      <c r="AB81" s="44" t="s">
        <v>813</v>
      </c>
      <c r="AC81" s="52"/>
      <c r="AD81" s="52">
        <v>1212</v>
      </c>
      <c r="AE81" s="54"/>
      <c r="AF81" s="55"/>
      <c r="AG81" s="55"/>
      <c r="AH81" s="56"/>
      <c r="AI81" s="56"/>
      <c r="AJ81" s="57"/>
      <c r="AK81" s="56"/>
      <c r="AL81" s="46">
        <v>18</v>
      </c>
      <c r="AM81" s="53" t="s">
        <v>941</v>
      </c>
      <c r="AN81" s="39"/>
      <c r="AO81" s="39"/>
      <c r="AP81" s="40"/>
    </row>
    <row r="82" spans="1:42" s="41" customFormat="1" ht="18.75" customHeight="1" x14ac:dyDescent="0.25">
      <c r="A82" s="47">
        <v>46194</v>
      </c>
      <c r="B82" s="43">
        <f t="shared" si="6"/>
        <v>46194</v>
      </c>
      <c r="C82" s="44" t="s">
        <v>814</v>
      </c>
      <c r="D82" s="48" t="s">
        <v>141</v>
      </c>
      <c r="E82" s="48">
        <v>3740</v>
      </c>
      <c r="F82" s="48">
        <v>1</v>
      </c>
      <c r="G82" s="48">
        <v>11111111</v>
      </c>
      <c r="H82" s="48" t="s">
        <v>143</v>
      </c>
      <c r="I82" s="45"/>
      <c r="J82" s="46">
        <f t="shared" si="7"/>
        <v>111.86440677966102</v>
      </c>
      <c r="K82" s="46"/>
      <c r="L82" s="46"/>
      <c r="M82" s="46"/>
      <c r="N82" s="46">
        <f t="shared" si="8"/>
        <v>20.135593220338983</v>
      </c>
      <c r="O82" s="46"/>
      <c r="P82" s="49">
        <v>132</v>
      </c>
      <c r="Q82" s="50"/>
      <c r="R82" s="43"/>
      <c r="S82" s="45"/>
      <c r="T82" s="44"/>
      <c r="U82" s="44"/>
      <c r="V82" s="51" t="s">
        <v>86</v>
      </c>
      <c r="W82" s="46"/>
      <c r="X82" s="47">
        <v>46194</v>
      </c>
      <c r="Y82" s="44" t="s">
        <v>87</v>
      </c>
      <c r="Z82" s="44"/>
      <c r="AA82" s="44"/>
      <c r="AB82" s="44" t="s">
        <v>813</v>
      </c>
      <c r="AC82" s="52"/>
      <c r="AD82" s="52">
        <v>1212</v>
      </c>
      <c r="AE82" s="54"/>
      <c r="AF82" s="55"/>
      <c r="AG82" s="55"/>
      <c r="AH82" s="56"/>
      <c r="AI82" s="56"/>
      <c r="AJ82" s="57"/>
      <c r="AK82" s="56"/>
      <c r="AL82" s="46">
        <v>18</v>
      </c>
      <c r="AM82" s="53" t="s">
        <v>941</v>
      </c>
      <c r="AN82" s="39"/>
      <c r="AO82" s="39"/>
      <c r="AP82" s="40"/>
    </row>
    <row r="83" spans="1:42" s="41" customFormat="1" ht="18.75" customHeight="1" x14ac:dyDescent="0.25">
      <c r="A83" s="47">
        <v>46195</v>
      </c>
      <c r="B83" s="43">
        <f t="shared" si="6"/>
        <v>46195</v>
      </c>
      <c r="C83" s="44" t="s">
        <v>814</v>
      </c>
      <c r="D83" s="48" t="s">
        <v>141</v>
      </c>
      <c r="E83" s="48">
        <v>3741</v>
      </c>
      <c r="F83" s="48">
        <v>1</v>
      </c>
      <c r="G83" s="48">
        <v>70386655</v>
      </c>
      <c r="H83" s="48" t="s">
        <v>291</v>
      </c>
      <c r="I83" s="45"/>
      <c r="J83" s="46">
        <f t="shared" si="7"/>
        <v>43.220338983050851</v>
      </c>
      <c r="K83" s="46"/>
      <c r="L83" s="46"/>
      <c r="M83" s="46"/>
      <c r="N83" s="46">
        <f t="shared" si="8"/>
        <v>7.7796610169491531</v>
      </c>
      <c r="O83" s="46"/>
      <c r="P83" s="49">
        <v>51</v>
      </c>
      <c r="Q83" s="50"/>
      <c r="R83" s="43"/>
      <c r="S83" s="45"/>
      <c r="T83" s="44"/>
      <c r="U83" s="44"/>
      <c r="V83" s="51" t="s">
        <v>86</v>
      </c>
      <c r="W83" s="46"/>
      <c r="X83" s="47">
        <v>46195</v>
      </c>
      <c r="Y83" s="44" t="s">
        <v>87</v>
      </c>
      <c r="Z83" s="44"/>
      <c r="AA83" s="44"/>
      <c r="AB83" s="44" t="s">
        <v>813</v>
      </c>
      <c r="AC83" s="52"/>
      <c r="AD83" s="52">
        <v>1212</v>
      </c>
      <c r="AE83" s="54"/>
      <c r="AF83" s="55"/>
      <c r="AG83" s="55"/>
      <c r="AH83" s="56"/>
      <c r="AI83" s="56"/>
      <c r="AJ83" s="57"/>
      <c r="AK83" s="56"/>
      <c r="AL83" s="46">
        <v>18</v>
      </c>
      <c r="AM83" s="53" t="s">
        <v>941</v>
      </c>
      <c r="AN83" s="39"/>
      <c r="AO83" s="39"/>
      <c r="AP83" s="40"/>
    </row>
    <row r="84" spans="1:42" s="41" customFormat="1" ht="18.75" customHeight="1" x14ac:dyDescent="0.25">
      <c r="A84" s="47">
        <v>46195</v>
      </c>
      <c r="B84" s="43">
        <f t="shared" si="6"/>
        <v>46195</v>
      </c>
      <c r="C84" s="44" t="s">
        <v>814</v>
      </c>
      <c r="D84" s="48" t="s">
        <v>141</v>
      </c>
      <c r="E84" s="48">
        <v>3742</v>
      </c>
      <c r="F84" s="48">
        <v>1</v>
      </c>
      <c r="G84" s="48">
        <v>11111111</v>
      </c>
      <c r="H84" s="48" t="s">
        <v>143</v>
      </c>
      <c r="I84" s="45"/>
      <c r="J84" s="46">
        <f t="shared" si="7"/>
        <v>79.66101694915254</v>
      </c>
      <c r="K84" s="46"/>
      <c r="L84" s="46"/>
      <c r="M84" s="46"/>
      <c r="N84" s="46">
        <f t="shared" si="8"/>
        <v>14.338983050847457</v>
      </c>
      <c r="O84" s="46"/>
      <c r="P84" s="49">
        <v>94</v>
      </c>
      <c r="Q84" s="50"/>
      <c r="R84" s="43"/>
      <c r="S84" s="45"/>
      <c r="T84" s="44"/>
      <c r="U84" s="44"/>
      <c r="V84" s="51" t="s">
        <v>86</v>
      </c>
      <c r="W84" s="46"/>
      <c r="X84" s="47">
        <v>46195</v>
      </c>
      <c r="Y84" s="44" t="s">
        <v>87</v>
      </c>
      <c r="Z84" s="44"/>
      <c r="AA84" s="44"/>
      <c r="AB84" s="44" t="s">
        <v>813</v>
      </c>
      <c r="AC84" s="52"/>
      <c r="AD84" s="52">
        <v>1212</v>
      </c>
      <c r="AE84" s="54"/>
      <c r="AF84" s="55"/>
      <c r="AG84" s="55"/>
      <c r="AH84" s="56"/>
      <c r="AI84" s="56"/>
      <c r="AJ84" s="57"/>
      <c r="AK84" s="56"/>
      <c r="AL84" s="46">
        <v>18</v>
      </c>
      <c r="AM84" s="53" t="s">
        <v>941</v>
      </c>
      <c r="AN84" s="39"/>
      <c r="AO84" s="39"/>
      <c r="AP84" s="40"/>
    </row>
    <row r="85" spans="1:42" s="41" customFormat="1" ht="18.75" customHeight="1" x14ac:dyDescent="0.25">
      <c r="A85" s="47">
        <v>46195</v>
      </c>
      <c r="B85" s="43">
        <f t="shared" si="6"/>
        <v>46195</v>
      </c>
      <c r="C85" s="44" t="s">
        <v>814</v>
      </c>
      <c r="D85" s="48" t="s">
        <v>141</v>
      </c>
      <c r="E85" s="48">
        <v>3743</v>
      </c>
      <c r="F85" s="48">
        <v>1</v>
      </c>
      <c r="G85" s="48">
        <v>23642861</v>
      </c>
      <c r="H85" s="48" t="s">
        <v>295</v>
      </c>
      <c r="I85" s="45"/>
      <c r="J85" s="46">
        <f t="shared" si="7"/>
        <v>116.94915254237289</v>
      </c>
      <c r="K85" s="46"/>
      <c r="L85" s="46"/>
      <c r="M85" s="46"/>
      <c r="N85" s="46">
        <f t="shared" si="8"/>
        <v>21.050847457627118</v>
      </c>
      <c r="O85" s="46"/>
      <c r="P85" s="49">
        <v>138</v>
      </c>
      <c r="Q85" s="50"/>
      <c r="R85" s="43"/>
      <c r="S85" s="45"/>
      <c r="T85" s="44"/>
      <c r="U85" s="44"/>
      <c r="V85" s="51" t="s">
        <v>86</v>
      </c>
      <c r="W85" s="46"/>
      <c r="X85" s="47">
        <v>46195</v>
      </c>
      <c r="Y85" s="44" t="s">
        <v>87</v>
      </c>
      <c r="Z85" s="44"/>
      <c r="AA85" s="44"/>
      <c r="AB85" s="44" t="s">
        <v>813</v>
      </c>
      <c r="AC85" s="52"/>
      <c r="AD85" s="52">
        <v>1212</v>
      </c>
      <c r="AE85" s="54"/>
      <c r="AF85" s="55"/>
      <c r="AG85" s="55"/>
      <c r="AH85" s="56"/>
      <c r="AI85" s="56"/>
      <c r="AJ85" s="57"/>
      <c r="AK85" s="56"/>
      <c r="AL85" s="46">
        <v>18</v>
      </c>
      <c r="AM85" s="53" t="s">
        <v>941</v>
      </c>
      <c r="AN85" s="39"/>
      <c r="AO85" s="39"/>
      <c r="AP85" s="40"/>
    </row>
    <row r="86" spans="1:42" s="41" customFormat="1" ht="18.75" customHeight="1" x14ac:dyDescent="0.25">
      <c r="A86" s="47">
        <v>46195</v>
      </c>
      <c r="B86" s="43">
        <f t="shared" si="6"/>
        <v>46195</v>
      </c>
      <c r="C86" s="44" t="s">
        <v>814</v>
      </c>
      <c r="D86" s="48" t="s">
        <v>141</v>
      </c>
      <c r="E86" s="48">
        <v>3744</v>
      </c>
      <c r="F86" s="48">
        <v>1</v>
      </c>
      <c r="G86" s="48">
        <v>46488260</v>
      </c>
      <c r="H86" s="48" t="s">
        <v>297</v>
      </c>
      <c r="I86" s="45"/>
      <c r="J86" s="46">
        <f t="shared" si="7"/>
        <v>42.372881355932208</v>
      </c>
      <c r="K86" s="46"/>
      <c r="L86" s="46"/>
      <c r="M86" s="46"/>
      <c r="N86" s="46">
        <f t="shared" si="8"/>
        <v>7.6271186440677967</v>
      </c>
      <c r="O86" s="46"/>
      <c r="P86" s="49">
        <v>50</v>
      </c>
      <c r="Q86" s="50"/>
      <c r="R86" s="43"/>
      <c r="S86" s="45"/>
      <c r="T86" s="44"/>
      <c r="U86" s="44"/>
      <c r="V86" s="51" t="s">
        <v>86</v>
      </c>
      <c r="W86" s="46"/>
      <c r="X86" s="47">
        <v>46195</v>
      </c>
      <c r="Y86" s="44" t="s">
        <v>87</v>
      </c>
      <c r="Z86" s="44"/>
      <c r="AA86" s="44"/>
      <c r="AB86" s="44" t="s">
        <v>813</v>
      </c>
      <c r="AC86" s="52"/>
      <c r="AD86" s="52">
        <v>1212</v>
      </c>
      <c r="AE86" s="54"/>
      <c r="AF86" s="55"/>
      <c r="AG86" s="55"/>
      <c r="AH86" s="56"/>
      <c r="AI86" s="56"/>
      <c r="AJ86" s="57"/>
      <c r="AK86" s="56"/>
      <c r="AL86" s="46">
        <v>18</v>
      </c>
      <c r="AM86" s="53" t="s">
        <v>941</v>
      </c>
      <c r="AN86" s="39"/>
      <c r="AO86" s="39"/>
      <c r="AP86" s="40"/>
    </row>
    <row r="87" spans="1:42" s="41" customFormat="1" ht="18.75" customHeight="1" x14ac:dyDescent="0.25">
      <c r="A87" s="47">
        <v>46195</v>
      </c>
      <c r="B87" s="43">
        <f t="shared" si="6"/>
        <v>46195</v>
      </c>
      <c r="C87" s="44" t="s">
        <v>814</v>
      </c>
      <c r="D87" s="48" t="s">
        <v>141</v>
      </c>
      <c r="E87" s="48">
        <v>3745</v>
      </c>
      <c r="F87" s="48">
        <v>1</v>
      </c>
      <c r="G87" s="48">
        <v>46169303</v>
      </c>
      <c r="H87" s="48" t="s">
        <v>145</v>
      </c>
      <c r="I87" s="45"/>
      <c r="J87" s="46">
        <f t="shared" si="7"/>
        <v>84.745762711864415</v>
      </c>
      <c r="K87" s="46"/>
      <c r="L87" s="46"/>
      <c r="M87" s="46"/>
      <c r="N87" s="46">
        <f t="shared" si="8"/>
        <v>15.254237288135593</v>
      </c>
      <c r="O87" s="46"/>
      <c r="P87" s="49">
        <v>100</v>
      </c>
      <c r="Q87" s="50"/>
      <c r="R87" s="43"/>
      <c r="S87" s="45"/>
      <c r="T87" s="44"/>
      <c r="U87" s="44"/>
      <c r="V87" s="51" t="s">
        <v>86</v>
      </c>
      <c r="W87" s="46"/>
      <c r="X87" s="47">
        <v>46195</v>
      </c>
      <c r="Y87" s="44" t="s">
        <v>87</v>
      </c>
      <c r="Z87" s="44"/>
      <c r="AA87" s="44"/>
      <c r="AB87" s="44" t="s">
        <v>813</v>
      </c>
      <c r="AC87" s="52"/>
      <c r="AD87" s="52">
        <v>1212</v>
      </c>
      <c r="AE87" s="54"/>
      <c r="AF87" s="55"/>
      <c r="AG87" s="55"/>
      <c r="AH87" s="56"/>
      <c r="AI87" s="56"/>
      <c r="AJ87" s="57"/>
      <c r="AK87" s="56"/>
      <c r="AL87" s="46">
        <v>18</v>
      </c>
      <c r="AM87" s="53" t="s">
        <v>941</v>
      </c>
      <c r="AN87" s="39"/>
      <c r="AO87" s="39"/>
      <c r="AP87" s="40"/>
    </row>
    <row r="88" spans="1:42" s="41" customFormat="1" ht="18.75" customHeight="1" x14ac:dyDescent="0.25">
      <c r="A88" s="47">
        <v>46195</v>
      </c>
      <c r="B88" s="43">
        <f t="shared" si="6"/>
        <v>46195</v>
      </c>
      <c r="C88" s="44" t="s">
        <v>814</v>
      </c>
      <c r="D88" s="48" t="s">
        <v>141</v>
      </c>
      <c r="E88" s="48">
        <v>3746</v>
      </c>
      <c r="F88" s="48">
        <v>1</v>
      </c>
      <c r="G88" s="48">
        <v>42146347</v>
      </c>
      <c r="H88" s="48" t="s">
        <v>300</v>
      </c>
      <c r="I88" s="45"/>
      <c r="J88" s="46">
        <f t="shared" si="7"/>
        <v>186.4406779661017</v>
      </c>
      <c r="K88" s="46"/>
      <c r="L88" s="46"/>
      <c r="M88" s="46"/>
      <c r="N88" s="46">
        <f t="shared" si="8"/>
        <v>33.559322033898304</v>
      </c>
      <c r="O88" s="46"/>
      <c r="P88" s="49">
        <v>220</v>
      </c>
      <c r="Q88" s="50"/>
      <c r="R88" s="43"/>
      <c r="S88" s="45"/>
      <c r="T88" s="44"/>
      <c r="U88" s="44"/>
      <c r="V88" s="51" t="s">
        <v>86</v>
      </c>
      <c r="W88" s="46"/>
      <c r="X88" s="47">
        <v>46195</v>
      </c>
      <c r="Y88" s="44" t="s">
        <v>87</v>
      </c>
      <c r="Z88" s="44"/>
      <c r="AA88" s="44"/>
      <c r="AB88" s="44" t="s">
        <v>813</v>
      </c>
      <c r="AC88" s="52"/>
      <c r="AD88" s="52">
        <v>1212</v>
      </c>
      <c r="AE88" s="54"/>
      <c r="AF88" s="55"/>
      <c r="AG88" s="55"/>
      <c r="AH88" s="56"/>
      <c r="AI88" s="56"/>
      <c r="AJ88" s="57"/>
      <c r="AK88" s="56"/>
      <c r="AL88" s="46">
        <v>18</v>
      </c>
      <c r="AM88" s="53" t="s">
        <v>941</v>
      </c>
      <c r="AN88" s="39"/>
      <c r="AO88" s="39"/>
      <c r="AP88" s="40"/>
    </row>
    <row r="89" spans="1:42" s="41" customFormat="1" ht="18.75" customHeight="1" x14ac:dyDescent="0.25">
      <c r="A89" s="47">
        <v>46195</v>
      </c>
      <c r="B89" s="43">
        <f t="shared" si="6"/>
        <v>46195</v>
      </c>
      <c r="C89" s="44" t="s">
        <v>814</v>
      </c>
      <c r="D89" s="48" t="s">
        <v>141</v>
      </c>
      <c r="E89" s="48">
        <v>3747</v>
      </c>
      <c r="F89" s="48" t="s">
        <v>142</v>
      </c>
      <c r="G89" s="48" t="s">
        <v>142</v>
      </c>
      <c r="H89" s="48" t="s">
        <v>302</v>
      </c>
      <c r="I89" s="45"/>
      <c r="J89" s="46">
        <f t="shared" si="7"/>
        <v>43.220338983050851</v>
      </c>
      <c r="K89" s="46"/>
      <c r="L89" s="46"/>
      <c r="M89" s="46"/>
      <c r="N89" s="46">
        <f t="shared" si="8"/>
        <v>7.7796610169491531</v>
      </c>
      <c r="O89" s="46"/>
      <c r="P89" s="49">
        <v>51</v>
      </c>
      <c r="Q89" s="50"/>
      <c r="R89" s="43"/>
      <c r="S89" s="45"/>
      <c r="T89" s="44"/>
      <c r="U89" s="44"/>
      <c r="V89" s="51" t="s">
        <v>86</v>
      </c>
      <c r="W89" s="46"/>
      <c r="X89" s="47">
        <v>46195</v>
      </c>
      <c r="Y89" s="44" t="s">
        <v>87</v>
      </c>
      <c r="Z89" s="44"/>
      <c r="AA89" s="44"/>
      <c r="AB89" s="44" t="s">
        <v>813</v>
      </c>
      <c r="AC89" s="52"/>
      <c r="AD89" s="52">
        <v>1212</v>
      </c>
      <c r="AE89" s="54"/>
      <c r="AF89" s="55"/>
      <c r="AG89" s="55"/>
      <c r="AH89" s="56"/>
      <c r="AI89" s="56"/>
      <c r="AJ89" s="57"/>
      <c r="AK89" s="56"/>
      <c r="AL89" s="46">
        <v>18</v>
      </c>
      <c r="AM89" s="53" t="s">
        <v>941</v>
      </c>
      <c r="AN89" s="39"/>
      <c r="AO89" s="39"/>
      <c r="AP89" s="40"/>
    </row>
    <row r="90" spans="1:42" s="41" customFormat="1" ht="18.75" customHeight="1" x14ac:dyDescent="0.25">
      <c r="A90" s="47">
        <v>46195</v>
      </c>
      <c r="B90" s="43">
        <f t="shared" si="6"/>
        <v>46195</v>
      </c>
      <c r="C90" s="44" t="s">
        <v>814</v>
      </c>
      <c r="D90" s="48" t="s">
        <v>141</v>
      </c>
      <c r="E90" s="48">
        <v>3748</v>
      </c>
      <c r="F90" s="48">
        <v>1</v>
      </c>
      <c r="G90" s="48">
        <v>48686005</v>
      </c>
      <c r="H90" s="48" t="s">
        <v>304</v>
      </c>
      <c r="I90" s="45"/>
      <c r="J90" s="46">
        <f t="shared" si="7"/>
        <v>77.966101694915253</v>
      </c>
      <c r="K90" s="46"/>
      <c r="L90" s="46"/>
      <c r="M90" s="46"/>
      <c r="N90" s="46">
        <f t="shared" si="8"/>
        <v>14.033898305084746</v>
      </c>
      <c r="O90" s="46"/>
      <c r="P90" s="49">
        <v>92</v>
      </c>
      <c r="Q90" s="50"/>
      <c r="R90" s="43"/>
      <c r="S90" s="45"/>
      <c r="T90" s="44"/>
      <c r="U90" s="44"/>
      <c r="V90" s="51" t="s">
        <v>86</v>
      </c>
      <c r="W90" s="46"/>
      <c r="X90" s="47">
        <v>46195</v>
      </c>
      <c r="Y90" s="44" t="s">
        <v>87</v>
      </c>
      <c r="Z90" s="44"/>
      <c r="AA90" s="44"/>
      <c r="AB90" s="44" t="s">
        <v>813</v>
      </c>
      <c r="AC90" s="52"/>
      <c r="AD90" s="52">
        <v>1212</v>
      </c>
      <c r="AE90" s="54"/>
      <c r="AF90" s="55"/>
      <c r="AG90" s="55"/>
      <c r="AH90" s="56"/>
      <c r="AI90" s="56"/>
      <c r="AJ90" s="57"/>
      <c r="AK90" s="56"/>
      <c r="AL90" s="46">
        <v>18</v>
      </c>
      <c r="AM90" s="53" t="s">
        <v>941</v>
      </c>
      <c r="AN90" s="39"/>
      <c r="AO90" s="39"/>
      <c r="AP90" s="40"/>
    </row>
    <row r="91" spans="1:42" s="41" customFormat="1" ht="18.75" customHeight="1" x14ac:dyDescent="0.25">
      <c r="A91" s="47">
        <v>46195</v>
      </c>
      <c r="B91" s="43">
        <f t="shared" si="6"/>
        <v>46195</v>
      </c>
      <c r="C91" s="44" t="s">
        <v>814</v>
      </c>
      <c r="D91" s="48" t="s">
        <v>141</v>
      </c>
      <c r="E91" s="48">
        <v>3749</v>
      </c>
      <c r="F91" s="48">
        <v>1</v>
      </c>
      <c r="G91" s="48">
        <v>11111111</v>
      </c>
      <c r="H91" s="48" t="s">
        <v>143</v>
      </c>
      <c r="I91" s="45"/>
      <c r="J91" s="46">
        <f t="shared" si="7"/>
        <v>42.372881355932208</v>
      </c>
      <c r="K91" s="46"/>
      <c r="L91" s="46"/>
      <c r="M91" s="46"/>
      <c r="N91" s="46">
        <f t="shared" si="8"/>
        <v>7.6271186440677967</v>
      </c>
      <c r="O91" s="46"/>
      <c r="P91" s="49">
        <v>50</v>
      </c>
      <c r="Q91" s="50"/>
      <c r="R91" s="43"/>
      <c r="S91" s="45"/>
      <c r="T91" s="44"/>
      <c r="U91" s="44"/>
      <c r="V91" s="51" t="s">
        <v>86</v>
      </c>
      <c r="W91" s="46"/>
      <c r="X91" s="47">
        <v>46195</v>
      </c>
      <c r="Y91" s="44" t="s">
        <v>87</v>
      </c>
      <c r="Z91" s="44"/>
      <c r="AA91" s="44"/>
      <c r="AB91" s="44" t="s">
        <v>813</v>
      </c>
      <c r="AC91" s="52"/>
      <c r="AD91" s="52">
        <v>1212</v>
      </c>
      <c r="AE91" s="54"/>
      <c r="AF91" s="55"/>
      <c r="AG91" s="55"/>
      <c r="AH91" s="56"/>
      <c r="AI91" s="56"/>
      <c r="AJ91" s="57"/>
      <c r="AK91" s="56"/>
      <c r="AL91" s="46">
        <v>18</v>
      </c>
      <c r="AM91" s="53" t="s">
        <v>941</v>
      </c>
      <c r="AN91" s="39"/>
      <c r="AO91" s="39"/>
      <c r="AP91" s="40"/>
    </row>
    <row r="92" spans="1:42" s="41" customFormat="1" ht="18.75" customHeight="1" x14ac:dyDescent="0.25">
      <c r="A92" s="47">
        <v>46195</v>
      </c>
      <c r="B92" s="43">
        <f t="shared" si="6"/>
        <v>46195</v>
      </c>
      <c r="C92" s="44" t="s">
        <v>814</v>
      </c>
      <c r="D92" s="48" t="s">
        <v>141</v>
      </c>
      <c r="E92" s="48">
        <v>3750</v>
      </c>
      <c r="F92" s="48">
        <v>1</v>
      </c>
      <c r="G92" s="48">
        <v>11111111</v>
      </c>
      <c r="H92" s="48" t="s">
        <v>143</v>
      </c>
      <c r="I92" s="45"/>
      <c r="J92" s="46">
        <f t="shared" si="7"/>
        <v>114.40677966101696</v>
      </c>
      <c r="K92" s="46"/>
      <c r="L92" s="46"/>
      <c r="M92" s="46"/>
      <c r="N92" s="46">
        <f t="shared" si="8"/>
        <v>20.593220338983052</v>
      </c>
      <c r="O92" s="46"/>
      <c r="P92" s="49">
        <v>135</v>
      </c>
      <c r="Q92" s="50"/>
      <c r="R92" s="43"/>
      <c r="S92" s="45"/>
      <c r="T92" s="44"/>
      <c r="U92" s="44"/>
      <c r="V92" s="51" t="s">
        <v>86</v>
      </c>
      <c r="W92" s="46"/>
      <c r="X92" s="47">
        <v>46195</v>
      </c>
      <c r="Y92" s="44" t="s">
        <v>87</v>
      </c>
      <c r="Z92" s="44"/>
      <c r="AA92" s="44"/>
      <c r="AB92" s="44" t="s">
        <v>813</v>
      </c>
      <c r="AC92" s="52"/>
      <c r="AD92" s="52">
        <v>1212</v>
      </c>
      <c r="AE92" s="54"/>
      <c r="AF92" s="55"/>
      <c r="AG92" s="55"/>
      <c r="AH92" s="56"/>
      <c r="AI92" s="56"/>
      <c r="AJ92" s="57"/>
      <c r="AK92" s="56"/>
      <c r="AL92" s="46">
        <v>18</v>
      </c>
      <c r="AM92" s="53" t="s">
        <v>941</v>
      </c>
      <c r="AN92" s="39"/>
      <c r="AO92" s="39"/>
      <c r="AP92" s="40"/>
    </row>
    <row r="93" spans="1:42" s="41" customFormat="1" ht="18.75" customHeight="1" x14ac:dyDescent="0.25">
      <c r="A93" s="47">
        <v>46195</v>
      </c>
      <c r="B93" s="43">
        <f t="shared" si="6"/>
        <v>46195</v>
      </c>
      <c r="C93" s="44" t="s">
        <v>814</v>
      </c>
      <c r="D93" s="48" t="s">
        <v>141</v>
      </c>
      <c r="E93" s="48">
        <v>3751</v>
      </c>
      <c r="F93" s="48">
        <v>1</v>
      </c>
      <c r="G93" s="48">
        <v>11111111</v>
      </c>
      <c r="H93" s="48" t="s">
        <v>143</v>
      </c>
      <c r="I93" s="45"/>
      <c r="J93" s="46">
        <f t="shared" si="7"/>
        <v>80.754237288135599</v>
      </c>
      <c r="K93" s="46"/>
      <c r="L93" s="46"/>
      <c r="M93" s="46"/>
      <c r="N93" s="46">
        <f t="shared" si="8"/>
        <v>14.535762711864407</v>
      </c>
      <c r="O93" s="46"/>
      <c r="P93" s="49">
        <v>95.29</v>
      </c>
      <c r="Q93" s="50"/>
      <c r="R93" s="43"/>
      <c r="S93" s="45"/>
      <c r="T93" s="44"/>
      <c r="U93" s="44"/>
      <c r="V93" s="51" t="s">
        <v>86</v>
      </c>
      <c r="W93" s="46"/>
      <c r="X93" s="47">
        <v>46195</v>
      </c>
      <c r="Y93" s="44" t="s">
        <v>87</v>
      </c>
      <c r="Z93" s="44"/>
      <c r="AA93" s="44"/>
      <c r="AB93" s="44" t="s">
        <v>813</v>
      </c>
      <c r="AC93" s="52"/>
      <c r="AD93" s="52">
        <v>1212</v>
      </c>
      <c r="AE93" s="54"/>
      <c r="AF93" s="55"/>
      <c r="AG93" s="55"/>
      <c r="AH93" s="56"/>
      <c r="AI93" s="56"/>
      <c r="AJ93" s="57"/>
      <c r="AK93" s="56"/>
      <c r="AL93" s="46">
        <v>18</v>
      </c>
      <c r="AM93" s="53" t="s">
        <v>941</v>
      </c>
      <c r="AN93" s="39"/>
      <c r="AO93" s="39"/>
      <c r="AP93" s="40"/>
    </row>
    <row r="94" spans="1:42" s="41" customFormat="1" ht="18.75" customHeight="1" x14ac:dyDescent="0.25">
      <c r="A94" s="47">
        <v>46195</v>
      </c>
      <c r="B94" s="43">
        <f t="shared" si="6"/>
        <v>46195</v>
      </c>
      <c r="C94" s="44" t="s">
        <v>814</v>
      </c>
      <c r="D94" s="48" t="s">
        <v>141</v>
      </c>
      <c r="E94" s="48">
        <v>3752</v>
      </c>
      <c r="F94" s="48">
        <v>1</v>
      </c>
      <c r="G94" s="48">
        <v>80024369</v>
      </c>
      <c r="H94" s="48" t="s">
        <v>312</v>
      </c>
      <c r="I94" s="45"/>
      <c r="J94" s="46">
        <f t="shared" si="7"/>
        <v>43.220338983050851</v>
      </c>
      <c r="K94" s="46"/>
      <c r="L94" s="46"/>
      <c r="M94" s="46"/>
      <c r="N94" s="46">
        <f t="shared" si="8"/>
        <v>7.7796610169491531</v>
      </c>
      <c r="O94" s="46"/>
      <c r="P94" s="49">
        <v>51</v>
      </c>
      <c r="Q94" s="50"/>
      <c r="R94" s="43"/>
      <c r="S94" s="45"/>
      <c r="T94" s="44"/>
      <c r="U94" s="44"/>
      <c r="V94" s="51" t="s">
        <v>86</v>
      </c>
      <c r="W94" s="46"/>
      <c r="X94" s="47">
        <v>46195</v>
      </c>
      <c r="Y94" s="44" t="s">
        <v>87</v>
      </c>
      <c r="Z94" s="44"/>
      <c r="AA94" s="44"/>
      <c r="AB94" s="44" t="s">
        <v>813</v>
      </c>
      <c r="AC94" s="52"/>
      <c r="AD94" s="52">
        <v>1212</v>
      </c>
      <c r="AE94" s="54"/>
      <c r="AF94" s="55"/>
      <c r="AG94" s="55"/>
      <c r="AH94" s="56"/>
      <c r="AI94" s="56"/>
      <c r="AJ94" s="57"/>
      <c r="AK94" s="56"/>
      <c r="AL94" s="46">
        <v>18</v>
      </c>
      <c r="AM94" s="53" t="s">
        <v>941</v>
      </c>
      <c r="AN94" s="39"/>
      <c r="AO94" s="39"/>
      <c r="AP94" s="40"/>
    </row>
    <row r="95" spans="1:42" s="41" customFormat="1" ht="18.75" customHeight="1" x14ac:dyDescent="0.25">
      <c r="A95" s="47">
        <v>46195</v>
      </c>
      <c r="B95" s="43">
        <f t="shared" si="6"/>
        <v>46195</v>
      </c>
      <c r="C95" s="44" t="s">
        <v>814</v>
      </c>
      <c r="D95" s="48" t="s">
        <v>141</v>
      </c>
      <c r="E95" s="48">
        <v>3753</v>
      </c>
      <c r="F95" s="48">
        <v>1</v>
      </c>
      <c r="G95" s="48">
        <v>20014022</v>
      </c>
      <c r="H95" s="48" t="s">
        <v>314</v>
      </c>
      <c r="I95" s="45"/>
      <c r="J95" s="46">
        <f t="shared" si="7"/>
        <v>79.66101694915254</v>
      </c>
      <c r="K95" s="46"/>
      <c r="L95" s="46"/>
      <c r="M95" s="46"/>
      <c r="N95" s="46">
        <f t="shared" si="8"/>
        <v>14.338983050847457</v>
      </c>
      <c r="O95" s="46"/>
      <c r="P95" s="49">
        <v>94</v>
      </c>
      <c r="Q95" s="50"/>
      <c r="R95" s="43"/>
      <c r="S95" s="45"/>
      <c r="T95" s="44"/>
      <c r="U95" s="44"/>
      <c r="V95" s="51" t="s">
        <v>86</v>
      </c>
      <c r="W95" s="46"/>
      <c r="X95" s="47">
        <v>46195</v>
      </c>
      <c r="Y95" s="44" t="s">
        <v>87</v>
      </c>
      <c r="Z95" s="44"/>
      <c r="AA95" s="44"/>
      <c r="AB95" s="44" t="s">
        <v>813</v>
      </c>
      <c r="AC95" s="52"/>
      <c r="AD95" s="52">
        <v>1212</v>
      </c>
      <c r="AE95" s="54"/>
      <c r="AF95" s="55"/>
      <c r="AG95" s="55"/>
      <c r="AH95" s="56"/>
      <c r="AI95" s="56"/>
      <c r="AJ95" s="57"/>
      <c r="AK95" s="56"/>
      <c r="AL95" s="46">
        <v>18</v>
      </c>
      <c r="AM95" s="53" t="s">
        <v>941</v>
      </c>
      <c r="AN95" s="39"/>
      <c r="AO95" s="39"/>
      <c r="AP95" s="40"/>
    </row>
    <row r="96" spans="1:42" s="41" customFormat="1" ht="18.75" customHeight="1" x14ac:dyDescent="0.25">
      <c r="A96" s="47">
        <v>46195</v>
      </c>
      <c r="B96" s="43">
        <f t="shared" si="6"/>
        <v>46195</v>
      </c>
      <c r="C96" s="44" t="s">
        <v>814</v>
      </c>
      <c r="D96" s="48" t="s">
        <v>141</v>
      </c>
      <c r="E96" s="48">
        <v>3754</v>
      </c>
      <c r="F96" s="48">
        <v>1</v>
      </c>
      <c r="G96" s="48">
        <v>19949626</v>
      </c>
      <c r="H96" s="48" t="s">
        <v>316</v>
      </c>
      <c r="I96" s="45"/>
      <c r="J96" s="46">
        <f t="shared" si="7"/>
        <v>114.40677966101696</v>
      </c>
      <c r="K96" s="46"/>
      <c r="L96" s="46"/>
      <c r="M96" s="46"/>
      <c r="N96" s="46">
        <f t="shared" si="8"/>
        <v>20.593220338983052</v>
      </c>
      <c r="O96" s="46"/>
      <c r="P96" s="49">
        <v>135</v>
      </c>
      <c r="Q96" s="50"/>
      <c r="R96" s="43"/>
      <c r="S96" s="45"/>
      <c r="T96" s="44"/>
      <c r="U96" s="44"/>
      <c r="V96" s="51" t="s">
        <v>86</v>
      </c>
      <c r="W96" s="46"/>
      <c r="X96" s="47">
        <v>46195</v>
      </c>
      <c r="Y96" s="44" t="s">
        <v>87</v>
      </c>
      <c r="Z96" s="44"/>
      <c r="AA96" s="44"/>
      <c r="AB96" s="44" t="s">
        <v>813</v>
      </c>
      <c r="AC96" s="52"/>
      <c r="AD96" s="52">
        <v>1212</v>
      </c>
      <c r="AE96" s="54"/>
      <c r="AF96" s="55"/>
      <c r="AG96" s="55"/>
      <c r="AH96" s="56"/>
      <c r="AI96" s="56"/>
      <c r="AJ96" s="57"/>
      <c r="AK96" s="56"/>
      <c r="AL96" s="46">
        <v>18</v>
      </c>
      <c r="AM96" s="53" t="s">
        <v>941</v>
      </c>
      <c r="AN96" s="39"/>
      <c r="AO96" s="39"/>
      <c r="AP96" s="40"/>
    </row>
    <row r="97" spans="1:42" s="41" customFormat="1" ht="18.75" customHeight="1" x14ac:dyDescent="0.25">
      <c r="A97" s="47">
        <v>46195</v>
      </c>
      <c r="B97" s="43">
        <f t="shared" si="6"/>
        <v>46195</v>
      </c>
      <c r="C97" s="44" t="s">
        <v>814</v>
      </c>
      <c r="D97" s="48" t="s">
        <v>141</v>
      </c>
      <c r="E97" s="48">
        <v>3755</v>
      </c>
      <c r="F97" s="48">
        <v>1</v>
      </c>
      <c r="G97" s="48">
        <v>20014739</v>
      </c>
      <c r="H97" s="48" t="s">
        <v>318</v>
      </c>
      <c r="I97" s="45"/>
      <c r="J97" s="46">
        <f t="shared" si="7"/>
        <v>42.372881355932208</v>
      </c>
      <c r="K97" s="46"/>
      <c r="L97" s="46"/>
      <c r="M97" s="46"/>
      <c r="N97" s="46">
        <f t="shared" si="8"/>
        <v>7.6271186440677967</v>
      </c>
      <c r="O97" s="46"/>
      <c r="P97" s="49">
        <v>50</v>
      </c>
      <c r="Q97" s="50"/>
      <c r="R97" s="43"/>
      <c r="S97" s="45"/>
      <c r="T97" s="44"/>
      <c r="U97" s="44"/>
      <c r="V97" s="51" t="s">
        <v>86</v>
      </c>
      <c r="W97" s="46"/>
      <c r="X97" s="47">
        <v>46195</v>
      </c>
      <c r="Y97" s="44" t="s">
        <v>87</v>
      </c>
      <c r="Z97" s="44"/>
      <c r="AA97" s="44"/>
      <c r="AB97" s="44" t="s">
        <v>813</v>
      </c>
      <c r="AC97" s="52"/>
      <c r="AD97" s="52">
        <v>1212</v>
      </c>
      <c r="AE97" s="54"/>
      <c r="AF97" s="55"/>
      <c r="AG97" s="55"/>
      <c r="AH97" s="56"/>
      <c r="AI97" s="56"/>
      <c r="AJ97" s="57"/>
      <c r="AK97" s="56"/>
      <c r="AL97" s="46">
        <v>18</v>
      </c>
      <c r="AM97" s="53" t="s">
        <v>941</v>
      </c>
      <c r="AN97" s="39"/>
      <c r="AO97" s="39"/>
      <c r="AP97" s="40"/>
    </row>
    <row r="98" spans="1:42" s="41" customFormat="1" ht="18.75" customHeight="1" x14ac:dyDescent="0.25">
      <c r="A98" s="47">
        <v>46195</v>
      </c>
      <c r="B98" s="43">
        <f t="shared" si="6"/>
        <v>46195</v>
      </c>
      <c r="C98" s="44" t="s">
        <v>814</v>
      </c>
      <c r="D98" s="48" t="s">
        <v>141</v>
      </c>
      <c r="E98" s="48">
        <v>3756</v>
      </c>
      <c r="F98" s="48">
        <v>1</v>
      </c>
      <c r="G98" s="48">
        <v>40359962</v>
      </c>
      <c r="H98" s="48" t="s">
        <v>320</v>
      </c>
      <c r="I98" s="45"/>
      <c r="J98" s="46">
        <f t="shared" si="7"/>
        <v>83.050847457627128</v>
      </c>
      <c r="K98" s="46"/>
      <c r="L98" s="46"/>
      <c r="M98" s="46"/>
      <c r="N98" s="46">
        <f t="shared" si="8"/>
        <v>14.949152542372882</v>
      </c>
      <c r="O98" s="46"/>
      <c r="P98" s="49">
        <v>98</v>
      </c>
      <c r="Q98" s="50"/>
      <c r="R98" s="43"/>
      <c r="S98" s="45"/>
      <c r="T98" s="44"/>
      <c r="U98" s="44"/>
      <c r="V98" s="51" t="s">
        <v>86</v>
      </c>
      <c r="W98" s="46"/>
      <c r="X98" s="47">
        <v>46195</v>
      </c>
      <c r="Y98" s="44" t="s">
        <v>87</v>
      </c>
      <c r="Z98" s="44"/>
      <c r="AA98" s="44"/>
      <c r="AB98" s="44" t="s">
        <v>813</v>
      </c>
      <c r="AC98" s="52"/>
      <c r="AD98" s="52">
        <v>1212</v>
      </c>
      <c r="AE98" s="54"/>
      <c r="AF98" s="55"/>
      <c r="AG98" s="55"/>
      <c r="AH98" s="56"/>
      <c r="AI98" s="56"/>
      <c r="AJ98" s="57"/>
      <c r="AK98" s="56"/>
      <c r="AL98" s="46">
        <v>18</v>
      </c>
      <c r="AM98" s="53" t="s">
        <v>941</v>
      </c>
      <c r="AN98" s="39"/>
      <c r="AO98" s="39"/>
      <c r="AP98" s="40"/>
    </row>
    <row r="99" spans="1:42" s="41" customFormat="1" ht="18.75" customHeight="1" x14ac:dyDescent="0.25">
      <c r="A99" s="47">
        <v>46195</v>
      </c>
      <c r="B99" s="43">
        <f t="shared" si="6"/>
        <v>46195</v>
      </c>
      <c r="C99" s="44" t="s">
        <v>814</v>
      </c>
      <c r="D99" s="48" t="s">
        <v>141</v>
      </c>
      <c r="E99" s="48">
        <v>3757</v>
      </c>
      <c r="F99" s="48">
        <v>1</v>
      </c>
      <c r="G99" s="48">
        <v>42530956</v>
      </c>
      <c r="H99" s="48" t="s">
        <v>322</v>
      </c>
      <c r="I99" s="45"/>
      <c r="J99" s="46">
        <f t="shared" si="7"/>
        <v>111.86440677966102</v>
      </c>
      <c r="K99" s="46"/>
      <c r="L99" s="46"/>
      <c r="M99" s="46"/>
      <c r="N99" s="46">
        <f t="shared" si="8"/>
        <v>20.135593220338983</v>
      </c>
      <c r="O99" s="46"/>
      <c r="P99" s="49">
        <v>132</v>
      </c>
      <c r="Q99" s="50"/>
      <c r="R99" s="43"/>
      <c r="S99" s="45"/>
      <c r="T99" s="44"/>
      <c r="U99" s="44"/>
      <c r="V99" s="51" t="s">
        <v>86</v>
      </c>
      <c r="W99" s="46"/>
      <c r="X99" s="47">
        <v>46195</v>
      </c>
      <c r="Y99" s="44" t="s">
        <v>87</v>
      </c>
      <c r="Z99" s="44"/>
      <c r="AA99" s="44"/>
      <c r="AB99" s="44" t="s">
        <v>813</v>
      </c>
      <c r="AC99" s="52"/>
      <c r="AD99" s="52">
        <v>1212</v>
      </c>
      <c r="AE99" s="54"/>
      <c r="AF99" s="55"/>
      <c r="AG99" s="55"/>
      <c r="AH99" s="56"/>
      <c r="AI99" s="56"/>
      <c r="AJ99" s="57"/>
      <c r="AK99" s="56"/>
      <c r="AL99" s="46">
        <v>18</v>
      </c>
      <c r="AM99" s="53" t="s">
        <v>941</v>
      </c>
      <c r="AN99" s="39"/>
      <c r="AO99" s="39"/>
      <c r="AP99" s="40"/>
    </row>
    <row r="100" spans="1:42" s="41" customFormat="1" ht="18.75" customHeight="1" x14ac:dyDescent="0.25">
      <c r="A100" s="47">
        <v>46195</v>
      </c>
      <c r="B100" s="43">
        <f t="shared" si="6"/>
        <v>46195</v>
      </c>
      <c r="C100" s="44" t="s">
        <v>814</v>
      </c>
      <c r="D100" s="48" t="s">
        <v>141</v>
      </c>
      <c r="E100" s="48">
        <v>3758</v>
      </c>
      <c r="F100" s="48">
        <v>1</v>
      </c>
      <c r="G100" s="48">
        <v>80093673</v>
      </c>
      <c r="H100" s="48" t="s">
        <v>324</v>
      </c>
      <c r="I100" s="45"/>
      <c r="J100" s="46">
        <f t="shared" si="7"/>
        <v>42.372881355932208</v>
      </c>
      <c r="K100" s="46"/>
      <c r="L100" s="46"/>
      <c r="M100" s="46"/>
      <c r="N100" s="46">
        <f t="shared" si="8"/>
        <v>7.6271186440677967</v>
      </c>
      <c r="O100" s="46"/>
      <c r="P100" s="49">
        <v>50</v>
      </c>
      <c r="Q100" s="50"/>
      <c r="R100" s="43"/>
      <c r="S100" s="45"/>
      <c r="T100" s="44"/>
      <c r="U100" s="44"/>
      <c r="V100" s="51" t="s">
        <v>86</v>
      </c>
      <c r="W100" s="46"/>
      <c r="X100" s="47">
        <v>46195</v>
      </c>
      <c r="Y100" s="44" t="s">
        <v>87</v>
      </c>
      <c r="Z100" s="44"/>
      <c r="AA100" s="44"/>
      <c r="AB100" s="44" t="s">
        <v>813</v>
      </c>
      <c r="AC100" s="52"/>
      <c r="AD100" s="52">
        <v>1212</v>
      </c>
      <c r="AE100" s="54"/>
      <c r="AF100" s="55"/>
      <c r="AG100" s="55"/>
      <c r="AH100" s="56"/>
      <c r="AI100" s="56"/>
      <c r="AJ100" s="57"/>
      <c r="AK100" s="56"/>
      <c r="AL100" s="46">
        <v>18</v>
      </c>
      <c r="AM100" s="53" t="s">
        <v>941</v>
      </c>
      <c r="AN100" s="39"/>
      <c r="AO100" s="39"/>
      <c r="AP100" s="40"/>
    </row>
    <row r="101" spans="1:42" s="41" customFormat="1" ht="18.75" customHeight="1" x14ac:dyDescent="0.25">
      <c r="A101" s="47">
        <v>46195</v>
      </c>
      <c r="B101" s="43">
        <f t="shared" si="6"/>
        <v>46195</v>
      </c>
      <c r="C101" s="44" t="s">
        <v>814</v>
      </c>
      <c r="D101" s="48" t="s">
        <v>141</v>
      </c>
      <c r="E101" s="48">
        <v>3759</v>
      </c>
      <c r="F101" s="48">
        <v>1</v>
      </c>
      <c r="G101" s="48">
        <v>20014296</v>
      </c>
      <c r="H101" s="48" t="s">
        <v>326</v>
      </c>
      <c r="I101" s="45"/>
      <c r="J101" s="46">
        <f t="shared" si="7"/>
        <v>80.754237288135599</v>
      </c>
      <c r="K101" s="46"/>
      <c r="L101" s="46"/>
      <c r="M101" s="46"/>
      <c r="N101" s="46">
        <f t="shared" si="8"/>
        <v>14.535762711864407</v>
      </c>
      <c r="O101" s="46"/>
      <c r="P101" s="49">
        <v>95.29</v>
      </c>
      <c r="Q101" s="50"/>
      <c r="R101" s="43"/>
      <c r="S101" s="45"/>
      <c r="T101" s="44"/>
      <c r="U101" s="44"/>
      <c r="V101" s="51" t="s">
        <v>86</v>
      </c>
      <c r="W101" s="46"/>
      <c r="X101" s="47">
        <v>46195</v>
      </c>
      <c r="Y101" s="44" t="s">
        <v>87</v>
      </c>
      <c r="Z101" s="44"/>
      <c r="AA101" s="44"/>
      <c r="AB101" s="44" t="s">
        <v>813</v>
      </c>
      <c r="AC101" s="52"/>
      <c r="AD101" s="52">
        <v>1212</v>
      </c>
      <c r="AE101" s="54"/>
      <c r="AF101" s="55"/>
      <c r="AG101" s="55"/>
      <c r="AH101" s="56"/>
      <c r="AI101" s="56"/>
      <c r="AJ101" s="57"/>
      <c r="AK101" s="56"/>
      <c r="AL101" s="46">
        <v>18</v>
      </c>
      <c r="AM101" s="53" t="s">
        <v>941</v>
      </c>
      <c r="AN101" s="39"/>
      <c r="AO101" s="39"/>
      <c r="AP101" s="40"/>
    </row>
    <row r="102" spans="1:42" s="41" customFormat="1" ht="18.75" customHeight="1" x14ac:dyDescent="0.25">
      <c r="A102" s="47">
        <v>46195</v>
      </c>
      <c r="B102" s="43">
        <f t="shared" si="6"/>
        <v>46195</v>
      </c>
      <c r="C102" s="44" t="s">
        <v>814</v>
      </c>
      <c r="D102" s="48" t="s">
        <v>141</v>
      </c>
      <c r="E102" s="48">
        <v>3760</v>
      </c>
      <c r="F102" s="48">
        <v>1</v>
      </c>
      <c r="G102" s="48">
        <v>20065450</v>
      </c>
      <c r="H102" s="48" t="s">
        <v>328</v>
      </c>
      <c r="I102" s="45"/>
      <c r="J102" s="46">
        <f t="shared" si="7"/>
        <v>42.372881355932208</v>
      </c>
      <c r="K102" s="46"/>
      <c r="L102" s="46"/>
      <c r="M102" s="46"/>
      <c r="N102" s="46">
        <f t="shared" si="8"/>
        <v>7.6271186440677967</v>
      </c>
      <c r="O102" s="46"/>
      <c r="P102" s="49">
        <v>50</v>
      </c>
      <c r="Q102" s="50"/>
      <c r="R102" s="43"/>
      <c r="S102" s="45"/>
      <c r="T102" s="44"/>
      <c r="U102" s="44"/>
      <c r="V102" s="51" t="s">
        <v>86</v>
      </c>
      <c r="W102" s="46"/>
      <c r="X102" s="47">
        <v>46195</v>
      </c>
      <c r="Y102" s="44" t="s">
        <v>87</v>
      </c>
      <c r="Z102" s="44"/>
      <c r="AA102" s="44"/>
      <c r="AB102" s="44" t="s">
        <v>813</v>
      </c>
      <c r="AC102" s="52"/>
      <c r="AD102" s="52">
        <v>1212</v>
      </c>
      <c r="AE102" s="54"/>
      <c r="AF102" s="55"/>
      <c r="AG102" s="55"/>
      <c r="AH102" s="56"/>
      <c r="AI102" s="56"/>
      <c r="AJ102" s="57"/>
      <c r="AK102" s="56"/>
      <c r="AL102" s="46">
        <v>18</v>
      </c>
      <c r="AM102" s="53" t="s">
        <v>941</v>
      </c>
      <c r="AN102" s="39"/>
      <c r="AO102" s="39"/>
      <c r="AP102" s="40"/>
    </row>
    <row r="103" spans="1:42" s="41" customFormat="1" ht="18.75" customHeight="1" x14ac:dyDescent="0.25">
      <c r="A103" s="47">
        <v>46196</v>
      </c>
      <c r="B103" s="43">
        <f t="shared" si="6"/>
        <v>46196</v>
      </c>
      <c r="C103" s="44" t="s">
        <v>814</v>
      </c>
      <c r="D103" s="48" t="s">
        <v>141</v>
      </c>
      <c r="E103" s="48">
        <v>3761</v>
      </c>
      <c r="F103" s="48">
        <v>1</v>
      </c>
      <c r="G103" s="48">
        <v>20065450</v>
      </c>
      <c r="H103" s="48" t="s">
        <v>328</v>
      </c>
      <c r="I103" s="45"/>
      <c r="J103" s="46">
        <f t="shared" si="7"/>
        <v>43.220338983050851</v>
      </c>
      <c r="K103" s="46"/>
      <c r="L103" s="46"/>
      <c r="M103" s="46"/>
      <c r="N103" s="46">
        <f t="shared" si="8"/>
        <v>7.7796610169491531</v>
      </c>
      <c r="O103" s="46"/>
      <c r="P103" s="49">
        <v>51</v>
      </c>
      <c r="Q103" s="50"/>
      <c r="R103" s="43"/>
      <c r="S103" s="45"/>
      <c r="T103" s="44"/>
      <c r="U103" s="44"/>
      <c r="V103" s="51" t="s">
        <v>86</v>
      </c>
      <c r="W103" s="46"/>
      <c r="X103" s="47">
        <v>46196</v>
      </c>
      <c r="Y103" s="44" t="s">
        <v>87</v>
      </c>
      <c r="Z103" s="44"/>
      <c r="AA103" s="44"/>
      <c r="AB103" s="44" t="s">
        <v>813</v>
      </c>
      <c r="AC103" s="52"/>
      <c r="AD103" s="52">
        <v>1212</v>
      </c>
      <c r="AE103" s="54"/>
      <c r="AF103" s="55"/>
      <c r="AG103" s="55"/>
      <c r="AH103" s="56"/>
      <c r="AI103" s="56"/>
      <c r="AJ103" s="57"/>
      <c r="AK103" s="56"/>
      <c r="AL103" s="46">
        <v>18</v>
      </c>
      <c r="AM103" s="53" t="s">
        <v>941</v>
      </c>
      <c r="AN103" s="39"/>
      <c r="AO103" s="39"/>
      <c r="AP103" s="40"/>
    </row>
    <row r="104" spans="1:42" s="41" customFormat="1" ht="18.75" customHeight="1" x14ac:dyDescent="0.25">
      <c r="A104" s="47">
        <v>46196</v>
      </c>
      <c r="B104" s="43">
        <f t="shared" si="6"/>
        <v>46196</v>
      </c>
      <c r="C104" s="44" t="s">
        <v>814</v>
      </c>
      <c r="D104" s="48" t="s">
        <v>141</v>
      </c>
      <c r="E104" s="48">
        <v>3762</v>
      </c>
      <c r="F104" s="48">
        <v>1</v>
      </c>
      <c r="G104" s="48">
        <v>46813090</v>
      </c>
      <c r="H104" s="48" t="s">
        <v>331</v>
      </c>
      <c r="I104" s="45"/>
      <c r="J104" s="46">
        <f t="shared" si="7"/>
        <v>81.355932203389841</v>
      </c>
      <c r="K104" s="46"/>
      <c r="L104" s="46"/>
      <c r="M104" s="46"/>
      <c r="N104" s="46">
        <f t="shared" si="8"/>
        <v>14.644067796610171</v>
      </c>
      <c r="O104" s="46"/>
      <c r="P104" s="49">
        <v>96</v>
      </c>
      <c r="Q104" s="50"/>
      <c r="R104" s="43"/>
      <c r="S104" s="45"/>
      <c r="T104" s="44"/>
      <c r="U104" s="44"/>
      <c r="V104" s="51" t="s">
        <v>86</v>
      </c>
      <c r="W104" s="46"/>
      <c r="X104" s="47">
        <v>46196</v>
      </c>
      <c r="Y104" s="44" t="s">
        <v>87</v>
      </c>
      <c r="Z104" s="44"/>
      <c r="AA104" s="44"/>
      <c r="AB104" s="44" t="s">
        <v>813</v>
      </c>
      <c r="AC104" s="52"/>
      <c r="AD104" s="52">
        <v>1212</v>
      </c>
      <c r="AE104" s="54"/>
      <c r="AF104" s="55"/>
      <c r="AG104" s="55"/>
      <c r="AH104" s="56"/>
      <c r="AI104" s="56"/>
      <c r="AJ104" s="57"/>
      <c r="AK104" s="56"/>
      <c r="AL104" s="46">
        <v>18</v>
      </c>
      <c r="AM104" s="53" t="s">
        <v>941</v>
      </c>
      <c r="AN104" s="39"/>
      <c r="AO104" s="39"/>
      <c r="AP104" s="40"/>
    </row>
    <row r="105" spans="1:42" s="41" customFormat="1" ht="18.75" customHeight="1" x14ac:dyDescent="0.25">
      <c r="A105" s="47">
        <v>46196</v>
      </c>
      <c r="B105" s="43">
        <f t="shared" si="6"/>
        <v>46196</v>
      </c>
      <c r="C105" s="44" t="s">
        <v>814</v>
      </c>
      <c r="D105" s="48" t="s">
        <v>141</v>
      </c>
      <c r="E105" s="48">
        <v>3763</v>
      </c>
      <c r="F105" s="48">
        <v>1</v>
      </c>
      <c r="G105" s="48">
        <v>23267827</v>
      </c>
      <c r="H105" s="48" t="s">
        <v>333</v>
      </c>
      <c r="I105" s="45"/>
      <c r="J105" s="46">
        <f t="shared" si="7"/>
        <v>114.40677966101696</v>
      </c>
      <c r="K105" s="46"/>
      <c r="L105" s="46"/>
      <c r="M105" s="46"/>
      <c r="N105" s="46">
        <f t="shared" si="8"/>
        <v>20.593220338983052</v>
      </c>
      <c r="O105" s="46"/>
      <c r="P105" s="49">
        <v>135</v>
      </c>
      <c r="Q105" s="50"/>
      <c r="R105" s="43"/>
      <c r="S105" s="45"/>
      <c r="T105" s="44"/>
      <c r="U105" s="44"/>
      <c r="V105" s="51" t="s">
        <v>86</v>
      </c>
      <c r="W105" s="46"/>
      <c r="X105" s="47">
        <v>46196</v>
      </c>
      <c r="Y105" s="44" t="s">
        <v>87</v>
      </c>
      <c r="Z105" s="44"/>
      <c r="AA105" s="44"/>
      <c r="AB105" s="44" t="s">
        <v>813</v>
      </c>
      <c r="AC105" s="52"/>
      <c r="AD105" s="52">
        <v>1212</v>
      </c>
      <c r="AE105" s="54"/>
      <c r="AF105" s="55"/>
      <c r="AG105" s="55"/>
      <c r="AH105" s="56"/>
      <c r="AI105" s="56"/>
      <c r="AJ105" s="57"/>
      <c r="AK105" s="56"/>
      <c r="AL105" s="46">
        <v>18</v>
      </c>
      <c r="AM105" s="53" t="s">
        <v>941</v>
      </c>
      <c r="AN105" s="39"/>
      <c r="AO105" s="39"/>
      <c r="AP105" s="40"/>
    </row>
    <row r="106" spans="1:42" s="41" customFormat="1" ht="18.75" customHeight="1" x14ac:dyDescent="0.25">
      <c r="A106" s="47">
        <v>46196</v>
      </c>
      <c r="B106" s="43">
        <f t="shared" si="6"/>
        <v>46196</v>
      </c>
      <c r="C106" s="44" t="s">
        <v>814</v>
      </c>
      <c r="D106" s="48" t="s">
        <v>141</v>
      </c>
      <c r="E106" s="48">
        <v>3764</v>
      </c>
      <c r="F106" s="48">
        <v>1</v>
      </c>
      <c r="G106" s="48">
        <v>11111111</v>
      </c>
      <c r="H106" s="48" t="s">
        <v>143</v>
      </c>
      <c r="I106" s="45"/>
      <c r="J106" s="46">
        <f t="shared" si="7"/>
        <v>42.372881355932208</v>
      </c>
      <c r="K106" s="46"/>
      <c r="L106" s="46"/>
      <c r="M106" s="46"/>
      <c r="N106" s="46">
        <f t="shared" si="8"/>
        <v>7.6271186440677967</v>
      </c>
      <c r="O106" s="46"/>
      <c r="P106" s="49">
        <v>50</v>
      </c>
      <c r="Q106" s="50"/>
      <c r="R106" s="43"/>
      <c r="S106" s="45"/>
      <c r="T106" s="44"/>
      <c r="U106" s="44"/>
      <c r="V106" s="51" t="s">
        <v>86</v>
      </c>
      <c r="W106" s="46"/>
      <c r="X106" s="47">
        <v>46196</v>
      </c>
      <c r="Y106" s="44" t="s">
        <v>87</v>
      </c>
      <c r="Z106" s="44"/>
      <c r="AA106" s="44"/>
      <c r="AB106" s="44" t="s">
        <v>813</v>
      </c>
      <c r="AC106" s="52"/>
      <c r="AD106" s="52">
        <v>1212</v>
      </c>
      <c r="AE106" s="54"/>
      <c r="AF106" s="55"/>
      <c r="AG106" s="55"/>
      <c r="AH106" s="56"/>
      <c r="AI106" s="56"/>
      <c r="AJ106" s="57"/>
      <c r="AK106" s="56"/>
      <c r="AL106" s="46">
        <v>18</v>
      </c>
      <c r="AM106" s="53" t="s">
        <v>941</v>
      </c>
      <c r="AN106" s="39"/>
      <c r="AO106" s="39"/>
      <c r="AP106" s="40"/>
    </row>
    <row r="107" spans="1:42" s="41" customFormat="1" ht="18.75" customHeight="1" x14ac:dyDescent="0.25">
      <c r="A107" s="47">
        <v>46196</v>
      </c>
      <c r="B107" s="43">
        <f t="shared" si="6"/>
        <v>46196</v>
      </c>
      <c r="C107" s="44" t="s">
        <v>814</v>
      </c>
      <c r="D107" s="48" t="s">
        <v>141</v>
      </c>
      <c r="E107" s="48">
        <v>3765</v>
      </c>
      <c r="F107" s="48">
        <v>1</v>
      </c>
      <c r="G107" s="48">
        <v>11111111</v>
      </c>
      <c r="H107" s="48" t="s">
        <v>143</v>
      </c>
      <c r="I107" s="45"/>
      <c r="J107" s="46">
        <f t="shared" si="7"/>
        <v>43.220338983050851</v>
      </c>
      <c r="K107" s="46"/>
      <c r="L107" s="46"/>
      <c r="M107" s="46"/>
      <c r="N107" s="46">
        <f t="shared" si="8"/>
        <v>7.7796610169491531</v>
      </c>
      <c r="O107" s="46"/>
      <c r="P107" s="49">
        <v>51</v>
      </c>
      <c r="Q107" s="50"/>
      <c r="R107" s="43"/>
      <c r="S107" s="45"/>
      <c r="T107" s="44"/>
      <c r="U107" s="44"/>
      <c r="V107" s="51" t="s">
        <v>86</v>
      </c>
      <c r="W107" s="46"/>
      <c r="X107" s="47">
        <v>46196</v>
      </c>
      <c r="Y107" s="44" t="s">
        <v>87</v>
      </c>
      <c r="Z107" s="44"/>
      <c r="AA107" s="44"/>
      <c r="AB107" s="44" t="s">
        <v>813</v>
      </c>
      <c r="AC107" s="52"/>
      <c r="AD107" s="52">
        <v>1212</v>
      </c>
      <c r="AE107" s="54"/>
      <c r="AF107" s="55"/>
      <c r="AG107" s="55"/>
      <c r="AH107" s="56"/>
      <c r="AI107" s="56"/>
      <c r="AJ107" s="57"/>
      <c r="AK107" s="56"/>
      <c r="AL107" s="46">
        <v>18</v>
      </c>
      <c r="AM107" s="53" t="s">
        <v>941</v>
      </c>
      <c r="AN107" s="39"/>
      <c r="AO107" s="39"/>
      <c r="AP107" s="40"/>
    </row>
    <row r="108" spans="1:42" s="41" customFormat="1" ht="18.75" customHeight="1" x14ac:dyDescent="0.25">
      <c r="A108" s="47">
        <v>46196</v>
      </c>
      <c r="B108" s="43">
        <f t="shared" si="6"/>
        <v>46196</v>
      </c>
      <c r="C108" s="44" t="s">
        <v>814</v>
      </c>
      <c r="D108" s="48" t="s">
        <v>141</v>
      </c>
      <c r="E108" s="48">
        <v>3766</v>
      </c>
      <c r="F108" s="48">
        <v>1</v>
      </c>
      <c r="G108" s="48">
        <v>11111111</v>
      </c>
      <c r="H108" s="48" t="s">
        <v>143</v>
      </c>
      <c r="I108" s="45"/>
      <c r="J108" s="46">
        <f t="shared" si="7"/>
        <v>79.66101694915254</v>
      </c>
      <c r="K108" s="46"/>
      <c r="L108" s="46"/>
      <c r="M108" s="46"/>
      <c r="N108" s="46">
        <f t="shared" si="8"/>
        <v>14.338983050847457</v>
      </c>
      <c r="O108" s="46"/>
      <c r="P108" s="49">
        <v>94</v>
      </c>
      <c r="Q108" s="50"/>
      <c r="R108" s="43"/>
      <c r="S108" s="45"/>
      <c r="T108" s="44"/>
      <c r="U108" s="44"/>
      <c r="V108" s="51" t="s">
        <v>86</v>
      </c>
      <c r="W108" s="46"/>
      <c r="X108" s="47">
        <v>46196</v>
      </c>
      <c r="Y108" s="44" t="s">
        <v>87</v>
      </c>
      <c r="Z108" s="44"/>
      <c r="AA108" s="44"/>
      <c r="AB108" s="44" t="s">
        <v>813</v>
      </c>
      <c r="AC108" s="52"/>
      <c r="AD108" s="52">
        <v>1212</v>
      </c>
      <c r="AE108" s="54"/>
      <c r="AF108" s="55"/>
      <c r="AG108" s="55"/>
      <c r="AH108" s="56"/>
      <c r="AI108" s="56"/>
      <c r="AJ108" s="57"/>
      <c r="AK108" s="56"/>
      <c r="AL108" s="46">
        <v>18</v>
      </c>
      <c r="AM108" s="53" t="s">
        <v>941</v>
      </c>
      <c r="AN108" s="39"/>
      <c r="AO108" s="39"/>
      <c r="AP108" s="40"/>
    </row>
    <row r="109" spans="1:42" s="41" customFormat="1" ht="18.75" customHeight="1" x14ac:dyDescent="0.25">
      <c r="A109" s="47">
        <v>46196</v>
      </c>
      <c r="B109" s="43">
        <f t="shared" si="6"/>
        <v>46196</v>
      </c>
      <c r="C109" s="44" t="s">
        <v>814</v>
      </c>
      <c r="D109" s="48" t="s">
        <v>141</v>
      </c>
      <c r="E109" s="48">
        <v>3767</v>
      </c>
      <c r="F109" s="48">
        <v>1</v>
      </c>
      <c r="G109" s="48">
        <v>11111111</v>
      </c>
      <c r="H109" s="48" t="s">
        <v>143</v>
      </c>
      <c r="I109" s="45"/>
      <c r="J109" s="46">
        <f t="shared" si="7"/>
        <v>42.372881355932208</v>
      </c>
      <c r="K109" s="46"/>
      <c r="L109" s="46"/>
      <c r="M109" s="46"/>
      <c r="N109" s="46">
        <f t="shared" si="8"/>
        <v>7.6271186440677967</v>
      </c>
      <c r="O109" s="46"/>
      <c r="P109" s="49">
        <v>50</v>
      </c>
      <c r="Q109" s="50"/>
      <c r="R109" s="43"/>
      <c r="S109" s="45"/>
      <c r="T109" s="44"/>
      <c r="U109" s="44"/>
      <c r="V109" s="51" t="s">
        <v>86</v>
      </c>
      <c r="W109" s="46"/>
      <c r="X109" s="47">
        <v>46196</v>
      </c>
      <c r="Y109" s="44" t="s">
        <v>87</v>
      </c>
      <c r="Z109" s="44"/>
      <c r="AA109" s="44"/>
      <c r="AB109" s="44" t="s">
        <v>813</v>
      </c>
      <c r="AC109" s="52"/>
      <c r="AD109" s="52">
        <v>1212</v>
      </c>
      <c r="AE109" s="54"/>
      <c r="AF109" s="55"/>
      <c r="AG109" s="55"/>
      <c r="AH109" s="56"/>
      <c r="AI109" s="56"/>
      <c r="AJ109" s="57"/>
      <c r="AK109" s="56"/>
      <c r="AL109" s="46">
        <v>18</v>
      </c>
      <c r="AM109" s="53" t="s">
        <v>941</v>
      </c>
      <c r="AN109" s="39"/>
      <c r="AO109" s="39"/>
      <c r="AP109" s="40"/>
    </row>
    <row r="110" spans="1:42" s="41" customFormat="1" ht="18.75" customHeight="1" x14ac:dyDescent="0.25">
      <c r="A110" s="47">
        <v>46196</v>
      </c>
      <c r="B110" s="43">
        <f t="shared" si="6"/>
        <v>46196</v>
      </c>
      <c r="C110" s="44" t="s">
        <v>814</v>
      </c>
      <c r="D110" s="48" t="s">
        <v>141</v>
      </c>
      <c r="E110" s="48">
        <v>3768</v>
      </c>
      <c r="F110" s="48">
        <v>1</v>
      </c>
      <c r="G110" s="48">
        <v>11111111</v>
      </c>
      <c r="H110" s="48" t="s">
        <v>143</v>
      </c>
      <c r="I110" s="45"/>
      <c r="J110" s="46">
        <f t="shared" si="7"/>
        <v>114.40677966101696</v>
      </c>
      <c r="K110" s="46"/>
      <c r="L110" s="46"/>
      <c r="M110" s="46"/>
      <c r="N110" s="46">
        <f t="shared" si="8"/>
        <v>20.593220338983052</v>
      </c>
      <c r="O110" s="46"/>
      <c r="P110" s="49">
        <v>135</v>
      </c>
      <c r="Q110" s="50"/>
      <c r="R110" s="43"/>
      <c r="S110" s="45"/>
      <c r="T110" s="44"/>
      <c r="U110" s="44"/>
      <c r="V110" s="51" t="s">
        <v>86</v>
      </c>
      <c r="W110" s="46"/>
      <c r="X110" s="47">
        <v>46196</v>
      </c>
      <c r="Y110" s="44" t="s">
        <v>87</v>
      </c>
      <c r="Z110" s="44"/>
      <c r="AA110" s="44"/>
      <c r="AB110" s="44" t="s">
        <v>813</v>
      </c>
      <c r="AC110" s="52"/>
      <c r="AD110" s="52">
        <v>1212</v>
      </c>
      <c r="AE110" s="54"/>
      <c r="AF110" s="55"/>
      <c r="AG110" s="55"/>
      <c r="AH110" s="56"/>
      <c r="AI110" s="56"/>
      <c r="AJ110" s="57"/>
      <c r="AK110" s="56"/>
      <c r="AL110" s="46">
        <v>18</v>
      </c>
      <c r="AM110" s="53" t="s">
        <v>941</v>
      </c>
      <c r="AN110" s="39"/>
      <c r="AO110" s="39"/>
      <c r="AP110" s="40"/>
    </row>
    <row r="111" spans="1:42" s="41" customFormat="1" ht="18.75" customHeight="1" x14ac:dyDescent="0.25">
      <c r="A111" s="47">
        <v>46196</v>
      </c>
      <c r="B111" s="43">
        <f t="shared" si="6"/>
        <v>46196</v>
      </c>
      <c r="C111" s="44" t="s">
        <v>814</v>
      </c>
      <c r="D111" s="48" t="s">
        <v>141</v>
      </c>
      <c r="E111" s="48">
        <v>3769</v>
      </c>
      <c r="F111" s="48">
        <v>1</v>
      </c>
      <c r="G111" s="48">
        <v>11111111</v>
      </c>
      <c r="H111" s="48" t="s">
        <v>143</v>
      </c>
      <c r="I111" s="45"/>
      <c r="J111" s="46">
        <f t="shared" si="7"/>
        <v>42.372881355932208</v>
      </c>
      <c r="K111" s="46"/>
      <c r="L111" s="46"/>
      <c r="M111" s="46"/>
      <c r="N111" s="46">
        <f t="shared" si="8"/>
        <v>7.6271186440677967</v>
      </c>
      <c r="O111" s="46"/>
      <c r="P111" s="49">
        <v>50</v>
      </c>
      <c r="Q111" s="50"/>
      <c r="R111" s="43"/>
      <c r="S111" s="45"/>
      <c r="T111" s="44"/>
      <c r="U111" s="44"/>
      <c r="V111" s="51" t="s">
        <v>86</v>
      </c>
      <c r="W111" s="46"/>
      <c r="X111" s="47">
        <v>46196</v>
      </c>
      <c r="Y111" s="44" t="s">
        <v>87</v>
      </c>
      <c r="Z111" s="44"/>
      <c r="AA111" s="44"/>
      <c r="AB111" s="44" t="s">
        <v>813</v>
      </c>
      <c r="AC111" s="52"/>
      <c r="AD111" s="52">
        <v>1212</v>
      </c>
      <c r="AE111" s="54"/>
      <c r="AF111" s="55"/>
      <c r="AG111" s="55"/>
      <c r="AH111" s="56"/>
      <c r="AI111" s="56"/>
      <c r="AJ111" s="57"/>
      <c r="AK111" s="56"/>
      <c r="AL111" s="46">
        <v>18</v>
      </c>
      <c r="AM111" s="53" t="s">
        <v>941</v>
      </c>
      <c r="AN111" s="39"/>
      <c r="AO111" s="39"/>
      <c r="AP111" s="40"/>
    </row>
    <row r="112" spans="1:42" s="41" customFormat="1" ht="18.75" customHeight="1" x14ac:dyDescent="0.25">
      <c r="A112" s="47">
        <v>46196</v>
      </c>
      <c r="B112" s="43">
        <f t="shared" si="6"/>
        <v>46196</v>
      </c>
      <c r="C112" s="44" t="s">
        <v>814</v>
      </c>
      <c r="D112" s="48" t="s">
        <v>141</v>
      </c>
      <c r="E112" s="48">
        <v>3770</v>
      </c>
      <c r="F112" s="48">
        <v>1</v>
      </c>
      <c r="G112" s="48">
        <v>11111111</v>
      </c>
      <c r="H112" s="48" t="s">
        <v>143</v>
      </c>
      <c r="I112" s="45"/>
      <c r="J112" s="46">
        <f t="shared" si="7"/>
        <v>42.372881355932208</v>
      </c>
      <c r="K112" s="46"/>
      <c r="L112" s="46"/>
      <c r="M112" s="46"/>
      <c r="N112" s="46">
        <f t="shared" si="8"/>
        <v>7.6271186440677967</v>
      </c>
      <c r="O112" s="46"/>
      <c r="P112" s="49">
        <v>50</v>
      </c>
      <c r="Q112" s="50"/>
      <c r="R112" s="43"/>
      <c r="S112" s="45"/>
      <c r="T112" s="44"/>
      <c r="U112" s="44"/>
      <c r="V112" s="51" t="s">
        <v>86</v>
      </c>
      <c r="W112" s="46"/>
      <c r="X112" s="47">
        <v>46196</v>
      </c>
      <c r="Y112" s="44" t="s">
        <v>87</v>
      </c>
      <c r="Z112" s="44"/>
      <c r="AA112" s="44"/>
      <c r="AB112" s="44" t="s">
        <v>813</v>
      </c>
      <c r="AC112" s="52"/>
      <c r="AD112" s="52">
        <v>1212</v>
      </c>
      <c r="AE112" s="54"/>
      <c r="AF112" s="55"/>
      <c r="AG112" s="55"/>
      <c r="AH112" s="56"/>
      <c r="AI112" s="56"/>
      <c r="AJ112" s="57"/>
      <c r="AK112" s="56"/>
      <c r="AL112" s="46">
        <v>18</v>
      </c>
      <c r="AM112" s="53" t="s">
        <v>941</v>
      </c>
      <c r="AN112" s="39"/>
      <c r="AO112" s="39"/>
      <c r="AP112" s="40"/>
    </row>
    <row r="113" spans="1:42" s="41" customFormat="1" ht="18.75" customHeight="1" x14ac:dyDescent="0.25">
      <c r="A113" s="47">
        <v>46196</v>
      </c>
      <c r="B113" s="43">
        <f t="shared" si="6"/>
        <v>46196</v>
      </c>
      <c r="C113" s="44" t="s">
        <v>814</v>
      </c>
      <c r="D113" s="48" t="s">
        <v>141</v>
      </c>
      <c r="E113" s="48">
        <v>3771</v>
      </c>
      <c r="F113" s="48">
        <v>1</v>
      </c>
      <c r="G113" s="48">
        <v>11111111</v>
      </c>
      <c r="H113" s="48" t="s">
        <v>143</v>
      </c>
      <c r="I113" s="45"/>
      <c r="J113" s="46">
        <f t="shared" si="7"/>
        <v>81.355932203389841</v>
      </c>
      <c r="K113" s="46"/>
      <c r="L113" s="46"/>
      <c r="M113" s="46"/>
      <c r="N113" s="46">
        <f t="shared" si="8"/>
        <v>14.644067796610171</v>
      </c>
      <c r="O113" s="46"/>
      <c r="P113" s="49">
        <v>96</v>
      </c>
      <c r="Q113" s="50"/>
      <c r="R113" s="43"/>
      <c r="S113" s="45"/>
      <c r="T113" s="44"/>
      <c r="U113" s="44"/>
      <c r="V113" s="51" t="s">
        <v>86</v>
      </c>
      <c r="W113" s="46"/>
      <c r="X113" s="47">
        <v>46196</v>
      </c>
      <c r="Y113" s="44" t="s">
        <v>87</v>
      </c>
      <c r="Z113" s="44"/>
      <c r="AA113" s="44"/>
      <c r="AB113" s="44" t="s">
        <v>813</v>
      </c>
      <c r="AC113" s="52"/>
      <c r="AD113" s="52">
        <v>1212</v>
      </c>
      <c r="AE113" s="54"/>
      <c r="AF113" s="55"/>
      <c r="AG113" s="55"/>
      <c r="AH113" s="56"/>
      <c r="AI113" s="56"/>
      <c r="AJ113" s="57"/>
      <c r="AK113" s="56"/>
      <c r="AL113" s="46">
        <v>18</v>
      </c>
      <c r="AM113" s="53" t="s">
        <v>941</v>
      </c>
      <c r="AN113" s="39"/>
      <c r="AO113" s="39"/>
      <c r="AP113" s="40"/>
    </row>
    <row r="114" spans="1:42" s="41" customFormat="1" ht="18.75" customHeight="1" x14ac:dyDescent="0.25">
      <c r="A114" s="47">
        <v>46196</v>
      </c>
      <c r="B114" s="43">
        <f t="shared" si="6"/>
        <v>46196</v>
      </c>
      <c r="C114" s="44" t="s">
        <v>814</v>
      </c>
      <c r="D114" s="48" t="s">
        <v>141</v>
      </c>
      <c r="E114" s="48">
        <v>3772</v>
      </c>
      <c r="F114" s="48">
        <v>1</v>
      </c>
      <c r="G114" s="48">
        <v>11111111</v>
      </c>
      <c r="H114" s="48" t="s">
        <v>143</v>
      </c>
      <c r="I114" s="45"/>
      <c r="J114" s="46">
        <f t="shared" si="7"/>
        <v>114.40677966101696</v>
      </c>
      <c r="K114" s="46"/>
      <c r="L114" s="46"/>
      <c r="M114" s="46"/>
      <c r="N114" s="46">
        <f t="shared" si="8"/>
        <v>20.593220338983052</v>
      </c>
      <c r="O114" s="46"/>
      <c r="P114" s="49">
        <v>135</v>
      </c>
      <c r="Q114" s="50"/>
      <c r="R114" s="43"/>
      <c r="S114" s="45"/>
      <c r="T114" s="44"/>
      <c r="U114" s="44"/>
      <c r="V114" s="51" t="s">
        <v>86</v>
      </c>
      <c r="W114" s="46"/>
      <c r="X114" s="47">
        <v>46196</v>
      </c>
      <c r="Y114" s="44" t="s">
        <v>87</v>
      </c>
      <c r="Z114" s="44"/>
      <c r="AA114" s="44"/>
      <c r="AB114" s="44" t="s">
        <v>813</v>
      </c>
      <c r="AC114" s="52"/>
      <c r="AD114" s="52">
        <v>1212</v>
      </c>
      <c r="AE114" s="54"/>
      <c r="AF114" s="55"/>
      <c r="AG114" s="55"/>
      <c r="AH114" s="56"/>
      <c r="AI114" s="56"/>
      <c r="AJ114" s="57"/>
      <c r="AK114" s="56"/>
      <c r="AL114" s="46">
        <v>18</v>
      </c>
      <c r="AM114" s="53" t="s">
        <v>941</v>
      </c>
      <c r="AN114" s="39"/>
      <c r="AO114" s="39"/>
      <c r="AP114" s="40"/>
    </row>
    <row r="115" spans="1:42" s="41" customFormat="1" ht="18.75" customHeight="1" x14ac:dyDescent="0.25">
      <c r="A115" s="47">
        <v>46196</v>
      </c>
      <c r="B115" s="43">
        <f t="shared" si="6"/>
        <v>46196</v>
      </c>
      <c r="C115" s="44" t="s">
        <v>814</v>
      </c>
      <c r="D115" s="48" t="s">
        <v>141</v>
      </c>
      <c r="E115" s="48">
        <v>3773</v>
      </c>
      <c r="F115" s="48">
        <v>1</v>
      </c>
      <c r="G115" s="48">
        <v>11111111</v>
      </c>
      <c r="H115" s="48" t="s">
        <v>143</v>
      </c>
      <c r="I115" s="45"/>
      <c r="J115" s="46">
        <f t="shared" si="7"/>
        <v>42.372881355932208</v>
      </c>
      <c r="K115" s="46"/>
      <c r="L115" s="46"/>
      <c r="M115" s="46"/>
      <c r="N115" s="46">
        <f t="shared" si="8"/>
        <v>7.6271186440677967</v>
      </c>
      <c r="O115" s="46"/>
      <c r="P115" s="49">
        <v>50</v>
      </c>
      <c r="Q115" s="50"/>
      <c r="R115" s="43"/>
      <c r="S115" s="45"/>
      <c r="T115" s="44"/>
      <c r="U115" s="44"/>
      <c r="V115" s="51" t="s">
        <v>86</v>
      </c>
      <c r="W115" s="46"/>
      <c r="X115" s="47">
        <v>46196</v>
      </c>
      <c r="Y115" s="44" t="s">
        <v>87</v>
      </c>
      <c r="Z115" s="44"/>
      <c r="AA115" s="44"/>
      <c r="AB115" s="44" t="s">
        <v>813</v>
      </c>
      <c r="AC115" s="52"/>
      <c r="AD115" s="52">
        <v>1212</v>
      </c>
      <c r="AE115" s="54"/>
      <c r="AF115" s="55"/>
      <c r="AG115" s="55"/>
      <c r="AH115" s="56"/>
      <c r="AI115" s="56"/>
      <c r="AJ115" s="57"/>
      <c r="AK115" s="56"/>
      <c r="AL115" s="46">
        <v>18</v>
      </c>
      <c r="AM115" s="53" t="s">
        <v>941</v>
      </c>
      <c r="AN115" s="39"/>
      <c r="AO115" s="39"/>
      <c r="AP115" s="40"/>
    </row>
    <row r="116" spans="1:42" s="41" customFormat="1" ht="18.75" customHeight="1" x14ac:dyDescent="0.25">
      <c r="A116" s="47">
        <v>46196</v>
      </c>
      <c r="B116" s="43">
        <f t="shared" si="6"/>
        <v>46196</v>
      </c>
      <c r="C116" s="44" t="s">
        <v>814</v>
      </c>
      <c r="D116" s="48" t="s">
        <v>141</v>
      </c>
      <c r="E116" s="48">
        <v>3774</v>
      </c>
      <c r="F116" s="48">
        <v>1</v>
      </c>
      <c r="G116" s="48">
        <v>11111111</v>
      </c>
      <c r="H116" s="48" t="s">
        <v>143</v>
      </c>
      <c r="I116" s="45"/>
      <c r="J116" s="46">
        <f t="shared" si="7"/>
        <v>43.220338983050851</v>
      </c>
      <c r="K116" s="46"/>
      <c r="L116" s="46"/>
      <c r="M116" s="46"/>
      <c r="N116" s="46">
        <f t="shared" si="8"/>
        <v>7.7796610169491531</v>
      </c>
      <c r="O116" s="46"/>
      <c r="P116" s="49">
        <v>51</v>
      </c>
      <c r="Q116" s="50"/>
      <c r="R116" s="43"/>
      <c r="S116" s="45"/>
      <c r="T116" s="44"/>
      <c r="U116" s="44"/>
      <c r="V116" s="51" t="s">
        <v>86</v>
      </c>
      <c r="W116" s="46"/>
      <c r="X116" s="47">
        <v>46196</v>
      </c>
      <c r="Y116" s="44" t="s">
        <v>87</v>
      </c>
      <c r="Z116" s="44"/>
      <c r="AA116" s="44"/>
      <c r="AB116" s="44" t="s">
        <v>813</v>
      </c>
      <c r="AC116" s="52"/>
      <c r="AD116" s="52">
        <v>1212</v>
      </c>
      <c r="AE116" s="54"/>
      <c r="AF116" s="55"/>
      <c r="AG116" s="55"/>
      <c r="AH116" s="56"/>
      <c r="AI116" s="56"/>
      <c r="AJ116" s="57"/>
      <c r="AK116" s="56"/>
      <c r="AL116" s="46">
        <v>18</v>
      </c>
      <c r="AM116" s="53" t="s">
        <v>941</v>
      </c>
      <c r="AN116" s="39"/>
      <c r="AO116" s="39"/>
      <c r="AP116" s="40"/>
    </row>
    <row r="117" spans="1:42" s="41" customFormat="1" ht="18.75" customHeight="1" x14ac:dyDescent="0.25">
      <c r="A117" s="47">
        <v>46196</v>
      </c>
      <c r="B117" s="43">
        <f t="shared" si="6"/>
        <v>46196</v>
      </c>
      <c r="C117" s="44" t="s">
        <v>814</v>
      </c>
      <c r="D117" s="48" t="s">
        <v>141</v>
      </c>
      <c r="E117" s="48">
        <v>3776</v>
      </c>
      <c r="F117" s="48">
        <v>1</v>
      </c>
      <c r="G117" s="48">
        <v>11111111</v>
      </c>
      <c r="H117" s="48" t="s">
        <v>143</v>
      </c>
      <c r="I117" s="45"/>
      <c r="J117" s="46">
        <f t="shared" si="7"/>
        <v>42.372881355932208</v>
      </c>
      <c r="K117" s="46"/>
      <c r="L117" s="46"/>
      <c r="M117" s="46"/>
      <c r="N117" s="46">
        <f t="shared" si="8"/>
        <v>7.6271186440677967</v>
      </c>
      <c r="O117" s="46"/>
      <c r="P117" s="49">
        <v>50</v>
      </c>
      <c r="Q117" s="50"/>
      <c r="R117" s="43"/>
      <c r="S117" s="45"/>
      <c r="T117" s="44"/>
      <c r="U117" s="44"/>
      <c r="V117" s="51" t="s">
        <v>86</v>
      </c>
      <c r="W117" s="46"/>
      <c r="X117" s="47">
        <v>46196</v>
      </c>
      <c r="Y117" s="44" t="s">
        <v>87</v>
      </c>
      <c r="Z117" s="44"/>
      <c r="AA117" s="44"/>
      <c r="AB117" s="44" t="s">
        <v>813</v>
      </c>
      <c r="AC117" s="52"/>
      <c r="AD117" s="52">
        <v>1212</v>
      </c>
      <c r="AE117" s="54"/>
      <c r="AF117" s="55"/>
      <c r="AG117" s="55"/>
      <c r="AH117" s="56"/>
      <c r="AI117" s="56"/>
      <c r="AJ117" s="57"/>
      <c r="AK117" s="56"/>
      <c r="AL117" s="46">
        <v>18</v>
      </c>
      <c r="AM117" s="53" t="s">
        <v>941</v>
      </c>
      <c r="AN117" s="39"/>
      <c r="AO117" s="39"/>
      <c r="AP117" s="40"/>
    </row>
    <row r="118" spans="1:42" s="41" customFormat="1" ht="18.75" customHeight="1" x14ac:dyDescent="0.25">
      <c r="A118" s="47">
        <v>46196</v>
      </c>
      <c r="B118" s="43">
        <f t="shared" si="6"/>
        <v>46196</v>
      </c>
      <c r="C118" s="44" t="s">
        <v>814</v>
      </c>
      <c r="D118" s="48" t="s">
        <v>141</v>
      </c>
      <c r="E118" s="48">
        <v>3777</v>
      </c>
      <c r="F118" s="48">
        <v>1</v>
      </c>
      <c r="G118" s="48">
        <v>11111111</v>
      </c>
      <c r="H118" s="48" t="s">
        <v>143</v>
      </c>
      <c r="I118" s="45"/>
      <c r="J118" s="46">
        <f t="shared" si="7"/>
        <v>119.49152542372882</v>
      </c>
      <c r="K118" s="46"/>
      <c r="L118" s="46"/>
      <c r="M118" s="46"/>
      <c r="N118" s="46">
        <f t="shared" si="8"/>
        <v>21.508474576271187</v>
      </c>
      <c r="O118" s="46"/>
      <c r="P118" s="49">
        <v>141</v>
      </c>
      <c r="Q118" s="50"/>
      <c r="R118" s="43"/>
      <c r="S118" s="45"/>
      <c r="T118" s="44"/>
      <c r="U118" s="44"/>
      <c r="V118" s="51" t="s">
        <v>86</v>
      </c>
      <c r="W118" s="46"/>
      <c r="X118" s="47">
        <v>46196</v>
      </c>
      <c r="Y118" s="44" t="s">
        <v>87</v>
      </c>
      <c r="Z118" s="44"/>
      <c r="AA118" s="44"/>
      <c r="AB118" s="44" t="s">
        <v>813</v>
      </c>
      <c r="AC118" s="52"/>
      <c r="AD118" s="52">
        <v>1212</v>
      </c>
      <c r="AE118" s="54"/>
      <c r="AF118" s="55"/>
      <c r="AG118" s="55"/>
      <c r="AH118" s="56"/>
      <c r="AI118" s="56"/>
      <c r="AJ118" s="57"/>
      <c r="AK118" s="56"/>
      <c r="AL118" s="46">
        <v>18</v>
      </c>
      <c r="AM118" s="53" t="s">
        <v>941</v>
      </c>
      <c r="AN118" s="39"/>
      <c r="AO118" s="39"/>
      <c r="AP118" s="40"/>
    </row>
    <row r="119" spans="1:42" s="41" customFormat="1" ht="18.75" customHeight="1" x14ac:dyDescent="0.25">
      <c r="A119" s="47">
        <v>46196</v>
      </c>
      <c r="B119" s="43">
        <f t="shared" si="6"/>
        <v>46196</v>
      </c>
      <c r="C119" s="44" t="s">
        <v>814</v>
      </c>
      <c r="D119" s="48" t="s">
        <v>141</v>
      </c>
      <c r="E119" s="48">
        <v>3778</v>
      </c>
      <c r="F119" s="48">
        <v>1</v>
      </c>
      <c r="G119" s="48">
        <v>11111111</v>
      </c>
      <c r="H119" s="48" t="s">
        <v>143</v>
      </c>
      <c r="I119" s="45"/>
      <c r="J119" s="46">
        <f t="shared" si="7"/>
        <v>43.220338983050851</v>
      </c>
      <c r="K119" s="46"/>
      <c r="L119" s="46"/>
      <c r="M119" s="46"/>
      <c r="N119" s="46">
        <f t="shared" si="8"/>
        <v>7.7796610169491531</v>
      </c>
      <c r="O119" s="46"/>
      <c r="P119" s="49">
        <v>51</v>
      </c>
      <c r="Q119" s="50"/>
      <c r="R119" s="43"/>
      <c r="S119" s="45"/>
      <c r="T119" s="44"/>
      <c r="U119" s="44"/>
      <c r="V119" s="51" t="s">
        <v>86</v>
      </c>
      <c r="W119" s="46"/>
      <c r="X119" s="47">
        <v>46196</v>
      </c>
      <c r="Y119" s="44" t="s">
        <v>87</v>
      </c>
      <c r="Z119" s="44"/>
      <c r="AA119" s="44"/>
      <c r="AB119" s="44" t="s">
        <v>813</v>
      </c>
      <c r="AC119" s="52"/>
      <c r="AD119" s="52">
        <v>1212</v>
      </c>
      <c r="AE119" s="54"/>
      <c r="AF119" s="55"/>
      <c r="AG119" s="55"/>
      <c r="AH119" s="56"/>
      <c r="AI119" s="56"/>
      <c r="AJ119" s="57"/>
      <c r="AK119" s="56"/>
      <c r="AL119" s="46">
        <v>18</v>
      </c>
      <c r="AM119" s="53" t="s">
        <v>941</v>
      </c>
      <c r="AN119" s="39"/>
      <c r="AO119" s="39"/>
      <c r="AP119" s="40"/>
    </row>
    <row r="120" spans="1:42" s="41" customFormat="1" ht="18.75" customHeight="1" x14ac:dyDescent="0.25">
      <c r="A120" s="47">
        <v>46196</v>
      </c>
      <c r="B120" s="43">
        <f t="shared" si="6"/>
        <v>46196</v>
      </c>
      <c r="C120" s="44" t="s">
        <v>814</v>
      </c>
      <c r="D120" s="48" t="s">
        <v>141</v>
      </c>
      <c r="E120" s="48">
        <v>3779</v>
      </c>
      <c r="F120" s="48">
        <v>1</v>
      </c>
      <c r="G120" s="48">
        <v>11111111</v>
      </c>
      <c r="H120" s="48" t="s">
        <v>143</v>
      </c>
      <c r="I120" s="45"/>
      <c r="J120" s="46">
        <f t="shared" si="7"/>
        <v>77.966101694915253</v>
      </c>
      <c r="K120" s="46"/>
      <c r="L120" s="46"/>
      <c r="M120" s="46"/>
      <c r="N120" s="46">
        <f t="shared" si="8"/>
        <v>14.033898305084746</v>
      </c>
      <c r="O120" s="46"/>
      <c r="P120" s="49">
        <v>92</v>
      </c>
      <c r="Q120" s="50"/>
      <c r="R120" s="43"/>
      <c r="S120" s="45"/>
      <c r="T120" s="44"/>
      <c r="U120" s="44"/>
      <c r="V120" s="51" t="s">
        <v>86</v>
      </c>
      <c r="W120" s="46"/>
      <c r="X120" s="47">
        <v>46196</v>
      </c>
      <c r="Y120" s="44" t="s">
        <v>87</v>
      </c>
      <c r="Z120" s="44"/>
      <c r="AA120" s="44"/>
      <c r="AB120" s="44" t="s">
        <v>813</v>
      </c>
      <c r="AC120" s="52"/>
      <c r="AD120" s="52">
        <v>1212</v>
      </c>
      <c r="AE120" s="54"/>
      <c r="AF120" s="55"/>
      <c r="AG120" s="55"/>
      <c r="AH120" s="56"/>
      <c r="AI120" s="56"/>
      <c r="AJ120" s="57"/>
      <c r="AK120" s="56"/>
      <c r="AL120" s="46">
        <v>18</v>
      </c>
      <c r="AM120" s="53" t="s">
        <v>941</v>
      </c>
      <c r="AN120" s="39"/>
      <c r="AO120" s="39"/>
      <c r="AP120" s="40"/>
    </row>
    <row r="121" spans="1:42" s="41" customFormat="1" ht="18.75" customHeight="1" x14ac:dyDescent="0.25">
      <c r="A121" s="47">
        <v>46196</v>
      </c>
      <c r="B121" s="43">
        <f t="shared" si="6"/>
        <v>46196</v>
      </c>
      <c r="C121" s="44" t="s">
        <v>814</v>
      </c>
      <c r="D121" s="48" t="s">
        <v>141</v>
      </c>
      <c r="E121" s="48">
        <v>3780</v>
      </c>
      <c r="F121" s="48">
        <v>1</v>
      </c>
      <c r="G121" s="48">
        <v>11111111</v>
      </c>
      <c r="H121" s="48" t="s">
        <v>143</v>
      </c>
      <c r="I121" s="45"/>
      <c r="J121" s="46">
        <f t="shared" si="7"/>
        <v>42.372881355932208</v>
      </c>
      <c r="K121" s="46"/>
      <c r="L121" s="46"/>
      <c r="M121" s="46"/>
      <c r="N121" s="46">
        <f t="shared" si="8"/>
        <v>7.6271186440677967</v>
      </c>
      <c r="O121" s="46"/>
      <c r="P121" s="49">
        <v>50</v>
      </c>
      <c r="Q121" s="50"/>
      <c r="R121" s="43"/>
      <c r="S121" s="45"/>
      <c r="T121" s="44"/>
      <c r="U121" s="44"/>
      <c r="V121" s="51" t="s">
        <v>86</v>
      </c>
      <c r="W121" s="46"/>
      <c r="X121" s="47">
        <v>46196</v>
      </c>
      <c r="Y121" s="44" t="s">
        <v>87</v>
      </c>
      <c r="Z121" s="44"/>
      <c r="AA121" s="44"/>
      <c r="AB121" s="44" t="s">
        <v>813</v>
      </c>
      <c r="AC121" s="52"/>
      <c r="AD121" s="52">
        <v>1212</v>
      </c>
      <c r="AE121" s="54"/>
      <c r="AF121" s="55"/>
      <c r="AG121" s="55"/>
      <c r="AH121" s="56"/>
      <c r="AI121" s="56"/>
      <c r="AJ121" s="57"/>
      <c r="AK121" s="56"/>
      <c r="AL121" s="46">
        <v>18</v>
      </c>
      <c r="AM121" s="53" t="s">
        <v>941</v>
      </c>
      <c r="AN121" s="39"/>
      <c r="AO121" s="39"/>
      <c r="AP121" s="40"/>
    </row>
    <row r="122" spans="1:42" s="41" customFormat="1" ht="18.75" customHeight="1" x14ac:dyDescent="0.25">
      <c r="A122" s="47">
        <v>46196</v>
      </c>
      <c r="B122" s="43">
        <f t="shared" si="6"/>
        <v>46196</v>
      </c>
      <c r="C122" s="44" t="s">
        <v>814</v>
      </c>
      <c r="D122" s="48" t="s">
        <v>141</v>
      </c>
      <c r="E122" s="48">
        <v>3781</v>
      </c>
      <c r="F122" s="48">
        <v>1</v>
      </c>
      <c r="G122" s="48">
        <v>11111111</v>
      </c>
      <c r="H122" s="48" t="s">
        <v>143</v>
      </c>
      <c r="I122" s="45"/>
      <c r="J122" s="46">
        <f t="shared" si="7"/>
        <v>77.966101694915253</v>
      </c>
      <c r="K122" s="46"/>
      <c r="L122" s="46"/>
      <c r="M122" s="46"/>
      <c r="N122" s="46">
        <f t="shared" si="8"/>
        <v>14.033898305084746</v>
      </c>
      <c r="O122" s="46"/>
      <c r="P122" s="49">
        <v>92</v>
      </c>
      <c r="Q122" s="50"/>
      <c r="R122" s="43"/>
      <c r="S122" s="45"/>
      <c r="T122" s="44"/>
      <c r="U122" s="44"/>
      <c r="V122" s="51" t="s">
        <v>86</v>
      </c>
      <c r="W122" s="46"/>
      <c r="X122" s="47">
        <v>46196</v>
      </c>
      <c r="Y122" s="44" t="s">
        <v>87</v>
      </c>
      <c r="Z122" s="44"/>
      <c r="AA122" s="44"/>
      <c r="AB122" s="44" t="s">
        <v>813</v>
      </c>
      <c r="AC122" s="52"/>
      <c r="AD122" s="52">
        <v>1212</v>
      </c>
      <c r="AE122" s="54"/>
      <c r="AF122" s="55"/>
      <c r="AG122" s="55"/>
      <c r="AH122" s="56"/>
      <c r="AI122" s="56"/>
      <c r="AJ122" s="57"/>
      <c r="AK122" s="56"/>
      <c r="AL122" s="46">
        <v>18</v>
      </c>
      <c r="AM122" s="53" t="s">
        <v>941</v>
      </c>
      <c r="AN122" s="39"/>
      <c r="AO122" s="39"/>
      <c r="AP122" s="40"/>
    </row>
    <row r="123" spans="1:42" s="41" customFormat="1" ht="18.75" customHeight="1" x14ac:dyDescent="0.25">
      <c r="A123" s="47">
        <v>46196</v>
      </c>
      <c r="B123" s="43">
        <f t="shared" si="6"/>
        <v>46196</v>
      </c>
      <c r="C123" s="44" t="s">
        <v>814</v>
      </c>
      <c r="D123" s="48" t="s">
        <v>141</v>
      </c>
      <c r="E123" s="48">
        <v>3782</v>
      </c>
      <c r="F123" s="48">
        <v>1</v>
      </c>
      <c r="G123" s="48">
        <v>11111111</v>
      </c>
      <c r="H123" s="48" t="s">
        <v>143</v>
      </c>
      <c r="I123" s="45"/>
      <c r="J123" s="46">
        <f t="shared" si="7"/>
        <v>42.372881355932208</v>
      </c>
      <c r="K123" s="46"/>
      <c r="L123" s="46"/>
      <c r="M123" s="46"/>
      <c r="N123" s="46">
        <f t="shared" si="8"/>
        <v>7.6271186440677967</v>
      </c>
      <c r="O123" s="46"/>
      <c r="P123" s="49">
        <v>50</v>
      </c>
      <c r="Q123" s="50"/>
      <c r="R123" s="43"/>
      <c r="S123" s="45"/>
      <c r="T123" s="44"/>
      <c r="U123" s="44"/>
      <c r="V123" s="51" t="s">
        <v>86</v>
      </c>
      <c r="W123" s="46"/>
      <c r="X123" s="47">
        <v>46196</v>
      </c>
      <c r="Y123" s="44" t="s">
        <v>87</v>
      </c>
      <c r="Z123" s="44"/>
      <c r="AA123" s="44"/>
      <c r="AB123" s="44" t="s">
        <v>813</v>
      </c>
      <c r="AC123" s="52"/>
      <c r="AD123" s="52">
        <v>1212</v>
      </c>
      <c r="AE123" s="54"/>
      <c r="AF123" s="55"/>
      <c r="AG123" s="55"/>
      <c r="AH123" s="56"/>
      <c r="AI123" s="56"/>
      <c r="AJ123" s="57"/>
      <c r="AK123" s="56"/>
      <c r="AL123" s="46">
        <v>18</v>
      </c>
      <c r="AM123" s="53" t="s">
        <v>941</v>
      </c>
      <c r="AN123" s="39"/>
      <c r="AO123" s="39"/>
      <c r="AP123" s="40"/>
    </row>
    <row r="124" spans="1:42" s="41" customFormat="1" ht="18.75" customHeight="1" x14ac:dyDescent="0.25">
      <c r="A124" s="47">
        <v>46196</v>
      </c>
      <c r="B124" s="43">
        <f t="shared" si="6"/>
        <v>46196</v>
      </c>
      <c r="C124" s="44" t="s">
        <v>814</v>
      </c>
      <c r="D124" s="48" t="s">
        <v>141</v>
      </c>
      <c r="E124" s="48">
        <v>3783</v>
      </c>
      <c r="F124" s="48">
        <v>1</v>
      </c>
      <c r="G124" s="48">
        <v>11111111</v>
      </c>
      <c r="H124" s="48" t="s">
        <v>143</v>
      </c>
      <c r="I124" s="45"/>
      <c r="J124" s="46">
        <f t="shared" si="7"/>
        <v>116.94915254237289</v>
      </c>
      <c r="K124" s="46"/>
      <c r="L124" s="46"/>
      <c r="M124" s="46"/>
      <c r="N124" s="46">
        <f t="shared" si="8"/>
        <v>21.050847457627118</v>
      </c>
      <c r="O124" s="46"/>
      <c r="P124" s="49">
        <v>138</v>
      </c>
      <c r="Q124" s="50"/>
      <c r="R124" s="43"/>
      <c r="S124" s="45"/>
      <c r="T124" s="44"/>
      <c r="U124" s="44"/>
      <c r="V124" s="51" t="s">
        <v>86</v>
      </c>
      <c r="W124" s="46"/>
      <c r="X124" s="47">
        <v>46196</v>
      </c>
      <c r="Y124" s="44" t="s">
        <v>87</v>
      </c>
      <c r="Z124" s="44"/>
      <c r="AA124" s="44"/>
      <c r="AB124" s="44" t="s">
        <v>813</v>
      </c>
      <c r="AC124" s="52"/>
      <c r="AD124" s="52">
        <v>1212</v>
      </c>
      <c r="AE124" s="54"/>
      <c r="AF124" s="55"/>
      <c r="AG124" s="55"/>
      <c r="AH124" s="56"/>
      <c r="AI124" s="56"/>
      <c r="AJ124" s="57"/>
      <c r="AK124" s="56"/>
      <c r="AL124" s="46">
        <v>18</v>
      </c>
      <c r="AM124" s="53" t="s">
        <v>941</v>
      </c>
      <c r="AN124" s="39"/>
      <c r="AO124" s="39"/>
      <c r="AP124" s="40"/>
    </row>
    <row r="125" spans="1:42" s="41" customFormat="1" ht="18.75" customHeight="1" x14ac:dyDescent="0.25">
      <c r="A125" s="47">
        <v>46196</v>
      </c>
      <c r="B125" s="43">
        <f t="shared" si="6"/>
        <v>46196</v>
      </c>
      <c r="C125" s="44" t="s">
        <v>814</v>
      </c>
      <c r="D125" s="48" t="s">
        <v>141</v>
      </c>
      <c r="E125" s="48">
        <v>3784</v>
      </c>
      <c r="F125" s="48">
        <v>1</v>
      </c>
      <c r="G125" s="48">
        <v>11111111</v>
      </c>
      <c r="H125" s="48" t="s">
        <v>143</v>
      </c>
      <c r="I125" s="45"/>
      <c r="J125" s="46">
        <f t="shared" si="7"/>
        <v>79.66101694915254</v>
      </c>
      <c r="K125" s="46"/>
      <c r="L125" s="46"/>
      <c r="M125" s="46"/>
      <c r="N125" s="46">
        <f t="shared" si="8"/>
        <v>14.338983050847457</v>
      </c>
      <c r="O125" s="46"/>
      <c r="P125" s="49">
        <v>94</v>
      </c>
      <c r="Q125" s="50"/>
      <c r="R125" s="43"/>
      <c r="S125" s="45"/>
      <c r="T125" s="44"/>
      <c r="U125" s="44"/>
      <c r="V125" s="51" t="s">
        <v>86</v>
      </c>
      <c r="W125" s="46"/>
      <c r="X125" s="47">
        <v>46196</v>
      </c>
      <c r="Y125" s="44" t="s">
        <v>87</v>
      </c>
      <c r="Z125" s="44"/>
      <c r="AA125" s="44"/>
      <c r="AB125" s="44" t="s">
        <v>813</v>
      </c>
      <c r="AC125" s="52"/>
      <c r="AD125" s="52">
        <v>1212</v>
      </c>
      <c r="AE125" s="54"/>
      <c r="AF125" s="55"/>
      <c r="AG125" s="55"/>
      <c r="AH125" s="56"/>
      <c r="AI125" s="56"/>
      <c r="AJ125" s="57"/>
      <c r="AK125" s="56"/>
      <c r="AL125" s="46">
        <v>18</v>
      </c>
      <c r="AM125" s="53" t="s">
        <v>941</v>
      </c>
      <c r="AN125" s="39"/>
      <c r="AO125" s="39"/>
      <c r="AP125" s="40"/>
    </row>
    <row r="126" spans="1:42" s="41" customFormat="1" ht="18.75" customHeight="1" x14ac:dyDescent="0.25">
      <c r="A126" s="47">
        <v>46196</v>
      </c>
      <c r="B126" s="43">
        <f t="shared" si="6"/>
        <v>46196</v>
      </c>
      <c r="C126" s="44" t="s">
        <v>814</v>
      </c>
      <c r="D126" s="48" t="s">
        <v>141</v>
      </c>
      <c r="E126" s="48">
        <v>3785</v>
      </c>
      <c r="F126" s="48">
        <v>1</v>
      </c>
      <c r="G126" s="48">
        <v>11111111</v>
      </c>
      <c r="H126" s="48" t="s">
        <v>143</v>
      </c>
      <c r="I126" s="45"/>
      <c r="J126" s="46">
        <f t="shared" si="7"/>
        <v>42.372881355932208</v>
      </c>
      <c r="K126" s="46"/>
      <c r="L126" s="46"/>
      <c r="M126" s="46"/>
      <c r="N126" s="46">
        <f t="shared" si="8"/>
        <v>7.6271186440677967</v>
      </c>
      <c r="O126" s="46"/>
      <c r="P126" s="49">
        <v>50</v>
      </c>
      <c r="Q126" s="50"/>
      <c r="R126" s="43"/>
      <c r="S126" s="45"/>
      <c r="T126" s="44"/>
      <c r="U126" s="44"/>
      <c r="V126" s="51" t="s">
        <v>86</v>
      </c>
      <c r="W126" s="46"/>
      <c r="X126" s="47">
        <v>46196</v>
      </c>
      <c r="Y126" s="44" t="s">
        <v>87</v>
      </c>
      <c r="Z126" s="44"/>
      <c r="AA126" s="44"/>
      <c r="AB126" s="44" t="s">
        <v>813</v>
      </c>
      <c r="AC126" s="52"/>
      <c r="AD126" s="52">
        <v>1212</v>
      </c>
      <c r="AE126" s="54"/>
      <c r="AF126" s="55"/>
      <c r="AG126" s="55"/>
      <c r="AH126" s="56"/>
      <c r="AI126" s="56"/>
      <c r="AJ126" s="57"/>
      <c r="AK126" s="56"/>
      <c r="AL126" s="46">
        <v>18</v>
      </c>
      <c r="AM126" s="53" t="s">
        <v>941</v>
      </c>
      <c r="AN126" s="39"/>
      <c r="AO126" s="39"/>
      <c r="AP126" s="40"/>
    </row>
    <row r="127" spans="1:42" s="41" customFormat="1" ht="18.75" customHeight="1" x14ac:dyDescent="0.25">
      <c r="A127" s="47">
        <v>46196</v>
      </c>
      <c r="B127" s="43">
        <f t="shared" si="6"/>
        <v>46196</v>
      </c>
      <c r="C127" s="44" t="s">
        <v>814</v>
      </c>
      <c r="D127" s="48" t="s">
        <v>141</v>
      </c>
      <c r="E127" s="48">
        <v>3786</v>
      </c>
      <c r="F127" s="48">
        <v>1</v>
      </c>
      <c r="G127" s="48">
        <v>11111111</v>
      </c>
      <c r="H127" s="48" t="s">
        <v>143</v>
      </c>
      <c r="I127" s="45"/>
      <c r="J127" s="46">
        <f t="shared" si="7"/>
        <v>81.355932203389841</v>
      </c>
      <c r="K127" s="46"/>
      <c r="L127" s="46"/>
      <c r="M127" s="46"/>
      <c r="N127" s="46">
        <f t="shared" si="8"/>
        <v>14.644067796610171</v>
      </c>
      <c r="O127" s="46"/>
      <c r="P127" s="49">
        <v>96</v>
      </c>
      <c r="Q127" s="50"/>
      <c r="R127" s="43"/>
      <c r="S127" s="45"/>
      <c r="T127" s="44"/>
      <c r="U127" s="44"/>
      <c r="V127" s="51" t="s">
        <v>86</v>
      </c>
      <c r="W127" s="46"/>
      <c r="X127" s="47">
        <v>46196</v>
      </c>
      <c r="Y127" s="44" t="s">
        <v>87</v>
      </c>
      <c r="Z127" s="44"/>
      <c r="AA127" s="44"/>
      <c r="AB127" s="44" t="s">
        <v>813</v>
      </c>
      <c r="AC127" s="52"/>
      <c r="AD127" s="52">
        <v>1212</v>
      </c>
      <c r="AE127" s="54"/>
      <c r="AF127" s="55"/>
      <c r="AG127" s="55"/>
      <c r="AH127" s="56"/>
      <c r="AI127" s="56"/>
      <c r="AJ127" s="57"/>
      <c r="AK127" s="56"/>
      <c r="AL127" s="46">
        <v>18</v>
      </c>
      <c r="AM127" s="53" t="s">
        <v>941</v>
      </c>
      <c r="AN127" s="39"/>
      <c r="AO127" s="39"/>
      <c r="AP127" s="40"/>
    </row>
    <row r="128" spans="1:42" s="41" customFormat="1" ht="18.75" customHeight="1" x14ac:dyDescent="0.25">
      <c r="A128" s="47">
        <v>46196</v>
      </c>
      <c r="B128" s="43">
        <f t="shared" si="6"/>
        <v>46196</v>
      </c>
      <c r="C128" s="44" t="s">
        <v>814</v>
      </c>
      <c r="D128" s="48" t="s">
        <v>141</v>
      </c>
      <c r="E128" s="48">
        <v>3787</v>
      </c>
      <c r="F128" s="48">
        <v>1</v>
      </c>
      <c r="G128" s="48">
        <v>11111111</v>
      </c>
      <c r="H128" s="48" t="s">
        <v>143</v>
      </c>
      <c r="I128" s="45"/>
      <c r="J128" s="46">
        <f t="shared" si="7"/>
        <v>43.220338983050851</v>
      </c>
      <c r="K128" s="46"/>
      <c r="L128" s="46"/>
      <c r="M128" s="46"/>
      <c r="N128" s="46">
        <f t="shared" si="8"/>
        <v>7.7796610169491531</v>
      </c>
      <c r="O128" s="46"/>
      <c r="P128" s="49">
        <v>51</v>
      </c>
      <c r="Q128" s="50"/>
      <c r="R128" s="43"/>
      <c r="S128" s="45"/>
      <c r="T128" s="44"/>
      <c r="U128" s="44"/>
      <c r="V128" s="51" t="s">
        <v>86</v>
      </c>
      <c r="W128" s="46"/>
      <c r="X128" s="47">
        <v>46196</v>
      </c>
      <c r="Y128" s="44" t="s">
        <v>87</v>
      </c>
      <c r="Z128" s="44"/>
      <c r="AA128" s="44"/>
      <c r="AB128" s="44" t="s">
        <v>813</v>
      </c>
      <c r="AC128" s="52"/>
      <c r="AD128" s="52">
        <v>1212</v>
      </c>
      <c r="AE128" s="54"/>
      <c r="AF128" s="55"/>
      <c r="AG128" s="55"/>
      <c r="AH128" s="56"/>
      <c r="AI128" s="56"/>
      <c r="AJ128" s="57"/>
      <c r="AK128" s="56"/>
      <c r="AL128" s="46">
        <v>18</v>
      </c>
      <c r="AM128" s="53" t="s">
        <v>941</v>
      </c>
      <c r="AN128" s="39"/>
      <c r="AO128" s="39"/>
      <c r="AP128" s="40"/>
    </row>
    <row r="129" spans="1:42" s="41" customFormat="1" ht="18.75" customHeight="1" x14ac:dyDescent="0.25">
      <c r="A129" s="47">
        <v>46196</v>
      </c>
      <c r="B129" s="43">
        <f t="shared" si="6"/>
        <v>46196</v>
      </c>
      <c r="C129" s="44" t="s">
        <v>814</v>
      </c>
      <c r="D129" s="48" t="s">
        <v>141</v>
      </c>
      <c r="E129" s="48">
        <v>3788</v>
      </c>
      <c r="F129" s="48">
        <v>1</v>
      </c>
      <c r="G129" s="48">
        <v>11111111</v>
      </c>
      <c r="H129" s="48" t="s">
        <v>143</v>
      </c>
      <c r="I129" s="45"/>
      <c r="J129" s="46">
        <f t="shared" si="7"/>
        <v>76.271186440677965</v>
      </c>
      <c r="K129" s="46"/>
      <c r="L129" s="46"/>
      <c r="M129" s="46"/>
      <c r="N129" s="46">
        <f t="shared" si="8"/>
        <v>13.728813559322033</v>
      </c>
      <c r="O129" s="46"/>
      <c r="P129" s="49">
        <v>90</v>
      </c>
      <c r="Q129" s="50"/>
      <c r="R129" s="43"/>
      <c r="S129" s="45"/>
      <c r="T129" s="44"/>
      <c r="U129" s="44"/>
      <c r="V129" s="51" t="s">
        <v>86</v>
      </c>
      <c r="W129" s="46"/>
      <c r="X129" s="47">
        <v>46196</v>
      </c>
      <c r="Y129" s="44" t="s">
        <v>87</v>
      </c>
      <c r="Z129" s="44"/>
      <c r="AA129" s="44"/>
      <c r="AB129" s="44" t="s">
        <v>813</v>
      </c>
      <c r="AC129" s="52"/>
      <c r="AD129" s="52">
        <v>1212</v>
      </c>
      <c r="AE129" s="54"/>
      <c r="AF129" s="55"/>
      <c r="AG129" s="55"/>
      <c r="AH129" s="56"/>
      <c r="AI129" s="56"/>
      <c r="AJ129" s="57"/>
      <c r="AK129" s="56"/>
      <c r="AL129" s="46">
        <v>18</v>
      </c>
      <c r="AM129" s="53" t="s">
        <v>941</v>
      </c>
      <c r="AN129" s="39"/>
      <c r="AO129" s="39"/>
      <c r="AP129" s="40"/>
    </row>
    <row r="130" spans="1:42" s="41" customFormat="1" ht="18.75" customHeight="1" x14ac:dyDescent="0.25">
      <c r="A130" s="47">
        <v>46197</v>
      </c>
      <c r="B130" s="43">
        <f t="shared" si="6"/>
        <v>46197</v>
      </c>
      <c r="C130" s="44" t="s">
        <v>83</v>
      </c>
      <c r="D130" s="48" t="s">
        <v>159</v>
      </c>
      <c r="E130" s="48">
        <v>36</v>
      </c>
      <c r="F130" s="48">
        <v>6</v>
      </c>
      <c r="G130" s="48">
        <v>20614227037</v>
      </c>
      <c r="H130" s="48" t="s">
        <v>382</v>
      </c>
      <c r="I130" s="45"/>
      <c r="J130" s="46">
        <f t="shared" si="7"/>
        <v>44.067796610169495</v>
      </c>
      <c r="K130" s="46"/>
      <c r="L130" s="46"/>
      <c r="M130" s="46"/>
      <c r="N130" s="46">
        <f t="shared" si="8"/>
        <v>7.9322033898305087</v>
      </c>
      <c r="O130" s="46"/>
      <c r="P130" s="49">
        <v>52</v>
      </c>
      <c r="Q130" s="50"/>
      <c r="R130" s="43"/>
      <c r="S130" s="45"/>
      <c r="T130" s="44"/>
      <c r="U130" s="44"/>
      <c r="V130" s="51" t="s">
        <v>86</v>
      </c>
      <c r="W130" s="46"/>
      <c r="X130" s="47">
        <v>46197</v>
      </c>
      <c r="Y130" s="44" t="s">
        <v>87</v>
      </c>
      <c r="Z130" s="44"/>
      <c r="AA130" s="44"/>
      <c r="AB130" s="44" t="s">
        <v>813</v>
      </c>
      <c r="AC130" s="52"/>
      <c r="AD130" s="52">
        <v>1212</v>
      </c>
      <c r="AE130" s="54"/>
      <c r="AF130" s="55"/>
      <c r="AG130" s="55"/>
      <c r="AH130" s="56"/>
      <c r="AI130" s="56"/>
      <c r="AJ130" s="57"/>
      <c r="AK130" s="56"/>
      <c r="AL130" s="46">
        <v>18</v>
      </c>
      <c r="AM130" s="53" t="s">
        <v>941</v>
      </c>
      <c r="AN130" s="39"/>
      <c r="AO130" s="39"/>
      <c r="AP130" s="40"/>
    </row>
    <row r="131" spans="1:42" s="41" customFormat="1" ht="18.75" customHeight="1" x14ac:dyDescent="0.25">
      <c r="A131" s="47">
        <v>46197</v>
      </c>
      <c r="B131" s="43">
        <f t="shared" si="6"/>
        <v>46197</v>
      </c>
      <c r="C131" s="44" t="s">
        <v>814</v>
      </c>
      <c r="D131" s="48" t="s">
        <v>141</v>
      </c>
      <c r="E131" s="48">
        <v>3789</v>
      </c>
      <c r="F131" s="48">
        <v>1</v>
      </c>
      <c r="G131" s="48">
        <v>11111111</v>
      </c>
      <c r="H131" s="48" t="s">
        <v>143</v>
      </c>
      <c r="I131" s="45"/>
      <c r="J131" s="46">
        <f t="shared" si="7"/>
        <v>43.220338983050851</v>
      </c>
      <c r="K131" s="46"/>
      <c r="L131" s="46"/>
      <c r="M131" s="46"/>
      <c r="N131" s="46">
        <f t="shared" si="8"/>
        <v>7.7796610169491531</v>
      </c>
      <c r="O131" s="46"/>
      <c r="P131" s="49">
        <v>51</v>
      </c>
      <c r="Q131" s="50"/>
      <c r="R131" s="43"/>
      <c r="S131" s="45"/>
      <c r="T131" s="44"/>
      <c r="U131" s="44"/>
      <c r="V131" s="51" t="s">
        <v>86</v>
      </c>
      <c r="W131" s="46"/>
      <c r="X131" s="47">
        <v>46197</v>
      </c>
      <c r="Y131" s="44" t="s">
        <v>87</v>
      </c>
      <c r="Z131" s="44"/>
      <c r="AA131" s="44"/>
      <c r="AB131" s="44" t="s">
        <v>813</v>
      </c>
      <c r="AC131" s="52"/>
      <c r="AD131" s="52">
        <v>1212</v>
      </c>
      <c r="AE131" s="54"/>
      <c r="AF131" s="55"/>
      <c r="AG131" s="55"/>
      <c r="AH131" s="56"/>
      <c r="AI131" s="56"/>
      <c r="AJ131" s="57"/>
      <c r="AK131" s="56"/>
      <c r="AL131" s="46">
        <v>18</v>
      </c>
      <c r="AM131" s="53" t="s">
        <v>941</v>
      </c>
      <c r="AN131" s="39"/>
      <c r="AO131" s="39"/>
      <c r="AP131" s="40"/>
    </row>
    <row r="132" spans="1:42" s="41" customFormat="1" ht="18.75" customHeight="1" x14ac:dyDescent="0.25">
      <c r="A132" s="47">
        <v>46197</v>
      </c>
      <c r="B132" s="43">
        <f t="shared" si="6"/>
        <v>46197</v>
      </c>
      <c r="C132" s="44" t="s">
        <v>814</v>
      </c>
      <c r="D132" s="48" t="s">
        <v>141</v>
      </c>
      <c r="E132" s="48">
        <v>3790</v>
      </c>
      <c r="F132" s="48">
        <v>1</v>
      </c>
      <c r="G132" s="48">
        <v>11111111</v>
      </c>
      <c r="H132" s="48" t="s">
        <v>143</v>
      </c>
      <c r="I132" s="45"/>
      <c r="J132" s="46">
        <f t="shared" si="7"/>
        <v>79.66101694915254</v>
      </c>
      <c r="K132" s="46"/>
      <c r="L132" s="46"/>
      <c r="M132" s="46"/>
      <c r="N132" s="46">
        <f t="shared" si="8"/>
        <v>14.338983050847457</v>
      </c>
      <c r="O132" s="46"/>
      <c r="P132" s="49">
        <v>94</v>
      </c>
      <c r="Q132" s="50"/>
      <c r="R132" s="43"/>
      <c r="S132" s="45"/>
      <c r="T132" s="44"/>
      <c r="U132" s="44"/>
      <c r="V132" s="51" t="s">
        <v>86</v>
      </c>
      <c r="W132" s="46"/>
      <c r="X132" s="47">
        <v>46197</v>
      </c>
      <c r="Y132" s="44" t="s">
        <v>87</v>
      </c>
      <c r="Z132" s="44"/>
      <c r="AA132" s="44"/>
      <c r="AB132" s="44" t="s">
        <v>813</v>
      </c>
      <c r="AC132" s="52"/>
      <c r="AD132" s="52">
        <v>1212</v>
      </c>
      <c r="AE132" s="54"/>
      <c r="AF132" s="55"/>
      <c r="AG132" s="55"/>
      <c r="AH132" s="56"/>
      <c r="AI132" s="56"/>
      <c r="AJ132" s="57"/>
      <c r="AK132" s="56"/>
      <c r="AL132" s="46">
        <v>18</v>
      </c>
      <c r="AM132" s="53" t="s">
        <v>941</v>
      </c>
      <c r="AN132" s="39"/>
      <c r="AO132" s="39"/>
      <c r="AP132" s="40"/>
    </row>
    <row r="133" spans="1:42" s="41" customFormat="1" ht="18.75" customHeight="1" x14ac:dyDescent="0.25">
      <c r="A133" s="47">
        <v>46197</v>
      </c>
      <c r="B133" s="43">
        <f t="shared" si="6"/>
        <v>46197</v>
      </c>
      <c r="C133" s="44" t="s">
        <v>814</v>
      </c>
      <c r="D133" s="48" t="s">
        <v>141</v>
      </c>
      <c r="E133" s="48">
        <v>3791</v>
      </c>
      <c r="F133" s="48">
        <v>1</v>
      </c>
      <c r="G133" s="48">
        <v>11111111</v>
      </c>
      <c r="H133" s="48" t="s">
        <v>143</v>
      </c>
      <c r="I133" s="45"/>
      <c r="J133" s="46">
        <f t="shared" si="7"/>
        <v>114.40677966101696</v>
      </c>
      <c r="K133" s="46"/>
      <c r="L133" s="46"/>
      <c r="M133" s="46"/>
      <c r="N133" s="46">
        <f t="shared" si="8"/>
        <v>20.593220338983052</v>
      </c>
      <c r="O133" s="46"/>
      <c r="P133" s="49">
        <v>135</v>
      </c>
      <c r="Q133" s="50"/>
      <c r="R133" s="43"/>
      <c r="S133" s="45"/>
      <c r="T133" s="44"/>
      <c r="U133" s="44"/>
      <c r="V133" s="51" t="s">
        <v>86</v>
      </c>
      <c r="W133" s="46"/>
      <c r="X133" s="47">
        <v>46197</v>
      </c>
      <c r="Y133" s="44" t="s">
        <v>87</v>
      </c>
      <c r="Z133" s="44"/>
      <c r="AA133" s="44"/>
      <c r="AB133" s="44" t="s">
        <v>813</v>
      </c>
      <c r="AC133" s="52"/>
      <c r="AD133" s="52">
        <v>1212</v>
      </c>
      <c r="AE133" s="54"/>
      <c r="AF133" s="55"/>
      <c r="AG133" s="55"/>
      <c r="AH133" s="56"/>
      <c r="AI133" s="56"/>
      <c r="AJ133" s="57"/>
      <c r="AK133" s="56"/>
      <c r="AL133" s="46">
        <v>18</v>
      </c>
      <c r="AM133" s="53" t="s">
        <v>941</v>
      </c>
      <c r="AN133" s="39"/>
      <c r="AO133" s="39"/>
      <c r="AP133" s="40"/>
    </row>
    <row r="134" spans="1:42" s="41" customFormat="1" ht="18.75" customHeight="1" x14ac:dyDescent="0.25">
      <c r="A134" s="47">
        <v>46197</v>
      </c>
      <c r="B134" s="43">
        <f t="shared" si="6"/>
        <v>46197</v>
      </c>
      <c r="C134" s="44" t="s">
        <v>814</v>
      </c>
      <c r="D134" s="48" t="s">
        <v>141</v>
      </c>
      <c r="E134" s="48">
        <v>3792</v>
      </c>
      <c r="F134" s="48">
        <v>1</v>
      </c>
      <c r="G134" s="48">
        <v>41372681</v>
      </c>
      <c r="H134" s="48" t="s">
        <v>238</v>
      </c>
      <c r="I134" s="45"/>
      <c r="J134" s="46">
        <f t="shared" si="7"/>
        <v>42.372881355932208</v>
      </c>
      <c r="K134" s="46"/>
      <c r="L134" s="46"/>
      <c r="M134" s="46"/>
      <c r="N134" s="46">
        <f t="shared" si="8"/>
        <v>7.6271186440677967</v>
      </c>
      <c r="O134" s="46"/>
      <c r="P134" s="49">
        <v>50</v>
      </c>
      <c r="Q134" s="50"/>
      <c r="R134" s="43"/>
      <c r="S134" s="45"/>
      <c r="T134" s="44"/>
      <c r="U134" s="44"/>
      <c r="V134" s="51" t="s">
        <v>86</v>
      </c>
      <c r="W134" s="46"/>
      <c r="X134" s="47">
        <v>46197</v>
      </c>
      <c r="Y134" s="44" t="s">
        <v>87</v>
      </c>
      <c r="Z134" s="44"/>
      <c r="AA134" s="44"/>
      <c r="AB134" s="44" t="s">
        <v>813</v>
      </c>
      <c r="AC134" s="52"/>
      <c r="AD134" s="52">
        <v>1212</v>
      </c>
      <c r="AE134" s="54"/>
      <c r="AF134" s="55"/>
      <c r="AG134" s="55"/>
      <c r="AH134" s="56"/>
      <c r="AI134" s="56"/>
      <c r="AJ134" s="57"/>
      <c r="AK134" s="56"/>
      <c r="AL134" s="46">
        <v>18</v>
      </c>
      <c r="AM134" s="53" t="s">
        <v>941</v>
      </c>
      <c r="AN134" s="39"/>
      <c r="AO134" s="39"/>
      <c r="AP134" s="40"/>
    </row>
    <row r="135" spans="1:42" s="41" customFormat="1" ht="18.75" customHeight="1" x14ac:dyDescent="0.25">
      <c r="A135" s="47">
        <v>46197</v>
      </c>
      <c r="B135" s="43">
        <f t="shared" si="6"/>
        <v>46197</v>
      </c>
      <c r="C135" s="44" t="s">
        <v>814</v>
      </c>
      <c r="D135" s="48" t="s">
        <v>141</v>
      </c>
      <c r="E135" s="48">
        <v>3793</v>
      </c>
      <c r="F135" s="48">
        <v>1</v>
      </c>
      <c r="G135" s="48">
        <v>11111111</v>
      </c>
      <c r="H135" s="48" t="s">
        <v>143</v>
      </c>
      <c r="I135" s="45"/>
      <c r="J135" s="46">
        <f t="shared" si="7"/>
        <v>43.220338983050851</v>
      </c>
      <c r="K135" s="46"/>
      <c r="L135" s="46"/>
      <c r="M135" s="46"/>
      <c r="N135" s="46">
        <f t="shared" si="8"/>
        <v>7.7796610169491531</v>
      </c>
      <c r="O135" s="46"/>
      <c r="P135" s="49">
        <v>51</v>
      </c>
      <c r="Q135" s="50"/>
      <c r="R135" s="43"/>
      <c r="S135" s="45"/>
      <c r="T135" s="44"/>
      <c r="U135" s="44"/>
      <c r="V135" s="51" t="s">
        <v>86</v>
      </c>
      <c r="W135" s="46"/>
      <c r="X135" s="47">
        <v>46197</v>
      </c>
      <c r="Y135" s="44" t="s">
        <v>87</v>
      </c>
      <c r="Z135" s="44"/>
      <c r="AA135" s="44"/>
      <c r="AB135" s="44" t="s">
        <v>813</v>
      </c>
      <c r="AC135" s="52"/>
      <c r="AD135" s="52">
        <v>1212</v>
      </c>
      <c r="AE135" s="54"/>
      <c r="AF135" s="55"/>
      <c r="AG135" s="55"/>
      <c r="AH135" s="56"/>
      <c r="AI135" s="56"/>
      <c r="AJ135" s="57"/>
      <c r="AK135" s="56"/>
      <c r="AL135" s="46">
        <v>18</v>
      </c>
      <c r="AM135" s="53" t="s">
        <v>941</v>
      </c>
      <c r="AN135" s="39"/>
      <c r="AO135" s="39"/>
      <c r="AP135" s="40"/>
    </row>
    <row r="136" spans="1:42" s="41" customFormat="1" ht="18.75" customHeight="1" x14ac:dyDescent="0.25">
      <c r="A136" s="47">
        <v>46197</v>
      </c>
      <c r="B136" s="43">
        <f t="shared" si="6"/>
        <v>46197</v>
      </c>
      <c r="C136" s="44" t="s">
        <v>814</v>
      </c>
      <c r="D136" s="48" t="s">
        <v>141</v>
      </c>
      <c r="E136" s="48">
        <v>3794</v>
      </c>
      <c r="F136" s="48">
        <v>1</v>
      </c>
      <c r="G136" s="48">
        <v>11111111</v>
      </c>
      <c r="H136" s="48" t="s">
        <v>143</v>
      </c>
      <c r="I136" s="45"/>
      <c r="J136" s="46">
        <f t="shared" si="7"/>
        <v>81.355932203389841</v>
      </c>
      <c r="K136" s="46"/>
      <c r="L136" s="46"/>
      <c r="M136" s="46"/>
      <c r="N136" s="46">
        <f t="shared" si="8"/>
        <v>14.644067796610171</v>
      </c>
      <c r="O136" s="46"/>
      <c r="P136" s="49">
        <v>96</v>
      </c>
      <c r="Q136" s="50"/>
      <c r="R136" s="43"/>
      <c r="S136" s="45"/>
      <c r="T136" s="44"/>
      <c r="U136" s="44"/>
      <c r="V136" s="51" t="s">
        <v>86</v>
      </c>
      <c r="W136" s="46"/>
      <c r="X136" s="47">
        <v>46197</v>
      </c>
      <c r="Y136" s="44" t="s">
        <v>87</v>
      </c>
      <c r="Z136" s="44"/>
      <c r="AA136" s="44"/>
      <c r="AB136" s="44" t="s">
        <v>813</v>
      </c>
      <c r="AC136" s="52"/>
      <c r="AD136" s="52">
        <v>1212</v>
      </c>
      <c r="AE136" s="54"/>
      <c r="AF136" s="55"/>
      <c r="AG136" s="55"/>
      <c r="AH136" s="56"/>
      <c r="AI136" s="56"/>
      <c r="AJ136" s="57"/>
      <c r="AK136" s="56"/>
      <c r="AL136" s="46">
        <v>18</v>
      </c>
      <c r="AM136" s="53" t="s">
        <v>941</v>
      </c>
      <c r="AN136" s="39"/>
      <c r="AO136" s="39"/>
      <c r="AP136" s="40"/>
    </row>
    <row r="137" spans="1:42" s="41" customFormat="1" ht="18.75" customHeight="1" x14ac:dyDescent="0.25">
      <c r="A137" s="47">
        <v>46197</v>
      </c>
      <c r="B137" s="43">
        <f t="shared" ref="B137:B200" si="9">+A137</f>
        <v>46197</v>
      </c>
      <c r="C137" s="44" t="s">
        <v>814</v>
      </c>
      <c r="D137" s="48" t="s">
        <v>141</v>
      </c>
      <c r="E137" s="48">
        <v>3795</v>
      </c>
      <c r="F137" s="48">
        <v>1</v>
      </c>
      <c r="G137" s="48">
        <v>11111111</v>
      </c>
      <c r="H137" s="48" t="s">
        <v>143</v>
      </c>
      <c r="I137" s="45"/>
      <c r="J137" s="46">
        <f t="shared" ref="J137:J200" si="10">+P137/1.18</f>
        <v>42.372881355932208</v>
      </c>
      <c r="K137" s="46"/>
      <c r="L137" s="46"/>
      <c r="M137" s="46"/>
      <c r="N137" s="46">
        <f t="shared" ref="N137:N200" si="11">+J137*0.18</f>
        <v>7.6271186440677967</v>
      </c>
      <c r="O137" s="46"/>
      <c r="P137" s="49">
        <v>50</v>
      </c>
      <c r="Q137" s="50"/>
      <c r="R137" s="43"/>
      <c r="S137" s="45"/>
      <c r="T137" s="44"/>
      <c r="U137" s="44"/>
      <c r="V137" s="51" t="s">
        <v>86</v>
      </c>
      <c r="W137" s="46"/>
      <c r="X137" s="47">
        <v>46197</v>
      </c>
      <c r="Y137" s="44" t="s">
        <v>87</v>
      </c>
      <c r="Z137" s="44"/>
      <c r="AA137" s="44"/>
      <c r="AB137" s="44" t="s">
        <v>813</v>
      </c>
      <c r="AC137" s="52"/>
      <c r="AD137" s="52">
        <v>1212</v>
      </c>
      <c r="AE137" s="54"/>
      <c r="AF137" s="55"/>
      <c r="AG137" s="55"/>
      <c r="AH137" s="56"/>
      <c r="AI137" s="56"/>
      <c r="AJ137" s="57"/>
      <c r="AK137" s="56"/>
      <c r="AL137" s="46">
        <v>18</v>
      </c>
      <c r="AM137" s="53" t="s">
        <v>941</v>
      </c>
      <c r="AN137" s="39"/>
      <c r="AO137" s="39"/>
      <c r="AP137" s="40"/>
    </row>
    <row r="138" spans="1:42" s="41" customFormat="1" ht="18.75" customHeight="1" x14ac:dyDescent="0.25">
      <c r="A138" s="47">
        <v>46197</v>
      </c>
      <c r="B138" s="43">
        <f t="shared" si="9"/>
        <v>46197</v>
      </c>
      <c r="C138" s="44" t="s">
        <v>814</v>
      </c>
      <c r="D138" s="48" t="s">
        <v>141</v>
      </c>
      <c r="E138" s="48">
        <v>3796</v>
      </c>
      <c r="F138" s="48">
        <v>1</v>
      </c>
      <c r="G138" s="48">
        <v>11111111</v>
      </c>
      <c r="H138" s="48" t="s">
        <v>143</v>
      </c>
      <c r="I138" s="45"/>
      <c r="J138" s="46">
        <f t="shared" si="10"/>
        <v>186.4406779661017</v>
      </c>
      <c r="K138" s="46"/>
      <c r="L138" s="46"/>
      <c r="M138" s="46"/>
      <c r="N138" s="46">
        <f t="shared" si="11"/>
        <v>33.559322033898304</v>
      </c>
      <c r="O138" s="46"/>
      <c r="P138" s="49">
        <v>220</v>
      </c>
      <c r="Q138" s="50"/>
      <c r="R138" s="43"/>
      <c r="S138" s="45"/>
      <c r="T138" s="44"/>
      <c r="U138" s="44"/>
      <c r="V138" s="51" t="s">
        <v>86</v>
      </c>
      <c r="W138" s="46"/>
      <c r="X138" s="47">
        <v>46197</v>
      </c>
      <c r="Y138" s="44" t="s">
        <v>87</v>
      </c>
      <c r="Z138" s="44"/>
      <c r="AA138" s="44"/>
      <c r="AB138" s="44" t="s">
        <v>813</v>
      </c>
      <c r="AC138" s="52"/>
      <c r="AD138" s="52">
        <v>1212</v>
      </c>
      <c r="AE138" s="54"/>
      <c r="AF138" s="55"/>
      <c r="AG138" s="55"/>
      <c r="AH138" s="56"/>
      <c r="AI138" s="56"/>
      <c r="AJ138" s="57"/>
      <c r="AK138" s="56"/>
      <c r="AL138" s="46">
        <v>18</v>
      </c>
      <c r="AM138" s="53" t="s">
        <v>941</v>
      </c>
      <c r="AN138" s="39"/>
      <c r="AO138" s="39"/>
      <c r="AP138" s="40"/>
    </row>
    <row r="139" spans="1:42" s="41" customFormat="1" ht="18.75" customHeight="1" x14ac:dyDescent="0.25">
      <c r="A139" s="47">
        <v>46197</v>
      </c>
      <c r="B139" s="43">
        <f t="shared" si="9"/>
        <v>46197</v>
      </c>
      <c r="C139" s="44" t="s">
        <v>814</v>
      </c>
      <c r="D139" s="48" t="s">
        <v>141</v>
      </c>
      <c r="E139" s="48">
        <v>3797</v>
      </c>
      <c r="F139" s="48">
        <v>1</v>
      </c>
      <c r="G139" s="48">
        <v>45717198</v>
      </c>
      <c r="H139" s="48" t="s">
        <v>399</v>
      </c>
      <c r="I139" s="45"/>
      <c r="J139" s="46">
        <f t="shared" si="10"/>
        <v>42.372881355932208</v>
      </c>
      <c r="K139" s="46"/>
      <c r="L139" s="46"/>
      <c r="M139" s="46"/>
      <c r="N139" s="46">
        <f t="shared" si="11"/>
        <v>7.6271186440677967</v>
      </c>
      <c r="O139" s="46"/>
      <c r="P139" s="49">
        <v>50</v>
      </c>
      <c r="Q139" s="50"/>
      <c r="R139" s="43"/>
      <c r="S139" s="45"/>
      <c r="T139" s="44"/>
      <c r="U139" s="44"/>
      <c r="V139" s="51" t="s">
        <v>86</v>
      </c>
      <c r="W139" s="46"/>
      <c r="X139" s="47">
        <v>46197</v>
      </c>
      <c r="Y139" s="44" t="s">
        <v>87</v>
      </c>
      <c r="Z139" s="44"/>
      <c r="AA139" s="44"/>
      <c r="AB139" s="44" t="s">
        <v>813</v>
      </c>
      <c r="AC139" s="52"/>
      <c r="AD139" s="52">
        <v>1212</v>
      </c>
      <c r="AE139" s="54"/>
      <c r="AF139" s="55"/>
      <c r="AG139" s="55"/>
      <c r="AH139" s="56"/>
      <c r="AI139" s="56"/>
      <c r="AJ139" s="57"/>
      <c r="AK139" s="56"/>
      <c r="AL139" s="46">
        <v>18</v>
      </c>
      <c r="AM139" s="53" t="s">
        <v>941</v>
      </c>
      <c r="AN139" s="39"/>
      <c r="AO139" s="39"/>
      <c r="AP139" s="40"/>
    </row>
    <row r="140" spans="1:42" s="41" customFormat="1" ht="18.75" customHeight="1" x14ac:dyDescent="0.25">
      <c r="A140" s="47">
        <v>46197</v>
      </c>
      <c r="B140" s="43">
        <f t="shared" si="9"/>
        <v>46197</v>
      </c>
      <c r="C140" s="44" t="s">
        <v>814</v>
      </c>
      <c r="D140" s="48" t="s">
        <v>141</v>
      </c>
      <c r="E140" s="48">
        <v>3798</v>
      </c>
      <c r="F140" s="48">
        <v>1</v>
      </c>
      <c r="G140" s="48">
        <v>11111111</v>
      </c>
      <c r="H140" s="48" t="s">
        <v>143</v>
      </c>
      <c r="I140" s="45"/>
      <c r="J140" s="46">
        <f t="shared" si="10"/>
        <v>364.40677966101697</v>
      </c>
      <c r="K140" s="46"/>
      <c r="L140" s="46"/>
      <c r="M140" s="46"/>
      <c r="N140" s="46">
        <f t="shared" si="11"/>
        <v>65.593220338983059</v>
      </c>
      <c r="O140" s="46"/>
      <c r="P140" s="49">
        <v>430</v>
      </c>
      <c r="Q140" s="50"/>
      <c r="R140" s="43"/>
      <c r="S140" s="45"/>
      <c r="T140" s="44"/>
      <c r="U140" s="44"/>
      <c r="V140" s="51" t="s">
        <v>86</v>
      </c>
      <c r="W140" s="46"/>
      <c r="X140" s="47">
        <v>46197</v>
      </c>
      <c r="Y140" s="44" t="s">
        <v>87</v>
      </c>
      <c r="Z140" s="44"/>
      <c r="AA140" s="44"/>
      <c r="AB140" s="44" t="s">
        <v>813</v>
      </c>
      <c r="AC140" s="52"/>
      <c r="AD140" s="52">
        <v>1212</v>
      </c>
      <c r="AE140" s="54"/>
      <c r="AF140" s="55"/>
      <c r="AG140" s="55"/>
      <c r="AH140" s="56"/>
      <c r="AI140" s="56"/>
      <c r="AJ140" s="57"/>
      <c r="AK140" s="56"/>
      <c r="AL140" s="46">
        <v>18</v>
      </c>
      <c r="AM140" s="53" t="s">
        <v>941</v>
      </c>
      <c r="AN140" s="39"/>
      <c r="AO140" s="39"/>
      <c r="AP140" s="40"/>
    </row>
    <row r="141" spans="1:42" s="41" customFormat="1" ht="18.75" customHeight="1" x14ac:dyDescent="0.25">
      <c r="A141" s="47">
        <v>46197</v>
      </c>
      <c r="B141" s="43">
        <f t="shared" si="9"/>
        <v>46197</v>
      </c>
      <c r="C141" s="44" t="s">
        <v>814</v>
      </c>
      <c r="D141" s="48" t="s">
        <v>141</v>
      </c>
      <c r="E141" s="48">
        <v>3799</v>
      </c>
      <c r="F141" s="48">
        <v>1</v>
      </c>
      <c r="G141" s="48">
        <v>11111111</v>
      </c>
      <c r="H141" s="48" t="s">
        <v>143</v>
      </c>
      <c r="I141" s="45"/>
      <c r="J141" s="46">
        <f t="shared" si="10"/>
        <v>43.220338983050851</v>
      </c>
      <c r="K141" s="46"/>
      <c r="L141" s="46"/>
      <c r="M141" s="46"/>
      <c r="N141" s="46">
        <f t="shared" si="11"/>
        <v>7.7796610169491531</v>
      </c>
      <c r="O141" s="46"/>
      <c r="P141" s="49">
        <v>51</v>
      </c>
      <c r="Q141" s="50"/>
      <c r="R141" s="43"/>
      <c r="S141" s="45"/>
      <c r="T141" s="44"/>
      <c r="U141" s="44"/>
      <c r="V141" s="51" t="s">
        <v>86</v>
      </c>
      <c r="W141" s="46"/>
      <c r="X141" s="47">
        <v>46197</v>
      </c>
      <c r="Y141" s="44" t="s">
        <v>87</v>
      </c>
      <c r="Z141" s="44"/>
      <c r="AA141" s="44"/>
      <c r="AB141" s="44" t="s">
        <v>813</v>
      </c>
      <c r="AC141" s="52"/>
      <c r="AD141" s="52">
        <v>1212</v>
      </c>
      <c r="AE141" s="54"/>
      <c r="AF141" s="55"/>
      <c r="AG141" s="55"/>
      <c r="AH141" s="56"/>
      <c r="AI141" s="56"/>
      <c r="AJ141" s="57"/>
      <c r="AK141" s="56"/>
      <c r="AL141" s="46">
        <v>18</v>
      </c>
      <c r="AM141" s="53" t="s">
        <v>941</v>
      </c>
      <c r="AN141" s="39"/>
      <c r="AO141" s="39"/>
      <c r="AP141" s="40"/>
    </row>
    <row r="142" spans="1:42" s="41" customFormat="1" ht="18.75" customHeight="1" x14ac:dyDescent="0.25">
      <c r="A142" s="47">
        <v>46197</v>
      </c>
      <c r="B142" s="43">
        <f t="shared" si="9"/>
        <v>46197</v>
      </c>
      <c r="C142" s="44" t="s">
        <v>814</v>
      </c>
      <c r="D142" s="48" t="s">
        <v>141</v>
      </c>
      <c r="E142" s="48">
        <v>3800</v>
      </c>
      <c r="F142" s="48">
        <v>1</v>
      </c>
      <c r="G142" s="48">
        <v>11111111</v>
      </c>
      <c r="H142" s="48" t="s">
        <v>143</v>
      </c>
      <c r="I142" s="45"/>
      <c r="J142" s="46">
        <f t="shared" si="10"/>
        <v>79.66101694915254</v>
      </c>
      <c r="K142" s="46"/>
      <c r="L142" s="46"/>
      <c r="M142" s="46"/>
      <c r="N142" s="46">
        <f t="shared" si="11"/>
        <v>14.338983050847457</v>
      </c>
      <c r="O142" s="46"/>
      <c r="P142" s="49">
        <v>94</v>
      </c>
      <c r="Q142" s="50"/>
      <c r="R142" s="43"/>
      <c r="S142" s="45"/>
      <c r="T142" s="44"/>
      <c r="U142" s="44"/>
      <c r="V142" s="51" t="s">
        <v>86</v>
      </c>
      <c r="W142" s="46"/>
      <c r="X142" s="47">
        <v>46197</v>
      </c>
      <c r="Y142" s="44" t="s">
        <v>87</v>
      </c>
      <c r="Z142" s="44"/>
      <c r="AA142" s="44"/>
      <c r="AB142" s="44" t="s">
        <v>813</v>
      </c>
      <c r="AC142" s="52"/>
      <c r="AD142" s="52">
        <v>1212</v>
      </c>
      <c r="AE142" s="54"/>
      <c r="AF142" s="55"/>
      <c r="AG142" s="55"/>
      <c r="AH142" s="56"/>
      <c r="AI142" s="56"/>
      <c r="AJ142" s="57"/>
      <c r="AK142" s="56"/>
      <c r="AL142" s="46">
        <v>18</v>
      </c>
      <c r="AM142" s="53" t="s">
        <v>941</v>
      </c>
      <c r="AN142" s="39"/>
      <c r="AO142" s="39"/>
      <c r="AP142" s="40"/>
    </row>
    <row r="143" spans="1:42" s="41" customFormat="1" ht="18.75" customHeight="1" x14ac:dyDescent="0.25">
      <c r="A143" s="47">
        <v>46197</v>
      </c>
      <c r="B143" s="43">
        <f t="shared" si="9"/>
        <v>46197</v>
      </c>
      <c r="C143" s="44" t="s">
        <v>814</v>
      </c>
      <c r="D143" s="48" t="s">
        <v>141</v>
      </c>
      <c r="E143" s="48">
        <v>3801</v>
      </c>
      <c r="F143" s="48">
        <v>1</v>
      </c>
      <c r="G143" s="48">
        <v>11111111</v>
      </c>
      <c r="H143" s="48" t="s">
        <v>143</v>
      </c>
      <c r="I143" s="45"/>
      <c r="J143" s="46">
        <f t="shared" si="10"/>
        <v>116.94915254237289</v>
      </c>
      <c r="K143" s="46"/>
      <c r="L143" s="46"/>
      <c r="M143" s="46"/>
      <c r="N143" s="46">
        <f t="shared" si="11"/>
        <v>21.050847457627118</v>
      </c>
      <c r="O143" s="46"/>
      <c r="P143" s="49">
        <v>138</v>
      </c>
      <c r="Q143" s="50"/>
      <c r="R143" s="43"/>
      <c r="S143" s="45"/>
      <c r="T143" s="44"/>
      <c r="U143" s="44"/>
      <c r="V143" s="51" t="s">
        <v>86</v>
      </c>
      <c r="W143" s="46"/>
      <c r="X143" s="47">
        <v>46197</v>
      </c>
      <c r="Y143" s="44" t="s">
        <v>87</v>
      </c>
      <c r="Z143" s="44"/>
      <c r="AA143" s="44"/>
      <c r="AB143" s="44" t="s">
        <v>813</v>
      </c>
      <c r="AC143" s="52"/>
      <c r="AD143" s="52">
        <v>1212</v>
      </c>
      <c r="AE143" s="54"/>
      <c r="AF143" s="55"/>
      <c r="AG143" s="55"/>
      <c r="AH143" s="56"/>
      <c r="AI143" s="56"/>
      <c r="AJ143" s="57"/>
      <c r="AK143" s="56"/>
      <c r="AL143" s="46">
        <v>18</v>
      </c>
      <c r="AM143" s="53" t="s">
        <v>941</v>
      </c>
      <c r="AN143" s="39"/>
      <c r="AO143" s="39"/>
      <c r="AP143" s="40"/>
    </row>
    <row r="144" spans="1:42" s="41" customFormat="1" ht="18.75" customHeight="1" x14ac:dyDescent="0.25">
      <c r="A144" s="47">
        <v>46197</v>
      </c>
      <c r="B144" s="43">
        <f t="shared" si="9"/>
        <v>46197</v>
      </c>
      <c r="C144" s="44" t="s">
        <v>814</v>
      </c>
      <c r="D144" s="48" t="s">
        <v>141</v>
      </c>
      <c r="E144" s="48">
        <v>3802</v>
      </c>
      <c r="F144" s="48">
        <v>1</v>
      </c>
      <c r="G144" s="48">
        <v>11111111</v>
      </c>
      <c r="H144" s="48" t="s">
        <v>143</v>
      </c>
      <c r="I144" s="45"/>
      <c r="J144" s="46">
        <f t="shared" si="10"/>
        <v>42.372881355932208</v>
      </c>
      <c r="K144" s="46"/>
      <c r="L144" s="46"/>
      <c r="M144" s="46"/>
      <c r="N144" s="46">
        <f t="shared" si="11"/>
        <v>7.6271186440677967</v>
      </c>
      <c r="O144" s="46"/>
      <c r="P144" s="49">
        <v>50</v>
      </c>
      <c r="Q144" s="50"/>
      <c r="R144" s="43"/>
      <c r="S144" s="45"/>
      <c r="T144" s="44"/>
      <c r="U144" s="44"/>
      <c r="V144" s="51" t="s">
        <v>86</v>
      </c>
      <c r="W144" s="46"/>
      <c r="X144" s="47">
        <v>46197</v>
      </c>
      <c r="Y144" s="44" t="s">
        <v>87</v>
      </c>
      <c r="Z144" s="44"/>
      <c r="AA144" s="44"/>
      <c r="AB144" s="44" t="s">
        <v>813</v>
      </c>
      <c r="AC144" s="52"/>
      <c r="AD144" s="52">
        <v>1212</v>
      </c>
      <c r="AE144" s="54"/>
      <c r="AF144" s="55"/>
      <c r="AG144" s="55"/>
      <c r="AH144" s="56"/>
      <c r="AI144" s="56"/>
      <c r="AJ144" s="57"/>
      <c r="AK144" s="56"/>
      <c r="AL144" s="46">
        <v>18</v>
      </c>
      <c r="AM144" s="53" t="s">
        <v>941</v>
      </c>
      <c r="AN144" s="39"/>
      <c r="AO144" s="39"/>
      <c r="AP144" s="40"/>
    </row>
    <row r="145" spans="1:42" s="41" customFormat="1" ht="18.75" customHeight="1" x14ac:dyDescent="0.25">
      <c r="A145" s="47">
        <v>46197</v>
      </c>
      <c r="B145" s="43">
        <f t="shared" si="9"/>
        <v>46197</v>
      </c>
      <c r="C145" s="44" t="s">
        <v>814</v>
      </c>
      <c r="D145" s="48" t="s">
        <v>141</v>
      </c>
      <c r="E145" s="48">
        <v>3803</v>
      </c>
      <c r="F145" s="48">
        <v>1</v>
      </c>
      <c r="G145" s="48">
        <v>11111111</v>
      </c>
      <c r="H145" s="48" t="s">
        <v>143</v>
      </c>
      <c r="I145" s="45"/>
      <c r="J145" s="46">
        <f t="shared" si="10"/>
        <v>84.745762711864415</v>
      </c>
      <c r="K145" s="46"/>
      <c r="L145" s="46"/>
      <c r="M145" s="46"/>
      <c r="N145" s="46">
        <f t="shared" si="11"/>
        <v>15.254237288135593</v>
      </c>
      <c r="O145" s="46"/>
      <c r="P145" s="49">
        <v>100</v>
      </c>
      <c r="Q145" s="50"/>
      <c r="R145" s="43"/>
      <c r="S145" s="45"/>
      <c r="T145" s="44"/>
      <c r="U145" s="44"/>
      <c r="V145" s="51" t="s">
        <v>86</v>
      </c>
      <c r="W145" s="46"/>
      <c r="X145" s="47">
        <v>46197</v>
      </c>
      <c r="Y145" s="44" t="s">
        <v>87</v>
      </c>
      <c r="Z145" s="44"/>
      <c r="AA145" s="44"/>
      <c r="AB145" s="44" t="s">
        <v>813</v>
      </c>
      <c r="AC145" s="52"/>
      <c r="AD145" s="52">
        <v>1212</v>
      </c>
      <c r="AE145" s="54"/>
      <c r="AF145" s="55"/>
      <c r="AG145" s="55"/>
      <c r="AH145" s="56"/>
      <c r="AI145" s="56"/>
      <c r="AJ145" s="57"/>
      <c r="AK145" s="56"/>
      <c r="AL145" s="46">
        <v>18</v>
      </c>
      <c r="AM145" s="53" t="s">
        <v>941</v>
      </c>
      <c r="AN145" s="39"/>
      <c r="AO145" s="39"/>
      <c r="AP145" s="40"/>
    </row>
    <row r="146" spans="1:42" s="41" customFormat="1" ht="18.75" customHeight="1" x14ac:dyDescent="0.25">
      <c r="A146" s="47">
        <v>46197</v>
      </c>
      <c r="B146" s="43">
        <f t="shared" si="9"/>
        <v>46197</v>
      </c>
      <c r="C146" s="44" t="s">
        <v>814</v>
      </c>
      <c r="D146" s="48" t="s">
        <v>141</v>
      </c>
      <c r="E146" s="48">
        <v>3805</v>
      </c>
      <c r="F146" s="48">
        <v>1</v>
      </c>
      <c r="G146" s="48">
        <v>11111111</v>
      </c>
      <c r="H146" s="48" t="s">
        <v>143</v>
      </c>
      <c r="I146" s="45"/>
      <c r="J146" s="46">
        <f t="shared" si="10"/>
        <v>79.66101694915254</v>
      </c>
      <c r="K146" s="46"/>
      <c r="L146" s="46"/>
      <c r="M146" s="46"/>
      <c r="N146" s="46">
        <f t="shared" si="11"/>
        <v>14.338983050847457</v>
      </c>
      <c r="O146" s="46"/>
      <c r="P146" s="49">
        <v>94</v>
      </c>
      <c r="Q146" s="50"/>
      <c r="R146" s="43"/>
      <c r="S146" s="45"/>
      <c r="T146" s="44"/>
      <c r="U146" s="44"/>
      <c r="V146" s="51" t="s">
        <v>86</v>
      </c>
      <c r="W146" s="46"/>
      <c r="X146" s="47">
        <v>46197</v>
      </c>
      <c r="Y146" s="44" t="s">
        <v>87</v>
      </c>
      <c r="Z146" s="44"/>
      <c r="AA146" s="44"/>
      <c r="AB146" s="44" t="s">
        <v>813</v>
      </c>
      <c r="AC146" s="52"/>
      <c r="AD146" s="52">
        <v>1212</v>
      </c>
      <c r="AE146" s="54"/>
      <c r="AF146" s="55"/>
      <c r="AG146" s="55"/>
      <c r="AH146" s="56"/>
      <c r="AI146" s="56"/>
      <c r="AJ146" s="57"/>
      <c r="AK146" s="56"/>
      <c r="AL146" s="46">
        <v>18</v>
      </c>
      <c r="AM146" s="53" t="s">
        <v>941</v>
      </c>
      <c r="AN146" s="39"/>
      <c r="AO146" s="39"/>
      <c r="AP146" s="40"/>
    </row>
    <row r="147" spans="1:42" s="41" customFormat="1" ht="18.75" customHeight="1" x14ac:dyDescent="0.25">
      <c r="A147" s="47">
        <v>46197</v>
      </c>
      <c r="B147" s="43">
        <f t="shared" si="9"/>
        <v>46197</v>
      </c>
      <c r="C147" s="44" t="s">
        <v>814</v>
      </c>
      <c r="D147" s="48" t="s">
        <v>141</v>
      </c>
      <c r="E147" s="48">
        <v>3806</v>
      </c>
      <c r="F147" s="48">
        <v>1</v>
      </c>
      <c r="G147" s="48">
        <v>11111111</v>
      </c>
      <c r="H147" s="48" t="s">
        <v>143</v>
      </c>
      <c r="I147" s="45"/>
      <c r="J147" s="46">
        <f t="shared" si="10"/>
        <v>114.40677966101696</v>
      </c>
      <c r="K147" s="46"/>
      <c r="L147" s="46"/>
      <c r="M147" s="46"/>
      <c r="N147" s="46">
        <f t="shared" si="11"/>
        <v>20.593220338983052</v>
      </c>
      <c r="O147" s="46"/>
      <c r="P147" s="49">
        <v>135</v>
      </c>
      <c r="Q147" s="50"/>
      <c r="R147" s="43"/>
      <c r="S147" s="45"/>
      <c r="T147" s="44"/>
      <c r="U147" s="44"/>
      <c r="V147" s="51" t="s">
        <v>86</v>
      </c>
      <c r="W147" s="46"/>
      <c r="X147" s="47">
        <v>46197</v>
      </c>
      <c r="Y147" s="44" t="s">
        <v>87</v>
      </c>
      <c r="Z147" s="44"/>
      <c r="AA147" s="44"/>
      <c r="AB147" s="44" t="s">
        <v>813</v>
      </c>
      <c r="AC147" s="52"/>
      <c r="AD147" s="52">
        <v>1212</v>
      </c>
      <c r="AE147" s="54"/>
      <c r="AF147" s="55"/>
      <c r="AG147" s="55"/>
      <c r="AH147" s="56"/>
      <c r="AI147" s="56"/>
      <c r="AJ147" s="57"/>
      <c r="AK147" s="56"/>
      <c r="AL147" s="46">
        <v>18</v>
      </c>
      <c r="AM147" s="53" t="s">
        <v>941</v>
      </c>
      <c r="AN147" s="39"/>
      <c r="AO147" s="39"/>
      <c r="AP147" s="40"/>
    </row>
    <row r="148" spans="1:42" s="41" customFormat="1" ht="18.75" customHeight="1" x14ac:dyDescent="0.25">
      <c r="A148" s="47">
        <v>46197</v>
      </c>
      <c r="B148" s="43">
        <f t="shared" si="9"/>
        <v>46197</v>
      </c>
      <c r="C148" s="44" t="s">
        <v>814</v>
      </c>
      <c r="D148" s="48" t="s">
        <v>141</v>
      </c>
      <c r="E148" s="48">
        <v>3807</v>
      </c>
      <c r="F148" s="48">
        <v>1</v>
      </c>
      <c r="G148" s="48">
        <v>11111111</v>
      </c>
      <c r="H148" s="48" t="s">
        <v>143</v>
      </c>
      <c r="I148" s="45"/>
      <c r="J148" s="46">
        <f t="shared" si="10"/>
        <v>42.372881355932208</v>
      </c>
      <c r="K148" s="46"/>
      <c r="L148" s="46"/>
      <c r="M148" s="46"/>
      <c r="N148" s="46">
        <f t="shared" si="11"/>
        <v>7.6271186440677967</v>
      </c>
      <c r="O148" s="46"/>
      <c r="P148" s="49">
        <v>50</v>
      </c>
      <c r="Q148" s="50"/>
      <c r="R148" s="43"/>
      <c r="S148" s="45"/>
      <c r="T148" s="44"/>
      <c r="U148" s="44"/>
      <c r="V148" s="51" t="s">
        <v>86</v>
      </c>
      <c r="W148" s="46"/>
      <c r="X148" s="47">
        <v>46197</v>
      </c>
      <c r="Y148" s="44" t="s">
        <v>87</v>
      </c>
      <c r="Z148" s="44"/>
      <c r="AA148" s="44"/>
      <c r="AB148" s="44" t="s">
        <v>813</v>
      </c>
      <c r="AC148" s="52"/>
      <c r="AD148" s="52">
        <v>1212</v>
      </c>
      <c r="AE148" s="54"/>
      <c r="AF148" s="55"/>
      <c r="AG148" s="55"/>
      <c r="AH148" s="56"/>
      <c r="AI148" s="56"/>
      <c r="AJ148" s="57"/>
      <c r="AK148" s="56"/>
      <c r="AL148" s="46">
        <v>18</v>
      </c>
      <c r="AM148" s="53" t="s">
        <v>941</v>
      </c>
      <c r="AN148" s="39"/>
      <c r="AO148" s="39"/>
      <c r="AP148" s="40"/>
    </row>
    <row r="149" spans="1:42" s="41" customFormat="1" ht="18.75" customHeight="1" x14ac:dyDescent="0.25">
      <c r="A149" s="47">
        <v>46197</v>
      </c>
      <c r="B149" s="43">
        <f t="shared" si="9"/>
        <v>46197</v>
      </c>
      <c r="C149" s="44" t="s">
        <v>814</v>
      </c>
      <c r="D149" s="48" t="s">
        <v>141</v>
      </c>
      <c r="E149" s="48">
        <v>3808</v>
      </c>
      <c r="F149" s="48">
        <v>1</v>
      </c>
      <c r="G149" s="48">
        <v>11111111</v>
      </c>
      <c r="H149" s="48" t="s">
        <v>143</v>
      </c>
      <c r="I149" s="45"/>
      <c r="J149" s="46">
        <f t="shared" si="10"/>
        <v>81.355932203389841</v>
      </c>
      <c r="K149" s="46"/>
      <c r="L149" s="46"/>
      <c r="M149" s="46"/>
      <c r="N149" s="46">
        <f t="shared" si="11"/>
        <v>14.644067796610171</v>
      </c>
      <c r="O149" s="46"/>
      <c r="P149" s="49">
        <v>96</v>
      </c>
      <c r="Q149" s="50"/>
      <c r="R149" s="43"/>
      <c r="S149" s="45"/>
      <c r="T149" s="44"/>
      <c r="U149" s="44"/>
      <c r="V149" s="51" t="s">
        <v>86</v>
      </c>
      <c r="W149" s="46"/>
      <c r="X149" s="47">
        <v>46197</v>
      </c>
      <c r="Y149" s="44" t="s">
        <v>87</v>
      </c>
      <c r="Z149" s="44"/>
      <c r="AA149" s="44"/>
      <c r="AB149" s="44" t="s">
        <v>813</v>
      </c>
      <c r="AC149" s="52"/>
      <c r="AD149" s="52">
        <v>1212</v>
      </c>
      <c r="AE149" s="54"/>
      <c r="AF149" s="55"/>
      <c r="AG149" s="55"/>
      <c r="AH149" s="56"/>
      <c r="AI149" s="56"/>
      <c r="AJ149" s="57"/>
      <c r="AK149" s="56"/>
      <c r="AL149" s="46">
        <v>18</v>
      </c>
      <c r="AM149" s="53" t="s">
        <v>941</v>
      </c>
      <c r="AN149" s="39"/>
      <c r="AO149" s="39"/>
      <c r="AP149" s="40"/>
    </row>
    <row r="150" spans="1:42" s="41" customFormat="1" ht="18.75" customHeight="1" x14ac:dyDescent="0.25">
      <c r="A150" s="47">
        <v>46197</v>
      </c>
      <c r="B150" s="43">
        <f t="shared" si="9"/>
        <v>46197</v>
      </c>
      <c r="C150" s="44" t="s">
        <v>814</v>
      </c>
      <c r="D150" s="48" t="s">
        <v>141</v>
      </c>
      <c r="E150" s="48">
        <v>3809</v>
      </c>
      <c r="F150" s="48">
        <v>1</v>
      </c>
      <c r="G150" s="48">
        <v>11111111</v>
      </c>
      <c r="H150" s="48" t="s">
        <v>143</v>
      </c>
      <c r="I150" s="45"/>
      <c r="J150" s="46">
        <f t="shared" si="10"/>
        <v>114.40677966101696</v>
      </c>
      <c r="K150" s="46"/>
      <c r="L150" s="46"/>
      <c r="M150" s="46"/>
      <c r="N150" s="46">
        <f t="shared" si="11"/>
        <v>20.593220338983052</v>
      </c>
      <c r="O150" s="46"/>
      <c r="P150" s="49">
        <v>135</v>
      </c>
      <c r="Q150" s="50"/>
      <c r="R150" s="43"/>
      <c r="S150" s="45"/>
      <c r="T150" s="44"/>
      <c r="U150" s="44"/>
      <c r="V150" s="51" t="s">
        <v>86</v>
      </c>
      <c r="W150" s="46"/>
      <c r="X150" s="47">
        <v>46197</v>
      </c>
      <c r="Y150" s="44" t="s">
        <v>87</v>
      </c>
      <c r="Z150" s="44"/>
      <c r="AA150" s="44"/>
      <c r="AB150" s="44" t="s">
        <v>813</v>
      </c>
      <c r="AC150" s="52"/>
      <c r="AD150" s="52">
        <v>1212</v>
      </c>
      <c r="AE150" s="54"/>
      <c r="AF150" s="55"/>
      <c r="AG150" s="55"/>
      <c r="AH150" s="56"/>
      <c r="AI150" s="56"/>
      <c r="AJ150" s="57"/>
      <c r="AK150" s="56"/>
      <c r="AL150" s="46">
        <v>18</v>
      </c>
      <c r="AM150" s="53" t="s">
        <v>941</v>
      </c>
      <c r="AN150" s="39"/>
      <c r="AO150" s="39"/>
      <c r="AP150" s="40"/>
    </row>
    <row r="151" spans="1:42" s="41" customFormat="1" ht="18.75" customHeight="1" x14ac:dyDescent="0.25">
      <c r="A151" s="47">
        <v>46197</v>
      </c>
      <c r="B151" s="43">
        <f t="shared" si="9"/>
        <v>46197</v>
      </c>
      <c r="C151" s="44" t="s">
        <v>814</v>
      </c>
      <c r="D151" s="48" t="s">
        <v>141</v>
      </c>
      <c r="E151" s="48">
        <v>3810</v>
      </c>
      <c r="F151" s="48">
        <v>1</v>
      </c>
      <c r="G151" s="48">
        <v>11111111</v>
      </c>
      <c r="H151" s="48" t="s">
        <v>143</v>
      </c>
      <c r="I151" s="45"/>
      <c r="J151" s="46">
        <f t="shared" si="10"/>
        <v>42.372881355932208</v>
      </c>
      <c r="K151" s="46"/>
      <c r="L151" s="46"/>
      <c r="M151" s="46"/>
      <c r="N151" s="46">
        <f t="shared" si="11"/>
        <v>7.6271186440677967</v>
      </c>
      <c r="O151" s="46"/>
      <c r="P151" s="49">
        <v>50</v>
      </c>
      <c r="Q151" s="50"/>
      <c r="R151" s="43"/>
      <c r="S151" s="45"/>
      <c r="T151" s="44"/>
      <c r="U151" s="44"/>
      <c r="V151" s="51" t="s">
        <v>86</v>
      </c>
      <c r="W151" s="46"/>
      <c r="X151" s="47">
        <v>46197</v>
      </c>
      <c r="Y151" s="44" t="s">
        <v>87</v>
      </c>
      <c r="Z151" s="44"/>
      <c r="AA151" s="44"/>
      <c r="AB151" s="44" t="s">
        <v>813</v>
      </c>
      <c r="AC151" s="52"/>
      <c r="AD151" s="52">
        <v>1212</v>
      </c>
      <c r="AE151" s="54"/>
      <c r="AF151" s="55"/>
      <c r="AG151" s="55"/>
      <c r="AH151" s="56"/>
      <c r="AI151" s="56"/>
      <c r="AJ151" s="57"/>
      <c r="AK151" s="56"/>
      <c r="AL151" s="46">
        <v>18</v>
      </c>
      <c r="AM151" s="53" t="s">
        <v>941</v>
      </c>
      <c r="AN151" s="39"/>
      <c r="AO151" s="39"/>
      <c r="AP151" s="40"/>
    </row>
    <row r="152" spans="1:42" s="41" customFormat="1" ht="18.75" customHeight="1" x14ac:dyDescent="0.25">
      <c r="A152" s="47">
        <v>46197</v>
      </c>
      <c r="B152" s="43">
        <f t="shared" si="9"/>
        <v>46197</v>
      </c>
      <c r="C152" s="44" t="s">
        <v>814</v>
      </c>
      <c r="D152" s="48" t="s">
        <v>141</v>
      </c>
      <c r="E152" s="48">
        <v>3811</v>
      </c>
      <c r="F152" s="48">
        <v>1</v>
      </c>
      <c r="G152" s="48">
        <v>11111111</v>
      </c>
      <c r="H152" s="48" t="s">
        <v>143</v>
      </c>
      <c r="I152" s="45"/>
      <c r="J152" s="46">
        <f t="shared" si="10"/>
        <v>335.59322033898309</v>
      </c>
      <c r="K152" s="46"/>
      <c r="L152" s="46"/>
      <c r="M152" s="46"/>
      <c r="N152" s="46">
        <f t="shared" si="11"/>
        <v>60.406779661016955</v>
      </c>
      <c r="O152" s="46"/>
      <c r="P152" s="49">
        <v>396</v>
      </c>
      <c r="Q152" s="50"/>
      <c r="R152" s="43"/>
      <c r="S152" s="45"/>
      <c r="T152" s="44"/>
      <c r="U152" s="44"/>
      <c r="V152" s="51" t="s">
        <v>86</v>
      </c>
      <c r="W152" s="46"/>
      <c r="X152" s="47">
        <v>46197</v>
      </c>
      <c r="Y152" s="44" t="s">
        <v>87</v>
      </c>
      <c r="Z152" s="44"/>
      <c r="AA152" s="44"/>
      <c r="AB152" s="44" t="s">
        <v>813</v>
      </c>
      <c r="AC152" s="52"/>
      <c r="AD152" s="52">
        <v>1212</v>
      </c>
      <c r="AE152" s="54"/>
      <c r="AF152" s="55"/>
      <c r="AG152" s="55"/>
      <c r="AH152" s="56"/>
      <c r="AI152" s="56"/>
      <c r="AJ152" s="57"/>
      <c r="AK152" s="56"/>
      <c r="AL152" s="46">
        <v>18</v>
      </c>
      <c r="AM152" s="53" t="s">
        <v>941</v>
      </c>
      <c r="AN152" s="39"/>
      <c r="AO152" s="39"/>
      <c r="AP152" s="40"/>
    </row>
    <row r="153" spans="1:42" s="41" customFormat="1" ht="18.75" customHeight="1" x14ac:dyDescent="0.25">
      <c r="A153" s="47">
        <v>46198</v>
      </c>
      <c r="B153" s="43">
        <f t="shared" si="9"/>
        <v>46198</v>
      </c>
      <c r="C153" s="44" t="s">
        <v>814</v>
      </c>
      <c r="D153" s="48" t="s">
        <v>141</v>
      </c>
      <c r="E153" s="48">
        <v>3775</v>
      </c>
      <c r="F153" s="48">
        <v>1</v>
      </c>
      <c r="G153" s="48">
        <v>11111111</v>
      </c>
      <c r="H153" s="48" t="s">
        <v>143</v>
      </c>
      <c r="I153" s="45"/>
      <c r="J153" s="46">
        <f t="shared" si="10"/>
        <v>74.576271186440678</v>
      </c>
      <c r="K153" s="46"/>
      <c r="L153" s="46"/>
      <c r="M153" s="46"/>
      <c r="N153" s="46">
        <f t="shared" si="11"/>
        <v>13.423728813559322</v>
      </c>
      <c r="O153" s="46"/>
      <c r="P153" s="49">
        <v>88</v>
      </c>
      <c r="Q153" s="50"/>
      <c r="R153" s="43"/>
      <c r="S153" s="45"/>
      <c r="T153" s="44"/>
      <c r="U153" s="44"/>
      <c r="V153" s="51" t="s">
        <v>86</v>
      </c>
      <c r="W153" s="46"/>
      <c r="X153" s="47">
        <v>46198</v>
      </c>
      <c r="Y153" s="44" t="s">
        <v>87</v>
      </c>
      <c r="Z153" s="44"/>
      <c r="AA153" s="44"/>
      <c r="AB153" s="44" t="s">
        <v>813</v>
      </c>
      <c r="AC153" s="52"/>
      <c r="AD153" s="52">
        <v>1212</v>
      </c>
      <c r="AE153" s="54"/>
      <c r="AF153" s="55"/>
      <c r="AG153" s="55"/>
      <c r="AH153" s="56"/>
      <c r="AI153" s="56"/>
      <c r="AJ153" s="57"/>
      <c r="AK153" s="56"/>
      <c r="AL153" s="46">
        <v>18</v>
      </c>
      <c r="AM153" s="53" t="s">
        <v>941</v>
      </c>
      <c r="AN153" s="39"/>
      <c r="AO153" s="39"/>
      <c r="AP153" s="40"/>
    </row>
    <row r="154" spans="1:42" s="41" customFormat="1" ht="18.75" customHeight="1" x14ac:dyDescent="0.25">
      <c r="A154" s="47">
        <v>46198</v>
      </c>
      <c r="B154" s="43">
        <f t="shared" si="9"/>
        <v>46198</v>
      </c>
      <c r="C154" s="44" t="s">
        <v>814</v>
      </c>
      <c r="D154" s="48" t="s">
        <v>141</v>
      </c>
      <c r="E154" s="48">
        <v>3812</v>
      </c>
      <c r="F154" s="48">
        <v>1</v>
      </c>
      <c r="G154" s="48">
        <v>11111111</v>
      </c>
      <c r="H154" s="48" t="s">
        <v>143</v>
      </c>
      <c r="I154" s="45"/>
      <c r="J154" s="46">
        <f t="shared" si="10"/>
        <v>42.372881355932208</v>
      </c>
      <c r="K154" s="46"/>
      <c r="L154" s="46"/>
      <c r="M154" s="46"/>
      <c r="N154" s="46">
        <f t="shared" si="11"/>
        <v>7.6271186440677967</v>
      </c>
      <c r="O154" s="46"/>
      <c r="P154" s="49">
        <v>50</v>
      </c>
      <c r="Q154" s="50"/>
      <c r="R154" s="43"/>
      <c r="S154" s="45"/>
      <c r="T154" s="44"/>
      <c r="U154" s="44"/>
      <c r="V154" s="51" t="s">
        <v>86</v>
      </c>
      <c r="W154" s="46"/>
      <c r="X154" s="47">
        <v>46198</v>
      </c>
      <c r="Y154" s="44" t="s">
        <v>87</v>
      </c>
      <c r="Z154" s="44"/>
      <c r="AA154" s="44"/>
      <c r="AB154" s="44" t="s">
        <v>813</v>
      </c>
      <c r="AC154" s="52"/>
      <c r="AD154" s="52">
        <v>1212</v>
      </c>
      <c r="AE154" s="54"/>
      <c r="AF154" s="55"/>
      <c r="AG154" s="55"/>
      <c r="AH154" s="56"/>
      <c r="AI154" s="56"/>
      <c r="AJ154" s="57"/>
      <c r="AK154" s="56"/>
      <c r="AL154" s="46">
        <v>18</v>
      </c>
      <c r="AM154" s="53" t="s">
        <v>941</v>
      </c>
      <c r="AN154" s="39"/>
      <c r="AO154" s="39"/>
      <c r="AP154" s="40"/>
    </row>
    <row r="155" spans="1:42" s="41" customFormat="1" ht="18.75" customHeight="1" x14ac:dyDescent="0.25">
      <c r="A155" s="47">
        <v>46198</v>
      </c>
      <c r="B155" s="43">
        <f t="shared" si="9"/>
        <v>46198</v>
      </c>
      <c r="C155" s="44" t="s">
        <v>814</v>
      </c>
      <c r="D155" s="48" t="s">
        <v>141</v>
      </c>
      <c r="E155" s="48">
        <v>3813</v>
      </c>
      <c r="F155" s="48">
        <v>1</v>
      </c>
      <c r="G155" s="48">
        <v>11111111</v>
      </c>
      <c r="H155" s="48" t="s">
        <v>143</v>
      </c>
      <c r="I155" s="45"/>
      <c r="J155" s="46">
        <f t="shared" si="10"/>
        <v>81.355932203389841</v>
      </c>
      <c r="K155" s="46"/>
      <c r="L155" s="46"/>
      <c r="M155" s="46"/>
      <c r="N155" s="46">
        <f t="shared" si="11"/>
        <v>14.644067796610171</v>
      </c>
      <c r="O155" s="46"/>
      <c r="P155" s="49">
        <v>96</v>
      </c>
      <c r="Q155" s="50"/>
      <c r="R155" s="43"/>
      <c r="S155" s="45"/>
      <c r="T155" s="44"/>
      <c r="U155" s="44"/>
      <c r="V155" s="51" t="s">
        <v>86</v>
      </c>
      <c r="W155" s="46"/>
      <c r="X155" s="47">
        <v>46198</v>
      </c>
      <c r="Y155" s="44" t="s">
        <v>87</v>
      </c>
      <c r="Z155" s="44"/>
      <c r="AA155" s="44"/>
      <c r="AB155" s="44" t="s">
        <v>813</v>
      </c>
      <c r="AC155" s="52"/>
      <c r="AD155" s="52">
        <v>1212</v>
      </c>
      <c r="AE155" s="54"/>
      <c r="AF155" s="55"/>
      <c r="AG155" s="55"/>
      <c r="AH155" s="56"/>
      <c r="AI155" s="56"/>
      <c r="AJ155" s="57"/>
      <c r="AK155" s="56"/>
      <c r="AL155" s="46">
        <v>18</v>
      </c>
      <c r="AM155" s="53" t="s">
        <v>941</v>
      </c>
      <c r="AN155" s="39"/>
      <c r="AO155" s="39"/>
      <c r="AP155" s="40"/>
    </row>
    <row r="156" spans="1:42" s="41" customFormat="1" ht="18.75" customHeight="1" x14ac:dyDescent="0.25">
      <c r="A156" s="47">
        <v>46198</v>
      </c>
      <c r="B156" s="43">
        <f t="shared" si="9"/>
        <v>46198</v>
      </c>
      <c r="C156" s="44" t="s">
        <v>814</v>
      </c>
      <c r="D156" s="48" t="s">
        <v>141</v>
      </c>
      <c r="E156" s="48">
        <v>3814</v>
      </c>
      <c r="F156" s="48">
        <v>1</v>
      </c>
      <c r="G156" s="48">
        <v>11111111</v>
      </c>
      <c r="H156" s="48" t="s">
        <v>143</v>
      </c>
      <c r="I156" s="45"/>
      <c r="J156" s="46">
        <f t="shared" si="10"/>
        <v>119.49152542372882</v>
      </c>
      <c r="K156" s="46"/>
      <c r="L156" s="46"/>
      <c r="M156" s="46"/>
      <c r="N156" s="46">
        <f t="shared" si="11"/>
        <v>21.508474576271187</v>
      </c>
      <c r="O156" s="46"/>
      <c r="P156" s="49">
        <v>141</v>
      </c>
      <c r="Q156" s="50"/>
      <c r="R156" s="43"/>
      <c r="S156" s="45"/>
      <c r="T156" s="44"/>
      <c r="U156" s="44"/>
      <c r="V156" s="51" t="s">
        <v>86</v>
      </c>
      <c r="W156" s="46"/>
      <c r="X156" s="47">
        <v>46198</v>
      </c>
      <c r="Y156" s="44" t="s">
        <v>87</v>
      </c>
      <c r="Z156" s="44"/>
      <c r="AA156" s="44"/>
      <c r="AB156" s="44" t="s">
        <v>813</v>
      </c>
      <c r="AC156" s="52"/>
      <c r="AD156" s="52">
        <v>1212</v>
      </c>
      <c r="AE156" s="54"/>
      <c r="AF156" s="55"/>
      <c r="AG156" s="55"/>
      <c r="AH156" s="56"/>
      <c r="AI156" s="56"/>
      <c r="AJ156" s="57"/>
      <c r="AK156" s="56"/>
      <c r="AL156" s="46">
        <v>18</v>
      </c>
      <c r="AM156" s="53" t="s">
        <v>941</v>
      </c>
      <c r="AN156" s="39"/>
      <c r="AO156" s="39"/>
      <c r="AP156" s="40"/>
    </row>
    <row r="157" spans="1:42" s="41" customFormat="1" ht="18.75" customHeight="1" x14ac:dyDescent="0.25">
      <c r="A157" s="47">
        <v>46198</v>
      </c>
      <c r="B157" s="43">
        <f t="shared" si="9"/>
        <v>46198</v>
      </c>
      <c r="C157" s="44" t="s">
        <v>814</v>
      </c>
      <c r="D157" s="48" t="s">
        <v>141</v>
      </c>
      <c r="E157" s="48">
        <v>3815</v>
      </c>
      <c r="F157" s="48">
        <v>1</v>
      </c>
      <c r="G157" s="48">
        <v>11111111</v>
      </c>
      <c r="H157" s="48" t="s">
        <v>143</v>
      </c>
      <c r="I157" s="45"/>
      <c r="J157" s="46">
        <f t="shared" si="10"/>
        <v>186.4406779661017</v>
      </c>
      <c r="K157" s="46"/>
      <c r="L157" s="46"/>
      <c r="M157" s="46"/>
      <c r="N157" s="46">
        <f t="shared" si="11"/>
        <v>33.559322033898304</v>
      </c>
      <c r="O157" s="46"/>
      <c r="P157" s="49">
        <v>220</v>
      </c>
      <c r="Q157" s="50"/>
      <c r="R157" s="43"/>
      <c r="S157" s="45"/>
      <c r="T157" s="44"/>
      <c r="U157" s="44"/>
      <c r="V157" s="51" t="s">
        <v>86</v>
      </c>
      <c r="W157" s="46"/>
      <c r="X157" s="47">
        <v>46198</v>
      </c>
      <c r="Y157" s="44" t="s">
        <v>87</v>
      </c>
      <c r="Z157" s="44"/>
      <c r="AA157" s="44"/>
      <c r="AB157" s="44" t="s">
        <v>813</v>
      </c>
      <c r="AC157" s="52"/>
      <c r="AD157" s="52">
        <v>1212</v>
      </c>
      <c r="AE157" s="54"/>
      <c r="AF157" s="55"/>
      <c r="AG157" s="55"/>
      <c r="AH157" s="56"/>
      <c r="AI157" s="56"/>
      <c r="AJ157" s="57"/>
      <c r="AK157" s="56"/>
      <c r="AL157" s="46">
        <v>18</v>
      </c>
      <c r="AM157" s="53" t="s">
        <v>941</v>
      </c>
      <c r="AN157" s="39"/>
      <c r="AO157" s="39"/>
      <c r="AP157" s="40"/>
    </row>
    <row r="158" spans="1:42" s="41" customFormat="1" ht="18.75" customHeight="1" x14ac:dyDescent="0.25">
      <c r="A158" s="47">
        <v>46198</v>
      </c>
      <c r="B158" s="43">
        <f t="shared" si="9"/>
        <v>46198</v>
      </c>
      <c r="C158" s="44" t="s">
        <v>814</v>
      </c>
      <c r="D158" s="48" t="s">
        <v>141</v>
      </c>
      <c r="E158" s="48">
        <v>3816</v>
      </c>
      <c r="F158" s="48">
        <v>1</v>
      </c>
      <c r="G158" s="48">
        <v>11111111</v>
      </c>
      <c r="H158" s="48" t="s">
        <v>143</v>
      </c>
      <c r="I158" s="45"/>
      <c r="J158" s="46">
        <f t="shared" si="10"/>
        <v>43.220338983050851</v>
      </c>
      <c r="K158" s="46"/>
      <c r="L158" s="46"/>
      <c r="M158" s="46"/>
      <c r="N158" s="46">
        <f t="shared" si="11"/>
        <v>7.7796610169491531</v>
      </c>
      <c r="O158" s="46"/>
      <c r="P158" s="49">
        <v>51</v>
      </c>
      <c r="Q158" s="50"/>
      <c r="R158" s="43"/>
      <c r="S158" s="45"/>
      <c r="T158" s="44"/>
      <c r="U158" s="44"/>
      <c r="V158" s="51" t="s">
        <v>86</v>
      </c>
      <c r="W158" s="46"/>
      <c r="X158" s="47">
        <v>46198</v>
      </c>
      <c r="Y158" s="44" t="s">
        <v>87</v>
      </c>
      <c r="Z158" s="44"/>
      <c r="AA158" s="44"/>
      <c r="AB158" s="44" t="s">
        <v>813</v>
      </c>
      <c r="AC158" s="52"/>
      <c r="AD158" s="52">
        <v>1212</v>
      </c>
      <c r="AE158" s="54"/>
      <c r="AF158" s="55"/>
      <c r="AG158" s="55"/>
      <c r="AH158" s="56"/>
      <c r="AI158" s="56"/>
      <c r="AJ158" s="57"/>
      <c r="AK158" s="56"/>
      <c r="AL158" s="46">
        <v>18</v>
      </c>
      <c r="AM158" s="53" t="s">
        <v>941</v>
      </c>
      <c r="AN158" s="39"/>
      <c r="AO158" s="39"/>
      <c r="AP158" s="40"/>
    </row>
    <row r="159" spans="1:42" s="41" customFormat="1" ht="18.75" customHeight="1" x14ac:dyDescent="0.25">
      <c r="A159" s="47">
        <v>46198</v>
      </c>
      <c r="B159" s="43">
        <f t="shared" si="9"/>
        <v>46198</v>
      </c>
      <c r="C159" s="44" t="s">
        <v>814</v>
      </c>
      <c r="D159" s="48" t="s">
        <v>141</v>
      </c>
      <c r="E159" s="48">
        <v>3817</v>
      </c>
      <c r="F159" s="48">
        <v>1</v>
      </c>
      <c r="G159" s="48">
        <v>11111111</v>
      </c>
      <c r="H159" s="48" t="s">
        <v>143</v>
      </c>
      <c r="I159" s="45"/>
      <c r="J159" s="46">
        <f t="shared" si="10"/>
        <v>364.40677966101697</v>
      </c>
      <c r="K159" s="46"/>
      <c r="L159" s="46"/>
      <c r="M159" s="46"/>
      <c r="N159" s="46">
        <f t="shared" si="11"/>
        <v>65.593220338983059</v>
      </c>
      <c r="O159" s="46"/>
      <c r="P159" s="49">
        <v>430</v>
      </c>
      <c r="Q159" s="50"/>
      <c r="R159" s="43"/>
      <c r="S159" s="45"/>
      <c r="T159" s="44"/>
      <c r="U159" s="44"/>
      <c r="V159" s="51" t="s">
        <v>86</v>
      </c>
      <c r="W159" s="46"/>
      <c r="X159" s="47">
        <v>46198</v>
      </c>
      <c r="Y159" s="44" t="s">
        <v>87</v>
      </c>
      <c r="Z159" s="44"/>
      <c r="AA159" s="44"/>
      <c r="AB159" s="44" t="s">
        <v>813</v>
      </c>
      <c r="AC159" s="52"/>
      <c r="AD159" s="52">
        <v>1212</v>
      </c>
      <c r="AE159" s="54"/>
      <c r="AF159" s="55"/>
      <c r="AG159" s="55"/>
      <c r="AH159" s="56"/>
      <c r="AI159" s="56"/>
      <c r="AJ159" s="57"/>
      <c r="AK159" s="56"/>
      <c r="AL159" s="46">
        <v>18</v>
      </c>
      <c r="AM159" s="53" t="s">
        <v>941</v>
      </c>
      <c r="AN159" s="39"/>
      <c r="AO159" s="39"/>
      <c r="AP159" s="40"/>
    </row>
    <row r="160" spans="1:42" s="41" customFormat="1" ht="18.75" customHeight="1" x14ac:dyDescent="0.25">
      <c r="A160" s="47">
        <v>46198</v>
      </c>
      <c r="B160" s="43">
        <f t="shared" si="9"/>
        <v>46198</v>
      </c>
      <c r="C160" s="44" t="s">
        <v>814</v>
      </c>
      <c r="D160" s="48" t="s">
        <v>141</v>
      </c>
      <c r="E160" s="48">
        <v>3818</v>
      </c>
      <c r="F160" s="48">
        <v>1</v>
      </c>
      <c r="G160" s="48">
        <v>11111111</v>
      </c>
      <c r="H160" s="48" t="s">
        <v>143</v>
      </c>
      <c r="I160" s="45"/>
      <c r="J160" s="46">
        <f t="shared" si="10"/>
        <v>42.372881355932208</v>
      </c>
      <c r="K160" s="46"/>
      <c r="L160" s="46"/>
      <c r="M160" s="46"/>
      <c r="N160" s="46">
        <f t="shared" si="11"/>
        <v>7.6271186440677967</v>
      </c>
      <c r="O160" s="46"/>
      <c r="P160" s="49">
        <v>50</v>
      </c>
      <c r="Q160" s="50"/>
      <c r="R160" s="43"/>
      <c r="S160" s="45"/>
      <c r="T160" s="44"/>
      <c r="U160" s="44"/>
      <c r="V160" s="51" t="s">
        <v>86</v>
      </c>
      <c r="W160" s="46"/>
      <c r="X160" s="47">
        <v>46198</v>
      </c>
      <c r="Y160" s="44" t="s">
        <v>87</v>
      </c>
      <c r="Z160" s="44"/>
      <c r="AA160" s="44"/>
      <c r="AB160" s="44" t="s">
        <v>813</v>
      </c>
      <c r="AC160" s="52"/>
      <c r="AD160" s="52">
        <v>1212</v>
      </c>
      <c r="AE160" s="54"/>
      <c r="AF160" s="55"/>
      <c r="AG160" s="55"/>
      <c r="AH160" s="56"/>
      <c r="AI160" s="56"/>
      <c r="AJ160" s="57"/>
      <c r="AK160" s="56"/>
      <c r="AL160" s="46">
        <v>18</v>
      </c>
      <c r="AM160" s="53" t="s">
        <v>941</v>
      </c>
      <c r="AN160" s="39"/>
      <c r="AO160" s="39"/>
      <c r="AP160" s="40"/>
    </row>
    <row r="161" spans="1:42" s="41" customFormat="1" ht="18.75" customHeight="1" x14ac:dyDescent="0.25">
      <c r="A161" s="47">
        <v>46198</v>
      </c>
      <c r="B161" s="43">
        <f t="shared" si="9"/>
        <v>46198</v>
      </c>
      <c r="C161" s="44" t="s">
        <v>814</v>
      </c>
      <c r="D161" s="48" t="s">
        <v>141</v>
      </c>
      <c r="E161" s="48">
        <v>3819</v>
      </c>
      <c r="F161" s="48">
        <v>1</v>
      </c>
      <c r="G161" s="48">
        <v>11111111</v>
      </c>
      <c r="H161" s="48" t="s">
        <v>143</v>
      </c>
      <c r="I161" s="45"/>
      <c r="J161" s="46">
        <f t="shared" si="10"/>
        <v>79.66101694915254</v>
      </c>
      <c r="K161" s="46"/>
      <c r="L161" s="46"/>
      <c r="M161" s="46"/>
      <c r="N161" s="46">
        <f t="shared" si="11"/>
        <v>14.338983050847457</v>
      </c>
      <c r="O161" s="46"/>
      <c r="P161" s="49">
        <v>94</v>
      </c>
      <c r="Q161" s="50"/>
      <c r="R161" s="43"/>
      <c r="S161" s="45"/>
      <c r="T161" s="44"/>
      <c r="U161" s="44"/>
      <c r="V161" s="51" t="s">
        <v>86</v>
      </c>
      <c r="W161" s="46"/>
      <c r="X161" s="47">
        <v>46198</v>
      </c>
      <c r="Y161" s="44" t="s">
        <v>87</v>
      </c>
      <c r="Z161" s="44"/>
      <c r="AA161" s="44"/>
      <c r="AB161" s="44" t="s">
        <v>813</v>
      </c>
      <c r="AC161" s="52"/>
      <c r="AD161" s="52">
        <v>1212</v>
      </c>
      <c r="AE161" s="54"/>
      <c r="AF161" s="55"/>
      <c r="AG161" s="55"/>
      <c r="AH161" s="56"/>
      <c r="AI161" s="56"/>
      <c r="AJ161" s="57"/>
      <c r="AK161" s="56"/>
      <c r="AL161" s="46">
        <v>18</v>
      </c>
      <c r="AM161" s="53" t="s">
        <v>941</v>
      </c>
      <c r="AN161" s="39"/>
      <c r="AO161" s="39"/>
      <c r="AP161" s="40"/>
    </row>
    <row r="162" spans="1:42" s="41" customFormat="1" ht="18.75" customHeight="1" x14ac:dyDescent="0.25">
      <c r="A162" s="47">
        <v>46198</v>
      </c>
      <c r="B162" s="43">
        <f t="shared" si="9"/>
        <v>46198</v>
      </c>
      <c r="C162" s="44" t="s">
        <v>814</v>
      </c>
      <c r="D162" s="48" t="s">
        <v>141</v>
      </c>
      <c r="E162" s="48">
        <v>3820</v>
      </c>
      <c r="F162" s="48">
        <v>1</v>
      </c>
      <c r="G162" s="48">
        <v>11111111</v>
      </c>
      <c r="H162" s="48" t="s">
        <v>143</v>
      </c>
      <c r="I162" s="45"/>
      <c r="J162" s="46">
        <f t="shared" si="10"/>
        <v>437.28813559322037</v>
      </c>
      <c r="K162" s="46"/>
      <c r="L162" s="46"/>
      <c r="M162" s="46"/>
      <c r="N162" s="46">
        <f t="shared" si="11"/>
        <v>78.711864406779668</v>
      </c>
      <c r="O162" s="46"/>
      <c r="P162" s="49">
        <v>516</v>
      </c>
      <c r="Q162" s="50"/>
      <c r="R162" s="43"/>
      <c r="S162" s="45"/>
      <c r="T162" s="44"/>
      <c r="U162" s="44"/>
      <c r="V162" s="51" t="s">
        <v>86</v>
      </c>
      <c r="W162" s="46"/>
      <c r="X162" s="47">
        <v>46198</v>
      </c>
      <c r="Y162" s="44" t="s">
        <v>87</v>
      </c>
      <c r="Z162" s="44"/>
      <c r="AA162" s="44"/>
      <c r="AB162" s="44" t="s">
        <v>813</v>
      </c>
      <c r="AC162" s="52"/>
      <c r="AD162" s="52">
        <v>1212</v>
      </c>
      <c r="AE162" s="54"/>
      <c r="AF162" s="55"/>
      <c r="AG162" s="55"/>
      <c r="AH162" s="56"/>
      <c r="AI162" s="56"/>
      <c r="AJ162" s="57"/>
      <c r="AK162" s="56"/>
      <c r="AL162" s="46">
        <v>18</v>
      </c>
      <c r="AM162" s="53" t="s">
        <v>941</v>
      </c>
      <c r="AN162" s="39"/>
      <c r="AO162" s="39"/>
      <c r="AP162" s="40"/>
    </row>
    <row r="163" spans="1:42" s="41" customFormat="1" ht="18.75" customHeight="1" x14ac:dyDescent="0.25">
      <c r="A163" s="47">
        <v>46198</v>
      </c>
      <c r="B163" s="43">
        <f t="shared" si="9"/>
        <v>46198</v>
      </c>
      <c r="C163" s="44" t="s">
        <v>814</v>
      </c>
      <c r="D163" s="48" t="s">
        <v>141</v>
      </c>
      <c r="E163" s="48">
        <v>3821</v>
      </c>
      <c r="F163" s="48">
        <v>1</v>
      </c>
      <c r="G163" s="48">
        <v>11111111</v>
      </c>
      <c r="H163" s="48" t="s">
        <v>143</v>
      </c>
      <c r="I163" s="45"/>
      <c r="J163" s="46">
        <f t="shared" si="10"/>
        <v>43.220338983050851</v>
      </c>
      <c r="K163" s="46"/>
      <c r="L163" s="46"/>
      <c r="M163" s="46"/>
      <c r="N163" s="46">
        <f t="shared" si="11"/>
        <v>7.7796610169491531</v>
      </c>
      <c r="O163" s="46"/>
      <c r="P163" s="49">
        <v>51</v>
      </c>
      <c r="Q163" s="50"/>
      <c r="R163" s="43"/>
      <c r="S163" s="45"/>
      <c r="T163" s="44"/>
      <c r="U163" s="44"/>
      <c r="V163" s="51" t="s">
        <v>86</v>
      </c>
      <c r="W163" s="46"/>
      <c r="X163" s="47">
        <v>46198</v>
      </c>
      <c r="Y163" s="44" t="s">
        <v>87</v>
      </c>
      <c r="Z163" s="44"/>
      <c r="AA163" s="44"/>
      <c r="AB163" s="44" t="s">
        <v>813</v>
      </c>
      <c r="AC163" s="52"/>
      <c r="AD163" s="52">
        <v>1212</v>
      </c>
      <c r="AE163" s="54"/>
      <c r="AF163" s="55"/>
      <c r="AG163" s="55"/>
      <c r="AH163" s="56"/>
      <c r="AI163" s="56"/>
      <c r="AJ163" s="57"/>
      <c r="AK163" s="56"/>
      <c r="AL163" s="46">
        <v>18</v>
      </c>
      <c r="AM163" s="53" t="s">
        <v>941</v>
      </c>
      <c r="AN163" s="39"/>
      <c r="AO163" s="39"/>
      <c r="AP163" s="40"/>
    </row>
    <row r="164" spans="1:42" s="41" customFormat="1" ht="18.75" customHeight="1" x14ac:dyDescent="0.25">
      <c r="A164" s="47">
        <v>46198</v>
      </c>
      <c r="B164" s="43">
        <f t="shared" si="9"/>
        <v>46198</v>
      </c>
      <c r="C164" s="44" t="s">
        <v>814</v>
      </c>
      <c r="D164" s="48" t="s">
        <v>141</v>
      </c>
      <c r="E164" s="48">
        <v>3822</v>
      </c>
      <c r="F164" s="48">
        <v>1</v>
      </c>
      <c r="G164" s="48">
        <v>11111111</v>
      </c>
      <c r="H164" s="48" t="s">
        <v>143</v>
      </c>
      <c r="I164" s="45"/>
      <c r="J164" s="46">
        <f t="shared" si="10"/>
        <v>81.355932203389841</v>
      </c>
      <c r="K164" s="46"/>
      <c r="L164" s="46"/>
      <c r="M164" s="46"/>
      <c r="N164" s="46">
        <f t="shared" si="11"/>
        <v>14.644067796610171</v>
      </c>
      <c r="O164" s="46"/>
      <c r="P164" s="49">
        <v>96</v>
      </c>
      <c r="Q164" s="50"/>
      <c r="R164" s="43"/>
      <c r="S164" s="45"/>
      <c r="T164" s="44"/>
      <c r="U164" s="44"/>
      <c r="V164" s="51" t="s">
        <v>86</v>
      </c>
      <c r="W164" s="46"/>
      <c r="X164" s="47">
        <v>46198</v>
      </c>
      <c r="Y164" s="44" t="s">
        <v>87</v>
      </c>
      <c r="Z164" s="44"/>
      <c r="AA164" s="44"/>
      <c r="AB164" s="44" t="s">
        <v>813</v>
      </c>
      <c r="AC164" s="52"/>
      <c r="AD164" s="52">
        <v>1212</v>
      </c>
      <c r="AE164" s="54"/>
      <c r="AF164" s="55"/>
      <c r="AG164" s="55"/>
      <c r="AH164" s="56"/>
      <c r="AI164" s="56"/>
      <c r="AJ164" s="57"/>
      <c r="AK164" s="56"/>
      <c r="AL164" s="46">
        <v>18</v>
      </c>
      <c r="AM164" s="53" t="s">
        <v>941</v>
      </c>
      <c r="AN164" s="39"/>
      <c r="AO164" s="39"/>
      <c r="AP164" s="40"/>
    </row>
    <row r="165" spans="1:42" s="41" customFormat="1" ht="18.75" customHeight="1" x14ac:dyDescent="0.25">
      <c r="A165" s="47">
        <v>46198</v>
      </c>
      <c r="B165" s="43">
        <f t="shared" si="9"/>
        <v>46198</v>
      </c>
      <c r="C165" s="44" t="s">
        <v>814</v>
      </c>
      <c r="D165" s="48" t="s">
        <v>141</v>
      </c>
      <c r="E165" s="48">
        <v>3823</v>
      </c>
      <c r="F165" s="48">
        <v>1</v>
      </c>
      <c r="G165" s="48">
        <v>11111111</v>
      </c>
      <c r="H165" s="48" t="s">
        <v>143</v>
      </c>
      <c r="I165" s="45"/>
      <c r="J165" s="46">
        <f t="shared" si="10"/>
        <v>111.86440677966102</v>
      </c>
      <c r="K165" s="46"/>
      <c r="L165" s="46"/>
      <c r="M165" s="46"/>
      <c r="N165" s="46">
        <f t="shared" si="11"/>
        <v>20.135593220338983</v>
      </c>
      <c r="O165" s="46"/>
      <c r="P165" s="49">
        <v>132</v>
      </c>
      <c r="Q165" s="50"/>
      <c r="R165" s="43"/>
      <c r="S165" s="45"/>
      <c r="T165" s="44"/>
      <c r="U165" s="44"/>
      <c r="V165" s="51" t="s">
        <v>86</v>
      </c>
      <c r="W165" s="46"/>
      <c r="X165" s="47">
        <v>46198</v>
      </c>
      <c r="Y165" s="44" t="s">
        <v>87</v>
      </c>
      <c r="Z165" s="44"/>
      <c r="AA165" s="44"/>
      <c r="AB165" s="44" t="s">
        <v>813</v>
      </c>
      <c r="AC165" s="52"/>
      <c r="AD165" s="52">
        <v>1212</v>
      </c>
      <c r="AE165" s="54"/>
      <c r="AF165" s="55"/>
      <c r="AG165" s="55"/>
      <c r="AH165" s="56"/>
      <c r="AI165" s="56"/>
      <c r="AJ165" s="57"/>
      <c r="AK165" s="56"/>
      <c r="AL165" s="46">
        <v>18</v>
      </c>
      <c r="AM165" s="53" t="s">
        <v>941</v>
      </c>
      <c r="AN165" s="39"/>
      <c r="AO165" s="39"/>
      <c r="AP165" s="40"/>
    </row>
    <row r="166" spans="1:42" s="41" customFormat="1" ht="18.75" customHeight="1" x14ac:dyDescent="0.25">
      <c r="A166" s="47">
        <v>46198</v>
      </c>
      <c r="B166" s="43">
        <f t="shared" si="9"/>
        <v>46198</v>
      </c>
      <c r="C166" s="44" t="s">
        <v>814</v>
      </c>
      <c r="D166" s="48" t="s">
        <v>141</v>
      </c>
      <c r="E166" s="48">
        <v>3824</v>
      </c>
      <c r="F166" s="48">
        <v>1</v>
      </c>
      <c r="G166" s="48">
        <v>11111111</v>
      </c>
      <c r="H166" s="48" t="s">
        <v>143</v>
      </c>
      <c r="I166" s="45"/>
      <c r="J166" s="46">
        <f t="shared" si="10"/>
        <v>546.61016949152543</v>
      </c>
      <c r="K166" s="46"/>
      <c r="L166" s="46"/>
      <c r="M166" s="46"/>
      <c r="N166" s="46">
        <f t="shared" si="11"/>
        <v>98.389830508474574</v>
      </c>
      <c r="O166" s="46"/>
      <c r="P166" s="49">
        <v>645</v>
      </c>
      <c r="Q166" s="50"/>
      <c r="R166" s="43"/>
      <c r="S166" s="45"/>
      <c r="T166" s="44"/>
      <c r="U166" s="44"/>
      <c r="V166" s="51" t="s">
        <v>86</v>
      </c>
      <c r="W166" s="46"/>
      <c r="X166" s="47">
        <v>46198</v>
      </c>
      <c r="Y166" s="44" t="s">
        <v>87</v>
      </c>
      <c r="Z166" s="44"/>
      <c r="AA166" s="44"/>
      <c r="AB166" s="44" t="s">
        <v>813</v>
      </c>
      <c r="AC166" s="52"/>
      <c r="AD166" s="52">
        <v>1212</v>
      </c>
      <c r="AE166" s="54"/>
      <c r="AF166" s="55"/>
      <c r="AG166" s="55"/>
      <c r="AH166" s="56"/>
      <c r="AI166" s="56"/>
      <c r="AJ166" s="57"/>
      <c r="AK166" s="56"/>
      <c r="AL166" s="46">
        <v>18</v>
      </c>
      <c r="AM166" s="53" t="s">
        <v>941</v>
      </c>
      <c r="AN166" s="39"/>
      <c r="AO166" s="39"/>
      <c r="AP166" s="40"/>
    </row>
    <row r="167" spans="1:42" s="41" customFormat="1" ht="18.75" customHeight="1" x14ac:dyDescent="0.25">
      <c r="A167" s="47">
        <v>46198</v>
      </c>
      <c r="B167" s="43">
        <f t="shared" si="9"/>
        <v>46198</v>
      </c>
      <c r="C167" s="44" t="s">
        <v>814</v>
      </c>
      <c r="D167" s="48" t="s">
        <v>141</v>
      </c>
      <c r="E167" s="48">
        <v>3825</v>
      </c>
      <c r="F167" s="48">
        <v>1</v>
      </c>
      <c r="G167" s="48">
        <v>11111111</v>
      </c>
      <c r="H167" s="48" t="s">
        <v>143</v>
      </c>
      <c r="I167" s="45"/>
      <c r="J167" s="46">
        <f t="shared" si="10"/>
        <v>43.220338983050851</v>
      </c>
      <c r="K167" s="46"/>
      <c r="L167" s="46"/>
      <c r="M167" s="46"/>
      <c r="N167" s="46">
        <f t="shared" si="11"/>
        <v>7.7796610169491531</v>
      </c>
      <c r="O167" s="46"/>
      <c r="P167" s="49">
        <v>51</v>
      </c>
      <c r="Q167" s="50"/>
      <c r="R167" s="43"/>
      <c r="S167" s="45"/>
      <c r="T167" s="44"/>
      <c r="U167" s="44"/>
      <c r="V167" s="51" t="s">
        <v>86</v>
      </c>
      <c r="W167" s="46"/>
      <c r="X167" s="47">
        <v>46198</v>
      </c>
      <c r="Y167" s="44" t="s">
        <v>87</v>
      </c>
      <c r="Z167" s="44"/>
      <c r="AA167" s="44"/>
      <c r="AB167" s="44" t="s">
        <v>813</v>
      </c>
      <c r="AC167" s="52"/>
      <c r="AD167" s="52">
        <v>1212</v>
      </c>
      <c r="AE167" s="54"/>
      <c r="AF167" s="55"/>
      <c r="AG167" s="55"/>
      <c r="AH167" s="56"/>
      <c r="AI167" s="56"/>
      <c r="AJ167" s="57"/>
      <c r="AK167" s="56"/>
      <c r="AL167" s="46">
        <v>18</v>
      </c>
      <c r="AM167" s="53" t="s">
        <v>941</v>
      </c>
      <c r="AN167" s="39"/>
      <c r="AO167" s="39"/>
      <c r="AP167" s="40"/>
    </row>
    <row r="168" spans="1:42" s="41" customFormat="1" ht="18.75" customHeight="1" x14ac:dyDescent="0.25">
      <c r="A168" s="47">
        <v>46198</v>
      </c>
      <c r="B168" s="43">
        <f t="shared" si="9"/>
        <v>46198</v>
      </c>
      <c r="C168" s="44" t="s">
        <v>814</v>
      </c>
      <c r="D168" s="48" t="s">
        <v>141</v>
      </c>
      <c r="E168" s="48">
        <v>3826</v>
      </c>
      <c r="F168" s="48">
        <v>1</v>
      </c>
      <c r="G168" s="48">
        <v>11111111</v>
      </c>
      <c r="H168" s="48" t="s">
        <v>143</v>
      </c>
      <c r="I168" s="45"/>
      <c r="J168" s="46">
        <f t="shared" si="10"/>
        <v>79.66101694915254</v>
      </c>
      <c r="K168" s="46"/>
      <c r="L168" s="46"/>
      <c r="M168" s="46"/>
      <c r="N168" s="46">
        <f t="shared" si="11"/>
        <v>14.338983050847457</v>
      </c>
      <c r="O168" s="46"/>
      <c r="P168" s="49">
        <v>94</v>
      </c>
      <c r="Q168" s="50"/>
      <c r="R168" s="43"/>
      <c r="S168" s="45"/>
      <c r="T168" s="44"/>
      <c r="U168" s="44"/>
      <c r="V168" s="51" t="s">
        <v>86</v>
      </c>
      <c r="W168" s="46"/>
      <c r="X168" s="47">
        <v>46198</v>
      </c>
      <c r="Y168" s="44" t="s">
        <v>87</v>
      </c>
      <c r="Z168" s="44"/>
      <c r="AA168" s="44"/>
      <c r="AB168" s="44" t="s">
        <v>813</v>
      </c>
      <c r="AC168" s="52"/>
      <c r="AD168" s="52">
        <v>1212</v>
      </c>
      <c r="AE168" s="54"/>
      <c r="AF168" s="55"/>
      <c r="AG168" s="55"/>
      <c r="AH168" s="56"/>
      <c r="AI168" s="56"/>
      <c r="AJ168" s="57"/>
      <c r="AK168" s="56"/>
      <c r="AL168" s="46">
        <v>18</v>
      </c>
      <c r="AM168" s="53" t="s">
        <v>941</v>
      </c>
      <c r="AN168" s="39"/>
      <c r="AO168" s="39"/>
      <c r="AP168" s="40"/>
    </row>
    <row r="169" spans="1:42" s="41" customFormat="1" ht="18.75" customHeight="1" x14ac:dyDescent="0.25">
      <c r="A169" s="47">
        <v>46198</v>
      </c>
      <c r="B169" s="43">
        <f t="shared" si="9"/>
        <v>46198</v>
      </c>
      <c r="C169" s="44" t="s">
        <v>814</v>
      </c>
      <c r="D169" s="48" t="s">
        <v>141</v>
      </c>
      <c r="E169" s="48">
        <v>3827</v>
      </c>
      <c r="F169" s="48">
        <v>1</v>
      </c>
      <c r="G169" s="48">
        <v>11111111</v>
      </c>
      <c r="H169" s="48" t="s">
        <v>143</v>
      </c>
      <c r="I169" s="45"/>
      <c r="J169" s="46">
        <f t="shared" si="10"/>
        <v>263.5593220338983</v>
      </c>
      <c r="K169" s="46"/>
      <c r="L169" s="46"/>
      <c r="M169" s="46"/>
      <c r="N169" s="46">
        <f t="shared" si="11"/>
        <v>47.440677966101688</v>
      </c>
      <c r="O169" s="46"/>
      <c r="P169" s="49">
        <v>311</v>
      </c>
      <c r="Q169" s="50"/>
      <c r="R169" s="43"/>
      <c r="S169" s="45"/>
      <c r="T169" s="44"/>
      <c r="U169" s="44"/>
      <c r="V169" s="51" t="s">
        <v>86</v>
      </c>
      <c r="W169" s="46"/>
      <c r="X169" s="47">
        <v>46198</v>
      </c>
      <c r="Y169" s="44" t="s">
        <v>87</v>
      </c>
      <c r="Z169" s="44"/>
      <c r="AA169" s="44"/>
      <c r="AB169" s="44" t="s">
        <v>813</v>
      </c>
      <c r="AC169" s="52"/>
      <c r="AD169" s="52">
        <v>1212</v>
      </c>
      <c r="AE169" s="54"/>
      <c r="AF169" s="55"/>
      <c r="AG169" s="55"/>
      <c r="AH169" s="56"/>
      <c r="AI169" s="56"/>
      <c r="AJ169" s="57"/>
      <c r="AK169" s="56"/>
      <c r="AL169" s="46">
        <v>18</v>
      </c>
      <c r="AM169" s="53" t="s">
        <v>941</v>
      </c>
      <c r="AN169" s="39"/>
      <c r="AO169" s="39"/>
      <c r="AP169" s="40"/>
    </row>
    <row r="170" spans="1:42" s="41" customFormat="1" ht="18.75" customHeight="1" x14ac:dyDescent="0.25">
      <c r="A170" s="47">
        <v>46199</v>
      </c>
      <c r="B170" s="43">
        <f t="shared" si="9"/>
        <v>46199</v>
      </c>
      <c r="C170" s="44" t="s">
        <v>814</v>
      </c>
      <c r="D170" s="48" t="s">
        <v>141</v>
      </c>
      <c r="E170" s="48">
        <v>3804</v>
      </c>
      <c r="F170" s="48">
        <v>1</v>
      </c>
      <c r="G170" s="48">
        <v>11111111</v>
      </c>
      <c r="H170" s="48" t="s">
        <v>143</v>
      </c>
      <c r="I170" s="45"/>
      <c r="J170" s="46">
        <f t="shared" si="10"/>
        <v>43.220338983050851</v>
      </c>
      <c r="K170" s="46"/>
      <c r="L170" s="46"/>
      <c r="M170" s="46"/>
      <c r="N170" s="46">
        <f t="shared" si="11"/>
        <v>7.7796610169491531</v>
      </c>
      <c r="O170" s="46"/>
      <c r="P170" s="49">
        <v>51</v>
      </c>
      <c r="Q170" s="50"/>
      <c r="R170" s="43"/>
      <c r="S170" s="45"/>
      <c r="T170" s="44"/>
      <c r="U170" s="44"/>
      <c r="V170" s="51" t="s">
        <v>86</v>
      </c>
      <c r="W170" s="46"/>
      <c r="X170" s="47">
        <v>46199</v>
      </c>
      <c r="Y170" s="44" t="s">
        <v>87</v>
      </c>
      <c r="Z170" s="44"/>
      <c r="AA170" s="44"/>
      <c r="AB170" s="44" t="s">
        <v>813</v>
      </c>
      <c r="AC170" s="52"/>
      <c r="AD170" s="52">
        <v>1212</v>
      </c>
      <c r="AE170" s="54"/>
      <c r="AF170" s="55"/>
      <c r="AG170" s="55"/>
      <c r="AH170" s="56"/>
      <c r="AI170" s="56"/>
      <c r="AJ170" s="57"/>
      <c r="AK170" s="56"/>
      <c r="AL170" s="46">
        <v>18</v>
      </c>
      <c r="AM170" s="53" t="s">
        <v>941</v>
      </c>
      <c r="AN170" s="39"/>
      <c r="AO170" s="39"/>
      <c r="AP170" s="40"/>
    </row>
    <row r="171" spans="1:42" s="41" customFormat="1" ht="18.75" customHeight="1" x14ac:dyDescent="0.25">
      <c r="A171" s="47">
        <v>46199</v>
      </c>
      <c r="B171" s="43">
        <f t="shared" si="9"/>
        <v>46199</v>
      </c>
      <c r="C171" s="44" t="s">
        <v>814</v>
      </c>
      <c r="D171" s="48" t="s">
        <v>141</v>
      </c>
      <c r="E171" s="48">
        <v>3828</v>
      </c>
      <c r="F171" s="48">
        <v>1</v>
      </c>
      <c r="G171" s="48">
        <v>11111111</v>
      </c>
      <c r="H171" s="48" t="s">
        <v>143</v>
      </c>
      <c r="I171" s="45"/>
      <c r="J171" s="46">
        <f t="shared" si="10"/>
        <v>43.220338983050851</v>
      </c>
      <c r="K171" s="46"/>
      <c r="L171" s="46"/>
      <c r="M171" s="46"/>
      <c r="N171" s="46">
        <f t="shared" si="11"/>
        <v>7.7796610169491531</v>
      </c>
      <c r="O171" s="46"/>
      <c r="P171" s="49">
        <v>51</v>
      </c>
      <c r="Q171" s="50"/>
      <c r="R171" s="43"/>
      <c r="S171" s="45"/>
      <c r="T171" s="44"/>
      <c r="U171" s="44"/>
      <c r="V171" s="51" t="s">
        <v>86</v>
      </c>
      <c r="W171" s="46"/>
      <c r="X171" s="47">
        <v>46199</v>
      </c>
      <c r="Y171" s="44" t="s">
        <v>87</v>
      </c>
      <c r="Z171" s="44"/>
      <c r="AA171" s="44"/>
      <c r="AB171" s="44" t="s">
        <v>813</v>
      </c>
      <c r="AC171" s="52"/>
      <c r="AD171" s="52">
        <v>1212</v>
      </c>
      <c r="AE171" s="54"/>
      <c r="AF171" s="55"/>
      <c r="AG171" s="55"/>
      <c r="AH171" s="56"/>
      <c r="AI171" s="56"/>
      <c r="AJ171" s="57"/>
      <c r="AK171" s="56"/>
      <c r="AL171" s="46">
        <v>18</v>
      </c>
      <c r="AM171" s="53" t="s">
        <v>941</v>
      </c>
      <c r="AN171" s="39"/>
      <c r="AO171" s="39"/>
      <c r="AP171" s="40"/>
    </row>
    <row r="172" spans="1:42" s="41" customFormat="1" ht="18.75" customHeight="1" x14ac:dyDescent="0.25">
      <c r="A172" s="47">
        <v>46199</v>
      </c>
      <c r="B172" s="43">
        <f t="shared" si="9"/>
        <v>46199</v>
      </c>
      <c r="C172" s="44" t="s">
        <v>814</v>
      </c>
      <c r="D172" s="48" t="s">
        <v>141</v>
      </c>
      <c r="E172" s="48">
        <v>3829</v>
      </c>
      <c r="F172" s="48">
        <v>1</v>
      </c>
      <c r="G172" s="48">
        <v>11111111</v>
      </c>
      <c r="H172" s="48" t="s">
        <v>143</v>
      </c>
      <c r="I172" s="45"/>
      <c r="J172" s="46">
        <f t="shared" si="10"/>
        <v>81.355932203389841</v>
      </c>
      <c r="K172" s="46"/>
      <c r="L172" s="46"/>
      <c r="M172" s="46"/>
      <c r="N172" s="46">
        <f t="shared" si="11"/>
        <v>14.644067796610171</v>
      </c>
      <c r="O172" s="46"/>
      <c r="P172" s="49">
        <v>96</v>
      </c>
      <c r="Q172" s="50"/>
      <c r="R172" s="43"/>
      <c r="S172" s="45"/>
      <c r="T172" s="44"/>
      <c r="U172" s="44"/>
      <c r="V172" s="51" t="s">
        <v>86</v>
      </c>
      <c r="W172" s="46"/>
      <c r="X172" s="47">
        <v>46199</v>
      </c>
      <c r="Y172" s="44" t="s">
        <v>87</v>
      </c>
      <c r="Z172" s="44"/>
      <c r="AA172" s="44"/>
      <c r="AB172" s="44" t="s">
        <v>813</v>
      </c>
      <c r="AC172" s="52"/>
      <c r="AD172" s="52">
        <v>1212</v>
      </c>
      <c r="AE172" s="54"/>
      <c r="AF172" s="55"/>
      <c r="AG172" s="55"/>
      <c r="AH172" s="56"/>
      <c r="AI172" s="56"/>
      <c r="AJ172" s="57"/>
      <c r="AK172" s="56"/>
      <c r="AL172" s="46">
        <v>18</v>
      </c>
      <c r="AM172" s="53" t="s">
        <v>941</v>
      </c>
      <c r="AN172" s="39"/>
      <c r="AO172" s="39"/>
      <c r="AP172" s="40"/>
    </row>
    <row r="173" spans="1:42" s="41" customFormat="1" ht="18.75" customHeight="1" x14ac:dyDescent="0.25">
      <c r="A173" s="47">
        <v>46199</v>
      </c>
      <c r="B173" s="43">
        <f t="shared" si="9"/>
        <v>46199</v>
      </c>
      <c r="C173" s="44" t="s">
        <v>814</v>
      </c>
      <c r="D173" s="48" t="s">
        <v>141</v>
      </c>
      <c r="E173" s="48">
        <v>3830</v>
      </c>
      <c r="F173" s="48">
        <v>1</v>
      </c>
      <c r="G173" s="48">
        <v>11111111</v>
      </c>
      <c r="H173" s="48" t="s">
        <v>143</v>
      </c>
      <c r="I173" s="45"/>
      <c r="J173" s="46">
        <f t="shared" si="10"/>
        <v>38.135593220338983</v>
      </c>
      <c r="K173" s="46"/>
      <c r="L173" s="46"/>
      <c r="M173" s="46"/>
      <c r="N173" s="46">
        <f t="shared" si="11"/>
        <v>6.8644067796610164</v>
      </c>
      <c r="O173" s="46"/>
      <c r="P173" s="49">
        <v>45</v>
      </c>
      <c r="Q173" s="50"/>
      <c r="R173" s="43"/>
      <c r="S173" s="45"/>
      <c r="T173" s="44"/>
      <c r="U173" s="44"/>
      <c r="V173" s="51" t="s">
        <v>86</v>
      </c>
      <c r="W173" s="46"/>
      <c r="X173" s="47">
        <v>46199</v>
      </c>
      <c r="Y173" s="44" t="s">
        <v>87</v>
      </c>
      <c r="Z173" s="44"/>
      <c r="AA173" s="44"/>
      <c r="AB173" s="44" t="s">
        <v>813</v>
      </c>
      <c r="AC173" s="52"/>
      <c r="AD173" s="52">
        <v>1212</v>
      </c>
      <c r="AE173" s="54"/>
      <c r="AF173" s="55"/>
      <c r="AG173" s="55"/>
      <c r="AH173" s="56"/>
      <c r="AI173" s="56"/>
      <c r="AJ173" s="57"/>
      <c r="AK173" s="56"/>
      <c r="AL173" s="46">
        <v>18</v>
      </c>
      <c r="AM173" s="53" t="s">
        <v>941</v>
      </c>
      <c r="AN173" s="39"/>
      <c r="AO173" s="39"/>
      <c r="AP173" s="40"/>
    </row>
    <row r="174" spans="1:42" s="41" customFormat="1" ht="18.75" customHeight="1" x14ac:dyDescent="0.25">
      <c r="A174" s="47">
        <v>46199</v>
      </c>
      <c r="B174" s="43">
        <f t="shared" si="9"/>
        <v>46199</v>
      </c>
      <c r="C174" s="44" t="s">
        <v>814</v>
      </c>
      <c r="D174" s="48" t="s">
        <v>141</v>
      </c>
      <c r="E174" s="48">
        <v>3831</v>
      </c>
      <c r="F174" s="48">
        <v>1</v>
      </c>
      <c r="G174" s="48">
        <v>11111111</v>
      </c>
      <c r="H174" s="48" t="s">
        <v>143</v>
      </c>
      <c r="I174" s="45"/>
      <c r="J174" s="46">
        <f t="shared" si="10"/>
        <v>116.94915254237289</v>
      </c>
      <c r="K174" s="46"/>
      <c r="L174" s="46"/>
      <c r="M174" s="46"/>
      <c r="N174" s="46">
        <f t="shared" si="11"/>
        <v>21.050847457627118</v>
      </c>
      <c r="O174" s="46"/>
      <c r="P174" s="49">
        <v>138</v>
      </c>
      <c r="Q174" s="50"/>
      <c r="R174" s="43"/>
      <c r="S174" s="45"/>
      <c r="T174" s="44"/>
      <c r="U174" s="44"/>
      <c r="V174" s="51" t="s">
        <v>86</v>
      </c>
      <c r="W174" s="46"/>
      <c r="X174" s="47">
        <v>46199</v>
      </c>
      <c r="Y174" s="44" t="s">
        <v>87</v>
      </c>
      <c r="Z174" s="44"/>
      <c r="AA174" s="44"/>
      <c r="AB174" s="44" t="s">
        <v>813</v>
      </c>
      <c r="AC174" s="52"/>
      <c r="AD174" s="52">
        <v>1212</v>
      </c>
      <c r="AE174" s="54"/>
      <c r="AF174" s="55"/>
      <c r="AG174" s="55"/>
      <c r="AH174" s="56"/>
      <c r="AI174" s="56"/>
      <c r="AJ174" s="57"/>
      <c r="AK174" s="56"/>
      <c r="AL174" s="46">
        <v>18</v>
      </c>
      <c r="AM174" s="53" t="s">
        <v>941</v>
      </c>
      <c r="AN174" s="39"/>
      <c r="AO174" s="39"/>
      <c r="AP174" s="40"/>
    </row>
    <row r="175" spans="1:42" s="41" customFormat="1" ht="18.75" customHeight="1" x14ac:dyDescent="0.25">
      <c r="A175" s="47">
        <v>46199</v>
      </c>
      <c r="B175" s="43">
        <f t="shared" si="9"/>
        <v>46199</v>
      </c>
      <c r="C175" s="44" t="s">
        <v>814</v>
      </c>
      <c r="D175" s="48" t="s">
        <v>141</v>
      </c>
      <c r="E175" s="48">
        <v>3832</v>
      </c>
      <c r="F175" s="48">
        <v>1</v>
      </c>
      <c r="G175" s="48">
        <v>11111111</v>
      </c>
      <c r="H175" s="48" t="s">
        <v>143</v>
      </c>
      <c r="I175" s="45"/>
      <c r="J175" s="46">
        <f t="shared" si="10"/>
        <v>43.220338983050851</v>
      </c>
      <c r="K175" s="46"/>
      <c r="L175" s="46"/>
      <c r="M175" s="46"/>
      <c r="N175" s="46">
        <f t="shared" si="11"/>
        <v>7.7796610169491531</v>
      </c>
      <c r="O175" s="46"/>
      <c r="P175" s="49">
        <v>51</v>
      </c>
      <c r="Q175" s="50"/>
      <c r="R175" s="43"/>
      <c r="S175" s="45"/>
      <c r="T175" s="44"/>
      <c r="U175" s="44"/>
      <c r="V175" s="51" t="s">
        <v>86</v>
      </c>
      <c r="W175" s="46"/>
      <c r="X175" s="47">
        <v>46199</v>
      </c>
      <c r="Y175" s="44" t="s">
        <v>87</v>
      </c>
      <c r="Z175" s="44"/>
      <c r="AA175" s="44"/>
      <c r="AB175" s="44" t="s">
        <v>813</v>
      </c>
      <c r="AC175" s="52"/>
      <c r="AD175" s="52">
        <v>1212</v>
      </c>
      <c r="AE175" s="54"/>
      <c r="AF175" s="55"/>
      <c r="AG175" s="55"/>
      <c r="AH175" s="56"/>
      <c r="AI175" s="56"/>
      <c r="AJ175" s="57"/>
      <c r="AK175" s="56"/>
      <c r="AL175" s="46">
        <v>18</v>
      </c>
      <c r="AM175" s="53" t="s">
        <v>941</v>
      </c>
      <c r="AN175" s="39"/>
      <c r="AO175" s="39"/>
      <c r="AP175" s="40"/>
    </row>
    <row r="176" spans="1:42" s="41" customFormat="1" ht="18.75" customHeight="1" x14ac:dyDescent="0.25">
      <c r="A176" s="47">
        <v>46199</v>
      </c>
      <c r="B176" s="43">
        <f t="shared" si="9"/>
        <v>46199</v>
      </c>
      <c r="C176" s="44" t="s">
        <v>814</v>
      </c>
      <c r="D176" s="48" t="s">
        <v>141</v>
      </c>
      <c r="E176" s="48">
        <v>3833</v>
      </c>
      <c r="F176" s="48">
        <v>1</v>
      </c>
      <c r="G176" s="48">
        <v>23701778</v>
      </c>
      <c r="H176" s="48" t="s">
        <v>465</v>
      </c>
      <c r="I176" s="45"/>
      <c r="J176" s="46">
        <f t="shared" si="10"/>
        <v>43.220338983050851</v>
      </c>
      <c r="K176" s="46"/>
      <c r="L176" s="46"/>
      <c r="M176" s="46"/>
      <c r="N176" s="46">
        <f t="shared" si="11"/>
        <v>7.7796610169491531</v>
      </c>
      <c r="O176" s="46"/>
      <c r="P176" s="49">
        <v>51</v>
      </c>
      <c r="Q176" s="50"/>
      <c r="R176" s="43"/>
      <c r="S176" s="45"/>
      <c r="T176" s="44"/>
      <c r="U176" s="44"/>
      <c r="V176" s="51" t="s">
        <v>86</v>
      </c>
      <c r="W176" s="46"/>
      <c r="X176" s="47">
        <v>46199</v>
      </c>
      <c r="Y176" s="44" t="s">
        <v>87</v>
      </c>
      <c r="Z176" s="44"/>
      <c r="AA176" s="44"/>
      <c r="AB176" s="44" t="s">
        <v>813</v>
      </c>
      <c r="AC176" s="52"/>
      <c r="AD176" s="52">
        <v>1212</v>
      </c>
      <c r="AE176" s="54"/>
      <c r="AF176" s="55"/>
      <c r="AG176" s="55"/>
      <c r="AH176" s="56"/>
      <c r="AI176" s="56"/>
      <c r="AJ176" s="57"/>
      <c r="AK176" s="56"/>
      <c r="AL176" s="46">
        <v>18</v>
      </c>
      <c r="AM176" s="53" t="s">
        <v>941</v>
      </c>
      <c r="AN176" s="39"/>
      <c r="AO176" s="39"/>
      <c r="AP176" s="40"/>
    </row>
    <row r="177" spans="1:42" s="41" customFormat="1" ht="18.75" customHeight="1" x14ac:dyDescent="0.25">
      <c r="A177" s="47">
        <v>46199</v>
      </c>
      <c r="B177" s="43">
        <f t="shared" si="9"/>
        <v>46199</v>
      </c>
      <c r="C177" s="44" t="s">
        <v>814</v>
      </c>
      <c r="D177" s="48" t="s">
        <v>141</v>
      </c>
      <c r="E177" s="48">
        <v>3834</v>
      </c>
      <c r="F177" s="48">
        <v>1</v>
      </c>
      <c r="G177" s="48">
        <v>20093164</v>
      </c>
      <c r="H177" s="48" t="s">
        <v>467</v>
      </c>
      <c r="I177" s="45"/>
      <c r="J177" s="46">
        <f t="shared" si="10"/>
        <v>42.372881355932208</v>
      </c>
      <c r="K177" s="46"/>
      <c r="L177" s="46"/>
      <c r="M177" s="46"/>
      <c r="N177" s="46">
        <f t="shared" si="11"/>
        <v>7.6271186440677967</v>
      </c>
      <c r="O177" s="46"/>
      <c r="P177" s="49">
        <v>50</v>
      </c>
      <c r="Q177" s="50"/>
      <c r="R177" s="43"/>
      <c r="S177" s="45"/>
      <c r="T177" s="44"/>
      <c r="U177" s="44"/>
      <c r="V177" s="51" t="s">
        <v>86</v>
      </c>
      <c r="W177" s="46"/>
      <c r="X177" s="47">
        <v>46199</v>
      </c>
      <c r="Y177" s="44" t="s">
        <v>87</v>
      </c>
      <c r="Z177" s="44"/>
      <c r="AA177" s="44"/>
      <c r="AB177" s="44" t="s">
        <v>813</v>
      </c>
      <c r="AC177" s="52"/>
      <c r="AD177" s="52">
        <v>1212</v>
      </c>
      <c r="AE177" s="54"/>
      <c r="AF177" s="55"/>
      <c r="AG177" s="55"/>
      <c r="AH177" s="56"/>
      <c r="AI177" s="56"/>
      <c r="AJ177" s="57"/>
      <c r="AK177" s="56"/>
      <c r="AL177" s="46">
        <v>18</v>
      </c>
      <c r="AM177" s="53" t="s">
        <v>941</v>
      </c>
      <c r="AN177" s="39"/>
      <c r="AO177" s="39"/>
      <c r="AP177" s="40"/>
    </row>
    <row r="178" spans="1:42" s="41" customFormat="1" ht="18.75" customHeight="1" x14ac:dyDescent="0.25">
      <c r="A178" s="47">
        <v>46199</v>
      </c>
      <c r="B178" s="43">
        <f t="shared" si="9"/>
        <v>46199</v>
      </c>
      <c r="C178" s="44" t="s">
        <v>814</v>
      </c>
      <c r="D178" s="48" t="s">
        <v>141</v>
      </c>
      <c r="E178" s="48">
        <v>3835</v>
      </c>
      <c r="F178" s="48">
        <v>1</v>
      </c>
      <c r="G178" s="48">
        <v>41303981</v>
      </c>
      <c r="H178" s="48" t="s">
        <v>469</v>
      </c>
      <c r="I178" s="45"/>
      <c r="J178" s="46">
        <f t="shared" si="10"/>
        <v>81.355932203389841</v>
      </c>
      <c r="K178" s="46"/>
      <c r="L178" s="46"/>
      <c r="M178" s="46"/>
      <c r="N178" s="46">
        <f t="shared" si="11"/>
        <v>14.644067796610171</v>
      </c>
      <c r="O178" s="46"/>
      <c r="P178" s="49">
        <v>96</v>
      </c>
      <c r="Q178" s="50"/>
      <c r="R178" s="43"/>
      <c r="S178" s="45"/>
      <c r="T178" s="44"/>
      <c r="U178" s="44"/>
      <c r="V178" s="51" t="s">
        <v>86</v>
      </c>
      <c r="W178" s="46"/>
      <c r="X178" s="47">
        <v>46199</v>
      </c>
      <c r="Y178" s="44" t="s">
        <v>87</v>
      </c>
      <c r="Z178" s="44"/>
      <c r="AA178" s="44"/>
      <c r="AB178" s="44" t="s">
        <v>813</v>
      </c>
      <c r="AC178" s="52"/>
      <c r="AD178" s="52">
        <v>1212</v>
      </c>
      <c r="AE178" s="54"/>
      <c r="AF178" s="55"/>
      <c r="AG178" s="55"/>
      <c r="AH178" s="56"/>
      <c r="AI178" s="56"/>
      <c r="AJ178" s="57"/>
      <c r="AK178" s="56"/>
      <c r="AL178" s="46">
        <v>18</v>
      </c>
      <c r="AM178" s="53" t="s">
        <v>941</v>
      </c>
      <c r="AN178" s="39"/>
      <c r="AO178" s="39"/>
      <c r="AP178" s="40"/>
    </row>
    <row r="179" spans="1:42" s="41" customFormat="1" ht="18.75" customHeight="1" x14ac:dyDescent="0.25">
      <c r="A179" s="47">
        <v>46199</v>
      </c>
      <c r="B179" s="43">
        <f t="shared" si="9"/>
        <v>46199</v>
      </c>
      <c r="C179" s="44" t="s">
        <v>814</v>
      </c>
      <c r="D179" s="48" t="s">
        <v>141</v>
      </c>
      <c r="E179" s="48">
        <v>3836</v>
      </c>
      <c r="F179" s="48">
        <v>1</v>
      </c>
      <c r="G179" s="48">
        <v>20065718</v>
      </c>
      <c r="H179" s="48" t="s">
        <v>471</v>
      </c>
      <c r="I179" s="45"/>
      <c r="J179" s="46">
        <f t="shared" si="10"/>
        <v>116.94915254237289</v>
      </c>
      <c r="K179" s="46"/>
      <c r="L179" s="46"/>
      <c r="M179" s="46"/>
      <c r="N179" s="46">
        <f t="shared" si="11"/>
        <v>21.050847457627118</v>
      </c>
      <c r="O179" s="46"/>
      <c r="P179" s="49">
        <v>138</v>
      </c>
      <c r="Q179" s="50"/>
      <c r="R179" s="43"/>
      <c r="S179" s="45"/>
      <c r="T179" s="44"/>
      <c r="U179" s="44"/>
      <c r="V179" s="51" t="s">
        <v>86</v>
      </c>
      <c r="W179" s="46"/>
      <c r="X179" s="47">
        <v>46199</v>
      </c>
      <c r="Y179" s="44" t="s">
        <v>87</v>
      </c>
      <c r="Z179" s="44"/>
      <c r="AA179" s="44"/>
      <c r="AB179" s="44" t="s">
        <v>813</v>
      </c>
      <c r="AC179" s="52"/>
      <c r="AD179" s="52">
        <v>1212</v>
      </c>
      <c r="AE179" s="54"/>
      <c r="AF179" s="55"/>
      <c r="AG179" s="55"/>
      <c r="AH179" s="56"/>
      <c r="AI179" s="56"/>
      <c r="AJ179" s="57"/>
      <c r="AK179" s="56"/>
      <c r="AL179" s="46">
        <v>18</v>
      </c>
      <c r="AM179" s="53" t="s">
        <v>941</v>
      </c>
      <c r="AN179" s="39"/>
      <c r="AO179" s="39"/>
      <c r="AP179" s="40"/>
    </row>
    <row r="180" spans="1:42" s="41" customFormat="1" ht="18.75" customHeight="1" x14ac:dyDescent="0.25">
      <c r="A180" s="47">
        <v>46199</v>
      </c>
      <c r="B180" s="43">
        <f t="shared" si="9"/>
        <v>46199</v>
      </c>
      <c r="C180" s="44" t="s">
        <v>814</v>
      </c>
      <c r="D180" s="48" t="s">
        <v>141</v>
      </c>
      <c r="E180" s="48">
        <v>3837</v>
      </c>
      <c r="F180" s="48">
        <v>1</v>
      </c>
      <c r="G180" s="48">
        <v>20014475</v>
      </c>
      <c r="H180" s="48" t="s">
        <v>473</v>
      </c>
      <c r="I180" s="45"/>
      <c r="J180" s="46">
        <f t="shared" si="10"/>
        <v>186.4406779661017</v>
      </c>
      <c r="K180" s="46"/>
      <c r="L180" s="46"/>
      <c r="M180" s="46"/>
      <c r="N180" s="46">
        <f t="shared" si="11"/>
        <v>33.559322033898304</v>
      </c>
      <c r="O180" s="46"/>
      <c r="P180" s="49">
        <v>220</v>
      </c>
      <c r="Q180" s="50"/>
      <c r="R180" s="43"/>
      <c r="S180" s="45"/>
      <c r="T180" s="44"/>
      <c r="U180" s="44"/>
      <c r="V180" s="51" t="s">
        <v>86</v>
      </c>
      <c r="W180" s="46"/>
      <c r="X180" s="47">
        <v>46199</v>
      </c>
      <c r="Y180" s="44" t="s">
        <v>87</v>
      </c>
      <c r="Z180" s="44"/>
      <c r="AA180" s="44"/>
      <c r="AB180" s="44" t="s">
        <v>813</v>
      </c>
      <c r="AC180" s="52"/>
      <c r="AD180" s="52">
        <v>1212</v>
      </c>
      <c r="AE180" s="54"/>
      <c r="AF180" s="55"/>
      <c r="AG180" s="55"/>
      <c r="AH180" s="56"/>
      <c r="AI180" s="56"/>
      <c r="AJ180" s="57"/>
      <c r="AK180" s="56"/>
      <c r="AL180" s="46">
        <v>18</v>
      </c>
      <c r="AM180" s="53" t="s">
        <v>941</v>
      </c>
      <c r="AN180" s="39"/>
      <c r="AO180" s="39"/>
      <c r="AP180" s="40"/>
    </row>
    <row r="181" spans="1:42" s="41" customFormat="1" ht="18.75" customHeight="1" x14ac:dyDescent="0.25">
      <c r="A181" s="47">
        <v>46199</v>
      </c>
      <c r="B181" s="43">
        <f t="shared" si="9"/>
        <v>46199</v>
      </c>
      <c r="C181" s="44" t="s">
        <v>814</v>
      </c>
      <c r="D181" s="48" t="s">
        <v>141</v>
      </c>
      <c r="E181" s="48">
        <v>3839</v>
      </c>
      <c r="F181" s="48">
        <v>1</v>
      </c>
      <c r="G181" s="48">
        <v>19950238</v>
      </c>
      <c r="H181" s="48" t="s">
        <v>475</v>
      </c>
      <c r="I181" s="45"/>
      <c r="J181" s="46">
        <f t="shared" si="10"/>
        <v>79.66101694915254</v>
      </c>
      <c r="K181" s="46"/>
      <c r="L181" s="46"/>
      <c r="M181" s="46"/>
      <c r="N181" s="46">
        <f t="shared" si="11"/>
        <v>14.338983050847457</v>
      </c>
      <c r="O181" s="46"/>
      <c r="P181" s="49">
        <v>94</v>
      </c>
      <c r="Q181" s="50"/>
      <c r="R181" s="43"/>
      <c r="S181" s="45"/>
      <c r="T181" s="44"/>
      <c r="U181" s="44"/>
      <c r="V181" s="51" t="s">
        <v>86</v>
      </c>
      <c r="W181" s="46"/>
      <c r="X181" s="47">
        <v>46199</v>
      </c>
      <c r="Y181" s="44" t="s">
        <v>87</v>
      </c>
      <c r="Z181" s="44"/>
      <c r="AA181" s="44"/>
      <c r="AB181" s="44" t="s">
        <v>813</v>
      </c>
      <c r="AC181" s="52"/>
      <c r="AD181" s="52">
        <v>1212</v>
      </c>
      <c r="AE181" s="54"/>
      <c r="AF181" s="55"/>
      <c r="AG181" s="55"/>
      <c r="AH181" s="56"/>
      <c r="AI181" s="56"/>
      <c r="AJ181" s="57"/>
      <c r="AK181" s="56"/>
      <c r="AL181" s="46">
        <v>18</v>
      </c>
      <c r="AM181" s="53" t="s">
        <v>941</v>
      </c>
      <c r="AN181" s="39"/>
      <c r="AO181" s="39"/>
      <c r="AP181" s="40"/>
    </row>
    <row r="182" spans="1:42" s="41" customFormat="1" ht="18.75" customHeight="1" x14ac:dyDescent="0.25">
      <c r="A182" s="47">
        <v>46199</v>
      </c>
      <c r="B182" s="43">
        <f t="shared" si="9"/>
        <v>46199</v>
      </c>
      <c r="C182" s="44" t="s">
        <v>814</v>
      </c>
      <c r="D182" s="48" t="s">
        <v>141</v>
      </c>
      <c r="E182" s="48">
        <v>3840</v>
      </c>
      <c r="F182" s="48">
        <v>1</v>
      </c>
      <c r="G182" s="48">
        <v>20104809</v>
      </c>
      <c r="H182" s="48" t="s">
        <v>477</v>
      </c>
      <c r="I182" s="45"/>
      <c r="J182" s="46">
        <f t="shared" si="10"/>
        <v>83.050847457627128</v>
      </c>
      <c r="K182" s="46"/>
      <c r="L182" s="46"/>
      <c r="M182" s="46"/>
      <c r="N182" s="46">
        <f t="shared" si="11"/>
        <v>14.949152542372882</v>
      </c>
      <c r="O182" s="46"/>
      <c r="P182" s="49">
        <v>98</v>
      </c>
      <c r="Q182" s="50"/>
      <c r="R182" s="43"/>
      <c r="S182" s="45"/>
      <c r="T182" s="44"/>
      <c r="U182" s="44"/>
      <c r="V182" s="51" t="s">
        <v>86</v>
      </c>
      <c r="W182" s="46"/>
      <c r="X182" s="47">
        <v>46199</v>
      </c>
      <c r="Y182" s="44" t="s">
        <v>87</v>
      </c>
      <c r="Z182" s="44"/>
      <c r="AA182" s="44"/>
      <c r="AB182" s="44" t="s">
        <v>813</v>
      </c>
      <c r="AC182" s="52"/>
      <c r="AD182" s="52">
        <v>1212</v>
      </c>
      <c r="AE182" s="54"/>
      <c r="AF182" s="55"/>
      <c r="AG182" s="55"/>
      <c r="AH182" s="56"/>
      <c r="AI182" s="56"/>
      <c r="AJ182" s="57"/>
      <c r="AK182" s="56"/>
      <c r="AL182" s="46">
        <v>18</v>
      </c>
      <c r="AM182" s="53" t="s">
        <v>941</v>
      </c>
      <c r="AN182" s="39"/>
      <c r="AO182" s="39"/>
      <c r="AP182" s="40"/>
    </row>
    <row r="183" spans="1:42" s="41" customFormat="1" ht="18.75" customHeight="1" x14ac:dyDescent="0.25">
      <c r="A183" s="47">
        <v>46199</v>
      </c>
      <c r="B183" s="43">
        <f t="shared" si="9"/>
        <v>46199</v>
      </c>
      <c r="C183" s="44" t="s">
        <v>814</v>
      </c>
      <c r="D183" s="48" t="s">
        <v>141</v>
      </c>
      <c r="E183" s="48">
        <v>3841</v>
      </c>
      <c r="F183" s="48">
        <v>1</v>
      </c>
      <c r="G183" s="48">
        <v>20093164</v>
      </c>
      <c r="H183" s="48" t="s">
        <v>467</v>
      </c>
      <c r="I183" s="45"/>
      <c r="J183" s="46">
        <f t="shared" si="10"/>
        <v>42.372881355932208</v>
      </c>
      <c r="K183" s="46"/>
      <c r="L183" s="46"/>
      <c r="M183" s="46"/>
      <c r="N183" s="46">
        <f t="shared" si="11"/>
        <v>7.6271186440677967</v>
      </c>
      <c r="O183" s="46"/>
      <c r="P183" s="49">
        <v>50</v>
      </c>
      <c r="Q183" s="50"/>
      <c r="R183" s="43"/>
      <c r="S183" s="45"/>
      <c r="T183" s="44"/>
      <c r="U183" s="44"/>
      <c r="V183" s="51" t="s">
        <v>86</v>
      </c>
      <c r="W183" s="46"/>
      <c r="X183" s="47">
        <v>46199</v>
      </c>
      <c r="Y183" s="44" t="s">
        <v>87</v>
      </c>
      <c r="Z183" s="44"/>
      <c r="AA183" s="44"/>
      <c r="AB183" s="44" t="s">
        <v>813</v>
      </c>
      <c r="AC183" s="52"/>
      <c r="AD183" s="52">
        <v>1212</v>
      </c>
      <c r="AE183" s="54"/>
      <c r="AF183" s="55"/>
      <c r="AG183" s="55"/>
      <c r="AH183" s="56"/>
      <c r="AI183" s="56"/>
      <c r="AJ183" s="57"/>
      <c r="AK183" s="56"/>
      <c r="AL183" s="46">
        <v>18</v>
      </c>
      <c r="AM183" s="53" t="s">
        <v>941</v>
      </c>
      <c r="AN183" s="39"/>
      <c r="AO183" s="39"/>
      <c r="AP183" s="40"/>
    </row>
    <row r="184" spans="1:42" s="41" customFormat="1" ht="18.75" customHeight="1" x14ac:dyDescent="0.25">
      <c r="A184" s="47">
        <v>46199</v>
      </c>
      <c r="B184" s="43">
        <f t="shared" si="9"/>
        <v>46199</v>
      </c>
      <c r="C184" s="44" t="s">
        <v>814</v>
      </c>
      <c r="D184" s="48" t="s">
        <v>141</v>
      </c>
      <c r="E184" s="48">
        <v>3842</v>
      </c>
      <c r="F184" s="48">
        <v>1</v>
      </c>
      <c r="G184" s="48">
        <v>23665082</v>
      </c>
      <c r="H184" s="48" t="s">
        <v>480</v>
      </c>
      <c r="I184" s="45"/>
      <c r="J184" s="46">
        <f t="shared" si="10"/>
        <v>186.4406779661017</v>
      </c>
      <c r="K184" s="46"/>
      <c r="L184" s="46"/>
      <c r="M184" s="46"/>
      <c r="N184" s="46">
        <f t="shared" si="11"/>
        <v>33.559322033898304</v>
      </c>
      <c r="O184" s="46"/>
      <c r="P184" s="49">
        <v>220</v>
      </c>
      <c r="Q184" s="50"/>
      <c r="R184" s="43"/>
      <c r="S184" s="45"/>
      <c r="T184" s="44"/>
      <c r="U184" s="44"/>
      <c r="V184" s="51" t="s">
        <v>86</v>
      </c>
      <c r="W184" s="46"/>
      <c r="X184" s="47">
        <v>46199</v>
      </c>
      <c r="Y184" s="44" t="s">
        <v>87</v>
      </c>
      <c r="Z184" s="44"/>
      <c r="AA184" s="44"/>
      <c r="AB184" s="44" t="s">
        <v>813</v>
      </c>
      <c r="AC184" s="52"/>
      <c r="AD184" s="52">
        <v>1212</v>
      </c>
      <c r="AE184" s="54"/>
      <c r="AF184" s="55"/>
      <c r="AG184" s="55"/>
      <c r="AH184" s="56"/>
      <c r="AI184" s="56"/>
      <c r="AJ184" s="57"/>
      <c r="AK184" s="56"/>
      <c r="AL184" s="46">
        <v>18</v>
      </c>
      <c r="AM184" s="53" t="s">
        <v>941</v>
      </c>
      <c r="AN184" s="39"/>
      <c r="AO184" s="39"/>
      <c r="AP184" s="40"/>
    </row>
    <row r="185" spans="1:42" s="41" customFormat="1" ht="18.75" customHeight="1" x14ac:dyDescent="0.25">
      <c r="A185" s="47">
        <v>46199</v>
      </c>
      <c r="B185" s="43">
        <f t="shared" si="9"/>
        <v>46199</v>
      </c>
      <c r="C185" s="44" t="s">
        <v>814</v>
      </c>
      <c r="D185" s="48" t="s">
        <v>141</v>
      </c>
      <c r="E185" s="48">
        <v>3843</v>
      </c>
      <c r="F185" s="48">
        <v>1</v>
      </c>
      <c r="G185" s="48">
        <v>19973729</v>
      </c>
      <c r="H185" s="48" t="s">
        <v>482</v>
      </c>
      <c r="I185" s="45"/>
      <c r="J185" s="46">
        <f t="shared" si="10"/>
        <v>119.49152542372882</v>
      </c>
      <c r="K185" s="46"/>
      <c r="L185" s="46"/>
      <c r="M185" s="46"/>
      <c r="N185" s="46">
        <f t="shared" si="11"/>
        <v>21.508474576271187</v>
      </c>
      <c r="O185" s="46"/>
      <c r="P185" s="49">
        <v>141</v>
      </c>
      <c r="Q185" s="50"/>
      <c r="R185" s="43"/>
      <c r="S185" s="45"/>
      <c r="T185" s="44"/>
      <c r="U185" s="44"/>
      <c r="V185" s="51" t="s">
        <v>86</v>
      </c>
      <c r="W185" s="46"/>
      <c r="X185" s="47">
        <v>46199</v>
      </c>
      <c r="Y185" s="44" t="s">
        <v>87</v>
      </c>
      <c r="Z185" s="44"/>
      <c r="AA185" s="44"/>
      <c r="AB185" s="44" t="s">
        <v>813</v>
      </c>
      <c r="AC185" s="52"/>
      <c r="AD185" s="52">
        <v>1212</v>
      </c>
      <c r="AE185" s="54"/>
      <c r="AF185" s="55"/>
      <c r="AG185" s="55"/>
      <c r="AH185" s="56"/>
      <c r="AI185" s="56"/>
      <c r="AJ185" s="57"/>
      <c r="AK185" s="56"/>
      <c r="AL185" s="46">
        <v>18</v>
      </c>
      <c r="AM185" s="53" t="s">
        <v>941</v>
      </c>
      <c r="AN185" s="39"/>
      <c r="AO185" s="39"/>
      <c r="AP185" s="40"/>
    </row>
    <row r="186" spans="1:42" s="41" customFormat="1" ht="18.75" customHeight="1" x14ac:dyDescent="0.25">
      <c r="A186" s="47">
        <v>46199</v>
      </c>
      <c r="B186" s="43">
        <f t="shared" si="9"/>
        <v>46199</v>
      </c>
      <c r="C186" s="44" t="s">
        <v>814</v>
      </c>
      <c r="D186" s="48" t="s">
        <v>141</v>
      </c>
      <c r="E186" s="48">
        <v>3844</v>
      </c>
      <c r="F186" s="48">
        <v>1</v>
      </c>
      <c r="G186" s="48">
        <v>19973696</v>
      </c>
      <c r="H186" s="48" t="s">
        <v>484</v>
      </c>
      <c r="I186" s="45"/>
      <c r="J186" s="46">
        <f t="shared" si="10"/>
        <v>42.372881355932208</v>
      </c>
      <c r="K186" s="46"/>
      <c r="L186" s="46"/>
      <c r="M186" s="46"/>
      <c r="N186" s="46">
        <f t="shared" si="11"/>
        <v>7.6271186440677967</v>
      </c>
      <c r="O186" s="46"/>
      <c r="P186" s="49">
        <v>50</v>
      </c>
      <c r="Q186" s="50"/>
      <c r="R186" s="43"/>
      <c r="S186" s="45"/>
      <c r="T186" s="44"/>
      <c r="U186" s="44"/>
      <c r="V186" s="51" t="s">
        <v>86</v>
      </c>
      <c r="W186" s="46"/>
      <c r="X186" s="47">
        <v>46199</v>
      </c>
      <c r="Y186" s="44" t="s">
        <v>87</v>
      </c>
      <c r="Z186" s="44"/>
      <c r="AA186" s="44"/>
      <c r="AB186" s="44" t="s">
        <v>813</v>
      </c>
      <c r="AC186" s="52"/>
      <c r="AD186" s="52">
        <v>1212</v>
      </c>
      <c r="AE186" s="54"/>
      <c r="AF186" s="55"/>
      <c r="AG186" s="55"/>
      <c r="AH186" s="56"/>
      <c r="AI186" s="56"/>
      <c r="AJ186" s="57"/>
      <c r="AK186" s="56"/>
      <c r="AL186" s="46">
        <v>18</v>
      </c>
      <c r="AM186" s="53" t="s">
        <v>941</v>
      </c>
      <c r="AN186" s="39"/>
      <c r="AO186" s="39"/>
      <c r="AP186" s="40"/>
    </row>
    <row r="187" spans="1:42" s="41" customFormat="1" ht="18.75" customHeight="1" x14ac:dyDescent="0.25">
      <c r="A187" s="47">
        <v>46199</v>
      </c>
      <c r="B187" s="43">
        <f t="shared" si="9"/>
        <v>46199</v>
      </c>
      <c r="C187" s="44" t="s">
        <v>814</v>
      </c>
      <c r="D187" s="48" t="s">
        <v>141</v>
      </c>
      <c r="E187" s="48">
        <v>3845</v>
      </c>
      <c r="F187" s="48">
        <v>1</v>
      </c>
      <c r="G187" s="48">
        <v>20092200</v>
      </c>
      <c r="H187" s="48" t="s">
        <v>486</v>
      </c>
      <c r="I187" s="45"/>
      <c r="J187" s="46">
        <f t="shared" si="10"/>
        <v>152.54237288135593</v>
      </c>
      <c r="K187" s="46"/>
      <c r="L187" s="46"/>
      <c r="M187" s="46"/>
      <c r="N187" s="46">
        <f t="shared" si="11"/>
        <v>27.457627118644066</v>
      </c>
      <c r="O187" s="46"/>
      <c r="P187" s="49">
        <v>180</v>
      </c>
      <c r="Q187" s="50"/>
      <c r="R187" s="43"/>
      <c r="S187" s="45"/>
      <c r="T187" s="44"/>
      <c r="U187" s="44"/>
      <c r="V187" s="51" t="s">
        <v>86</v>
      </c>
      <c r="W187" s="46"/>
      <c r="X187" s="47">
        <v>46199</v>
      </c>
      <c r="Y187" s="44" t="s">
        <v>87</v>
      </c>
      <c r="Z187" s="44"/>
      <c r="AA187" s="44"/>
      <c r="AB187" s="44" t="s">
        <v>813</v>
      </c>
      <c r="AC187" s="52"/>
      <c r="AD187" s="52">
        <v>1212</v>
      </c>
      <c r="AE187" s="54"/>
      <c r="AF187" s="55"/>
      <c r="AG187" s="55"/>
      <c r="AH187" s="56"/>
      <c r="AI187" s="56"/>
      <c r="AJ187" s="57"/>
      <c r="AK187" s="56"/>
      <c r="AL187" s="46">
        <v>18</v>
      </c>
      <c r="AM187" s="53" t="s">
        <v>941</v>
      </c>
      <c r="AN187" s="39"/>
      <c r="AO187" s="39"/>
      <c r="AP187" s="40"/>
    </row>
    <row r="188" spans="1:42" s="41" customFormat="1" ht="18.75" customHeight="1" x14ac:dyDescent="0.25">
      <c r="A188" s="47">
        <v>46199</v>
      </c>
      <c r="B188" s="43">
        <f t="shared" si="9"/>
        <v>46199</v>
      </c>
      <c r="C188" s="44" t="s">
        <v>814</v>
      </c>
      <c r="D188" s="48" t="s">
        <v>141</v>
      </c>
      <c r="E188" s="48">
        <v>3846</v>
      </c>
      <c r="F188" s="48">
        <v>1</v>
      </c>
      <c r="G188" s="48">
        <v>44400915</v>
      </c>
      <c r="H188" s="48" t="s">
        <v>488</v>
      </c>
      <c r="I188" s="45"/>
      <c r="J188" s="46">
        <f t="shared" si="10"/>
        <v>79.66101694915254</v>
      </c>
      <c r="K188" s="46"/>
      <c r="L188" s="46"/>
      <c r="M188" s="46"/>
      <c r="N188" s="46">
        <f t="shared" si="11"/>
        <v>14.338983050847457</v>
      </c>
      <c r="O188" s="46"/>
      <c r="P188" s="49">
        <v>94</v>
      </c>
      <c r="Q188" s="50"/>
      <c r="R188" s="43"/>
      <c r="S188" s="45"/>
      <c r="T188" s="44"/>
      <c r="U188" s="44"/>
      <c r="V188" s="51" t="s">
        <v>86</v>
      </c>
      <c r="W188" s="46"/>
      <c r="X188" s="47">
        <v>46199</v>
      </c>
      <c r="Y188" s="44" t="s">
        <v>87</v>
      </c>
      <c r="Z188" s="44"/>
      <c r="AA188" s="44"/>
      <c r="AB188" s="44" t="s">
        <v>813</v>
      </c>
      <c r="AC188" s="52"/>
      <c r="AD188" s="52">
        <v>1212</v>
      </c>
      <c r="AE188" s="54"/>
      <c r="AF188" s="55"/>
      <c r="AG188" s="55"/>
      <c r="AH188" s="56"/>
      <c r="AI188" s="56"/>
      <c r="AJ188" s="57"/>
      <c r="AK188" s="56"/>
      <c r="AL188" s="46">
        <v>18</v>
      </c>
      <c r="AM188" s="53" t="s">
        <v>941</v>
      </c>
      <c r="AN188" s="39"/>
      <c r="AO188" s="39"/>
      <c r="AP188" s="40"/>
    </row>
    <row r="189" spans="1:42" s="41" customFormat="1" ht="18.75" customHeight="1" x14ac:dyDescent="0.25">
      <c r="A189" s="47">
        <v>46199</v>
      </c>
      <c r="B189" s="43">
        <f t="shared" si="9"/>
        <v>46199</v>
      </c>
      <c r="C189" s="44" t="s">
        <v>814</v>
      </c>
      <c r="D189" s="48" t="s">
        <v>141</v>
      </c>
      <c r="E189" s="48">
        <v>3847</v>
      </c>
      <c r="F189" s="48">
        <v>1</v>
      </c>
      <c r="G189" s="48">
        <v>48291602</v>
      </c>
      <c r="H189" s="48" t="s">
        <v>490</v>
      </c>
      <c r="I189" s="45"/>
      <c r="J189" s="46">
        <f t="shared" si="10"/>
        <v>42.372881355932208</v>
      </c>
      <c r="K189" s="46"/>
      <c r="L189" s="46"/>
      <c r="M189" s="46"/>
      <c r="N189" s="46">
        <f t="shared" si="11"/>
        <v>7.6271186440677967</v>
      </c>
      <c r="O189" s="46"/>
      <c r="P189" s="49">
        <v>50</v>
      </c>
      <c r="Q189" s="50"/>
      <c r="R189" s="43"/>
      <c r="S189" s="45"/>
      <c r="T189" s="44"/>
      <c r="U189" s="44"/>
      <c r="V189" s="51" t="s">
        <v>86</v>
      </c>
      <c r="W189" s="46"/>
      <c r="X189" s="47">
        <v>46199</v>
      </c>
      <c r="Y189" s="44" t="s">
        <v>87</v>
      </c>
      <c r="Z189" s="44"/>
      <c r="AA189" s="44"/>
      <c r="AB189" s="44" t="s">
        <v>813</v>
      </c>
      <c r="AC189" s="52"/>
      <c r="AD189" s="52">
        <v>1212</v>
      </c>
      <c r="AE189" s="54"/>
      <c r="AF189" s="55"/>
      <c r="AG189" s="55"/>
      <c r="AH189" s="56"/>
      <c r="AI189" s="56"/>
      <c r="AJ189" s="57"/>
      <c r="AK189" s="56"/>
      <c r="AL189" s="46">
        <v>18</v>
      </c>
      <c r="AM189" s="53" t="s">
        <v>941</v>
      </c>
      <c r="AN189" s="39"/>
      <c r="AO189" s="39"/>
      <c r="AP189" s="40"/>
    </row>
    <row r="190" spans="1:42" s="41" customFormat="1" ht="18.75" customHeight="1" x14ac:dyDescent="0.25">
      <c r="A190" s="47">
        <v>46199</v>
      </c>
      <c r="B190" s="43">
        <f t="shared" si="9"/>
        <v>46199</v>
      </c>
      <c r="C190" s="44" t="s">
        <v>814</v>
      </c>
      <c r="D190" s="48" t="s">
        <v>141</v>
      </c>
      <c r="E190" s="48">
        <v>3848</v>
      </c>
      <c r="F190" s="48">
        <v>1</v>
      </c>
      <c r="G190" s="48">
        <v>19949984</v>
      </c>
      <c r="H190" s="48" t="s">
        <v>492</v>
      </c>
      <c r="I190" s="45"/>
      <c r="J190" s="46">
        <f t="shared" si="10"/>
        <v>190.67796610169492</v>
      </c>
      <c r="K190" s="46"/>
      <c r="L190" s="46"/>
      <c r="M190" s="46"/>
      <c r="N190" s="46">
        <f t="shared" si="11"/>
        <v>34.322033898305087</v>
      </c>
      <c r="O190" s="46"/>
      <c r="P190" s="49">
        <v>225</v>
      </c>
      <c r="Q190" s="50"/>
      <c r="R190" s="43"/>
      <c r="S190" s="45"/>
      <c r="T190" s="44"/>
      <c r="U190" s="44"/>
      <c r="V190" s="51" t="s">
        <v>86</v>
      </c>
      <c r="W190" s="46"/>
      <c r="X190" s="47">
        <v>46199</v>
      </c>
      <c r="Y190" s="44" t="s">
        <v>87</v>
      </c>
      <c r="Z190" s="44"/>
      <c r="AA190" s="44"/>
      <c r="AB190" s="44" t="s">
        <v>813</v>
      </c>
      <c r="AC190" s="52"/>
      <c r="AD190" s="52">
        <v>1212</v>
      </c>
      <c r="AE190" s="54"/>
      <c r="AF190" s="55"/>
      <c r="AG190" s="55"/>
      <c r="AH190" s="56"/>
      <c r="AI190" s="56"/>
      <c r="AJ190" s="57"/>
      <c r="AK190" s="56"/>
      <c r="AL190" s="46">
        <v>18</v>
      </c>
      <c r="AM190" s="53" t="s">
        <v>941</v>
      </c>
      <c r="AN190" s="39"/>
      <c r="AO190" s="39"/>
      <c r="AP190" s="40"/>
    </row>
    <row r="191" spans="1:42" s="41" customFormat="1" ht="18.75" customHeight="1" x14ac:dyDescent="0.25">
      <c r="A191" s="47">
        <v>46199</v>
      </c>
      <c r="B191" s="43">
        <f t="shared" si="9"/>
        <v>46199</v>
      </c>
      <c r="C191" s="44" t="s">
        <v>814</v>
      </c>
      <c r="D191" s="48" t="s">
        <v>141</v>
      </c>
      <c r="E191" s="48">
        <v>3849</v>
      </c>
      <c r="F191" s="48">
        <v>1</v>
      </c>
      <c r="G191" s="48">
        <v>20016945</v>
      </c>
      <c r="H191" s="48" t="s">
        <v>494</v>
      </c>
      <c r="I191" s="45"/>
      <c r="J191" s="46">
        <f t="shared" si="10"/>
        <v>42.372881355932208</v>
      </c>
      <c r="K191" s="46"/>
      <c r="L191" s="46"/>
      <c r="M191" s="46"/>
      <c r="N191" s="46">
        <f t="shared" si="11"/>
        <v>7.6271186440677967</v>
      </c>
      <c r="O191" s="46"/>
      <c r="P191" s="49">
        <v>50</v>
      </c>
      <c r="Q191" s="50"/>
      <c r="R191" s="43"/>
      <c r="S191" s="45"/>
      <c r="T191" s="44"/>
      <c r="U191" s="44"/>
      <c r="V191" s="51" t="s">
        <v>86</v>
      </c>
      <c r="W191" s="46"/>
      <c r="X191" s="47">
        <v>46199</v>
      </c>
      <c r="Y191" s="44" t="s">
        <v>87</v>
      </c>
      <c r="Z191" s="44"/>
      <c r="AA191" s="44"/>
      <c r="AB191" s="44" t="s">
        <v>813</v>
      </c>
      <c r="AC191" s="52"/>
      <c r="AD191" s="52">
        <v>1212</v>
      </c>
      <c r="AE191" s="54"/>
      <c r="AF191" s="55"/>
      <c r="AG191" s="55"/>
      <c r="AH191" s="56"/>
      <c r="AI191" s="56"/>
      <c r="AJ191" s="57"/>
      <c r="AK191" s="56"/>
      <c r="AL191" s="46">
        <v>18</v>
      </c>
      <c r="AM191" s="53" t="s">
        <v>941</v>
      </c>
      <c r="AN191" s="39"/>
      <c r="AO191" s="39"/>
      <c r="AP191" s="40"/>
    </row>
    <row r="192" spans="1:42" s="41" customFormat="1" ht="18.75" customHeight="1" x14ac:dyDescent="0.25">
      <c r="A192" s="47">
        <v>46199</v>
      </c>
      <c r="B192" s="43">
        <f t="shared" si="9"/>
        <v>46199</v>
      </c>
      <c r="C192" s="44" t="s">
        <v>814</v>
      </c>
      <c r="D192" s="48" t="s">
        <v>141</v>
      </c>
      <c r="E192" s="48">
        <v>3850</v>
      </c>
      <c r="F192" s="48">
        <v>1</v>
      </c>
      <c r="G192" s="48">
        <v>19949816</v>
      </c>
      <c r="H192" s="48" t="s">
        <v>496</v>
      </c>
      <c r="I192" s="45"/>
      <c r="J192" s="46">
        <f t="shared" si="10"/>
        <v>364.40677966101697</v>
      </c>
      <c r="K192" s="46"/>
      <c r="L192" s="46"/>
      <c r="M192" s="46"/>
      <c r="N192" s="46">
        <f t="shared" si="11"/>
        <v>65.593220338983059</v>
      </c>
      <c r="O192" s="46"/>
      <c r="P192" s="49">
        <v>430</v>
      </c>
      <c r="Q192" s="50"/>
      <c r="R192" s="43"/>
      <c r="S192" s="45"/>
      <c r="T192" s="44"/>
      <c r="U192" s="44"/>
      <c r="V192" s="51" t="s">
        <v>86</v>
      </c>
      <c r="W192" s="46"/>
      <c r="X192" s="47">
        <v>46199</v>
      </c>
      <c r="Y192" s="44" t="s">
        <v>87</v>
      </c>
      <c r="Z192" s="44"/>
      <c r="AA192" s="44"/>
      <c r="AB192" s="44" t="s">
        <v>813</v>
      </c>
      <c r="AC192" s="52"/>
      <c r="AD192" s="52">
        <v>1212</v>
      </c>
      <c r="AE192" s="54"/>
      <c r="AF192" s="55"/>
      <c r="AG192" s="55"/>
      <c r="AH192" s="56"/>
      <c r="AI192" s="56"/>
      <c r="AJ192" s="57"/>
      <c r="AK192" s="56"/>
      <c r="AL192" s="46">
        <v>18</v>
      </c>
      <c r="AM192" s="53" t="s">
        <v>941</v>
      </c>
      <c r="AN192" s="39"/>
      <c r="AO192" s="39"/>
      <c r="AP192" s="40"/>
    </row>
    <row r="193" spans="1:42" s="41" customFormat="1" ht="18.75" customHeight="1" x14ac:dyDescent="0.25">
      <c r="A193" s="47">
        <v>46199</v>
      </c>
      <c r="B193" s="43">
        <f t="shared" si="9"/>
        <v>46199</v>
      </c>
      <c r="C193" s="44" t="s">
        <v>814</v>
      </c>
      <c r="D193" s="48" t="s">
        <v>141</v>
      </c>
      <c r="E193" s="48">
        <v>3851</v>
      </c>
      <c r="F193" s="48">
        <v>1</v>
      </c>
      <c r="G193" s="48">
        <v>43774361</v>
      </c>
      <c r="H193" s="48" t="s">
        <v>498</v>
      </c>
      <c r="I193" s="45"/>
      <c r="J193" s="46">
        <f t="shared" si="10"/>
        <v>84.745762711864415</v>
      </c>
      <c r="K193" s="46"/>
      <c r="L193" s="46"/>
      <c r="M193" s="46"/>
      <c r="N193" s="46">
        <f t="shared" si="11"/>
        <v>15.254237288135593</v>
      </c>
      <c r="O193" s="46"/>
      <c r="P193" s="49">
        <v>100</v>
      </c>
      <c r="Q193" s="50"/>
      <c r="R193" s="43"/>
      <c r="S193" s="45"/>
      <c r="T193" s="44"/>
      <c r="U193" s="44"/>
      <c r="V193" s="51" t="s">
        <v>86</v>
      </c>
      <c r="W193" s="46"/>
      <c r="X193" s="47">
        <v>46199</v>
      </c>
      <c r="Y193" s="44" t="s">
        <v>87</v>
      </c>
      <c r="Z193" s="44"/>
      <c r="AA193" s="44"/>
      <c r="AB193" s="44" t="s">
        <v>813</v>
      </c>
      <c r="AC193" s="52"/>
      <c r="AD193" s="52">
        <v>1212</v>
      </c>
      <c r="AE193" s="54"/>
      <c r="AF193" s="55"/>
      <c r="AG193" s="55"/>
      <c r="AH193" s="56"/>
      <c r="AI193" s="56"/>
      <c r="AJ193" s="57"/>
      <c r="AK193" s="56"/>
      <c r="AL193" s="46">
        <v>18</v>
      </c>
      <c r="AM193" s="53" t="s">
        <v>941</v>
      </c>
      <c r="AN193" s="39"/>
      <c r="AO193" s="39"/>
      <c r="AP193" s="40"/>
    </row>
    <row r="194" spans="1:42" s="41" customFormat="1" ht="18.75" customHeight="1" x14ac:dyDescent="0.25">
      <c r="A194" s="47">
        <v>46199</v>
      </c>
      <c r="B194" s="43">
        <f t="shared" si="9"/>
        <v>46199</v>
      </c>
      <c r="C194" s="44" t="s">
        <v>814</v>
      </c>
      <c r="D194" s="48" t="s">
        <v>141</v>
      </c>
      <c r="E194" s="48">
        <v>3852</v>
      </c>
      <c r="F194" s="48">
        <v>1</v>
      </c>
      <c r="G194" s="48">
        <v>44254609</v>
      </c>
      <c r="H194" s="48" t="s">
        <v>500</v>
      </c>
      <c r="I194" s="45"/>
      <c r="J194" s="46">
        <f t="shared" si="10"/>
        <v>119.49152542372882</v>
      </c>
      <c r="K194" s="46"/>
      <c r="L194" s="46"/>
      <c r="M194" s="46"/>
      <c r="N194" s="46">
        <f t="shared" si="11"/>
        <v>21.508474576271187</v>
      </c>
      <c r="O194" s="46"/>
      <c r="P194" s="49">
        <v>141</v>
      </c>
      <c r="Q194" s="50"/>
      <c r="R194" s="43"/>
      <c r="S194" s="45"/>
      <c r="T194" s="44"/>
      <c r="U194" s="44"/>
      <c r="V194" s="51" t="s">
        <v>86</v>
      </c>
      <c r="W194" s="46"/>
      <c r="X194" s="47">
        <v>46199</v>
      </c>
      <c r="Y194" s="44" t="s">
        <v>87</v>
      </c>
      <c r="Z194" s="44"/>
      <c r="AA194" s="44"/>
      <c r="AB194" s="44" t="s">
        <v>813</v>
      </c>
      <c r="AC194" s="52"/>
      <c r="AD194" s="52">
        <v>1212</v>
      </c>
      <c r="AE194" s="54"/>
      <c r="AF194" s="55"/>
      <c r="AG194" s="55"/>
      <c r="AH194" s="56"/>
      <c r="AI194" s="56"/>
      <c r="AJ194" s="57"/>
      <c r="AK194" s="56"/>
      <c r="AL194" s="46">
        <v>18</v>
      </c>
      <c r="AM194" s="53" t="s">
        <v>941</v>
      </c>
      <c r="AN194" s="39"/>
      <c r="AO194" s="39"/>
      <c r="AP194" s="40"/>
    </row>
    <row r="195" spans="1:42" s="41" customFormat="1" ht="18.75" customHeight="1" x14ac:dyDescent="0.25">
      <c r="A195" s="47">
        <v>46199</v>
      </c>
      <c r="B195" s="43">
        <f t="shared" si="9"/>
        <v>46199</v>
      </c>
      <c r="C195" s="44" t="s">
        <v>814</v>
      </c>
      <c r="D195" s="48" t="s">
        <v>141</v>
      </c>
      <c r="E195" s="48">
        <v>3853</v>
      </c>
      <c r="F195" s="48">
        <v>1</v>
      </c>
      <c r="G195" s="48">
        <v>11111111</v>
      </c>
      <c r="H195" s="48" t="s">
        <v>143</v>
      </c>
      <c r="I195" s="45"/>
      <c r="J195" s="46">
        <f t="shared" si="10"/>
        <v>83.050847457627128</v>
      </c>
      <c r="K195" s="46"/>
      <c r="L195" s="46"/>
      <c r="M195" s="46"/>
      <c r="N195" s="46">
        <f t="shared" si="11"/>
        <v>14.949152542372882</v>
      </c>
      <c r="O195" s="46"/>
      <c r="P195" s="49">
        <v>98</v>
      </c>
      <c r="Q195" s="50"/>
      <c r="R195" s="43"/>
      <c r="S195" s="45"/>
      <c r="T195" s="44"/>
      <c r="U195" s="44"/>
      <c r="V195" s="51" t="s">
        <v>86</v>
      </c>
      <c r="W195" s="46"/>
      <c r="X195" s="47">
        <v>46199</v>
      </c>
      <c r="Y195" s="44" t="s">
        <v>87</v>
      </c>
      <c r="Z195" s="44"/>
      <c r="AA195" s="44"/>
      <c r="AB195" s="44" t="s">
        <v>813</v>
      </c>
      <c r="AC195" s="52"/>
      <c r="AD195" s="52">
        <v>1212</v>
      </c>
      <c r="AE195" s="54"/>
      <c r="AF195" s="55"/>
      <c r="AG195" s="55"/>
      <c r="AH195" s="56"/>
      <c r="AI195" s="56"/>
      <c r="AJ195" s="57"/>
      <c r="AK195" s="56"/>
      <c r="AL195" s="46">
        <v>18</v>
      </c>
      <c r="AM195" s="53" t="s">
        <v>941</v>
      </c>
      <c r="AN195" s="39"/>
      <c r="AO195" s="39"/>
      <c r="AP195" s="40"/>
    </row>
    <row r="196" spans="1:42" s="41" customFormat="1" ht="18.75" customHeight="1" x14ac:dyDescent="0.25">
      <c r="A196" s="47">
        <v>46200</v>
      </c>
      <c r="B196" s="43">
        <f t="shared" si="9"/>
        <v>46200</v>
      </c>
      <c r="C196" s="44" t="s">
        <v>814</v>
      </c>
      <c r="D196" s="48" t="s">
        <v>141</v>
      </c>
      <c r="E196" s="48">
        <v>3856</v>
      </c>
      <c r="F196" s="48">
        <v>1</v>
      </c>
      <c r="G196" s="48">
        <v>71607340</v>
      </c>
      <c r="H196" s="48" t="s">
        <v>504</v>
      </c>
      <c r="I196" s="45"/>
      <c r="J196" s="46">
        <f t="shared" si="10"/>
        <v>116.94915254237289</v>
      </c>
      <c r="K196" s="46"/>
      <c r="L196" s="46"/>
      <c r="M196" s="46"/>
      <c r="N196" s="46">
        <f t="shared" si="11"/>
        <v>21.050847457627118</v>
      </c>
      <c r="O196" s="46"/>
      <c r="P196" s="49">
        <v>138</v>
      </c>
      <c r="Q196" s="50"/>
      <c r="R196" s="43"/>
      <c r="S196" s="45"/>
      <c r="T196" s="44"/>
      <c r="U196" s="44"/>
      <c r="V196" s="51" t="s">
        <v>86</v>
      </c>
      <c r="W196" s="46"/>
      <c r="X196" s="47">
        <v>46200</v>
      </c>
      <c r="Y196" s="44" t="s">
        <v>87</v>
      </c>
      <c r="Z196" s="44"/>
      <c r="AA196" s="44"/>
      <c r="AB196" s="44" t="s">
        <v>813</v>
      </c>
      <c r="AC196" s="52"/>
      <c r="AD196" s="52">
        <v>1212</v>
      </c>
      <c r="AE196" s="54"/>
      <c r="AF196" s="55"/>
      <c r="AG196" s="55"/>
      <c r="AH196" s="56"/>
      <c r="AI196" s="56"/>
      <c r="AJ196" s="57"/>
      <c r="AK196" s="56"/>
      <c r="AL196" s="46">
        <v>18</v>
      </c>
      <c r="AM196" s="53" t="s">
        <v>941</v>
      </c>
      <c r="AN196" s="39"/>
      <c r="AO196" s="39"/>
      <c r="AP196" s="40"/>
    </row>
    <row r="197" spans="1:42" s="41" customFormat="1" ht="18.75" customHeight="1" x14ac:dyDescent="0.25">
      <c r="A197" s="47">
        <v>46200</v>
      </c>
      <c r="B197" s="43">
        <f t="shared" si="9"/>
        <v>46200</v>
      </c>
      <c r="C197" s="44" t="s">
        <v>814</v>
      </c>
      <c r="D197" s="48" t="s">
        <v>141</v>
      </c>
      <c r="E197" s="48">
        <v>3861</v>
      </c>
      <c r="F197" s="48">
        <v>1</v>
      </c>
      <c r="G197" s="48">
        <v>44483319</v>
      </c>
      <c r="H197" s="48" t="s">
        <v>506</v>
      </c>
      <c r="I197" s="45"/>
      <c r="J197" s="46">
        <f t="shared" si="10"/>
        <v>42.372881355932208</v>
      </c>
      <c r="K197" s="46"/>
      <c r="L197" s="46"/>
      <c r="M197" s="46"/>
      <c r="N197" s="46">
        <f t="shared" si="11"/>
        <v>7.6271186440677967</v>
      </c>
      <c r="O197" s="46"/>
      <c r="P197" s="49">
        <v>50</v>
      </c>
      <c r="Q197" s="50"/>
      <c r="R197" s="43"/>
      <c r="S197" s="45"/>
      <c r="T197" s="44"/>
      <c r="U197" s="44"/>
      <c r="V197" s="51" t="s">
        <v>86</v>
      </c>
      <c r="W197" s="46"/>
      <c r="X197" s="47">
        <v>46200</v>
      </c>
      <c r="Y197" s="44" t="s">
        <v>87</v>
      </c>
      <c r="Z197" s="44"/>
      <c r="AA197" s="44"/>
      <c r="AB197" s="44" t="s">
        <v>813</v>
      </c>
      <c r="AC197" s="52"/>
      <c r="AD197" s="52">
        <v>1212</v>
      </c>
      <c r="AE197" s="54"/>
      <c r="AF197" s="55"/>
      <c r="AG197" s="55"/>
      <c r="AH197" s="56"/>
      <c r="AI197" s="56"/>
      <c r="AJ197" s="57"/>
      <c r="AK197" s="56"/>
      <c r="AL197" s="46">
        <v>18</v>
      </c>
      <c r="AM197" s="53" t="s">
        <v>941</v>
      </c>
      <c r="AN197" s="39"/>
      <c r="AO197" s="39"/>
      <c r="AP197" s="40"/>
    </row>
    <row r="198" spans="1:42" s="41" customFormat="1" ht="18.75" customHeight="1" x14ac:dyDescent="0.25">
      <c r="A198" s="47">
        <v>46200</v>
      </c>
      <c r="B198" s="43">
        <f t="shared" si="9"/>
        <v>46200</v>
      </c>
      <c r="C198" s="44" t="s">
        <v>814</v>
      </c>
      <c r="D198" s="48" t="s">
        <v>141</v>
      </c>
      <c r="E198" s="48">
        <v>3855</v>
      </c>
      <c r="F198" s="48">
        <v>1</v>
      </c>
      <c r="G198" s="48">
        <v>20974978</v>
      </c>
      <c r="H198" s="48" t="s">
        <v>508</v>
      </c>
      <c r="I198" s="45"/>
      <c r="J198" s="46">
        <f t="shared" si="10"/>
        <v>79.66101694915254</v>
      </c>
      <c r="K198" s="46"/>
      <c r="L198" s="46"/>
      <c r="M198" s="46"/>
      <c r="N198" s="46">
        <f t="shared" si="11"/>
        <v>14.338983050847457</v>
      </c>
      <c r="O198" s="46"/>
      <c r="P198" s="49">
        <v>94</v>
      </c>
      <c r="Q198" s="50"/>
      <c r="R198" s="43"/>
      <c r="S198" s="45"/>
      <c r="T198" s="44"/>
      <c r="U198" s="44"/>
      <c r="V198" s="51" t="s">
        <v>86</v>
      </c>
      <c r="W198" s="46"/>
      <c r="X198" s="47">
        <v>46200</v>
      </c>
      <c r="Y198" s="44" t="s">
        <v>87</v>
      </c>
      <c r="Z198" s="44"/>
      <c r="AA198" s="44"/>
      <c r="AB198" s="44" t="s">
        <v>813</v>
      </c>
      <c r="AC198" s="52"/>
      <c r="AD198" s="52">
        <v>1212</v>
      </c>
      <c r="AE198" s="54"/>
      <c r="AF198" s="55"/>
      <c r="AG198" s="55"/>
      <c r="AH198" s="56"/>
      <c r="AI198" s="56"/>
      <c r="AJ198" s="57"/>
      <c r="AK198" s="56"/>
      <c r="AL198" s="46">
        <v>18</v>
      </c>
      <c r="AM198" s="53" t="s">
        <v>941</v>
      </c>
      <c r="AN198" s="39"/>
      <c r="AO198" s="39"/>
      <c r="AP198" s="40"/>
    </row>
    <row r="199" spans="1:42" s="41" customFormat="1" ht="18.75" customHeight="1" x14ac:dyDescent="0.25">
      <c r="A199" s="47">
        <v>46200</v>
      </c>
      <c r="B199" s="43">
        <f t="shared" si="9"/>
        <v>46200</v>
      </c>
      <c r="C199" s="44" t="s">
        <v>814</v>
      </c>
      <c r="D199" s="48" t="s">
        <v>141</v>
      </c>
      <c r="E199" s="48">
        <v>3857</v>
      </c>
      <c r="F199" s="48">
        <v>1</v>
      </c>
      <c r="G199" s="48">
        <v>23712039</v>
      </c>
      <c r="H199" s="48" t="s">
        <v>510</v>
      </c>
      <c r="I199" s="45"/>
      <c r="J199" s="46">
        <f t="shared" si="10"/>
        <v>42.372881355932208</v>
      </c>
      <c r="K199" s="46"/>
      <c r="L199" s="46"/>
      <c r="M199" s="46"/>
      <c r="N199" s="46">
        <f t="shared" si="11"/>
        <v>7.6271186440677967</v>
      </c>
      <c r="O199" s="46"/>
      <c r="P199" s="49">
        <v>50</v>
      </c>
      <c r="Q199" s="50"/>
      <c r="R199" s="43"/>
      <c r="S199" s="45"/>
      <c r="T199" s="44"/>
      <c r="U199" s="44"/>
      <c r="V199" s="51" t="s">
        <v>86</v>
      </c>
      <c r="W199" s="46"/>
      <c r="X199" s="47">
        <v>46200</v>
      </c>
      <c r="Y199" s="44" t="s">
        <v>87</v>
      </c>
      <c r="Z199" s="44"/>
      <c r="AA199" s="44"/>
      <c r="AB199" s="44" t="s">
        <v>813</v>
      </c>
      <c r="AC199" s="52"/>
      <c r="AD199" s="52">
        <v>1212</v>
      </c>
      <c r="AE199" s="54"/>
      <c r="AF199" s="55"/>
      <c r="AG199" s="55"/>
      <c r="AH199" s="56"/>
      <c r="AI199" s="56"/>
      <c r="AJ199" s="57"/>
      <c r="AK199" s="56"/>
      <c r="AL199" s="46">
        <v>18</v>
      </c>
      <c r="AM199" s="53" t="s">
        <v>941</v>
      </c>
      <c r="AN199" s="39"/>
      <c r="AO199" s="39"/>
      <c r="AP199" s="40"/>
    </row>
    <row r="200" spans="1:42" s="41" customFormat="1" ht="18.75" customHeight="1" x14ac:dyDescent="0.25">
      <c r="A200" s="47">
        <v>46200</v>
      </c>
      <c r="B200" s="43">
        <f t="shared" si="9"/>
        <v>46200</v>
      </c>
      <c r="C200" s="44" t="s">
        <v>814</v>
      </c>
      <c r="D200" s="48" t="s">
        <v>141</v>
      </c>
      <c r="E200" s="48">
        <v>3860</v>
      </c>
      <c r="F200" s="48">
        <v>1</v>
      </c>
      <c r="G200" s="48">
        <v>71659543</v>
      </c>
      <c r="H200" s="48" t="s">
        <v>512</v>
      </c>
      <c r="I200" s="45"/>
      <c r="J200" s="46">
        <f t="shared" si="10"/>
        <v>42.372881355932208</v>
      </c>
      <c r="K200" s="46"/>
      <c r="L200" s="46"/>
      <c r="M200" s="46"/>
      <c r="N200" s="46">
        <f t="shared" si="11"/>
        <v>7.6271186440677967</v>
      </c>
      <c r="O200" s="46"/>
      <c r="P200" s="49">
        <v>50</v>
      </c>
      <c r="Q200" s="50"/>
      <c r="R200" s="43"/>
      <c r="S200" s="45"/>
      <c r="T200" s="44"/>
      <c r="U200" s="44"/>
      <c r="V200" s="51" t="s">
        <v>86</v>
      </c>
      <c r="W200" s="46"/>
      <c r="X200" s="47">
        <v>46200</v>
      </c>
      <c r="Y200" s="44" t="s">
        <v>87</v>
      </c>
      <c r="Z200" s="44"/>
      <c r="AA200" s="44"/>
      <c r="AB200" s="44" t="s">
        <v>813</v>
      </c>
      <c r="AC200" s="52"/>
      <c r="AD200" s="52">
        <v>1212</v>
      </c>
      <c r="AE200" s="54"/>
      <c r="AF200" s="55"/>
      <c r="AG200" s="55"/>
      <c r="AH200" s="56"/>
      <c r="AI200" s="56"/>
      <c r="AJ200" s="57"/>
      <c r="AK200" s="56"/>
      <c r="AL200" s="46">
        <v>18</v>
      </c>
      <c r="AM200" s="53" t="s">
        <v>941</v>
      </c>
      <c r="AN200" s="39"/>
      <c r="AO200" s="39"/>
      <c r="AP200" s="40"/>
    </row>
    <row r="201" spans="1:42" s="41" customFormat="1" ht="18.75" customHeight="1" x14ac:dyDescent="0.25">
      <c r="A201" s="47">
        <v>46200</v>
      </c>
      <c r="B201" s="43">
        <f t="shared" ref="B201:B264" si="12">+A201</f>
        <v>46200</v>
      </c>
      <c r="C201" s="44" t="s">
        <v>814</v>
      </c>
      <c r="D201" s="48" t="s">
        <v>141</v>
      </c>
      <c r="E201" s="48">
        <v>3862</v>
      </c>
      <c r="F201" s="48">
        <v>1</v>
      </c>
      <c r="G201" s="48">
        <v>23681523</v>
      </c>
      <c r="H201" s="48" t="s">
        <v>514</v>
      </c>
      <c r="I201" s="45"/>
      <c r="J201" s="46">
        <f t="shared" ref="J201:J264" si="13">+P201/1.18</f>
        <v>81.355932203389841</v>
      </c>
      <c r="K201" s="46"/>
      <c r="L201" s="46"/>
      <c r="M201" s="46"/>
      <c r="N201" s="46">
        <f t="shared" ref="N201:N264" si="14">+J201*0.18</f>
        <v>14.644067796610171</v>
      </c>
      <c r="O201" s="46"/>
      <c r="P201" s="49">
        <v>96</v>
      </c>
      <c r="Q201" s="50"/>
      <c r="R201" s="43"/>
      <c r="S201" s="45"/>
      <c r="T201" s="44"/>
      <c r="U201" s="44"/>
      <c r="V201" s="51" t="s">
        <v>86</v>
      </c>
      <c r="W201" s="46"/>
      <c r="X201" s="47">
        <v>46200</v>
      </c>
      <c r="Y201" s="44" t="s">
        <v>87</v>
      </c>
      <c r="Z201" s="44"/>
      <c r="AA201" s="44"/>
      <c r="AB201" s="44" t="s">
        <v>813</v>
      </c>
      <c r="AC201" s="52"/>
      <c r="AD201" s="52">
        <v>1212</v>
      </c>
      <c r="AE201" s="54"/>
      <c r="AF201" s="55"/>
      <c r="AG201" s="55"/>
      <c r="AH201" s="56"/>
      <c r="AI201" s="56"/>
      <c r="AJ201" s="57"/>
      <c r="AK201" s="56"/>
      <c r="AL201" s="46">
        <v>18</v>
      </c>
      <c r="AM201" s="53" t="s">
        <v>941</v>
      </c>
      <c r="AN201" s="39"/>
      <c r="AO201" s="39"/>
      <c r="AP201" s="40"/>
    </row>
    <row r="202" spans="1:42" s="41" customFormat="1" ht="18.75" customHeight="1" x14ac:dyDescent="0.25">
      <c r="A202" s="47">
        <v>46200</v>
      </c>
      <c r="B202" s="43">
        <f t="shared" si="12"/>
        <v>46200</v>
      </c>
      <c r="C202" s="44" t="s">
        <v>814</v>
      </c>
      <c r="D202" s="48" t="s">
        <v>141</v>
      </c>
      <c r="E202" s="48">
        <v>3867</v>
      </c>
      <c r="F202" s="48">
        <v>1</v>
      </c>
      <c r="G202" s="48">
        <v>19808574</v>
      </c>
      <c r="H202" s="48" t="s">
        <v>516</v>
      </c>
      <c r="I202" s="45"/>
      <c r="J202" s="46">
        <f t="shared" si="13"/>
        <v>119.49152542372882</v>
      </c>
      <c r="K202" s="46"/>
      <c r="L202" s="46"/>
      <c r="M202" s="46"/>
      <c r="N202" s="46">
        <f t="shared" si="14"/>
        <v>21.508474576271187</v>
      </c>
      <c r="O202" s="46"/>
      <c r="P202" s="49">
        <v>141</v>
      </c>
      <c r="Q202" s="50"/>
      <c r="R202" s="43"/>
      <c r="S202" s="45"/>
      <c r="T202" s="44"/>
      <c r="U202" s="44"/>
      <c r="V202" s="51" t="s">
        <v>86</v>
      </c>
      <c r="W202" s="46"/>
      <c r="X202" s="47">
        <v>46200</v>
      </c>
      <c r="Y202" s="44" t="s">
        <v>87</v>
      </c>
      <c r="Z202" s="44"/>
      <c r="AA202" s="44"/>
      <c r="AB202" s="44" t="s">
        <v>813</v>
      </c>
      <c r="AC202" s="52"/>
      <c r="AD202" s="52">
        <v>1212</v>
      </c>
      <c r="AE202" s="54"/>
      <c r="AF202" s="55"/>
      <c r="AG202" s="55"/>
      <c r="AH202" s="56"/>
      <c r="AI202" s="56"/>
      <c r="AJ202" s="57"/>
      <c r="AK202" s="56"/>
      <c r="AL202" s="46">
        <v>18</v>
      </c>
      <c r="AM202" s="53" t="s">
        <v>941</v>
      </c>
      <c r="AN202" s="39"/>
      <c r="AO202" s="39"/>
      <c r="AP202" s="40"/>
    </row>
    <row r="203" spans="1:42" s="41" customFormat="1" ht="18.75" customHeight="1" x14ac:dyDescent="0.25">
      <c r="A203" s="47">
        <v>46200</v>
      </c>
      <c r="B203" s="43">
        <f t="shared" si="12"/>
        <v>46200</v>
      </c>
      <c r="C203" s="44" t="s">
        <v>814</v>
      </c>
      <c r="D203" s="48" t="s">
        <v>141</v>
      </c>
      <c r="E203" s="48">
        <v>3866</v>
      </c>
      <c r="F203" s="48">
        <v>1</v>
      </c>
      <c r="G203" s="48">
        <v>40056594</v>
      </c>
      <c r="H203" s="48" t="s">
        <v>518</v>
      </c>
      <c r="I203" s="45"/>
      <c r="J203" s="46">
        <f t="shared" si="13"/>
        <v>42.372881355932208</v>
      </c>
      <c r="K203" s="46"/>
      <c r="L203" s="46"/>
      <c r="M203" s="46"/>
      <c r="N203" s="46">
        <f t="shared" si="14"/>
        <v>7.6271186440677967</v>
      </c>
      <c r="O203" s="46"/>
      <c r="P203" s="49">
        <v>50</v>
      </c>
      <c r="Q203" s="50"/>
      <c r="R203" s="43"/>
      <c r="S203" s="45"/>
      <c r="T203" s="44"/>
      <c r="U203" s="44"/>
      <c r="V203" s="51" t="s">
        <v>86</v>
      </c>
      <c r="W203" s="46"/>
      <c r="X203" s="47">
        <v>46200</v>
      </c>
      <c r="Y203" s="44" t="s">
        <v>87</v>
      </c>
      <c r="Z203" s="44"/>
      <c r="AA203" s="44"/>
      <c r="AB203" s="44" t="s">
        <v>813</v>
      </c>
      <c r="AC203" s="52"/>
      <c r="AD203" s="52">
        <v>1212</v>
      </c>
      <c r="AE203" s="54"/>
      <c r="AF203" s="55"/>
      <c r="AG203" s="55"/>
      <c r="AH203" s="56"/>
      <c r="AI203" s="56"/>
      <c r="AJ203" s="57"/>
      <c r="AK203" s="56"/>
      <c r="AL203" s="46">
        <v>18</v>
      </c>
      <c r="AM203" s="53" t="s">
        <v>941</v>
      </c>
      <c r="AN203" s="39"/>
      <c r="AO203" s="39"/>
      <c r="AP203" s="40"/>
    </row>
    <row r="204" spans="1:42" s="41" customFormat="1" ht="18.75" customHeight="1" x14ac:dyDescent="0.25">
      <c r="A204" s="47">
        <v>46200</v>
      </c>
      <c r="B204" s="43">
        <f t="shared" si="12"/>
        <v>46200</v>
      </c>
      <c r="C204" s="44" t="s">
        <v>814</v>
      </c>
      <c r="D204" s="48" t="s">
        <v>141</v>
      </c>
      <c r="E204" s="48">
        <v>3871</v>
      </c>
      <c r="F204" s="48">
        <v>1</v>
      </c>
      <c r="G204" s="48">
        <v>80357332</v>
      </c>
      <c r="H204" s="48" t="s">
        <v>520</v>
      </c>
      <c r="I204" s="45"/>
      <c r="J204" s="46">
        <f t="shared" si="13"/>
        <v>43.220338983050851</v>
      </c>
      <c r="K204" s="46"/>
      <c r="L204" s="46"/>
      <c r="M204" s="46"/>
      <c r="N204" s="46">
        <f t="shared" si="14"/>
        <v>7.7796610169491531</v>
      </c>
      <c r="O204" s="46"/>
      <c r="P204" s="49">
        <v>51</v>
      </c>
      <c r="Q204" s="50"/>
      <c r="R204" s="43"/>
      <c r="S204" s="45"/>
      <c r="T204" s="44"/>
      <c r="U204" s="44"/>
      <c r="V204" s="51" t="s">
        <v>86</v>
      </c>
      <c r="W204" s="46"/>
      <c r="X204" s="47">
        <v>46200</v>
      </c>
      <c r="Y204" s="44" t="s">
        <v>87</v>
      </c>
      <c r="Z204" s="44"/>
      <c r="AA204" s="44"/>
      <c r="AB204" s="44" t="s">
        <v>813</v>
      </c>
      <c r="AC204" s="52"/>
      <c r="AD204" s="52">
        <v>1212</v>
      </c>
      <c r="AE204" s="54"/>
      <c r="AF204" s="55"/>
      <c r="AG204" s="55"/>
      <c r="AH204" s="56"/>
      <c r="AI204" s="56"/>
      <c r="AJ204" s="57"/>
      <c r="AK204" s="56"/>
      <c r="AL204" s="46">
        <v>18</v>
      </c>
      <c r="AM204" s="53" t="s">
        <v>941</v>
      </c>
      <c r="AN204" s="39"/>
      <c r="AO204" s="39"/>
      <c r="AP204" s="40"/>
    </row>
    <row r="205" spans="1:42" s="41" customFormat="1" ht="18.75" customHeight="1" x14ac:dyDescent="0.25">
      <c r="A205" s="47">
        <v>46200</v>
      </c>
      <c r="B205" s="43">
        <f t="shared" si="12"/>
        <v>46200</v>
      </c>
      <c r="C205" s="44" t="s">
        <v>814</v>
      </c>
      <c r="D205" s="48" t="s">
        <v>141</v>
      </c>
      <c r="E205" s="48">
        <v>3873</v>
      </c>
      <c r="F205" s="48">
        <v>1</v>
      </c>
      <c r="G205" s="48">
        <v>42146347</v>
      </c>
      <c r="H205" s="48" t="s">
        <v>300</v>
      </c>
      <c r="I205" s="45"/>
      <c r="J205" s="46">
        <f t="shared" si="13"/>
        <v>42.372881355932208</v>
      </c>
      <c r="K205" s="46"/>
      <c r="L205" s="46"/>
      <c r="M205" s="46"/>
      <c r="N205" s="46">
        <f t="shared" si="14"/>
        <v>7.6271186440677967</v>
      </c>
      <c r="O205" s="46"/>
      <c r="P205" s="49">
        <v>50</v>
      </c>
      <c r="Q205" s="50"/>
      <c r="R205" s="43"/>
      <c r="S205" s="45"/>
      <c r="T205" s="44"/>
      <c r="U205" s="44"/>
      <c r="V205" s="51" t="s">
        <v>86</v>
      </c>
      <c r="W205" s="46"/>
      <c r="X205" s="47">
        <v>46200</v>
      </c>
      <c r="Y205" s="44" t="s">
        <v>87</v>
      </c>
      <c r="Z205" s="44"/>
      <c r="AA205" s="44"/>
      <c r="AB205" s="44" t="s">
        <v>813</v>
      </c>
      <c r="AC205" s="52"/>
      <c r="AD205" s="52">
        <v>1212</v>
      </c>
      <c r="AE205" s="54"/>
      <c r="AF205" s="55"/>
      <c r="AG205" s="55"/>
      <c r="AH205" s="56"/>
      <c r="AI205" s="56"/>
      <c r="AJ205" s="57"/>
      <c r="AK205" s="56"/>
      <c r="AL205" s="46">
        <v>18</v>
      </c>
      <c r="AM205" s="53" t="s">
        <v>941</v>
      </c>
      <c r="AN205" s="39"/>
      <c r="AO205" s="39"/>
      <c r="AP205" s="40"/>
    </row>
    <row r="206" spans="1:42" s="41" customFormat="1" ht="18.75" customHeight="1" x14ac:dyDescent="0.25">
      <c r="A206" s="47">
        <v>46200</v>
      </c>
      <c r="B206" s="43">
        <f t="shared" si="12"/>
        <v>46200</v>
      </c>
      <c r="C206" s="44" t="s">
        <v>814</v>
      </c>
      <c r="D206" s="48" t="s">
        <v>141</v>
      </c>
      <c r="E206" s="48">
        <v>3872</v>
      </c>
      <c r="F206" s="48">
        <v>1</v>
      </c>
      <c r="G206" s="48">
        <v>41403731</v>
      </c>
      <c r="H206" s="48" t="s">
        <v>523</v>
      </c>
      <c r="I206" s="45"/>
      <c r="J206" s="46">
        <f t="shared" si="13"/>
        <v>119.49152542372882</v>
      </c>
      <c r="K206" s="46"/>
      <c r="L206" s="46"/>
      <c r="M206" s="46"/>
      <c r="N206" s="46">
        <f t="shared" si="14"/>
        <v>21.508474576271187</v>
      </c>
      <c r="O206" s="46"/>
      <c r="P206" s="49">
        <v>141</v>
      </c>
      <c r="Q206" s="50"/>
      <c r="R206" s="43"/>
      <c r="S206" s="45"/>
      <c r="T206" s="44"/>
      <c r="U206" s="44"/>
      <c r="V206" s="51" t="s">
        <v>86</v>
      </c>
      <c r="W206" s="46"/>
      <c r="X206" s="47">
        <v>46200</v>
      </c>
      <c r="Y206" s="44" t="s">
        <v>87</v>
      </c>
      <c r="Z206" s="44"/>
      <c r="AA206" s="44"/>
      <c r="AB206" s="44" t="s">
        <v>813</v>
      </c>
      <c r="AC206" s="52"/>
      <c r="AD206" s="52">
        <v>1212</v>
      </c>
      <c r="AE206" s="54"/>
      <c r="AF206" s="55"/>
      <c r="AG206" s="55"/>
      <c r="AH206" s="56"/>
      <c r="AI206" s="56"/>
      <c r="AJ206" s="57"/>
      <c r="AK206" s="56"/>
      <c r="AL206" s="46">
        <v>18</v>
      </c>
      <c r="AM206" s="53" t="s">
        <v>941</v>
      </c>
      <c r="AN206" s="39"/>
      <c r="AO206" s="39"/>
      <c r="AP206" s="40"/>
    </row>
    <row r="207" spans="1:42" s="41" customFormat="1" ht="18.75" customHeight="1" x14ac:dyDescent="0.25">
      <c r="A207" s="47">
        <v>46200</v>
      </c>
      <c r="B207" s="43">
        <f t="shared" si="12"/>
        <v>46200</v>
      </c>
      <c r="C207" s="44" t="s">
        <v>814</v>
      </c>
      <c r="D207" s="48" t="s">
        <v>141</v>
      </c>
      <c r="E207" s="48">
        <v>3874</v>
      </c>
      <c r="F207" s="48">
        <v>1</v>
      </c>
      <c r="G207" s="48">
        <v>43470449</v>
      </c>
      <c r="H207" s="48" t="s">
        <v>525</v>
      </c>
      <c r="I207" s="45"/>
      <c r="J207" s="46">
        <f t="shared" si="13"/>
        <v>83.050847457627128</v>
      </c>
      <c r="K207" s="46"/>
      <c r="L207" s="46"/>
      <c r="M207" s="46"/>
      <c r="N207" s="46">
        <f t="shared" si="14"/>
        <v>14.949152542372882</v>
      </c>
      <c r="O207" s="46"/>
      <c r="P207" s="49">
        <v>98</v>
      </c>
      <c r="Q207" s="50"/>
      <c r="R207" s="43"/>
      <c r="S207" s="45"/>
      <c r="T207" s="44"/>
      <c r="U207" s="44"/>
      <c r="V207" s="51" t="s">
        <v>86</v>
      </c>
      <c r="W207" s="46"/>
      <c r="X207" s="47">
        <v>46200</v>
      </c>
      <c r="Y207" s="44" t="s">
        <v>87</v>
      </c>
      <c r="Z207" s="44"/>
      <c r="AA207" s="44"/>
      <c r="AB207" s="44" t="s">
        <v>813</v>
      </c>
      <c r="AC207" s="52"/>
      <c r="AD207" s="52">
        <v>1212</v>
      </c>
      <c r="AE207" s="54"/>
      <c r="AF207" s="55"/>
      <c r="AG207" s="55"/>
      <c r="AH207" s="56"/>
      <c r="AI207" s="56"/>
      <c r="AJ207" s="57"/>
      <c r="AK207" s="56"/>
      <c r="AL207" s="46">
        <v>18</v>
      </c>
      <c r="AM207" s="53" t="s">
        <v>941</v>
      </c>
      <c r="AN207" s="39"/>
      <c r="AO207" s="39"/>
      <c r="AP207" s="40"/>
    </row>
    <row r="208" spans="1:42" s="41" customFormat="1" ht="18.75" customHeight="1" x14ac:dyDescent="0.25">
      <c r="A208" s="47">
        <v>46200</v>
      </c>
      <c r="B208" s="43">
        <f t="shared" si="12"/>
        <v>46200</v>
      </c>
      <c r="C208" s="44" t="s">
        <v>814</v>
      </c>
      <c r="D208" s="48" t="s">
        <v>141</v>
      </c>
      <c r="E208" s="48">
        <v>3854</v>
      </c>
      <c r="F208" s="48">
        <v>1</v>
      </c>
      <c r="G208" s="48">
        <v>80060583</v>
      </c>
      <c r="H208" s="48" t="s">
        <v>527</v>
      </c>
      <c r="I208" s="45"/>
      <c r="J208" s="46">
        <f t="shared" si="13"/>
        <v>43.220338983050851</v>
      </c>
      <c r="K208" s="46"/>
      <c r="L208" s="46"/>
      <c r="M208" s="46"/>
      <c r="N208" s="46">
        <f t="shared" si="14"/>
        <v>7.7796610169491531</v>
      </c>
      <c r="O208" s="46"/>
      <c r="P208" s="49">
        <v>51</v>
      </c>
      <c r="Q208" s="50"/>
      <c r="R208" s="43"/>
      <c r="S208" s="45"/>
      <c r="T208" s="44"/>
      <c r="U208" s="44"/>
      <c r="V208" s="51" t="s">
        <v>86</v>
      </c>
      <c r="W208" s="46"/>
      <c r="X208" s="47">
        <v>46200</v>
      </c>
      <c r="Y208" s="44" t="s">
        <v>87</v>
      </c>
      <c r="Z208" s="44"/>
      <c r="AA208" s="44"/>
      <c r="AB208" s="44" t="s">
        <v>813</v>
      </c>
      <c r="AC208" s="52"/>
      <c r="AD208" s="52">
        <v>1212</v>
      </c>
      <c r="AE208" s="54"/>
      <c r="AF208" s="55"/>
      <c r="AG208" s="55"/>
      <c r="AH208" s="56"/>
      <c r="AI208" s="56"/>
      <c r="AJ208" s="57"/>
      <c r="AK208" s="56"/>
      <c r="AL208" s="46">
        <v>18</v>
      </c>
      <c r="AM208" s="53" t="s">
        <v>941</v>
      </c>
      <c r="AN208" s="39"/>
      <c r="AO208" s="39"/>
      <c r="AP208" s="40"/>
    </row>
    <row r="209" spans="1:42" s="41" customFormat="1" ht="18.75" customHeight="1" x14ac:dyDescent="0.25">
      <c r="A209" s="47">
        <v>46200</v>
      </c>
      <c r="B209" s="43">
        <f t="shared" si="12"/>
        <v>46200</v>
      </c>
      <c r="C209" s="44" t="s">
        <v>814</v>
      </c>
      <c r="D209" s="48" t="s">
        <v>141</v>
      </c>
      <c r="E209" s="48">
        <v>3863</v>
      </c>
      <c r="F209" s="48">
        <v>1</v>
      </c>
      <c r="G209" s="48">
        <v>46848260</v>
      </c>
      <c r="H209" s="48" t="s">
        <v>529</v>
      </c>
      <c r="I209" s="45"/>
      <c r="J209" s="46">
        <f t="shared" si="13"/>
        <v>114.40677966101696</v>
      </c>
      <c r="K209" s="46"/>
      <c r="L209" s="46"/>
      <c r="M209" s="46"/>
      <c r="N209" s="46">
        <f t="shared" si="14"/>
        <v>20.593220338983052</v>
      </c>
      <c r="O209" s="46"/>
      <c r="P209" s="49">
        <v>135</v>
      </c>
      <c r="Q209" s="50"/>
      <c r="R209" s="43"/>
      <c r="S209" s="45"/>
      <c r="T209" s="44"/>
      <c r="U209" s="44"/>
      <c r="V209" s="51" t="s">
        <v>86</v>
      </c>
      <c r="W209" s="46"/>
      <c r="X209" s="47">
        <v>46200</v>
      </c>
      <c r="Y209" s="44" t="s">
        <v>87</v>
      </c>
      <c r="Z209" s="44"/>
      <c r="AA209" s="44"/>
      <c r="AB209" s="44" t="s">
        <v>813</v>
      </c>
      <c r="AC209" s="52"/>
      <c r="AD209" s="52">
        <v>1212</v>
      </c>
      <c r="AE209" s="54"/>
      <c r="AF209" s="55"/>
      <c r="AG209" s="55"/>
      <c r="AH209" s="56"/>
      <c r="AI209" s="56"/>
      <c r="AJ209" s="57"/>
      <c r="AK209" s="56"/>
      <c r="AL209" s="46">
        <v>18</v>
      </c>
      <c r="AM209" s="53" t="s">
        <v>941</v>
      </c>
      <c r="AN209" s="39"/>
      <c r="AO209" s="39"/>
      <c r="AP209" s="40"/>
    </row>
    <row r="210" spans="1:42" s="41" customFormat="1" ht="18.75" customHeight="1" x14ac:dyDescent="0.25">
      <c r="A210" s="47">
        <v>46200</v>
      </c>
      <c r="B210" s="43">
        <f t="shared" si="12"/>
        <v>46200</v>
      </c>
      <c r="C210" s="44" t="s">
        <v>814</v>
      </c>
      <c r="D210" s="48" t="s">
        <v>141</v>
      </c>
      <c r="E210" s="48">
        <v>3865</v>
      </c>
      <c r="F210" s="48">
        <v>1</v>
      </c>
      <c r="G210" s="48">
        <v>71550302</v>
      </c>
      <c r="H210" s="48" t="s">
        <v>531</v>
      </c>
      <c r="I210" s="45"/>
      <c r="J210" s="46">
        <f t="shared" si="13"/>
        <v>79.66101694915254</v>
      </c>
      <c r="K210" s="46"/>
      <c r="L210" s="46"/>
      <c r="M210" s="46"/>
      <c r="N210" s="46">
        <f t="shared" si="14"/>
        <v>14.338983050847457</v>
      </c>
      <c r="O210" s="46"/>
      <c r="P210" s="49">
        <v>94</v>
      </c>
      <c r="Q210" s="50"/>
      <c r="R210" s="43"/>
      <c r="S210" s="45"/>
      <c r="T210" s="44"/>
      <c r="U210" s="44"/>
      <c r="V210" s="51" t="s">
        <v>86</v>
      </c>
      <c r="W210" s="46"/>
      <c r="X210" s="47">
        <v>46200</v>
      </c>
      <c r="Y210" s="44" t="s">
        <v>87</v>
      </c>
      <c r="Z210" s="44"/>
      <c r="AA210" s="44"/>
      <c r="AB210" s="44" t="s">
        <v>813</v>
      </c>
      <c r="AC210" s="52"/>
      <c r="AD210" s="52">
        <v>1212</v>
      </c>
      <c r="AE210" s="54"/>
      <c r="AF210" s="55"/>
      <c r="AG210" s="55"/>
      <c r="AH210" s="56"/>
      <c r="AI210" s="56"/>
      <c r="AJ210" s="57"/>
      <c r="AK210" s="56"/>
      <c r="AL210" s="46">
        <v>18</v>
      </c>
      <c r="AM210" s="53" t="s">
        <v>941</v>
      </c>
      <c r="AN210" s="39"/>
      <c r="AO210" s="39"/>
      <c r="AP210" s="40"/>
    </row>
    <row r="211" spans="1:42" s="41" customFormat="1" ht="18.75" customHeight="1" x14ac:dyDescent="0.25">
      <c r="A211" s="47">
        <v>46200</v>
      </c>
      <c r="B211" s="43">
        <f t="shared" si="12"/>
        <v>46200</v>
      </c>
      <c r="C211" s="44" t="s">
        <v>814</v>
      </c>
      <c r="D211" s="48" t="s">
        <v>141</v>
      </c>
      <c r="E211" s="48">
        <v>3864</v>
      </c>
      <c r="F211" s="48">
        <v>1</v>
      </c>
      <c r="G211" s="48">
        <v>20415925</v>
      </c>
      <c r="H211" s="48" t="s">
        <v>533</v>
      </c>
      <c r="I211" s="45"/>
      <c r="J211" s="46">
        <f t="shared" si="13"/>
        <v>42.372881355932208</v>
      </c>
      <c r="K211" s="46"/>
      <c r="L211" s="46"/>
      <c r="M211" s="46"/>
      <c r="N211" s="46">
        <f t="shared" si="14"/>
        <v>7.6271186440677967</v>
      </c>
      <c r="O211" s="46"/>
      <c r="P211" s="49">
        <v>50</v>
      </c>
      <c r="Q211" s="50"/>
      <c r="R211" s="43"/>
      <c r="S211" s="45"/>
      <c r="T211" s="44"/>
      <c r="U211" s="44"/>
      <c r="V211" s="51" t="s">
        <v>86</v>
      </c>
      <c r="W211" s="46"/>
      <c r="X211" s="47">
        <v>46200</v>
      </c>
      <c r="Y211" s="44" t="s">
        <v>87</v>
      </c>
      <c r="Z211" s="44"/>
      <c r="AA211" s="44"/>
      <c r="AB211" s="44" t="s">
        <v>813</v>
      </c>
      <c r="AC211" s="52"/>
      <c r="AD211" s="52">
        <v>1212</v>
      </c>
      <c r="AE211" s="54"/>
      <c r="AF211" s="55"/>
      <c r="AG211" s="55"/>
      <c r="AH211" s="56"/>
      <c r="AI211" s="56"/>
      <c r="AJ211" s="57"/>
      <c r="AK211" s="56"/>
      <c r="AL211" s="46">
        <v>18</v>
      </c>
      <c r="AM211" s="53" t="s">
        <v>941</v>
      </c>
      <c r="AN211" s="39"/>
      <c r="AO211" s="39"/>
      <c r="AP211" s="40"/>
    </row>
    <row r="212" spans="1:42" s="41" customFormat="1" ht="18.75" customHeight="1" x14ac:dyDescent="0.25">
      <c r="A212" s="47">
        <v>46200</v>
      </c>
      <c r="B212" s="43">
        <f t="shared" si="12"/>
        <v>46200</v>
      </c>
      <c r="C212" s="44" t="s">
        <v>814</v>
      </c>
      <c r="D212" s="48" t="s">
        <v>141</v>
      </c>
      <c r="E212" s="48">
        <v>3869</v>
      </c>
      <c r="F212" s="48">
        <v>1</v>
      </c>
      <c r="G212" s="48">
        <v>40056594</v>
      </c>
      <c r="H212" s="48" t="s">
        <v>518</v>
      </c>
      <c r="I212" s="45"/>
      <c r="J212" s="46">
        <f t="shared" si="13"/>
        <v>81.355932203389841</v>
      </c>
      <c r="K212" s="46"/>
      <c r="L212" s="46"/>
      <c r="M212" s="46"/>
      <c r="N212" s="46">
        <f t="shared" si="14"/>
        <v>14.644067796610171</v>
      </c>
      <c r="O212" s="46"/>
      <c r="P212" s="49">
        <v>96</v>
      </c>
      <c r="Q212" s="50"/>
      <c r="R212" s="43"/>
      <c r="S212" s="45"/>
      <c r="T212" s="44"/>
      <c r="U212" s="44"/>
      <c r="V212" s="51" t="s">
        <v>86</v>
      </c>
      <c r="W212" s="46"/>
      <c r="X212" s="47">
        <v>46200</v>
      </c>
      <c r="Y212" s="44" t="s">
        <v>87</v>
      </c>
      <c r="Z212" s="44"/>
      <c r="AA212" s="44"/>
      <c r="AB212" s="44" t="s">
        <v>813</v>
      </c>
      <c r="AC212" s="52"/>
      <c r="AD212" s="52">
        <v>1212</v>
      </c>
      <c r="AE212" s="54"/>
      <c r="AF212" s="55"/>
      <c r="AG212" s="55"/>
      <c r="AH212" s="56"/>
      <c r="AI212" s="56"/>
      <c r="AJ212" s="57"/>
      <c r="AK212" s="56"/>
      <c r="AL212" s="46">
        <v>18</v>
      </c>
      <c r="AM212" s="53" t="s">
        <v>941</v>
      </c>
      <c r="AN212" s="39"/>
      <c r="AO212" s="39"/>
      <c r="AP212" s="40"/>
    </row>
    <row r="213" spans="1:42" s="41" customFormat="1" ht="18.75" customHeight="1" x14ac:dyDescent="0.25">
      <c r="A213" s="47">
        <v>46200</v>
      </c>
      <c r="B213" s="43">
        <f t="shared" si="12"/>
        <v>46200</v>
      </c>
      <c r="C213" s="44" t="s">
        <v>814</v>
      </c>
      <c r="D213" s="48" t="s">
        <v>141</v>
      </c>
      <c r="E213" s="48">
        <v>3858</v>
      </c>
      <c r="F213" s="48">
        <v>1</v>
      </c>
      <c r="G213" s="48">
        <v>23711888</v>
      </c>
      <c r="H213" s="48" t="s">
        <v>536</v>
      </c>
      <c r="I213" s="45"/>
      <c r="J213" s="46">
        <f t="shared" si="13"/>
        <v>81.355932203389841</v>
      </c>
      <c r="K213" s="46"/>
      <c r="L213" s="46"/>
      <c r="M213" s="46"/>
      <c r="N213" s="46">
        <f t="shared" si="14"/>
        <v>14.644067796610171</v>
      </c>
      <c r="O213" s="46"/>
      <c r="P213" s="49">
        <v>96</v>
      </c>
      <c r="Q213" s="50"/>
      <c r="R213" s="43"/>
      <c r="S213" s="45"/>
      <c r="T213" s="44"/>
      <c r="U213" s="44"/>
      <c r="V213" s="51" t="s">
        <v>86</v>
      </c>
      <c r="W213" s="46"/>
      <c r="X213" s="47">
        <v>46200</v>
      </c>
      <c r="Y213" s="44" t="s">
        <v>87</v>
      </c>
      <c r="Z213" s="44"/>
      <c r="AA213" s="44"/>
      <c r="AB213" s="44" t="s">
        <v>813</v>
      </c>
      <c r="AC213" s="52"/>
      <c r="AD213" s="52">
        <v>1212</v>
      </c>
      <c r="AE213" s="54"/>
      <c r="AF213" s="55"/>
      <c r="AG213" s="55"/>
      <c r="AH213" s="56"/>
      <c r="AI213" s="56"/>
      <c r="AJ213" s="57"/>
      <c r="AK213" s="56"/>
      <c r="AL213" s="46">
        <v>18</v>
      </c>
      <c r="AM213" s="53" t="s">
        <v>941</v>
      </c>
      <c r="AN213" s="39"/>
      <c r="AO213" s="39"/>
      <c r="AP213" s="40"/>
    </row>
    <row r="214" spans="1:42" s="41" customFormat="1" ht="18.75" customHeight="1" x14ac:dyDescent="0.25">
      <c r="A214" s="47">
        <v>46200</v>
      </c>
      <c r="B214" s="43">
        <f t="shared" si="12"/>
        <v>46200</v>
      </c>
      <c r="C214" s="44" t="s">
        <v>814</v>
      </c>
      <c r="D214" s="48" t="s">
        <v>141</v>
      </c>
      <c r="E214" s="48">
        <v>3859</v>
      </c>
      <c r="F214" s="48">
        <v>1</v>
      </c>
      <c r="G214" s="48">
        <v>74411998</v>
      </c>
      <c r="H214" s="48" t="s">
        <v>538</v>
      </c>
      <c r="I214" s="45"/>
      <c r="J214" s="46">
        <f t="shared" si="13"/>
        <v>114.40677966101696</v>
      </c>
      <c r="K214" s="46"/>
      <c r="L214" s="46"/>
      <c r="M214" s="46"/>
      <c r="N214" s="46">
        <f t="shared" si="14"/>
        <v>20.593220338983052</v>
      </c>
      <c r="O214" s="46"/>
      <c r="P214" s="49">
        <v>135</v>
      </c>
      <c r="Q214" s="50"/>
      <c r="R214" s="43"/>
      <c r="S214" s="45"/>
      <c r="T214" s="44"/>
      <c r="U214" s="44"/>
      <c r="V214" s="51" t="s">
        <v>86</v>
      </c>
      <c r="W214" s="46"/>
      <c r="X214" s="47">
        <v>46200</v>
      </c>
      <c r="Y214" s="44" t="s">
        <v>87</v>
      </c>
      <c r="Z214" s="44"/>
      <c r="AA214" s="44"/>
      <c r="AB214" s="44" t="s">
        <v>813</v>
      </c>
      <c r="AC214" s="52"/>
      <c r="AD214" s="52">
        <v>1212</v>
      </c>
      <c r="AE214" s="54"/>
      <c r="AF214" s="55"/>
      <c r="AG214" s="55"/>
      <c r="AH214" s="56"/>
      <c r="AI214" s="56"/>
      <c r="AJ214" s="57"/>
      <c r="AK214" s="56"/>
      <c r="AL214" s="46">
        <v>18</v>
      </c>
      <c r="AM214" s="53" t="s">
        <v>941</v>
      </c>
      <c r="AN214" s="39"/>
      <c r="AO214" s="39"/>
      <c r="AP214" s="40"/>
    </row>
    <row r="215" spans="1:42" s="41" customFormat="1" ht="18.75" customHeight="1" x14ac:dyDescent="0.25">
      <c r="A215" s="47">
        <v>46200</v>
      </c>
      <c r="B215" s="43">
        <f t="shared" si="12"/>
        <v>46200</v>
      </c>
      <c r="C215" s="44" t="s">
        <v>814</v>
      </c>
      <c r="D215" s="48" t="s">
        <v>141</v>
      </c>
      <c r="E215" s="48">
        <v>3868</v>
      </c>
      <c r="F215" s="48">
        <v>1</v>
      </c>
      <c r="G215" s="48">
        <v>20079811</v>
      </c>
      <c r="H215" s="48" t="s">
        <v>540</v>
      </c>
      <c r="I215" s="45"/>
      <c r="J215" s="46">
        <f t="shared" si="13"/>
        <v>42.372881355932208</v>
      </c>
      <c r="K215" s="46"/>
      <c r="L215" s="46"/>
      <c r="M215" s="46"/>
      <c r="N215" s="46">
        <f t="shared" si="14"/>
        <v>7.6271186440677967</v>
      </c>
      <c r="O215" s="46"/>
      <c r="P215" s="49">
        <v>50</v>
      </c>
      <c r="Q215" s="50"/>
      <c r="R215" s="43"/>
      <c r="S215" s="45"/>
      <c r="T215" s="44"/>
      <c r="U215" s="44"/>
      <c r="V215" s="51" t="s">
        <v>86</v>
      </c>
      <c r="W215" s="46"/>
      <c r="X215" s="47">
        <v>46200</v>
      </c>
      <c r="Y215" s="44" t="s">
        <v>87</v>
      </c>
      <c r="Z215" s="44"/>
      <c r="AA215" s="44"/>
      <c r="AB215" s="44" t="s">
        <v>813</v>
      </c>
      <c r="AC215" s="52"/>
      <c r="AD215" s="52">
        <v>1212</v>
      </c>
      <c r="AE215" s="54"/>
      <c r="AF215" s="55"/>
      <c r="AG215" s="55"/>
      <c r="AH215" s="56"/>
      <c r="AI215" s="56"/>
      <c r="AJ215" s="57"/>
      <c r="AK215" s="56"/>
      <c r="AL215" s="46">
        <v>18</v>
      </c>
      <c r="AM215" s="53" t="s">
        <v>941</v>
      </c>
      <c r="AN215" s="39"/>
      <c r="AO215" s="39"/>
      <c r="AP215" s="40"/>
    </row>
    <row r="216" spans="1:42" s="41" customFormat="1" ht="18.75" customHeight="1" x14ac:dyDescent="0.25">
      <c r="A216" s="47">
        <v>46200</v>
      </c>
      <c r="B216" s="43">
        <f t="shared" si="12"/>
        <v>46200</v>
      </c>
      <c r="C216" s="44" t="s">
        <v>814</v>
      </c>
      <c r="D216" s="48" t="s">
        <v>141</v>
      </c>
      <c r="E216" s="48">
        <v>3870</v>
      </c>
      <c r="F216" s="48">
        <v>1</v>
      </c>
      <c r="G216" s="48">
        <v>23642861</v>
      </c>
      <c r="H216" s="48" t="s">
        <v>295</v>
      </c>
      <c r="I216" s="45"/>
      <c r="J216" s="46">
        <f t="shared" si="13"/>
        <v>42.372881355932208</v>
      </c>
      <c r="K216" s="46"/>
      <c r="L216" s="46"/>
      <c r="M216" s="46"/>
      <c r="N216" s="46">
        <f t="shared" si="14"/>
        <v>7.6271186440677967</v>
      </c>
      <c r="O216" s="46"/>
      <c r="P216" s="49">
        <v>50</v>
      </c>
      <c r="Q216" s="50"/>
      <c r="R216" s="43"/>
      <c r="S216" s="45"/>
      <c r="T216" s="44"/>
      <c r="U216" s="44"/>
      <c r="V216" s="51" t="s">
        <v>86</v>
      </c>
      <c r="W216" s="46"/>
      <c r="X216" s="47">
        <v>46200</v>
      </c>
      <c r="Y216" s="44" t="s">
        <v>87</v>
      </c>
      <c r="Z216" s="44"/>
      <c r="AA216" s="44"/>
      <c r="AB216" s="44" t="s">
        <v>813</v>
      </c>
      <c r="AC216" s="52"/>
      <c r="AD216" s="52">
        <v>1212</v>
      </c>
      <c r="AE216" s="54"/>
      <c r="AF216" s="55"/>
      <c r="AG216" s="55"/>
      <c r="AH216" s="56"/>
      <c r="AI216" s="56"/>
      <c r="AJ216" s="57"/>
      <c r="AK216" s="56"/>
      <c r="AL216" s="46">
        <v>18</v>
      </c>
      <c r="AM216" s="53" t="s">
        <v>941</v>
      </c>
      <c r="AN216" s="39"/>
      <c r="AO216" s="39"/>
      <c r="AP216" s="40"/>
    </row>
    <row r="217" spans="1:42" s="41" customFormat="1" ht="18.75" customHeight="1" x14ac:dyDescent="0.25">
      <c r="A217" s="47">
        <v>46200</v>
      </c>
      <c r="B217" s="43">
        <f t="shared" si="12"/>
        <v>46200</v>
      </c>
      <c r="C217" s="44" t="s">
        <v>814</v>
      </c>
      <c r="D217" s="48" t="s">
        <v>159</v>
      </c>
      <c r="E217" s="48">
        <v>40</v>
      </c>
      <c r="F217" s="48">
        <v>6</v>
      </c>
      <c r="G217" s="48">
        <v>20603433867</v>
      </c>
      <c r="H217" s="48" t="s">
        <v>543</v>
      </c>
      <c r="I217" s="45"/>
      <c r="J217" s="46">
        <f t="shared" si="13"/>
        <v>355.93220338983053</v>
      </c>
      <c r="K217" s="46"/>
      <c r="L217" s="46"/>
      <c r="M217" s="46"/>
      <c r="N217" s="46">
        <f t="shared" si="14"/>
        <v>64.067796610169495</v>
      </c>
      <c r="O217" s="46"/>
      <c r="P217" s="49">
        <v>420</v>
      </c>
      <c r="Q217" s="50"/>
      <c r="R217" s="43"/>
      <c r="S217" s="45"/>
      <c r="T217" s="44"/>
      <c r="U217" s="44"/>
      <c r="V217" s="51" t="s">
        <v>86</v>
      </c>
      <c r="W217" s="46"/>
      <c r="X217" s="47">
        <v>46200</v>
      </c>
      <c r="Y217" s="44" t="s">
        <v>87</v>
      </c>
      <c r="Z217" s="44"/>
      <c r="AA217" s="44"/>
      <c r="AB217" s="44" t="s">
        <v>813</v>
      </c>
      <c r="AC217" s="52"/>
      <c r="AD217" s="52">
        <v>1212</v>
      </c>
      <c r="AE217" s="54"/>
      <c r="AF217" s="55"/>
      <c r="AG217" s="55"/>
      <c r="AH217" s="56"/>
      <c r="AI217" s="56"/>
      <c r="AJ217" s="57"/>
      <c r="AK217" s="56"/>
      <c r="AL217" s="46">
        <v>18</v>
      </c>
      <c r="AM217" s="53" t="s">
        <v>941</v>
      </c>
      <c r="AN217" s="39"/>
      <c r="AO217" s="39"/>
      <c r="AP217" s="40"/>
    </row>
    <row r="218" spans="1:42" s="41" customFormat="1" ht="18.75" customHeight="1" x14ac:dyDescent="0.25">
      <c r="A218" s="47">
        <v>46200</v>
      </c>
      <c r="B218" s="43">
        <f t="shared" si="12"/>
        <v>46200</v>
      </c>
      <c r="C218" s="44" t="s">
        <v>814</v>
      </c>
      <c r="D218" s="48" t="s">
        <v>141</v>
      </c>
      <c r="E218" s="48">
        <v>3875</v>
      </c>
      <c r="F218" s="48">
        <v>1</v>
      </c>
      <c r="G218" s="48">
        <v>20995587</v>
      </c>
      <c r="H218" s="48" t="s">
        <v>545</v>
      </c>
      <c r="I218" s="45"/>
      <c r="J218" s="46">
        <f t="shared" si="13"/>
        <v>43.220338983050851</v>
      </c>
      <c r="K218" s="46"/>
      <c r="L218" s="46"/>
      <c r="M218" s="46"/>
      <c r="N218" s="46">
        <f t="shared" si="14"/>
        <v>7.7796610169491531</v>
      </c>
      <c r="O218" s="46"/>
      <c r="P218" s="49">
        <v>51</v>
      </c>
      <c r="Q218" s="50"/>
      <c r="R218" s="43"/>
      <c r="S218" s="45"/>
      <c r="T218" s="44"/>
      <c r="U218" s="44"/>
      <c r="V218" s="51" t="s">
        <v>86</v>
      </c>
      <c r="W218" s="46"/>
      <c r="X218" s="47">
        <v>46200</v>
      </c>
      <c r="Y218" s="44" t="s">
        <v>87</v>
      </c>
      <c r="Z218" s="44"/>
      <c r="AA218" s="44"/>
      <c r="AB218" s="44" t="s">
        <v>813</v>
      </c>
      <c r="AC218" s="52"/>
      <c r="AD218" s="52">
        <v>1212</v>
      </c>
      <c r="AE218" s="54"/>
      <c r="AF218" s="55"/>
      <c r="AG218" s="55"/>
      <c r="AH218" s="56"/>
      <c r="AI218" s="56"/>
      <c r="AJ218" s="57"/>
      <c r="AK218" s="56"/>
      <c r="AL218" s="46">
        <v>18</v>
      </c>
      <c r="AM218" s="53" t="s">
        <v>941</v>
      </c>
      <c r="AN218" s="39"/>
      <c r="AO218" s="39"/>
      <c r="AP218" s="40"/>
    </row>
    <row r="219" spans="1:42" s="41" customFormat="1" ht="18.75" customHeight="1" x14ac:dyDescent="0.25">
      <c r="A219" s="47">
        <v>46200</v>
      </c>
      <c r="B219" s="43">
        <f t="shared" si="12"/>
        <v>46200</v>
      </c>
      <c r="C219" s="44" t="s">
        <v>814</v>
      </c>
      <c r="D219" s="48" t="s">
        <v>141</v>
      </c>
      <c r="E219" s="48">
        <v>3876</v>
      </c>
      <c r="F219" s="48">
        <v>1</v>
      </c>
      <c r="G219" s="48">
        <v>75769994</v>
      </c>
      <c r="H219" s="48" t="s">
        <v>547</v>
      </c>
      <c r="I219" s="45"/>
      <c r="J219" s="46">
        <f t="shared" si="13"/>
        <v>81.355932203389841</v>
      </c>
      <c r="K219" s="46"/>
      <c r="L219" s="46"/>
      <c r="M219" s="46"/>
      <c r="N219" s="46">
        <f t="shared" si="14"/>
        <v>14.644067796610171</v>
      </c>
      <c r="O219" s="46"/>
      <c r="P219" s="49">
        <v>96</v>
      </c>
      <c r="Q219" s="50"/>
      <c r="R219" s="43"/>
      <c r="S219" s="45"/>
      <c r="T219" s="44"/>
      <c r="U219" s="44"/>
      <c r="V219" s="51" t="s">
        <v>86</v>
      </c>
      <c r="W219" s="46"/>
      <c r="X219" s="47">
        <v>46200</v>
      </c>
      <c r="Y219" s="44" t="s">
        <v>87</v>
      </c>
      <c r="Z219" s="44"/>
      <c r="AA219" s="44"/>
      <c r="AB219" s="44" t="s">
        <v>813</v>
      </c>
      <c r="AC219" s="52"/>
      <c r="AD219" s="52">
        <v>1212</v>
      </c>
      <c r="AE219" s="54"/>
      <c r="AF219" s="55"/>
      <c r="AG219" s="55"/>
      <c r="AH219" s="56"/>
      <c r="AI219" s="56"/>
      <c r="AJ219" s="57"/>
      <c r="AK219" s="56"/>
      <c r="AL219" s="46">
        <v>18</v>
      </c>
      <c r="AM219" s="53" t="s">
        <v>941</v>
      </c>
      <c r="AN219" s="39"/>
      <c r="AO219" s="39"/>
      <c r="AP219" s="40"/>
    </row>
    <row r="220" spans="1:42" s="41" customFormat="1" ht="18.75" customHeight="1" x14ac:dyDescent="0.25">
      <c r="A220" s="47">
        <v>46200</v>
      </c>
      <c r="B220" s="43">
        <f t="shared" si="12"/>
        <v>46200</v>
      </c>
      <c r="C220" s="44" t="s">
        <v>814</v>
      </c>
      <c r="D220" s="48" t="s">
        <v>141</v>
      </c>
      <c r="E220" s="48">
        <v>3877</v>
      </c>
      <c r="F220" s="48">
        <v>1</v>
      </c>
      <c r="G220" s="48">
        <v>40759200</v>
      </c>
      <c r="H220" s="48" t="s">
        <v>549</v>
      </c>
      <c r="I220" s="45"/>
      <c r="J220" s="46">
        <f t="shared" si="13"/>
        <v>116.94915254237289</v>
      </c>
      <c r="K220" s="46"/>
      <c r="L220" s="46"/>
      <c r="M220" s="46"/>
      <c r="N220" s="46">
        <f t="shared" si="14"/>
        <v>21.050847457627118</v>
      </c>
      <c r="O220" s="46"/>
      <c r="P220" s="49">
        <v>138</v>
      </c>
      <c r="Q220" s="50"/>
      <c r="R220" s="43"/>
      <c r="S220" s="45"/>
      <c r="T220" s="44"/>
      <c r="U220" s="44"/>
      <c r="V220" s="51" t="s">
        <v>86</v>
      </c>
      <c r="W220" s="46"/>
      <c r="X220" s="47">
        <v>46200</v>
      </c>
      <c r="Y220" s="44" t="s">
        <v>87</v>
      </c>
      <c r="Z220" s="44"/>
      <c r="AA220" s="44"/>
      <c r="AB220" s="44" t="s">
        <v>813</v>
      </c>
      <c r="AC220" s="52"/>
      <c r="AD220" s="52">
        <v>1212</v>
      </c>
      <c r="AE220" s="54"/>
      <c r="AF220" s="55"/>
      <c r="AG220" s="55"/>
      <c r="AH220" s="56"/>
      <c r="AI220" s="56"/>
      <c r="AJ220" s="57"/>
      <c r="AK220" s="56"/>
      <c r="AL220" s="46">
        <v>18</v>
      </c>
      <c r="AM220" s="53" t="s">
        <v>941</v>
      </c>
      <c r="AN220" s="39"/>
      <c r="AO220" s="39"/>
      <c r="AP220" s="40"/>
    </row>
    <row r="221" spans="1:42" s="41" customFormat="1" ht="18.75" customHeight="1" x14ac:dyDescent="0.25">
      <c r="A221" s="47">
        <v>46200</v>
      </c>
      <c r="B221" s="43">
        <f t="shared" si="12"/>
        <v>46200</v>
      </c>
      <c r="C221" s="44" t="s">
        <v>814</v>
      </c>
      <c r="D221" s="48" t="s">
        <v>141</v>
      </c>
      <c r="E221" s="48">
        <v>3878</v>
      </c>
      <c r="F221" s="48">
        <v>1</v>
      </c>
      <c r="G221" s="48">
        <v>23217674</v>
      </c>
      <c r="H221" s="48" t="s">
        <v>551</v>
      </c>
      <c r="I221" s="45"/>
      <c r="J221" s="46">
        <f t="shared" si="13"/>
        <v>42.372881355932208</v>
      </c>
      <c r="K221" s="46"/>
      <c r="L221" s="46"/>
      <c r="M221" s="46"/>
      <c r="N221" s="46">
        <f t="shared" si="14"/>
        <v>7.6271186440677967</v>
      </c>
      <c r="O221" s="46"/>
      <c r="P221" s="49">
        <v>50</v>
      </c>
      <c r="Q221" s="50"/>
      <c r="R221" s="43"/>
      <c r="S221" s="45"/>
      <c r="T221" s="44"/>
      <c r="U221" s="44"/>
      <c r="V221" s="51" t="s">
        <v>86</v>
      </c>
      <c r="W221" s="46"/>
      <c r="X221" s="47">
        <v>46200</v>
      </c>
      <c r="Y221" s="44" t="s">
        <v>87</v>
      </c>
      <c r="Z221" s="44"/>
      <c r="AA221" s="44"/>
      <c r="AB221" s="44" t="s">
        <v>813</v>
      </c>
      <c r="AC221" s="52"/>
      <c r="AD221" s="52">
        <v>1212</v>
      </c>
      <c r="AE221" s="54"/>
      <c r="AF221" s="55"/>
      <c r="AG221" s="55"/>
      <c r="AH221" s="56"/>
      <c r="AI221" s="56"/>
      <c r="AJ221" s="57"/>
      <c r="AK221" s="56"/>
      <c r="AL221" s="46">
        <v>18</v>
      </c>
      <c r="AM221" s="53" t="s">
        <v>941</v>
      </c>
      <c r="AN221" s="39"/>
      <c r="AO221" s="39"/>
      <c r="AP221" s="40"/>
    </row>
    <row r="222" spans="1:42" s="41" customFormat="1" ht="18.75" customHeight="1" x14ac:dyDescent="0.25">
      <c r="A222" s="47">
        <v>46200</v>
      </c>
      <c r="B222" s="43">
        <f t="shared" si="12"/>
        <v>46200</v>
      </c>
      <c r="C222" s="44" t="s">
        <v>814</v>
      </c>
      <c r="D222" s="48" t="s">
        <v>141</v>
      </c>
      <c r="E222" s="48">
        <v>3879</v>
      </c>
      <c r="F222" s="48">
        <v>1</v>
      </c>
      <c r="G222" s="48">
        <v>43225930</v>
      </c>
      <c r="H222" s="48" t="s">
        <v>553</v>
      </c>
      <c r="I222" s="45"/>
      <c r="J222" s="46">
        <f t="shared" si="13"/>
        <v>84.745762711864415</v>
      </c>
      <c r="K222" s="46"/>
      <c r="L222" s="46"/>
      <c r="M222" s="46"/>
      <c r="N222" s="46">
        <f t="shared" si="14"/>
        <v>15.254237288135593</v>
      </c>
      <c r="O222" s="46"/>
      <c r="P222" s="49">
        <v>100</v>
      </c>
      <c r="Q222" s="50"/>
      <c r="R222" s="43"/>
      <c r="S222" s="45"/>
      <c r="T222" s="44"/>
      <c r="U222" s="44"/>
      <c r="V222" s="51" t="s">
        <v>86</v>
      </c>
      <c r="W222" s="46"/>
      <c r="X222" s="47">
        <v>46200</v>
      </c>
      <c r="Y222" s="44" t="s">
        <v>87</v>
      </c>
      <c r="Z222" s="44"/>
      <c r="AA222" s="44"/>
      <c r="AB222" s="44" t="s">
        <v>813</v>
      </c>
      <c r="AC222" s="52"/>
      <c r="AD222" s="52">
        <v>1212</v>
      </c>
      <c r="AE222" s="54"/>
      <c r="AF222" s="55"/>
      <c r="AG222" s="55"/>
      <c r="AH222" s="56"/>
      <c r="AI222" s="56"/>
      <c r="AJ222" s="57"/>
      <c r="AK222" s="56"/>
      <c r="AL222" s="46">
        <v>18</v>
      </c>
      <c r="AM222" s="53" t="s">
        <v>941</v>
      </c>
      <c r="AN222" s="39"/>
      <c r="AO222" s="39"/>
      <c r="AP222" s="40"/>
    </row>
    <row r="223" spans="1:42" s="41" customFormat="1" ht="18.75" customHeight="1" x14ac:dyDescent="0.25">
      <c r="A223" s="47">
        <v>46200</v>
      </c>
      <c r="B223" s="43">
        <f t="shared" si="12"/>
        <v>46200</v>
      </c>
      <c r="C223" s="44" t="s">
        <v>814</v>
      </c>
      <c r="D223" s="48" t="s">
        <v>141</v>
      </c>
      <c r="E223" s="48">
        <v>3880</v>
      </c>
      <c r="F223" s="48">
        <v>1</v>
      </c>
      <c r="G223" s="48">
        <v>71546205</v>
      </c>
      <c r="H223" s="48" t="s">
        <v>555</v>
      </c>
      <c r="I223" s="45"/>
      <c r="J223" s="46">
        <f t="shared" si="13"/>
        <v>186.4406779661017</v>
      </c>
      <c r="K223" s="46"/>
      <c r="L223" s="46"/>
      <c r="M223" s="46"/>
      <c r="N223" s="46">
        <f t="shared" si="14"/>
        <v>33.559322033898304</v>
      </c>
      <c r="O223" s="46"/>
      <c r="P223" s="49">
        <v>220</v>
      </c>
      <c r="Q223" s="50"/>
      <c r="R223" s="43"/>
      <c r="S223" s="45"/>
      <c r="T223" s="44"/>
      <c r="U223" s="44"/>
      <c r="V223" s="51" t="s">
        <v>86</v>
      </c>
      <c r="W223" s="46"/>
      <c r="X223" s="47">
        <v>46200</v>
      </c>
      <c r="Y223" s="44" t="s">
        <v>87</v>
      </c>
      <c r="Z223" s="44"/>
      <c r="AA223" s="44"/>
      <c r="AB223" s="44" t="s">
        <v>813</v>
      </c>
      <c r="AC223" s="52"/>
      <c r="AD223" s="52">
        <v>1212</v>
      </c>
      <c r="AE223" s="54"/>
      <c r="AF223" s="55"/>
      <c r="AG223" s="55"/>
      <c r="AH223" s="56"/>
      <c r="AI223" s="56"/>
      <c r="AJ223" s="57"/>
      <c r="AK223" s="56"/>
      <c r="AL223" s="46">
        <v>18</v>
      </c>
      <c r="AM223" s="53" t="s">
        <v>941</v>
      </c>
      <c r="AN223" s="39"/>
      <c r="AO223" s="39"/>
      <c r="AP223" s="40"/>
    </row>
    <row r="224" spans="1:42" s="41" customFormat="1" ht="18.75" customHeight="1" x14ac:dyDescent="0.25">
      <c r="A224" s="47">
        <v>46200</v>
      </c>
      <c r="B224" s="43">
        <f t="shared" si="12"/>
        <v>46200</v>
      </c>
      <c r="C224" s="44" t="s">
        <v>814</v>
      </c>
      <c r="D224" s="48" t="s">
        <v>141</v>
      </c>
      <c r="E224" s="48">
        <v>3881</v>
      </c>
      <c r="F224" s="48">
        <v>1</v>
      </c>
      <c r="G224" s="48">
        <v>23257235</v>
      </c>
      <c r="H224" s="48" t="s">
        <v>557</v>
      </c>
      <c r="I224" s="45"/>
      <c r="J224" s="46">
        <f t="shared" si="13"/>
        <v>42.372881355932208</v>
      </c>
      <c r="K224" s="46"/>
      <c r="L224" s="46"/>
      <c r="M224" s="46"/>
      <c r="N224" s="46">
        <f t="shared" si="14"/>
        <v>7.6271186440677967</v>
      </c>
      <c r="O224" s="46"/>
      <c r="P224" s="49">
        <v>50</v>
      </c>
      <c r="Q224" s="50"/>
      <c r="R224" s="43"/>
      <c r="S224" s="45"/>
      <c r="T224" s="44"/>
      <c r="U224" s="44"/>
      <c r="V224" s="51" t="s">
        <v>86</v>
      </c>
      <c r="W224" s="46"/>
      <c r="X224" s="47">
        <v>46200</v>
      </c>
      <c r="Y224" s="44" t="s">
        <v>87</v>
      </c>
      <c r="Z224" s="44"/>
      <c r="AA224" s="44"/>
      <c r="AB224" s="44" t="s">
        <v>813</v>
      </c>
      <c r="AC224" s="52"/>
      <c r="AD224" s="52">
        <v>1212</v>
      </c>
      <c r="AE224" s="54"/>
      <c r="AF224" s="55"/>
      <c r="AG224" s="55"/>
      <c r="AH224" s="56"/>
      <c r="AI224" s="56"/>
      <c r="AJ224" s="57"/>
      <c r="AK224" s="56"/>
      <c r="AL224" s="46">
        <v>18</v>
      </c>
      <c r="AM224" s="53" t="s">
        <v>941</v>
      </c>
      <c r="AN224" s="39"/>
      <c r="AO224" s="39"/>
      <c r="AP224" s="40"/>
    </row>
    <row r="225" spans="1:42" s="41" customFormat="1" ht="18.75" customHeight="1" x14ac:dyDescent="0.25">
      <c r="A225" s="47">
        <v>46200</v>
      </c>
      <c r="B225" s="43">
        <f t="shared" si="12"/>
        <v>46200</v>
      </c>
      <c r="C225" s="44" t="s">
        <v>814</v>
      </c>
      <c r="D225" s="48" t="s">
        <v>141</v>
      </c>
      <c r="E225" s="48">
        <v>3882</v>
      </c>
      <c r="F225" s="48">
        <v>1</v>
      </c>
      <c r="G225" s="48">
        <v>23255298</v>
      </c>
      <c r="H225" s="48" t="s">
        <v>559</v>
      </c>
      <c r="I225" s="45"/>
      <c r="J225" s="46">
        <f t="shared" si="13"/>
        <v>81.355932203389841</v>
      </c>
      <c r="K225" s="46"/>
      <c r="L225" s="46"/>
      <c r="M225" s="46"/>
      <c r="N225" s="46">
        <f t="shared" si="14"/>
        <v>14.644067796610171</v>
      </c>
      <c r="O225" s="46"/>
      <c r="P225" s="49">
        <v>96</v>
      </c>
      <c r="Q225" s="50"/>
      <c r="R225" s="43"/>
      <c r="S225" s="45"/>
      <c r="T225" s="44"/>
      <c r="U225" s="44"/>
      <c r="V225" s="51" t="s">
        <v>86</v>
      </c>
      <c r="W225" s="46"/>
      <c r="X225" s="47">
        <v>46200</v>
      </c>
      <c r="Y225" s="44" t="s">
        <v>87</v>
      </c>
      <c r="Z225" s="44"/>
      <c r="AA225" s="44"/>
      <c r="AB225" s="44" t="s">
        <v>813</v>
      </c>
      <c r="AC225" s="52"/>
      <c r="AD225" s="52">
        <v>1212</v>
      </c>
      <c r="AE225" s="54"/>
      <c r="AF225" s="55"/>
      <c r="AG225" s="55"/>
      <c r="AH225" s="56"/>
      <c r="AI225" s="56"/>
      <c r="AJ225" s="57"/>
      <c r="AK225" s="56"/>
      <c r="AL225" s="46">
        <v>18</v>
      </c>
      <c r="AM225" s="53" t="s">
        <v>941</v>
      </c>
      <c r="AN225" s="39"/>
      <c r="AO225" s="39"/>
      <c r="AP225" s="40"/>
    </row>
    <row r="226" spans="1:42" s="41" customFormat="1" ht="18.75" customHeight="1" x14ac:dyDescent="0.25">
      <c r="A226" s="47">
        <v>46200</v>
      </c>
      <c r="B226" s="43">
        <f t="shared" si="12"/>
        <v>46200</v>
      </c>
      <c r="C226" s="44" t="s">
        <v>814</v>
      </c>
      <c r="D226" s="48" t="s">
        <v>141</v>
      </c>
      <c r="E226" s="48">
        <v>3883</v>
      </c>
      <c r="F226" s="48">
        <v>1</v>
      </c>
      <c r="G226" s="48">
        <v>44206524</v>
      </c>
      <c r="H226" s="48" t="s">
        <v>561</v>
      </c>
      <c r="I226" s="45"/>
      <c r="J226" s="46">
        <f t="shared" si="13"/>
        <v>119.49152542372882</v>
      </c>
      <c r="K226" s="46"/>
      <c r="L226" s="46"/>
      <c r="M226" s="46"/>
      <c r="N226" s="46">
        <f t="shared" si="14"/>
        <v>21.508474576271187</v>
      </c>
      <c r="O226" s="46"/>
      <c r="P226" s="49">
        <v>141</v>
      </c>
      <c r="Q226" s="50"/>
      <c r="R226" s="43"/>
      <c r="S226" s="45"/>
      <c r="T226" s="44"/>
      <c r="U226" s="44"/>
      <c r="V226" s="51" t="s">
        <v>86</v>
      </c>
      <c r="W226" s="46"/>
      <c r="X226" s="47">
        <v>46200</v>
      </c>
      <c r="Y226" s="44" t="s">
        <v>87</v>
      </c>
      <c r="Z226" s="44"/>
      <c r="AA226" s="44"/>
      <c r="AB226" s="44" t="s">
        <v>813</v>
      </c>
      <c r="AC226" s="52"/>
      <c r="AD226" s="52">
        <v>1212</v>
      </c>
      <c r="AE226" s="54"/>
      <c r="AF226" s="55"/>
      <c r="AG226" s="55"/>
      <c r="AH226" s="56"/>
      <c r="AI226" s="56"/>
      <c r="AJ226" s="57"/>
      <c r="AK226" s="56"/>
      <c r="AL226" s="46">
        <v>18</v>
      </c>
      <c r="AM226" s="53" t="s">
        <v>941</v>
      </c>
      <c r="AN226" s="39"/>
      <c r="AO226" s="39"/>
      <c r="AP226" s="40"/>
    </row>
    <row r="227" spans="1:42" s="41" customFormat="1" ht="18.75" customHeight="1" x14ac:dyDescent="0.25">
      <c r="A227" s="47">
        <v>46200</v>
      </c>
      <c r="B227" s="43">
        <f t="shared" si="12"/>
        <v>46200</v>
      </c>
      <c r="C227" s="44" t="s">
        <v>814</v>
      </c>
      <c r="D227" s="48" t="s">
        <v>141</v>
      </c>
      <c r="E227" s="48">
        <v>3884</v>
      </c>
      <c r="F227" s="48">
        <v>1</v>
      </c>
      <c r="G227" s="48">
        <v>44206524</v>
      </c>
      <c r="H227" s="48" t="s">
        <v>561</v>
      </c>
      <c r="I227" s="45"/>
      <c r="J227" s="46">
        <f t="shared" si="13"/>
        <v>42.372881355932208</v>
      </c>
      <c r="K227" s="46"/>
      <c r="L227" s="46"/>
      <c r="M227" s="46"/>
      <c r="N227" s="46">
        <f t="shared" si="14"/>
        <v>7.6271186440677967</v>
      </c>
      <c r="O227" s="46"/>
      <c r="P227" s="49">
        <v>50</v>
      </c>
      <c r="Q227" s="50"/>
      <c r="R227" s="43"/>
      <c r="S227" s="45"/>
      <c r="T227" s="44"/>
      <c r="U227" s="44"/>
      <c r="V227" s="51" t="s">
        <v>86</v>
      </c>
      <c r="W227" s="46"/>
      <c r="X227" s="47">
        <v>46200</v>
      </c>
      <c r="Y227" s="44" t="s">
        <v>87</v>
      </c>
      <c r="Z227" s="44"/>
      <c r="AA227" s="44"/>
      <c r="AB227" s="44" t="s">
        <v>813</v>
      </c>
      <c r="AC227" s="52"/>
      <c r="AD227" s="52">
        <v>1212</v>
      </c>
      <c r="AE227" s="54"/>
      <c r="AF227" s="55"/>
      <c r="AG227" s="55"/>
      <c r="AH227" s="56"/>
      <c r="AI227" s="56"/>
      <c r="AJ227" s="57"/>
      <c r="AK227" s="56"/>
      <c r="AL227" s="46">
        <v>18</v>
      </c>
      <c r="AM227" s="53" t="s">
        <v>941</v>
      </c>
      <c r="AN227" s="39"/>
      <c r="AO227" s="39"/>
      <c r="AP227" s="40"/>
    </row>
    <row r="228" spans="1:42" s="41" customFormat="1" ht="18.75" customHeight="1" x14ac:dyDescent="0.25">
      <c r="A228" s="47">
        <v>46200</v>
      </c>
      <c r="B228" s="43">
        <f t="shared" si="12"/>
        <v>46200</v>
      </c>
      <c r="C228" s="44" t="s">
        <v>814</v>
      </c>
      <c r="D228" s="48" t="s">
        <v>141</v>
      </c>
      <c r="E228" s="48">
        <v>3885</v>
      </c>
      <c r="F228" s="48">
        <v>1</v>
      </c>
      <c r="G228" s="48">
        <v>23217741</v>
      </c>
      <c r="H228" s="48" t="s">
        <v>564</v>
      </c>
      <c r="I228" s="45"/>
      <c r="J228" s="46">
        <f t="shared" si="13"/>
        <v>155.93220338983051</v>
      </c>
      <c r="K228" s="46"/>
      <c r="L228" s="46"/>
      <c r="M228" s="46"/>
      <c r="N228" s="46">
        <f t="shared" si="14"/>
        <v>28.067796610169491</v>
      </c>
      <c r="O228" s="46"/>
      <c r="P228" s="49">
        <v>184</v>
      </c>
      <c r="Q228" s="50"/>
      <c r="R228" s="43"/>
      <c r="S228" s="45"/>
      <c r="T228" s="44"/>
      <c r="U228" s="44"/>
      <c r="V228" s="51" t="s">
        <v>86</v>
      </c>
      <c r="W228" s="46"/>
      <c r="X228" s="47">
        <v>46200</v>
      </c>
      <c r="Y228" s="44" t="s">
        <v>87</v>
      </c>
      <c r="Z228" s="44"/>
      <c r="AA228" s="44"/>
      <c r="AB228" s="44" t="s">
        <v>813</v>
      </c>
      <c r="AC228" s="52"/>
      <c r="AD228" s="52">
        <v>1212</v>
      </c>
      <c r="AE228" s="54"/>
      <c r="AF228" s="55"/>
      <c r="AG228" s="55"/>
      <c r="AH228" s="56"/>
      <c r="AI228" s="56"/>
      <c r="AJ228" s="57"/>
      <c r="AK228" s="56"/>
      <c r="AL228" s="46">
        <v>18</v>
      </c>
      <c r="AM228" s="53" t="s">
        <v>941</v>
      </c>
      <c r="AN228" s="39"/>
      <c r="AO228" s="39"/>
      <c r="AP228" s="40"/>
    </row>
    <row r="229" spans="1:42" s="41" customFormat="1" ht="18.75" customHeight="1" x14ac:dyDescent="0.25">
      <c r="A229" s="47">
        <v>46200</v>
      </c>
      <c r="B229" s="43">
        <f t="shared" si="12"/>
        <v>46200</v>
      </c>
      <c r="C229" s="44" t="s">
        <v>814</v>
      </c>
      <c r="D229" s="48" t="s">
        <v>141</v>
      </c>
      <c r="E229" s="48">
        <v>3886</v>
      </c>
      <c r="F229" s="48">
        <v>1</v>
      </c>
      <c r="G229" s="48">
        <v>23257027</v>
      </c>
      <c r="H229" s="48" t="s">
        <v>566</v>
      </c>
      <c r="I229" s="45"/>
      <c r="J229" s="46">
        <f t="shared" si="13"/>
        <v>79.66101694915254</v>
      </c>
      <c r="K229" s="46"/>
      <c r="L229" s="46"/>
      <c r="M229" s="46"/>
      <c r="N229" s="46">
        <f t="shared" si="14"/>
        <v>14.338983050847457</v>
      </c>
      <c r="O229" s="46"/>
      <c r="P229" s="49">
        <v>94</v>
      </c>
      <c r="Q229" s="50"/>
      <c r="R229" s="43"/>
      <c r="S229" s="45"/>
      <c r="T229" s="44"/>
      <c r="U229" s="44"/>
      <c r="V229" s="51" t="s">
        <v>86</v>
      </c>
      <c r="W229" s="46"/>
      <c r="X229" s="47">
        <v>46200</v>
      </c>
      <c r="Y229" s="44" t="s">
        <v>87</v>
      </c>
      <c r="Z229" s="44"/>
      <c r="AA229" s="44"/>
      <c r="AB229" s="44" t="s">
        <v>813</v>
      </c>
      <c r="AC229" s="52"/>
      <c r="AD229" s="52">
        <v>1212</v>
      </c>
      <c r="AE229" s="54"/>
      <c r="AF229" s="55"/>
      <c r="AG229" s="55"/>
      <c r="AH229" s="56"/>
      <c r="AI229" s="56"/>
      <c r="AJ229" s="57"/>
      <c r="AK229" s="56"/>
      <c r="AL229" s="46">
        <v>18</v>
      </c>
      <c r="AM229" s="53" t="s">
        <v>941</v>
      </c>
      <c r="AN229" s="39"/>
      <c r="AO229" s="39"/>
      <c r="AP229" s="40"/>
    </row>
    <row r="230" spans="1:42" s="41" customFormat="1" ht="18.75" customHeight="1" x14ac:dyDescent="0.25">
      <c r="A230" s="47">
        <v>46201</v>
      </c>
      <c r="B230" s="43">
        <f t="shared" si="12"/>
        <v>46201</v>
      </c>
      <c r="C230" s="44" t="s">
        <v>814</v>
      </c>
      <c r="D230" s="48" t="s">
        <v>141</v>
      </c>
      <c r="E230" s="48">
        <v>3838</v>
      </c>
      <c r="F230" s="48">
        <v>1</v>
      </c>
      <c r="G230" s="48">
        <v>19950833</v>
      </c>
      <c r="H230" s="48" t="s">
        <v>568</v>
      </c>
      <c r="I230" s="45"/>
      <c r="J230" s="46">
        <f t="shared" si="13"/>
        <v>41.525423728813564</v>
      </c>
      <c r="K230" s="46"/>
      <c r="L230" s="46"/>
      <c r="M230" s="46"/>
      <c r="N230" s="46">
        <f t="shared" si="14"/>
        <v>7.4745762711864412</v>
      </c>
      <c r="O230" s="46"/>
      <c r="P230" s="49">
        <v>49</v>
      </c>
      <c r="Q230" s="50"/>
      <c r="R230" s="43"/>
      <c r="S230" s="45"/>
      <c r="T230" s="44"/>
      <c r="U230" s="44"/>
      <c r="V230" s="51" t="s">
        <v>86</v>
      </c>
      <c r="W230" s="46"/>
      <c r="X230" s="47">
        <v>46201</v>
      </c>
      <c r="Y230" s="44" t="s">
        <v>87</v>
      </c>
      <c r="Z230" s="44"/>
      <c r="AA230" s="44"/>
      <c r="AB230" s="44" t="s">
        <v>813</v>
      </c>
      <c r="AC230" s="52"/>
      <c r="AD230" s="52">
        <v>1212</v>
      </c>
      <c r="AE230" s="54"/>
      <c r="AF230" s="55"/>
      <c r="AG230" s="55"/>
      <c r="AH230" s="56"/>
      <c r="AI230" s="56"/>
      <c r="AJ230" s="57"/>
      <c r="AK230" s="56"/>
      <c r="AL230" s="46">
        <v>18</v>
      </c>
      <c r="AM230" s="53" t="s">
        <v>941</v>
      </c>
      <c r="AN230" s="39"/>
      <c r="AO230" s="39"/>
      <c r="AP230" s="40"/>
    </row>
    <row r="231" spans="1:42" s="130" customFormat="1" ht="18.75" customHeight="1" x14ac:dyDescent="0.25">
      <c r="A231" s="114">
        <v>46201</v>
      </c>
      <c r="B231" s="115">
        <f t="shared" si="12"/>
        <v>46201</v>
      </c>
      <c r="C231" s="116" t="s">
        <v>814</v>
      </c>
      <c r="D231" s="117" t="s">
        <v>159</v>
      </c>
      <c r="E231" s="117">
        <v>37</v>
      </c>
      <c r="F231" s="117">
        <v>6</v>
      </c>
      <c r="G231" s="117">
        <v>10200169170</v>
      </c>
      <c r="H231" s="117" t="s">
        <v>570</v>
      </c>
      <c r="I231" s="118"/>
      <c r="J231" s="119">
        <f t="shared" si="13"/>
        <v>1067.7966101694915</v>
      </c>
      <c r="K231" s="119"/>
      <c r="L231" s="119"/>
      <c r="M231" s="119"/>
      <c r="N231" s="119">
        <f t="shared" si="14"/>
        <v>192.20338983050846</v>
      </c>
      <c r="O231" s="119"/>
      <c r="P231" s="120">
        <v>1260</v>
      </c>
      <c r="Q231" s="121"/>
      <c r="R231" s="115"/>
      <c r="S231" s="118"/>
      <c r="T231" s="116"/>
      <c r="U231" s="116"/>
      <c r="V231" s="122" t="s">
        <v>86</v>
      </c>
      <c r="W231" s="119"/>
      <c r="X231" s="114">
        <v>46201</v>
      </c>
      <c r="Y231" s="116" t="s">
        <v>87</v>
      </c>
      <c r="Z231" s="116"/>
      <c r="AA231" s="116"/>
      <c r="AB231" s="116" t="s">
        <v>813</v>
      </c>
      <c r="AC231" s="123"/>
      <c r="AD231" s="123">
        <v>1212</v>
      </c>
      <c r="AE231" s="124"/>
      <c r="AF231" s="125"/>
      <c r="AG231" s="125"/>
      <c r="AH231" s="126"/>
      <c r="AI231" s="126"/>
      <c r="AJ231" s="127"/>
      <c r="AK231" s="126"/>
      <c r="AL231" s="119">
        <v>18</v>
      </c>
      <c r="AM231" s="116" t="s">
        <v>941</v>
      </c>
      <c r="AN231" s="128"/>
      <c r="AO231" s="128"/>
      <c r="AP231" s="129"/>
    </row>
    <row r="232" spans="1:42" s="41" customFormat="1" ht="18.75" customHeight="1" x14ac:dyDescent="0.25">
      <c r="A232" s="47">
        <v>46201</v>
      </c>
      <c r="B232" s="43">
        <f t="shared" si="12"/>
        <v>46201</v>
      </c>
      <c r="C232" s="44" t="s">
        <v>83</v>
      </c>
      <c r="D232" s="48" t="s">
        <v>159</v>
      </c>
      <c r="E232" s="48">
        <v>38</v>
      </c>
      <c r="F232" s="48">
        <v>6</v>
      </c>
      <c r="G232" s="48">
        <v>10200169170</v>
      </c>
      <c r="H232" s="48" t="s">
        <v>570</v>
      </c>
      <c r="I232" s="45"/>
      <c r="J232" s="46">
        <f t="shared" si="13"/>
        <v>1067.7966101694915</v>
      </c>
      <c r="K232" s="46"/>
      <c r="L232" s="46"/>
      <c r="M232" s="46"/>
      <c r="N232" s="46">
        <f t="shared" si="14"/>
        <v>192.20338983050846</v>
      </c>
      <c r="O232" s="46"/>
      <c r="P232" s="49">
        <v>1260</v>
      </c>
      <c r="Q232" s="50"/>
      <c r="R232" s="43"/>
      <c r="S232" s="45"/>
      <c r="T232" s="44"/>
      <c r="U232" s="44"/>
      <c r="V232" s="51" t="s">
        <v>86</v>
      </c>
      <c r="W232" s="46"/>
      <c r="X232" s="47">
        <v>46201</v>
      </c>
      <c r="Y232" s="44" t="s">
        <v>87</v>
      </c>
      <c r="Z232" s="44"/>
      <c r="AA232" s="44"/>
      <c r="AB232" s="44" t="s">
        <v>813</v>
      </c>
      <c r="AC232" s="52"/>
      <c r="AD232" s="52">
        <v>1212</v>
      </c>
      <c r="AE232" s="54"/>
      <c r="AF232" s="55"/>
      <c r="AG232" s="55"/>
      <c r="AH232" s="56"/>
      <c r="AI232" s="56"/>
      <c r="AJ232" s="57"/>
      <c r="AK232" s="56"/>
      <c r="AL232" s="46">
        <v>18</v>
      </c>
      <c r="AM232" s="53" t="s">
        <v>941</v>
      </c>
      <c r="AN232" s="39"/>
      <c r="AO232" s="39"/>
      <c r="AP232" s="40"/>
    </row>
    <row r="233" spans="1:42" s="41" customFormat="1" ht="18.75" customHeight="1" x14ac:dyDescent="0.25">
      <c r="A233" s="47">
        <v>46201</v>
      </c>
      <c r="B233" s="43">
        <f t="shared" si="12"/>
        <v>46201</v>
      </c>
      <c r="C233" s="44" t="s">
        <v>814</v>
      </c>
      <c r="D233" s="48" t="s">
        <v>141</v>
      </c>
      <c r="E233" s="48">
        <v>3887</v>
      </c>
      <c r="F233" s="48">
        <v>1</v>
      </c>
      <c r="G233" s="48">
        <v>42453929</v>
      </c>
      <c r="H233" s="48" t="s">
        <v>573</v>
      </c>
      <c r="I233" s="45"/>
      <c r="J233" s="46">
        <f t="shared" si="13"/>
        <v>42.372881355932208</v>
      </c>
      <c r="K233" s="46"/>
      <c r="L233" s="46"/>
      <c r="M233" s="46"/>
      <c r="N233" s="46">
        <f t="shared" si="14"/>
        <v>7.6271186440677967</v>
      </c>
      <c r="O233" s="46"/>
      <c r="P233" s="49">
        <v>50</v>
      </c>
      <c r="Q233" s="50"/>
      <c r="R233" s="43"/>
      <c r="S233" s="45"/>
      <c r="T233" s="44"/>
      <c r="U233" s="44"/>
      <c r="V233" s="51" t="s">
        <v>86</v>
      </c>
      <c r="W233" s="46"/>
      <c r="X233" s="47">
        <v>46201</v>
      </c>
      <c r="Y233" s="44" t="s">
        <v>87</v>
      </c>
      <c r="Z233" s="44"/>
      <c r="AA233" s="44"/>
      <c r="AB233" s="44" t="s">
        <v>813</v>
      </c>
      <c r="AC233" s="52"/>
      <c r="AD233" s="52">
        <v>1212</v>
      </c>
      <c r="AE233" s="54"/>
      <c r="AF233" s="55"/>
      <c r="AG233" s="55"/>
      <c r="AH233" s="56"/>
      <c r="AI233" s="56"/>
      <c r="AJ233" s="57"/>
      <c r="AK233" s="56"/>
      <c r="AL233" s="46">
        <v>18</v>
      </c>
      <c r="AM233" s="53" t="s">
        <v>941</v>
      </c>
      <c r="AN233" s="39"/>
      <c r="AO233" s="39"/>
      <c r="AP233" s="40"/>
    </row>
    <row r="234" spans="1:42" s="41" customFormat="1" ht="18.75" customHeight="1" x14ac:dyDescent="0.25">
      <c r="A234" s="47">
        <v>46201</v>
      </c>
      <c r="B234" s="43">
        <f t="shared" si="12"/>
        <v>46201</v>
      </c>
      <c r="C234" s="44" t="s">
        <v>814</v>
      </c>
      <c r="D234" s="48" t="s">
        <v>141</v>
      </c>
      <c r="E234" s="48">
        <v>3888</v>
      </c>
      <c r="F234" s="48">
        <v>1</v>
      </c>
      <c r="G234" s="48">
        <v>23217741</v>
      </c>
      <c r="H234" s="48" t="s">
        <v>564</v>
      </c>
      <c r="I234" s="45"/>
      <c r="J234" s="46">
        <f t="shared" si="13"/>
        <v>81.355932203389841</v>
      </c>
      <c r="K234" s="46"/>
      <c r="L234" s="46"/>
      <c r="M234" s="46"/>
      <c r="N234" s="46">
        <f t="shared" si="14"/>
        <v>14.644067796610171</v>
      </c>
      <c r="O234" s="46"/>
      <c r="P234" s="49">
        <v>96</v>
      </c>
      <c r="Q234" s="50"/>
      <c r="R234" s="43"/>
      <c r="S234" s="45"/>
      <c r="T234" s="44"/>
      <c r="U234" s="44"/>
      <c r="V234" s="51" t="s">
        <v>86</v>
      </c>
      <c r="W234" s="46"/>
      <c r="X234" s="47">
        <v>46201</v>
      </c>
      <c r="Y234" s="44" t="s">
        <v>87</v>
      </c>
      <c r="Z234" s="44"/>
      <c r="AA234" s="44"/>
      <c r="AB234" s="44" t="s">
        <v>813</v>
      </c>
      <c r="AC234" s="52"/>
      <c r="AD234" s="52">
        <v>1212</v>
      </c>
      <c r="AE234" s="54"/>
      <c r="AF234" s="55"/>
      <c r="AG234" s="55"/>
      <c r="AH234" s="56"/>
      <c r="AI234" s="56"/>
      <c r="AJ234" s="57"/>
      <c r="AK234" s="56"/>
      <c r="AL234" s="46">
        <v>18</v>
      </c>
      <c r="AM234" s="53" t="s">
        <v>941</v>
      </c>
      <c r="AN234" s="39"/>
      <c r="AO234" s="39"/>
      <c r="AP234" s="40"/>
    </row>
    <row r="235" spans="1:42" s="41" customFormat="1" ht="18.75" customHeight="1" x14ac:dyDescent="0.25">
      <c r="A235" s="47">
        <v>46201</v>
      </c>
      <c r="B235" s="43">
        <f t="shared" si="12"/>
        <v>46201</v>
      </c>
      <c r="C235" s="44" t="s">
        <v>814</v>
      </c>
      <c r="D235" s="48" t="s">
        <v>141</v>
      </c>
      <c r="E235" s="48">
        <v>3889</v>
      </c>
      <c r="F235" s="48">
        <v>1</v>
      </c>
      <c r="G235" s="48">
        <v>23237793</v>
      </c>
      <c r="H235" s="48" t="s">
        <v>576</v>
      </c>
      <c r="I235" s="45"/>
      <c r="J235" s="46">
        <f t="shared" si="13"/>
        <v>116.94915254237289</v>
      </c>
      <c r="K235" s="46"/>
      <c r="L235" s="46"/>
      <c r="M235" s="46"/>
      <c r="N235" s="46">
        <f t="shared" si="14"/>
        <v>21.050847457627118</v>
      </c>
      <c r="O235" s="46"/>
      <c r="P235" s="49">
        <v>138</v>
      </c>
      <c r="Q235" s="50"/>
      <c r="R235" s="43"/>
      <c r="S235" s="45"/>
      <c r="T235" s="44"/>
      <c r="U235" s="44"/>
      <c r="V235" s="51" t="s">
        <v>86</v>
      </c>
      <c r="W235" s="46"/>
      <c r="X235" s="47">
        <v>46201</v>
      </c>
      <c r="Y235" s="44" t="s">
        <v>87</v>
      </c>
      <c r="Z235" s="44"/>
      <c r="AA235" s="44"/>
      <c r="AB235" s="44" t="s">
        <v>813</v>
      </c>
      <c r="AC235" s="52"/>
      <c r="AD235" s="52">
        <v>1212</v>
      </c>
      <c r="AE235" s="54"/>
      <c r="AF235" s="55"/>
      <c r="AG235" s="55"/>
      <c r="AH235" s="56"/>
      <c r="AI235" s="56"/>
      <c r="AJ235" s="57"/>
      <c r="AK235" s="56"/>
      <c r="AL235" s="46">
        <v>18</v>
      </c>
      <c r="AM235" s="53" t="s">
        <v>941</v>
      </c>
      <c r="AN235" s="39"/>
      <c r="AO235" s="39"/>
      <c r="AP235" s="40"/>
    </row>
    <row r="236" spans="1:42" s="41" customFormat="1" ht="18.75" customHeight="1" x14ac:dyDescent="0.25">
      <c r="A236" s="47">
        <v>46201</v>
      </c>
      <c r="B236" s="43">
        <f t="shared" si="12"/>
        <v>46201</v>
      </c>
      <c r="C236" s="44" t="s">
        <v>814</v>
      </c>
      <c r="D236" s="48" t="s">
        <v>141</v>
      </c>
      <c r="E236" s="48">
        <v>3890</v>
      </c>
      <c r="F236" s="48">
        <v>1</v>
      </c>
      <c r="G236" s="48">
        <v>45370597</v>
      </c>
      <c r="H236" s="48" t="s">
        <v>578</v>
      </c>
      <c r="I236" s="45"/>
      <c r="J236" s="46">
        <f t="shared" si="13"/>
        <v>42.372881355932208</v>
      </c>
      <c r="K236" s="46"/>
      <c r="L236" s="46"/>
      <c r="M236" s="46"/>
      <c r="N236" s="46">
        <f t="shared" si="14"/>
        <v>7.6271186440677967</v>
      </c>
      <c r="O236" s="46"/>
      <c r="P236" s="49">
        <v>50</v>
      </c>
      <c r="Q236" s="50"/>
      <c r="R236" s="43"/>
      <c r="S236" s="45"/>
      <c r="T236" s="44"/>
      <c r="U236" s="44"/>
      <c r="V236" s="51" t="s">
        <v>86</v>
      </c>
      <c r="W236" s="46"/>
      <c r="X236" s="47">
        <v>46201</v>
      </c>
      <c r="Y236" s="44" t="s">
        <v>87</v>
      </c>
      <c r="Z236" s="44"/>
      <c r="AA236" s="44"/>
      <c r="AB236" s="44" t="s">
        <v>813</v>
      </c>
      <c r="AC236" s="52"/>
      <c r="AD236" s="52">
        <v>1212</v>
      </c>
      <c r="AE236" s="54"/>
      <c r="AF236" s="55"/>
      <c r="AG236" s="55"/>
      <c r="AH236" s="56"/>
      <c r="AI236" s="56"/>
      <c r="AJ236" s="57"/>
      <c r="AK236" s="56"/>
      <c r="AL236" s="46">
        <v>18</v>
      </c>
      <c r="AM236" s="53" t="s">
        <v>941</v>
      </c>
      <c r="AN236" s="39"/>
      <c r="AO236" s="39"/>
      <c r="AP236" s="40"/>
    </row>
    <row r="237" spans="1:42" s="41" customFormat="1" ht="18.75" customHeight="1" x14ac:dyDescent="0.25">
      <c r="A237" s="47">
        <v>46201</v>
      </c>
      <c r="B237" s="43">
        <f t="shared" si="12"/>
        <v>46201</v>
      </c>
      <c r="C237" s="44" t="s">
        <v>814</v>
      </c>
      <c r="D237" s="48" t="s">
        <v>141</v>
      </c>
      <c r="E237" s="48">
        <v>3891</v>
      </c>
      <c r="F237" s="48">
        <v>1</v>
      </c>
      <c r="G237" s="48">
        <v>23238360</v>
      </c>
      <c r="H237" s="48" t="s">
        <v>580</v>
      </c>
      <c r="I237" s="45"/>
      <c r="J237" s="46">
        <f t="shared" si="13"/>
        <v>81.355932203389841</v>
      </c>
      <c r="K237" s="46"/>
      <c r="L237" s="46"/>
      <c r="M237" s="46"/>
      <c r="N237" s="46">
        <f t="shared" si="14"/>
        <v>14.644067796610171</v>
      </c>
      <c r="O237" s="46"/>
      <c r="P237" s="49">
        <v>96</v>
      </c>
      <c r="Q237" s="50"/>
      <c r="R237" s="43"/>
      <c r="S237" s="45"/>
      <c r="T237" s="44"/>
      <c r="U237" s="44"/>
      <c r="V237" s="51" t="s">
        <v>86</v>
      </c>
      <c r="W237" s="46"/>
      <c r="X237" s="47">
        <v>46201</v>
      </c>
      <c r="Y237" s="44" t="s">
        <v>87</v>
      </c>
      <c r="Z237" s="44"/>
      <c r="AA237" s="44"/>
      <c r="AB237" s="44" t="s">
        <v>813</v>
      </c>
      <c r="AC237" s="52"/>
      <c r="AD237" s="52">
        <v>1212</v>
      </c>
      <c r="AE237" s="54"/>
      <c r="AF237" s="55"/>
      <c r="AG237" s="55"/>
      <c r="AH237" s="56"/>
      <c r="AI237" s="56"/>
      <c r="AJ237" s="57"/>
      <c r="AK237" s="56"/>
      <c r="AL237" s="46">
        <v>18</v>
      </c>
      <c r="AM237" s="53" t="s">
        <v>941</v>
      </c>
      <c r="AN237" s="39"/>
      <c r="AO237" s="39"/>
      <c r="AP237" s="40"/>
    </row>
    <row r="238" spans="1:42" s="41" customFormat="1" ht="18.75" customHeight="1" x14ac:dyDescent="0.25">
      <c r="A238" s="47">
        <v>46201</v>
      </c>
      <c r="B238" s="43">
        <f t="shared" si="12"/>
        <v>46201</v>
      </c>
      <c r="C238" s="44" t="s">
        <v>814</v>
      </c>
      <c r="D238" s="48" t="s">
        <v>141</v>
      </c>
      <c r="E238" s="48">
        <v>3892</v>
      </c>
      <c r="F238" s="48">
        <v>1</v>
      </c>
      <c r="G238" s="48">
        <v>42713349</v>
      </c>
      <c r="H238" s="48" t="s">
        <v>582</v>
      </c>
      <c r="I238" s="45"/>
      <c r="J238" s="46">
        <f t="shared" si="13"/>
        <v>42.372881355932208</v>
      </c>
      <c r="K238" s="46"/>
      <c r="L238" s="46"/>
      <c r="M238" s="46"/>
      <c r="N238" s="46">
        <f t="shared" si="14"/>
        <v>7.6271186440677967</v>
      </c>
      <c r="O238" s="46"/>
      <c r="P238" s="49">
        <v>50</v>
      </c>
      <c r="Q238" s="50"/>
      <c r="R238" s="43"/>
      <c r="S238" s="45"/>
      <c r="T238" s="44"/>
      <c r="U238" s="44"/>
      <c r="V238" s="51" t="s">
        <v>86</v>
      </c>
      <c r="W238" s="46"/>
      <c r="X238" s="47">
        <v>46201</v>
      </c>
      <c r="Y238" s="44" t="s">
        <v>87</v>
      </c>
      <c r="Z238" s="44"/>
      <c r="AA238" s="44"/>
      <c r="AB238" s="44" t="s">
        <v>813</v>
      </c>
      <c r="AC238" s="52"/>
      <c r="AD238" s="52">
        <v>1212</v>
      </c>
      <c r="AE238" s="54"/>
      <c r="AF238" s="55"/>
      <c r="AG238" s="55"/>
      <c r="AH238" s="56"/>
      <c r="AI238" s="56"/>
      <c r="AJ238" s="57"/>
      <c r="AK238" s="56"/>
      <c r="AL238" s="46">
        <v>18</v>
      </c>
      <c r="AM238" s="53" t="s">
        <v>941</v>
      </c>
      <c r="AN238" s="39"/>
      <c r="AO238" s="39"/>
      <c r="AP238" s="40"/>
    </row>
    <row r="239" spans="1:42" s="41" customFormat="1" ht="18.75" customHeight="1" x14ac:dyDescent="0.25">
      <c r="A239" s="47">
        <v>46201</v>
      </c>
      <c r="B239" s="43">
        <f t="shared" si="12"/>
        <v>46201</v>
      </c>
      <c r="C239" s="44" t="s">
        <v>814</v>
      </c>
      <c r="D239" s="48" t="s">
        <v>141</v>
      </c>
      <c r="E239" s="48">
        <v>3893</v>
      </c>
      <c r="F239" s="48">
        <v>1</v>
      </c>
      <c r="G239" s="48">
        <v>71526343</v>
      </c>
      <c r="H239" s="48" t="s">
        <v>584</v>
      </c>
      <c r="I239" s="45"/>
      <c r="J239" s="46">
        <f t="shared" si="13"/>
        <v>81.355932203389841</v>
      </c>
      <c r="K239" s="46"/>
      <c r="L239" s="46"/>
      <c r="M239" s="46"/>
      <c r="N239" s="46">
        <f t="shared" si="14"/>
        <v>14.644067796610171</v>
      </c>
      <c r="O239" s="46"/>
      <c r="P239" s="49">
        <v>96</v>
      </c>
      <c r="Q239" s="50"/>
      <c r="R239" s="43"/>
      <c r="S239" s="45"/>
      <c r="T239" s="44"/>
      <c r="U239" s="44"/>
      <c r="V239" s="51" t="s">
        <v>86</v>
      </c>
      <c r="W239" s="46"/>
      <c r="X239" s="47">
        <v>46201</v>
      </c>
      <c r="Y239" s="44" t="s">
        <v>87</v>
      </c>
      <c r="Z239" s="44"/>
      <c r="AA239" s="44"/>
      <c r="AB239" s="44" t="s">
        <v>813</v>
      </c>
      <c r="AC239" s="52"/>
      <c r="AD239" s="52">
        <v>1212</v>
      </c>
      <c r="AE239" s="54"/>
      <c r="AF239" s="55"/>
      <c r="AG239" s="55"/>
      <c r="AH239" s="56"/>
      <c r="AI239" s="56"/>
      <c r="AJ239" s="57"/>
      <c r="AK239" s="56"/>
      <c r="AL239" s="46">
        <v>18</v>
      </c>
      <c r="AM239" s="53" t="s">
        <v>941</v>
      </c>
      <c r="AN239" s="39"/>
      <c r="AO239" s="39"/>
      <c r="AP239" s="40"/>
    </row>
    <row r="240" spans="1:42" s="41" customFormat="1" ht="18.75" customHeight="1" x14ac:dyDescent="0.25">
      <c r="A240" s="47">
        <v>46201</v>
      </c>
      <c r="B240" s="43">
        <f t="shared" si="12"/>
        <v>46201</v>
      </c>
      <c r="C240" s="44" t="s">
        <v>814</v>
      </c>
      <c r="D240" s="48" t="s">
        <v>141</v>
      </c>
      <c r="E240" s="48">
        <v>3894</v>
      </c>
      <c r="F240" s="48">
        <v>1</v>
      </c>
      <c r="G240" s="48">
        <v>19889839</v>
      </c>
      <c r="H240" s="48" t="s">
        <v>586</v>
      </c>
      <c r="I240" s="45"/>
      <c r="J240" s="46">
        <f t="shared" si="13"/>
        <v>223.72881355932205</v>
      </c>
      <c r="K240" s="46"/>
      <c r="L240" s="46"/>
      <c r="M240" s="46"/>
      <c r="N240" s="46">
        <f t="shared" si="14"/>
        <v>40.271186440677965</v>
      </c>
      <c r="O240" s="46"/>
      <c r="P240" s="49">
        <v>264</v>
      </c>
      <c r="Q240" s="50"/>
      <c r="R240" s="43"/>
      <c r="S240" s="45"/>
      <c r="T240" s="44"/>
      <c r="U240" s="44"/>
      <c r="V240" s="51" t="s">
        <v>86</v>
      </c>
      <c r="W240" s="46"/>
      <c r="X240" s="47">
        <v>46201</v>
      </c>
      <c r="Y240" s="44" t="s">
        <v>87</v>
      </c>
      <c r="Z240" s="44"/>
      <c r="AA240" s="44"/>
      <c r="AB240" s="44" t="s">
        <v>813</v>
      </c>
      <c r="AC240" s="52"/>
      <c r="AD240" s="52">
        <v>1212</v>
      </c>
      <c r="AE240" s="54"/>
      <c r="AF240" s="55"/>
      <c r="AG240" s="55"/>
      <c r="AH240" s="56"/>
      <c r="AI240" s="56"/>
      <c r="AJ240" s="57"/>
      <c r="AK240" s="56"/>
      <c r="AL240" s="46">
        <v>18</v>
      </c>
      <c r="AM240" s="53" t="s">
        <v>941</v>
      </c>
      <c r="AN240" s="39"/>
      <c r="AO240" s="39"/>
      <c r="AP240" s="40"/>
    </row>
    <row r="241" spans="1:42" s="41" customFormat="1" ht="18.75" customHeight="1" x14ac:dyDescent="0.25">
      <c r="A241" s="47">
        <v>46201</v>
      </c>
      <c r="B241" s="43">
        <f t="shared" si="12"/>
        <v>46201</v>
      </c>
      <c r="C241" s="44" t="s">
        <v>814</v>
      </c>
      <c r="D241" s="48" t="s">
        <v>141</v>
      </c>
      <c r="E241" s="48">
        <v>3895</v>
      </c>
      <c r="F241" s="48">
        <v>1</v>
      </c>
      <c r="G241" s="48">
        <v>71526343</v>
      </c>
      <c r="H241" s="48" t="s">
        <v>584</v>
      </c>
      <c r="I241" s="45"/>
      <c r="J241" s="46">
        <f t="shared" si="13"/>
        <v>42.372881355932208</v>
      </c>
      <c r="K241" s="46"/>
      <c r="L241" s="46"/>
      <c r="M241" s="46"/>
      <c r="N241" s="46">
        <f t="shared" si="14"/>
        <v>7.6271186440677967</v>
      </c>
      <c r="O241" s="46"/>
      <c r="P241" s="49">
        <v>50</v>
      </c>
      <c r="Q241" s="50"/>
      <c r="R241" s="43"/>
      <c r="S241" s="45"/>
      <c r="T241" s="44"/>
      <c r="U241" s="44"/>
      <c r="V241" s="51" t="s">
        <v>86</v>
      </c>
      <c r="W241" s="46"/>
      <c r="X241" s="47">
        <v>46201</v>
      </c>
      <c r="Y241" s="44" t="s">
        <v>87</v>
      </c>
      <c r="Z241" s="44"/>
      <c r="AA241" s="44"/>
      <c r="AB241" s="44" t="s">
        <v>813</v>
      </c>
      <c r="AC241" s="52"/>
      <c r="AD241" s="52">
        <v>1212</v>
      </c>
      <c r="AE241" s="54"/>
      <c r="AF241" s="55"/>
      <c r="AG241" s="55"/>
      <c r="AH241" s="56"/>
      <c r="AI241" s="56"/>
      <c r="AJ241" s="57"/>
      <c r="AK241" s="56"/>
      <c r="AL241" s="46">
        <v>18</v>
      </c>
      <c r="AM241" s="53" t="s">
        <v>941</v>
      </c>
      <c r="AN241" s="39"/>
      <c r="AO241" s="39"/>
      <c r="AP241" s="40"/>
    </row>
    <row r="242" spans="1:42" s="41" customFormat="1" ht="18.75" customHeight="1" x14ac:dyDescent="0.25">
      <c r="A242" s="47">
        <v>46201</v>
      </c>
      <c r="B242" s="43">
        <f t="shared" si="12"/>
        <v>46201</v>
      </c>
      <c r="C242" s="44" t="s">
        <v>814</v>
      </c>
      <c r="D242" s="48" t="s">
        <v>141</v>
      </c>
      <c r="E242" s="48">
        <v>3896</v>
      </c>
      <c r="F242" s="48">
        <v>1</v>
      </c>
      <c r="G242" s="48">
        <v>71531364</v>
      </c>
      <c r="H242" s="48" t="s">
        <v>589</v>
      </c>
      <c r="I242" s="45"/>
      <c r="J242" s="46">
        <f t="shared" si="13"/>
        <v>42.372881355932208</v>
      </c>
      <c r="K242" s="46"/>
      <c r="L242" s="46"/>
      <c r="M242" s="46"/>
      <c r="N242" s="46">
        <f t="shared" si="14"/>
        <v>7.6271186440677967</v>
      </c>
      <c r="O242" s="46"/>
      <c r="P242" s="49">
        <v>50</v>
      </c>
      <c r="Q242" s="50"/>
      <c r="R242" s="43"/>
      <c r="S242" s="45"/>
      <c r="T242" s="44"/>
      <c r="U242" s="44"/>
      <c r="V242" s="51" t="s">
        <v>86</v>
      </c>
      <c r="W242" s="46"/>
      <c r="X242" s="47">
        <v>46201</v>
      </c>
      <c r="Y242" s="44" t="s">
        <v>87</v>
      </c>
      <c r="Z242" s="44"/>
      <c r="AA242" s="44"/>
      <c r="AB242" s="44" t="s">
        <v>813</v>
      </c>
      <c r="AC242" s="52"/>
      <c r="AD242" s="52">
        <v>1212</v>
      </c>
      <c r="AE242" s="54"/>
      <c r="AF242" s="55"/>
      <c r="AG242" s="55"/>
      <c r="AH242" s="56"/>
      <c r="AI242" s="56"/>
      <c r="AJ242" s="57"/>
      <c r="AK242" s="56"/>
      <c r="AL242" s="46">
        <v>18</v>
      </c>
      <c r="AM242" s="53" t="s">
        <v>941</v>
      </c>
      <c r="AN242" s="39"/>
      <c r="AO242" s="39"/>
      <c r="AP242" s="40"/>
    </row>
    <row r="243" spans="1:42" s="41" customFormat="1" ht="18.75" customHeight="1" x14ac:dyDescent="0.25">
      <c r="A243" s="47">
        <v>46201</v>
      </c>
      <c r="B243" s="43">
        <f t="shared" si="12"/>
        <v>46201</v>
      </c>
      <c r="C243" s="44" t="s">
        <v>814</v>
      </c>
      <c r="D243" s="48" t="s">
        <v>141</v>
      </c>
      <c r="E243" s="48">
        <v>3897</v>
      </c>
      <c r="F243" s="48">
        <v>1</v>
      </c>
      <c r="G243" s="48">
        <v>23236482</v>
      </c>
      <c r="H243" s="48" t="s">
        <v>591</v>
      </c>
      <c r="I243" s="45"/>
      <c r="J243" s="46">
        <f t="shared" si="13"/>
        <v>79.66101694915254</v>
      </c>
      <c r="K243" s="46"/>
      <c r="L243" s="46"/>
      <c r="M243" s="46"/>
      <c r="N243" s="46">
        <f t="shared" si="14"/>
        <v>14.338983050847457</v>
      </c>
      <c r="O243" s="46"/>
      <c r="P243" s="49">
        <v>94</v>
      </c>
      <c r="Q243" s="50"/>
      <c r="R243" s="43"/>
      <c r="S243" s="45"/>
      <c r="T243" s="44"/>
      <c r="U243" s="44"/>
      <c r="V243" s="51" t="s">
        <v>86</v>
      </c>
      <c r="W243" s="46"/>
      <c r="X243" s="47">
        <v>46201</v>
      </c>
      <c r="Y243" s="44" t="s">
        <v>87</v>
      </c>
      <c r="Z243" s="44"/>
      <c r="AA243" s="44"/>
      <c r="AB243" s="44" t="s">
        <v>813</v>
      </c>
      <c r="AC243" s="52"/>
      <c r="AD243" s="52">
        <v>1212</v>
      </c>
      <c r="AE243" s="54"/>
      <c r="AF243" s="55"/>
      <c r="AG243" s="55"/>
      <c r="AH243" s="56"/>
      <c r="AI243" s="56"/>
      <c r="AJ243" s="57"/>
      <c r="AK243" s="56"/>
      <c r="AL243" s="46">
        <v>18</v>
      </c>
      <c r="AM243" s="53" t="s">
        <v>941</v>
      </c>
      <c r="AN243" s="39"/>
      <c r="AO243" s="39"/>
      <c r="AP243" s="40"/>
    </row>
    <row r="244" spans="1:42" s="41" customFormat="1" ht="18.75" customHeight="1" x14ac:dyDescent="0.25">
      <c r="A244" s="47">
        <v>46201</v>
      </c>
      <c r="B244" s="43">
        <f t="shared" si="12"/>
        <v>46201</v>
      </c>
      <c r="C244" s="44" t="s">
        <v>814</v>
      </c>
      <c r="D244" s="48" t="s">
        <v>141</v>
      </c>
      <c r="E244" s="48">
        <v>3898</v>
      </c>
      <c r="F244" s="48">
        <v>1</v>
      </c>
      <c r="G244" s="48">
        <v>71546205</v>
      </c>
      <c r="H244" s="48" t="s">
        <v>555</v>
      </c>
      <c r="I244" s="45"/>
      <c r="J244" s="46">
        <f t="shared" si="13"/>
        <v>111.86440677966102</v>
      </c>
      <c r="K244" s="46"/>
      <c r="L244" s="46"/>
      <c r="M244" s="46"/>
      <c r="N244" s="46">
        <f t="shared" si="14"/>
        <v>20.135593220338983</v>
      </c>
      <c r="O244" s="46"/>
      <c r="P244" s="49">
        <v>132</v>
      </c>
      <c r="Q244" s="50"/>
      <c r="R244" s="43"/>
      <c r="S244" s="45"/>
      <c r="T244" s="44"/>
      <c r="U244" s="44"/>
      <c r="V244" s="51" t="s">
        <v>86</v>
      </c>
      <c r="W244" s="46"/>
      <c r="X244" s="47">
        <v>46201</v>
      </c>
      <c r="Y244" s="44" t="s">
        <v>87</v>
      </c>
      <c r="Z244" s="44"/>
      <c r="AA244" s="44"/>
      <c r="AB244" s="44" t="s">
        <v>813</v>
      </c>
      <c r="AC244" s="52"/>
      <c r="AD244" s="52">
        <v>1212</v>
      </c>
      <c r="AE244" s="54"/>
      <c r="AF244" s="55"/>
      <c r="AG244" s="55"/>
      <c r="AH244" s="56"/>
      <c r="AI244" s="56"/>
      <c r="AJ244" s="57"/>
      <c r="AK244" s="56"/>
      <c r="AL244" s="46">
        <v>18</v>
      </c>
      <c r="AM244" s="53" t="s">
        <v>941</v>
      </c>
      <c r="AN244" s="39"/>
      <c r="AO244" s="39"/>
      <c r="AP244" s="40"/>
    </row>
    <row r="245" spans="1:42" s="41" customFormat="1" ht="18.75" customHeight="1" x14ac:dyDescent="0.25">
      <c r="A245" s="47">
        <v>46201</v>
      </c>
      <c r="B245" s="43">
        <f t="shared" si="12"/>
        <v>46201</v>
      </c>
      <c r="C245" s="44" t="s">
        <v>814</v>
      </c>
      <c r="D245" s="48" t="s">
        <v>141</v>
      </c>
      <c r="E245" s="48">
        <v>3899</v>
      </c>
      <c r="F245" s="48">
        <v>1</v>
      </c>
      <c r="G245" s="48">
        <v>40705038</v>
      </c>
      <c r="H245" s="48" t="s">
        <v>594</v>
      </c>
      <c r="I245" s="45"/>
      <c r="J245" s="46">
        <f t="shared" si="13"/>
        <v>186.4406779661017</v>
      </c>
      <c r="K245" s="46"/>
      <c r="L245" s="46"/>
      <c r="M245" s="46"/>
      <c r="N245" s="46">
        <f t="shared" si="14"/>
        <v>33.559322033898304</v>
      </c>
      <c r="O245" s="46"/>
      <c r="P245" s="49">
        <v>220</v>
      </c>
      <c r="Q245" s="50"/>
      <c r="R245" s="43"/>
      <c r="S245" s="45"/>
      <c r="T245" s="44"/>
      <c r="U245" s="44"/>
      <c r="V245" s="51" t="s">
        <v>86</v>
      </c>
      <c r="W245" s="46"/>
      <c r="X245" s="47">
        <v>46201</v>
      </c>
      <c r="Y245" s="44" t="s">
        <v>87</v>
      </c>
      <c r="Z245" s="44"/>
      <c r="AA245" s="44"/>
      <c r="AB245" s="44" t="s">
        <v>813</v>
      </c>
      <c r="AC245" s="52"/>
      <c r="AD245" s="52">
        <v>1212</v>
      </c>
      <c r="AE245" s="54"/>
      <c r="AF245" s="55"/>
      <c r="AG245" s="55"/>
      <c r="AH245" s="56"/>
      <c r="AI245" s="56"/>
      <c r="AJ245" s="57"/>
      <c r="AK245" s="56"/>
      <c r="AL245" s="46">
        <v>18</v>
      </c>
      <c r="AM245" s="53" t="s">
        <v>941</v>
      </c>
      <c r="AN245" s="39"/>
      <c r="AO245" s="39"/>
      <c r="AP245" s="40"/>
    </row>
    <row r="246" spans="1:42" s="41" customFormat="1" ht="18.75" customHeight="1" x14ac:dyDescent="0.25">
      <c r="A246" s="47">
        <v>46201</v>
      </c>
      <c r="B246" s="43">
        <f t="shared" si="12"/>
        <v>46201</v>
      </c>
      <c r="C246" s="44" t="s">
        <v>814</v>
      </c>
      <c r="D246" s="48" t="s">
        <v>141</v>
      </c>
      <c r="E246" s="48">
        <v>3900</v>
      </c>
      <c r="F246" s="48">
        <v>1</v>
      </c>
      <c r="G246" s="48">
        <v>40759200</v>
      </c>
      <c r="H246" s="48" t="s">
        <v>549</v>
      </c>
      <c r="I246" s="45"/>
      <c r="J246" s="46">
        <f t="shared" si="13"/>
        <v>42.372881355932208</v>
      </c>
      <c r="K246" s="46"/>
      <c r="L246" s="46"/>
      <c r="M246" s="46"/>
      <c r="N246" s="46">
        <f t="shared" si="14"/>
        <v>7.6271186440677967</v>
      </c>
      <c r="O246" s="46"/>
      <c r="P246" s="49">
        <v>50</v>
      </c>
      <c r="Q246" s="50"/>
      <c r="R246" s="43"/>
      <c r="S246" s="45"/>
      <c r="T246" s="44"/>
      <c r="U246" s="44"/>
      <c r="V246" s="51" t="s">
        <v>86</v>
      </c>
      <c r="W246" s="46"/>
      <c r="X246" s="47">
        <v>46201</v>
      </c>
      <c r="Y246" s="44" t="s">
        <v>87</v>
      </c>
      <c r="Z246" s="44"/>
      <c r="AA246" s="44"/>
      <c r="AB246" s="44" t="s">
        <v>813</v>
      </c>
      <c r="AC246" s="52"/>
      <c r="AD246" s="52">
        <v>1212</v>
      </c>
      <c r="AE246" s="54"/>
      <c r="AF246" s="55"/>
      <c r="AG246" s="55"/>
      <c r="AH246" s="56"/>
      <c r="AI246" s="56"/>
      <c r="AJ246" s="57"/>
      <c r="AK246" s="56"/>
      <c r="AL246" s="46">
        <v>18</v>
      </c>
      <c r="AM246" s="53" t="s">
        <v>941</v>
      </c>
      <c r="AN246" s="39"/>
      <c r="AO246" s="39"/>
      <c r="AP246" s="40"/>
    </row>
    <row r="247" spans="1:42" s="41" customFormat="1" ht="18.75" customHeight="1" x14ac:dyDescent="0.25">
      <c r="A247" s="47">
        <v>46201</v>
      </c>
      <c r="B247" s="43">
        <f t="shared" si="12"/>
        <v>46201</v>
      </c>
      <c r="C247" s="44" t="s">
        <v>814</v>
      </c>
      <c r="D247" s="48" t="s">
        <v>141</v>
      </c>
      <c r="E247" s="48">
        <v>3901</v>
      </c>
      <c r="F247" s="48">
        <v>1</v>
      </c>
      <c r="G247" s="48">
        <v>23237131</v>
      </c>
      <c r="H247" s="48" t="s">
        <v>597</v>
      </c>
      <c r="I247" s="45"/>
      <c r="J247" s="46">
        <f t="shared" si="13"/>
        <v>81.355932203389841</v>
      </c>
      <c r="K247" s="46"/>
      <c r="L247" s="46"/>
      <c r="M247" s="46"/>
      <c r="N247" s="46">
        <f t="shared" si="14"/>
        <v>14.644067796610171</v>
      </c>
      <c r="O247" s="46"/>
      <c r="P247" s="49">
        <v>96</v>
      </c>
      <c r="Q247" s="50"/>
      <c r="R247" s="43"/>
      <c r="S247" s="45"/>
      <c r="T247" s="44"/>
      <c r="U247" s="44"/>
      <c r="V247" s="51" t="s">
        <v>86</v>
      </c>
      <c r="W247" s="46"/>
      <c r="X247" s="47">
        <v>46201</v>
      </c>
      <c r="Y247" s="44" t="s">
        <v>87</v>
      </c>
      <c r="Z247" s="44"/>
      <c r="AA247" s="44"/>
      <c r="AB247" s="44" t="s">
        <v>813</v>
      </c>
      <c r="AC247" s="52"/>
      <c r="AD247" s="52">
        <v>1212</v>
      </c>
      <c r="AE247" s="54"/>
      <c r="AF247" s="55"/>
      <c r="AG247" s="55"/>
      <c r="AH247" s="56"/>
      <c r="AI247" s="56"/>
      <c r="AJ247" s="57"/>
      <c r="AK247" s="56"/>
      <c r="AL247" s="46">
        <v>18</v>
      </c>
      <c r="AM247" s="53" t="s">
        <v>941</v>
      </c>
      <c r="AN247" s="39"/>
      <c r="AO247" s="39"/>
      <c r="AP247" s="40"/>
    </row>
    <row r="248" spans="1:42" s="41" customFormat="1" ht="18.75" customHeight="1" x14ac:dyDescent="0.25">
      <c r="A248" s="47">
        <v>46201</v>
      </c>
      <c r="B248" s="43">
        <f t="shared" si="12"/>
        <v>46201</v>
      </c>
      <c r="C248" s="44" t="s">
        <v>814</v>
      </c>
      <c r="D248" s="48" t="s">
        <v>141</v>
      </c>
      <c r="E248" s="48">
        <v>3902</v>
      </c>
      <c r="F248" s="48">
        <v>1</v>
      </c>
      <c r="G248" s="48">
        <v>40705038</v>
      </c>
      <c r="H248" s="48" t="s">
        <v>594</v>
      </c>
      <c r="I248" s="45"/>
      <c r="J248" s="46">
        <f t="shared" si="13"/>
        <v>111.86440677966102</v>
      </c>
      <c r="K248" s="46"/>
      <c r="L248" s="46"/>
      <c r="M248" s="46"/>
      <c r="N248" s="46">
        <f t="shared" si="14"/>
        <v>20.135593220338983</v>
      </c>
      <c r="O248" s="46"/>
      <c r="P248" s="49">
        <v>132</v>
      </c>
      <c r="Q248" s="50"/>
      <c r="R248" s="43"/>
      <c r="S248" s="45"/>
      <c r="T248" s="44"/>
      <c r="U248" s="44"/>
      <c r="V248" s="51" t="s">
        <v>86</v>
      </c>
      <c r="W248" s="46"/>
      <c r="X248" s="47">
        <v>46201</v>
      </c>
      <c r="Y248" s="44" t="s">
        <v>87</v>
      </c>
      <c r="Z248" s="44"/>
      <c r="AA248" s="44"/>
      <c r="AB248" s="44" t="s">
        <v>813</v>
      </c>
      <c r="AC248" s="52"/>
      <c r="AD248" s="52">
        <v>1212</v>
      </c>
      <c r="AE248" s="54"/>
      <c r="AF248" s="55"/>
      <c r="AG248" s="55"/>
      <c r="AH248" s="56"/>
      <c r="AI248" s="56"/>
      <c r="AJ248" s="57"/>
      <c r="AK248" s="56"/>
      <c r="AL248" s="46">
        <v>18</v>
      </c>
      <c r="AM248" s="53" t="s">
        <v>941</v>
      </c>
      <c r="AN248" s="39"/>
      <c r="AO248" s="39"/>
      <c r="AP248" s="40"/>
    </row>
    <row r="249" spans="1:42" s="41" customFormat="1" ht="18.75" customHeight="1" x14ac:dyDescent="0.25">
      <c r="A249" s="47">
        <v>46201</v>
      </c>
      <c r="B249" s="43">
        <f t="shared" si="12"/>
        <v>46201</v>
      </c>
      <c r="C249" s="44" t="s">
        <v>814</v>
      </c>
      <c r="D249" s="48" t="s">
        <v>141</v>
      </c>
      <c r="E249" s="48">
        <v>3903</v>
      </c>
      <c r="F249" s="48">
        <v>1</v>
      </c>
      <c r="G249" s="48">
        <v>40867468</v>
      </c>
      <c r="H249" s="48" t="s">
        <v>600</v>
      </c>
      <c r="I249" s="45"/>
      <c r="J249" s="46">
        <f t="shared" si="13"/>
        <v>223.72881355932205</v>
      </c>
      <c r="K249" s="46"/>
      <c r="L249" s="46"/>
      <c r="M249" s="46"/>
      <c r="N249" s="46">
        <f t="shared" si="14"/>
        <v>40.271186440677965</v>
      </c>
      <c r="O249" s="46"/>
      <c r="P249" s="49">
        <v>264</v>
      </c>
      <c r="Q249" s="50"/>
      <c r="R249" s="43"/>
      <c r="S249" s="45"/>
      <c r="T249" s="44"/>
      <c r="U249" s="44"/>
      <c r="V249" s="51" t="s">
        <v>86</v>
      </c>
      <c r="W249" s="46"/>
      <c r="X249" s="47">
        <v>46201</v>
      </c>
      <c r="Y249" s="44" t="s">
        <v>87</v>
      </c>
      <c r="Z249" s="44"/>
      <c r="AA249" s="44"/>
      <c r="AB249" s="44" t="s">
        <v>813</v>
      </c>
      <c r="AC249" s="52"/>
      <c r="AD249" s="52">
        <v>1212</v>
      </c>
      <c r="AE249" s="54"/>
      <c r="AF249" s="55"/>
      <c r="AG249" s="55"/>
      <c r="AH249" s="56"/>
      <c r="AI249" s="56"/>
      <c r="AJ249" s="57"/>
      <c r="AK249" s="56"/>
      <c r="AL249" s="46">
        <v>18</v>
      </c>
      <c r="AM249" s="53" t="s">
        <v>941</v>
      </c>
      <c r="AN249" s="39"/>
      <c r="AO249" s="39"/>
      <c r="AP249" s="40"/>
    </row>
    <row r="250" spans="1:42" s="41" customFormat="1" ht="18.75" customHeight="1" x14ac:dyDescent="0.25">
      <c r="A250" s="47">
        <v>46201</v>
      </c>
      <c r="B250" s="43">
        <f t="shared" si="12"/>
        <v>46201</v>
      </c>
      <c r="C250" s="44" t="s">
        <v>814</v>
      </c>
      <c r="D250" s="48" t="s">
        <v>141</v>
      </c>
      <c r="E250" s="48">
        <v>3904</v>
      </c>
      <c r="F250" s="48">
        <v>1</v>
      </c>
      <c r="G250" s="48">
        <v>23258385</v>
      </c>
      <c r="H250" s="48" t="s">
        <v>602</v>
      </c>
      <c r="I250" s="45"/>
      <c r="J250" s="46">
        <f t="shared" si="13"/>
        <v>42.372881355932208</v>
      </c>
      <c r="K250" s="46"/>
      <c r="L250" s="46"/>
      <c r="M250" s="46"/>
      <c r="N250" s="46">
        <f t="shared" si="14"/>
        <v>7.6271186440677967</v>
      </c>
      <c r="O250" s="46"/>
      <c r="P250" s="49">
        <v>50</v>
      </c>
      <c r="Q250" s="50"/>
      <c r="R250" s="43"/>
      <c r="S250" s="45"/>
      <c r="T250" s="44"/>
      <c r="U250" s="44"/>
      <c r="V250" s="51" t="s">
        <v>86</v>
      </c>
      <c r="W250" s="46"/>
      <c r="X250" s="47">
        <v>46201</v>
      </c>
      <c r="Y250" s="44" t="s">
        <v>87</v>
      </c>
      <c r="Z250" s="44"/>
      <c r="AA250" s="44"/>
      <c r="AB250" s="44" t="s">
        <v>813</v>
      </c>
      <c r="AC250" s="52"/>
      <c r="AD250" s="52">
        <v>1212</v>
      </c>
      <c r="AE250" s="54"/>
      <c r="AF250" s="55"/>
      <c r="AG250" s="55"/>
      <c r="AH250" s="56"/>
      <c r="AI250" s="56"/>
      <c r="AJ250" s="57"/>
      <c r="AK250" s="56"/>
      <c r="AL250" s="46">
        <v>18</v>
      </c>
      <c r="AM250" s="53" t="s">
        <v>941</v>
      </c>
      <c r="AN250" s="39"/>
      <c r="AO250" s="39"/>
      <c r="AP250" s="40"/>
    </row>
    <row r="251" spans="1:42" s="41" customFormat="1" ht="18.75" customHeight="1" x14ac:dyDescent="0.25">
      <c r="A251" s="47">
        <v>46201</v>
      </c>
      <c r="B251" s="43">
        <f t="shared" si="12"/>
        <v>46201</v>
      </c>
      <c r="C251" s="44" t="s">
        <v>814</v>
      </c>
      <c r="D251" s="48" t="s">
        <v>141</v>
      </c>
      <c r="E251" s="48">
        <v>3905</v>
      </c>
      <c r="F251" s="48">
        <v>1</v>
      </c>
      <c r="G251" s="48">
        <v>23258385</v>
      </c>
      <c r="H251" s="48" t="s">
        <v>602</v>
      </c>
      <c r="I251" s="45"/>
      <c r="J251" s="46">
        <f t="shared" si="13"/>
        <v>79.66101694915254</v>
      </c>
      <c r="K251" s="46"/>
      <c r="L251" s="46"/>
      <c r="M251" s="46"/>
      <c r="N251" s="46">
        <f t="shared" si="14"/>
        <v>14.338983050847457</v>
      </c>
      <c r="O251" s="46"/>
      <c r="P251" s="49">
        <v>94</v>
      </c>
      <c r="Q251" s="50"/>
      <c r="R251" s="43"/>
      <c r="S251" s="45"/>
      <c r="T251" s="44"/>
      <c r="U251" s="44"/>
      <c r="V251" s="51" t="s">
        <v>86</v>
      </c>
      <c r="W251" s="46"/>
      <c r="X251" s="47">
        <v>46201</v>
      </c>
      <c r="Y251" s="44" t="s">
        <v>87</v>
      </c>
      <c r="Z251" s="44"/>
      <c r="AA251" s="44"/>
      <c r="AB251" s="44" t="s">
        <v>813</v>
      </c>
      <c r="AC251" s="52"/>
      <c r="AD251" s="52">
        <v>1212</v>
      </c>
      <c r="AE251" s="54"/>
      <c r="AF251" s="55"/>
      <c r="AG251" s="55"/>
      <c r="AH251" s="56"/>
      <c r="AI251" s="56"/>
      <c r="AJ251" s="57"/>
      <c r="AK251" s="56"/>
      <c r="AL251" s="46">
        <v>18</v>
      </c>
      <c r="AM251" s="53" t="s">
        <v>941</v>
      </c>
      <c r="AN251" s="39"/>
      <c r="AO251" s="39"/>
      <c r="AP251" s="40"/>
    </row>
    <row r="252" spans="1:42" s="41" customFormat="1" ht="18.75" customHeight="1" x14ac:dyDescent="0.25">
      <c r="A252" s="47">
        <v>46201</v>
      </c>
      <c r="B252" s="43">
        <f t="shared" si="12"/>
        <v>46201</v>
      </c>
      <c r="C252" s="44" t="s">
        <v>814</v>
      </c>
      <c r="D252" s="48" t="s">
        <v>141</v>
      </c>
      <c r="E252" s="48">
        <v>3906</v>
      </c>
      <c r="F252" s="48">
        <v>1</v>
      </c>
      <c r="G252" s="48">
        <v>23258385</v>
      </c>
      <c r="H252" s="48" t="s">
        <v>602</v>
      </c>
      <c r="I252" s="45"/>
      <c r="J252" s="46">
        <f t="shared" si="13"/>
        <v>149.15254237288136</v>
      </c>
      <c r="K252" s="46"/>
      <c r="L252" s="46"/>
      <c r="M252" s="46"/>
      <c r="N252" s="46">
        <f t="shared" si="14"/>
        <v>26.847457627118644</v>
      </c>
      <c r="O252" s="46"/>
      <c r="P252" s="49">
        <v>176</v>
      </c>
      <c r="Q252" s="50"/>
      <c r="R252" s="43"/>
      <c r="S252" s="45"/>
      <c r="T252" s="44"/>
      <c r="U252" s="44"/>
      <c r="V252" s="51" t="s">
        <v>86</v>
      </c>
      <c r="W252" s="46"/>
      <c r="X252" s="47">
        <v>46201</v>
      </c>
      <c r="Y252" s="44" t="s">
        <v>87</v>
      </c>
      <c r="Z252" s="44"/>
      <c r="AA252" s="44"/>
      <c r="AB252" s="44" t="s">
        <v>813</v>
      </c>
      <c r="AC252" s="52"/>
      <c r="AD252" s="52">
        <v>1212</v>
      </c>
      <c r="AE252" s="54"/>
      <c r="AF252" s="55"/>
      <c r="AG252" s="55"/>
      <c r="AH252" s="56"/>
      <c r="AI252" s="56"/>
      <c r="AJ252" s="57"/>
      <c r="AK252" s="56"/>
      <c r="AL252" s="46">
        <v>18</v>
      </c>
      <c r="AM252" s="53" t="s">
        <v>941</v>
      </c>
      <c r="AN252" s="39"/>
      <c r="AO252" s="39"/>
      <c r="AP252" s="40"/>
    </row>
    <row r="253" spans="1:42" s="41" customFormat="1" ht="18.75" customHeight="1" x14ac:dyDescent="0.25">
      <c r="A253" s="47">
        <v>46201</v>
      </c>
      <c r="B253" s="43">
        <f t="shared" si="12"/>
        <v>46201</v>
      </c>
      <c r="C253" s="44" t="s">
        <v>814</v>
      </c>
      <c r="D253" s="48" t="s">
        <v>141</v>
      </c>
      <c r="E253" s="48">
        <v>3907</v>
      </c>
      <c r="F253" s="48">
        <v>1</v>
      </c>
      <c r="G253" s="48">
        <v>41057536</v>
      </c>
      <c r="H253" s="48" t="s">
        <v>606</v>
      </c>
      <c r="I253" s="45"/>
      <c r="J253" s="46">
        <f t="shared" si="13"/>
        <v>42.372881355932208</v>
      </c>
      <c r="K253" s="46"/>
      <c r="L253" s="46"/>
      <c r="M253" s="46"/>
      <c r="N253" s="46">
        <f t="shared" si="14"/>
        <v>7.6271186440677967</v>
      </c>
      <c r="O253" s="46"/>
      <c r="P253" s="49">
        <v>50</v>
      </c>
      <c r="Q253" s="50"/>
      <c r="R253" s="43"/>
      <c r="S253" s="45"/>
      <c r="T253" s="44"/>
      <c r="U253" s="44"/>
      <c r="V253" s="51" t="s">
        <v>86</v>
      </c>
      <c r="W253" s="46"/>
      <c r="X253" s="47">
        <v>46201</v>
      </c>
      <c r="Y253" s="44" t="s">
        <v>87</v>
      </c>
      <c r="Z253" s="44"/>
      <c r="AA253" s="44"/>
      <c r="AB253" s="44" t="s">
        <v>813</v>
      </c>
      <c r="AC253" s="52"/>
      <c r="AD253" s="52">
        <v>1212</v>
      </c>
      <c r="AE253" s="54"/>
      <c r="AF253" s="55"/>
      <c r="AG253" s="55"/>
      <c r="AH253" s="56"/>
      <c r="AI253" s="56"/>
      <c r="AJ253" s="57"/>
      <c r="AK253" s="56"/>
      <c r="AL253" s="46">
        <v>18</v>
      </c>
      <c r="AM253" s="53" t="s">
        <v>941</v>
      </c>
      <c r="AN253" s="39"/>
      <c r="AO253" s="39"/>
      <c r="AP253" s="40"/>
    </row>
    <row r="254" spans="1:42" s="41" customFormat="1" ht="18.75" customHeight="1" x14ac:dyDescent="0.25">
      <c r="A254" s="47">
        <v>46201</v>
      </c>
      <c r="B254" s="43">
        <f t="shared" si="12"/>
        <v>46201</v>
      </c>
      <c r="C254" s="44" t="s">
        <v>814</v>
      </c>
      <c r="D254" s="48" t="s">
        <v>141</v>
      </c>
      <c r="E254" s="48">
        <v>3909</v>
      </c>
      <c r="F254" s="48">
        <v>1</v>
      </c>
      <c r="G254" s="48">
        <v>23237194</v>
      </c>
      <c r="H254" s="48" t="s">
        <v>608</v>
      </c>
      <c r="I254" s="45"/>
      <c r="J254" s="46">
        <f t="shared" si="13"/>
        <v>186.4406779661017</v>
      </c>
      <c r="K254" s="46"/>
      <c r="L254" s="46"/>
      <c r="M254" s="46"/>
      <c r="N254" s="46">
        <f t="shared" si="14"/>
        <v>33.559322033898304</v>
      </c>
      <c r="O254" s="46"/>
      <c r="P254" s="49">
        <v>220</v>
      </c>
      <c r="Q254" s="50"/>
      <c r="R254" s="43"/>
      <c r="S254" s="45"/>
      <c r="T254" s="44"/>
      <c r="U254" s="44"/>
      <c r="V254" s="51" t="s">
        <v>86</v>
      </c>
      <c r="W254" s="46"/>
      <c r="X254" s="47">
        <v>46201</v>
      </c>
      <c r="Y254" s="44" t="s">
        <v>87</v>
      </c>
      <c r="Z254" s="44"/>
      <c r="AA254" s="44"/>
      <c r="AB254" s="44" t="s">
        <v>813</v>
      </c>
      <c r="AC254" s="52"/>
      <c r="AD254" s="52">
        <v>1212</v>
      </c>
      <c r="AE254" s="54"/>
      <c r="AF254" s="55"/>
      <c r="AG254" s="55"/>
      <c r="AH254" s="56"/>
      <c r="AI254" s="56"/>
      <c r="AJ254" s="57"/>
      <c r="AK254" s="56"/>
      <c r="AL254" s="46">
        <v>18</v>
      </c>
      <c r="AM254" s="53" t="s">
        <v>941</v>
      </c>
      <c r="AN254" s="39"/>
      <c r="AO254" s="39"/>
      <c r="AP254" s="40"/>
    </row>
    <row r="255" spans="1:42" s="41" customFormat="1" ht="18.75" customHeight="1" x14ac:dyDescent="0.25">
      <c r="A255" s="47">
        <v>46201</v>
      </c>
      <c r="B255" s="43">
        <f t="shared" si="12"/>
        <v>46201</v>
      </c>
      <c r="C255" s="44" t="s">
        <v>814</v>
      </c>
      <c r="D255" s="48" t="s">
        <v>141</v>
      </c>
      <c r="E255" s="48">
        <v>3910</v>
      </c>
      <c r="F255" s="48">
        <v>1</v>
      </c>
      <c r="G255" s="48">
        <v>23278026</v>
      </c>
      <c r="H255" s="48" t="s">
        <v>610</v>
      </c>
      <c r="I255" s="45"/>
      <c r="J255" s="46">
        <f t="shared" si="13"/>
        <v>364.40677966101697</v>
      </c>
      <c r="K255" s="46"/>
      <c r="L255" s="46"/>
      <c r="M255" s="46"/>
      <c r="N255" s="46">
        <f t="shared" si="14"/>
        <v>65.593220338983059</v>
      </c>
      <c r="O255" s="46"/>
      <c r="P255" s="49">
        <v>430</v>
      </c>
      <c r="Q255" s="50"/>
      <c r="R255" s="43"/>
      <c r="S255" s="45"/>
      <c r="T255" s="44"/>
      <c r="U255" s="44"/>
      <c r="V255" s="51" t="s">
        <v>86</v>
      </c>
      <c r="W255" s="46"/>
      <c r="X255" s="47">
        <v>46201</v>
      </c>
      <c r="Y255" s="44" t="s">
        <v>87</v>
      </c>
      <c r="Z255" s="44"/>
      <c r="AA255" s="44"/>
      <c r="AB255" s="44" t="s">
        <v>813</v>
      </c>
      <c r="AC255" s="52"/>
      <c r="AD255" s="52">
        <v>1212</v>
      </c>
      <c r="AE255" s="54"/>
      <c r="AF255" s="55"/>
      <c r="AG255" s="55"/>
      <c r="AH255" s="56"/>
      <c r="AI255" s="56"/>
      <c r="AJ255" s="57"/>
      <c r="AK255" s="56"/>
      <c r="AL255" s="46">
        <v>18</v>
      </c>
      <c r="AM255" s="53" t="s">
        <v>941</v>
      </c>
      <c r="AN255" s="39"/>
      <c r="AO255" s="39"/>
      <c r="AP255" s="40"/>
    </row>
    <row r="256" spans="1:42" s="130" customFormat="1" ht="18.75" customHeight="1" x14ac:dyDescent="0.25">
      <c r="A256" s="114">
        <v>46202</v>
      </c>
      <c r="B256" s="115">
        <f t="shared" si="12"/>
        <v>46202</v>
      </c>
      <c r="C256" s="116" t="s">
        <v>118</v>
      </c>
      <c r="D256" s="117" t="s">
        <v>159</v>
      </c>
      <c r="E256" s="117">
        <v>1</v>
      </c>
      <c r="F256" s="117">
        <v>6</v>
      </c>
      <c r="G256" s="117">
        <v>10200169170</v>
      </c>
      <c r="H256" s="117" t="s">
        <v>570</v>
      </c>
      <c r="I256" s="118"/>
      <c r="J256" s="119">
        <f t="shared" si="13"/>
        <v>-1067.7966101694915</v>
      </c>
      <c r="K256" s="119"/>
      <c r="L256" s="119"/>
      <c r="M256" s="119"/>
      <c r="N256" s="119">
        <f t="shared" si="14"/>
        <v>-192.20338983050846</v>
      </c>
      <c r="O256" s="119"/>
      <c r="P256" s="120">
        <v>-1260</v>
      </c>
      <c r="Q256" s="121"/>
      <c r="R256" s="115">
        <v>46201</v>
      </c>
      <c r="S256" s="116" t="s">
        <v>83</v>
      </c>
      <c r="T256" s="116" t="s">
        <v>159</v>
      </c>
      <c r="U256" s="116">
        <v>37</v>
      </c>
      <c r="V256" s="122" t="s">
        <v>86</v>
      </c>
      <c r="W256" s="119"/>
      <c r="X256" s="114">
        <v>46202</v>
      </c>
      <c r="Y256" s="116" t="s">
        <v>87</v>
      </c>
      <c r="Z256" s="116"/>
      <c r="AA256" s="116"/>
      <c r="AB256" s="116" t="s">
        <v>813</v>
      </c>
      <c r="AC256" s="123"/>
      <c r="AD256" s="123">
        <v>1212</v>
      </c>
      <c r="AE256" s="124"/>
      <c r="AF256" s="125"/>
      <c r="AG256" s="125"/>
      <c r="AH256" s="126"/>
      <c r="AI256" s="126"/>
      <c r="AJ256" s="127"/>
      <c r="AK256" s="126"/>
      <c r="AL256" s="119">
        <v>18</v>
      </c>
      <c r="AM256" s="116" t="s">
        <v>941</v>
      </c>
      <c r="AN256" s="128"/>
      <c r="AO256" s="128"/>
      <c r="AP256" s="129"/>
    </row>
    <row r="257" spans="1:42" s="41" customFormat="1" ht="18.75" customHeight="1" x14ac:dyDescent="0.25">
      <c r="A257" s="47">
        <v>46202</v>
      </c>
      <c r="B257" s="43">
        <f t="shared" si="12"/>
        <v>46202</v>
      </c>
      <c r="C257" s="44" t="s">
        <v>83</v>
      </c>
      <c r="D257" s="48" t="s">
        <v>159</v>
      </c>
      <c r="E257" s="48">
        <v>39</v>
      </c>
      <c r="F257" s="48">
        <v>6</v>
      </c>
      <c r="G257" s="48">
        <v>10200169170</v>
      </c>
      <c r="H257" s="48" t="s">
        <v>570</v>
      </c>
      <c r="I257" s="45"/>
      <c r="J257" s="46">
        <f t="shared" si="13"/>
        <v>1067.7966101694915</v>
      </c>
      <c r="K257" s="46"/>
      <c r="L257" s="46"/>
      <c r="M257" s="46"/>
      <c r="N257" s="46">
        <f t="shared" si="14"/>
        <v>192.20338983050846</v>
      </c>
      <c r="O257" s="46"/>
      <c r="P257" s="49">
        <v>1260</v>
      </c>
      <c r="Q257" s="50"/>
      <c r="R257" s="43"/>
      <c r="S257" s="45"/>
      <c r="T257" s="44"/>
      <c r="U257" s="44"/>
      <c r="V257" s="51" t="s">
        <v>86</v>
      </c>
      <c r="W257" s="46"/>
      <c r="X257" s="47">
        <v>46202</v>
      </c>
      <c r="Y257" s="44" t="s">
        <v>87</v>
      </c>
      <c r="Z257" s="44"/>
      <c r="AA257" s="44"/>
      <c r="AB257" s="44" t="s">
        <v>813</v>
      </c>
      <c r="AC257" s="52"/>
      <c r="AD257" s="52">
        <v>1212</v>
      </c>
      <c r="AE257" s="54"/>
      <c r="AF257" s="55"/>
      <c r="AG257" s="55"/>
      <c r="AH257" s="56"/>
      <c r="AI257" s="56"/>
      <c r="AJ257" s="57"/>
      <c r="AK257" s="56"/>
      <c r="AL257" s="46">
        <v>18</v>
      </c>
      <c r="AM257" s="53" t="s">
        <v>941</v>
      </c>
      <c r="AN257" s="39"/>
      <c r="AO257" s="39"/>
      <c r="AP257" s="40"/>
    </row>
    <row r="258" spans="1:42" s="41" customFormat="1" ht="18.75" customHeight="1" x14ac:dyDescent="0.25">
      <c r="A258" s="47">
        <v>46202</v>
      </c>
      <c r="B258" s="43">
        <f t="shared" si="12"/>
        <v>46202</v>
      </c>
      <c r="C258" s="44" t="s">
        <v>814</v>
      </c>
      <c r="D258" s="48" t="s">
        <v>141</v>
      </c>
      <c r="E258" s="48">
        <v>3908</v>
      </c>
      <c r="F258" s="48">
        <v>1</v>
      </c>
      <c r="G258" s="48">
        <v>71551833</v>
      </c>
      <c r="H258" s="48" t="s">
        <v>614</v>
      </c>
      <c r="I258" s="45"/>
      <c r="J258" s="46">
        <f t="shared" si="13"/>
        <v>81.355932203389841</v>
      </c>
      <c r="K258" s="46"/>
      <c r="L258" s="46"/>
      <c r="M258" s="46"/>
      <c r="N258" s="46">
        <f t="shared" si="14"/>
        <v>14.644067796610171</v>
      </c>
      <c r="O258" s="46"/>
      <c r="P258" s="49">
        <v>96</v>
      </c>
      <c r="Q258" s="50"/>
      <c r="R258" s="43"/>
      <c r="S258" s="45"/>
      <c r="T258" s="44"/>
      <c r="U258" s="44"/>
      <c r="V258" s="51" t="s">
        <v>86</v>
      </c>
      <c r="W258" s="46"/>
      <c r="X258" s="47">
        <v>46202</v>
      </c>
      <c r="Y258" s="44" t="s">
        <v>87</v>
      </c>
      <c r="Z258" s="44"/>
      <c r="AA258" s="44"/>
      <c r="AB258" s="44" t="s">
        <v>813</v>
      </c>
      <c r="AC258" s="52"/>
      <c r="AD258" s="52">
        <v>1212</v>
      </c>
      <c r="AE258" s="54"/>
      <c r="AF258" s="55"/>
      <c r="AG258" s="55"/>
      <c r="AH258" s="56"/>
      <c r="AI258" s="56"/>
      <c r="AJ258" s="57"/>
      <c r="AK258" s="56"/>
      <c r="AL258" s="46">
        <v>18</v>
      </c>
      <c r="AM258" s="53" t="s">
        <v>941</v>
      </c>
      <c r="AN258" s="39"/>
      <c r="AO258" s="39"/>
      <c r="AP258" s="40"/>
    </row>
    <row r="259" spans="1:42" s="41" customFormat="1" ht="18.75" customHeight="1" x14ac:dyDescent="0.25">
      <c r="A259" s="47">
        <v>46202</v>
      </c>
      <c r="B259" s="43">
        <f t="shared" si="12"/>
        <v>46202</v>
      </c>
      <c r="C259" s="44" t="s">
        <v>814</v>
      </c>
      <c r="D259" s="48" t="s">
        <v>141</v>
      </c>
      <c r="E259" s="48">
        <v>3911</v>
      </c>
      <c r="F259" s="48">
        <v>1</v>
      </c>
      <c r="G259" s="48">
        <v>23278026</v>
      </c>
      <c r="H259" s="48" t="s">
        <v>610</v>
      </c>
      <c r="I259" s="45"/>
      <c r="J259" s="46">
        <f t="shared" si="13"/>
        <v>42.372881355932208</v>
      </c>
      <c r="K259" s="46"/>
      <c r="L259" s="46"/>
      <c r="M259" s="46"/>
      <c r="N259" s="46">
        <f t="shared" si="14"/>
        <v>7.6271186440677967</v>
      </c>
      <c r="O259" s="46"/>
      <c r="P259" s="49">
        <v>50</v>
      </c>
      <c r="Q259" s="50"/>
      <c r="R259" s="43"/>
      <c r="S259" s="45"/>
      <c r="T259" s="44"/>
      <c r="U259" s="44"/>
      <c r="V259" s="51" t="s">
        <v>86</v>
      </c>
      <c r="W259" s="46"/>
      <c r="X259" s="47">
        <v>46202</v>
      </c>
      <c r="Y259" s="44" t="s">
        <v>87</v>
      </c>
      <c r="Z259" s="44"/>
      <c r="AA259" s="44"/>
      <c r="AB259" s="44" t="s">
        <v>813</v>
      </c>
      <c r="AC259" s="52"/>
      <c r="AD259" s="52">
        <v>1212</v>
      </c>
      <c r="AE259" s="54"/>
      <c r="AF259" s="55"/>
      <c r="AG259" s="55"/>
      <c r="AH259" s="56"/>
      <c r="AI259" s="56"/>
      <c r="AJ259" s="57"/>
      <c r="AK259" s="56"/>
      <c r="AL259" s="46">
        <v>18</v>
      </c>
      <c r="AM259" s="53" t="s">
        <v>941</v>
      </c>
      <c r="AN259" s="39"/>
      <c r="AO259" s="39"/>
      <c r="AP259" s="40"/>
    </row>
    <row r="260" spans="1:42" s="41" customFormat="1" ht="18.75" customHeight="1" x14ac:dyDescent="0.25">
      <c r="A260" s="47">
        <v>46202</v>
      </c>
      <c r="B260" s="43">
        <f t="shared" si="12"/>
        <v>46202</v>
      </c>
      <c r="C260" s="44" t="s">
        <v>814</v>
      </c>
      <c r="D260" s="48" t="s">
        <v>141</v>
      </c>
      <c r="E260" s="48">
        <v>3912</v>
      </c>
      <c r="F260" s="48">
        <v>1</v>
      </c>
      <c r="G260" s="48">
        <v>23278026</v>
      </c>
      <c r="H260" s="48" t="s">
        <v>610</v>
      </c>
      <c r="I260" s="45"/>
      <c r="J260" s="46">
        <f t="shared" si="13"/>
        <v>81.355932203389841</v>
      </c>
      <c r="K260" s="46"/>
      <c r="L260" s="46"/>
      <c r="M260" s="46"/>
      <c r="N260" s="46">
        <f t="shared" si="14"/>
        <v>14.644067796610171</v>
      </c>
      <c r="O260" s="46"/>
      <c r="P260" s="49">
        <v>96</v>
      </c>
      <c r="Q260" s="50"/>
      <c r="R260" s="43"/>
      <c r="S260" s="45"/>
      <c r="T260" s="44"/>
      <c r="U260" s="44"/>
      <c r="V260" s="51" t="s">
        <v>86</v>
      </c>
      <c r="W260" s="46"/>
      <c r="X260" s="47">
        <v>46202</v>
      </c>
      <c r="Y260" s="44" t="s">
        <v>87</v>
      </c>
      <c r="Z260" s="44"/>
      <c r="AA260" s="44"/>
      <c r="AB260" s="44" t="s">
        <v>813</v>
      </c>
      <c r="AC260" s="52"/>
      <c r="AD260" s="52">
        <v>1212</v>
      </c>
      <c r="AE260" s="54"/>
      <c r="AF260" s="55"/>
      <c r="AG260" s="55"/>
      <c r="AH260" s="56"/>
      <c r="AI260" s="56"/>
      <c r="AJ260" s="57"/>
      <c r="AK260" s="56"/>
      <c r="AL260" s="46">
        <v>18</v>
      </c>
      <c r="AM260" s="53" t="s">
        <v>941</v>
      </c>
      <c r="AN260" s="39"/>
      <c r="AO260" s="39"/>
      <c r="AP260" s="40"/>
    </row>
    <row r="261" spans="1:42" s="41" customFormat="1" ht="18.75" customHeight="1" x14ac:dyDescent="0.25">
      <c r="A261" s="47">
        <v>46202</v>
      </c>
      <c r="B261" s="43">
        <f t="shared" si="12"/>
        <v>46202</v>
      </c>
      <c r="C261" s="44" t="s">
        <v>814</v>
      </c>
      <c r="D261" s="48" t="s">
        <v>141</v>
      </c>
      <c r="E261" s="48">
        <v>3913</v>
      </c>
      <c r="F261" s="48">
        <v>1</v>
      </c>
      <c r="G261" s="48">
        <v>23221644</v>
      </c>
      <c r="H261" s="48" t="s">
        <v>618</v>
      </c>
      <c r="I261" s="45"/>
      <c r="J261" s="46">
        <f t="shared" si="13"/>
        <v>114.40677966101696</v>
      </c>
      <c r="K261" s="46"/>
      <c r="L261" s="46"/>
      <c r="M261" s="46"/>
      <c r="N261" s="46">
        <f t="shared" si="14"/>
        <v>20.593220338983052</v>
      </c>
      <c r="O261" s="46"/>
      <c r="P261" s="49">
        <v>135</v>
      </c>
      <c r="Q261" s="50"/>
      <c r="R261" s="43"/>
      <c r="S261" s="45"/>
      <c r="T261" s="44"/>
      <c r="U261" s="44"/>
      <c r="V261" s="51" t="s">
        <v>86</v>
      </c>
      <c r="W261" s="46"/>
      <c r="X261" s="47">
        <v>46202</v>
      </c>
      <c r="Y261" s="44" t="s">
        <v>87</v>
      </c>
      <c r="Z261" s="44"/>
      <c r="AA261" s="44"/>
      <c r="AB261" s="44" t="s">
        <v>813</v>
      </c>
      <c r="AC261" s="52"/>
      <c r="AD261" s="52">
        <v>1212</v>
      </c>
      <c r="AE261" s="54"/>
      <c r="AF261" s="55"/>
      <c r="AG261" s="55"/>
      <c r="AH261" s="56"/>
      <c r="AI261" s="56"/>
      <c r="AJ261" s="57"/>
      <c r="AK261" s="56"/>
      <c r="AL261" s="46">
        <v>18</v>
      </c>
      <c r="AM261" s="53" t="s">
        <v>941</v>
      </c>
      <c r="AN261" s="39"/>
      <c r="AO261" s="39"/>
      <c r="AP261" s="40"/>
    </row>
    <row r="262" spans="1:42" s="41" customFormat="1" ht="18.75" customHeight="1" x14ac:dyDescent="0.25">
      <c r="A262" s="47">
        <v>46202</v>
      </c>
      <c r="B262" s="43">
        <f t="shared" si="12"/>
        <v>46202</v>
      </c>
      <c r="C262" s="44" t="s">
        <v>83</v>
      </c>
      <c r="D262" s="48" t="s">
        <v>159</v>
      </c>
      <c r="E262" s="48">
        <v>41</v>
      </c>
      <c r="F262" s="48">
        <v>6</v>
      </c>
      <c r="G262" s="48">
        <v>20615178901</v>
      </c>
      <c r="H262" s="48" t="s">
        <v>162</v>
      </c>
      <c r="I262" s="45"/>
      <c r="J262" s="46">
        <f t="shared" si="13"/>
        <v>116.94915254237289</v>
      </c>
      <c r="K262" s="46"/>
      <c r="L262" s="46"/>
      <c r="M262" s="46"/>
      <c r="N262" s="46">
        <f t="shared" si="14"/>
        <v>21.050847457627118</v>
      </c>
      <c r="O262" s="46"/>
      <c r="P262" s="49">
        <v>138</v>
      </c>
      <c r="Q262" s="50"/>
      <c r="R262" s="43"/>
      <c r="S262" s="45"/>
      <c r="T262" s="44"/>
      <c r="U262" s="44"/>
      <c r="V262" s="51" t="s">
        <v>86</v>
      </c>
      <c r="W262" s="46"/>
      <c r="X262" s="47">
        <v>46202</v>
      </c>
      <c r="Y262" s="44" t="s">
        <v>87</v>
      </c>
      <c r="Z262" s="44"/>
      <c r="AA262" s="44"/>
      <c r="AB262" s="44" t="s">
        <v>813</v>
      </c>
      <c r="AC262" s="52"/>
      <c r="AD262" s="52">
        <v>1212</v>
      </c>
      <c r="AE262" s="54"/>
      <c r="AF262" s="55"/>
      <c r="AG262" s="55"/>
      <c r="AH262" s="56"/>
      <c r="AI262" s="56"/>
      <c r="AJ262" s="57"/>
      <c r="AK262" s="56"/>
      <c r="AL262" s="46">
        <v>18</v>
      </c>
      <c r="AM262" s="53" t="s">
        <v>941</v>
      </c>
      <c r="AN262" s="39"/>
      <c r="AO262" s="39"/>
      <c r="AP262" s="40"/>
    </row>
    <row r="263" spans="1:42" s="41" customFormat="1" ht="18.75" customHeight="1" x14ac:dyDescent="0.25">
      <c r="A263" s="47">
        <v>46202</v>
      </c>
      <c r="B263" s="43">
        <f t="shared" si="12"/>
        <v>46202</v>
      </c>
      <c r="C263" s="44" t="s">
        <v>814</v>
      </c>
      <c r="D263" s="48" t="s">
        <v>141</v>
      </c>
      <c r="E263" s="48">
        <v>3914</v>
      </c>
      <c r="F263" s="48">
        <v>1</v>
      </c>
      <c r="G263" s="48">
        <v>71529553</v>
      </c>
      <c r="H263" s="48" t="s">
        <v>621</v>
      </c>
      <c r="I263" s="45"/>
      <c r="J263" s="46">
        <f t="shared" si="13"/>
        <v>42.372881355932208</v>
      </c>
      <c r="K263" s="46"/>
      <c r="L263" s="46"/>
      <c r="M263" s="46"/>
      <c r="N263" s="46">
        <f t="shared" si="14"/>
        <v>7.6271186440677967</v>
      </c>
      <c r="O263" s="46"/>
      <c r="P263" s="49">
        <v>50</v>
      </c>
      <c r="Q263" s="50"/>
      <c r="R263" s="43"/>
      <c r="S263" s="45"/>
      <c r="T263" s="44"/>
      <c r="U263" s="44"/>
      <c r="V263" s="51" t="s">
        <v>86</v>
      </c>
      <c r="W263" s="46"/>
      <c r="X263" s="47">
        <v>46202</v>
      </c>
      <c r="Y263" s="44" t="s">
        <v>87</v>
      </c>
      <c r="Z263" s="44"/>
      <c r="AA263" s="44"/>
      <c r="AB263" s="44" t="s">
        <v>813</v>
      </c>
      <c r="AC263" s="52"/>
      <c r="AD263" s="52">
        <v>1212</v>
      </c>
      <c r="AE263" s="54"/>
      <c r="AF263" s="55"/>
      <c r="AG263" s="55"/>
      <c r="AH263" s="56"/>
      <c r="AI263" s="56"/>
      <c r="AJ263" s="57"/>
      <c r="AK263" s="56"/>
      <c r="AL263" s="46">
        <v>18</v>
      </c>
      <c r="AM263" s="53" t="s">
        <v>941</v>
      </c>
      <c r="AN263" s="39"/>
      <c r="AO263" s="39"/>
      <c r="AP263" s="40"/>
    </row>
    <row r="264" spans="1:42" s="41" customFormat="1" ht="18.75" customHeight="1" x14ac:dyDescent="0.25">
      <c r="A264" s="47">
        <v>46202</v>
      </c>
      <c r="B264" s="43">
        <f t="shared" si="12"/>
        <v>46202</v>
      </c>
      <c r="C264" s="44" t="s">
        <v>814</v>
      </c>
      <c r="D264" s="48" t="s">
        <v>141</v>
      </c>
      <c r="E264" s="48">
        <v>3915</v>
      </c>
      <c r="F264" s="48">
        <v>1</v>
      </c>
      <c r="G264" s="48">
        <v>71529553</v>
      </c>
      <c r="H264" s="48" t="s">
        <v>621</v>
      </c>
      <c r="I264" s="45"/>
      <c r="J264" s="46">
        <f t="shared" si="13"/>
        <v>81.355932203389841</v>
      </c>
      <c r="K264" s="46"/>
      <c r="L264" s="46"/>
      <c r="M264" s="46"/>
      <c r="N264" s="46">
        <f t="shared" si="14"/>
        <v>14.644067796610171</v>
      </c>
      <c r="O264" s="46"/>
      <c r="P264" s="49">
        <v>96</v>
      </c>
      <c r="Q264" s="50"/>
      <c r="R264" s="43"/>
      <c r="S264" s="45"/>
      <c r="T264" s="44"/>
      <c r="U264" s="44"/>
      <c r="V264" s="51" t="s">
        <v>86</v>
      </c>
      <c r="W264" s="46"/>
      <c r="X264" s="47">
        <v>46202</v>
      </c>
      <c r="Y264" s="44" t="s">
        <v>87</v>
      </c>
      <c r="Z264" s="44"/>
      <c r="AA264" s="44"/>
      <c r="AB264" s="44" t="s">
        <v>813</v>
      </c>
      <c r="AC264" s="52"/>
      <c r="AD264" s="52">
        <v>1212</v>
      </c>
      <c r="AE264" s="54"/>
      <c r="AF264" s="55"/>
      <c r="AG264" s="55"/>
      <c r="AH264" s="56"/>
      <c r="AI264" s="56"/>
      <c r="AJ264" s="57"/>
      <c r="AK264" s="56"/>
      <c r="AL264" s="46">
        <v>18</v>
      </c>
      <c r="AM264" s="53" t="s">
        <v>941</v>
      </c>
      <c r="AN264" s="39"/>
      <c r="AO264" s="39"/>
      <c r="AP264" s="40"/>
    </row>
    <row r="265" spans="1:42" s="41" customFormat="1" ht="18.75" customHeight="1" x14ac:dyDescent="0.25">
      <c r="A265" s="47">
        <v>46202</v>
      </c>
      <c r="B265" s="43">
        <f t="shared" ref="B265:B328" si="15">+A265</f>
        <v>46202</v>
      </c>
      <c r="C265" s="44" t="s">
        <v>814</v>
      </c>
      <c r="D265" s="48" t="s">
        <v>141</v>
      </c>
      <c r="E265" s="48">
        <v>3916</v>
      </c>
      <c r="F265" s="48">
        <v>1</v>
      </c>
      <c r="G265" s="48">
        <v>71527523</v>
      </c>
      <c r="H265" s="48" t="s">
        <v>624</v>
      </c>
      <c r="I265" s="45"/>
      <c r="J265" s="46">
        <f t="shared" ref="J265:J328" si="16">+P265/1.18</f>
        <v>119.49152542372882</v>
      </c>
      <c r="K265" s="46"/>
      <c r="L265" s="46"/>
      <c r="M265" s="46"/>
      <c r="N265" s="46">
        <f t="shared" ref="N265:N328" si="17">+J265*0.18</f>
        <v>21.508474576271187</v>
      </c>
      <c r="O265" s="46"/>
      <c r="P265" s="49">
        <v>141</v>
      </c>
      <c r="Q265" s="50"/>
      <c r="R265" s="43"/>
      <c r="S265" s="45"/>
      <c r="T265" s="44"/>
      <c r="U265" s="44"/>
      <c r="V265" s="51" t="s">
        <v>86</v>
      </c>
      <c r="W265" s="46"/>
      <c r="X265" s="47">
        <v>46202</v>
      </c>
      <c r="Y265" s="44" t="s">
        <v>87</v>
      </c>
      <c r="Z265" s="44"/>
      <c r="AA265" s="44"/>
      <c r="AB265" s="44" t="s">
        <v>813</v>
      </c>
      <c r="AC265" s="52"/>
      <c r="AD265" s="52">
        <v>1212</v>
      </c>
      <c r="AE265" s="54"/>
      <c r="AF265" s="55"/>
      <c r="AG265" s="55"/>
      <c r="AH265" s="56"/>
      <c r="AI265" s="56"/>
      <c r="AJ265" s="57"/>
      <c r="AK265" s="56"/>
      <c r="AL265" s="46">
        <v>18</v>
      </c>
      <c r="AM265" s="53" t="s">
        <v>941</v>
      </c>
      <c r="AN265" s="39"/>
      <c r="AO265" s="39"/>
      <c r="AP265" s="40"/>
    </row>
    <row r="266" spans="1:42" s="41" customFormat="1" ht="18.75" customHeight="1" x14ac:dyDescent="0.25">
      <c r="A266" s="47">
        <v>46202</v>
      </c>
      <c r="B266" s="43">
        <f t="shared" si="15"/>
        <v>46202</v>
      </c>
      <c r="C266" s="44" t="s">
        <v>814</v>
      </c>
      <c r="D266" s="48" t="s">
        <v>141</v>
      </c>
      <c r="E266" s="48">
        <v>3917</v>
      </c>
      <c r="F266" s="48">
        <v>1</v>
      </c>
      <c r="G266" s="48">
        <v>71529539</v>
      </c>
      <c r="H266" s="48" t="s">
        <v>626</v>
      </c>
      <c r="I266" s="45"/>
      <c r="J266" s="46">
        <f t="shared" si="16"/>
        <v>116.94915254237289</v>
      </c>
      <c r="K266" s="46"/>
      <c r="L266" s="46"/>
      <c r="M266" s="46"/>
      <c r="N266" s="46">
        <f t="shared" si="17"/>
        <v>21.050847457627118</v>
      </c>
      <c r="O266" s="46"/>
      <c r="P266" s="49">
        <v>138</v>
      </c>
      <c r="Q266" s="50"/>
      <c r="R266" s="43"/>
      <c r="S266" s="45"/>
      <c r="T266" s="44"/>
      <c r="U266" s="44"/>
      <c r="V266" s="51" t="s">
        <v>86</v>
      </c>
      <c r="W266" s="46"/>
      <c r="X266" s="47">
        <v>46202</v>
      </c>
      <c r="Y266" s="44" t="s">
        <v>87</v>
      </c>
      <c r="Z266" s="44"/>
      <c r="AA266" s="44"/>
      <c r="AB266" s="44" t="s">
        <v>813</v>
      </c>
      <c r="AC266" s="52"/>
      <c r="AD266" s="52">
        <v>1212</v>
      </c>
      <c r="AE266" s="54"/>
      <c r="AF266" s="55"/>
      <c r="AG266" s="55"/>
      <c r="AH266" s="56"/>
      <c r="AI266" s="56"/>
      <c r="AJ266" s="57"/>
      <c r="AK266" s="56"/>
      <c r="AL266" s="46">
        <v>18</v>
      </c>
      <c r="AM266" s="53" t="s">
        <v>941</v>
      </c>
      <c r="AN266" s="39"/>
      <c r="AO266" s="39"/>
      <c r="AP266" s="40"/>
    </row>
    <row r="267" spans="1:42" s="41" customFormat="1" ht="18.75" customHeight="1" x14ac:dyDescent="0.25">
      <c r="A267" s="47">
        <v>46202</v>
      </c>
      <c r="B267" s="43">
        <f t="shared" si="15"/>
        <v>46202</v>
      </c>
      <c r="C267" s="44" t="s">
        <v>814</v>
      </c>
      <c r="D267" s="48" t="s">
        <v>141</v>
      </c>
      <c r="E267" s="48">
        <v>3918</v>
      </c>
      <c r="F267" s="48">
        <v>1</v>
      </c>
      <c r="G267" s="48">
        <v>41742977</v>
      </c>
      <c r="H267" s="48" t="s">
        <v>628</v>
      </c>
      <c r="I267" s="45"/>
      <c r="J267" s="46">
        <f t="shared" si="16"/>
        <v>42.372881355932208</v>
      </c>
      <c r="K267" s="46"/>
      <c r="L267" s="46"/>
      <c r="M267" s="46"/>
      <c r="N267" s="46">
        <f t="shared" si="17"/>
        <v>7.6271186440677967</v>
      </c>
      <c r="O267" s="46"/>
      <c r="P267" s="49">
        <v>50</v>
      </c>
      <c r="Q267" s="50"/>
      <c r="R267" s="43"/>
      <c r="S267" s="45"/>
      <c r="T267" s="44"/>
      <c r="U267" s="44"/>
      <c r="V267" s="51" t="s">
        <v>86</v>
      </c>
      <c r="W267" s="46"/>
      <c r="X267" s="47">
        <v>46202</v>
      </c>
      <c r="Y267" s="44" t="s">
        <v>87</v>
      </c>
      <c r="Z267" s="44"/>
      <c r="AA267" s="44"/>
      <c r="AB267" s="44" t="s">
        <v>813</v>
      </c>
      <c r="AC267" s="52"/>
      <c r="AD267" s="52">
        <v>1212</v>
      </c>
      <c r="AE267" s="54"/>
      <c r="AF267" s="55"/>
      <c r="AG267" s="55"/>
      <c r="AH267" s="56"/>
      <c r="AI267" s="56"/>
      <c r="AJ267" s="57"/>
      <c r="AK267" s="56"/>
      <c r="AL267" s="46">
        <v>18</v>
      </c>
      <c r="AM267" s="53" t="s">
        <v>941</v>
      </c>
      <c r="AN267" s="39"/>
      <c r="AO267" s="39"/>
      <c r="AP267" s="40"/>
    </row>
    <row r="268" spans="1:42" s="41" customFormat="1" ht="18.75" customHeight="1" x14ac:dyDescent="0.25">
      <c r="A268" s="47">
        <v>46202</v>
      </c>
      <c r="B268" s="43">
        <f t="shared" si="15"/>
        <v>46202</v>
      </c>
      <c r="C268" s="44" t="s">
        <v>814</v>
      </c>
      <c r="D268" s="48" t="s">
        <v>141</v>
      </c>
      <c r="E268" s="48">
        <v>3919</v>
      </c>
      <c r="F268" s="48">
        <v>1</v>
      </c>
      <c r="G268" s="48">
        <v>43443312</v>
      </c>
      <c r="H268" s="48" t="s">
        <v>630</v>
      </c>
      <c r="I268" s="45"/>
      <c r="J268" s="46">
        <f t="shared" si="16"/>
        <v>81.355932203389841</v>
      </c>
      <c r="K268" s="46"/>
      <c r="L268" s="46"/>
      <c r="M268" s="46"/>
      <c r="N268" s="46">
        <f t="shared" si="17"/>
        <v>14.644067796610171</v>
      </c>
      <c r="O268" s="46"/>
      <c r="P268" s="49">
        <v>96</v>
      </c>
      <c r="Q268" s="50"/>
      <c r="R268" s="43"/>
      <c r="S268" s="45"/>
      <c r="T268" s="44"/>
      <c r="U268" s="44"/>
      <c r="V268" s="51" t="s">
        <v>86</v>
      </c>
      <c r="W268" s="46"/>
      <c r="X268" s="47">
        <v>46202</v>
      </c>
      <c r="Y268" s="44" t="s">
        <v>87</v>
      </c>
      <c r="Z268" s="44"/>
      <c r="AA268" s="44"/>
      <c r="AB268" s="44" t="s">
        <v>813</v>
      </c>
      <c r="AC268" s="52"/>
      <c r="AD268" s="52">
        <v>1212</v>
      </c>
      <c r="AE268" s="54"/>
      <c r="AF268" s="55"/>
      <c r="AG268" s="55"/>
      <c r="AH268" s="56"/>
      <c r="AI268" s="56"/>
      <c r="AJ268" s="57"/>
      <c r="AK268" s="56"/>
      <c r="AL268" s="46">
        <v>18</v>
      </c>
      <c r="AM268" s="53" t="s">
        <v>941</v>
      </c>
      <c r="AN268" s="39"/>
      <c r="AO268" s="39"/>
      <c r="AP268" s="40"/>
    </row>
    <row r="269" spans="1:42" s="41" customFormat="1" ht="18.75" customHeight="1" x14ac:dyDescent="0.25">
      <c r="A269" s="47">
        <v>46202</v>
      </c>
      <c r="B269" s="43">
        <f t="shared" si="15"/>
        <v>46202</v>
      </c>
      <c r="C269" s="44" t="s">
        <v>814</v>
      </c>
      <c r="D269" s="48" t="s">
        <v>141</v>
      </c>
      <c r="E269" s="48">
        <v>3920</v>
      </c>
      <c r="F269" s="48">
        <v>1</v>
      </c>
      <c r="G269" s="48">
        <v>41264192</v>
      </c>
      <c r="H269" s="48" t="s">
        <v>632</v>
      </c>
      <c r="I269" s="45"/>
      <c r="J269" s="46">
        <f t="shared" si="16"/>
        <v>116.94915254237289</v>
      </c>
      <c r="K269" s="46"/>
      <c r="L269" s="46"/>
      <c r="M269" s="46"/>
      <c r="N269" s="46">
        <f t="shared" si="17"/>
        <v>21.050847457627118</v>
      </c>
      <c r="O269" s="46"/>
      <c r="P269" s="49">
        <v>138</v>
      </c>
      <c r="Q269" s="50"/>
      <c r="R269" s="43"/>
      <c r="S269" s="45"/>
      <c r="T269" s="44"/>
      <c r="U269" s="44"/>
      <c r="V269" s="51" t="s">
        <v>86</v>
      </c>
      <c r="W269" s="46"/>
      <c r="X269" s="47">
        <v>46202</v>
      </c>
      <c r="Y269" s="44" t="s">
        <v>87</v>
      </c>
      <c r="Z269" s="44"/>
      <c r="AA269" s="44"/>
      <c r="AB269" s="44" t="s">
        <v>813</v>
      </c>
      <c r="AC269" s="52"/>
      <c r="AD269" s="52">
        <v>1212</v>
      </c>
      <c r="AE269" s="54"/>
      <c r="AF269" s="55"/>
      <c r="AG269" s="55"/>
      <c r="AH269" s="56"/>
      <c r="AI269" s="56"/>
      <c r="AJ269" s="57"/>
      <c r="AK269" s="56"/>
      <c r="AL269" s="46">
        <v>18</v>
      </c>
      <c r="AM269" s="53" t="s">
        <v>941</v>
      </c>
      <c r="AN269" s="39"/>
      <c r="AO269" s="39"/>
      <c r="AP269" s="40"/>
    </row>
    <row r="270" spans="1:42" s="41" customFormat="1" ht="18.75" customHeight="1" x14ac:dyDescent="0.25">
      <c r="A270" s="47">
        <v>46202</v>
      </c>
      <c r="B270" s="43">
        <f t="shared" si="15"/>
        <v>46202</v>
      </c>
      <c r="C270" s="44" t="s">
        <v>814</v>
      </c>
      <c r="D270" s="48" t="s">
        <v>141</v>
      </c>
      <c r="E270" s="48">
        <v>3921</v>
      </c>
      <c r="F270" s="48">
        <v>1</v>
      </c>
      <c r="G270" s="48">
        <v>23237490</v>
      </c>
      <c r="H270" s="48" t="s">
        <v>634</v>
      </c>
      <c r="I270" s="45"/>
      <c r="J270" s="46">
        <f t="shared" si="16"/>
        <v>228.81355932203391</v>
      </c>
      <c r="K270" s="46"/>
      <c r="L270" s="46"/>
      <c r="M270" s="46"/>
      <c r="N270" s="46">
        <f t="shared" si="17"/>
        <v>41.186440677966104</v>
      </c>
      <c r="O270" s="46"/>
      <c r="P270" s="49">
        <v>270</v>
      </c>
      <c r="Q270" s="50"/>
      <c r="R270" s="43"/>
      <c r="S270" s="45"/>
      <c r="T270" s="44"/>
      <c r="U270" s="44"/>
      <c r="V270" s="51" t="s">
        <v>86</v>
      </c>
      <c r="W270" s="46"/>
      <c r="X270" s="47">
        <v>46202</v>
      </c>
      <c r="Y270" s="44" t="s">
        <v>87</v>
      </c>
      <c r="Z270" s="44"/>
      <c r="AA270" s="44"/>
      <c r="AB270" s="44" t="s">
        <v>813</v>
      </c>
      <c r="AC270" s="52"/>
      <c r="AD270" s="52">
        <v>1212</v>
      </c>
      <c r="AE270" s="54"/>
      <c r="AF270" s="55"/>
      <c r="AG270" s="55"/>
      <c r="AH270" s="56"/>
      <c r="AI270" s="56"/>
      <c r="AJ270" s="57"/>
      <c r="AK270" s="56"/>
      <c r="AL270" s="46">
        <v>18</v>
      </c>
      <c r="AM270" s="53" t="s">
        <v>941</v>
      </c>
      <c r="AN270" s="39"/>
      <c r="AO270" s="39"/>
      <c r="AP270" s="40"/>
    </row>
    <row r="271" spans="1:42" s="41" customFormat="1" ht="18.75" customHeight="1" x14ac:dyDescent="0.25">
      <c r="A271" s="47">
        <v>46202</v>
      </c>
      <c r="B271" s="43">
        <f t="shared" si="15"/>
        <v>46202</v>
      </c>
      <c r="C271" s="44" t="s">
        <v>814</v>
      </c>
      <c r="D271" s="48" t="s">
        <v>141</v>
      </c>
      <c r="E271" s="48">
        <v>3922</v>
      </c>
      <c r="F271" s="48">
        <v>1</v>
      </c>
      <c r="G271" s="48">
        <v>40867468</v>
      </c>
      <c r="H271" s="48" t="s">
        <v>600</v>
      </c>
      <c r="I271" s="45"/>
      <c r="J271" s="46">
        <f t="shared" si="16"/>
        <v>42.372881355932208</v>
      </c>
      <c r="K271" s="46"/>
      <c r="L271" s="46"/>
      <c r="M271" s="46"/>
      <c r="N271" s="46">
        <f t="shared" si="17"/>
        <v>7.6271186440677967</v>
      </c>
      <c r="O271" s="46"/>
      <c r="P271" s="49">
        <v>50</v>
      </c>
      <c r="Q271" s="50"/>
      <c r="R271" s="43"/>
      <c r="S271" s="45"/>
      <c r="T271" s="44"/>
      <c r="U271" s="44"/>
      <c r="V271" s="51" t="s">
        <v>86</v>
      </c>
      <c r="W271" s="46"/>
      <c r="X271" s="47">
        <v>46202</v>
      </c>
      <c r="Y271" s="44" t="s">
        <v>87</v>
      </c>
      <c r="Z271" s="44"/>
      <c r="AA271" s="44"/>
      <c r="AB271" s="44" t="s">
        <v>813</v>
      </c>
      <c r="AC271" s="52"/>
      <c r="AD271" s="52">
        <v>1212</v>
      </c>
      <c r="AE271" s="54"/>
      <c r="AF271" s="55"/>
      <c r="AG271" s="55"/>
      <c r="AH271" s="56"/>
      <c r="AI271" s="56"/>
      <c r="AJ271" s="57"/>
      <c r="AK271" s="56"/>
      <c r="AL271" s="46">
        <v>18</v>
      </c>
      <c r="AM271" s="53" t="s">
        <v>941</v>
      </c>
      <c r="AN271" s="39"/>
      <c r="AO271" s="39"/>
      <c r="AP271" s="40"/>
    </row>
    <row r="272" spans="1:42" s="41" customFormat="1" ht="18.75" customHeight="1" x14ac:dyDescent="0.25">
      <c r="A272" s="47">
        <v>46202</v>
      </c>
      <c r="B272" s="43">
        <f t="shared" si="15"/>
        <v>46202</v>
      </c>
      <c r="C272" s="44" t="s">
        <v>814</v>
      </c>
      <c r="D272" s="48" t="s">
        <v>141</v>
      </c>
      <c r="E272" s="48">
        <v>3923</v>
      </c>
      <c r="F272" s="48">
        <v>1</v>
      </c>
      <c r="G272" s="48">
        <v>71380093</v>
      </c>
      <c r="H272" s="48" t="s">
        <v>637</v>
      </c>
      <c r="I272" s="45"/>
      <c r="J272" s="46">
        <f t="shared" si="16"/>
        <v>76.271186440677965</v>
      </c>
      <c r="K272" s="46"/>
      <c r="L272" s="46"/>
      <c r="M272" s="46"/>
      <c r="N272" s="46">
        <f t="shared" si="17"/>
        <v>13.728813559322033</v>
      </c>
      <c r="O272" s="46"/>
      <c r="P272" s="49">
        <v>90</v>
      </c>
      <c r="Q272" s="50"/>
      <c r="R272" s="43"/>
      <c r="S272" s="45"/>
      <c r="T272" s="44"/>
      <c r="U272" s="44"/>
      <c r="V272" s="51" t="s">
        <v>86</v>
      </c>
      <c r="W272" s="46"/>
      <c r="X272" s="47">
        <v>46202</v>
      </c>
      <c r="Y272" s="44" t="s">
        <v>87</v>
      </c>
      <c r="Z272" s="44"/>
      <c r="AA272" s="44"/>
      <c r="AB272" s="44" t="s">
        <v>813</v>
      </c>
      <c r="AC272" s="52"/>
      <c r="AD272" s="52">
        <v>1212</v>
      </c>
      <c r="AE272" s="54"/>
      <c r="AF272" s="55"/>
      <c r="AG272" s="55"/>
      <c r="AH272" s="56"/>
      <c r="AI272" s="56"/>
      <c r="AJ272" s="57"/>
      <c r="AK272" s="56"/>
      <c r="AL272" s="46">
        <v>18</v>
      </c>
      <c r="AM272" s="53" t="s">
        <v>941</v>
      </c>
      <c r="AN272" s="39"/>
      <c r="AO272" s="39"/>
      <c r="AP272" s="40"/>
    </row>
    <row r="273" spans="1:42" s="41" customFormat="1" ht="18.75" customHeight="1" x14ac:dyDescent="0.25">
      <c r="A273" s="47">
        <v>46202</v>
      </c>
      <c r="B273" s="43">
        <f t="shared" si="15"/>
        <v>46202</v>
      </c>
      <c r="C273" s="44" t="s">
        <v>814</v>
      </c>
      <c r="D273" s="48" t="s">
        <v>141</v>
      </c>
      <c r="E273" s="48">
        <v>3924</v>
      </c>
      <c r="F273" s="48">
        <v>1</v>
      </c>
      <c r="G273" s="48">
        <v>71549263</v>
      </c>
      <c r="H273" s="48" t="s">
        <v>639</v>
      </c>
      <c r="I273" s="45"/>
      <c r="J273" s="46">
        <f t="shared" si="16"/>
        <v>186.4406779661017</v>
      </c>
      <c r="K273" s="46"/>
      <c r="L273" s="46"/>
      <c r="M273" s="46"/>
      <c r="N273" s="46">
        <f t="shared" si="17"/>
        <v>33.559322033898304</v>
      </c>
      <c r="O273" s="46"/>
      <c r="P273" s="49">
        <v>220</v>
      </c>
      <c r="Q273" s="50"/>
      <c r="R273" s="43"/>
      <c r="S273" s="45"/>
      <c r="T273" s="44"/>
      <c r="U273" s="44"/>
      <c r="V273" s="51" t="s">
        <v>86</v>
      </c>
      <c r="W273" s="46"/>
      <c r="X273" s="47">
        <v>46202</v>
      </c>
      <c r="Y273" s="44" t="s">
        <v>87</v>
      </c>
      <c r="Z273" s="44"/>
      <c r="AA273" s="44"/>
      <c r="AB273" s="44" t="s">
        <v>813</v>
      </c>
      <c r="AC273" s="52"/>
      <c r="AD273" s="52">
        <v>1212</v>
      </c>
      <c r="AE273" s="54"/>
      <c r="AF273" s="55"/>
      <c r="AG273" s="55"/>
      <c r="AH273" s="56"/>
      <c r="AI273" s="56"/>
      <c r="AJ273" s="57"/>
      <c r="AK273" s="56"/>
      <c r="AL273" s="46">
        <v>18</v>
      </c>
      <c r="AM273" s="53" t="s">
        <v>941</v>
      </c>
      <c r="AN273" s="39"/>
      <c r="AO273" s="39"/>
      <c r="AP273" s="40"/>
    </row>
    <row r="274" spans="1:42" s="41" customFormat="1" ht="18.75" customHeight="1" x14ac:dyDescent="0.25">
      <c r="A274" s="47">
        <v>46202</v>
      </c>
      <c r="B274" s="43">
        <f t="shared" si="15"/>
        <v>46202</v>
      </c>
      <c r="C274" s="44" t="s">
        <v>814</v>
      </c>
      <c r="D274" s="48" t="s">
        <v>141</v>
      </c>
      <c r="E274" s="48">
        <v>3925</v>
      </c>
      <c r="F274" s="48">
        <v>1</v>
      </c>
      <c r="G274" s="48">
        <v>44382015</v>
      </c>
      <c r="H274" s="48" t="s">
        <v>641</v>
      </c>
      <c r="I274" s="45"/>
      <c r="J274" s="46">
        <f t="shared" si="16"/>
        <v>43.220338983050851</v>
      </c>
      <c r="K274" s="46"/>
      <c r="L274" s="46"/>
      <c r="M274" s="46"/>
      <c r="N274" s="46">
        <f t="shared" si="17"/>
        <v>7.7796610169491531</v>
      </c>
      <c r="O274" s="46"/>
      <c r="P274" s="49">
        <v>51</v>
      </c>
      <c r="Q274" s="50"/>
      <c r="R274" s="43"/>
      <c r="S274" s="45"/>
      <c r="T274" s="44"/>
      <c r="U274" s="44"/>
      <c r="V274" s="51" t="s">
        <v>86</v>
      </c>
      <c r="W274" s="46"/>
      <c r="X274" s="47">
        <v>46202</v>
      </c>
      <c r="Y274" s="44" t="s">
        <v>87</v>
      </c>
      <c r="Z274" s="44"/>
      <c r="AA274" s="44"/>
      <c r="AB274" s="44" t="s">
        <v>813</v>
      </c>
      <c r="AC274" s="52"/>
      <c r="AD274" s="52">
        <v>1212</v>
      </c>
      <c r="AE274" s="54"/>
      <c r="AF274" s="55"/>
      <c r="AG274" s="55"/>
      <c r="AH274" s="56"/>
      <c r="AI274" s="56"/>
      <c r="AJ274" s="57"/>
      <c r="AK274" s="56"/>
      <c r="AL274" s="46">
        <v>18</v>
      </c>
      <c r="AM274" s="53" t="s">
        <v>941</v>
      </c>
      <c r="AN274" s="39"/>
      <c r="AO274" s="39"/>
      <c r="AP274" s="40"/>
    </row>
    <row r="275" spans="1:42" s="41" customFormat="1" ht="18.75" customHeight="1" x14ac:dyDescent="0.25">
      <c r="A275" s="47">
        <v>46202</v>
      </c>
      <c r="B275" s="43">
        <f t="shared" si="15"/>
        <v>46202</v>
      </c>
      <c r="C275" s="44" t="s">
        <v>814</v>
      </c>
      <c r="D275" s="48" t="s">
        <v>141</v>
      </c>
      <c r="E275" s="48">
        <v>3926</v>
      </c>
      <c r="F275" s="48">
        <v>1</v>
      </c>
      <c r="G275" s="48">
        <v>10515186</v>
      </c>
      <c r="H275" s="48" t="s">
        <v>286</v>
      </c>
      <c r="I275" s="45"/>
      <c r="J275" s="46">
        <f t="shared" si="16"/>
        <v>122.03389830508475</v>
      </c>
      <c r="K275" s="46"/>
      <c r="L275" s="46"/>
      <c r="M275" s="46"/>
      <c r="N275" s="46">
        <f t="shared" si="17"/>
        <v>21.966101694915253</v>
      </c>
      <c r="O275" s="46"/>
      <c r="P275" s="49">
        <v>144</v>
      </c>
      <c r="Q275" s="50"/>
      <c r="R275" s="43"/>
      <c r="S275" s="45"/>
      <c r="T275" s="44"/>
      <c r="U275" s="44"/>
      <c r="V275" s="51" t="s">
        <v>86</v>
      </c>
      <c r="W275" s="46"/>
      <c r="X275" s="47">
        <v>46202</v>
      </c>
      <c r="Y275" s="44" t="s">
        <v>87</v>
      </c>
      <c r="Z275" s="44"/>
      <c r="AA275" s="44"/>
      <c r="AB275" s="44" t="s">
        <v>813</v>
      </c>
      <c r="AC275" s="52"/>
      <c r="AD275" s="52">
        <v>1212</v>
      </c>
      <c r="AE275" s="54"/>
      <c r="AF275" s="55"/>
      <c r="AG275" s="55"/>
      <c r="AH275" s="56"/>
      <c r="AI275" s="56"/>
      <c r="AJ275" s="57"/>
      <c r="AK275" s="56"/>
      <c r="AL275" s="46">
        <v>18</v>
      </c>
      <c r="AM275" s="53" t="s">
        <v>941</v>
      </c>
      <c r="AN275" s="39"/>
      <c r="AO275" s="39"/>
      <c r="AP275" s="40"/>
    </row>
    <row r="276" spans="1:42" s="41" customFormat="1" ht="18.75" customHeight="1" x14ac:dyDescent="0.25">
      <c r="A276" s="47">
        <v>46202</v>
      </c>
      <c r="B276" s="43">
        <f t="shared" si="15"/>
        <v>46202</v>
      </c>
      <c r="C276" s="44" t="s">
        <v>814</v>
      </c>
      <c r="D276" s="48" t="s">
        <v>141</v>
      </c>
      <c r="E276" s="48">
        <v>3927</v>
      </c>
      <c r="F276" s="48">
        <v>1</v>
      </c>
      <c r="G276" s="48">
        <v>10796885</v>
      </c>
      <c r="H276" s="48" t="s">
        <v>644</v>
      </c>
      <c r="I276" s="45"/>
      <c r="J276" s="46">
        <f t="shared" si="16"/>
        <v>42.372881355932208</v>
      </c>
      <c r="K276" s="46"/>
      <c r="L276" s="46"/>
      <c r="M276" s="46"/>
      <c r="N276" s="46">
        <f t="shared" si="17"/>
        <v>7.6271186440677967</v>
      </c>
      <c r="O276" s="46"/>
      <c r="P276" s="49">
        <v>50</v>
      </c>
      <c r="Q276" s="50"/>
      <c r="R276" s="43"/>
      <c r="S276" s="45"/>
      <c r="T276" s="44"/>
      <c r="U276" s="44"/>
      <c r="V276" s="51" t="s">
        <v>86</v>
      </c>
      <c r="W276" s="46"/>
      <c r="X276" s="47">
        <v>46202</v>
      </c>
      <c r="Y276" s="44" t="s">
        <v>87</v>
      </c>
      <c r="Z276" s="44"/>
      <c r="AA276" s="44"/>
      <c r="AB276" s="44" t="s">
        <v>813</v>
      </c>
      <c r="AC276" s="52"/>
      <c r="AD276" s="52">
        <v>1212</v>
      </c>
      <c r="AE276" s="54"/>
      <c r="AF276" s="55"/>
      <c r="AG276" s="55"/>
      <c r="AH276" s="56"/>
      <c r="AI276" s="56"/>
      <c r="AJ276" s="57"/>
      <c r="AK276" s="56"/>
      <c r="AL276" s="46">
        <v>18</v>
      </c>
      <c r="AM276" s="53" t="s">
        <v>941</v>
      </c>
      <c r="AN276" s="39"/>
      <c r="AO276" s="39"/>
      <c r="AP276" s="40"/>
    </row>
    <row r="277" spans="1:42" s="41" customFormat="1" ht="18.75" customHeight="1" x14ac:dyDescent="0.25">
      <c r="A277" s="47">
        <v>46202</v>
      </c>
      <c r="B277" s="43">
        <f t="shared" si="15"/>
        <v>46202</v>
      </c>
      <c r="C277" s="44" t="s">
        <v>814</v>
      </c>
      <c r="D277" s="48" t="s">
        <v>141</v>
      </c>
      <c r="E277" s="48">
        <v>3928</v>
      </c>
      <c r="F277" s="48">
        <v>1</v>
      </c>
      <c r="G277" s="48">
        <v>10515186</v>
      </c>
      <c r="H277" s="48" t="s">
        <v>286</v>
      </c>
      <c r="I277" s="45"/>
      <c r="J277" s="46">
        <f t="shared" si="16"/>
        <v>84.745762711864415</v>
      </c>
      <c r="K277" s="46"/>
      <c r="L277" s="46"/>
      <c r="M277" s="46"/>
      <c r="N277" s="46">
        <f t="shared" si="17"/>
        <v>15.254237288135593</v>
      </c>
      <c r="O277" s="46"/>
      <c r="P277" s="49">
        <v>100</v>
      </c>
      <c r="Q277" s="50"/>
      <c r="R277" s="43"/>
      <c r="S277" s="45"/>
      <c r="T277" s="44"/>
      <c r="U277" s="44"/>
      <c r="V277" s="51" t="s">
        <v>86</v>
      </c>
      <c r="W277" s="46"/>
      <c r="X277" s="47">
        <v>46202</v>
      </c>
      <c r="Y277" s="44" t="s">
        <v>87</v>
      </c>
      <c r="Z277" s="44"/>
      <c r="AA277" s="44"/>
      <c r="AB277" s="44" t="s">
        <v>813</v>
      </c>
      <c r="AC277" s="52"/>
      <c r="AD277" s="52">
        <v>1212</v>
      </c>
      <c r="AE277" s="54"/>
      <c r="AF277" s="55"/>
      <c r="AG277" s="55"/>
      <c r="AH277" s="56"/>
      <c r="AI277" s="56"/>
      <c r="AJ277" s="57"/>
      <c r="AK277" s="56"/>
      <c r="AL277" s="46">
        <v>18</v>
      </c>
      <c r="AM277" s="53" t="s">
        <v>941</v>
      </c>
      <c r="AN277" s="39"/>
      <c r="AO277" s="39"/>
      <c r="AP277" s="40"/>
    </row>
    <row r="278" spans="1:42" s="41" customFormat="1" ht="18.75" customHeight="1" x14ac:dyDescent="0.25">
      <c r="A278" s="47">
        <v>46202</v>
      </c>
      <c r="B278" s="43">
        <f t="shared" si="15"/>
        <v>46202</v>
      </c>
      <c r="C278" s="44" t="s">
        <v>814</v>
      </c>
      <c r="D278" s="48" t="s">
        <v>141</v>
      </c>
      <c r="E278" s="48">
        <v>3929</v>
      </c>
      <c r="F278" s="48">
        <v>1</v>
      </c>
      <c r="G278" s="48">
        <v>19975637</v>
      </c>
      <c r="H278" s="48" t="s">
        <v>647</v>
      </c>
      <c r="I278" s="45"/>
      <c r="J278" s="46">
        <f t="shared" si="16"/>
        <v>81.355932203389841</v>
      </c>
      <c r="K278" s="46"/>
      <c r="L278" s="46"/>
      <c r="M278" s="46"/>
      <c r="N278" s="46">
        <f t="shared" si="17"/>
        <v>14.644067796610171</v>
      </c>
      <c r="O278" s="46"/>
      <c r="P278" s="49">
        <v>96</v>
      </c>
      <c r="Q278" s="50"/>
      <c r="R278" s="43"/>
      <c r="S278" s="45"/>
      <c r="T278" s="44"/>
      <c r="U278" s="44"/>
      <c r="V278" s="51" t="s">
        <v>86</v>
      </c>
      <c r="W278" s="46"/>
      <c r="X278" s="47">
        <v>46202</v>
      </c>
      <c r="Y278" s="44" t="s">
        <v>87</v>
      </c>
      <c r="Z278" s="44"/>
      <c r="AA278" s="44"/>
      <c r="AB278" s="44" t="s">
        <v>813</v>
      </c>
      <c r="AC278" s="52"/>
      <c r="AD278" s="52">
        <v>1212</v>
      </c>
      <c r="AE278" s="54"/>
      <c r="AF278" s="55"/>
      <c r="AG278" s="55"/>
      <c r="AH278" s="56"/>
      <c r="AI278" s="56"/>
      <c r="AJ278" s="57"/>
      <c r="AK278" s="56"/>
      <c r="AL278" s="46">
        <v>18</v>
      </c>
      <c r="AM278" s="53" t="s">
        <v>941</v>
      </c>
      <c r="AN278" s="39"/>
      <c r="AO278" s="39"/>
      <c r="AP278" s="40"/>
    </row>
    <row r="279" spans="1:42" s="41" customFormat="1" ht="18.75" customHeight="1" x14ac:dyDescent="0.25">
      <c r="A279" s="47">
        <v>46202</v>
      </c>
      <c r="B279" s="43">
        <f t="shared" si="15"/>
        <v>46202</v>
      </c>
      <c r="C279" s="44" t="s">
        <v>814</v>
      </c>
      <c r="D279" s="48" t="s">
        <v>141</v>
      </c>
      <c r="E279" s="48">
        <v>3930</v>
      </c>
      <c r="F279" s="48">
        <v>1</v>
      </c>
      <c r="G279" s="48">
        <v>19974546</v>
      </c>
      <c r="H279" s="48" t="s">
        <v>649</v>
      </c>
      <c r="I279" s="45"/>
      <c r="J279" s="46">
        <f t="shared" si="16"/>
        <v>116.94915254237289</v>
      </c>
      <c r="K279" s="46"/>
      <c r="L279" s="46"/>
      <c r="M279" s="46"/>
      <c r="N279" s="46">
        <f t="shared" si="17"/>
        <v>21.050847457627118</v>
      </c>
      <c r="O279" s="46"/>
      <c r="P279" s="49">
        <v>138</v>
      </c>
      <c r="Q279" s="50"/>
      <c r="R279" s="43"/>
      <c r="S279" s="45"/>
      <c r="T279" s="44"/>
      <c r="U279" s="44"/>
      <c r="V279" s="51" t="s">
        <v>86</v>
      </c>
      <c r="W279" s="46"/>
      <c r="X279" s="47">
        <v>46202</v>
      </c>
      <c r="Y279" s="44" t="s">
        <v>87</v>
      </c>
      <c r="Z279" s="44"/>
      <c r="AA279" s="44"/>
      <c r="AB279" s="44" t="s">
        <v>813</v>
      </c>
      <c r="AC279" s="52"/>
      <c r="AD279" s="52">
        <v>1212</v>
      </c>
      <c r="AE279" s="54"/>
      <c r="AF279" s="55"/>
      <c r="AG279" s="55"/>
      <c r="AH279" s="56"/>
      <c r="AI279" s="56"/>
      <c r="AJ279" s="57"/>
      <c r="AK279" s="56"/>
      <c r="AL279" s="46">
        <v>18</v>
      </c>
      <c r="AM279" s="53" t="s">
        <v>941</v>
      </c>
      <c r="AN279" s="39"/>
      <c r="AO279" s="39"/>
      <c r="AP279" s="40"/>
    </row>
    <row r="280" spans="1:42" s="41" customFormat="1" ht="18.75" customHeight="1" x14ac:dyDescent="0.25">
      <c r="A280" s="47">
        <v>46202</v>
      </c>
      <c r="B280" s="43">
        <f t="shared" si="15"/>
        <v>46202</v>
      </c>
      <c r="C280" s="44" t="s">
        <v>814</v>
      </c>
      <c r="D280" s="48" t="s">
        <v>141</v>
      </c>
      <c r="E280" s="48">
        <v>3931</v>
      </c>
      <c r="F280" s="48">
        <v>1</v>
      </c>
      <c r="G280" s="48">
        <v>45180346</v>
      </c>
      <c r="H280" s="48" t="s">
        <v>651</v>
      </c>
      <c r="I280" s="45"/>
      <c r="J280" s="46">
        <f t="shared" si="16"/>
        <v>43.220338983050851</v>
      </c>
      <c r="K280" s="46"/>
      <c r="L280" s="46"/>
      <c r="M280" s="46"/>
      <c r="N280" s="46">
        <f t="shared" si="17"/>
        <v>7.7796610169491531</v>
      </c>
      <c r="O280" s="46"/>
      <c r="P280" s="49">
        <v>51</v>
      </c>
      <c r="Q280" s="50"/>
      <c r="R280" s="43"/>
      <c r="S280" s="45"/>
      <c r="T280" s="44"/>
      <c r="U280" s="44"/>
      <c r="V280" s="51" t="s">
        <v>86</v>
      </c>
      <c r="W280" s="46"/>
      <c r="X280" s="47">
        <v>46202</v>
      </c>
      <c r="Y280" s="44" t="s">
        <v>87</v>
      </c>
      <c r="Z280" s="44"/>
      <c r="AA280" s="44"/>
      <c r="AB280" s="44" t="s">
        <v>813</v>
      </c>
      <c r="AC280" s="52"/>
      <c r="AD280" s="52">
        <v>1212</v>
      </c>
      <c r="AE280" s="54"/>
      <c r="AF280" s="55"/>
      <c r="AG280" s="55"/>
      <c r="AH280" s="56"/>
      <c r="AI280" s="56"/>
      <c r="AJ280" s="57"/>
      <c r="AK280" s="56"/>
      <c r="AL280" s="46">
        <v>18</v>
      </c>
      <c r="AM280" s="53" t="s">
        <v>941</v>
      </c>
      <c r="AN280" s="39"/>
      <c r="AO280" s="39"/>
      <c r="AP280" s="40"/>
    </row>
    <row r="281" spans="1:42" s="41" customFormat="1" ht="18.75" customHeight="1" x14ac:dyDescent="0.25">
      <c r="A281" s="47">
        <v>46202</v>
      </c>
      <c r="B281" s="43">
        <f t="shared" si="15"/>
        <v>46202</v>
      </c>
      <c r="C281" s="44" t="s">
        <v>814</v>
      </c>
      <c r="D281" s="48" t="s">
        <v>141</v>
      </c>
      <c r="E281" s="48">
        <v>3932</v>
      </c>
      <c r="F281" s="48">
        <v>1</v>
      </c>
      <c r="G281" s="48">
        <v>47006834</v>
      </c>
      <c r="H281" s="48" t="s">
        <v>653</v>
      </c>
      <c r="I281" s="45"/>
      <c r="J281" s="46">
        <f t="shared" si="16"/>
        <v>81.355932203389841</v>
      </c>
      <c r="K281" s="46"/>
      <c r="L281" s="46"/>
      <c r="M281" s="46"/>
      <c r="N281" s="46">
        <f t="shared" si="17"/>
        <v>14.644067796610171</v>
      </c>
      <c r="O281" s="46"/>
      <c r="P281" s="49">
        <v>96</v>
      </c>
      <c r="Q281" s="50"/>
      <c r="R281" s="43"/>
      <c r="S281" s="45"/>
      <c r="T281" s="44"/>
      <c r="U281" s="44"/>
      <c r="V281" s="51" t="s">
        <v>86</v>
      </c>
      <c r="W281" s="46"/>
      <c r="X281" s="47">
        <v>46202</v>
      </c>
      <c r="Y281" s="44" t="s">
        <v>87</v>
      </c>
      <c r="Z281" s="44"/>
      <c r="AA281" s="44"/>
      <c r="AB281" s="44" t="s">
        <v>813</v>
      </c>
      <c r="AC281" s="52"/>
      <c r="AD281" s="52">
        <v>1212</v>
      </c>
      <c r="AE281" s="54"/>
      <c r="AF281" s="55"/>
      <c r="AG281" s="55"/>
      <c r="AH281" s="56"/>
      <c r="AI281" s="56"/>
      <c r="AJ281" s="57"/>
      <c r="AK281" s="56"/>
      <c r="AL281" s="46">
        <v>18</v>
      </c>
      <c r="AM281" s="53" t="s">
        <v>941</v>
      </c>
      <c r="AN281" s="39"/>
      <c r="AO281" s="39"/>
      <c r="AP281" s="40"/>
    </row>
    <row r="282" spans="1:42" s="41" customFormat="1" ht="18.75" customHeight="1" x14ac:dyDescent="0.25">
      <c r="A282" s="47">
        <v>46202</v>
      </c>
      <c r="B282" s="43">
        <f t="shared" si="15"/>
        <v>46202</v>
      </c>
      <c r="C282" s="44" t="s">
        <v>814</v>
      </c>
      <c r="D282" s="48" t="s">
        <v>141</v>
      </c>
      <c r="E282" s="48">
        <v>3933</v>
      </c>
      <c r="F282" s="48">
        <v>1</v>
      </c>
      <c r="G282" s="48">
        <v>60210275</v>
      </c>
      <c r="H282" s="48" t="s">
        <v>655</v>
      </c>
      <c r="I282" s="45"/>
      <c r="J282" s="46">
        <f t="shared" si="16"/>
        <v>114.40677966101696</v>
      </c>
      <c r="K282" s="46"/>
      <c r="L282" s="46"/>
      <c r="M282" s="46"/>
      <c r="N282" s="46">
        <f t="shared" si="17"/>
        <v>20.593220338983052</v>
      </c>
      <c r="O282" s="46"/>
      <c r="P282" s="49">
        <v>135</v>
      </c>
      <c r="Q282" s="50"/>
      <c r="R282" s="43"/>
      <c r="S282" s="45"/>
      <c r="T282" s="44"/>
      <c r="U282" s="44"/>
      <c r="V282" s="51" t="s">
        <v>86</v>
      </c>
      <c r="W282" s="46"/>
      <c r="X282" s="47">
        <v>46202</v>
      </c>
      <c r="Y282" s="44" t="s">
        <v>87</v>
      </c>
      <c r="Z282" s="44"/>
      <c r="AA282" s="44"/>
      <c r="AB282" s="44" t="s">
        <v>813</v>
      </c>
      <c r="AC282" s="52"/>
      <c r="AD282" s="52">
        <v>1212</v>
      </c>
      <c r="AE282" s="54"/>
      <c r="AF282" s="55"/>
      <c r="AG282" s="55"/>
      <c r="AH282" s="56"/>
      <c r="AI282" s="56"/>
      <c r="AJ282" s="57"/>
      <c r="AK282" s="56"/>
      <c r="AL282" s="46">
        <v>18</v>
      </c>
      <c r="AM282" s="53" t="s">
        <v>941</v>
      </c>
      <c r="AN282" s="39"/>
      <c r="AO282" s="39"/>
      <c r="AP282" s="40"/>
    </row>
    <row r="283" spans="1:42" s="41" customFormat="1" ht="18.75" customHeight="1" x14ac:dyDescent="0.25">
      <c r="A283" s="47">
        <v>46202</v>
      </c>
      <c r="B283" s="43">
        <f t="shared" si="15"/>
        <v>46202</v>
      </c>
      <c r="C283" s="44" t="s">
        <v>814</v>
      </c>
      <c r="D283" s="48" t="s">
        <v>141</v>
      </c>
      <c r="E283" s="48">
        <v>3934</v>
      </c>
      <c r="F283" s="48">
        <v>1</v>
      </c>
      <c r="G283" s="48">
        <v>71414600</v>
      </c>
      <c r="H283" s="48" t="s">
        <v>657</v>
      </c>
      <c r="I283" s="45"/>
      <c r="J283" s="46">
        <f t="shared" si="16"/>
        <v>223.72881355932205</v>
      </c>
      <c r="K283" s="46"/>
      <c r="L283" s="46"/>
      <c r="M283" s="46"/>
      <c r="N283" s="46">
        <f t="shared" si="17"/>
        <v>40.271186440677965</v>
      </c>
      <c r="O283" s="46"/>
      <c r="P283" s="49">
        <v>264</v>
      </c>
      <c r="Q283" s="50"/>
      <c r="R283" s="43"/>
      <c r="S283" s="45"/>
      <c r="T283" s="44"/>
      <c r="U283" s="44"/>
      <c r="V283" s="51" t="s">
        <v>86</v>
      </c>
      <c r="W283" s="46"/>
      <c r="X283" s="47">
        <v>46202</v>
      </c>
      <c r="Y283" s="44" t="s">
        <v>87</v>
      </c>
      <c r="Z283" s="44"/>
      <c r="AA283" s="44"/>
      <c r="AB283" s="44" t="s">
        <v>813</v>
      </c>
      <c r="AC283" s="52"/>
      <c r="AD283" s="52">
        <v>1212</v>
      </c>
      <c r="AE283" s="54"/>
      <c r="AF283" s="55"/>
      <c r="AG283" s="55"/>
      <c r="AH283" s="56"/>
      <c r="AI283" s="56"/>
      <c r="AJ283" s="57"/>
      <c r="AK283" s="56"/>
      <c r="AL283" s="46">
        <v>18</v>
      </c>
      <c r="AM283" s="53" t="s">
        <v>941</v>
      </c>
      <c r="AN283" s="39"/>
      <c r="AO283" s="39"/>
      <c r="AP283" s="40"/>
    </row>
    <row r="284" spans="1:42" s="41" customFormat="1" ht="18.75" customHeight="1" x14ac:dyDescent="0.25">
      <c r="A284" s="47">
        <v>46202</v>
      </c>
      <c r="B284" s="43">
        <f t="shared" si="15"/>
        <v>46202</v>
      </c>
      <c r="C284" s="44" t="s">
        <v>814</v>
      </c>
      <c r="D284" s="48" t="s">
        <v>141</v>
      </c>
      <c r="E284" s="48">
        <v>3935</v>
      </c>
      <c r="F284" s="48">
        <v>1</v>
      </c>
      <c r="G284" s="48">
        <v>23217674</v>
      </c>
      <c r="H284" s="48" t="s">
        <v>551</v>
      </c>
      <c r="I284" s="45"/>
      <c r="J284" s="46">
        <f t="shared" si="16"/>
        <v>42.372881355932208</v>
      </c>
      <c r="K284" s="46"/>
      <c r="L284" s="46"/>
      <c r="M284" s="46"/>
      <c r="N284" s="46">
        <f t="shared" si="17"/>
        <v>7.6271186440677967</v>
      </c>
      <c r="O284" s="46"/>
      <c r="P284" s="49">
        <v>50</v>
      </c>
      <c r="Q284" s="50"/>
      <c r="R284" s="43"/>
      <c r="S284" s="45"/>
      <c r="T284" s="44"/>
      <c r="U284" s="44"/>
      <c r="V284" s="51" t="s">
        <v>86</v>
      </c>
      <c r="W284" s="46"/>
      <c r="X284" s="47">
        <v>46202</v>
      </c>
      <c r="Y284" s="44" t="s">
        <v>87</v>
      </c>
      <c r="Z284" s="44"/>
      <c r="AA284" s="44"/>
      <c r="AB284" s="44" t="s">
        <v>813</v>
      </c>
      <c r="AC284" s="52"/>
      <c r="AD284" s="52">
        <v>1212</v>
      </c>
      <c r="AE284" s="54"/>
      <c r="AF284" s="55"/>
      <c r="AG284" s="55"/>
      <c r="AH284" s="56"/>
      <c r="AI284" s="56"/>
      <c r="AJ284" s="57"/>
      <c r="AK284" s="56"/>
      <c r="AL284" s="46">
        <v>18</v>
      </c>
      <c r="AM284" s="53" t="s">
        <v>941</v>
      </c>
      <c r="AN284" s="39"/>
      <c r="AO284" s="39"/>
      <c r="AP284" s="40"/>
    </row>
    <row r="285" spans="1:42" s="41" customFormat="1" ht="18.75" customHeight="1" x14ac:dyDescent="0.25">
      <c r="A285" s="47">
        <v>46202</v>
      </c>
      <c r="B285" s="43">
        <f t="shared" si="15"/>
        <v>46202</v>
      </c>
      <c r="C285" s="44" t="s">
        <v>814</v>
      </c>
      <c r="D285" s="48" t="s">
        <v>141</v>
      </c>
      <c r="E285" s="48">
        <v>3936</v>
      </c>
      <c r="F285" s="48">
        <v>1</v>
      </c>
      <c r="G285" s="48">
        <v>40759200</v>
      </c>
      <c r="H285" s="48" t="s">
        <v>549</v>
      </c>
      <c r="I285" s="45"/>
      <c r="J285" s="46">
        <f t="shared" si="16"/>
        <v>81.355932203389841</v>
      </c>
      <c r="K285" s="46"/>
      <c r="L285" s="46"/>
      <c r="M285" s="46"/>
      <c r="N285" s="46">
        <f t="shared" si="17"/>
        <v>14.644067796610171</v>
      </c>
      <c r="O285" s="46"/>
      <c r="P285" s="49">
        <v>96</v>
      </c>
      <c r="Q285" s="50"/>
      <c r="R285" s="43"/>
      <c r="S285" s="45"/>
      <c r="T285" s="44"/>
      <c r="U285" s="44"/>
      <c r="V285" s="51" t="s">
        <v>86</v>
      </c>
      <c r="W285" s="46"/>
      <c r="X285" s="47">
        <v>46202</v>
      </c>
      <c r="Y285" s="44" t="s">
        <v>87</v>
      </c>
      <c r="Z285" s="44"/>
      <c r="AA285" s="44"/>
      <c r="AB285" s="44" t="s">
        <v>813</v>
      </c>
      <c r="AC285" s="52"/>
      <c r="AD285" s="52">
        <v>1212</v>
      </c>
      <c r="AE285" s="54"/>
      <c r="AF285" s="55"/>
      <c r="AG285" s="55"/>
      <c r="AH285" s="56"/>
      <c r="AI285" s="56"/>
      <c r="AJ285" s="57"/>
      <c r="AK285" s="56"/>
      <c r="AL285" s="46">
        <v>18</v>
      </c>
      <c r="AM285" s="53" t="s">
        <v>941</v>
      </c>
      <c r="AN285" s="39"/>
      <c r="AO285" s="39"/>
      <c r="AP285" s="40"/>
    </row>
    <row r="286" spans="1:42" s="41" customFormat="1" ht="18.75" customHeight="1" x14ac:dyDescent="0.25">
      <c r="A286" s="47">
        <v>46202</v>
      </c>
      <c r="B286" s="43">
        <f t="shared" si="15"/>
        <v>46202</v>
      </c>
      <c r="C286" s="44" t="s">
        <v>814</v>
      </c>
      <c r="D286" s="48" t="s">
        <v>141</v>
      </c>
      <c r="E286" s="48">
        <v>3937</v>
      </c>
      <c r="F286" s="48">
        <v>1</v>
      </c>
      <c r="G286" s="48">
        <v>43225930</v>
      </c>
      <c r="H286" s="48" t="s">
        <v>553</v>
      </c>
      <c r="I286" s="45"/>
      <c r="J286" s="46">
        <f t="shared" si="16"/>
        <v>129.66101694915255</v>
      </c>
      <c r="K286" s="46"/>
      <c r="L286" s="46"/>
      <c r="M286" s="46"/>
      <c r="N286" s="46">
        <f t="shared" si="17"/>
        <v>23.33898305084746</v>
      </c>
      <c r="O286" s="46"/>
      <c r="P286" s="49">
        <v>153</v>
      </c>
      <c r="Q286" s="50"/>
      <c r="R286" s="43"/>
      <c r="S286" s="45"/>
      <c r="T286" s="44"/>
      <c r="U286" s="44"/>
      <c r="V286" s="51" t="s">
        <v>86</v>
      </c>
      <c r="W286" s="46"/>
      <c r="X286" s="47">
        <v>46202</v>
      </c>
      <c r="Y286" s="44" t="s">
        <v>87</v>
      </c>
      <c r="Z286" s="44"/>
      <c r="AA286" s="44"/>
      <c r="AB286" s="44" t="s">
        <v>813</v>
      </c>
      <c r="AC286" s="52"/>
      <c r="AD286" s="52">
        <v>1212</v>
      </c>
      <c r="AE286" s="54"/>
      <c r="AF286" s="55"/>
      <c r="AG286" s="55"/>
      <c r="AH286" s="56"/>
      <c r="AI286" s="56"/>
      <c r="AJ286" s="57"/>
      <c r="AK286" s="56"/>
      <c r="AL286" s="46">
        <v>18</v>
      </c>
      <c r="AM286" s="53" t="s">
        <v>941</v>
      </c>
      <c r="AN286" s="39"/>
      <c r="AO286" s="39"/>
      <c r="AP286" s="40"/>
    </row>
    <row r="287" spans="1:42" s="41" customFormat="1" ht="18.75" customHeight="1" x14ac:dyDescent="0.25">
      <c r="A287" s="47">
        <v>46202</v>
      </c>
      <c r="B287" s="43">
        <f t="shared" si="15"/>
        <v>46202</v>
      </c>
      <c r="C287" s="44" t="s">
        <v>814</v>
      </c>
      <c r="D287" s="48" t="s">
        <v>141</v>
      </c>
      <c r="E287" s="48">
        <v>3938</v>
      </c>
      <c r="F287" s="48">
        <v>1</v>
      </c>
      <c r="G287" s="48">
        <v>71546205</v>
      </c>
      <c r="H287" s="48" t="s">
        <v>555</v>
      </c>
      <c r="I287" s="45"/>
      <c r="J287" s="46">
        <f t="shared" si="16"/>
        <v>223.72881355932205</v>
      </c>
      <c r="K287" s="46"/>
      <c r="L287" s="46"/>
      <c r="M287" s="46"/>
      <c r="N287" s="46">
        <f t="shared" si="17"/>
        <v>40.271186440677965</v>
      </c>
      <c r="O287" s="46"/>
      <c r="P287" s="49">
        <v>264</v>
      </c>
      <c r="Q287" s="50"/>
      <c r="R287" s="43"/>
      <c r="S287" s="45"/>
      <c r="T287" s="44"/>
      <c r="U287" s="44"/>
      <c r="V287" s="51" t="s">
        <v>86</v>
      </c>
      <c r="W287" s="46"/>
      <c r="X287" s="47">
        <v>46202</v>
      </c>
      <c r="Y287" s="44" t="s">
        <v>87</v>
      </c>
      <c r="Z287" s="44"/>
      <c r="AA287" s="44"/>
      <c r="AB287" s="44" t="s">
        <v>813</v>
      </c>
      <c r="AC287" s="52"/>
      <c r="AD287" s="52">
        <v>1212</v>
      </c>
      <c r="AE287" s="54"/>
      <c r="AF287" s="55"/>
      <c r="AG287" s="55"/>
      <c r="AH287" s="56"/>
      <c r="AI287" s="56"/>
      <c r="AJ287" s="57"/>
      <c r="AK287" s="56"/>
      <c r="AL287" s="46">
        <v>18</v>
      </c>
      <c r="AM287" s="53" t="s">
        <v>941</v>
      </c>
      <c r="AN287" s="39"/>
      <c r="AO287" s="39"/>
      <c r="AP287" s="40"/>
    </row>
    <row r="288" spans="1:42" s="41" customFormat="1" ht="18.75" customHeight="1" x14ac:dyDescent="0.25">
      <c r="A288" s="47">
        <v>46202</v>
      </c>
      <c r="B288" s="43">
        <f t="shared" si="15"/>
        <v>46202</v>
      </c>
      <c r="C288" s="44" t="s">
        <v>814</v>
      </c>
      <c r="D288" s="48" t="s">
        <v>141</v>
      </c>
      <c r="E288" s="48">
        <v>3939</v>
      </c>
      <c r="F288" s="48">
        <v>1</v>
      </c>
      <c r="G288" s="48">
        <v>44206524</v>
      </c>
      <c r="H288" s="48" t="s">
        <v>561</v>
      </c>
      <c r="I288" s="45"/>
      <c r="J288" s="46">
        <f t="shared" si="16"/>
        <v>41.525423728813564</v>
      </c>
      <c r="K288" s="46"/>
      <c r="L288" s="46"/>
      <c r="M288" s="46"/>
      <c r="N288" s="46">
        <f t="shared" si="17"/>
        <v>7.4745762711864412</v>
      </c>
      <c r="O288" s="46"/>
      <c r="P288" s="49">
        <v>49</v>
      </c>
      <c r="Q288" s="50"/>
      <c r="R288" s="43"/>
      <c r="S288" s="45"/>
      <c r="T288" s="44"/>
      <c r="U288" s="44"/>
      <c r="V288" s="51" t="s">
        <v>86</v>
      </c>
      <c r="W288" s="46"/>
      <c r="X288" s="47">
        <v>46202</v>
      </c>
      <c r="Y288" s="44" t="s">
        <v>87</v>
      </c>
      <c r="Z288" s="44"/>
      <c r="AA288" s="44"/>
      <c r="AB288" s="44" t="s">
        <v>813</v>
      </c>
      <c r="AC288" s="52"/>
      <c r="AD288" s="52">
        <v>1212</v>
      </c>
      <c r="AE288" s="54"/>
      <c r="AF288" s="55"/>
      <c r="AG288" s="55"/>
      <c r="AH288" s="56"/>
      <c r="AI288" s="56"/>
      <c r="AJ288" s="57"/>
      <c r="AK288" s="56"/>
      <c r="AL288" s="46">
        <v>18</v>
      </c>
      <c r="AM288" s="53" t="s">
        <v>941</v>
      </c>
      <c r="AN288" s="39"/>
      <c r="AO288" s="39"/>
      <c r="AP288" s="40"/>
    </row>
    <row r="289" spans="1:42" s="41" customFormat="1" ht="18.75" customHeight="1" x14ac:dyDescent="0.25">
      <c r="A289" s="47">
        <v>46202</v>
      </c>
      <c r="B289" s="43">
        <f t="shared" si="15"/>
        <v>46202</v>
      </c>
      <c r="C289" s="44" t="s">
        <v>814</v>
      </c>
      <c r="D289" s="48" t="s">
        <v>141</v>
      </c>
      <c r="E289" s="48">
        <v>3940</v>
      </c>
      <c r="F289" s="48">
        <v>1</v>
      </c>
      <c r="G289" s="48">
        <v>80130130</v>
      </c>
      <c r="H289" s="48" t="s">
        <v>664</v>
      </c>
      <c r="I289" s="45"/>
      <c r="J289" s="46">
        <f t="shared" si="16"/>
        <v>81.355932203389841</v>
      </c>
      <c r="K289" s="46"/>
      <c r="L289" s="46"/>
      <c r="M289" s="46"/>
      <c r="N289" s="46">
        <f t="shared" si="17"/>
        <v>14.644067796610171</v>
      </c>
      <c r="O289" s="46"/>
      <c r="P289" s="49">
        <v>96</v>
      </c>
      <c r="Q289" s="50"/>
      <c r="R289" s="43"/>
      <c r="S289" s="45"/>
      <c r="T289" s="44"/>
      <c r="U289" s="44"/>
      <c r="V289" s="51" t="s">
        <v>86</v>
      </c>
      <c r="W289" s="46"/>
      <c r="X289" s="47">
        <v>46202</v>
      </c>
      <c r="Y289" s="44" t="s">
        <v>87</v>
      </c>
      <c r="Z289" s="44"/>
      <c r="AA289" s="44"/>
      <c r="AB289" s="44" t="s">
        <v>813</v>
      </c>
      <c r="AC289" s="52"/>
      <c r="AD289" s="52">
        <v>1212</v>
      </c>
      <c r="AE289" s="54"/>
      <c r="AF289" s="55"/>
      <c r="AG289" s="55"/>
      <c r="AH289" s="56"/>
      <c r="AI289" s="56"/>
      <c r="AJ289" s="57"/>
      <c r="AK289" s="56"/>
      <c r="AL289" s="46">
        <v>18</v>
      </c>
      <c r="AM289" s="53" t="s">
        <v>941</v>
      </c>
      <c r="AN289" s="39"/>
      <c r="AO289" s="39"/>
      <c r="AP289" s="40"/>
    </row>
    <row r="290" spans="1:42" s="41" customFormat="1" ht="18.75" customHeight="1" x14ac:dyDescent="0.25">
      <c r="A290" s="47">
        <v>46202</v>
      </c>
      <c r="B290" s="43">
        <f t="shared" si="15"/>
        <v>46202</v>
      </c>
      <c r="C290" s="44" t="s">
        <v>814</v>
      </c>
      <c r="D290" s="48" t="s">
        <v>141</v>
      </c>
      <c r="E290" s="48">
        <v>3941</v>
      </c>
      <c r="F290" s="48">
        <v>1</v>
      </c>
      <c r="G290" s="48">
        <v>71350105</v>
      </c>
      <c r="H290" s="48" t="s">
        <v>666</v>
      </c>
      <c r="I290" s="45"/>
      <c r="J290" s="46">
        <f t="shared" si="16"/>
        <v>155.93220338983051</v>
      </c>
      <c r="K290" s="46"/>
      <c r="L290" s="46"/>
      <c r="M290" s="46"/>
      <c r="N290" s="46">
        <f t="shared" si="17"/>
        <v>28.067796610169491</v>
      </c>
      <c r="O290" s="46"/>
      <c r="P290" s="49">
        <v>184</v>
      </c>
      <c r="Q290" s="50"/>
      <c r="R290" s="43"/>
      <c r="S290" s="45"/>
      <c r="T290" s="44"/>
      <c r="U290" s="44"/>
      <c r="V290" s="51" t="s">
        <v>86</v>
      </c>
      <c r="W290" s="46"/>
      <c r="X290" s="47">
        <v>46202</v>
      </c>
      <c r="Y290" s="44" t="s">
        <v>87</v>
      </c>
      <c r="Z290" s="44"/>
      <c r="AA290" s="44"/>
      <c r="AB290" s="44" t="s">
        <v>813</v>
      </c>
      <c r="AC290" s="52"/>
      <c r="AD290" s="52">
        <v>1212</v>
      </c>
      <c r="AE290" s="54"/>
      <c r="AF290" s="55"/>
      <c r="AG290" s="55"/>
      <c r="AH290" s="56"/>
      <c r="AI290" s="56"/>
      <c r="AJ290" s="57"/>
      <c r="AK290" s="56"/>
      <c r="AL290" s="46">
        <v>18</v>
      </c>
      <c r="AM290" s="53" t="s">
        <v>941</v>
      </c>
      <c r="AN290" s="39"/>
      <c r="AO290" s="39"/>
      <c r="AP290" s="40"/>
    </row>
    <row r="291" spans="1:42" s="41" customFormat="1" ht="18.75" customHeight="1" x14ac:dyDescent="0.25">
      <c r="A291" s="47">
        <v>46202</v>
      </c>
      <c r="B291" s="43">
        <f t="shared" si="15"/>
        <v>46202</v>
      </c>
      <c r="C291" s="44" t="s">
        <v>814</v>
      </c>
      <c r="D291" s="48" t="s">
        <v>141</v>
      </c>
      <c r="E291" s="48">
        <v>3942</v>
      </c>
      <c r="F291" s="48">
        <v>1</v>
      </c>
      <c r="G291" s="48">
        <v>46881183</v>
      </c>
      <c r="H291" s="48" t="s">
        <v>668</v>
      </c>
      <c r="I291" s="45"/>
      <c r="J291" s="46">
        <f t="shared" si="16"/>
        <v>42.372881355932208</v>
      </c>
      <c r="K291" s="46"/>
      <c r="L291" s="46"/>
      <c r="M291" s="46"/>
      <c r="N291" s="46">
        <f t="shared" si="17"/>
        <v>7.6271186440677967</v>
      </c>
      <c r="O291" s="46"/>
      <c r="P291" s="49">
        <v>50</v>
      </c>
      <c r="Q291" s="50"/>
      <c r="R291" s="43"/>
      <c r="S291" s="45"/>
      <c r="T291" s="44"/>
      <c r="U291" s="44"/>
      <c r="V291" s="51" t="s">
        <v>86</v>
      </c>
      <c r="W291" s="46"/>
      <c r="X291" s="47">
        <v>46202</v>
      </c>
      <c r="Y291" s="44" t="s">
        <v>87</v>
      </c>
      <c r="Z291" s="44"/>
      <c r="AA291" s="44"/>
      <c r="AB291" s="44" t="s">
        <v>813</v>
      </c>
      <c r="AC291" s="52"/>
      <c r="AD291" s="52">
        <v>1212</v>
      </c>
      <c r="AE291" s="54"/>
      <c r="AF291" s="55"/>
      <c r="AG291" s="55"/>
      <c r="AH291" s="56"/>
      <c r="AI291" s="56"/>
      <c r="AJ291" s="57"/>
      <c r="AK291" s="56"/>
      <c r="AL291" s="46">
        <v>18</v>
      </c>
      <c r="AM291" s="53" t="s">
        <v>941</v>
      </c>
      <c r="AN291" s="39"/>
      <c r="AO291" s="39"/>
      <c r="AP291" s="40"/>
    </row>
    <row r="292" spans="1:42" s="41" customFormat="1" ht="18.75" customHeight="1" x14ac:dyDescent="0.25">
      <c r="A292" s="47">
        <v>46202</v>
      </c>
      <c r="B292" s="43">
        <f t="shared" si="15"/>
        <v>46202</v>
      </c>
      <c r="C292" s="44" t="s">
        <v>814</v>
      </c>
      <c r="D292" s="48" t="s">
        <v>141</v>
      </c>
      <c r="E292" s="48">
        <v>3943</v>
      </c>
      <c r="F292" s="48">
        <v>1</v>
      </c>
      <c r="G292" s="48">
        <v>71380136</v>
      </c>
      <c r="H292" s="48" t="s">
        <v>670</v>
      </c>
      <c r="I292" s="45"/>
      <c r="J292" s="46">
        <f t="shared" si="16"/>
        <v>77.966101694915253</v>
      </c>
      <c r="K292" s="46"/>
      <c r="L292" s="46"/>
      <c r="M292" s="46"/>
      <c r="N292" s="46">
        <f t="shared" si="17"/>
        <v>14.033898305084746</v>
      </c>
      <c r="O292" s="46"/>
      <c r="P292" s="49">
        <v>92</v>
      </c>
      <c r="Q292" s="50"/>
      <c r="R292" s="43"/>
      <c r="S292" s="45"/>
      <c r="T292" s="44"/>
      <c r="U292" s="44"/>
      <c r="V292" s="51" t="s">
        <v>86</v>
      </c>
      <c r="W292" s="46"/>
      <c r="X292" s="47">
        <v>46202</v>
      </c>
      <c r="Y292" s="44" t="s">
        <v>87</v>
      </c>
      <c r="Z292" s="44"/>
      <c r="AA292" s="44"/>
      <c r="AB292" s="44" t="s">
        <v>813</v>
      </c>
      <c r="AC292" s="52"/>
      <c r="AD292" s="52">
        <v>1212</v>
      </c>
      <c r="AE292" s="54"/>
      <c r="AF292" s="55"/>
      <c r="AG292" s="55"/>
      <c r="AH292" s="56"/>
      <c r="AI292" s="56"/>
      <c r="AJ292" s="57"/>
      <c r="AK292" s="56"/>
      <c r="AL292" s="46">
        <v>18</v>
      </c>
      <c r="AM292" s="53" t="s">
        <v>941</v>
      </c>
      <c r="AN292" s="39"/>
      <c r="AO292" s="39"/>
      <c r="AP292" s="40"/>
    </row>
    <row r="293" spans="1:42" s="41" customFormat="1" ht="18.75" customHeight="1" x14ac:dyDescent="0.25">
      <c r="A293" s="47">
        <v>46202</v>
      </c>
      <c r="B293" s="43">
        <f t="shared" si="15"/>
        <v>46202</v>
      </c>
      <c r="C293" s="44" t="s">
        <v>814</v>
      </c>
      <c r="D293" s="48" t="s">
        <v>141</v>
      </c>
      <c r="E293" s="48">
        <v>3944</v>
      </c>
      <c r="F293" s="48">
        <v>1</v>
      </c>
      <c r="G293" s="48">
        <v>60006660</v>
      </c>
      <c r="H293" s="48" t="s">
        <v>672</v>
      </c>
      <c r="I293" s="45"/>
      <c r="J293" s="46">
        <f t="shared" si="16"/>
        <v>42.372881355932208</v>
      </c>
      <c r="K293" s="46"/>
      <c r="L293" s="46"/>
      <c r="M293" s="46"/>
      <c r="N293" s="46">
        <f t="shared" si="17"/>
        <v>7.6271186440677967</v>
      </c>
      <c r="O293" s="46"/>
      <c r="P293" s="49">
        <v>50</v>
      </c>
      <c r="Q293" s="50"/>
      <c r="R293" s="43"/>
      <c r="S293" s="45"/>
      <c r="T293" s="44"/>
      <c r="U293" s="44"/>
      <c r="V293" s="51" t="s">
        <v>86</v>
      </c>
      <c r="W293" s="46"/>
      <c r="X293" s="47">
        <v>46202</v>
      </c>
      <c r="Y293" s="44" t="s">
        <v>87</v>
      </c>
      <c r="Z293" s="44"/>
      <c r="AA293" s="44"/>
      <c r="AB293" s="44" t="s">
        <v>813</v>
      </c>
      <c r="AC293" s="52"/>
      <c r="AD293" s="52">
        <v>1212</v>
      </c>
      <c r="AE293" s="54"/>
      <c r="AF293" s="55"/>
      <c r="AG293" s="55"/>
      <c r="AH293" s="56"/>
      <c r="AI293" s="56"/>
      <c r="AJ293" s="57"/>
      <c r="AK293" s="56"/>
      <c r="AL293" s="46">
        <v>18</v>
      </c>
      <c r="AM293" s="53" t="s">
        <v>941</v>
      </c>
      <c r="AN293" s="39"/>
      <c r="AO293" s="39"/>
      <c r="AP293" s="40"/>
    </row>
    <row r="294" spans="1:42" s="41" customFormat="1" ht="18.75" customHeight="1" x14ac:dyDescent="0.25">
      <c r="A294" s="47">
        <v>46202</v>
      </c>
      <c r="B294" s="43">
        <f t="shared" si="15"/>
        <v>46202</v>
      </c>
      <c r="C294" s="44" t="s">
        <v>814</v>
      </c>
      <c r="D294" s="48" t="s">
        <v>141</v>
      </c>
      <c r="E294" s="48">
        <v>3945</v>
      </c>
      <c r="F294" s="48">
        <v>1</v>
      </c>
      <c r="G294" s="48">
        <v>11111111</v>
      </c>
      <c r="H294" s="48" t="s">
        <v>143</v>
      </c>
      <c r="I294" s="45"/>
      <c r="J294" s="46">
        <f t="shared" si="16"/>
        <v>190.67796610169492</v>
      </c>
      <c r="K294" s="46"/>
      <c r="L294" s="46"/>
      <c r="M294" s="46"/>
      <c r="N294" s="46">
        <f t="shared" si="17"/>
        <v>34.322033898305087</v>
      </c>
      <c r="O294" s="46"/>
      <c r="P294" s="49">
        <v>225</v>
      </c>
      <c r="Q294" s="50"/>
      <c r="R294" s="43"/>
      <c r="S294" s="45"/>
      <c r="T294" s="44"/>
      <c r="U294" s="44"/>
      <c r="V294" s="51" t="s">
        <v>86</v>
      </c>
      <c r="W294" s="46"/>
      <c r="X294" s="47">
        <v>46202</v>
      </c>
      <c r="Y294" s="44" t="s">
        <v>87</v>
      </c>
      <c r="Z294" s="44"/>
      <c r="AA294" s="44"/>
      <c r="AB294" s="44" t="s">
        <v>813</v>
      </c>
      <c r="AC294" s="52"/>
      <c r="AD294" s="52">
        <v>1212</v>
      </c>
      <c r="AE294" s="54"/>
      <c r="AF294" s="55"/>
      <c r="AG294" s="55"/>
      <c r="AH294" s="56"/>
      <c r="AI294" s="56"/>
      <c r="AJ294" s="57"/>
      <c r="AK294" s="56"/>
      <c r="AL294" s="46">
        <v>18</v>
      </c>
      <c r="AM294" s="53" t="s">
        <v>941</v>
      </c>
      <c r="AN294" s="39"/>
      <c r="AO294" s="39"/>
      <c r="AP294" s="40"/>
    </row>
    <row r="295" spans="1:42" s="41" customFormat="1" ht="18.75" customHeight="1" x14ac:dyDescent="0.25">
      <c r="A295" s="47">
        <v>46202</v>
      </c>
      <c r="B295" s="43">
        <f t="shared" si="15"/>
        <v>46202</v>
      </c>
      <c r="C295" s="44" t="s">
        <v>814</v>
      </c>
      <c r="D295" s="48" t="s">
        <v>141</v>
      </c>
      <c r="E295" s="48">
        <v>3946</v>
      </c>
      <c r="F295" s="48">
        <v>1</v>
      </c>
      <c r="G295" s="48">
        <v>11111111</v>
      </c>
      <c r="H295" s="48" t="s">
        <v>143</v>
      </c>
      <c r="I295" s="45"/>
      <c r="J295" s="46">
        <f t="shared" si="16"/>
        <v>364.40677966101697</v>
      </c>
      <c r="K295" s="46"/>
      <c r="L295" s="46"/>
      <c r="M295" s="46"/>
      <c r="N295" s="46">
        <f t="shared" si="17"/>
        <v>65.593220338983059</v>
      </c>
      <c r="O295" s="46"/>
      <c r="P295" s="49">
        <v>430</v>
      </c>
      <c r="Q295" s="50"/>
      <c r="R295" s="43"/>
      <c r="S295" s="45"/>
      <c r="T295" s="44"/>
      <c r="U295" s="44"/>
      <c r="V295" s="51" t="s">
        <v>86</v>
      </c>
      <c r="W295" s="46"/>
      <c r="X295" s="47">
        <v>46202</v>
      </c>
      <c r="Y295" s="44" t="s">
        <v>87</v>
      </c>
      <c r="Z295" s="44"/>
      <c r="AA295" s="44"/>
      <c r="AB295" s="44" t="s">
        <v>813</v>
      </c>
      <c r="AC295" s="52"/>
      <c r="AD295" s="52">
        <v>1212</v>
      </c>
      <c r="AE295" s="54"/>
      <c r="AF295" s="55"/>
      <c r="AG295" s="55"/>
      <c r="AH295" s="56"/>
      <c r="AI295" s="56"/>
      <c r="AJ295" s="57"/>
      <c r="AK295" s="56"/>
      <c r="AL295" s="46">
        <v>18</v>
      </c>
      <c r="AM295" s="53" t="s">
        <v>941</v>
      </c>
      <c r="AN295" s="39"/>
      <c r="AO295" s="39"/>
      <c r="AP295" s="40"/>
    </row>
    <row r="296" spans="1:42" s="41" customFormat="1" ht="18.75" customHeight="1" x14ac:dyDescent="0.25">
      <c r="A296" s="47">
        <v>46202</v>
      </c>
      <c r="B296" s="43">
        <f t="shared" si="15"/>
        <v>46202</v>
      </c>
      <c r="C296" s="44" t="s">
        <v>814</v>
      </c>
      <c r="D296" s="48" t="s">
        <v>141</v>
      </c>
      <c r="E296" s="48">
        <v>3947</v>
      </c>
      <c r="F296" s="48">
        <v>1</v>
      </c>
      <c r="G296" s="48">
        <v>11111111</v>
      </c>
      <c r="H296" s="48" t="s">
        <v>143</v>
      </c>
      <c r="I296" s="45"/>
      <c r="J296" s="46">
        <f t="shared" si="16"/>
        <v>152.54237288135593</v>
      </c>
      <c r="K296" s="46"/>
      <c r="L296" s="46"/>
      <c r="M296" s="46"/>
      <c r="N296" s="46">
        <f t="shared" si="17"/>
        <v>27.457627118644066</v>
      </c>
      <c r="O296" s="46"/>
      <c r="P296" s="49">
        <v>180</v>
      </c>
      <c r="Q296" s="50"/>
      <c r="R296" s="43"/>
      <c r="S296" s="45"/>
      <c r="T296" s="44"/>
      <c r="U296" s="44"/>
      <c r="V296" s="51" t="s">
        <v>86</v>
      </c>
      <c r="W296" s="46"/>
      <c r="X296" s="47">
        <v>46202</v>
      </c>
      <c r="Y296" s="44" t="s">
        <v>87</v>
      </c>
      <c r="Z296" s="44"/>
      <c r="AA296" s="44"/>
      <c r="AB296" s="44" t="s">
        <v>813</v>
      </c>
      <c r="AC296" s="52"/>
      <c r="AD296" s="52">
        <v>1212</v>
      </c>
      <c r="AE296" s="54"/>
      <c r="AF296" s="55"/>
      <c r="AG296" s="55"/>
      <c r="AH296" s="56"/>
      <c r="AI296" s="56"/>
      <c r="AJ296" s="57"/>
      <c r="AK296" s="56"/>
      <c r="AL296" s="46">
        <v>18</v>
      </c>
      <c r="AM296" s="53" t="s">
        <v>941</v>
      </c>
      <c r="AN296" s="39"/>
      <c r="AO296" s="39"/>
      <c r="AP296" s="40"/>
    </row>
    <row r="297" spans="1:42" s="41" customFormat="1" ht="18.75" customHeight="1" x14ac:dyDescent="0.25">
      <c r="A297" s="47">
        <v>46202</v>
      </c>
      <c r="B297" s="43">
        <f t="shared" si="15"/>
        <v>46202</v>
      </c>
      <c r="C297" s="44" t="s">
        <v>814</v>
      </c>
      <c r="D297" s="48" t="s">
        <v>141</v>
      </c>
      <c r="E297" s="48">
        <v>3948</v>
      </c>
      <c r="F297" s="48">
        <v>1</v>
      </c>
      <c r="G297" s="48">
        <v>11111111</v>
      </c>
      <c r="H297" s="48" t="s">
        <v>143</v>
      </c>
      <c r="I297" s="45"/>
      <c r="J297" s="46">
        <f t="shared" si="16"/>
        <v>223.72881355932205</v>
      </c>
      <c r="K297" s="46"/>
      <c r="L297" s="46"/>
      <c r="M297" s="46"/>
      <c r="N297" s="46">
        <f t="shared" si="17"/>
        <v>40.271186440677965</v>
      </c>
      <c r="O297" s="46"/>
      <c r="P297" s="49">
        <v>264</v>
      </c>
      <c r="Q297" s="50"/>
      <c r="R297" s="43"/>
      <c r="S297" s="45"/>
      <c r="T297" s="44"/>
      <c r="U297" s="44"/>
      <c r="V297" s="51" t="s">
        <v>86</v>
      </c>
      <c r="W297" s="46"/>
      <c r="X297" s="47">
        <v>46202</v>
      </c>
      <c r="Y297" s="44" t="s">
        <v>87</v>
      </c>
      <c r="Z297" s="44"/>
      <c r="AA297" s="44"/>
      <c r="AB297" s="44" t="s">
        <v>813</v>
      </c>
      <c r="AC297" s="52"/>
      <c r="AD297" s="52">
        <v>1212</v>
      </c>
      <c r="AE297" s="54"/>
      <c r="AF297" s="55"/>
      <c r="AG297" s="55"/>
      <c r="AH297" s="56"/>
      <c r="AI297" s="56"/>
      <c r="AJ297" s="57"/>
      <c r="AK297" s="56"/>
      <c r="AL297" s="46">
        <v>18</v>
      </c>
      <c r="AM297" s="53" t="s">
        <v>941</v>
      </c>
      <c r="AN297" s="39"/>
      <c r="AO297" s="39"/>
      <c r="AP297" s="40"/>
    </row>
    <row r="298" spans="1:42" s="41" customFormat="1" ht="18.75" customHeight="1" x14ac:dyDescent="0.25">
      <c r="A298" s="47">
        <v>46202</v>
      </c>
      <c r="B298" s="43">
        <f t="shared" si="15"/>
        <v>46202</v>
      </c>
      <c r="C298" s="44" t="s">
        <v>814</v>
      </c>
      <c r="D298" s="48" t="s">
        <v>141</v>
      </c>
      <c r="E298" s="48">
        <v>3949</v>
      </c>
      <c r="F298" s="48">
        <v>1</v>
      </c>
      <c r="G298" s="48">
        <v>11111111</v>
      </c>
      <c r="H298" s="48" t="s">
        <v>143</v>
      </c>
      <c r="I298" s="45"/>
      <c r="J298" s="46">
        <f t="shared" si="16"/>
        <v>186.4406779661017</v>
      </c>
      <c r="K298" s="46"/>
      <c r="L298" s="46"/>
      <c r="M298" s="46"/>
      <c r="N298" s="46">
        <f t="shared" si="17"/>
        <v>33.559322033898304</v>
      </c>
      <c r="O298" s="46"/>
      <c r="P298" s="49">
        <v>220</v>
      </c>
      <c r="Q298" s="50"/>
      <c r="R298" s="43"/>
      <c r="S298" s="45"/>
      <c r="T298" s="44"/>
      <c r="U298" s="44"/>
      <c r="V298" s="51" t="s">
        <v>86</v>
      </c>
      <c r="W298" s="46"/>
      <c r="X298" s="47">
        <v>46202</v>
      </c>
      <c r="Y298" s="44" t="s">
        <v>87</v>
      </c>
      <c r="Z298" s="44"/>
      <c r="AA298" s="44"/>
      <c r="AB298" s="44" t="s">
        <v>813</v>
      </c>
      <c r="AC298" s="52"/>
      <c r="AD298" s="52">
        <v>1212</v>
      </c>
      <c r="AE298" s="54"/>
      <c r="AF298" s="55"/>
      <c r="AG298" s="55"/>
      <c r="AH298" s="56"/>
      <c r="AI298" s="56"/>
      <c r="AJ298" s="57"/>
      <c r="AK298" s="56"/>
      <c r="AL298" s="46">
        <v>18</v>
      </c>
      <c r="AM298" s="53" t="s">
        <v>941</v>
      </c>
      <c r="AN298" s="39"/>
      <c r="AO298" s="39"/>
      <c r="AP298" s="40"/>
    </row>
    <row r="299" spans="1:42" s="41" customFormat="1" ht="18.75" customHeight="1" x14ac:dyDescent="0.25">
      <c r="A299" s="47">
        <v>46202</v>
      </c>
      <c r="B299" s="43">
        <f t="shared" si="15"/>
        <v>46202</v>
      </c>
      <c r="C299" s="44" t="s">
        <v>814</v>
      </c>
      <c r="D299" s="48" t="s">
        <v>141</v>
      </c>
      <c r="E299" s="48">
        <v>3950</v>
      </c>
      <c r="F299" s="48">
        <v>1</v>
      </c>
      <c r="G299" s="48">
        <v>11111111</v>
      </c>
      <c r="H299" s="48" t="s">
        <v>143</v>
      </c>
      <c r="I299" s="45"/>
      <c r="J299" s="46">
        <f t="shared" si="16"/>
        <v>298.30508474576271</v>
      </c>
      <c r="K299" s="46"/>
      <c r="L299" s="46"/>
      <c r="M299" s="46"/>
      <c r="N299" s="46">
        <f t="shared" si="17"/>
        <v>53.694915254237287</v>
      </c>
      <c r="O299" s="46"/>
      <c r="P299" s="49">
        <v>352</v>
      </c>
      <c r="Q299" s="50"/>
      <c r="R299" s="43"/>
      <c r="S299" s="45"/>
      <c r="T299" s="44"/>
      <c r="U299" s="44"/>
      <c r="V299" s="51" t="s">
        <v>86</v>
      </c>
      <c r="W299" s="46"/>
      <c r="X299" s="47">
        <v>46202</v>
      </c>
      <c r="Y299" s="44" t="s">
        <v>87</v>
      </c>
      <c r="Z299" s="44"/>
      <c r="AA299" s="44"/>
      <c r="AB299" s="44" t="s">
        <v>813</v>
      </c>
      <c r="AC299" s="52"/>
      <c r="AD299" s="52">
        <v>1212</v>
      </c>
      <c r="AE299" s="54"/>
      <c r="AF299" s="55"/>
      <c r="AG299" s="55"/>
      <c r="AH299" s="56"/>
      <c r="AI299" s="56"/>
      <c r="AJ299" s="57"/>
      <c r="AK299" s="56"/>
      <c r="AL299" s="46">
        <v>18</v>
      </c>
      <c r="AM299" s="53" t="s">
        <v>941</v>
      </c>
      <c r="AN299" s="39"/>
      <c r="AO299" s="39"/>
      <c r="AP299" s="40"/>
    </row>
    <row r="300" spans="1:42" s="41" customFormat="1" ht="18.75" customHeight="1" x14ac:dyDescent="0.25">
      <c r="A300" s="47">
        <v>46202</v>
      </c>
      <c r="B300" s="43">
        <f t="shared" si="15"/>
        <v>46202</v>
      </c>
      <c r="C300" s="44" t="s">
        <v>814</v>
      </c>
      <c r="D300" s="48" t="s">
        <v>141</v>
      </c>
      <c r="E300" s="48">
        <v>3951</v>
      </c>
      <c r="F300" s="48">
        <v>1</v>
      </c>
      <c r="G300" s="48">
        <v>11111111</v>
      </c>
      <c r="H300" s="48" t="s">
        <v>143</v>
      </c>
      <c r="I300" s="45"/>
      <c r="J300" s="46">
        <f t="shared" si="16"/>
        <v>261.0169491525424</v>
      </c>
      <c r="K300" s="46"/>
      <c r="L300" s="46"/>
      <c r="M300" s="46"/>
      <c r="N300" s="46">
        <f t="shared" si="17"/>
        <v>46.983050847457626</v>
      </c>
      <c r="O300" s="46"/>
      <c r="P300" s="49">
        <v>308</v>
      </c>
      <c r="Q300" s="50"/>
      <c r="R300" s="43"/>
      <c r="S300" s="45"/>
      <c r="T300" s="44"/>
      <c r="U300" s="44"/>
      <c r="V300" s="51" t="s">
        <v>86</v>
      </c>
      <c r="W300" s="46"/>
      <c r="X300" s="47">
        <v>46202</v>
      </c>
      <c r="Y300" s="44" t="s">
        <v>87</v>
      </c>
      <c r="Z300" s="44"/>
      <c r="AA300" s="44"/>
      <c r="AB300" s="44" t="s">
        <v>813</v>
      </c>
      <c r="AC300" s="52"/>
      <c r="AD300" s="52">
        <v>1212</v>
      </c>
      <c r="AE300" s="54"/>
      <c r="AF300" s="55"/>
      <c r="AG300" s="55"/>
      <c r="AH300" s="56"/>
      <c r="AI300" s="56"/>
      <c r="AJ300" s="57"/>
      <c r="AK300" s="56"/>
      <c r="AL300" s="46">
        <v>18</v>
      </c>
      <c r="AM300" s="53" t="s">
        <v>941</v>
      </c>
      <c r="AN300" s="39"/>
      <c r="AO300" s="39"/>
      <c r="AP300" s="40"/>
    </row>
    <row r="301" spans="1:42" s="41" customFormat="1" ht="18.75" customHeight="1" x14ac:dyDescent="0.25">
      <c r="A301" s="47">
        <v>46202</v>
      </c>
      <c r="B301" s="43">
        <f t="shared" si="15"/>
        <v>46202</v>
      </c>
      <c r="C301" s="44" t="s">
        <v>814</v>
      </c>
      <c r="D301" s="48" t="s">
        <v>141</v>
      </c>
      <c r="E301" s="48">
        <v>3952</v>
      </c>
      <c r="F301" s="48">
        <v>1</v>
      </c>
      <c r="G301" s="48">
        <v>11111111</v>
      </c>
      <c r="H301" s="48" t="s">
        <v>143</v>
      </c>
      <c r="I301" s="45"/>
      <c r="J301" s="46">
        <f t="shared" si="16"/>
        <v>364.40677966101697</v>
      </c>
      <c r="K301" s="46"/>
      <c r="L301" s="46"/>
      <c r="M301" s="46"/>
      <c r="N301" s="46">
        <f t="shared" si="17"/>
        <v>65.593220338983059</v>
      </c>
      <c r="O301" s="46"/>
      <c r="P301" s="49">
        <v>430</v>
      </c>
      <c r="Q301" s="50"/>
      <c r="R301" s="43"/>
      <c r="S301" s="45"/>
      <c r="T301" s="44"/>
      <c r="U301" s="44"/>
      <c r="V301" s="51" t="s">
        <v>86</v>
      </c>
      <c r="W301" s="46"/>
      <c r="X301" s="47">
        <v>46202</v>
      </c>
      <c r="Y301" s="44" t="s">
        <v>87</v>
      </c>
      <c r="Z301" s="44"/>
      <c r="AA301" s="44"/>
      <c r="AB301" s="44" t="s">
        <v>813</v>
      </c>
      <c r="AC301" s="52"/>
      <c r="AD301" s="52">
        <v>1212</v>
      </c>
      <c r="AE301" s="54"/>
      <c r="AF301" s="55"/>
      <c r="AG301" s="55"/>
      <c r="AH301" s="56"/>
      <c r="AI301" s="56"/>
      <c r="AJ301" s="57"/>
      <c r="AK301" s="56"/>
      <c r="AL301" s="46">
        <v>18</v>
      </c>
      <c r="AM301" s="53" t="s">
        <v>941</v>
      </c>
      <c r="AN301" s="39"/>
      <c r="AO301" s="39"/>
      <c r="AP301" s="40"/>
    </row>
    <row r="302" spans="1:42" s="41" customFormat="1" ht="18.75" customHeight="1" x14ac:dyDescent="0.25">
      <c r="A302" s="47">
        <v>46202</v>
      </c>
      <c r="B302" s="43">
        <f t="shared" si="15"/>
        <v>46202</v>
      </c>
      <c r="C302" s="44" t="s">
        <v>814</v>
      </c>
      <c r="D302" s="48" t="s">
        <v>141</v>
      </c>
      <c r="E302" s="48">
        <v>3953</v>
      </c>
      <c r="F302" s="48">
        <v>1</v>
      </c>
      <c r="G302" s="48">
        <v>11111111</v>
      </c>
      <c r="H302" s="48" t="s">
        <v>143</v>
      </c>
      <c r="I302" s="45"/>
      <c r="J302" s="46">
        <f t="shared" si="16"/>
        <v>119.49152542372882</v>
      </c>
      <c r="K302" s="46"/>
      <c r="L302" s="46"/>
      <c r="M302" s="46"/>
      <c r="N302" s="46">
        <f t="shared" si="17"/>
        <v>21.508474576271187</v>
      </c>
      <c r="O302" s="46"/>
      <c r="P302" s="49">
        <v>141</v>
      </c>
      <c r="Q302" s="50"/>
      <c r="R302" s="43"/>
      <c r="S302" s="45"/>
      <c r="T302" s="44"/>
      <c r="U302" s="44"/>
      <c r="V302" s="51" t="s">
        <v>86</v>
      </c>
      <c r="W302" s="46"/>
      <c r="X302" s="47">
        <v>46202</v>
      </c>
      <c r="Y302" s="44" t="s">
        <v>87</v>
      </c>
      <c r="Z302" s="44"/>
      <c r="AA302" s="44"/>
      <c r="AB302" s="44" t="s">
        <v>813</v>
      </c>
      <c r="AC302" s="52"/>
      <c r="AD302" s="52">
        <v>1212</v>
      </c>
      <c r="AE302" s="54"/>
      <c r="AF302" s="55"/>
      <c r="AG302" s="55"/>
      <c r="AH302" s="56"/>
      <c r="AI302" s="56"/>
      <c r="AJ302" s="57"/>
      <c r="AK302" s="56"/>
      <c r="AL302" s="46">
        <v>18</v>
      </c>
      <c r="AM302" s="53" t="s">
        <v>941</v>
      </c>
      <c r="AN302" s="39"/>
      <c r="AO302" s="39"/>
      <c r="AP302" s="40"/>
    </row>
    <row r="303" spans="1:42" s="41" customFormat="1" ht="18.75" customHeight="1" x14ac:dyDescent="0.25">
      <c r="A303" s="47">
        <v>46202</v>
      </c>
      <c r="B303" s="43">
        <f t="shared" si="15"/>
        <v>46202</v>
      </c>
      <c r="C303" s="44" t="s">
        <v>814</v>
      </c>
      <c r="D303" s="48" t="s">
        <v>141</v>
      </c>
      <c r="E303" s="48">
        <v>3954</v>
      </c>
      <c r="F303" s="48">
        <v>1</v>
      </c>
      <c r="G303" s="48">
        <v>11111111</v>
      </c>
      <c r="H303" s="48" t="s">
        <v>143</v>
      </c>
      <c r="I303" s="45"/>
      <c r="J303" s="46">
        <f t="shared" si="16"/>
        <v>510.16949152542378</v>
      </c>
      <c r="K303" s="46"/>
      <c r="L303" s="46"/>
      <c r="M303" s="46"/>
      <c r="N303" s="46">
        <f t="shared" si="17"/>
        <v>91.830508474576277</v>
      </c>
      <c r="O303" s="46"/>
      <c r="P303" s="49">
        <v>602</v>
      </c>
      <c r="Q303" s="50"/>
      <c r="R303" s="43"/>
      <c r="S303" s="45"/>
      <c r="T303" s="44"/>
      <c r="U303" s="44"/>
      <c r="V303" s="51" t="s">
        <v>86</v>
      </c>
      <c r="W303" s="46"/>
      <c r="X303" s="47">
        <v>46202</v>
      </c>
      <c r="Y303" s="44" t="s">
        <v>87</v>
      </c>
      <c r="Z303" s="44"/>
      <c r="AA303" s="44"/>
      <c r="AB303" s="44" t="s">
        <v>813</v>
      </c>
      <c r="AC303" s="52"/>
      <c r="AD303" s="52">
        <v>1212</v>
      </c>
      <c r="AE303" s="54"/>
      <c r="AF303" s="55"/>
      <c r="AG303" s="55"/>
      <c r="AH303" s="56"/>
      <c r="AI303" s="56"/>
      <c r="AJ303" s="57"/>
      <c r="AK303" s="56"/>
      <c r="AL303" s="46">
        <v>18</v>
      </c>
      <c r="AM303" s="53" t="s">
        <v>941</v>
      </c>
      <c r="AN303" s="39"/>
      <c r="AO303" s="39"/>
      <c r="AP303" s="40"/>
    </row>
    <row r="304" spans="1:42" s="41" customFormat="1" ht="18.75" customHeight="1" x14ac:dyDescent="0.25">
      <c r="A304" s="47">
        <v>46202</v>
      </c>
      <c r="B304" s="43">
        <f t="shared" si="15"/>
        <v>46202</v>
      </c>
      <c r="C304" s="44" t="s">
        <v>814</v>
      </c>
      <c r="D304" s="48" t="s">
        <v>141</v>
      </c>
      <c r="E304" s="48">
        <v>3955</v>
      </c>
      <c r="F304" s="48">
        <v>1</v>
      </c>
      <c r="G304" s="48">
        <v>11111111</v>
      </c>
      <c r="H304" s="48" t="s">
        <v>143</v>
      </c>
      <c r="I304" s="45"/>
      <c r="J304" s="46">
        <f t="shared" si="16"/>
        <v>155.93220338983051</v>
      </c>
      <c r="K304" s="46"/>
      <c r="L304" s="46"/>
      <c r="M304" s="46"/>
      <c r="N304" s="46">
        <f t="shared" si="17"/>
        <v>28.067796610169491</v>
      </c>
      <c r="O304" s="46"/>
      <c r="P304" s="49">
        <v>184</v>
      </c>
      <c r="Q304" s="50"/>
      <c r="R304" s="43"/>
      <c r="S304" s="45"/>
      <c r="T304" s="44"/>
      <c r="U304" s="44"/>
      <c r="V304" s="51" t="s">
        <v>86</v>
      </c>
      <c r="W304" s="46"/>
      <c r="X304" s="47">
        <v>46202</v>
      </c>
      <c r="Y304" s="44" t="s">
        <v>87</v>
      </c>
      <c r="Z304" s="44"/>
      <c r="AA304" s="44"/>
      <c r="AB304" s="44" t="s">
        <v>813</v>
      </c>
      <c r="AC304" s="52"/>
      <c r="AD304" s="52">
        <v>1212</v>
      </c>
      <c r="AE304" s="54"/>
      <c r="AF304" s="55"/>
      <c r="AG304" s="55"/>
      <c r="AH304" s="56"/>
      <c r="AI304" s="56"/>
      <c r="AJ304" s="57"/>
      <c r="AK304" s="56"/>
      <c r="AL304" s="46">
        <v>18</v>
      </c>
      <c r="AM304" s="53" t="s">
        <v>941</v>
      </c>
      <c r="AN304" s="39"/>
      <c r="AO304" s="39"/>
      <c r="AP304" s="40"/>
    </row>
    <row r="305" spans="1:42" s="41" customFormat="1" ht="18.75" customHeight="1" x14ac:dyDescent="0.25">
      <c r="A305" s="47">
        <v>46202</v>
      </c>
      <c r="B305" s="43">
        <f t="shared" si="15"/>
        <v>46202</v>
      </c>
      <c r="C305" s="44" t="s">
        <v>814</v>
      </c>
      <c r="D305" s="48" t="s">
        <v>141</v>
      </c>
      <c r="E305" s="48">
        <v>3956</v>
      </c>
      <c r="F305" s="48">
        <v>1</v>
      </c>
      <c r="G305" s="48">
        <v>11111111</v>
      </c>
      <c r="H305" s="48" t="s">
        <v>143</v>
      </c>
      <c r="I305" s="45"/>
      <c r="J305" s="46">
        <f t="shared" si="16"/>
        <v>255.08474576271189</v>
      </c>
      <c r="K305" s="46"/>
      <c r="L305" s="46"/>
      <c r="M305" s="46"/>
      <c r="N305" s="46">
        <f t="shared" si="17"/>
        <v>45.915254237288138</v>
      </c>
      <c r="O305" s="46"/>
      <c r="P305" s="49">
        <v>301</v>
      </c>
      <c r="Q305" s="50"/>
      <c r="R305" s="43"/>
      <c r="S305" s="45"/>
      <c r="T305" s="44"/>
      <c r="U305" s="44"/>
      <c r="V305" s="51" t="s">
        <v>86</v>
      </c>
      <c r="W305" s="46"/>
      <c r="X305" s="47">
        <v>46202</v>
      </c>
      <c r="Y305" s="44" t="s">
        <v>87</v>
      </c>
      <c r="Z305" s="44"/>
      <c r="AA305" s="44"/>
      <c r="AB305" s="44" t="s">
        <v>813</v>
      </c>
      <c r="AC305" s="52"/>
      <c r="AD305" s="52">
        <v>1212</v>
      </c>
      <c r="AE305" s="54"/>
      <c r="AF305" s="55"/>
      <c r="AG305" s="55"/>
      <c r="AH305" s="56"/>
      <c r="AI305" s="56"/>
      <c r="AJ305" s="57"/>
      <c r="AK305" s="56"/>
      <c r="AL305" s="46">
        <v>18</v>
      </c>
      <c r="AM305" s="53" t="s">
        <v>941</v>
      </c>
      <c r="AN305" s="39"/>
      <c r="AO305" s="39"/>
      <c r="AP305" s="40"/>
    </row>
    <row r="306" spans="1:42" s="41" customFormat="1" ht="18.75" customHeight="1" x14ac:dyDescent="0.25">
      <c r="A306" s="47">
        <v>46202</v>
      </c>
      <c r="B306" s="43">
        <f t="shared" si="15"/>
        <v>46202</v>
      </c>
      <c r="C306" s="44" t="s">
        <v>814</v>
      </c>
      <c r="D306" s="48" t="s">
        <v>141</v>
      </c>
      <c r="E306" s="48">
        <v>3957</v>
      </c>
      <c r="F306" s="48">
        <v>1</v>
      </c>
      <c r="G306" s="48">
        <v>11111111</v>
      </c>
      <c r="H306" s="48" t="s">
        <v>143</v>
      </c>
      <c r="I306" s="45"/>
      <c r="J306" s="46">
        <f t="shared" si="16"/>
        <v>223.72881355932205</v>
      </c>
      <c r="K306" s="46"/>
      <c r="L306" s="46"/>
      <c r="M306" s="46"/>
      <c r="N306" s="46">
        <f t="shared" si="17"/>
        <v>40.271186440677965</v>
      </c>
      <c r="O306" s="46"/>
      <c r="P306" s="49">
        <v>264</v>
      </c>
      <c r="Q306" s="50"/>
      <c r="R306" s="43"/>
      <c r="S306" s="45"/>
      <c r="T306" s="44"/>
      <c r="U306" s="44"/>
      <c r="V306" s="51" t="s">
        <v>86</v>
      </c>
      <c r="W306" s="46"/>
      <c r="X306" s="47">
        <v>46202</v>
      </c>
      <c r="Y306" s="44" t="s">
        <v>87</v>
      </c>
      <c r="Z306" s="44"/>
      <c r="AA306" s="44"/>
      <c r="AB306" s="44" t="s">
        <v>813</v>
      </c>
      <c r="AC306" s="52"/>
      <c r="AD306" s="52">
        <v>1212</v>
      </c>
      <c r="AE306" s="54"/>
      <c r="AF306" s="55"/>
      <c r="AG306" s="55"/>
      <c r="AH306" s="56"/>
      <c r="AI306" s="56"/>
      <c r="AJ306" s="57"/>
      <c r="AK306" s="56"/>
      <c r="AL306" s="46">
        <v>18</v>
      </c>
      <c r="AM306" s="53" t="s">
        <v>941</v>
      </c>
      <c r="AN306" s="39"/>
      <c r="AO306" s="39"/>
      <c r="AP306" s="40"/>
    </row>
    <row r="307" spans="1:42" s="41" customFormat="1" ht="18.75" customHeight="1" x14ac:dyDescent="0.25">
      <c r="A307" s="47">
        <v>46202</v>
      </c>
      <c r="B307" s="43">
        <f t="shared" si="15"/>
        <v>46202</v>
      </c>
      <c r="C307" s="44" t="s">
        <v>814</v>
      </c>
      <c r="D307" s="48" t="s">
        <v>141</v>
      </c>
      <c r="E307" s="48">
        <v>3958</v>
      </c>
      <c r="F307" s="48">
        <v>1</v>
      </c>
      <c r="G307" s="48">
        <v>11111111</v>
      </c>
      <c r="H307" s="48" t="s">
        <v>143</v>
      </c>
      <c r="I307" s="45"/>
      <c r="J307" s="46">
        <f t="shared" si="16"/>
        <v>186.4406779661017</v>
      </c>
      <c r="K307" s="46"/>
      <c r="L307" s="46"/>
      <c r="M307" s="46"/>
      <c r="N307" s="46">
        <f t="shared" si="17"/>
        <v>33.559322033898304</v>
      </c>
      <c r="O307" s="46"/>
      <c r="P307" s="49">
        <v>220</v>
      </c>
      <c r="Q307" s="50"/>
      <c r="R307" s="43"/>
      <c r="S307" s="45"/>
      <c r="T307" s="44"/>
      <c r="U307" s="44"/>
      <c r="V307" s="51" t="s">
        <v>86</v>
      </c>
      <c r="W307" s="46"/>
      <c r="X307" s="47">
        <v>46202</v>
      </c>
      <c r="Y307" s="44" t="s">
        <v>87</v>
      </c>
      <c r="Z307" s="44"/>
      <c r="AA307" s="44"/>
      <c r="AB307" s="44" t="s">
        <v>813</v>
      </c>
      <c r="AC307" s="52"/>
      <c r="AD307" s="52">
        <v>1212</v>
      </c>
      <c r="AE307" s="54"/>
      <c r="AF307" s="55"/>
      <c r="AG307" s="55"/>
      <c r="AH307" s="56"/>
      <c r="AI307" s="56"/>
      <c r="AJ307" s="57"/>
      <c r="AK307" s="56"/>
      <c r="AL307" s="46">
        <v>18</v>
      </c>
      <c r="AM307" s="53" t="s">
        <v>941</v>
      </c>
      <c r="AN307" s="39"/>
      <c r="AO307" s="39"/>
      <c r="AP307" s="40"/>
    </row>
    <row r="308" spans="1:42" s="41" customFormat="1" ht="18.75" customHeight="1" x14ac:dyDescent="0.25">
      <c r="A308" s="47">
        <v>46202</v>
      </c>
      <c r="B308" s="43">
        <f t="shared" si="15"/>
        <v>46202</v>
      </c>
      <c r="C308" s="44" t="s">
        <v>814</v>
      </c>
      <c r="D308" s="48" t="s">
        <v>141</v>
      </c>
      <c r="E308" s="48">
        <v>3959</v>
      </c>
      <c r="F308" s="48">
        <v>1</v>
      </c>
      <c r="G308" s="48">
        <v>11111111</v>
      </c>
      <c r="H308" s="48" t="s">
        <v>143</v>
      </c>
      <c r="I308" s="45"/>
      <c r="J308" s="46">
        <f t="shared" si="16"/>
        <v>43.220338983050851</v>
      </c>
      <c r="K308" s="46"/>
      <c r="L308" s="46"/>
      <c r="M308" s="46"/>
      <c r="N308" s="46">
        <f t="shared" si="17"/>
        <v>7.7796610169491531</v>
      </c>
      <c r="O308" s="46"/>
      <c r="P308" s="49">
        <v>51</v>
      </c>
      <c r="Q308" s="50"/>
      <c r="R308" s="43"/>
      <c r="S308" s="45"/>
      <c r="T308" s="44"/>
      <c r="U308" s="44"/>
      <c r="V308" s="51" t="s">
        <v>86</v>
      </c>
      <c r="W308" s="46"/>
      <c r="X308" s="47">
        <v>46202</v>
      </c>
      <c r="Y308" s="44" t="s">
        <v>87</v>
      </c>
      <c r="Z308" s="44"/>
      <c r="AA308" s="44"/>
      <c r="AB308" s="44" t="s">
        <v>813</v>
      </c>
      <c r="AC308" s="52"/>
      <c r="AD308" s="52">
        <v>1212</v>
      </c>
      <c r="AE308" s="54"/>
      <c r="AF308" s="55"/>
      <c r="AG308" s="55"/>
      <c r="AH308" s="56"/>
      <c r="AI308" s="56"/>
      <c r="AJ308" s="57"/>
      <c r="AK308" s="56"/>
      <c r="AL308" s="46">
        <v>18</v>
      </c>
      <c r="AM308" s="53" t="s">
        <v>941</v>
      </c>
      <c r="AN308" s="39"/>
      <c r="AO308" s="39"/>
      <c r="AP308" s="40"/>
    </row>
    <row r="309" spans="1:42" s="41" customFormat="1" ht="18.75" customHeight="1" x14ac:dyDescent="0.25">
      <c r="A309" s="47">
        <v>46202</v>
      </c>
      <c r="B309" s="43">
        <f t="shared" si="15"/>
        <v>46202</v>
      </c>
      <c r="C309" s="44" t="s">
        <v>814</v>
      </c>
      <c r="D309" s="48" t="s">
        <v>141</v>
      </c>
      <c r="E309" s="48">
        <v>3960</v>
      </c>
      <c r="F309" s="48">
        <v>1</v>
      </c>
      <c r="G309" s="48">
        <v>11111111</v>
      </c>
      <c r="H309" s="48" t="s">
        <v>143</v>
      </c>
      <c r="I309" s="45"/>
      <c r="J309" s="46">
        <f t="shared" si="16"/>
        <v>81.355932203389841</v>
      </c>
      <c r="K309" s="46"/>
      <c r="L309" s="46"/>
      <c r="M309" s="46"/>
      <c r="N309" s="46">
        <f t="shared" si="17"/>
        <v>14.644067796610171</v>
      </c>
      <c r="O309" s="46"/>
      <c r="P309" s="49">
        <v>96</v>
      </c>
      <c r="Q309" s="50"/>
      <c r="R309" s="43"/>
      <c r="S309" s="45"/>
      <c r="T309" s="44"/>
      <c r="U309" s="44"/>
      <c r="V309" s="51" t="s">
        <v>86</v>
      </c>
      <c r="W309" s="46"/>
      <c r="X309" s="47">
        <v>46202</v>
      </c>
      <c r="Y309" s="44" t="s">
        <v>87</v>
      </c>
      <c r="Z309" s="44"/>
      <c r="AA309" s="44"/>
      <c r="AB309" s="44" t="s">
        <v>813</v>
      </c>
      <c r="AC309" s="52"/>
      <c r="AD309" s="52">
        <v>1212</v>
      </c>
      <c r="AE309" s="54"/>
      <c r="AF309" s="55"/>
      <c r="AG309" s="55"/>
      <c r="AH309" s="56"/>
      <c r="AI309" s="56"/>
      <c r="AJ309" s="57"/>
      <c r="AK309" s="56"/>
      <c r="AL309" s="46">
        <v>18</v>
      </c>
      <c r="AM309" s="53" t="s">
        <v>941</v>
      </c>
      <c r="AN309" s="39"/>
      <c r="AO309" s="39"/>
      <c r="AP309" s="40"/>
    </row>
    <row r="310" spans="1:42" s="41" customFormat="1" ht="18.75" customHeight="1" x14ac:dyDescent="0.25">
      <c r="A310" s="47">
        <v>46202</v>
      </c>
      <c r="B310" s="43">
        <f t="shared" si="15"/>
        <v>46202</v>
      </c>
      <c r="C310" s="44" t="s">
        <v>814</v>
      </c>
      <c r="D310" s="48" t="s">
        <v>141</v>
      </c>
      <c r="E310" s="48">
        <v>3961</v>
      </c>
      <c r="F310" s="48">
        <v>1</v>
      </c>
      <c r="G310" s="48">
        <v>11111111</v>
      </c>
      <c r="H310" s="48" t="s">
        <v>143</v>
      </c>
      <c r="I310" s="45"/>
      <c r="J310" s="46">
        <f t="shared" si="16"/>
        <v>116.94915254237289</v>
      </c>
      <c r="K310" s="46"/>
      <c r="L310" s="46"/>
      <c r="M310" s="46"/>
      <c r="N310" s="46">
        <f t="shared" si="17"/>
        <v>21.050847457627118</v>
      </c>
      <c r="O310" s="46"/>
      <c r="P310" s="49">
        <v>138</v>
      </c>
      <c r="Q310" s="50"/>
      <c r="R310" s="43"/>
      <c r="S310" s="45"/>
      <c r="T310" s="44"/>
      <c r="U310" s="44"/>
      <c r="V310" s="51" t="s">
        <v>86</v>
      </c>
      <c r="W310" s="46"/>
      <c r="X310" s="47">
        <v>46202</v>
      </c>
      <c r="Y310" s="44" t="s">
        <v>87</v>
      </c>
      <c r="Z310" s="44"/>
      <c r="AA310" s="44"/>
      <c r="AB310" s="44" t="s">
        <v>813</v>
      </c>
      <c r="AC310" s="52"/>
      <c r="AD310" s="52">
        <v>1212</v>
      </c>
      <c r="AE310" s="54"/>
      <c r="AF310" s="55"/>
      <c r="AG310" s="55"/>
      <c r="AH310" s="56"/>
      <c r="AI310" s="56"/>
      <c r="AJ310" s="57"/>
      <c r="AK310" s="56"/>
      <c r="AL310" s="46">
        <v>18</v>
      </c>
      <c r="AM310" s="53" t="s">
        <v>941</v>
      </c>
      <c r="AN310" s="39"/>
      <c r="AO310" s="39"/>
      <c r="AP310" s="40"/>
    </row>
    <row r="311" spans="1:42" s="41" customFormat="1" ht="18.75" customHeight="1" x14ac:dyDescent="0.25">
      <c r="A311" s="47">
        <v>46202</v>
      </c>
      <c r="B311" s="43">
        <f t="shared" si="15"/>
        <v>46202</v>
      </c>
      <c r="C311" s="44" t="s">
        <v>814</v>
      </c>
      <c r="D311" s="48" t="s">
        <v>141</v>
      </c>
      <c r="E311" s="48">
        <v>3962</v>
      </c>
      <c r="F311" s="48">
        <v>1</v>
      </c>
      <c r="G311" s="48">
        <v>11111111</v>
      </c>
      <c r="H311" s="48" t="s">
        <v>143</v>
      </c>
      <c r="I311" s="45"/>
      <c r="J311" s="46">
        <f t="shared" si="16"/>
        <v>149.15254237288136</v>
      </c>
      <c r="K311" s="46"/>
      <c r="L311" s="46"/>
      <c r="M311" s="46"/>
      <c r="N311" s="46">
        <f t="shared" si="17"/>
        <v>26.847457627118644</v>
      </c>
      <c r="O311" s="46"/>
      <c r="P311" s="49">
        <v>176</v>
      </c>
      <c r="Q311" s="50"/>
      <c r="R311" s="43"/>
      <c r="S311" s="45"/>
      <c r="T311" s="44"/>
      <c r="U311" s="44"/>
      <c r="V311" s="51" t="s">
        <v>86</v>
      </c>
      <c r="W311" s="46"/>
      <c r="X311" s="47">
        <v>46202</v>
      </c>
      <c r="Y311" s="44" t="s">
        <v>87</v>
      </c>
      <c r="Z311" s="44"/>
      <c r="AA311" s="44"/>
      <c r="AB311" s="44" t="s">
        <v>813</v>
      </c>
      <c r="AC311" s="52"/>
      <c r="AD311" s="52">
        <v>1212</v>
      </c>
      <c r="AE311" s="54"/>
      <c r="AF311" s="55"/>
      <c r="AG311" s="55"/>
      <c r="AH311" s="56"/>
      <c r="AI311" s="56"/>
      <c r="AJ311" s="57"/>
      <c r="AK311" s="56"/>
      <c r="AL311" s="46">
        <v>18</v>
      </c>
      <c r="AM311" s="53" t="s">
        <v>941</v>
      </c>
      <c r="AN311" s="39"/>
      <c r="AO311" s="39"/>
      <c r="AP311" s="40"/>
    </row>
    <row r="312" spans="1:42" s="41" customFormat="1" ht="18.75" customHeight="1" x14ac:dyDescent="0.25">
      <c r="A312" s="47">
        <v>46202</v>
      </c>
      <c r="B312" s="43">
        <f t="shared" si="15"/>
        <v>46202</v>
      </c>
      <c r="C312" s="44" t="s">
        <v>814</v>
      </c>
      <c r="D312" s="48" t="s">
        <v>141</v>
      </c>
      <c r="E312" s="48">
        <v>3964</v>
      </c>
      <c r="F312" s="48">
        <v>1</v>
      </c>
      <c r="G312" s="48">
        <v>11111111</v>
      </c>
      <c r="H312" s="48" t="s">
        <v>143</v>
      </c>
      <c r="I312" s="45"/>
      <c r="J312" s="46">
        <f t="shared" si="16"/>
        <v>223.72881355932205</v>
      </c>
      <c r="K312" s="46"/>
      <c r="L312" s="46"/>
      <c r="M312" s="46"/>
      <c r="N312" s="46">
        <f t="shared" si="17"/>
        <v>40.271186440677965</v>
      </c>
      <c r="O312" s="46"/>
      <c r="P312" s="49">
        <v>264</v>
      </c>
      <c r="Q312" s="50"/>
      <c r="R312" s="43"/>
      <c r="S312" s="45"/>
      <c r="T312" s="44"/>
      <c r="U312" s="44"/>
      <c r="V312" s="51" t="s">
        <v>86</v>
      </c>
      <c r="W312" s="46"/>
      <c r="X312" s="47">
        <v>46202</v>
      </c>
      <c r="Y312" s="44" t="s">
        <v>87</v>
      </c>
      <c r="Z312" s="44"/>
      <c r="AA312" s="44"/>
      <c r="AB312" s="44" t="s">
        <v>813</v>
      </c>
      <c r="AC312" s="52"/>
      <c r="AD312" s="52">
        <v>1212</v>
      </c>
      <c r="AE312" s="54"/>
      <c r="AF312" s="55"/>
      <c r="AG312" s="55"/>
      <c r="AH312" s="56"/>
      <c r="AI312" s="56"/>
      <c r="AJ312" s="57"/>
      <c r="AK312" s="56"/>
      <c r="AL312" s="46">
        <v>18</v>
      </c>
      <c r="AM312" s="53" t="s">
        <v>941</v>
      </c>
      <c r="AN312" s="39"/>
      <c r="AO312" s="39"/>
      <c r="AP312" s="40"/>
    </row>
    <row r="313" spans="1:42" s="41" customFormat="1" ht="18.75" customHeight="1" x14ac:dyDescent="0.25">
      <c r="A313" s="47">
        <v>46202</v>
      </c>
      <c r="B313" s="43">
        <f t="shared" si="15"/>
        <v>46202</v>
      </c>
      <c r="C313" s="44" t="s">
        <v>814</v>
      </c>
      <c r="D313" s="48" t="s">
        <v>141</v>
      </c>
      <c r="E313" s="48">
        <v>3965</v>
      </c>
      <c r="F313" s="48">
        <v>1</v>
      </c>
      <c r="G313" s="48">
        <v>11111111</v>
      </c>
      <c r="H313" s="48" t="s">
        <v>143</v>
      </c>
      <c r="I313" s="45"/>
      <c r="J313" s="46">
        <f t="shared" si="16"/>
        <v>255.08474576271189</v>
      </c>
      <c r="K313" s="46"/>
      <c r="L313" s="46"/>
      <c r="M313" s="46"/>
      <c r="N313" s="46">
        <f t="shared" si="17"/>
        <v>45.915254237288138</v>
      </c>
      <c r="O313" s="46"/>
      <c r="P313" s="49">
        <v>301</v>
      </c>
      <c r="Q313" s="50"/>
      <c r="R313" s="43"/>
      <c r="S313" s="45"/>
      <c r="T313" s="44"/>
      <c r="U313" s="44"/>
      <c r="V313" s="51" t="s">
        <v>86</v>
      </c>
      <c r="W313" s="46"/>
      <c r="X313" s="47">
        <v>46202</v>
      </c>
      <c r="Y313" s="44" t="s">
        <v>87</v>
      </c>
      <c r="Z313" s="44"/>
      <c r="AA313" s="44"/>
      <c r="AB313" s="44" t="s">
        <v>813</v>
      </c>
      <c r="AC313" s="52"/>
      <c r="AD313" s="52">
        <v>1212</v>
      </c>
      <c r="AE313" s="54"/>
      <c r="AF313" s="55"/>
      <c r="AG313" s="55"/>
      <c r="AH313" s="56"/>
      <c r="AI313" s="56"/>
      <c r="AJ313" s="57"/>
      <c r="AK313" s="56"/>
      <c r="AL313" s="46">
        <v>18</v>
      </c>
      <c r="AM313" s="53" t="s">
        <v>941</v>
      </c>
      <c r="AN313" s="39"/>
      <c r="AO313" s="39"/>
      <c r="AP313" s="40"/>
    </row>
    <row r="314" spans="1:42" s="41" customFormat="1" ht="18.75" customHeight="1" x14ac:dyDescent="0.25">
      <c r="A314" s="47">
        <v>46202</v>
      </c>
      <c r="B314" s="43">
        <f t="shared" si="15"/>
        <v>46202</v>
      </c>
      <c r="C314" s="44" t="s">
        <v>814</v>
      </c>
      <c r="D314" s="48" t="s">
        <v>141</v>
      </c>
      <c r="E314" s="48">
        <v>3963</v>
      </c>
      <c r="F314" s="48">
        <v>1</v>
      </c>
      <c r="G314" s="48">
        <v>11111111</v>
      </c>
      <c r="H314" s="48" t="s">
        <v>143</v>
      </c>
      <c r="I314" s="45"/>
      <c r="J314" s="46">
        <f t="shared" si="16"/>
        <v>190.67796610169492</v>
      </c>
      <c r="K314" s="46"/>
      <c r="L314" s="46"/>
      <c r="M314" s="46"/>
      <c r="N314" s="46">
        <f t="shared" si="17"/>
        <v>34.322033898305087</v>
      </c>
      <c r="O314" s="46"/>
      <c r="P314" s="49">
        <v>225</v>
      </c>
      <c r="Q314" s="50"/>
      <c r="R314" s="43"/>
      <c r="S314" s="45"/>
      <c r="T314" s="44"/>
      <c r="U314" s="44"/>
      <c r="V314" s="51" t="s">
        <v>86</v>
      </c>
      <c r="W314" s="46"/>
      <c r="X314" s="47">
        <v>46202</v>
      </c>
      <c r="Y314" s="44" t="s">
        <v>87</v>
      </c>
      <c r="Z314" s="44"/>
      <c r="AA314" s="44"/>
      <c r="AB314" s="44" t="s">
        <v>813</v>
      </c>
      <c r="AC314" s="52"/>
      <c r="AD314" s="52">
        <v>1212</v>
      </c>
      <c r="AE314" s="54"/>
      <c r="AF314" s="55"/>
      <c r="AG314" s="55"/>
      <c r="AH314" s="56"/>
      <c r="AI314" s="56"/>
      <c r="AJ314" s="57"/>
      <c r="AK314" s="56"/>
      <c r="AL314" s="46">
        <v>18</v>
      </c>
      <c r="AM314" s="53" t="s">
        <v>941</v>
      </c>
      <c r="AN314" s="39"/>
      <c r="AO314" s="39"/>
      <c r="AP314" s="40"/>
    </row>
    <row r="315" spans="1:42" s="41" customFormat="1" ht="18.75" customHeight="1" x14ac:dyDescent="0.25">
      <c r="A315" s="47">
        <v>46202</v>
      </c>
      <c r="B315" s="43">
        <f t="shared" si="15"/>
        <v>46202</v>
      </c>
      <c r="C315" s="44" t="s">
        <v>814</v>
      </c>
      <c r="D315" s="48" t="s">
        <v>141</v>
      </c>
      <c r="E315" s="48">
        <v>3966</v>
      </c>
      <c r="F315" s="48">
        <v>1</v>
      </c>
      <c r="G315" s="48">
        <v>11111111</v>
      </c>
      <c r="H315" s="48" t="s">
        <v>143</v>
      </c>
      <c r="I315" s="45"/>
      <c r="J315" s="46">
        <f t="shared" si="16"/>
        <v>291.52542372881356</v>
      </c>
      <c r="K315" s="46"/>
      <c r="L315" s="46"/>
      <c r="M315" s="46"/>
      <c r="N315" s="46">
        <f t="shared" si="17"/>
        <v>52.474576271186443</v>
      </c>
      <c r="O315" s="46"/>
      <c r="P315" s="49">
        <v>344</v>
      </c>
      <c r="Q315" s="50"/>
      <c r="R315" s="43"/>
      <c r="S315" s="45"/>
      <c r="T315" s="44"/>
      <c r="U315" s="44"/>
      <c r="V315" s="51" t="s">
        <v>86</v>
      </c>
      <c r="W315" s="46"/>
      <c r="X315" s="47">
        <v>46202</v>
      </c>
      <c r="Y315" s="44" t="s">
        <v>87</v>
      </c>
      <c r="Z315" s="44"/>
      <c r="AA315" s="44"/>
      <c r="AB315" s="44" t="s">
        <v>813</v>
      </c>
      <c r="AC315" s="52"/>
      <c r="AD315" s="52">
        <v>1212</v>
      </c>
      <c r="AE315" s="54"/>
      <c r="AF315" s="55"/>
      <c r="AG315" s="55"/>
      <c r="AH315" s="56"/>
      <c r="AI315" s="56"/>
      <c r="AJ315" s="57"/>
      <c r="AK315" s="56"/>
      <c r="AL315" s="46">
        <v>18</v>
      </c>
      <c r="AM315" s="53" t="s">
        <v>941</v>
      </c>
      <c r="AN315" s="39"/>
      <c r="AO315" s="39"/>
      <c r="AP315" s="40"/>
    </row>
    <row r="316" spans="1:42" s="41" customFormat="1" ht="18.75" customHeight="1" x14ac:dyDescent="0.25">
      <c r="A316" s="47">
        <v>46202</v>
      </c>
      <c r="B316" s="43">
        <f t="shared" si="15"/>
        <v>46202</v>
      </c>
      <c r="C316" s="44" t="s">
        <v>814</v>
      </c>
      <c r="D316" s="48" t="s">
        <v>141</v>
      </c>
      <c r="E316" s="48">
        <v>3967</v>
      </c>
      <c r="F316" s="48">
        <v>1</v>
      </c>
      <c r="G316" s="48">
        <v>11111111</v>
      </c>
      <c r="H316" s="48" t="s">
        <v>143</v>
      </c>
      <c r="I316" s="45"/>
      <c r="J316" s="46">
        <f t="shared" si="16"/>
        <v>364.40677966101697</v>
      </c>
      <c r="K316" s="46"/>
      <c r="L316" s="46"/>
      <c r="M316" s="46"/>
      <c r="N316" s="46">
        <f t="shared" si="17"/>
        <v>65.593220338983059</v>
      </c>
      <c r="O316" s="46"/>
      <c r="P316" s="49">
        <v>430</v>
      </c>
      <c r="Q316" s="50"/>
      <c r="R316" s="43"/>
      <c r="S316" s="45"/>
      <c r="T316" s="44"/>
      <c r="U316" s="44"/>
      <c r="V316" s="51" t="s">
        <v>86</v>
      </c>
      <c r="W316" s="46"/>
      <c r="X316" s="47">
        <v>46202</v>
      </c>
      <c r="Y316" s="44" t="s">
        <v>87</v>
      </c>
      <c r="Z316" s="44"/>
      <c r="AA316" s="44"/>
      <c r="AB316" s="44" t="s">
        <v>813</v>
      </c>
      <c r="AC316" s="52"/>
      <c r="AD316" s="52">
        <v>1212</v>
      </c>
      <c r="AE316" s="54"/>
      <c r="AF316" s="55"/>
      <c r="AG316" s="55"/>
      <c r="AH316" s="56"/>
      <c r="AI316" s="56"/>
      <c r="AJ316" s="57"/>
      <c r="AK316" s="56"/>
      <c r="AL316" s="46">
        <v>18</v>
      </c>
      <c r="AM316" s="53" t="s">
        <v>941</v>
      </c>
      <c r="AN316" s="39"/>
      <c r="AO316" s="39"/>
      <c r="AP316" s="40"/>
    </row>
    <row r="317" spans="1:42" s="41" customFormat="1" ht="18.75" customHeight="1" x14ac:dyDescent="0.25">
      <c r="A317" s="47">
        <v>46202</v>
      </c>
      <c r="B317" s="43">
        <f t="shared" si="15"/>
        <v>46202</v>
      </c>
      <c r="C317" s="44" t="s">
        <v>814</v>
      </c>
      <c r="D317" s="48" t="s">
        <v>141</v>
      </c>
      <c r="E317" s="48">
        <v>3968</v>
      </c>
      <c r="F317" s="48">
        <v>1</v>
      </c>
      <c r="G317" s="48">
        <v>11111111</v>
      </c>
      <c r="H317" s="48" t="s">
        <v>143</v>
      </c>
      <c r="I317" s="45"/>
      <c r="J317" s="46">
        <f t="shared" si="16"/>
        <v>42.372881355932208</v>
      </c>
      <c r="K317" s="46"/>
      <c r="L317" s="46"/>
      <c r="M317" s="46"/>
      <c r="N317" s="46">
        <f t="shared" si="17"/>
        <v>7.6271186440677967</v>
      </c>
      <c r="O317" s="46"/>
      <c r="P317" s="49">
        <v>50</v>
      </c>
      <c r="Q317" s="50"/>
      <c r="R317" s="43"/>
      <c r="S317" s="45"/>
      <c r="T317" s="44"/>
      <c r="U317" s="44"/>
      <c r="V317" s="51" t="s">
        <v>86</v>
      </c>
      <c r="W317" s="46"/>
      <c r="X317" s="47">
        <v>46202</v>
      </c>
      <c r="Y317" s="44" t="s">
        <v>87</v>
      </c>
      <c r="Z317" s="44"/>
      <c r="AA317" s="44"/>
      <c r="AB317" s="44" t="s">
        <v>813</v>
      </c>
      <c r="AC317" s="52"/>
      <c r="AD317" s="52">
        <v>1212</v>
      </c>
      <c r="AE317" s="54"/>
      <c r="AF317" s="55"/>
      <c r="AG317" s="55"/>
      <c r="AH317" s="56"/>
      <c r="AI317" s="56"/>
      <c r="AJ317" s="57"/>
      <c r="AK317" s="56"/>
      <c r="AL317" s="46">
        <v>18</v>
      </c>
      <c r="AM317" s="53" t="s">
        <v>941</v>
      </c>
      <c r="AN317" s="39"/>
      <c r="AO317" s="39"/>
      <c r="AP317" s="40"/>
    </row>
    <row r="318" spans="1:42" s="41" customFormat="1" ht="18.75" customHeight="1" x14ac:dyDescent="0.25">
      <c r="A318" s="47">
        <v>46202</v>
      </c>
      <c r="B318" s="43">
        <f t="shared" si="15"/>
        <v>46202</v>
      </c>
      <c r="C318" s="44" t="s">
        <v>814</v>
      </c>
      <c r="D318" s="48" t="s">
        <v>141</v>
      </c>
      <c r="E318" s="48">
        <v>3969</v>
      </c>
      <c r="F318" s="48">
        <v>1</v>
      </c>
      <c r="G318" s="48">
        <v>11111111</v>
      </c>
      <c r="H318" s="48" t="s">
        <v>143</v>
      </c>
      <c r="I318" s="45"/>
      <c r="J318" s="46">
        <f t="shared" si="16"/>
        <v>77.966101694915253</v>
      </c>
      <c r="K318" s="46"/>
      <c r="L318" s="46"/>
      <c r="M318" s="46"/>
      <c r="N318" s="46">
        <f t="shared" si="17"/>
        <v>14.033898305084746</v>
      </c>
      <c r="O318" s="46"/>
      <c r="P318" s="49">
        <v>92</v>
      </c>
      <c r="Q318" s="50"/>
      <c r="R318" s="43"/>
      <c r="S318" s="45"/>
      <c r="T318" s="44"/>
      <c r="U318" s="44"/>
      <c r="V318" s="51" t="s">
        <v>86</v>
      </c>
      <c r="W318" s="46"/>
      <c r="X318" s="47">
        <v>46202</v>
      </c>
      <c r="Y318" s="44" t="s">
        <v>87</v>
      </c>
      <c r="Z318" s="44"/>
      <c r="AA318" s="44"/>
      <c r="AB318" s="44" t="s">
        <v>813</v>
      </c>
      <c r="AC318" s="52"/>
      <c r="AD318" s="52">
        <v>1212</v>
      </c>
      <c r="AE318" s="54"/>
      <c r="AF318" s="55"/>
      <c r="AG318" s="55"/>
      <c r="AH318" s="56"/>
      <c r="AI318" s="56"/>
      <c r="AJ318" s="57"/>
      <c r="AK318" s="56"/>
      <c r="AL318" s="46">
        <v>18</v>
      </c>
      <c r="AM318" s="53" t="s">
        <v>941</v>
      </c>
      <c r="AN318" s="39"/>
      <c r="AO318" s="39"/>
      <c r="AP318" s="40"/>
    </row>
    <row r="319" spans="1:42" s="41" customFormat="1" ht="18.75" customHeight="1" x14ac:dyDescent="0.25">
      <c r="A319" s="47">
        <v>46202</v>
      </c>
      <c r="B319" s="43">
        <f t="shared" si="15"/>
        <v>46202</v>
      </c>
      <c r="C319" s="44" t="s">
        <v>814</v>
      </c>
      <c r="D319" s="48" t="s">
        <v>141</v>
      </c>
      <c r="E319" s="48">
        <v>3970</v>
      </c>
      <c r="F319" s="48">
        <v>1</v>
      </c>
      <c r="G319" s="48">
        <v>11111111</v>
      </c>
      <c r="H319" s="48" t="s">
        <v>143</v>
      </c>
      <c r="I319" s="45"/>
      <c r="J319" s="46">
        <f t="shared" si="16"/>
        <v>111.86440677966102</v>
      </c>
      <c r="K319" s="46"/>
      <c r="L319" s="46"/>
      <c r="M319" s="46"/>
      <c r="N319" s="46">
        <f t="shared" si="17"/>
        <v>20.135593220338983</v>
      </c>
      <c r="O319" s="46"/>
      <c r="P319" s="49">
        <v>132</v>
      </c>
      <c r="Q319" s="50"/>
      <c r="R319" s="43"/>
      <c r="S319" s="45"/>
      <c r="T319" s="44"/>
      <c r="U319" s="44"/>
      <c r="V319" s="51" t="s">
        <v>86</v>
      </c>
      <c r="W319" s="46"/>
      <c r="X319" s="47">
        <v>46202</v>
      </c>
      <c r="Y319" s="44" t="s">
        <v>87</v>
      </c>
      <c r="Z319" s="44"/>
      <c r="AA319" s="44"/>
      <c r="AB319" s="44" t="s">
        <v>813</v>
      </c>
      <c r="AC319" s="52"/>
      <c r="AD319" s="52">
        <v>1212</v>
      </c>
      <c r="AE319" s="54"/>
      <c r="AF319" s="55"/>
      <c r="AG319" s="55"/>
      <c r="AH319" s="56"/>
      <c r="AI319" s="56"/>
      <c r="AJ319" s="57"/>
      <c r="AK319" s="56"/>
      <c r="AL319" s="46">
        <v>18</v>
      </c>
      <c r="AM319" s="53" t="s">
        <v>941</v>
      </c>
      <c r="AN319" s="39"/>
      <c r="AO319" s="39"/>
      <c r="AP319" s="40"/>
    </row>
    <row r="320" spans="1:42" s="41" customFormat="1" ht="18.75" customHeight="1" x14ac:dyDescent="0.25">
      <c r="A320" s="47">
        <v>46202</v>
      </c>
      <c r="B320" s="43">
        <f t="shared" si="15"/>
        <v>46202</v>
      </c>
      <c r="C320" s="44" t="s">
        <v>814</v>
      </c>
      <c r="D320" s="48" t="s">
        <v>141</v>
      </c>
      <c r="E320" s="48">
        <v>3971</v>
      </c>
      <c r="F320" s="48">
        <v>1</v>
      </c>
      <c r="G320" s="48">
        <v>11111111</v>
      </c>
      <c r="H320" s="48" t="s">
        <v>143</v>
      </c>
      <c r="I320" s="45"/>
      <c r="J320" s="46">
        <f t="shared" si="16"/>
        <v>149.15254237288136</v>
      </c>
      <c r="K320" s="46"/>
      <c r="L320" s="46"/>
      <c r="M320" s="46"/>
      <c r="N320" s="46">
        <f t="shared" si="17"/>
        <v>26.847457627118644</v>
      </c>
      <c r="O320" s="46"/>
      <c r="P320" s="49">
        <v>176</v>
      </c>
      <c r="Q320" s="50"/>
      <c r="R320" s="43"/>
      <c r="S320" s="45"/>
      <c r="T320" s="44"/>
      <c r="U320" s="44"/>
      <c r="V320" s="51" t="s">
        <v>86</v>
      </c>
      <c r="W320" s="46"/>
      <c r="X320" s="47">
        <v>46202</v>
      </c>
      <c r="Y320" s="44" t="s">
        <v>87</v>
      </c>
      <c r="Z320" s="44"/>
      <c r="AA320" s="44"/>
      <c r="AB320" s="44" t="s">
        <v>813</v>
      </c>
      <c r="AC320" s="52"/>
      <c r="AD320" s="52">
        <v>1212</v>
      </c>
      <c r="AE320" s="54"/>
      <c r="AF320" s="55"/>
      <c r="AG320" s="55"/>
      <c r="AH320" s="56"/>
      <c r="AI320" s="56"/>
      <c r="AJ320" s="57"/>
      <c r="AK320" s="56"/>
      <c r="AL320" s="46">
        <v>18</v>
      </c>
      <c r="AM320" s="53" t="s">
        <v>941</v>
      </c>
      <c r="AN320" s="39"/>
      <c r="AO320" s="39"/>
      <c r="AP320" s="40"/>
    </row>
    <row r="321" spans="1:42" s="41" customFormat="1" ht="18.75" customHeight="1" x14ac:dyDescent="0.25">
      <c r="A321" s="47">
        <v>46202</v>
      </c>
      <c r="B321" s="43">
        <f t="shared" si="15"/>
        <v>46202</v>
      </c>
      <c r="C321" s="44" t="s">
        <v>814</v>
      </c>
      <c r="D321" s="48" t="s">
        <v>141</v>
      </c>
      <c r="E321" s="48">
        <v>3972</v>
      </c>
      <c r="F321" s="48">
        <v>1</v>
      </c>
      <c r="G321" s="48">
        <v>11111111</v>
      </c>
      <c r="H321" s="48" t="s">
        <v>143</v>
      </c>
      <c r="I321" s="45"/>
      <c r="J321" s="46">
        <f t="shared" si="16"/>
        <v>186.4406779661017</v>
      </c>
      <c r="K321" s="46"/>
      <c r="L321" s="46"/>
      <c r="M321" s="46"/>
      <c r="N321" s="46">
        <f t="shared" si="17"/>
        <v>33.559322033898304</v>
      </c>
      <c r="O321" s="46"/>
      <c r="P321" s="49">
        <v>220</v>
      </c>
      <c r="Q321" s="50"/>
      <c r="R321" s="43"/>
      <c r="S321" s="45"/>
      <c r="T321" s="44"/>
      <c r="U321" s="44"/>
      <c r="V321" s="51" t="s">
        <v>86</v>
      </c>
      <c r="W321" s="46"/>
      <c r="X321" s="47">
        <v>46202</v>
      </c>
      <c r="Y321" s="44" t="s">
        <v>87</v>
      </c>
      <c r="Z321" s="44"/>
      <c r="AA321" s="44"/>
      <c r="AB321" s="44" t="s">
        <v>813</v>
      </c>
      <c r="AC321" s="52"/>
      <c r="AD321" s="52">
        <v>1212</v>
      </c>
      <c r="AE321" s="54"/>
      <c r="AF321" s="55"/>
      <c r="AG321" s="55"/>
      <c r="AH321" s="56"/>
      <c r="AI321" s="56"/>
      <c r="AJ321" s="57"/>
      <c r="AK321" s="56"/>
      <c r="AL321" s="46">
        <v>18</v>
      </c>
      <c r="AM321" s="53" t="s">
        <v>941</v>
      </c>
      <c r="AN321" s="39"/>
      <c r="AO321" s="39"/>
      <c r="AP321" s="40"/>
    </row>
    <row r="322" spans="1:42" s="41" customFormat="1" ht="18.75" customHeight="1" x14ac:dyDescent="0.25">
      <c r="A322" s="47">
        <v>46202</v>
      </c>
      <c r="B322" s="43">
        <f t="shared" si="15"/>
        <v>46202</v>
      </c>
      <c r="C322" s="44" t="s">
        <v>814</v>
      </c>
      <c r="D322" s="48" t="s">
        <v>141</v>
      </c>
      <c r="E322" s="48">
        <v>3973</v>
      </c>
      <c r="F322" s="48">
        <v>1</v>
      </c>
      <c r="G322" s="48">
        <v>11111111</v>
      </c>
      <c r="H322" s="48" t="s">
        <v>143</v>
      </c>
      <c r="I322" s="45"/>
      <c r="J322" s="46">
        <f t="shared" si="16"/>
        <v>218.64406779661019</v>
      </c>
      <c r="K322" s="46"/>
      <c r="L322" s="46"/>
      <c r="M322" s="46"/>
      <c r="N322" s="46">
        <f t="shared" si="17"/>
        <v>39.355932203389834</v>
      </c>
      <c r="O322" s="46"/>
      <c r="P322" s="49">
        <v>258</v>
      </c>
      <c r="Q322" s="50"/>
      <c r="R322" s="43"/>
      <c r="S322" s="45"/>
      <c r="T322" s="44"/>
      <c r="U322" s="44"/>
      <c r="V322" s="51" t="s">
        <v>86</v>
      </c>
      <c r="W322" s="46"/>
      <c r="X322" s="47">
        <v>46202</v>
      </c>
      <c r="Y322" s="44" t="s">
        <v>87</v>
      </c>
      <c r="Z322" s="44"/>
      <c r="AA322" s="44"/>
      <c r="AB322" s="44" t="s">
        <v>813</v>
      </c>
      <c r="AC322" s="52"/>
      <c r="AD322" s="52">
        <v>1212</v>
      </c>
      <c r="AE322" s="54"/>
      <c r="AF322" s="55"/>
      <c r="AG322" s="55"/>
      <c r="AH322" s="56"/>
      <c r="AI322" s="56"/>
      <c r="AJ322" s="57"/>
      <c r="AK322" s="56"/>
      <c r="AL322" s="46">
        <v>18</v>
      </c>
      <c r="AM322" s="53" t="s">
        <v>941</v>
      </c>
      <c r="AN322" s="39"/>
      <c r="AO322" s="39"/>
      <c r="AP322" s="40"/>
    </row>
    <row r="323" spans="1:42" s="41" customFormat="1" ht="18.75" customHeight="1" x14ac:dyDescent="0.25">
      <c r="A323" s="47">
        <v>46202</v>
      </c>
      <c r="B323" s="43">
        <f t="shared" si="15"/>
        <v>46202</v>
      </c>
      <c r="C323" s="44" t="s">
        <v>814</v>
      </c>
      <c r="D323" s="48" t="s">
        <v>141</v>
      </c>
      <c r="E323" s="48">
        <v>3975</v>
      </c>
      <c r="F323" s="48">
        <v>1</v>
      </c>
      <c r="G323" s="48">
        <v>11111111</v>
      </c>
      <c r="H323" s="48" t="s">
        <v>143</v>
      </c>
      <c r="I323" s="45"/>
      <c r="J323" s="46">
        <f t="shared" si="16"/>
        <v>291.52542372881356</v>
      </c>
      <c r="K323" s="46"/>
      <c r="L323" s="46"/>
      <c r="M323" s="46"/>
      <c r="N323" s="46">
        <f t="shared" si="17"/>
        <v>52.474576271186443</v>
      </c>
      <c r="O323" s="46"/>
      <c r="P323" s="49">
        <v>344</v>
      </c>
      <c r="Q323" s="50"/>
      <c r="R323" s="43"/>
      <c r="S323" s="45"/>
      <c r="T323" s="44"/>
      <c r="U323" s="44"/>
      <c r="V323" s="51" t="s">
        <v>86</v>
      </c>
      <c r="W323" s="46"/>
      <c r="X323" s="47">
        <v>46202</v>
      </c>
      <c r="Y323" s="44" t="s">
        <v>87</v>
      </c>
      <c r="Z323" s="44"/>
      <c r="AA323" s="44"/>
      <c r="AB323" s="44" t="s">
        <v>813</v>
      </c>
      <c r="AC323" s="52"/>
      <c r="AD323" s="52">
        <v>1212</v>
      </c>
      <c r="AE323" s="54"/>
      <c r="AF323" s="55"/>
      <c r="AG323" s="55"/>
      <c r="AH323" s="56"/>
      <c r="AI323" s="56"/>
      <c r="AJ323" s="57"/>
      <c r="AK323" s="56"/>
      <c r="AL323" s="46">
        <v>18</v>
      </c>
      <c r="AM323" s="53" t="s">
        <v>941</v>
      </c>
      <c r="AN323" s="39"/>
      <c r="AO323" s="39"/>
      <c r="AP323" s="40"/>
    </row>
    <row r="324" spans="1:42" s="41" customFormat="1" ht="18.75" customHeight="1" x14ac:dyDescent="0.25">
      <c r="A324" s="47">
        <v>46202</v>
      </c>
      <c r="B324" s="43">
        <f t="shared" si="15"/>
        <v>46202</v>
      </c>
      <c r="C324" s="44" t="s">
        <v>814</v>
      </c>
      <c r="D324" s="48" t="s">
        <v>141</v>
      </c>
      <c r="E324" s="48">
        <v>3976</v>
      </c>
      <c r="F324" s="48">
        <v>1</v>
      </c>
      <c r="G324" s="48">
        <v>11111111</v>
      </c>
      <c r="H324" s="48" t="s">
        <v>143</v>
      </c>
      <c r="I324" s="45"/>
      <c r="J324" s="46">
        <f t="shared" si="16"/>
        <v>327.96610169491527</v>
      </c>
      <c r="K324" s="46"/>
      <c r="L324" s="46"/>
      <c r="M324" s="46"/>
      <c r="N324" s="46">
        <f t="shared" si="17"/>
        <v>59.033898305084747</v>
      </c>
      <c r="O324" s="46"/>
      <c r="P324" s="49">
        <v>387</v>
      </c>
      <c r="Q324" s="50"/>
      <c r="R324" s="43"/>
      <c r="S324" s="45"/>
      <c r="T324" s="44"/>
      <c r="U324" s="44"/>
      <c r="V324" s="51" t="s">
        <v>86</v>
      </c>
      <c r="W324" s="46"/>
      <c r="X324" s="47">
        <v>46202</v>
      </c>
      <c r="Y324" s="44" t="s">
        <v>87</v>
      </c>
      <c r="Z324" s="44"/>
      <c r="AA324" s="44"/>
      <c r="AB324" s="44" t="s">
        <v>813</v>
      </c>
      <c r="AC324" s="52"/>
      <c r="AD324" s="52">
        <v>1212</v>
      </c>
      <c r="AE324" s="54"/>
      <c r="AF324" s="55"/>
      <c r="AG324" s="55"/>
      <c r="AH324" s="56"/>
      <c r="AI324" s="56"/>
      <c r="AJ324" s="57"/>
      <c r="AK324" s="56"/>
      <c r="AL324" s="46">
        <v>18</v>
      </c>
      <c r="AM324" s="53" t="s">
        <v>941</v>
      </c>
      <c r="AN324" s="39"/>
      <c r="AO324" s="39"/>
      <c r="AP324" s="40"/>
    </row>
    <row r="325" spans="1:42" s="41" customFormat="1" ht="18.75" customHeight="1" x14ac:dyDescent="0.25">
      <c r="A325" s="47">
        <v>46202</v>
      </c>
      <c r="B325" s="43">
        <f t="shared" si="15"/>
        <v>46202</v>
      </c>
      <c r="C325" s="44" t="s">
        <v>814</v>
      </c>
      <c r="D325" s="48" t="s">
        <v>141</v>
      </c>
      <c r="E325" s="48">
        <v>3977</v>
      </c>
      <c r="F325" s="48">
        <v>1</v>
      </c>
      <c r="G325" s="48">
        <v>11111111</v>
      </c>
      <c r="H325" s="48" t="s">
        <v>143</v>
      </c>
      <c r="I325" s="45"/>
      <c r="J325" s="46">
        <f t="shared" si="16"/>
        <v>364.40677966101697</v>
      </c>
      <c r="K325" s="46"/>
      <c r="L325" s="46"/>
      <c r="M325" s="46"/>
      <c r="N325" s="46">
        <f t="shared" si="17"/>
        <v>65.593220338983059</v>
      </c>
      <c r="O325" s="46"/>
      <c r="P325" s="49">
        <v>430</v>
      </c>
      <c r="Q325" s="50"/>
      <c r="R325" s="43"/>
      <c r="S325" s="45"/>
      <c r="T325" s="44"/>
      <c r="U325" s="44"/>
      <c r="V325" s="51" t="s">
        <v>86</v>
      </c>
      <c r="W325" s="46"/>
      <c r="X325" s="47">
        <v>46202</v>
      </c>
      <c r="Y325" s="44" t="s">
        <v>87</v>
      </c>
      <c r="Z325" s="44"/>
      <c r="AA325" s="44"/>
      <c r="AB325" s="44" t="s">
        <v>813</v>
      </c>
      <c r="AC325" s="52"/>
      <c r="AD325" s="52">
        <v>1212</v>
      </c>
      <c r="AE325" s="54"/>
      <c r="AF325" s="55"/>
      <c r="AG325" s="55"/>
      <c r="AH325" s="56"/>
      <c r="AI325" s="56"/>
      <c r="AJ325" s="57"/>
      <c r="AK325" s="56"/>
      <c r="AL325" s="46">
        <v>18</v>
      </c>
      <c r="AM325" s="53" t="s">
        <v>941</v>
      </c>
      <c r="AN325" s="39"/>
      <c r="AO325" s="39"/>
      <c r="AP325" s="40"/>
    </row>
    <row r="326" spans="1:42" s="41" customFormat="1" ht="18.75" customHeight="1" x14ac:dyDescent="0.25">
      <c r="A326" s="47">
        <v>46202</v>
      </c>
      <c r="B326" s="43">
        <f t="shared" si="15"/>
        <v>46202</v>
      </c>
      <c r="C326" s="44" t="s">
        <v>814</v>
      </c>
      <c r="D326" s="48" t="s">
        <v>141</v>
      </c>
      <c r="E326" s="48">
        <v>3978</v>
      </c>
      <c r="F326" s="48">
        <v>1</v>
      </c>
      <c r="G326" s="48">
        <v>11111111</v>
      </c>
      <c r="H326" s="48" t="s">
        <v>143</v>
      </c>
      <c r="I326" s="45"/>
      <c r="J326" s="46">
        <f t="shared" si="16"/>
        <v>42.372881355932208</v>
      </c>
      <c r="K326" s="46"/>
      <c r="L326" s="46"/>
      <c r="M326" s="46"/>
      <c r="N326" s="46">
        <f t="shared" si="17"/>
        <v>7.6271186440677967</v>
      </c>
      <c r="O326" s="46"/>
      <c r="P326" s="49">
        <v>50</v>
      </c>
      <c r="Q326" s="50"/>
      <c r="R326" s="43"/>
      <c r="S326" s="45"/>
      <c r="T326" s="44"/>
      <c r="U326" s="44"/>
      <c r="V326" s="51" t="s">
        <v>86</v>
      </c>
      <c r="W326" s="46"/>
      <c r="X326" s="47">
        <v>46202</v>
      </c>
      <c r="Y326" s="44" t="s">
        <v>87</v>
      </c>
      <c r="Z326" s="44"/>
      <c r="AA326" s="44"/>
      <c r="AB326" s="44" t="s">
        <v>813</v>
      </c>
      <c r="AC326" s="52"/>
      <c r="AD326" s="52">
        <v>1212</v>
      </c>
      <c r="AE326" s="54"/>
      <c r="AF326" s="55"/>
      <c r="AG326" s="55"/>
      <c r="AH326" s="56"/>
      <c r="AI326" s="56"/>
      <c r="AJ326" s="57"/>
      <c r="AK326" s="56"/>
      <c r="AL326" s="46">
        <v>18</v>
      </c>
      <c r="AM326" s="53" t="s">
        <v>941</v>
      </c>
      <c r="AN326" s="39"/>
      <c r="AO326" s="39"/>
      <c r="AP326" s="40"/>
    </row>
    <row r="327" spans="1:42" s="41" customFormat="1" ht="18.75" customHeight="1" x14ac:dyDescent="0.25">
      <c r="A327" s="47">
        <v>46202</v>
      </c>
      <c r="B327" s="43">
        <f t="shared" si="15"/>
        <v>46202</v>
      </c>
      <c r="C327" s="44" t="s">
        <v>814</v>
      </c>
      <c r="D327" s="48" t="s">
        <v>141</v>
      </c>
      <c r="E327" s="48">
        <v>3979</v>
      </c>
      <c r="F327" s="48">
        <v>1</v>
      </c>
      <c r="G327" s="48">
        <v>11111111</v>
      </c>
      <c r="H327" s="48" t="s">
        <v>143</v>
      </c>
      <c r="I327" s="45"/>
      <c r="J327" s="46">
        <f t="shared" si="16"/>
        <v>76.271186440677965</v>
      </c>
      <c r="K327" s="46"/>
      <c r="L327" s="46"/>
      <c r="M327" s="46"/>
      <c r="N327" s="46">
        <f t="shared" si="17"/>
        <v>13.728813559322033</v>
      </c>
      <c r="O327" s="46"/>
      <c r="P327" s="49">
        <v>90</v>
      </c>
      <c r="Q327" s="50"/>
      <c r="R327" s="43"/>
      <c r="S327" s="45"/>
      <c r="T327" s="44"/>
      <c r="U327" s="44"/>
      <c r="V327" s="51" t="s">
        <v>86</v>
      </c>
      <c r="W327" s="46"/>
      <c r="X327" s="47">
        <v>46202</v>
      </c>
      <c r="Y327" s="44" t="s">
        <v>87</v>
      </c>
      <c r="Z327" s="44"/>
      <c r="AA327" s="44"/>
      <c r="AB327" s="44" t="s">
        <v>813</v>
      </c>
      <c r="AC327" s="52"/>
      <c r="AD327" s="52">
        <v>1212</v>
      </c>
      <c r="AE327" s="54"/>
      <c r="AF327" s="55"/>
      <c r="AG327" s="55"/>
      <c r="AH327" s="56"/>
      <c r="AI327" s="56"/>
      <c r="AJ327" s="57"/>
      <c r="AK327" s="56"/>
      <c r="AL327" s="46">
        <v>18</v>
      </c>
      <c r="AM327" s="53" t="s">
        <v>941</v>
      </c>
      <c r="AN327" s="39"/>
      <c r="AO327" s="39"/>
      <c r="AP327" s="40"/>
    </row>
    <row r="328" spans="1:42" s="41" customFormat="1" ht="18.75" customHeight="1" x14ac:dyDescent="0.25">
      <c r="A328" s="47">
        <v>46202</v>
      </c>
      <c r="B328" s="43">
        <f t="shared" si="15"/>
        <v>46202</v>
      </c>
      <c r="C328" s="44" t="s">
        <v>814</v>
      </c>
      <c r="D328" s="48" t="s">
        <v>141</v>
      </c>
      <c r="E328" s="48">
        <v>3980</v>
      </c>
      <c r="F328" s="48">
        <v>1</v>
      </c>
      <c r="G328" s="48">
        <v>11111111</v>
      </c>
      <c r="H328" s="48" t="s">
        <v>143</v>
      </c>
      <c r="I328" s="45"/>
      <c r="J328" s="46">
        <f t="shared" si="16"/>
        <v>114.40677966101696</v>
      </c>
      <c r="K328" s="46"/>
      <c r="L328" s="46"/>
      <c r="M328" s="46"/>
      <c r="N328" s="46">
        <f t="shared" si="17"/>
        <v>20.593220338983052</v>
      </c>
      <c r="O328" s="46"/>
      <c r="P328" s="49">
        <v>135</v>
      </c>
      <c r="Q328" s="50"/>
      <c r="R328" s="43"/>
      <c r="S328" s="45"/>
      <c r="T328" s="44"/>
      <c r="U328" s="44"/>
      <c r="V328" s="51" t="s">
        <v>86</v>
      </c>
      <c r="W328" s="46"/>
      <c r="X328" s="47">
        <v>46202</v>
      </c>
      <c r="Y328" s="44" t="s">
        <v>87</v>
      </c>
      <c r="Z328" s="44"/>
      <c r="AA328" s="44"/>
      <c r="AB328" s="44" t="s">
        <v>813</v>
      </c>
      <c r="AC328" s="52"/>
      <c r="AD328" s="52">
        <v>1212</v>
      </c>
      <c r="AE328" s="54"/>
      <c r="AF328" s="55"/>
      <c r="AG328" s="55"/>
      <c r="AH328" s="56"/>
      <c r="AI328" s="56"/>
      <c r="AJ328" s="57"/>
      <c r="AK328" s="56"/>
      <c r="AL328" s="46">
        <v>18</v>
      </c>
      <c r="AM328" s="53" t="s">
        <v>941</v>
      </c>
      <c r="AN328" s="39"/>
      <c r="AO328" s="39"/>
      <c r="AP328" s="40"/>
    </row>
    <row r="329" spans="1:42" s="41" customFormat="1" ht="18.75" customHeight="1" x14ac:dyDescent="0.25">
      <c r="A329" s="47">
        <v>46202</v>
      </c>
      <c r="B329" s="43">
        <f t="shared" ref="B329:B366" si="18">+A329</f>
        <v>46202</v>
      </c>
      <c r="C329" s="44" t="s">
        <v>814</v>
      </c>
      <c r="D329" s="48" t="s">
        <v>141</v>
      </c>
      <c r="E329" s="48">
        <v>3981</v>
      </c>
      <c r="F329" s="48">
        <v>1</v>
      </c>
      <c r="G329" s="48">
        <v>11111111</v>
      </c>
      <c r="H329" s="48" t="s">
        <v>143</v>
      </c>
      <c r="I329" s="45"/>
      <c r="J329" s="46">
        <f t="shared" ref="J329:J366" si="19">+P329/1.18</f>
        <v>166.10169491525426</v>
      </c>
      <c r="K329" s="46"/>
      <c r="L329" s="46"/>
      <c r="M329" s="46"/>
      <c r="N329" s="46">
        <f t="shared" ref="N329:N366" si="20">+J329*0.18</f>
        <v>29.898305084745765</v>
      </c>
      <c r="O329" s="46"/>
      <c r="P329" s="49">
        <v>196</v>
      </c>
      <c r="Q329" s="50"/>
      <c r="R329" s="43"/>
      <c r="S329" s="45"/>
      <c r="T329" s="44"/>
      <c r="U329" s="44"/>
      <c r="V329" s="51" t="s">
        <v>86</v>
      </c>
      <c r="W329" s="46"/>
      <c r="X329" s="47">
        <v>46202</v>
      </c>
      <c r="Y329" s="44" t="s">
        <v>87</v>
      </c>
      <c r="Z329" s="44"/>
      <c r="AA329" s="44"/>
      <c r="AB329" s="44" t="s">
        <v>813</v>
      </c>
      <c r="AC329" s="52"/>
      <c r="AD329" s="52">
        <v>1212</v>
      </c>
      <c r="AE329" s="54"/>
      <c r="AF329" s="55"/>
      <c r="AG329" s="55"/>
      <c r="AH329" s="56"/>
      <c r="AI329" s="56"/>
      <c r="AJ329" s="57"/>
      <c r="AK329" s="56"/>
      <c r="AL329" s="46">
        <v>18</v>
      </c>
      <c r="AM329" s="53" t="s">
        <v>941</v>
      </c>
      <c r="AN329" s="39"/>
      <c r="AO329" s="39"/>
      <c r="AP329" s="40"/>
    </row>
    <row r="330" spans="1:42" s="41" customFormat="1" ht="18.75" customHeight="1" x14ac:dyDescent="0.25">
      <c r="A330" s="47">
        <v>46202</v>
      </c>
      <c r="B330" s="43">
        <f t="shared" si="18"/>
        <v>46202</v>
      </c>
      <c r="C330" s="44" t="s">
        <v>814</v>
      </c>
      <c r="D330" s="48" t="s">
        <v>141</v>
      </c>
      <c r="E330" s="48">
        <v>3982</v>
      </c>
      <c r="F330" s="48">
        <v>1</v>
      </c>
      <c r="G330" s="48">
        <v>11111111</v>
      </c>
      <c r="H330" s="48" t="s">
        <v>143</v>
      </c>
      <c r="I330" s="45"/>
      <c r="J330" s="46">
        <f t="shared" si="19"/>
        <v>190.67796610169492</v>
      </c>
      <c r="K330" s="46"/>
      <c r="L330" s="46"/>
      <c r="M330" s="46"/>
      <c r="N330" s="46">
        <f t="shared" si="20"/>
        <v>34.322033898305087</v>
      </c>
      <c r="O330" s="46"/>
      <c r="P330" s="49">
        <v>225</v>
      </c>
      <c r="Q330" s="50"/>
      <c r="R330" s="43"/>
      <c r="S330" s="45"/>
      <c r="T330" s="44"/>
      <c r="U330" s="44"/>
      <c r="V330" s="51" t="s">
        <v>86</v>
      </c>
      <c r="W330" s="46"/>
      <c r="X330" s="47">
        <v>46202</v>
      </c>
      <c r="Y330" s="44" t="s">
        <v>87</v>
      </c>
      <c r="Z330" s="44"/>
      <c r="AA330" s="44"/>
      <c r="AB330" s="44" t="s">
        <v>813</v>
      </c>
      <c r="AC330" s="52"/>
      <c r="AD330" s="52">
        <v>1212</v>
      </c>
      <c r="AE330" s="54"/>
      <c r="AF330" s="55"/>
      <c r="AG330" s="55"/>
      <c r="AH330" s="56"/>
      <c r="AI330" s="56"/>
      <c r="AJ330" s="57"/>
      <c r="AK330" s="56"/>
      <c r="AL330" s="46">
        <v>18</v>
      </c>
      <c r="AM330" s="53" t="s">
        <v>941</v>
      </c>
      <c r="AN330" s="39"/>
      <c r="AO330" s="39"/>
      <c r="AP330" s="40"/>
    </row>
    <row r="331" spans="1:42" s="41" customFormat="1" ht="18.75" customHeight="1" x14ac:dyDescent="0.25">
      <c r="A331" s="47">
        <v>46202</v>
      </c>
      <c r="B331" s="43">
        <f t="shared" si="18"/>
        <v>46202</v>
      </c>
      <c r="C331" s="44" t="s">
        <v>814</v>
      </c>
      <c r="D331" s="48" t="s">
        <v>141</v>
      </c>
      <c r="E331" s="48">
        <v>3983</v>
      </c>
      <c r="F331" s="48">
        <v>1</v>
      </c>
      <c r="G331" s="48">
        <v>11111111</v>
      </c>
      <c r="H331" s="48" t="s">
        <v>143</v>
      </c>
      <c r="I331" s="45"/>
      <c r="J331" s="46">
        <f t="shared" si="19"/>
        <v>223.72881355932205</v>
      </c>
      <c r="K331" s="46"/>
      <c r="L331" s="46"/>
      <c r="M331" s="46"/>
      <c r="N331" s="46">
        <f t="shared" si="20"/>
        <v>40.271186440677965</v>
      </c>
      <c r="O331" s="46"/>
      <c r="P331" s="49">
        <v>264</v>
      </c>
      <c r="Q331" s="50"/>
      <c r="R331" s="43"/>
      <c r="S331" s="45"/>
      <c r="T331" s="44"/>
      <c r="U331" s="44"/>
      <c r="V331" s="51" t="s">
        <v>86</v>
      </c>
      <c r="W331" s="46"/>
      <c r="X331" s="47">
        <v>46202</v>
      </c>
      <c r="Y331" s="44" t="s">
        <v>87</v>
      </c>
      <c r="Z331" s="44"/>
      <c r="AA331" s="44"/>
      <c r="AB331" s="44" t="s">
        <v>813</v>
      </c>
      <c r="AC331" s="52"/>
      <c r="AD331" s="52">
        <v>1212</v>
      </c>
      <c r="AE331" s="54"/>
      <c r="AF331" s="55"/>
      <c r="AG331" s="55"/>
      <c r="AH331" s="56"/>
      <c r="AI331" s="56"/>
      <c r="AJ331" s="57"/>
      <c r="AK331" s="56"/>
      <c r="AL331" s="46">
        <v>18</v>
      </c>
      <c r="AM331" s="53" t="s">
        <v>941</v>
      </c>
      <c r="AN331" s="39"/>
      <c r="AO331" s="39"/>
      <c r="AP331" s="40"/>
    </row>
    <row r="332" spans="1:42" s="41" customFormat="1" ht="18.75" customHeight="1" x14ac:dyDescent="0.25">
      <c r="A332" s="47">
        <v>46202</v>
      </c>
      <c r="B332" s="43">
        <f t="shared" si="18"/>
        <v>46202</v>
      </c>
      <c r="C332" s="44" t="s">
        <v>814</v>
      </c>
      <c r="D332" s="48" t="s">
        <v>141</v>
      </c>
      <c r="E332" s="48">
        <v>3984</v>
      </c>
      <c r="F332" s="48">
        <v>1</v>
      </c>
      <c r="G332" s="48">
        <v>11111111</v>
      </c>
      <c r="H332" s="48" t="s">
        <v>143</v>
      </c>
      <c r="I332" s="45"/>
      <c r="J332" s="46">
        <f t="shared" si="19"/>
        <v>255.08474576271189</v>
      </c>
      <c r="K332" s="46"/>
      <c r="L332" s="46"/>
      <c r="M332" s="46"/>
      <c r="N332" s="46">
        <f t="shared" si="20"/>
        <v>45.915254237288138</v>
      </c>
      <c r="O332" s="46"/>
      <c r="P332" s="49">
        <v>301</v>
      </c>
      <c r="Q332" s="50"/>
      <c r="R332" s="43"/>
      <c r="S332" s="45"/>
      <c r="T332" s="44"/>
      <c r="U332" s="44"/>
      <c r="V332" s="51" t="s">
        <v>86</v>
      </c>
      <c r="W332" s="46"/>
      <c r="X332" s="47">
        <v>46202</v>
      </c>
      <c r="Y332" s="44" t="s">
        <v>87</v>
      </c>
      <c r="Z332" s="44"/>
      <c r="AA332" s="44"/>
      <c r="AB332" s="44" t="s">
        <v>813</v>
      </c>
      <c r="AC332" s="52"/>
      <c r="AD332" s="52">
        <v>1212</v>
      </c>
      <c r="AE332" s="54"/>
      <c r="AF332" s="55"/>
      <c r="AG332" s="55"/>
      <c r="AH332" s="56"/>
      <c r="AI332" s="56"/>
      <c r="AJ332" s="57"/>
      <c r="AK332" s="56"/>
      <c r="AL332" s="46">
        <v>18</v>
      </c>
      <c r="AM332" s="53" t="s">
        <v>941</v>
      </c>
      <c r="AN332" s="39"/>
      <c r="AO332" s="39"/>
      <c r="AP332" s="40"/>
    </row>
    <row r="333" spans="1:42" s="41" customFormat="1" ht="18.75" customHeight="1" x14ac:dyDescent="0.25">
      <c r="A333" s="47">
        <v>46202</v>
      </c>
      <c r="B333" s="43">
        <f t="shared" si="18"/>
        <v>46202</v>
      </c>
      <c r="C333" s="44" t="s">
        <v>814</v>
      </c>
      <c r="D333" s="48" t="s">
        <v>141</v>
      </c>
      <c r="E333" s="48">
        <v>3985</v>
      </c>
      <c r="F333" s="48">
        <v>1</v>
      </c>
      <c r="G333" s="48">
        <v>11111111</v>
      </c>
      <c r="H333" s="48" t="s">
        <v>143</v>
      </c>
      <c r="I333" s="45"/>
      <c r="J333" s="46">
        <f t="shared" si="19"/>
        <v>291.52542372881356</v>
      </c>
      <c r="K333" s="46"/>
      <c r="L333" s="46"/>
      <c r="M333" s="46"/>
      <c r="N333" s="46">
        <f t="shared" si="20"/>
        <v>52.474576271186443</v>
      </c>
      <c r="O333" s="46"/>
      <c r="P333" s="49">
        <v>344</v>
      </c>
      <c r="Q333" s="50"/>
      <c r="R333" s="43"/>
      <c r="S333" s="45"/>
      <c r="T333" s="44"/>
      <c r="U333" s="44"/>
      <c r="V333" s="51" t="s">
        <v>86</v>
      </c>
      <c r="W333" s="46"/>
      <c r="X333" s="47">
        <v>46202</v>
      </c>
      <c r="Y333" s="44" t="s">
        <v>87</v>
      </c>
      <c r="Z333" s="44"/>
      <c r="AA333" s="44"/>
      <c r="AB333" s="44" t="s">
        <v>813</v>
      </c>
      <c r="AC333" s="52"/>
      <c r="AD333" s="52">
        <v>1212</v>
      </c>
      <c r="AE333" s="54"/>
      <c r="AF333" s="55"/>
      <c r="AG333" s="55"/>
      <c r="AH333" s="56"/>
      <c r="AI333" s="56"/>
      <c r="AJ333" s="57"/>
      <c r="AK333" s="56"/>
      <c r="AL333" s="46">
        <v>18</v>
      </c>
      <c r="AM333" s="53" t="s">
        <v>941</v>
      </c>
      <c r="AN333" s="39"/>
      <c r="AO333" s="39"/>
      <c r="AP333" s="40"/>
    </row>
    <row r="334" spans="1:42" s="41" customFormat="1" ht="18.75" customHeight="1" x14ac:dyDescent="0.25">
      <c r="A334" s="47">
        <v>46202</v>
      </c>
      <c r="B334" s="43">
        <f t="shared" si="18"/>
        <v>46202</v>
      </c>
      <c r="C334" s="44" t="s">
        <v>814</v>
      </c>
      <c r="D334" s="48" t="s">
        <v>141</v>
      </c>
      <c r="E334" s="48">
        <v>3986</v>
      </c>
      <c r="F334" s="48">
        <v>1</v>
      </c>
      <c r="G334" s="48">
        <v>11111111</v>
      </c>
      <c r="H334" s="48" t="s">
        <v>143</v>
      </c>
      <c r="I334" s="45"/>
      <c r="J334" s="46">
        <f t="shared" si="19"/>
        <v>327.96610169491527</v>
      </c>
      <c r="K334" s="46"/>
      <c r="L334" s="46"/>
      <c r="M334" s="46"/>
      <c r="N334" s="46">
        <f t="shared" si="20"/>
        <v>59.033898305084747</v>
      </c>
      <c r="O334" s="46"/>
      <c r="P334" s="49">
        <v>387</v>
      </c>
      <c r="Q334" s="50"/>
      <c r="R334" s="43"/>
      <c r="S334" s="45"/>
      <c r="T334" s="44"/>
      <c r="U334" s="44"/>
      <c r="V334" s="51" t="s">
        <v>86</v>
      </c>
      <c r="W334" s="46"/>
      <c r="X334" s="47">
        <v>46202</v>
      </c>
      <c r="Y334" s="44" t="s">
        <v>87</v>
      </c>
      <c r="Z334" s="44"/>
      <c r="AA334" s="44"/>
      <c r="AB334" s="44" t="s">
        <v>813</v>
      </c>
      <c r="AC334" s="52"/>
      <c r="AD334" s="52">
        <v>1212</v>
      </c>
      <c r="AE334" s="54"/>
      <c r="AF334" s="55"/>
      <c r="AG334" s="55"/>
      <c r="AH334" s="56"/>
      <c r="AI334" s="56"/>
      <c r="AJ334" s="57"/>
      <c r="AK334" s="56"/>
      <c r="AL334" s="46">
        <v>18</v>
      </c>
      <c r="AM334" s="53" t="s">
        <v>941</v>
      </c>
      <c r="AN334" s="39"/>
      <c r="AO334" s="39"/>
      <c r="AP334" s="40"/>
    </row>
    <row r="335" spans="1:42" s="41" customFormat="1" ht="18.75" customHeight="1" x14ac:dyDescent="0.25">
      <c r="A335" s="47">
        <v>46202</v>
      </c>
      <c r="B335" s="43">
        <f t="shared" si="18"/>
        <v>46202</v>
      </c>
      <c r="C335" s="44" t="s">
        <v>814</v>
      </c>
      <c r="D335" s="48" t="s">
        <v>141</v>
      </c>
      <c r="E335" s="48">
        <v>3987</v>
      </c>
      <c r="F335" s="48">
        <v>1</v>
      </c>
      <c r="G335" s="48">
        <v>11111111</v>
      </c>
      <c r="H335" s="48" t="s">
        <v>143</v>
      </c>
      <c r="I335" s="45"/>
      <c r="J335" s="46">
        <f t="shared" si="19"/>
        <v>364.40677966101697</v>
      </c>
      <c r="K335" s="46"/>
      <c r="L335" s="46"/>
      <c r="M335" s="46"/>
      <c r="N335" s="46">
        <f t="shared" si="20"/>
        <v>65.593220338983059</v>
      </c>
      <c r="O335" s="46"/>
      <c r="P335" s="49">
        <v>430</v>
      </c>
      <c r="Q335" s="50"/>
      <c r="R335" s="43"/>
      <c r="S335" s="45"/>
      <c r="T335" s="44"/>
      <c r="U335" s="44"/>
      <c r="V335" s="51" t="s">
        <v>86</v>
      </c>
      <c r="W335" s="46"/>
      <c r="X335" s="47">
        <v>46202</v>
      </c>
      <c r="Y335" s="44" t="s">
        <v>87</v>
      </c>
      <c r="Z335" s="44"/>
      <c r="AA335" s="44"/>
      <c r="AB335" s="44" t="s">
        <v>813</v>
      </c>
      <c r="AC335" s="52"/>
      <c r="AD335" s="52">
        <v>1212</v>
      </c>
      <c r="AE335" s="54"/>
      <c r="AF335" s="55"/>
      <c r="AG335" s="55"/>
      <c r="AH335" s="56"/>
      <c r="AI335" s="56"/>
      <c r="AJ335" s="57"/>
      <c r="AK335" s="56"/>
      <c r="AL335" s="46">
        <v>18</v>
      </c>
      <c r="AM335" s="53" t="s">
        <v>941</v>
      </c>
      <c r="AN335" s="39"/>
      <c r="AO335" s="39"/>
      <c r="AP335" s="40"/>
    </row>
    <row r="336" spans="1:42" s="41" customFormat="1" ht="18.75" customHeight="1" x14ac:dyDescent="0.25">
      <c r="A336" s="47">
        <v>46203</v>
      </c>
      <c r="B336" s="43">
        <f t="shared" si="18"/>
        <v>46203</v>
      </c>
      <c r="C336" s="44" t="s">
        <v>814</v>
      </c>
      <c r="D336" s="48" t="s">
        <v>141</v>
      </c>
      <c r="E336" s="48">
        <v>3974</v>
      </c>
      <c r="F336" s="48">
        <v>1</v>
      </c>
      <c r="G336" s="48">
        <v>41372681</v>
      </c>
      <c r="H336" s="48" t="s">
        <v>238</v>
      </c>
      <c r="I336" s="45"/>
      <c r="J336" s="46">
        <f t="shared" si="19"/>
        <v>255.08474576271189</v>
      </c>
      <c r="K336" s="46"/>
      <c r="L336" s="46"/>
      <c r="M336" s="46"/>
      <c r="N336" s="46">
        <f t="shared" si="20"/>
        <v>45.915254237288138</v>
      </c>
      <c r="O336" s="46"/>
      <c r="P336" s="49">
        <v>301</v>
      </c>
      <c r="Q336" s="50"/>
      <c r="R336" s="43"/>
      <c r="S336" s="45"/>
      <c r="T336" s="44"/>
      <c r="U336" s="44"/>
      <c r="V336" s="51" t="s">
        <v>86</v>
      </c>
      <c r="W336" s="46"/>
      <c r="X336" s="47">
        <v>46203</v>
      </c>
      <c r="Y336" s="44" t="s">
        <v>87</v>
      </c>
      <c r="Z336" s="44"/>
      <c r="AA336" s="44"/>
      <c r="AB336" s="44" t="s">
        <v>813</v>
      </c>
      <c r="AC336" s="52"/>
      <c r="AD336" s="52">
        <v>1212</v>
      </c>
      <c r="AE336" s="54"/>
      <c r="AF336" s="55"/>
      <c r="AG336" s="55"/>
      <c r="AH336" s="56"/>
      <c r="AI336" s="56"/>
      <c r="AJ336" s="57"/>
      <c r="AK336" s="56"/>
      <c r="AL336" s="46">
        <v>18</v>
      </c>
      <c r="AM336" s="53" t="s">
        <v>941</v>
      </c>
      <c r="AN336" s="39"/>
      <c r="AO336" s="39"/>
      <c r="AP336" s="40"/>
    </row>
    <row r="337" spans="1:42" s="41" customFormat="1" ht="18.75" customHeight="1" x14ac:dyDescent="0.25">
      <c r="A337" s="47">
        <v>46203</v>
      </c>
      <c r="B337" s="43">
        <f t="shared" si="18"/>
        <v>46203</v>
      </c>
      <c r="C337" s="44" t="s">
        <v>814</v>
      </c>
      <c r="D337" s="48" t="s">
        <v>141</v>
      </c>
      <c r="E337" s="48">
        <v>3988</v>
      </c>
      <c r="F337" s="48">
        <v>1</v>
      </c>
      <c r="G337" s="48">
        <v>11111111</v>
      </c>
      <c r="H337" s="48" t="s">
        <v>143</v>
      </c>
      <c r="I337" s="45"/>
      <c r="J337" s="46">
        <f t="shared" si="19"/>
        <v>42.372881355932208</v>
      </c>
      <c r="K337" s="46"/>
      <c r="L337" s="46"/>
      <c r="M337" s="46"/>
      <c r="N337" s="46">
        <f t="shared" si="20"/>
        <v>7.6271186440677967</v>
      </c>
      <c r="O337" s="46"/>
      <c r="P337" s="49">
        <v>50</v>
      </c>
      <c r="Q337" s="50"/>
      <c r="R337" s="43"/>
      <c r="S337" s="45"/>
      <c r="T337" s="44"/>
      <c r="U337" s="44"/>
      <c r="V337" s="51" t="s">
        <v>86</v>
      </c>
      <c r="W337" s="46"/>
      <c r="X337" s="47">
        <v>46203</v>
      </c>
      <c r="Y337" s="44" t="s">
        <v>87</v>
      </c>
      <c r="Z337" s="44"/>
      <c r="AA337" s="44"/>
      <c r="AB337" s="44" t="s">
        <v>813</v>
      </c>
      <c r="AC337" s="52"/>
      <c r="AD337" s="52">
        <v>1212</v>
      </c>
      <c r="AE337" s="54"/>
      <c r="AF337" s="55"/>
      <c r="AG337" s="55"/>
      <c r="AH337" s="56"/>
      <c r="AI337" s="56"/>
      <c r="AJ337" s="57"/>
      <c r="AK337" s="56"/>
      <c r="AL337" s="46">
        <v>18</v>
      </c>
      <c r="AM337" s="53" t="s">
        <v>941</v>
      </c>
      <c r="AN337" s="39"/>
      <c r="AO337" s="39"/>
      <c r="AP337" s="40"/>
    </row>
    <row r="338" spans="1:42" s="41" customFormat="1" ht="18.75" customHeight="1" x14ac:dyDescent="0.25">
      <c r="A338" s="47">
        <v>46203</v>
      </c>
      <c r="B338" s="43">
        <f t="shared" si="18"/>
        <v>46203</v>
      </c>
      <c r="C338" s="44" t="s">
        <v>814</v>
      </c>
      <c r="D338" s="48" t="s">
        <v>141</v>
      </c>
      <c r="E338" s="48">
        <v>3989</v>
      </c>
      <c r="F338" s="48">
        <v>1</v>
      </c>
      <c r="G338" s="48">
        <v>11111111</v>
      </c>
      <c r="H338" s="48" t="s">
        <v>143</v>
      </c>
      <c r="I338" s="45"/>
      <c r="J338" s="46">
        <f t="shared" si="19"/>
        <v>79.66101694915254</v>
      </c>
      <c r="K338" s="46"/>
      <c r="L338" s="46"/>
      <c r="M338" s="46"/>
      <c r="N338" s="46">
        <f t="shared" si="20"/>
        <v>14.338983050847457</v>
      </c>
      <c r="O338" s="46"/>
      <c r="P338" s="49">
        <v>94</v>
      </c>
      <c r="Q338" s="50"/>
      <c r="R338" s="43"/>
      <c r="S338" s="45"/>
      <c r="T338" s="44"/>
      <c r="U338" s="44"/>
      <c r="V338" s="51" t="s">
        <v>86</v>
      </c>
      <c r="W338" s="46"/>
      <c r="X338" s="47">
        <v>46203</v>
      </c>
      <c r="Y338" s="44" t="s">
        <v>87</v>
      </c>
      <c r="Z338" s="44"/>
      <c r="AA338" s="44"/>
      <c r="AB338" s="44" t="s">
        <v>813</v>
      </c>
      <c r="AC338" s="52"/>
      <c r="AD338" s="52">
        <v>1212</v>
      </c>
      <c r="AE338" s="54"/>
      <c r="AF338" s="55"/>
      <c r="AG338" s="55"/>
      <c r="AH338" s="56"/>
      <c r="AI338" s="56"/>
      <c r="AJ338" s="57"/>
      <c r="AK338" s="56"/>
      <c r="AL338" s="46">
        <v>18</v>
      </c>
      <c r="AM338" s="53" t="s">
        <v>941</v>
      </c>
      <c r="AN338" s="39"/>
      <c r="AO338" s="39"/>
      <c r="AP338" s="40"/>
    </row>
    <row r="339" spans="1:42" s="41" customFormat="1" ht="18.75" customHeight="1" x14ac:dyDescent="0.25">
      <c r="A339" s="47">
        <v>46203</v>
      </c>
      <c r="B339" s="43">
        <f t="shared" si="18"/>
        <v>46203</v>
      </c>
      <c r="C339" s="44" t="s">
        <v>814</v>
      </c>
      <c r="D339" s="48" t="s">
        <v>141</v>
      </c>
      <c r="E339" s="48">
        <v>3990</v>
      </c>
      <c r="F339" s="48">
        <v>1</v>
      </c>
      <c r="G339" s="48">
        <v>11111111</v>
      </c>
      <c r="H339" s="48" t="s">
        <v>143</v>
      </c>
      <c r="I339" s="45"/>
      <c r="J339" s="46">
        <f t="shared" si="19"/>
        <v>119.49152542372882</v>
      </c>
      <c r="K339" s="46"/>
      <c r="L339" s="46"/>
      <c r="M339" s="46"/>
      <c r="N339" s="46">
        <f t="shared" si="20"/>
        <v>21.508474576271187</v>
      </c>
      <c r="O339" s="46"/>
      <c r="P339" s="49">
        <v>141</v>
      </c>
      <c r="Q339" s="50"/>
      <c r="R339" s="43"/>
      <c r="S339" s="45"/>
      <c r="T339" s="44"/>
      <c r="U339" s="44"/>
      <c r="V339" s="51" t="s">
        <v>86</v>
      </c>
      <c r="W339" s="46"/>
      <c r="X339" s="47">
        <v>46203</v>
      </c>
      <c r="Y339" s="44" t="s">
        <v>87</v>
      </c>
      <c r="Z339" s="44"/>
      <c r="AA339" s="44"/>
      <c r="AB339" s="44" t="s">
        <v>813</v>
      </c>
      <c r="AC339" s="52"/>
      <c r="AD339" s="52">
        <v>1212</v>
      </c>
      <c r="AE339" s="54"/>
      <c r="AF339" s="55"/>
      <c r="AG339" s="55"/>
      <c r="AH339" s="56"/>
      <c r="AI339" s="56"/>
      <c r="AJ339" s="57"/>
      <c r="AK339" s="56"/>
      <c r="AL339" s="46">
        <v>18</v>
      </c>
      <c r="AM339" s="53" t="s">
        <v>941</v>
      </c>
      <c r="AN339" s="39"/>
      <c r="AO339" s="39"/>
      <c r="AP339" s="40"/>
    </row>
    <row r="340" spans="1:42" s="41" customFormat="1" ht="18.75" customHeight="1" x14ac:dyDescent="0.25">
      <c r="A340" s="47">
        <v>46203</v>
      </c>
      <c r="B340" s="43">
        <f t="shared" si="18"/>
        <v>46203</v>
      </c>
      <c r="C340" s="44" t="s">
        <v>814</v>
      </c>
      <c r="D340" s="48" t="s">
        <v>141</v>
      </c>
      <c r="E340" s="48">
        <v>3991</v>
      </c>
      <c r="F340" s="48">
        <v>1</v>
      </c>
      <c r="G340" s="48">
        <v>11111111</v>
      </c>
      <c r="H340" s="48" t="s">
        <v>143</v>
      </c>
      <c r="I340" s="45"/>
      <c r="J340" s="46">
        <f t="shared" si="19"/>
        <v>149.15254237288136</v>
      </c>
      <c r="K340" s="46"/>
      <c r="L340" s="46"/>
      <c r="M340" s="46"/>
      <c r="N340" s="46">
        <f t="shared" si="20"/>
        <v>26.847457627118644</v>
      </c>
      <c r="O340" s="46"/>
      <c r="P340" s="49">
        <v>176</v>
      </c>
      <c r="Q340" s="50"/>
      <c r="R340" s="43"/>
      <c r="S340" s="45"/>
      <c r="T340" s="44"/>
      <c r="U340" s="44"/>
      <c r="V340" s="51" t="s">
        <v>86</v>
      </c>
      <c r="W340" s="46"/>
      <c r="X340" s="47">
        <v>46203</v>
      </c>
      <c r="Y340" s="44" t="s">
        <v>87</v>
      </c>
      <c r="Z340" s="44"/>
      <c r="AA340" s="44"/>
      <c r="AB340" s="44" t="s">
        <v>813</v>
      </c>
      <c r="AC340" s="52"/>
      <c r="AD340" s="52">
        <v>1212</v>
      </c>
      <c r="AE340" s="54"/>
      <c r="AF340" s="55"/>
      <c r="AG340" s="55"/>
      <c r="AH340" s="56"/>
      <c r="AI340" s="56"/>
      <c r="AJ340" s="57"/>
      <c r="AK340" s="56"/>
      <c r="AL340" s="46">
        <v>18</v>
      </c>
      <c r="AM340" s="53" t="s">
        <v>941</v>
      </c>
      <c r="AN340" s="39"/>
      <c r="AO340" s="39"/>
      <c r="AP340" s="40"/>
    </row>
    <row r="341" spans="1:42" s="41" customFormat="1" ht="18.75" customHeight="1" x14ac:dyDescent="0.25">
      <c r="A341" s="47">
        <v>46203</v>
      </c>
      <c r="B341" s="43">
        <f t="shared" si="18"/>
        <v>46203</v>
      </c>
      <c r="C341" s="44" t="s">
        <v>814</v>
      </c>
      <c r="D341" s="48" t="s">
        <v>141</v>
      </c>
      <c r="E341" s="48">
        <v>3992</v>
      </c>
      <c r="F341" s="48">
        <v>1</v>
      </c>
      <c r="G341" s="48">
        <v>11111111</v>
      </c>
      <c r="H341" s="48" t="s">
        <v>143</v>
      </c>
      <c r="I341" s="45"/>
      <c r="J341" s="46">
        <f t="shared" si="19"/>
        <v>186.4406779661017</v>
      </c>
      <c r="K341" s="46"/>
      <c r="L341" s="46"/>
      <c r="M341" s="46"/>
      <c r="N341" s="46">
        <f t="shared" si="20"/>
        <v>33.559322033898304</v>
      </c>
      <c r="O341" s="46"/>
      <c r="P341" s="49">
        <v>220</v>
      </c>
      <c r="Q341" s="50"/>
      <c r="R341" s="43"/>
      <c r="S341" s="45"/>
      <c r="T341" s="44"/>
      <c r="U341" s="44"/>
      <c r="V341" s="51" t="s">
        <v>86</v>
      </c>
      <c r="W341" s="46"/>
      <c r="X341" s="47">
        <v>46203</v>
      </c>
      <c r="Y341" s="44" t="s">
        <v>87</v>
      </c>
      <c r="Z341" s="44"/>
      <c r="AA341" s="44"/>
      <c r="AB341" s="44" t="s">
        <v>813</v>
      </c>
      <c r="AC341" s="52"/>
      <c r="AD341" s="52">
        <v>1212</v>
      </c>
      <c r="AE341" s="54"/>
      <c r="AF341" s="55"/>
      <c r="AG341" s="55"/>
      <c r="AH341" s="56"/>
      <c r="AI341" s="56"/>
      <c r="AJ341" s="57"/>
      <c r="AK341" s="56"/>
      <c r="AL341" s="46">
        <v>18</v>
      </c>
      <c r="AM341" s="53" t="s">
        <v>941</v>
      </c>
      <c r="AN341" s="39"/>
      <c r="AO341" s="39"/>
      <c r="AP341" s="40"/>
    </row>
    <row r="342" spans="1:42" s="41" customFormat="1" ht="18.75" customHeight="1" x14ac:dyDescent="0.25">
      <c r="A342" s="47">
        <v>46203</v>
      </c>
      <c r="B342" s="43">
        <f t="shared" si="18"/>
        <v>46203</v>
      </c>
      <c r="C342" s="44" t="s">
        <v>814</v>
      </c>
      <c r="D342" s="48" t="s">
        <v>141</v>
      </c>
      <c r="E342" s="48">
        <v>3993</v>
      </c>
      <c r="F342" s="48">
        <v>1</v>
      </c>
      <c r="G342" s="48">
        <v>11111111</v>
      </c>
      <c r="H342" s="48" t="s">
        <v>143</v>
      </c>
      <c r="I342" s="45"/>
      <c r="J342" s="46">
        <f t="shared" si="19"/>
        <v>223.72881355932205</v>
      </c>
      <c r="K342" s="46"/>
      <c r="L342" s="46"/>
      <c r="M342" s="46"/>
      <c r="N342" s="46">
        <f t="shared" si="20"/>
        <v>40.271186440677965</v>
      </c>
      <c r="O342" s="46"/>
      <c r="P342" s="49">
        <v>264</v>
      </c>
      <c r="Q342" s="50"/>
      <c r="R342" s="43"/>
      <c r="S342" s="45"/>
      <c r="T342" s="44"/>
      <c r="U342" s="44"/>
      <c r="V342" s="51" t="s">
        <v>86</v>
      </c>
      <c r="W342" s="46"/>
      <c r="X342" s="47">
        <v>46203</v>
      </c>
      <c r="Y342" s="44" t="s">
        <v>87</v>
      </c>
      <c r="Z342" s="44"/>
      <c r="AA342" s="44"/>
      <c r="AB342" s="44" t="s">
        <v>813</v>
      </c>
      <c r="AC342" s="52"/>
      <c r="AD342" s="52">
        <v>1212</v>
      </c>
      <c r="AE342" s="54"/>
      <c r="AF342" s="55"/>
      <c r="AG342" s="55"/>
      <c r="AH342" s="56"/>
      <c r="AI342" s="56"/>
      <c r="AJ342" s="57"/>
      <c r="AK342" s="56"/>
      <c r="AL342" s="46">
        <v>18</v>
      </c>
      <c r="AM342" s="53" t="s">
        <v>941</v>
      </c>
      <c r="AN342" s="39"/>
      <c r="AO342" s="39"/>
      <c r="AP342" s="40"/>
    </row>
    <row r="343" spans="1:42" s="41" customFormat="1" ht="18.75" customHeight="1" x14ac:dyDescent="0.25">
      <c r="A343" s="47">
        <v>46203</v>
      </c>
      <c r="B343" s="43">
        <f t="shared" si="18"/>
        <v>46203</v>
      </c>
      <c r="C343" s="44" t="s">
        <v>814</v>
      </c>
      <c r="D343" s="48" t="s">
        <v>141</v>
      </c>
      <c r="E343" s="48">
        <v>3994</v>
      </c>
      <c r="F343" s="48">
        <v>1</v>
      </c>
      <c r="G343" s="48">
        <v>11111111</v>
      </c>
      <c r="H343" s="48" t="s">
        <v>143</v>
      </c>
      <c r="I343" s="45"/>
      <c r="J343" s="46">
        <f t="shared" si="19"/>
        <v>261.0169491525424</v>
      </c>
      <c r="K343" s="46"/>
      <c r="L343" s="46"/>
      <c r="M343" s="46"/>
      <c r="N343" s="46">
        <f t="shared" si="20"/>
        <v>46.983050847457626</v>
      </c>
      <c r="O343" s="46"/>
      <c r="P343" s="49">
        <v>308</v>
      </c>
      <c r="Q343" s="50"/>
      <c r="R343" s="43"/>
      <c r="S343" s="45"/>
      <c r="T343" s="44"/>
      <c r="U343" s="44"/>
      <c r="V343" s="51" t="s">
        <v>86</v>
      </c>
      <c r="W343" s="46"/>
      <c r="X343" s="47">
        <v>46203</v>
      </c>
      <c r="Y343" s="44" t="s">
        <v>87</v>
      </c>
      <c r="Z343" s="44"/>
      <c r="AA343" s="44"/>
      <c r="AB343" s="44" t="s">
        <v>813</v>
      </c>
      <c r="AC343" s="52"/>
      <c r="AD343" s="52">
        <v>1212</v>
      </c>
      <c r="AE343" s="54"/>
      <c r="AF343" s="55"/>
      <c r="AG343" s="55"/>
      <c r="AH343" s="56"/>
      <c r="AI343" s="56"/>
      <c r="AJ343" s="57"/>
      <c r="AK343" s="56"/>
      <c r="AL343" s="46">
        <v>18</v>
      </c>
      <c r="AM343" s="53" t="s">
        <v>941</v>
      </c>
      <c r="AN343" s="39"/>
      <c r="AO343" s="39"/>
      <c r="AP343" s="40"/>
    </row>
    <row r="344" spans="1:42" s="41" customFormat="1" ht="18.75" customHeight="1" x14ac:dyDescent="0.25">
      <c r="A344" s="47">
        <v>46203</v>
      </c>
      <c r="B344" s="43">
        <f t="shared" si="18"/>
        <v>46203</v>
      </c>
      <c r="C344" s="44" t="s">
        <v>814</v>
      </c>
      <c r="D344" s="48" t="s">
        <v>141</v>
      </c>
      <c r="E344" s="48">
        <v>3995</v>
      </c>
      <c r="F344" s="48">
        <v>1</v>
      </c>
      <c r="G344" s="48">
        <v>11111111</v>
      </c>
      <c r="H344" s="48" t="s">
        <v>143</v>
      </c>
      <c r="I344" s="45"/>
      <c r="J344" s="46">
        <f t="shared" si="19"/>
        <v>298.30508474576271</v>
      </c>
      <c r="K344" s="46"/>
      <c r="L344" s="46"/>
      <c r="M344" s="46"/>
      <c r="N344" s="46">
        <f t="shared" si="20"/>
        <v>53.694915254237287</v>
      </c>
      <c r="O344" s="46"/>
      <c r="P344" s="49">
        <v>352</v>
      </c>
      <c r="Q344" s="50"/>
      <c r="R344" s="43"/>
      <c r="S344" s="45"/>
      <c r="T344" s="44"/>
      <c r="U344" s="44"/>
      <c r="V344" s="51" t="s">
        <v>86</v>
      </c>
      <c r="W344" s="46"/>
      <c r="X344" s="47">
        <v>46203</v>
      </c>
      <c r="Y344" s="44" t="s">
        <v>87</v>
      </c>
      <c r="Z344" s="44"/>
      <c r="AA344" s="44"/>
      <c r="AB344" s="44" t="s">
        <v>813</v>
      </c>
      <c r="AC344" s="52"/>
      <c r="AD344" s="52">
        <v>1212</v>
      </c>
      <c r="AE344" s="54"/>
      <c r="AF344" s="55"/>
      <c r="AG344" s="55"/>
      <c r="AH344" s="56"/>
      <c r="AI344" s="56"/>
      <c r="AJ344" s="57"/>
      <c r="AK344" s="56"/>
      <c r="AL344" s="46">
        <v>18</v>
      </c>
      <c r="AM344" s="53" t="s">
        <v>941</v>
      </c>
      <c r="AN344" s="39"/>
      <c r="AO344" s="39"/>
      <c r="AP344" s="40"/>
    </row>
    <row r="345" spans="1:42" s="41" customFormat="1" ht="18.75" customHeight="1" x14ac:dyDescent="0.25">
      <c r="A345" s="47">
        <v>46203</v>
      </c>
      <c r="B345" s="43">
        <f t="shared" si="18"/>
        <v>46203</v>
      </c>
      <c r="C345" s="44" t="s">
        <v>814</v>
      </c>
      <c r="D345" s="48" t="s">
        <v>141</v>
      </c>
      <c r="E345" s="48">
        <v>3996</v>
      </c>
      <c r="F345" s="48">
        <v>1</v>
      </c>
      <c r="G345" s="48">
        <v>11111111</v>
      </c>
      <c r="H345" s="48" t="s">
        <v>143</v>
      </c>
      <c r="I345" s="45"/>
      <c r="J345" s="46">
        <f t="shared" si="19"/>
        <v>335.59322033898309</v>
      </c>
      <c r="K345" s="46"/>
      <c r="L345" s="46"/>
      <c r="M345" s="46"/>
      <c r="N345" s="46">
        <f t="shared" si="20"/>
        <v>60.406779661016955</v>
      </c>
      <c r="O345" s="46"/>
      <c r="P345" s="49">
        <v>396</v>
      </c>
      <c r="Q345" s="50"/>
      <c r="R345" s="43"/>
      <c r="S345" s="45"/>
      <c r="T345" s="44"/>
      <c r="U345" s="44"/>
      <c r="V345" s="51" t="s">
        <v>86</v>
      </c>
      <c r="W345" s="46"/>
      <c r="X345" s="47">
        <v>46203</v>
      </c>
      <c r="Y345" s="44" t="s">
        <v>87</v>
      </c>
      <c r="Z345" s="44"/>
      <c r="AA345" s="44"/>
      <c r="AB345" s="44" t="s">
        <v>813</v>
      </c>
      <c r="AC345" s="52"/>
      <c r="AD345" s="52">
        <v>1212</v>
      </c>
      <c r="AE345" s="54"/>
      <c r="AF345" s="55"/>
      <c r="AG345" s="55"/>
      <c r="AH345" s="56"/>
      <c r="AI345" s="56"/>
      <c r="AJ345" s="57"/>
      <c r="AK345" s="56"/>
      <c r="AL345" s="46">
        <v>18</v>
      </c>
      <c r="AM345" s="53" t="s">
        <v>941</v>
      </c>
      <c r="AN345" s="39"/>
      <c r="AO345" s="39"/>
      <c r="AP345" s="40"/>
    </row>
    <row r="346" spans="1:42" s="41" customFormat="1" ht="18.75" customHeight="1" x14ac:dyDescent="0.25">
      <c r="A346" s="47">
        <v>46203</v>
      </c>
      <c r="B346" s="43">
        <f t="shared" si="18"/>
        <v>46203</v>
      </c>
      <c r="C346" s="44" t="s">
        <v>814</v>
      </c>
      <c r="D346" s="48" t="s">
        <v>141</v>
      </c>
      <c r="E346" s="48">
        <v>3997</v>
      </c>
      <c r="F346" s="48">
        <v>1</v>
      </c>
      <c r="G346" s="48">
        <v>11111111</v>
      </c>
      <c r="H346" s="48" t="s">
        <v>143</v>
      </c>
      <c r="I346" s="45"/>
      <c r="J346" s="46">
        <f t="shared" si="19"/>
        <v>372.88135593220341</v>
      </c>
      <c r="K346" s="46"/>
      <c r="L346" s="46"/>
      <c r="M346" s="46"/>
      <c r="N346" s="46">
        <f t="shared" si="20"/>
        <v>67.118644067796609</v>
      </c>
      <c r="O346" s="46"/>
      <c r="P346" s="49">
        <v>440</v>
      </c>
      <c r="Q346" s="50"/>
      <c r="R346" s="43"/>
      <c r="S346" s="45"/>
      <c r="T346" s="44"/>
      <c r="U346" s="44"/>
      <c r="V346" s="51" t="s">
        <v>86</v>
      </c>
      <c r="W346" s="46"/>
      <c r="X346" s="47">
        <v>46203</v>
      </c>
      <c r="Y346" s="44" t="s">
        <v>87</v>
      </c>
      <c r="Z346" s="44"/>
      <c r="AA346" s="44"/>
      <c r="AB346" s="44" t="s">
        <v>813</v>
      </c>
      <c r="AC346" s="52"/>
      <c r="AD346" s="52">
        <v>1212</v>
      </c>
      <c r="AE346" s="54"/>
      <c r="AF346" s="55"/>
      <c r="AG346" s="55"/>
      <c r="AH346" s="56"/>
      <c r="AI346" s="56"/>
      <c r="AJ346" s="57"/>
      <c r="AK346" s="56"/>
      <c r="AL346" s="46">
        <v>18</v>
      </c>
      <c r="AM346" s="53" t="s">
        <v>941</v>
      </c>
      <c r="AN346" s="39"/>
      <c r="AO346" s="39"/>
      <c r="AP346" s="40"/>
    </row>
    <row r="347" spans="1:42" s="41" customFormat="1" ht="18.75" customHeight="1" x14ac:dyDescent="0.25">
      <c r="A347" s="47">
        <v>46203</v>
      </c>
      <c r="B347" s="43">
        <f t="shared" si="18"/>
        <v>46203</v>
      </c>
      <c r="C347" s="44" t="s">
        <v>814</v>
      </c>
      <c r="D347" s="48" t="s">
        <v>141</v>
      </c>
      <c r="E347" s="48">
        <v>3998</v>
      </c>
      <c r="F347" s="48">
        <v>1</v>
      </c>
      <c r="G347" s="48">
        <v>11111111</v>
      </c>
      <c r="H347" s="48" t="s">
        <v>143</v>
      </c>
      <c r="I347" s="45"/>
      <c r="J347" s="46">
        <f t="shared" si="19"/>
        <v>400.84745762711867</v>
      </c>
      <c r="K347" s="46"/>
      <c r="L347" s="46"/>
      <c r="M347" s="46"/>
      <c r="N347" s="46">
        <f t="shared" si="20"/>
        <v>72.152542372881356</v>
      </c>
      <c r="O347" s="46"/>
      <c r="P347" s="49">
        <v>473</v>
      </c>
      <c r="Q347" s="50"/>
      <c r="R347" s="43"/>
      <c r="S347" s="45"/>
      <c r="T347" s="44"/>
      <c r="U347" s="44"/>
      <c r="V347" s="51" t="s">
        <v>86</v>
      </c>
      <c r="W347" s="46"/>
      <c r="X347" s="47">
        <v>46203</v>
      </c>
      <c r="Y347" s="44" t="s">
        <v>87</v>
      </c>
      <c r="Z347" s="44"/>
      <c r="AA347" s="44"/>
      <c r="AB347" s="44" t="s">
        <v>813</v>
      </c>
      <c r="AC347" s="52"/>
      <c r="AD347" s="52">
        <v>1212</v>
      </c>
      <c r="AE347" s="54"/>
      <c r="AF347" s="55"/>
      <c r="AG347" s="55"/>
      <c r="AH347" s="56"/>
      <c r="AI347" s="56"/>
      <c r="AJ347" s="57"/>
      <c r="AK347" s="56"/>
      <c r="AL347" s="46">
        <v>18</v>
      </c>
      <c r="AM347" s="53" t="s">
        <v>941</v>
      </c>
      <c r="AN347" s="39"/>
      <c r="AO347" s="39"/>
      <c r="AP347" s="40"/>
    </row>
    <row r="348" spans="1:42" s="41" customFormat="1" ht="18.75" customHeight="1" x14ac:dyDescent="0.25">
      <c r="A348" s="47">
        <v>46203</v>
      </c>
      <c r="B348" s="43">
        <f t="shared" si="18"/>
        <v>46203</v>
      </c>
      <c r="C348" s="44" t="s">
        <v>814</v>
      </c>
      <c r="D348" s="48" t="s">
        <v>141</v>
      </c>
      <c r="E348" s="48">
        <v>3999</v>
      </c>
      <c r="F348" s="48">
        <v>1</v>
      </c>
      <c r="G348" s="48">
        <v>11111111</v>
      </c>
      <c r="H348" s="48" t="s">
        <v>143</v>
      </c>
      <c r="I348" s="45"/>
      <c r="J348" s="46">
        <f t="shared" si="19"/>
        <v>42.372881355932208</v>
      </c>
      <c r="K348" s="46"/>
      <c r="L348" s="46"/>
      <c r="M348" s="46"/>
      <c r="N348" s="46">
        <f t="shared" si="20"/>
        <v>7.6271186440677967</v>
      </c>
      <c r="O348" s="46"/>
      <c r="P348" s="49">
        <v>50</v>
      </c>
      <c r="Q348" s="50"/>
      <c r="R348" s="43"/>
      <c r="S348" s="45"/>
      <c r="T348" s="44"/>
      <c r="U348" s="44"/>
      <c r="V348" s="51" t="s">
        <v>86</v>
      </c>
      <c r="W348" s="46"/>
      <c r="X348" s="47">
        <v>46203</v>
      </c>
      <c r="Y348" s="44" t="s">
        <v>87</v>
      </c>
      <c r="Z348" s="44"/>
      <c r="AA348" s="44"/>
      <c r="AB348" s="44" t="s">
        <v>813</v>
      </c>
      <c r="AC348" s="52"/>
      <c r="AD348" s="52">
        <v>1212</v>
      </c>
      <c r="AE348" s="54"/>
      <c r="AF348" s="55"/>
      <c r="AG348" s="55"/>
      <c r="AH348" s="56"/>
      <c r="AI348" s="56"/>
      <c r="AJ348" s="57"/>
      <c r="AK348" s="56"/>
      <c r="AL348" s="46">
        <v>18</v>
      </c>
      <c r="AM348" s="53" t="s">
        <v>941</v>
      </c>
      <c r="AN348" s="39"/>
      <c r="AO348" s="39"/>
      <c r="AP348" s="40"/>
    </row>
    <row r="349" spans="1:42" s="41" customFormat="1" ht="18.75" customHeight="1" x14ac:dyDescent="0.25">
      <c r="A349" s="47">
        <v>46203</v>
      </c>
      <c r="B349" s="43">
        <f t="shared" si="18"/>
        <v>46203</v>
      </c>
      <c r="C349" s="44" t="s">
        <v>814</v>
      </c>
      <c r="D349" s="48" t="s">
        <v>141</v>
      </c>
      <c r="E349" s="48">
        <v>4000</v>
      </c>
      <c r="F349" s="48">
        <v>1</v>
      </c>
      <c r="G349" s="48">
        <v>11111111</v>
      </c>
      <c r="H349" s="48" t="s">
        <v>143</v>
      </c>
      <c r="I349" s="45"/>
      <c r="J349" s="46">
        <f t="shared" si="19"/>
        <v>79.66101694915254</v>
      </c>
      <c r="K349" s="46"/>
      <c r="L349" s="46"/>
      <c r="M349" s="46"/>
      <c r="N349" s="46">
        <f t="shared" si="20"/>
        <v>14.338983050847457</v>
      </c>
      <c r="O349" s="46"/>
      <c r="P349" s="49">
        <v>94</v>
      </c>
      <c r="Q349" s="50"/>
      <c r="R349" s="43"/>
      <c r="S349" s="45"/>
      <c r="T349" s="44"/>
      <c r="U349" s="44"/>
      <c r="V349" s="51" t="s">
        <v>86</v>
      </c>
      <c r="W349" s="46"/>
      <c r="X349" s="47">
        <v>46203</v>
      </c>
      <c r="Y349" s="44" t="s">
        <v>87</v>
      </c>
      <c r="Z349" s="44"/>
      <c r="AA349" s="44"/>
      <c r="AB349" s="44" t="s">
        <v>813</v>
      </c>
      <c r="AC349" s="52"/>
      <c r="AD349" s="52">
        <v>1212</v>
      </c>
      <c r="AE349" s="54"/>
      <c r="AF349" s="55"/>
      <c r="AG349" s="55"/>
      <c r="AH349" s="56"/>
      <c r="AI349" s="56"/>
      <c r="AJ349" s="57"/>
      <c r="AK349" s="56"/>
      <c r="AL349" s="46">
        <v>18</v>
      </c>
      <c r="AM349" s="53" t="s">
        <v>941</v>
      </c>
      <c r="AN349" s="39"/>
      <c r="AO349" s="39"/>
      <c r="AP349" s="40"/>
    </row>
    <row r="350" spans="1:42" s="41" customFormat="1" ht="18.75" customHeight="1" x14ac:dyDescent="0.25">
      <c r="A350" s="47">
        <v>46203</v>
      </c>
      <c r="B350" s="43">
        <f t="shared" si="18"/>
        <v>46203</v>
      </c>
      <c r="C350" s="44" t="s">
        <v>814</v>
      </c>
      <c r="D350" s="48" t="s">
        <v>141</v>
      </c>
      <c r="E350" s="48">
        <v>4001</v>
      </c>
      <c r="F350" s="48">
        <v>1</v>
      </c>
      <c r="G350" s="48">
        <v>11111111</v>
      </c>
      <c r="H350" s="48" t="s">
        <v>143</v>
      </c>
      <c r="I350" s="45"/>
      <c r="J350" s="46">
        <f t="shared" si="19"/>
        <v>114.40677966101696</v>
      </c>
      <c r="K350" s="46"/>
      <c r="L350" s="46"/>
      <c r="M350" s="46"/>
      <c r="N350" s="46">
        <f t="shared" si="20"/>
        <v>20.593220338983052</v>
      </c>
      <c r="O350" s="46"/>
      <c r="P350" s="49">
        <v>135</v>
      </c>
      <c r="Q350" s="50"/>
      <c r="R350" s="43"/>
      <c r="S350" s="45"/>
      <c r="T350" s="44"/>
      <c r="U350" s="44"/>
      <c r="V350" s="51" t="s">
        <v>86</v>
      </c>
      <c r="W350" s="46"/>
      <c r="X350" s="47">
        <v>46203</v>
      </c>
      <c r="Y350" s="44" t="s">
        <v>87</v>
      </c>
      <c r="Z350" s="44"/>
      <c r="AA350" s="44"/>
      <c r="AB350" s="44" t="s">
        <v>813</v>
      </c>
      <c r="AC350" s="52"/>
      <c r="AD350" s="52">
        <v>1212</v>
      </c>
      <c r="AE350" s="54"/>
      <c r="AF350" s="55"/>
      <c r="AG350" s="55"/>
      <c r="AH350" s="56"/>
      <c r="AI350" s="56"/>
      <c r="AJ350" s="57"/>
      <c r="AK350" s="56"/>
      <c r="AL350" s="46">
        <v>18</v>
      </c>
      <c r="AM350" s="53" t="s">
        <v>941</v>
      </c>
      <c r="AN350" s="39"/>
      <c r="AO350" s="39"/>
      <c r="AP350" s="40"/>
    </row>
    <row r="351" spans="1:42" s="41" customFormat="1" ht="18.75" customHeight="1" x14ac:dyDescent="0.25">
      <c r="A351" s="47">
        <v>46203</v>
      </c>
      <c r="B351" s="43">
        <f t="shared" si="18"/>
        <v>46203</v>
      </c>
      <c r="C351" s="44" t="s">
        <v>814</v>
      </c>
      <c r="D351" s="48" t="s">
        <v>141</v>
      </c>
      <c r="E351" s="48">
        <v>4002</v>
      </c>
      <c r="F351" s="48">
        <v>1</v>
      </c>
      <c r="G351" s="48">
        <v>11111111</v>
      </c>
      <c r="H351" s="48" t="s">
        <v>143</v>
      </c>
      <c r="I351" s="45"/>
      <c r="J351" s="46">
        <f t="shared" si="19"/>
        <v>42.372881355932208</v>
      </c>
      <c r="K351" s="46"/>
      <c r="L351" s="46"/>
      <c r="M351" s="46"/>
      <c r="N351" s="46">
        <f t="shared" si="20"/>
        <v>7.6271186440677967</v>
      </c>
      <c r="O351" s="46"/>
      <c r="P351" s="49">
        <v>50</v>
      </c>
      <c r="Q351" s="50"/>
      <c r="R351" s="43"/>
      <c r="S351" s="45"/>
      <c r="T351" s="44"/>
      <c r="U351" s="44"/>
      <c r="V351" s="51" t="s">
        <v>86</v>
      </c>
      <c r="W351" s="46"/>
      <c r="X351" s="47">
        <v>46203</v>
      </c>
      <c r="Y351" s="44" t="s">
        <v>87</v>
      </c>
      <c r="Z351" s="44"/>
      <c r="AA351" s="44"/>
      <c r="AB351" s="44" t="s">
        <v>813</v>
      </c>
      <c r="AC351" s="52"/>
      <c r="AD351" s="52">
        <v>1212</v>
      </c>
      <c r="AE351" s="54"/>
      <c r="AF351" s="55"/>
      <c r="AG351" s="55"/>
      <c r="AH351" s="56"/>
      <c r="AI351" s="56"/>
      <c r="AJ351" s="57"/>
      <c r="AK351" s="56"/>
      <c r="AL351" s="46">
        <v>18</v>
      </c>
      <c r="AM351" s="53" t="s">
        <v>941</v>
      </c>
      <c r="AN351" s="39"/>
      <c r="AO351" s="39"/>
      <c r="AP351" s="40"/>
    </row>
    <row r="352" spans="1:42" s="41" customFormat="1" ht="18.75" customHeight="1" x14ac:dyDescent="0.25">
      <c r="A352" s="47">
        <v>46203</v>
      </c>
      <c r="B352" s="43">
        <f t="shared" si="18"/>
        <v>46203</v>
      </c>
      <c r="C352" s="44" t="s">
        <v>814</v>
      </c>
      <c r="D352" s="48" t="s">
        <v>141</v>
      </c>
      <c r="E352" s="48">
        <v>4003</v>
      </c>
      <c r="F352" s="48">
        <v>1</v>
      </c>
      <c r="G352" s="48">
        <v>11111111</v>
      </c>
      <c r="H352" s="48" t="s">
        <v>143</v>
      </c>
      <c r="I352" s="45"/>
      <c r="J352" s="46">
        <f t="shared" si="19"/>
        <v>298.30508474576271</v>
      </c>
      <c r="K352" s="46"/>
      <c r="L352" s="46"/>
      <c r="M352" s="46"/>
      <c r="N352" s="46">
        <f t="shared" si="20"/>
        <v>53.694915254237287</v>
      </c>
      <c r="O352" s="46"/>
      <c r="P352" s="49">
        <v>352</v>
      </c>
      <c r="Q352" s="50"/>
      <c r="R352" s="43"/>
      <c r="S352" s="45"/>
      <c r="T352" s="44"/>
      <c r="U352" s="44"/>
      <c r="V352" s="51" t="s">
        <v>86</v>
      </c>
      <c r="W352" s="46"/>
      <c r="X352" s="47">
        <v>46203</v>
      </c>
      <c r="Y352" s="44" t="s">
        <v>87</v>
      </c>
      <c r="Z352" s="44"/>
      <c r="AA352" s="44"/>
      <c r="AB352" s="44" t="s">
        <v>813</v>
      </c>
      <c r="AC352" s="52"/>
      <c r="AD352" s="52">
        <v>1212</v>
      </c>
      <c r="AE352" s="54"/>
      <c r="AF352" s="55"/>
      <c r="AG352" s="55"/>
      <c r="AH352" s="56"/>
      <c r="AI352" s="56"/>
      <c r="AJ352" s="57"/>
      <c r="AK352" s="56"/>
      <c r="AL352" s="46">
        <v>18</v>
      </c>
      <c r="AM352" s="53" t="s">
        <v>941</v>
      </c>
      <c r="AN352" s="39"/>
      <c r="AO352" s="39"/>
      <c r="AP352" s="40"/>
    </row>
    <row r="353" spans="1:42" s="41" customFormat="1" ht="18.75" customHeight="1" x14ac:dyDescent="0.25">
      <c r="A353" s="47">
        <v>46203</v>
      </c>
      <c r="B353" s="43">
        <f t="shared" si="18"/>
        <v>46203</v>
      </c>
      <c r="C353" s="44" t="s">
        <v>814</v>
      </c>
      <c r="D353" s="48" t="s">
        <v>141</v>
      </c>
      <c r="E353" s="48">
        <v>4004</v>
      </c>
      <c r="F353" s="48">
        <v>1</v>
      </c>
      <c r="G353" s="48">
        <v>11111111</v>
      </c>
      <c r="H353" s="48" t="s">
        <v>143</v>
      </c>
      <c r="I353" s="45"/>
      <c r="J353" s="46">
        <f t="shared" si="19"/>
        <v>261.0169491525424</v>
      </c>
      <c r="K353" s="46"/>
      <c r="L353" s="46"/>
      <c r="M353" s="46"/>
      <c r="N353" s="46">
        <f t="shared" si="20"/>
        <v>46.983050847457626</v>
      </c>
      <c r="O353" s="46"/>
      <c r="P353" s="49">
        <v>308</v>
      </c>
      <c r="Q353" s="50"/>
      <c r="R353" s="43"/>
      <c r="S353" s="45"/>
      <c r="T353" s="44"/>
      <c r="U353" s="44"/>
      <c r="V353" s="51" t="s">
        <v>86</v>
      </c>
      <c r="W353" s="46"/>
      <c r="X353" s="47">
        <v>46203</v>
      </c>
      <c r="Y353" s="44" t="s">
        <v>87</v>
      </c>
      <c r="Z353" s="44"/>
      <c r="AA353" s="44"/>
      <c r="AB353" s="44" t="s">
        <v>813</v>
      </c>
      <c r="AC353" s="52"/>
      <c r="AD353" s="52">
        <v>1212</v>
      </c>
      <c r="AE353" s="54"/>
      <c r="AF353" s="55"/>
      <c r="AG353" s="55"/>
      <c r="AH353" s="56"/>
      <c r="AI353" s="56"/>
      <c r="AJ353" s="57"/>
      <c r="AK353" s="56"/>
      <c r="AL353" s="46">
        <v>18</v>
      </c>
      <c r="AM353" s="53" t="s">
        <v>941</v>
      </c>
      <c r="AN353" s="39"/>
      <c r="AO353" s="39"/>
      <c r="AP353" s="40"/>
    </row>
    <row r="354" spans="1:42" s="41" customFormat="1" ht="18.75" customHeight="1" x14ac:dyDescent="0.25">
      <c r="A354" s="47">
        <v>46203</v>
      </c>
      <c r="B354" s="43">
        <f t="shared" si="18"/>
        <v>46203</v>
      </c>
      <c r="C354" s="44" t="s">
        <v>814</v>
      </c>
      <c r="D354" s="48" t="s">
        <v>141</v>
      </c>
      <c r="E354" s="48">
        <v>4005</v>
      </c>
      <c r="F354" s="48">
        <v>1</v>
      </c>
      <c r="G354" s="48">
        <v>11111111</v>
      </c>
      <c r="H354" s="48" t="s">
        <v>143</v>
      </c>
      <c r="I354" s="45"/>
      <c r="J354" s="46">
        <f t="shared" si="19"/>
        <v>335.59322033898309</v>
      </c>
      <c r="K354" s="46"/>
      <c r="L354" s="46"/>
      <c r="M354" s="46"/>
      <c r="N354" s="46">
        <f t="shared" si="20"/>
        <v>60.406779661016955</v>
      </c>
      <c r="O354" s="46"/>
      <c r="P354" s="49">
        <v>396</v>
      </c>
      <c r="Q354" s="50"/>
      <c r="R354" s="43"/>
      <c r="S354" s="45"/>
      <c r="T354" s="44"/>
      <c r="U354" s="44"/>
      <c r="V354" s="51" t="s">
        <v>86</v>
      </c>
      <c r="W354" s="46"/>
      <c r="X354" s="47">
        <v>46203</v>
      </c>
      <c r="Y354" s="44" t="s">
        <v>87</v>
      </c>
      <c r="Z354" s="44"/>
      <c r="AA354" s="44"/>
      <c r="AB354" s="44" t="s">
        <v>813</v>
      </c>
      <c r="AC354" s="52"/>
      <c r="AD354" s="52">
        <v>1212</v>
      </c>
      <c r="AE354" s="54"/>
      <c r="AF354" s="55"/>
      <c r="AG354" s="55"/>
      <c r="AH354" s="56"/>
      <c r="AI354" s="56"/>
      <c r="AJ354" s="57"/>
      <c r="AK354" s="56"/>
      <c r="AL354" s="46">
        <v>18</v>
      </c>
      <c r="AM354" s="53" t="s">
        <v>941</v>
      </c>
      <c r="AN354" s="39"/>
      <c r="AO354" s="39"/>
      <c r="AP354" s="40"/>
    </row>
    <row r="355" spans="1:42" s="41" customFormat="1" ht="18.75" customHeight="1" x14ac:dyDescent="0.25">
      <c r="A355" s="47">
        <v>46203</v>
      </c>
      <c r="B355" s="43">
        <f t="shared" si="18"/>
        <v>46203</v>
      </c>
      <c r="C355" s="44" t="s">
        <v>814</v>
      </c>
      <c r="D355" s="48" t="s">
        <v>141</v>
      </c>
      <c r="E355" s="48">
        <v>4006</v>
      </c>
      <c r="F355" s="48">
        <v>1</v>
      </c>
      <c r="G355" s="48">
        <v>11111111</v>
      </c>
      <c r="H355" s="48" t="s">
        <v>143</v>
      </c>
      <c r="I355" s="45"/>
      <c r="J355" s="46">
        <f t="shared" si="19"/>
        <v>223.72881355932205</v>
      </c>
      <c r="K355" s="46"/>
      <c r="L355" s="46"/>
      <c r="M355" s="46"/>
      <c r="N355" s="46">
        <f t="shared" si="20"/>
        <v>40.271186440677965</v>
      </c>
      <c r="O355" s="46"/>
      <c r="P355" s="49">
        <v>264</v>
      </c>
      <c r="Q355" s="50"/>
      <c r="R355" s="43"/>
      <c r="S355" s="45"/>
      <c r="T355" s="44"/>
      <c r="U355" s="44"/>
      <c r="V355" s="51" t="s">
        <v>86</v>
      </c>
      <c r="W355" s="46"/>
      <c r="X355" s="47">
        <v>46203</v>
      </c>
      <c r="Y355" s="44" t="s">
        <v>87</v>
      </c>
      <c r="Z355" s="44"/>
      <c r="AA355" s="44"/>
      <c r="AB355" s="44" t="s">
        <v>813</v>
      </c>
      <c r="AC355" s="52"/>
      <c r="AD355" s="52">
        <v>1212</v>
      </c>
      <c r="AE355" s="54"/>
      <c r="AF355" s="55"/>
      <c r="AG355" s="55"/>
      <c r="AH355" s="56"/>
      <c r="AI355" s="56"/>
      <c r="AJ355" s="57"/>
      <c r="AK355" s="56"/>
      <c r="AL355" s="46">
        <v>18</v>
      </c>
      <c r="AM355" s="53" t="s">
        <v>941</v>
      </c>
      <c r="AN355" s="39"/>
      <c r="AO355" s="39"/>
      <c r="AP355" s="40"/>
    </row>
    <row r="356" spans="1:42" s="41" customFormat="1" ht="18.75" customHeight="1" x14ac:dyDescent="0.25">
      <c r="A356" s="47">
        <v>46203</v>
      </c>
      <c r="B356" s="43">
        <f t="shared" si="18"/>
        <v>46203</v>
      </c>
      <c r="C356" s="44" t="s">
        <v>814</v>
      </c>
      <c r="D356" s="48" t="s">
        <v>141</v>
      </c>
      <c r="E356" s="48">
        <v>4007</v>
      </c>
      <c r="F356" s="48">
        <v>1</v>
      </c>
      <c r="G356" s="48">
        <v>11111111</v>
      </c>
      <c r="H356" s="48" t="s">
        <v>143</v>
      </c>
      <c r="I356" s="45"/>
      <c r="J356" s="46">
        <f t="shared" si="19"/>
        <v>42.372881355932208</v>
      </c>
      <c r="K356" s="46"/>
      <c r="L356" s="46"/>
      <c r="M356" s="46"/>
      <c r="N356" s="46">
        <f t="shared" si="20"/>
        <v>7.6271186440677967</v>
      </c>
      <c r="O356" s="46"/>
      <c r="P356" s="49">
        <v>50</v>
      </c>
      <c r="Q356" s="50"/>
      <c r="R356" s="43"/>
      <c r="S356" s="45"/>
      <c r="T356" s="44"/>
      <c r="U356" s="44"/>
      <c r="V356" s="51" t="s">
        <v>86</v>
      </c>
      <c r="W356" s="46"/>
      <c r="X356" s="47">
        <v>46203</v>
      </c>
      <c r="Y356" s="44" t="s">
        <v>87</v>
      </c>
      <c r="Z356" s="44"/>
      <c r="AA356" s="44"/>
      <c r="AB356" s="44" t="s">
        <v>813</v>
      </c>
      <c r="AC356" s="52"/>
      <c r="AD356" s="52">
        <v>1212</v>
      </c>
      <c r="AE356" s="54"/>
      <c r="AF356" s="55"/>
      <c r="AG356" s="55"/>
      <c r="AH356" s="56"/>
      <c r="AI356" s="56"/>
      <c r="AJ356" s="57"/>
      <c r="AK356" s="56"/>
      <c r="AL356" s="46">
        <v>18</v>
      </c>
      <c r="AM356" s="53" t="s">
        <v>941</v>
      </c>
      <c r="AN356" s="39"/>
      <c r="AO356" s="39"/>
      <c r="AP356" s="40"/>
    </row>
    <row r="357" spans="1:42" s="41" customFormat="1" ht="18.75" customHeight="1" x14ac:dyDescent="0.25">
      <c r="A357" s="47">
        <v>46203</v>
      </c>
      <c r="B357" s="43">
        <f t="shared" si="18"/>
        <v>46203</v>
      </c>
      <c r="C357" s="44" t="s">
        <v>814</v>
      </c>
      <c r="D357" s="48" t="s">
        <v>141</v>
      </c>
      <c r="E357" s="48">
        <v>4008</v>
      </c>
      <c r="F357" s="48">
        <v>1</v>
      </c>
      <c r="G357" s="48">
        <v>11111111</v>
      </c>
      <c r="H357" s="48" t="s">
        <v>143</v>
      </c>
      <c r="I357" s="45"/>
      <c r="J357" s="46">
        <f t="shared" si="19"/>
        <v>79.66101694915254</v>
      </c>
      <c r="K357" s="46"/>
      <c r="L357" s="46"/>
      <c r="M357" s="46"/>
      <c r="N357" s="46">
        <f t="shared" si="20"/>
        <v>14.338983050847457</v>
      </c>
      <c r="O357" s="46"/>
      <c r="P357" s="49">
        <v>94</v>
      </c>
      <c r="Q357" s="50"/>
      <c r="R357" s="43"/>
      <c r="S357" s="45"/>
      <c r="T357" s="44"/>
      <c r="U357" s="44"/>
      <c r="V357" s="51" t="s">
        <v>86</v>
      </c>
      <c r="W357" s="46"/>
      <c r="X357" s="47">
        <v>46203</v>
      </c>
      <c r="Y357" s="44" t="s">
        <v>87</v>
      </c>
      <c r="Z357" s="44"/>
      <c r="AA357" s="44"/>
      <c r="AB357" s="44" t="s">
        <v>813</v>
      </c>
      <c r="AC357" s="52"/>
      <c r="AD357" s="52">
        <v>1212</v>
      </c>
      <c r="AE357" s="54"/>
      <c r="AF357" s="55"/>
      <c r="AG357" s="55"/>
      <c r="AH357" s="56"/>
      <c r="AI357" s="56"/>
      <c r="AJ357" s="57"/>
      <c r="AK357" s="56"/>
      <c r="AL357" s="46">
        <v>18</v>
      </c>
      <c r="AM357" s="53" t="s">
        <v>941</v>
      </c>
      <c r="AN357" s="39"/>
      <c r="AO357" s="39"/>
      <c r="AP357" s="40"/>
    </row>
    <row r="358" spans="1:42" s="41" customFormat="1" ht="18.75" customHeight="1" x14ac:dyDescent="0.25">
      <c r="A358" s="47">
        <v>46203</v>
      </c>
      <c r="B358" s="43">
        <f t="shared" si="18"/>
        <v>46203</v>
      </c>
      <c r="C358" s="44" t="s">
        <v>814</v>
      </c>
      <c r="D358" s="48" t="s">
        <v>141</v>
      </c>
      <c r="E358" s="48">
        <v>4009</v>
      </c>
      <c r="F358" s="48">
        <v>1</v>
      </c>
      <c r="G358" s="48">
        <v>11111111</v>
      </c>
      <c r="H358" s="48" t="s">
        <v>143</v>
      </c>
      <c r="I358" s="45"/>
      <c r="J358" s="46">
        <f t="shared" si="19"/>
        <v>119.49152542372882</v>
      </c>
      <c r="K358" s="46"/>
      <c r="L358" s="46"/>
      <c r="M358" s="46"/>
      <c r="N358" s="46">
        <f t="shared" si="20"/>
        <v>21.508474576271187</v>
      </c>
      <c r="O358" s="46"/>
      <c r="P358" s="49">
        <v>141</v>
      </c>
      <c r="Q358" s="50"/>
      <c r="R358" s="43"/>
      <c r="S358" s="45"/>
      <c r="T358" s="44"/>
      <c r="U358" s="44"/>
      <c r="V358" s="51" t="s">
        <v>86</v>
      </c>
      <c r="W358" s="46"/>
      <c r="X358" s="47">
        <v>46203</v>
      </c>
      <c r="Y358" s="44" t="s">
        <v>87</v>
      </c>
      <c r="Z358" s="44"/>
      <c r="AA358" s="44"/>
      <c r="AB358" s="44" t="s">
        <v>813</v>
      </c>
      <c r="AC358" s="52"/>
      <c r="AD358" s="52">
        <v>1212</v>
      </c>
      <c r="AE358" s="54"/>
      <c r="AF358" s="55"/>
      <c r="AG358" s="55"/>
      <c r="AH358" s="56"/>
      <c r="AI358" s="56"/>
      <c r="AJ358" s="57"/>
      <c r="AK358" s="56"/>
      <c r="AL358" s="46">
        <v>18</v>
      </c>
      <c r="AM358" s="53" t="s">
        <v>941</v>
      </c>
      <c r="AN358" s="39"/>
      <c r="AO358" s="39"/>
      <c r="AP358" s="40"/>
    </row>
    <row r="359" spans="1:42" s="41" customFormat="1" ht="18.75" customHeight="1" x14ac:dyDescent="0.25">
      <c r="A359" s="47">
        <v>46203</v>
      </c>
      <c r="B359" s="43">
        <f t="shared" si="18"/>
        <v>46203</v>
      </c>
      <c r="C359" s="44" t="s">
        <v>814</v>
      </c>
      <c r="D359" s="48" t="s">
        <v>141</v>
      </c>
      <c r="E359" s="48">
        <v>4010</v>
      </c>
      <c r="F359" s="48">
        <v>1</v>
      </c>
      <c r="G359" s="48">
        <v>11111111</v>
      </c>
      <c r="H359" s="48" t="s">
        <v>143</v>
      </c>
      <c r="I359" s="45"/>
      <c r="J359" s="46">
        <f t="shared" si="19"/>
        <v>152.54237288135593</v>
      </c>
      <c r="K359" s="46"/>
      <c r="L359" s="46"/>
      <c r="M359" s="46"/>
      <c r="N359" s="46">
        <f t="shared" si="20"/>
        <v>27.457627118644066</v>
      </c>
      <c r="O359" s="46"/>
      <c r="P359" s="49">
        <v>180</v>
      </c>
      <c r="Q359" s="50"/>
      <c r="R359" s="43"/>
      <c r="S359" s="45"/>
      <c r="T359" s="44"/>
      <c r="U359" s="44"/>
      <c r="V359" s="51" t="s">
        <v>86</v>
      </c>
      <c r="W359" s="46"/>
      <c r="X359" s="47">
        <v>46203</v>
      </c>
      <c r="Y359" s="44" t="s">
        <v>87</v>
      </c>
      <c r="Z359" s="44"/>
      <c r="AA359" s="44"/>
      <c r="AB359" s="44" t="s">
        <v>813</v>
      </c>
      <c r="AC359" s="52"/>
      <c r="AD359" s="52">
        <v>1212</v>
      </c>
      <c r="AE359" s="54"/>
      <c r="AF359" s="55"/>
      <c r="AG359" s="55"/>
      <c r="AH359" s="56"/>
      <c r="AI359" s="56"/>
      <c r="AJ359" s="57"/>
      <c r="AK359" s="56"/>
      <c r="AL359" s="46">
        <v>18</v>
      </c>
      <c r="AM359" s="53" t="s">
        <v>941</v>
      </c>
      <c r="AN359" s="39"/>
      <c r="AO359" s="39"/>
      <c r="AP359" s="40"/>
    </row>
    <row r="360" spans="1:42" s="41" customFormat="1" ht="18.75" customHeight="1" x14ac:dyDescent="0.25">
      <c r="A360" s="47">
        <v>46203</v>
      </c>
      <c r="B360" s="43">
        <f t="shared" si="18"/>
        <v>46203</v>
      </c>
      <c r="C360" s="44" t="s">
        <v>814</v>
      </c>
      <c r="D360" s="48" t="s">
        <v>141</v>
      </c>
      <c r="E360" s="48">
        <v>4011</v>
      </c>
      <c r="F360" s="48">
        <v>1</v>
      </c>
      <c r="G360" s="48">
        <v>11111111</v>
      </c>
      <c r="H360" s="48" t="s">
        <v>143</v>
      </c>
      <c r="I360" s="45"/>
      <c r="J360" s="46">
        <f t="shared" si="19"/>
        <v>186.4406779661017</v>
      </c>
      <c r="K360" s="46"/>
      <c r="L360" s="46"/>
      <c r="M360" s="46"/>
      <c r="N360" s="46">
        <f t="shared" si="20"/>
        <v>33.559322033898304</v>
      </c>
      <c r="O360" s="46"/>
      <c r="P360" s="49">
        <v>220</v>
      </c>
      <c r="Q360" s="50"/>
      <c r="R360" s="43"/>
      <c r="S360" s="45"/>
      <c r="T360" s="44"/>
      <c r="U360" s="44"/>
      <c r="V360" s="51" t="s">
        <v>86</v>
      </c>
      <c r="W360" s="46"/>
      <c r="X360" s="47">
        <v>46203</v>
      </c>
      <c r="Y360" s="44" t="s">
        <v>87</v>
      </c>
      <c r="Z360" s="44"/>
      <c r="AA360" s="44"/>
      <c r="AB360" s="44" t="s">
        <v>813</v>
      </c>
      <c r="AC360" s="52"/>
      <c r="AD360" s="52">
        <v>1212</v>
      </c>
      <c r="AE360" s="54"/>
      <c r="AF360" s="55"/>
      <c r="AG360" s="55"/>
      <c r="AH360" s="56"/>
      <c r="AI360" s="56"/>
      <c r="AJ360" s="57"/>
      <c r="AK360" s="56"/>
      <c r="AL360" s="46">
        <v>18</v>
      </c>
      <c r="AM360" s="53" t="s">
        <v>941</v>
      </c>
      <c r="AN360" s="39"/>
      <c r="AO360" s="39"/>
      <c r="AP360" s="40"/>
    </row>
    <row r="361" spans="1:42" s="41" customFormat="1" ht="18.75" customHeight="1" x14ac:dyDescent="0.25">
      <c r="A361" s="47">
        <v>46203</v>
      </c>
      <c r="B361" s="43">
        <f t="shared" si="18"/>
        <v>46203</v>
      </c>
      <c r="C361" s="44" t="s">
        <v>814</v>
      </c>
      <c r="D361" s="48" t="s">
        <v>141</v>
      </c>
      <c r="E361" s="48">
        <v>4012</v>
      </c>
      <c r="F361" s="48">
        <v>1</v>
      </c>
      <c r="G361" s="48">
        <v>11111111</v>
      </c>
      <c r="H361" s="48" t="s">
        <v>143</v>
      </c>
      <c r="I361" s="45"/>
      <c r="J361" s="46">
        <f t="shared" si="19"/>
        <v>223.72881355932205</v>
      </c>
      <c r="K361" s="46"/>
      <c r="L361" s="46"/>
      <c r="M361" s="46"/>
      <c r="N361" s="46">
        <f t="shared" si="20"/>
        <v>40.271186440677965</v>
      </c>
      <c r="O361" s="46"/>
      <c r="P361" s="49">
        <v>264</v>
      </c>
      <c r="Q361" s="50"/>
      <c r="R361" s="43"/>
      <c r="S361" s="45"/>
      <c r="T361" s="44"/>
      <c r="U361" s="44"/>
      <c r="V361" s="51" t="s">
        <v>86</v>
      </c>
      <c r="W361" s="46"/>
      <c r="X361" s="47">
        <v>46203</v>
      </c>
      <c r="Y361" s="44" t="s">
        <v>87</v>
      </c>
      <c r="Z361" s="44"/>
      <c r="AA361" s="44"/>
      <c r="AB361" s="44" t="s">
        <v>813</v>
      </c>
      <c r="AC361" s="52"/>
      <c r="AD361" s="52">
        <v>1212</v>
      </c>
      <c r="AE361" s="54"/>
      <c r="AF361" s="55"/>
      <c r="AG361" s="55"/>
      <c r="AH361" s="56"/>
      <c r="AI361" s="56"/>
      <c r="AJ361" s="57"/>
      <c r="AK361" s="56"/>
      <c r="AL361" s="46">
        <v>18</v>
      </c>
      <c r="AM361" s="53" t="s">
        <v>941</v>
      </c>
      <c r="AN361" s="39"/>
      <c r="AO361" s="39"/>
      <c r="AP361" s="40"/>
    </row>
    <row r="362" spans="1:42" s="41" customFormat="1" ht="18.75" customHeight="1" x14ac:dyDescent="0.25">
      <c r="A362" s="47">
        <v>46203</v>
      </c>
      <c r="B362" s="43">
        <f t="shared" si="18"/>
        <v>46203</v>
      </c>
      <c r="C362" s="44" t="s">
        <v>814</v>
      </c>
      <c r="D362" s="48" t="s">
        <v>141</v>
      </c>
      <c r="E362" s="48">
        <v>4013</v>
      </c>
      <c r="F362" s="48">
        <v>1</v>
      </c>
      <c r="G362" s="48">
        <v>11111111</v>
      </c>
      <c r="H362" s="48" t="s">
        <v>143</v>
      </c>
      <c r="I362" s="45"/>
      <c r="J362" s="46">
        <f t="shared" si="19"/>
        <v>261.0169491525424</v>
      </c>
      <c r="K362" s="46"/>
      <c r="L362" s="46"/>
      <c r="M362" s="46"/>
      <c r="N362" s="46">
        <f t="shared" si="20"/>
        <v>46.983050847457626</v>
      </c>
      <c r="O362" s="46"/>
      <c r="P362" s="49">
        <v>308</v>
      </c>
      <c r="Q362" s="50"/>
      <c r="R362" s="43"/>
      <c r="S362" s="45"/>
      <c r="T362" s="44"/>
      <c r="U362" s="44"/>
      <c r="V362" s="51" t="s">
        <v>86</v>
      </c>
      <c r="W362" s="46"/>
      <c r="X362" s="47">
        <v>46203</v>
      </c>
      <c r="Y362" s="44" t="s">
        <v>87</v>
      </c>
      <c r="Z362" s="44"/>
      <c r="AA362" s="44"/>
      <c r="AB362" s="44" t="s">
        <v>813</v>
      </c>
      <c r="AC362" s="52"/>
      <c r="AD362" s="52">
        <v>1212</v>
      </c>
      <c r="AE362" s="54"/>
      <c r="AF362" s="55"/>
      <c r="AG362" s="55"/>
      <c r="AH362" s="56"/>
      <c r="AI362" s="56"/>
      <c r="AJ362" s="57"/>
      <c r="AK362" s="56"/>
      <c r="AL362" s="46">
        <v>18</v>
      </c>
      <c r="AM362" s="53" t="s">
        <v>941</v>
      </c>
      <c r="AN362" s="39"/>
      <c r="AO362" s="39"/>
      <c r="AP362" s="40"/>
    </row>
    <row r="363" spans="1:42" s="41" customFormat="1" ht="18.75" customHeight="1" x14ac:dyDescent="0.25">
      <c r="A363" s="47">
        <v>46203</v>
      </c>
      <c r="B363" s="43">
        <f t="shared" si="18"/>
        <v>46203</v>
      </c>
      <c r="C363" s="44" t="s">
        <v>814</v>
      </c>
      <c r="D363" s="48" t="s">
        <v>141</v>
      </c>
      <c r="E363" s="48">
        <v>4014</v>
      </c>
      <c r="F363" s="48">
        <v>1</v>
      </c>
      <c r="G363" s="48">
        <v>11111111</v>
      </c>
      <c r="H363" s="48" t="s">
        <v>143</v>
      </c>
      <c r="I363" s="45"/>
      <c r="J363" s="46">
        <f t="shared" si="19"/>
        <v>298.30508474576271</v>
      </c>
      <c r="K363" s="46"/>
      <c r="L363" s="46"/>
      <c r="M363" s="46"/>
      <c r="N363" s="46">
        <f t="shared" si="20"/>
        <v>53.694915254237287</v>
      </c>
      <c r="O363" s="46"/>
      <c r="P363" s="49">
        <v>352</v>
      </c>
      <c r="Q363" s="50"/>
      <c r="R363" s="43"/>
      <c r="S363" s="45"/>
      <c r="T363" s="44"/>
      <c r="U363" s="44"/>
      <c r="V363" s="51" t="s">
        <v>86</v>
      </c>
      <c r="W363" s="46"/>
      <c r="X363" s="47">
        <v>46203</v>
      </c>
      <c r="Y363" s="44" t="s">
        <v>87</v>
      </c>
      <c r="Z363" s="44"/>
      <c r="AA363" s="44"/>
      <c r="AB363" s="44" t="s">
        <v>813</v>
      </c>
      <c r="AC363" s="52"/>
      <c r="AD363" s="52">
        <v>1212</v>
      </c>
      <c r="AE363" s="54"/>
      <c r="AF363" s="55"/>
      <c r="AG363" s="55"/>
      <c r="AH363" s="56"/>
      <c r="AI363" s="56"/>
      <c r="AJ363" s="57"/>
      <c r="AK363" s="56"/>
      <c r="AL363" s="46">
        <v>18</v>
      </c>
      <c r="AM363" s="53" t="s">
        <v>941</v>
      </c>
      <c r="AN363" s="39"/>
      <c r="AO363" s="39"/>
      <c r="AP363" s="40"/>
    </row>
    <row r="364" spans="1:42" s="41" customFormat="1" ht="18.75" customHeight="1" x14ac:dyDescent="0.25">
      <c r="A364" s="47">
        <v>46203</v>
      </c>
      <c r="B364" s="43">
        <f t="shared" si="18"/>
        <v>46203</v>
      </c>
      <c r="C364" s="44" t="s">
        <v>814</v>
      </c>
      <c r="D364" s="48" t="s">
        <v>141</v>
      </c>
      <c r="E364" s="48">
        <v>4016</v>
      </c>
      <c r="F364" s="48">
        <v>1</v>
      </c>
      <c r="G364" s="48">
        <v>11111111</v>
      </c>
      <c r="H364" s="48" t="s">
        <v>143</v>
      </c>
      <c r="I364" s="45"/>
      <c r="J364" s="46">
        <f t="shared" si="19"/>
        <v>364.40677966101697</v>
      </c>
      <c r="K364" s="46"/>
      <c r="L364" s="46"/>
      <c r="M364" s="46"/>
      <c r="N364" s="46">
        <f t="shared" si="20"/>
        <v>65.593220338983059</v>
      </c>
      <c r="O364" s="46"/>
      <c r="P364" s="49">
        <v>430</v>
      </c>
      <c r="Q364" s="50"/>
      <c r="R364" s="43"/>
      <c r="S364" s="45"/>
      <c r="T364" s="44"/>
      <c r="U364" s="44"/>
      <c r="V364" s="51" t="s">
        <v>86</v>
      </c>
      <c r="W364" s="46"/>
      <c r="X364" s="47">
        <v>46203</v>
      </c>
      <c r="Y364" s="44" t="s">
        <v>87</v>
      </c>
      <c r="Z364" s="44"/>
      <c r="AA364" s="44"/>
      <c r="AB364" s="44" t="s">
        <v>813</v>
      </c>
      <c r="AC364" s="52"/>
      <c r="AD364" s="52">
        <v>1212</v>
      </c>
      <c r="AE364" s="54"/>
      <c r="AF364" s="55"/>
      <c r="AG364" s="55"/>
      <c r="AH364" s="56"/>
      <c r="AI364" s="56"/>
      <c r="AJ364" s="57"/>
      <c r="AK364" s="56"/>
      <c r="AL364" s="46">
        <v>18</v>
      </c>
      <c r="AM364" s="53" t="s">
        <v>941</v>
      </c>
      <c r="AN364" s="39"/>
      <c r="AO364" s="39"/>
      <c r="AP364" s="40"/>
    </row>
    <row r="365" spans="1:42" s="41" customFormat="1" ht="18.75" customHeight="1" x14ac:dyDescent="0.25">
      <c r="A365" s="47">
        <v>46203</v>
      </c>
      <c r="B365" s="43">
        <f t="shared" si="18"/>
        <v>46203</v>
      </c>
      <c r="C365" s="44" t="s">
        <v>814</v>
      </c>
      <c r="D365" s="48" t="s">
        <v>141</v>
      </c>
      <c r="E365" s="48">
        <v>4018</v>
      </c>
      <c r="F365" s="48">
        <v>1</v>
      </c>
      <c r="G365" s="48">
        <v>11111111</v>
      </c>
      <c r="H365" s="48" t="s">
        <v>143</v>
      </c>
      <c r="I365" s="45"/>
      <c r="J365" s="46">
        <f t="shared" si="19"/>
        <v>84.745762711864415</v>
      </c>
      <c r="K365" s="46"/>
      <c r="L365" s="46"/>
      <c r="M365" s="46"/>
      <c r="N365" s="46">
        <f t="shared" si="20"/>
        <v>15.254237288135593</v>
      </c>
      <c r="O365" s="46"/>
      <c r="P365" s="49">
        <v>100</v>
      </c>
      <c r="Q365" s="50"/>
      <c r="R365" s="43"/>
      <c r="S365" s="45"/>
      <c r="T365" s="44"/>
      <c r="U365" s="44"/>
      <c r="V365" s="51" t="s">
        <v>86</v>
      </c>
      <c r="W365" s="46"/>
      <c r="X365" s="47">
        <v>46203</v>
      </c>
      <c r="Y365" s="44" t="s">
        <v>87</v>
      </c>
      <c r="Z365" s="44"/>
      <c r="AA365" s="44"/>
      <c r="AB365" s="44" t="s">
        <v>813</v>
      </c>
      <c r="AC365" s="52"/>
      <c r="AD365" s="52">
        <v>1212</v>
      </c>
      <c r="AE365" s="54"/>
      <c r="AF365" s="55"/>
      <c r="AG365" s="55"/>
      <c r="AH365" s="56"/>
      <c r="AI365" s="56"/>
      <c r="AJ365" s="57"/>
      <c r="AK365" s="56"/>
      <c r="AL365" s="46">
        <v>18</v>
      </c>
      <c r="AM365" s="53" t="s">
        <v>941</v>
      </c>
      <c r="AN365" s="39"/>
      <c r="AO365" s="39"/>
      <c r="AP365" s="40"/>
    </row>
    <row r="366" spans="1:42" s="41" customFormat="1" ht="18.75" customHeight="1" x14ac:dyDescent="0.25">
      <c r="A366" s="47">
        <v>46203</v>
      </c>
      <c r="B366" s="43">
        <f t="shared" si="18"/>
        <v>46203</v>
      </c>
      <c r="C366" s="44" t="s">
        <v>814</v>
      </c>
      <c r="D366" s="48" t="s">
        <v>141</v>
      </c>
      <c r="E366" s="48">
        <v>4020</v>
      </c>
      <c r="F366" s="48">
        <v>1</v>
      </c>
      <c r="G366" s="48">
        <v>11111111</v>
      </c>
      <c r="H366" s="48" t="s">
        <v>143</v>
      </c>
      <c r="I366" s="45"/>
      <c r="J366" s="46">
        <f t="shared" si="19"/>
        <v>400.84745762711867</v>
      </c>
      <c r="K366" s="46"/>
      <c r="L366" s="46"/>
      <c r="M366" s="46"/>
      <c r="N366" s="46">
        <f t="shared" si="20"/>
        <v>72.152542372881356</v>
      </c>
      <c r="O366" s="46"/>
      <c r="P366" s="49">
        <v>473</v>
      </c>
      <c r="Q366" s="50"/>
      <c r="R366" s="43"/>
      <c r="S366" s="45"/>
      <c r="T366" s="44"/>
      <c r="U366" s="44"/>
      <c r="V366" s="51" t="s">
        <v>86</v>
      </c>
      <c r="W366" s="46"/>
      <c r="X366" s="47">
        <v>46203</v>
      </c>
      <c r="Y366" s="44" t="s">
        <v>87</v>
      </c>
      <c r="Z366" s="44"/>
      <c r="AA366" s="44"/>
      <c r="AB366" s="44" t="s">
        <v>813</v>
      </c>
      <c r="AC366" s="52"/>
      <c r="AD366" s="52">
        <v>1212</v>
      </c>
      <c r="AE366" s="54"/>
      <c r="AF366" s="55"/>
      <c r="AG366" s="55"/>
      <c r="AH366" s="56"/>
      <c r="AI366" s="56"/>
      <c r="AJ366" s="57"/>
      <c r="AK366" s="56"/>
      <c r="AL366" s="46">
        <v>18</v>
      </c>
      <c r="AM366" s="53" t="s">
        <v>941</v>
      </c>
      <c r="AN366" s="39"/>
      <c r="AO366" s="39"/>
      <c r="AP366" s="40"/>
    </row>
    <row r="367" spans="1:42" s="41" customFormat="1" ht="18.75" customHeight="1" x14ac:dyDescent="0.25">
      <c r="A367" s="47">
        <v>46203</v>
      </c>
      <c r="B367" s="43">
        <f t="shared" ref="B367:B372" si="21">+A367</f>
        <v>46203</v>
      </c>
      <c r="C367" s="44" t="s">
        <v>814</v>
      </c>
      <c r="D367" s="48" t="s">
        <v>141</v>
      </c>
      <c r="E367" s="48">
        <v>4017</v>
      </c>
      <c r="F367" s="48">
        <v>1</v>
      </c>
      <c r="G367" s="48">
        <v>11111111</v>
      </c>
      <c r="H367" s="48" t="s">
        <v>143</v>
      </c>
      <c r="I367" s="45"/>
      <c r="J367" s="46">
        <f t="shared" ref="J367:J372" si="22">+P367/1.18</f>
        <v>42.372881355932208</v>
      </c>
      <c r="K367" s="46"/>
      <c r="L367" s="46"/>
      <c r="M367" s="46"/>
      <c r="N367" s="46">
        <f t="shared" ref="N367:N372" si="23">+J367*0.18</f>
        <v>7.6271186440677967</v>
      </c>
      <c r="O367" s="46"/>
      <c r="P367" s="49">
        <v>50</v>
      </c>
      <c r="Q367" s="50"/>
      <c r="R367" s="43"/>
      <c r="S367" s="45"/>
      <c r="T367" s="44"/>
      <c r="U367" s="44"/>
      <c r="V367" s="51" t="s">
        <v>86</v>
      </c>
      <c r="W367" s="46"/>
      <c r="X367" s="47">
        <v>46203</v>
      </c>
      <c r="Y367" s="44" t="s">
        <v>87</v>
      </c>
      <c r="Z367" s="44"/>
      <c r="AA367" s="44"/>
      <c r="AB367" s="44" t="s">
        <v>813</v>
      </c>
      <c r="AC367" s="52"/>
      <c r="AD367" s="52">
        <v>1212</v>
      </c>
      <c r="AE367" s="54"/>
      <c r="AF367" s="55"/>
      <c r="AG367" s="55"/>
      <c r="AH367" s="56"/>
      <c r="AI367" s="56"/>
      <c r="AJ367" s="57"/>
      <c r="AK367" s="56"/>
      <c r="AL367" s="46">
        <v>18</v>
      </c>
      <c r="AM367" s="53" t="s">
        <v>941</v>
      </c>
      <c r="AN367" s="39"/>
      <c r="AO367" s="39"/>
      <c r="AP367" s="40"/>
    </row>
    <row r="368" spans="1:42" s="41" customFormat="1" ht="18.75" customHeight="1" x14ac:dyDescent="0.25">
      <c r="A368" s="47">
        <v>46203</v>
      </c>
      <c r="B368" s="43">
        <f t="shared" si="21"/>
        <v>46203</v>
      </c>
      <c r="C368" s="44" t="s">
        <v>814</v>
      </c>
      <c r="D368" s="48" t="s">
        <v>141</v>
      </c>
      <c r="E368" s="48">
        <v>4022</v>
      </c>
      <c r="F368" s="48">
        <v>1</v>
      </c>
      <c r="G368" s="48">
        <v>11111111</v>
      </c>
      <c r="H368" s="48" t="s">
        <v>143</v>
      </c>
      <c r="I368" s="45"/>
      <c r="J368" s="46">
        <f t="shared" si="22"/>
        <v>364.40677966101697</v>
      </c>
      <c r="K368" s="46"/>
      <c r="L368" s="46"/>
      <c r="M368" s="46"/>
      <c r="N368" s="46">
        <f t="shared" si="23"/>
        <v>65.593220338983059</v>
      </c>
      <c r="O368" s="46"/>
      <c r="P368" s="49">
        <v>430</v>
      </c>
      <c r="Q368" s="50"/>
      <c r="R368" s="43"/>
      <c r="S368" s="45"/>
      <c r="T368" s="44"/>
      <c r="U368" s="44"/>
      <c r="V368" s="51" t="s">
        <v>86</v>
      </c>
      <c r="W368" s="46"/>
      <c r="X368" s="47">
        <v>46203</v>
      </c>
      <c r="Y368" s="44" t="s">
        <v>87</v>
      </c>
      <c r="Z368" s="44"/>
      <c r="AA368" s="44"/>
      <c r="AB368" s="44" t="s">
        <v>813</v>
      </c>
      <c r="AC368" s="52"/>
      <c r="AD368" s="52">
        <v>1212</v>
      </c>
      <c r="AE368" s="54"/>
      <c r="AF368" s="55"/>
      <c r="AG368" s="55"/>
      <c r="AH368" s="56"/>
      <c r="AI368" s="56"/>
      <c r="AJ368" s="57"/>
      <c r="AK368" s="56"/>
      <c r="AL368" s="46">
        <v>18</v>
      </c>
      <c r="AM368" s="53" t="s">
        <v>941</v>
      </c>
      <c r="AN368" s="39"/>
      <c r="AO368" s="39"/>
      <c r="AP368" s="40"/>
    </row>
    <row r="369" spans="1:47" s="41" customFormat="1" ht="18.75" customHeight="1" x14ac:dyDescent="0.25">
      <c r="A369" s="47">
        <v>46203</v>
      </c>
      <c r="B369" s="43">
        <f t="shared" si="21"/>
        <v>46203</v>
      </c>
      <c r="C369" s="44" t="s">
        <v>814</v>
      </c>
      <c r="D369" s="48" t="s">
        <v>141</v>
      </c>
      <c r="E369" s="48">
        <v>4015</v>
      </c>
      <c r="F369" s="48">
        <v>1</v>
      </c>
      <c r="G369" s="48">
        <v>11111111</v>
      </c>
      <c r="H369" s="48" t="s">
        <v>143</v>
      </c>
      <c r="I369" s="45"/>
      <c r="J369" s="46">
        <f t="shared" si="22"/>
        <v>335.59322033898309</v>
      </c>
      <c r="K369" s="46"/>
      <c r="L369" s="46"/>
      <c r="M369" s="46"/>
      <c r="N369" s="46">
        <f t="shared" si="23"/>
        <v>60.406779661016955</v>
      </c>
      <c r="O369" s="46"/>
      <c r="P369" s="49">
        <v>396</v>
      </c>
      <c r="Q369" s="50"/>
      <c r="R369" s="43"/>
      <c r="S369" s="45"/>
      <c r="T369" s="44"/>
      <c r="U369" s="44"/>
      <c r="V369" s="51" t="s">
        <v>86</v>
      </c>
      <c r="W369" s="46"/>
      <c r="X369" s="47">
        <v>46203</v>
      </c>
      <c r="Y369" s="44" t="s">
        <v>87</v>
      </c>
      <c r="Z369" s="44"/>
      <c r="AA369" s="44"/>
      <c r="AB369" s="44" t="s">
        <v>813</v>
      </c>
      <c r="AC369" s="52"/>
      <c r="AD369" s="52">
        <v>1212</v>
      </c>
      <c r="AE369" s="54"/>
      <c r="AF369" s="55"/>
      <c r="AG369" s="55"/>
      <c r="AH369" s="56"/>
      <c r="AI369" s="56"/>
      <c r="AJ369" s="57"/>
      <c r="AK369" s="56"/>
      <c r="AL369" s="46">
        <v>18</v>
      </c>
      <c r="AM369" s="53" t="s">
        <v>941</v>
      </c>
      <c r="AN369" s="39"/>
      <c r="AO369" s="39"/>
      <c r="AP369" s="40"/>
    </row>
    <row r="370" spans="1:47" s="41" customFormat="1" ht="18.75" customHeight="1" x14ac:dyDescent="0.25">
      <c r="A370" s="47">
        <v>46203</v>
      </c>
      <c r="B370" s="43">
        <f t="shared" si="21"/>
        <v>46203</v>
      </c>
      <c r="C370" s="44" t="s">
        <v>814</v>
      </c>
      <c r="D370" s="48" t="s">
        <v>141</v>
      </c>
      <c r="E370" s="48">
        <v>4019</v>
      </c>
      <c r="F370" s="48">
        <v>1</v>
      </c>
      <c r="G370" s="48">
        <v>11111111</v>
      </c>
      <c r="H370" s="48" t="s">
        <v>143</v>
      </c>
      <c r="I370" s="45"/>
      <c r="J370" s="46">
        <f t="shared" si="22"/>
        <v>335.59322033898309</v>
      </c>
      <c r="K370" s="46"/>
      <c r="L370" s="46"/>
      <c r="M370" s="46"/>
      <c r="N370" s="46">
        <f t="shared" si="23"/>
        <v>60.406779661016955</v>
      </c>
      <c r="O370" s="46"/>
      <c r="P370" s="49">
        <v>396</v>
      </c>
      <c r="Q370" s="50"/>
      <c r="R370" s="43"/>
      <c r="S370" s="45"/>
      <c r="T370" s="44"/>
      <c r="U370" s="44"/>
      <c r="V370" s="51" t="s">
        <v>86</v>
      </c>
      <c r="W370" s="46"/>
      <c r="X370" s="47">
        <v>46203</v>
      </c>
      <c r="Y370" s="44" t="s">
        <v>87</v>
      </c>
      <c r="Z370" s="44"/>
      <c r="AA370" s="44"/>
      <c r="AB370" s="44" t="s">
        <v>813</v>
      </c>
      <c r="AC370" s="52"/>
      <c r="AD370" s="52">
        <v>1212</v>
      </c>
      <c r="AE370" s="54"/>
      <c r="AF370" s="55"/>
      <c r="AG370" s="55"/>
      <c r="AH370" s="56"/>
      <c r="AI370" s="56"/>
      <c r="AJ370" s="57"/>
      <c r="AK370" s="56"/>
      <c r="AL370" s="46">
        <v>18</v>
      </c>
      <c r="AM370" s="53" t="s">
        <v>941</v>
      </c>
      <c r="AN370" s="39"/>
      <c r="AO370" s="39"/>
      <c r="AP370" s="40"/>
    </row>
    <row r="371" spans="1:47" s="41" customFormat="1" ht="18.75" customHeight="1" x14ac:dyDescent="0.25">
      <c r="A371" s="47">
        <v>46203</v>
      </c>
      <c r="B371" s="43">
        <f t="shared" si="21"/>
        <v>46203</v>
      </c>
      <c r="C371" s="44" t="s">
        <v>814</v>
      </c>
      <c r="D371" s="48" t="s">
        <v>141</v>
      </c>
      <c r="E371" s="48">
        <v>4021</v>
      </c>
      <c r="F371" s="48">
        <v>1</v>
      </c>
      <c r="G371" s="48">
        <v>11111111</v>
      </c>
      <c r="H371" s="48" t="s">
        <v>143</v>
      </c>
      <c r="I371" s="45"/>
      <c r="J371" s="46">
        <f t="shared" si="22"/>
        <v>218.64406779661019</v>
      </c>
      <c r="K371" s="46"/>
      <c r="L371" s="46"/>
      <c r="M371" s="46"/>
      <c r="N371" s="46">
        <f t="shared" si="23"/>
        <v>39.355932203389834</v>
      </c>
      <c r="O371" s="46"/>
      <c r="P371" s="49">
        <v>258</v>
      </c>
      <c r="Q371" s="50"/>
      <c r="R371" s="43"/>
      <c r="S371" s="45"/>
      <c r="T371" s="44"/>
      <c r="U371" s="44"/>
      <c r="V371" s="51" t="s">
        <v>86</v>
      </c>
      <c r="W371" s="46"/>
      <c r="X371" s="47">
        <v>46203</v>
      </c>
      <c r="Y371" s="44" t="s">
        <v>87</v>
      </c>
      <c r="Z371" s="44"/>
      <c r="AA371" s="44"/>
      <c r="AB371" s="44" t="s">
        <v>813</v>
      </c>
      <c r="AC371" s="52"/>
      <c r="AD371" s="52">
        <v>1212</v>
      </c>
      <c r="AE371" s="54"/>
      <c r="AF371" s="55"/>
      <c r="AG371" s="55"/>
      <c r="AH371" s="56"/>
      <c r="AI371" s="56"/>
      <c r="AJ371" s="57"/>
      <c r="AK371" s="56"/>
      <c r="AL371" s="46">
        <v>18</v>
      </c>
      <c r="AM371" s="53" t="s">
        <v>941</v>
      </c>
      <c r="AN371" s="39"/>
      <c r="AO371" s="39"/>
      <c r="AP371" s="40"/>
    </row>
    <row r="372" spans="1:47" s="41" customFormat="1" ht="18.75" customHeight="1" x14ac:dyDescent="0.25">
      <c r="A372" s="47"/>
      <c r="B372" s="43">
        <f t="shared" si="21"/>
        <v>0</v>
      </c>
      <c r="C372" s="44" t="s">
        <v>814</v>
      </c>
      <c r="D372" s="48"/>
      <c r="E372" s="48"/>
      <c r="F372" s="48">
        <v>6</v>
      </c>
      <c r="G372" s="48"/>
      <c r="H372" s="48"/>
      <c r="I372" s="45"/>
      <c r="J372" s="46">
        <f t="shared" si="22"/>
        <v>0</v>
      </c>
      <c r="K372" s="46"/>
      <c r="L372" s="46"/>
      <c r="M372" s="46"/>
      <c r="N372" s="46">
        <f t="shared" si="23"/>
        <v>0</v>
      </c>
      <c r="O372" s="46"/>
      <c r="P372" s="49"/>
      <c r="Q372" s="50"/>
      <c r="R372" s="43"/>
      <c r="S372" s="45"/>
      <c r="T372" s="44"/>
      <c r="U372" s="44"/>
      <c r="V372" s="51" t="s">
        <v>86</v>
      </c>
      <c r="W372" s="46"/>
      <c r="X372" s="44"/>
      <c r="Y372" s="44" t="s">
        <v>87</v>
      </c>
      <c r="Z372" s="44"/>
      <c r="AA372" s="44"/>
      <c r="AB372" s="44" t="s">
        <v>813</v>
      </c>
      <c r="AC372" s="52"/>
      <c r="AD372" s="52">
        <v>1212</v>
      </c>
      <c r="AE372" s="54"/>
      <c r="AF372" s="55"/>
      <c r="AG372" s="55"/>
      <c r="AH372" s="56"/>
      <c r="AI372" s="56"/>
      <c r="AJ372" s="57"/>
      <c r="AK372" s="56"/>
      <c r="AL372" s="46">
        <v>18</v>
      </c>
      <c r="AM372" s="53" t="s">
        <v>941</v>
      </c>
      <c r="AN372" s="39"/>
      <c r="AO372" s="39"/>
      <c r="AP372" s="40"/>
    </row>
    <row r="373" spans="1:47" x14ac:dyDescent="0.25">
      <c r="A373" s="24"/>
      <c r="B373" s="24"/>
      <c r="C373" s="25"/>
      <c r="D373" s="25"/>
      <c r="E373" s="25"/>
      <c r="F373" s="25"/>
      <c r="G373" s="197" t="s">
        <v>84</v>
      </c>
      <c r="H373" s="198"/>
      <c r="I373" s="27"/>
      <c r="J373" s="32">
        <f t="shared" ref="J373:P373" si="24">SUM(J5:J372)</f>
        <v>45764.898305084738</v>
      </c>
      <c r="K373" s="32">
        <f t="shared" si="24"/>
        <v>0</v>
      </c>
      <c r="L373" s="32">
        <f t="shared" si="24"/>
        <v>0</v>
      </c>
      <c r="M373" s="32">
        <f t="shared" si="24"/>
        <v>0</v>
      </c>
      <c r="N373" s="32">
        <f t="shared" si="24"/>
        <v>8237.6816949152726</v>
      </c>
      <c r="O373" s="32">
        <f t="shared" si="24"/>
        <v>0</v>
      </c>
      <c r="P373" s="32">
        <f t="shared" si="24"/>
        <v>54002.58</v>
      </c>
      <c r="Q373" s="36"/>
      <c r="R373" s="26"/>
      <c r="S373" s="26"/>
      <c r="T373" s="25"/>
      <c r="U373" s="25"/>
      <c r="V373" s="51" t="s">
        <v>86</v>
      </c>
      <c r="W373" s="46"/>
      <c r="X373" s="44"/>
      <c r="Y373" s="44" t="s">
        <v>87</v>
      </c>
      <c r="Z373" s="44"/>
      <c r="AA373" s="44"/>
      <c r="AB373" s="44" t="s">
        <v>813</v>
      </c>
      <c r="AC373" s="52"/>
      <c r="AD373" s="52">
        <v>1212</v>
      </c>
      <c r="AE373" s="54"/>
      <c r="AF373" s="55"/>
      <c r="AG373" s="55"/>
      <c r="AH373" s="56"/>
      <c r="AI373" s="56"/>
      <c r="AJ373" s="57"/>
      <c r="AK373" s="56"/>
      <c r="AL373" s="46">
        <v>18</v>
      </c>
      <c r="AM373" s="9"/>
      <c r="AN373" s="8"/>
      <c r="AO373" s="8"/>
      <c r="AP373" s="7"/>
      <c r="AQ373" s="8"/>
      <c r="AR373" s="9"/>
      <c r="AS373" s="8"/>
      <c r="AT373" s="8"/>
      <c r="AU373" s="9"/>
    </row>
    <row r="374" spans="1:47" x14ac:dyDescent="0.25">
      <c r="A374" s="7"/>
      <c r="B374" s="7"/>
      <c r="C374" s="8"/>
      <c r="D374" s="8"/>
      <c r="E374" s="8"/>
      <c r="F374" s="8"/>
      <c r="G374" s="8"/>
      <c r="H374" s="17"/>
      <c r="I374" s="9"/>
      <c r="J374" s="33"/>
      <c r="K374" s="33"/>
      <c r="L374" s="33"/>
      <c r="M374" s="33"/>
      <c r="N374" s="33">
        <f>+N373+J373+K373</f>
        <v>54002.580000000009</v>
      </c>
      <c r="O374" s="33"/>
      <c r="P374" s="33"/>
      <c r="Q374" s="37"/>
      <c r="R374" s="9"/>
      <c r="S374" s="9"/>
      <c r="T374" s="8"/>
      <c r="U374" s="10"/>
      <c r="V374" s="10"/>
      <c r="W374" s="10"/>
      <c r="X374" s="10"/>
      <c r="Y374" s="10"/>
      <c r="Z374" s="10"/>
      <c r="AA374" s="10"/>
      <c r="AB374" s="10"/>
      <c r="AC374" s="10"/>
      <c r="AD374" s="10"/>
      <c r="AE374" s="10"/>
      <c r="AF374" s="10"/>
      <c r="AG374" s="10"/>
      <c r="AH374" s="10"/>
      <c r="AI374" s="10"/>
      <c r="AJ374" s="10"/>
      <c r="AK374" s="10"/>
      <c r="AL374" s="10"/>
      <c r="AM374" s="10"/>
      <c r="AN374" s="8"/>
      <c r="AO374" s="8"/>
      <c r="AP374" s="7"/>
      <c r="AQ374" s="8"/>
      <c r="AR374" s="9"/>
      <c r="AS374" s="8"/>
      <c r="AT374" s="8"/>
      <c r="AU374" s="9"/>
    </row>
    <row r="375" spans="1:47" x14ac:dyDescent="0.25">
      <c r="A375" s="7"/>
      <c r="B375" s="7"/>
      <c r="C375" s="8"/>
      <c r="D375" s="8"/>
      <c r="E375" s="8"/>
      <c r="F375" s="8"/>
      <c r="G375" s="8"/>
      <c r="H375" s="30" t="s">
        <v>78</v>
      </c>
      <c r="I375" s="30"/>
      <c r="J375" s="30">
        <f>+N373-'FORMATO_ COMPRAS '!K138</f>
        <v>-366.2222033898106</v>
      </c>
      <c r="K375" s="31"/>
      <c r="L375" s="9"/>
      <c r="M375" s="9"/>
      <c r="N375" s="9"/>
      <c r="O375" s="9"/>
      <c r="P375" s="9"/>
      <c r="Q375" s="37"/>
      <c r="R375" s="9"/>
      <c r="S375" s="9"/>
      <c r="T375" s="8"/>
      <c r="U375" s="10"/>
      <c r="V375" s="10"/>
      <c r="W375" s="10"/>
      <c r="X375" s="10"/>
      <c r="Y375" s="10"/>
      <c r="Z375" s="10"/>
      <c r="AA375" s="10"/>
      <c r="AB375" s="10"/>
      <c r="AC375" s="10"/>
      <c r="AD375" s="10"/>
      <c r="AE375" s="10"/>
      <c r="AF375" s="10"/>
      <c r="AG375" s="10"/>
      <c r="AH375" s="10"/>
      <c r="AI375" s="10"/>
      <c r="AJ375" s="10"/>
      <c r="AK375" s="10"/>
      <c r="AL375" s="10"/>
      <c r="AM375" s="10"/>
      <c r="AN375" s="8"/>
      <c r="AO375" s="8"/>
      <c r="AP375" s="7"/>
      <c r="AQ375" s="8"/>
      <c r="AR375" s="9"/>
      <c r="AS375" s="8"/>
      <c r="AT375" s="8"/>
      <c r="AU375" s="9"/>
    </row>
    <row r="376" spans="1:47" x14ac:dyDescent="0.25">
      <c r="A376" s="7"/>
      <c r="B376" s="7"/>
      <c r="C376" s="8"/>
      <c r="D376" s="8"/>
      <c r="E376" s="8"/>
      <c r="F376" s="8"/>
      <c r="G376" s="8"/>
      <c r="H376" s="30" t="s">
        <v>85</v>
      </c>
      <c r="I376" s="30"/>
      <c r="J376" s="30">
        <f>+K376*1%</f>
        <v>457.64898305084739</v>
      </c>
      <c r="K376" s="31">
        <f>+L373+K373+J373</f>
        <v>45764.898305084738</v>
      </c>
      <c r="L376" s="9"/>
      <c r="M376" s="9"/>
      <c r="N376" s="9"/>
      <c r="O376" s="9"/>
      <c r="P376" s="9"/>
      <c r="Q376" s="37"/>
      <c r="R376" s="9"/>
      <c r="S376" s="9"/>
      <c r="T376" s="8"/>
      <c r="U376" s="10"/>
      <c r="V376" s="10"/>
      <c r="W376" s="10"/>
      <c r="X376" s="10"/>
      <c r="Y376" s="10"/>
      <c r="Z376" s="10"/>
      <c r="AA376" s="10"/>
      <c r="AB376" s="10"/>
      <c r="AC376" s="10"/>
      <c r="AD376" s="10"/>
      <c r="AE376" s="10"/>
      <c r="AF376" s="10"/>
      <c r="AG376" s="10"/>
      <c r="AH376" s="10"/>
      <c r="AI376" s="10"/>
      <c r="AJ376" s="10"/>
      <c r="AK376" s="10"/>
      <c r="AL376" s="10"/>
      <c r="AM376" s="10"/>
      <c r="AN376" s="8"/>
      <c r="AO376" s="8"/>
      <c r="AP376" s="7"/>
      <c r="AQ376" s="8"/>
      <c r="AR376" s="9"/>
      <c r="AS376" s="8"/>
      <c r="AT376" s="8"/>
      <c r="AU376" s="9"/>
    </row>
    <row r="377" spans="1:47" x14ac:dyDescent="0.25">
      <c r="A377" s="7"/>
      <c r="B377" s="7"/>
      <c r="C377" s="8"/>
      <c r="D377" s="8"/>
      <c r="E377" s="8"/>
      <c r="F377" s="8"/>
      <c r="G377" s="8"/>
      <c r="H377" s="17"/>
      <c r="I377" s="9"/>
      <c r="J377" s="9"/>
      <c r="K377" s="9"/>
      <c r="L377" s="9"/>
      <c r="M377" s="9"/>
      <c r="N377" s="9"/>
      <c r="O377" s="9"/>
      <c r="P377" s="9"/>
      <c r="Q377" s="37"/>
      <c r="R377" s="9"/>
      <c r="S377" s="9"/>
      <c r="T377" s="8"/>
      <c r="U377" s="10"/>
      <c r="V377" s="10"/>
      <c r="W377" s="10"/>
      <c r="X377" s="10"/>
      <c r="Y377" s="10"/>
      <c r="Z377" s="10"/>
      <c r="AA377" s="10"/>
      <c r="AB377" s="10"/>
      <c r="AC377" s="10"/>
      <c r="AD377" s="10"/>
      <c r="AE377" s="10"/>
      <c r="AF377" s="10"/>
      <c r="AG377" s="10"/>
      <c r="AH377" s="10"/>
      <c r="AI377" s="10"/>
      <c r="AJ377" s="10"/>
      <c r="AK377" s="10"/>
      <c r="AL377" s="10"/>
      <c r="AM377" s="10"/>
      <c r="AN377" s="8"/>
      <c r="AO377" s="8"/>
      <c r="AP377" s="7"/>
      <c r="AQ377" s="8"/>
      <c r="AR377" s="9"/>
      <c r="AS377" s="8"/>
      <c r="AT377" s="8"/>
      <c r="AU377" s="9"/>
    </row>
    <row r="378" spans="1:47" x14ac:dyDescent="0.25">
      <c r="A378" s="7"/>
      <c r="B378" s="7"/>
      <c r="C378" s="8"/>
      <c r="D378" s="8"/>
      <c r="E378" s="8"/>
      <c r="F378" s="8"/>
      <c r="G378" s="8"/>
      <c r="H378" s="17"/>
      <c r="I378" s="9"/>
      <c r="J378" s="9"/>
      <c r="K378" s="9"/>
      <c r="L378" s="9"/>
      <c r="M378" s="9"/>
      <c r="N378" s="9"/>
      <c r="O378" s="9"/>
      <c r="P378" s="9"/>
      <c r="Q378" s="37"/>
      <c r="R378" s="9"/>
      <c r="S378" s="9"/>
      <c r="T378" s="8"/>
      <c r="U378" s="10"/>
      <c r="V378" s="10"/>
      <c r="W378" s="10"/>
      <c r="X378" s="10"/>
      <c r="Y378" s="10"/>
      <c r="Z378" s="10"/>
      <c r="AA378" s="10"/>
      <c r="AB378" s="10"/>
      <c r="AC378" s="10"/>
      <c r="AD378" s="10"/>
      <c r="AE378" s="10"/>
      <c r="AF378" s="10"/>
      <c r="AG378" s="10"/>
      <c r="AH378" s="10"/>
      <c r="AI378" s="10"/>
      <c r="AJ378" s="10"/>
      <c r="AK378" s="10"/>
      <c r="AL378" s="10"/>
      <c r="AM378" s="10"/>
      <c r="AN378" s="8"/>
      <c r="AO378" s="8"/>
      <c r="AP378" s="7"/>
      <c r="AQ378" s="8"/>
      <c r="AR378" s="9"/>
      <c r="AS378" s="8"/>
      <c r="AT378" s="8"/>
      <c r="AU378" s="9"/>
    </row>
    <row r="379" spans="1:47" x14ac:dyDescent="0.25">
      <c r="A379" s="7"/>
      <c r="B379" s="7"/>
      <c r="C379" s="8"/>
      <c r="D379" s="8"/>
      <c r="E379" s="8"/>
      <c r="F379" s="8"/>
      <c r="G379" s="8"/>
      <c r="H379" s="17"/>
      <c r="I379" s="9"/>
      <c r="J379" s="9"/>
      <c r="K379" s="9"/>
      <c r="L379" s="9"/>
      <c r="M379" s="9"/>
      <c r="N379" s="9"/>
      <c r="O379" s="9"/>
      <c r="P379" s="9"/>
      <c r="Q379" s="37"/>
      <c r="R379" s="9"/>
      <c r="S379" s="9"/>
      <c r="T379" s="8"/>
      <c r="U379" s="10"/>
      <c r="V379" s="10"/>
      <c r="W379" s="10"/>
      <c r="X379" s="10"/>
      <c r="Y379" s="10"/>
      <c r="Z379" s="10"/>
      <c r="AA379" s="10"/>
      <c r="AB379" s="10"/>
      <c r="AC379" s="10"/>
      <c r="AD379" s="10"/>
      <c r="AE379" s="10"/>
      <c r="AF379" s="10"/>
      <c r="AG379" s="10"/>
      <c r="AH379" s="10"/>
      <c r="AI379" s="10"/>
      <c r="AJ379" s="10"/>
      <c r="AK379" s="10"/>
      <c r="AL379" s="10"/>
      <c r="AM379" s="10"/>
      <c r="AN379" s="8"/>
      <c r="AO379" s="8"/>
      <c r="AP379" s="7"/>
      <c r="AQ379" s="8"/>
      <c r="AR379" s="9"/>
      <c r="AS379" s="8"/>
      <c r="AT379" s="8"/>
      <c r="AU379" s="9"/>
    </row>
    <row r="380" spans="1:47" x14ac:dyDescent="0.25">
      <c r="A380" s="7"/>
      <c r="B380" s="7"/>
      <c r="C380" s="8"/>
      <c r="D380" s="8"/>
      <c r="E380" s="8"/>
      <c r="F380" s="8"/>
      <c r="G380" s="8"/>
      <c r="H380" s="17"/>
      <c r="I380" s="9"/>
      <c r="J380" s="9"/>
      <c r="K380" s="9"/>
      <c r="L380" s="9"/>
      <c r="M380" s="9"/>
      <c r="N380" s="9"/>
      <c r="O380" s="9"/>
      <c r="P380" s="9"/>
      <c r="Q380" s="37"/>
      <c r="R380" s="9"/>
      <c r="S380" s="9"/>
      <c r="T380" s="8"/>
      <c r="U380" s="10"/>
      <c r="V380" s="10"/>
      <c r="W380" s="10"/>
      <c r="X380" s="10"/>
      <c r="Y380" s="10"/>
      <c r="Z380" s="10"/>
      <c r="AA380" s="10"/>
      <c r="AB380" s="10"/>
      <c r="AC380" s="10"/>
      <c r="AD380" s="10"/>
      <c r="AE380" s="10"/>
      <c r="AF380" s="10"/>
      <c r="AG380" s="10"/>
      <c r="AH380" s="10"/>
      <c r="AI380" s="10"/>
      <c r="AJ380" s="10"/>
      <c r="AK380" s="10"/>
      <c r="AL380" s="10"/>
      <c r="AM380" s="10"/>
      <c r="AN380" s="8"/>
      <c r="AO380" s="8"/>
      <c r="AP380" s="7"/>
      <c r="AQ380" s="8"/>
      <c r="AR380" s="9"/>
      <c r="AS380" s="8"/>
      <c r="AT380" s="8"/>
      <c r="AU380" s="9"/>
    </row>
    <row r="381" spans="1:47" x14ac:dyDescent="0.25">
      <c r="A381" s="7"/>
      <c r="B381" s="7"/>
      <c r="C381" s="8"/>
      <c r="D381" s="8"/>
      <c r="E381" s="8"/>
      <c r="F381" s="8"/>
      <c r="G381" s="8"/>
      <c r="H381" s="17"/>
      <c r="I381" s="9"/>
      <c r="J381" s="9"/>
      <c r="K381" s="9"/>
      <c r="L381" s="9"/>
      <c r="M381" s="9"/>
      <c r="N381" s="9"/>
      <c r="O381" s="9"/>
      <c r="P381" s="9"/>
      <c r="Q381" s="37"/>
      <c r="R381" s="9"/>
      <c r="S381" s="9"/>
      <c r="T381" s="8"/>
      <c r="U381" s="10"/>
      <c r="V381" s="10"/>
      <c r="W381" s="10"/>
      <c r="X381" s="10"/>
      <c r="Y381" s="10"/>
      <c r="Z381" s="10"/>
      <c r="AA381" s="10"/>
      <c r="AB381" s="10"/>
      <c r="AC381" s="10"/>
      <c r="AD381" s="10"/>
      <c r="AE381" s="10"/>
      <c r="AF381" s="10"/>
      <c r="AG381" s="10"/>
      <c r="AH381" s="10"/>
      <c r="AI381" s="10"/>
      <c r="AJ381" s="10"/>
      <c r="AK381" s="10"/>
      <c r="AL381" s="10"/>
      <c r="AM381" s="10"/>
      <c r="AN381" s="8"/>
      <c r="AO381" s="8"/>
      <c r="AP381" s="7"/>
      <c r="AQ381" s="8"/>
      <c r="AR381" s="9"/>
      <c r="AS381" s="8"/>
      <c r="AT381" s="8"/>
      <c r="AU381" s="9"/>
    </row>
    <row r="382" spans="1:47" x14ac:dyDescent="0.25">
      <c r="A382" s="7"/>
      <c r="B382" s="7"/>
      <c r="C382" s="8"/>
      <c r="D382" s="8"/>
      <c r="E382" s="8"/>
      <c r="F382" s="8"/>
      <c r="G382" s="8"/>
      <c r="H382" s="17"/>
      <c r="I382" s="9"/>
      <c r="J382" s="9"/>
      <c r="K382" s="9"/>
      <c r="L382" s="9"/>
      <c r="M382" s="9"/>
      <c r="N382" s="9"/>
      <c r="O382" s="9"/>
      <c r="P382" s="9"/>
      <c r="Q382" s="37"/>
      <c r="R382" s="9"/>
      <c r="S382" s="9"/>
      <c r="T382" s="8"/>
      <c r="U382" s="10"/>
      <c r="V382" s="10"/>
      <c r="W382" s="10"/>
      <c r="X382" s="10"/>
      <c r="Y382" s="10"/>
      <c r="Z382" s="10"/>
      <c r="AA382" s="10"/>
      <c r="AB382" s="10"/>
      <c r="AC382" s="10"/>
      <c r="AD382" s="10"/>
      <c r="AE382" s="10"/>
      <c r="AF382" s="10"/>
      <c r="AG382" s="10"/>
      <c r="AH382" s="10"/>
      <c r="AI382" s="10"/>
      <c r="AJ382" s="10"/>
      <c r="AK382" s="10"/>
      <c r="AL382" s="10"/>
      <c r="AM382" s="10"/>
      <c r="AN382" s="8"/>
      <c r="AO382" s="8"/>
      <c r="AP382" s="7"/>
      <c r="AQ382" s="8"/>
      <c r="AR382" s="9"/>
      <c r="AS382" s="8"/>
      <c r="AT382" s="8"/>
      <c r="AU382" s="9"/>
    </row>
    <row r="383" spans="1:47" x14ac:dyDescent="0.25">
      <c r="A383" s="7"/>
      <c r="B383" s="7"/>
      <c r="C383" s="8"/>
      <c r="D383" s="8"/>
      <c r="E383" s="8"/>
      <c r="F383" s="8"/>
      <c r="G383" s="8"/>
      <c r="H383" s="17"/>
      <c r="I383" s="9"/>
      <c r="J383" s="9"/>
      <c r="K383" s="9"/>
      <c r="L383" s="9"/>
      <c r="M383" s="9"/>
      <c r="N383" s="9"/>
      <c r="O383" s="9"/>
      <c r="P383" s="9"/>
      <c r="Q383" s="37"/>
      <c r="R383" s="9"/>
      <c r="S383" s="9"/>
      <c r="T383" s="8"/>
      <c r="U383" s="8"/>
      <c r="V383" s="7"/>
      <c r="W383" s="10"/>
      <c r="X383" s="7"/>
      <c r="Y383" s="8"/>
      <c r="Z383" s="8"/>
      <c r="AA383" s="8"/>
      <c r="AB383" s="8"/>
      <c r="AC383" s="9"/>
      <c r="AD383" s="7"/>
      <c r="AE383" s="8"/>
      <c r="AF383" s="8"/>
      <c r="AG383" s="8"/>
      <c r="AH383" s="8"/>
      <c r="AI383" s="8"/>
      <c r="AJ383" s="8"/>
      <c r="AK383" s="11"/>
      <c r="AL383" s="9"/>
      <c r="AM383" s="9"/>
      <c r="AN383" s="8"/>
      <c r="AO383" s="8"/>
      <c r="AP383" s="7"/>
      <c r="AQ383" s="8"/>
      <c r="AR383" s="9"/>
      <c r="AS383" s="8"/>
      <c r="AT383" s="8"/>
      <c r="AU383" s="9"/>
    </row>
    <row r="384" spans="1:47" x14ac:dyDescent="0.25">
      <c r="A384" s="7"/>
      <c r="B384" s="7"/>
      <c r="C384" s="8"/>
      <c r="D384" s="8"/>
      <c r="E384" s="8"/>
      <c r="F384" s="8"/>
      <c r="G384" s="8"/>
      <c r="H384" s="17"/>
      <c r="I384" s="9"/>
      <c r="J384" s="9"/>
      <c r="K384" s="9"/>
      <c r="L384" s="9"/>
      <c r="M384" s="9"/>
      <c r="N384" s="9"/>
      <c r="O384" s="9"/>
      <c r="P384" s="9"/>
      <c r="Q384" s="37"/>
      <c r="R384" s="9"/>
      <c r="S384" s="9"/>
      <c r="T384" s="8"/>
      <c r="U384" s="8"/>
      <c r="V384" s="7"/>
      <c r="W384" s="10"/>
      <c r="X384" s="7"/>
      <c r="Y384" s="8"/>
      <c r="Z384" s="8"/>
      <c r="AA384" s="8"/>
      <c r="AB384" s="8"/>
      <c r="AC384" s="9"/>
      <c r="AD384" s="7"/>
      <c r="AE384" s="8"/>
      <c r="AF384" s="8"/>
      <c r="AG384" s="8"/>
      <c r="AH384" s="8"/>
      <c r="AI384" s="8"/>
      <c r="AJ384" s="8"/>
      <c r="AK384" s="11"/>
      <c r="AL384" s="9"/>
      <c r="AM384" s="9"/>
      <c r="AN384" s="8"/>
      <c r="AO384" s="8"/>
      <c r="AP384" s="7"/>
      <c r="AQ384" s="8"/>
      <c r="AR384" s="9"/>
      <c r="AS384" s="8"/>
      <c r="AT384" s="8"/>
      <c r="AU384" s="9"/>
    </row>
    <row r="385" spans="1:47" x14ac:dyDescent="0.25">
      <c r="A385" s="7"/>
      <c r="B385" s="7"/>
      <c r="C385" s="8"/>
      <c r="D385" s="8"/>
      <c r="E385" s="8"/>
      <c r="F385" s="8"/>
      <c r="G385" s="8"/>
      <c r="H385" s="17"/>
      <c r="I385" s="9"/>
      <c r="J385" s="9"/>
      <c r="K385" s="9"/>
      <c r="L385" s="9"/>
      <c r="M385" s="9"/>
      <c r="N385" s="9"/>
      <c r="O385" s="9"/>
      <c r="P385" s="9"/>
      <c r="Q385" s="37"/>
      <c r="R385" s="9"/>
      <c r="S385" s="9"/>
      <c r="T385" s="8"/>
      <c r="U385" s="8"/>
      <c r="V385" s="7"/>
      <c r="W385" s="10"/>
      <c r="X385" s="7"/>
      <c r="Y385" s="8"/>
      <c r="Z385" s="8"/>
      <c r="AA385" s="8"/>
      <c r="AB385" s="8"/>
      <c r="AC385" s="9"/>
      <c r="AD385" s="7"/>
      <c r="AE385" s="8"/>
      <c r="AF385" s="8"/>
      <c r="AG385" s="8"/>
      <c r="AH385" s="8"/>
      <c r="AI385" s="8"/>
      <c r="AJ385" s="8"/>
      <c r="AK385" s="11"/>
      <c r="AL385" s="9"/>
      <c r="AM385" s="9"/>
      <c r="AN385" s="8"/>
      <c r="AO385" s="8"/>
      <c r="AP385" s="7"/>
      <c r="AQ385" s="8"/>
      <c r="AR385" s="9"/>
      <c r="AS385" s="8"/>
      <c r="AT385" s="8"/>
      <c r="AU385" s="9"/>
    </row>
    <row r="386" spans="1:47" x14ac:dyDescent="0.25">
      <c r="A386" s="7"/>
      <c r="B386" s="7"/>
      <c r="C386" s="8"/>
      <c r="D386" s="8"/>
      <c r="E386" s="8"/>
      <c r="F386" s="8"/>
      <c r="G386" s="8"/>
      <c r="H386" s="17"/>
      <c r="I386" s="9"/>
      <c r="J386" s="9"/>
      <c r="K386" s="9"/>
      <c r="L386" s="9"/>
      <c r="M386" s="9"/>
      <c r="N386" s="9"/>
      <c r="O386" s="9"/>
      <c r="P386" s="9"/>
      <c r="Q386" s="37"/>
      <c r="R386" s="9"/>
      <c r="S386" s="9"/>
      <c r="T386" s="8"/>
      <c r="U386" s="8"/>
      <c r="V386" s="7"/>
      <c r="W386" s="10"/>
      <c r="X386" s="7"/>
      <c r="Y386" s="8"/>
      <c r="Z386" s="8"/>
      <c r="AA386" s="8"/>
      <c r="AB386" s="8"/>
      <c r="AC386" s="9"/>
      <c r="AD386" s="7"/>
      <c r="AE386" s="8"/>
      <c r="AF386" s="8"/>
      <c r="AG386" s="8"/>
      <c r="AH386" s="8"/>
      <c r="AI386" s="8"/>
      <c r="AJ386" s="8"/>
      <c r="AK386" s="11"/>
      <c r="AL386" s="9"/>
      <c r="AM386" s="9"/>
      <c r="AN386" s="8"/>
      <c r="AO386" s="8"/>
      <c r="AP386" s="7"/>
      <c r="AQ386" s="8"/>
      <c r="AR386" s="9"/>
      <c r="AS386" s="8"/>
      <c r="AT386" s="8"/>
      <c r="AU386" s="9"/>
    </row>
    <row r="387" spans="1:47" x14ac:dyDescent="0.25">
      <c r="A387" s="7"/>
      <c r="B387" s="7"/>
      <c r="C387" s="8"/>
      <c r="D387" s="8"/>
      <c r="E387" s="8"/>
      <c r="F387" s="8"/>
      <c r="G387" s="8"/>
      <c r="H387" s="17"/>
      <c r="I387" s="9"/>
      <c r="J387" s="9"/>
      <c r="K387" s="9"/>
      <c r="L387" s="9"/>
      <c r="M387" s="9"/>
      <c r="N387" s="9"/>
      <c r="O387" s="9"/>
      <c r="P387" s="9"/>
      <c r="Q387" s="37"/>
      <c r="R387" s="9"/>
      <c r="S387" s="9"/>
      <c r="T387" s="8"/>
      <c r="U387" s="8"/>
      <c r="V387" s="7"/>
      <c r="W387" s="10"/>
      <c r="X387" s="7"/>
      <c r="Y387" s="8"/>
      <c r="Z387" s="8"/>
      <c r="AA387" s="8"/>
      <c r="AB387" s="8"/>
      <c r="AC387" s="9"/>
      <c r="AD387" s="7"/>
      <c r="AE387" s="8"/>
      <c r="AF387" s="8"/>
      <c r="AG387" s="8"/>
      <c r="AH387" s="8"/>
      <c r="AI387" s="8"/>
      <c r="AJ387" s="8"/>
      <c r="AK387" s="11"/>
      <c r="AL387" s="9"/>
      <c r="AM387" s="9"/>
      <c r="AN387" s="8"/>
      <c r="AO387" s="8"/>
      <c r="AP387" s="7"/>
      <c r="AQ387" s="8"/>
      <c r="AR387" s="9"/>
      <c r="AS387" s="8"/>
      <c r="AT387" s="8"/>
      <c r="AU387" s="9"/>
    </row>
    <row r="388" spans="1:47" x14ac:dyDescent="0.25">
      <c r="A388" s="7"/>
      <c r="B388" s="7"/>
      <c r="C388" s="8"/>
      <c r="D388" s="8"/>
      <c r="E388" s="8"/>
      <c r="F388" s="8"/>
      <c r="G388" s="8"/>
      <c r="H388" s="17"/>
      <c r="I388" s="9"/>
      <c r="J388" s="9"/>
      <c r="K388" s="9"/>
      <c r="L388" s="9"/>
      <c r="M388" s="9"/>
      <c r="N388" s="9"/>
      <c r="O388" s="9"/>
      <c r="P388" s="9"/>
      <c r="Q388" s="37"/>
      <c r="R388" s="9"/>
      <c r="S388" s="9"/>
      <c r="T388" s="8"/>
      <c r="U388" s="8"/>
      <c r="V388" s="7"/>
      <c r="W388" s="10"/>
      <c r="X388" s="7"/>
      <c r="Y388" s="8"/>
      <c r="Z388" s="8"/>
      <c r="AA388" s="8"/>
      <c r="AB388" s="8"/>
      <c r="AC388" s="9"/>
      <c r="AD388" s="7"/>
      <c r="AE388" s="8"/>
      <c r="AF388" s="8"/>
      <c r="AG388" s="8"/>
      <c r="AH388" s="8"/>
      <c r="AI388" s="8"/>
      <c r="AJ388" s="8"/>
      <c r="AK388" s="11"/>
      <c r="AL388" s="9"/>
      <c r="AM388" s="9"/>
      <c r="AN388" s="8"/>
      <c r="AO388" s="8"/>
      <c r="AP388" s="7"/>
      <c r="AQ388" s="8"/>
      <c r="AR388" s="9"/>
      <c r="AS388" s="8"/>
      <c r="AT388" s="8"/>
      <c r="AU388" s="9"/>
    </row>
    <row r="389" spans="1:47" x14ac:dyDescent="0.25">
      <c r="A389" s="7"/>
      <c r="B389" s="7"/>
      <c r="C389" s="8"/>
      <c r="D389" s="8"/>
      <c r="E389" s="8"/>
      <c r="F389" s="8"/>
      <c r="G389" s="8"/>
      <c r="H389" s="17"/>
      <c r="I389" s="9"/>
      <c r="J389" s="9"/>
      <c r="K389" s="9"/>
      <c r="L389" s="9"/>
      <c r="M389" s="9"/>
      <c r="N389" s="9"/>
      <c r="O389" s="9"/>
      <c r="P389" s="9"/>
      <c r="Q389" s="37"/>
      <c r="R389" s="9"/>
      <c r="S389" s="9"/>
      <c r="T389" s="8"/>
      <c r="U389" s="8"/>
      <c r="V389" s="7"/>
      <c r="W389" s="10"/>
      <c r="X389" s="7"/>
      <c r="Y389" s="8"/>
      <c r="Z389" s="8"/>
      <c r="AA389" s="8"/>
      <c r="AB389" s="8"/>
      <c r="AC389" s="9"/>
      <c r="AD389" s="7"/>
      <c r="AE389" s="8"/>
      <c r="AF389" s="8"/>
      <c r="AG389" s="8"/>
      <c r="AH389" s="8"/>
      <c r="AI389" s="8"/>
      <c r="AJ389" s="8"/>
      <c r="AK389" s="11"/>
      <c r="AL389" s="9"/>
      <c r="AM389" s="9"/>
      <c r="AN389" s="8"/>
      <c r="AO389" s="8"/>
      <c r="AP389" s="7"/>
      <c r="AQ389" s="8"/>
      <c r="AR389" s="9"/>
      <c r="AS389" s="8"/>
      <c r="AT389" s="8"/>
      <c r="AU389" s="9"/>
    </row>
    <row r="390" spans="1:47" x14ac:dyDescent="0.25">
      <c r="A390" s="7"/>
      <c r="B390" s="7"/>
      <c r="C390" s="8"/>
      <c r="D390" s="8"/>
      <c r="E390" s="8"/>
      <c r="F390" s="8"/>
      <c r="G390" s="8"/>
      <c r="H390" s="17"/>
      <c r="I390" s="9"/>
      <c r="J390" s="9"/>
      <c r="K390" s="9"/>
      <c r="L390" s="9"/>
      <c r="M390" s="9"/>
      <c r="N390" s="9"/>
      <c r="O390" s="9"/>
      <c r="P390" s="9"/>
      <c r="Q390" s="37"/>
      <c r="R390" s="9"/>
      <c r="S390" s="9"/>
      <c r="T390" s="8"/>
      <c r="U390" s="8"/>
      <c r="V390" s="7"/>
      <c r="W390" s="10"/>
      <c r="X390" s="7"/>
      <c r="Y390" s="8"/>
      <c r="Z390" s="8"/>
      <c r="AA390" s="8"/>
      <c r="AB390" s="8"/>
      <c r="AC390" s="9"/>
      <c r="AD390" s="7"/>
      <c r="AE390" s="8"/>
      <c r="AF390" s="8"/>
      <c r="AG390" s="8"/>
      <c r="AH390" s="8"/>
      <c r="AI390" s="8"/>
      <c r="AJ390" s="8"/>
      <c r="AK390" s="11"/>
      <c r="AL390" s="9"/>
      <c r="AM390" s="9"/>
      <c r="AN390" s="8"/>
      <c r="AO390" s="8"/>
      <c r="AP390" s="7"/>
      <c r="AQ390" s="8"/>
      <c r="AR390" s="9"/>
      <c r="AS390" s="8"/>
      <c r="AT390" s="8"/>
      <c r="AU390" s="9"/>
    </row>
    <row r="391" spans="1:47" x14ac:dyDescent="0.25">
      <c r="A391" s="7"/>
      <c r="B391" s="7"/>
      <c r="C391" s="8"/>
      <c r="D391" s="8"/>
      <c r="E391" s="8"/>
      <c r="F391" s="8"/>
      <c r="G391" s="8"/>
      <c r="H391" s="17"/>
      <c r="I391" s="9"/>
      <c r="J391" s="9"/>
      <c r="K391" s="9"/>
      <c r="L391" s="9"/>
      <c r="M391" s="9"/>
      <c r="N391" s="9"/>
      <c r="O391" s="9"/>
      <c r="P391" s="9"/>
      <c r="Q391" s="37"/>
      <c r="R391" s="9"/>
      <c r="S391" s="9"/>
      <c r="T391" s="8"/>
      <c r="U391" s="8"/>
      <c r="V391" s="7"/>
      <c r="W391" s="10"/>
      <c r="X391" s="7"/>
      <c r="Y391" s="8"/>
      <c r="Z391" s="8"/>
      <c r="AA391" s="8"/>
      <c r="AB391" s="8"/>
      <c r="AC391" s="9"/>
      <c r="AD391" s="7"/>
      <c r="AE391" s="8"/>
      <c r="AF391" s="8"/>
      <c r="AG391" s="8"/>
      <c r="AH391" s="8"/>
      <c r="AI391" s="8"/>
      <c r="AJ391" s="8"/>
      <c r="AK391" s="11"/>
      <c r="AL391" s="9"/>
      <c r="AM391" s="9"/>
      <c r="AN391" s="8"/>
      <c r="AO391" s="8"/>
      <c r="AP391" s="7"/>
      <c r="AQ391" s="8"/>
      <c r="AR391" s="9"/>
      <c r="AS391" s="8"/>
      <c r="AT391" s="8"/>
      <c r="AU391" s="9"/>
    </row>
    <row r="392" spans="1:47" x14ac:dyDescent="0.25">
      <c r="A392" s="7"/>
      <c r="B392" s="7"/>
      <c r="C392" s="8"/>
      <c r="D392" s="8"/>
      <c r="E392" s="8"/>
      <c r="F392" s="8"/>
      <c r="G392" s="8"/>
      <c r="H392" s="17"/>
      <c r="I392" s="9"/>
      <c r="J392" s="9"/>
      <c r="K392" s="9"/>
      <c r="L392" s="9"/>
      <c r="M392" s="9"/>
      <c r="N392" s="9"/>
      <c r="O392" s="9"/>
      <c r="P392" s="9"/>
      <c r="Q392" s="37"/>
      <c r="R392" s="9"/>
      <c r="S392" s="9"/>
      <c r="T392" s="8"/>
      <c r="U392" s="8"/>
      <c r="V392" s="7"/>
      <c r="W392" s="10"/>
      <c r="X392" s="7"/>
      <c r="Y392" s="8"/>
      <c r="Z392" s="8"/>
      <c r="AA392" s="8"/>
      <c r="AB392" s="8"/>
      <c r="AC392" s="9"/>
      <c r="AD392" s="7"/>
      <c r="AE392" s="8"/>
      <c r="AF392" s="8"/>
      <c r="AG392" s="8"/>
      <c r="AH392" s="8"/>
      <c r="AI392" s="8"/>
      <c r="AJ392" s="8"/>
      <c r="AK392" s="11"/>
      <c r="AL392" s="9"/>
      <c r="AM392" s="9"/>
      <c r="AN392" s="8"/>
      <c r="AO392" s="8"/>
      <c r="AP392" s="7"/>
      <c r="AQ392" s="8"/>
      <c r="AR392" s="9"/>
      <c r="AS392" s="8"/>
      <c r="AT392" s="8"/>
      <c r="AU392" s="9"/>
    </row>
    <row r="393" spans="1:47" x14ac:dyDescent="0.25">
      <c r="A393" s="7"/>
      <c r="B393" s="7"/>
      <c r="C393" s="8"/>
      <c r="D393" s="8"/>
      <c r="E393" s="8"/>
      <c r="F393" s="8"/>
      <c r="G393" s="8"/>
      <c r="H393" s="17"/>
      <c r="I393" s="9"/>
      <c r="J393" s="9"/>
      <c r="K393" s="9"/>
      <c r="L393" s="9"/>
      <c r="M393" s="9"/>
      <c r="N393" s="9"/>
      <c r="O393" s="9"/>
      <c r="P393" s="9"/>
      <c r="Q393" s="37"/>
      <c r="R393" s="9"/>
      <c r="S393" s="9"/>
      <c r="T393" s="8"/>
      <c r="U393" s="8"/>
      <c r="V393" s="7"/>
      <c r="W393" s="10"/>
      <c r="X393" s="7"/>
      <c r="Y393" s="8"/>
      <c r="Z393" s="8"/>
      <c r="AA393" s="8"/>
      <c r="AB393" s="8"/>
      <c r="AC393" s="9"/>
      <c r="AD393" s="7"/>
      <c r="AE393" s="8"/>
      <c r="AF393" s="8"/>
      <c r="AG393" s="8"/>
      <c r="AH393" s="8"/>
      <c r="AI393" s="8"/>
      <c r="AJ393" s="8"/>
      <c r="AK393" s="11"/>
      <c r="AL393" s="9"/>
      <c r="AM393" s="9"/>
      <c r="AN393" s="8"/>
      <c r="AO393" s="8"/>
      <c r="AP393" s="7"/>
      <c r="AQ393" s="8"/>
      <c r="AR393" s="9"/>
      <c r="AS393" s="8"/>
      <c r="AT393" s="8"/>
      <c r="AU393" s="9"/>
    </row>
    <row r="394" spans="1:47" x14ac:dyDescent="0.25">
      <c r="A394" s="7"/>
      <c r="B394" s="7"/>
      <c r="C394" s="8"/>
      <c r="D394" s="8"/>
      <c r="E394" s="8"/>
      <c r="F394" s="8"/>
      <c r="G394" s="8"/>
      <c r="H394" s="17"/>
      <c r="I394" s="9"/>
      <c r="J394" s="9"/>
      <c r="K394" s="9"/>
      <c r="L394" s="9"/>
      <c r="M394" s="9"/>
      <c r="N394" s="9"/>
      <c r="O394" s="9"/>
      <c r="P394" s="9"/>
      <c r="Q394" s="37"/>
      <c r="R394" s="9"/>
      <c r="S394" s="9"/>
      <c r="T394" s="8"/>
      <c r="U394" s="8"/>
      <c r="V394" s="7"/>
      <c r="W394" s="10"/>
      <c r="X394" s="7"/>
      <c r="Y394" s="8"/>
      <c r="Z394" s="8"/>
      <c r="AA394" s="8"/>
      <c r="AB394" s="8"/>
      <c r="AC394" s="9"/>
      <c r="AD394" s="7"/>
      <c r="AE394" s="8"/>
      <c r="AF394" s="8"/>
      <c r="AG394" s="8"/>
      <c r="AH394" s="8"/>
      <c r="AI394" s="8"/>
      <c r="AJ394" s="8"/>
      <c r="AK394" s="11"/>
      <c r="AL394" s="9"/>
      <c r="AM394" s="9"/>
      <c r="AN394" s="8"/>
      <c r="AO394" s="8"/>
      <c r="AP394" s="7"/>
      <c r="AQ394" s="8"/>
      <c r="AR394" s="9"/>
      <c r="AS394" s="8"/>
      <c r="AT394" s="8"/>
      <c r="AU394" s="9"/>
    </row>
    <row r="395" spans="1:47" x14ac:dyDescent="0.25">
      <c r="A395" s="7"/>
      <c r="B395" s="7"/>
      <c r="C395" s="8"/>
      <c r="D395" s="8"/>
      <c r="E395" s="8"/>
      <c r="F395" s="8"/>
      <c r="G395" s="8"/>
      <c r="H395" s="17"/>
      <c r="I395" s="9"/>
      <c r="J395" s="9"/>
      <c r="K395" s="9"/>
      <c r="L395" s="9"/>
      <c r="M395" s="9"/>
      <c r="N395" s="9"/>
      <c r="O395" s="9"/>
      <c r="P395" s="9"/>
      <c r="Q395" s="37"/>
      <c r="R395" s="9"/>
      <c r="S395" s="9"/>
      <c r="T395" s="8"/>
      <c r="U395" s="8"/>
      <c r="V395" s="7"/>
      <c r="W395" s="10"/>
      <c r="X395" s="7"/>
      <c r="Y395" s="8"/>
      <c r="Z395" s="8"/>
      <c r="AA395" s="8"/>
      <c r="AB395" s="8"/>
      <c r="AC395" s="9"/>
      <c r="AD395" s="7"/>
      <c r="AE395" s="8"/>
      <c r="AF395" s="8"/>
      <c r="AG395" s="8"/>
      <c r="AH395" s="8"/>
      <c r="AI395" s="8"/>
      <c r="AJ395" s="8"/>
      <c r="AK395" s="11"/>
      <c r="AL395" s="9"/>
      <c r="AM395" s="9"/>
      <c r="AN395" s="8"/>
      <c r="AO395" s="8"/>
      <c r="AP395" s="7"/>
      <c r="AQ395" s="8"/>
      <c r="AR395" s="9"/>
      <c r="AS395" s="8"/>
      <c r="AT395" s="8"/>
      <c r="AU395" s="9"/>
    </row>
    <row r="396" spans="1:47" x14ac:dyDescent="0.25">
      <c r="A396" s="7"/>
      <c r="B396" s="7"/>
      <c r="C396" s="8"/>
      <c r="D396" s="8"/>
      <c r="E396" s="8"/>
      <c r="F396" s="8"/>
      <c r="G396" s="8"/>
      <c r="H396" s="17"/>
      <c r="I396" s="9"/>
      <c r="J396" s="9"/>
      <c r="K396" s="9"/>
      <c r="L396" s="9"/>
      <c r="M396" s="9"/>
      <c r="N396" s="9"/>
      <c r="O396" s="9"/>
      <c r="P396" s="9"/>
      <c r="Q396" s="37"/>
      <c r="R396" s="9"/>
      <c r="S396" s="9"/>
      <c r="T396" s="8"/>
      <c r="U396" s="8"/>
      <c r="V396" s="7"/>
      <c r="W396" s="10"/>
      <c r="X396" s="7"/>
      <c r="Y396" s="8"/>
      <c r="Z396" s="8"/>
      <c r="AA396" s="8"/>
      <c r="AB396" s="8"/>
      <c r="AC396" s="9"/>
      <c r="AD396" s="7"/>
      <c r="AE396" s="8"/>
      <c r="AF396" s="8"/>
      <c r="AG396" s="8"/>
      <c r="AH396" s="8"/>
      <c r="AI396" s="8"/>
      <c r="AJ396" s="8"/>
      <c r="AK396" s="11"/>
      <c r="AL396" s="9"/>
      <c r="AM396" s="9"/>
      <c r="AN396" s="8"/>
      <c r="AO396" s="8"/>
      <c r="AP396" s="7"/>
      <c r="AQ396" s="8"/>
      <c r="AR396" s="9"/>
      <c r="AS396" s="8"/>
      <c r="AT396" s="8"/>
      <c r="AU396" s="9"/>
    </row>
    <row r="397" spans="1:47" x14ac:dyDescent="0.25">
      <c r="A397" s="7"/>
      <c r="B397" s="7"/>
      <c r="C397" s="8"/>
      <c r="D397" s="8"/>
      <c r="E397" s="8"/>
      <c r="F397" s="8"/>
      <c r="G397" s="8"/>
      <c r="H397" s="17"/>
      <c r="I397" s="9"/>
      <c r="J397" s="9"/>
      <c r="K397" s="9"/>
      <c r="L397" s="9"/>
      <c r="M397" s="9"/>
      <c r="N397" s="9"/>
      <c r="O397" s="9"/>
      <c r="P397" s="9"/>
      <c r="Q397" s="37"/>
      <c r="R397" s="9"/>
      <c r="S397" s="9"/>
      <c r="T397" s="8"/>
      <c r="U397" s="8"/>
      <c r="V397" s="7"/>
      <c r="W397" s="10"/>
      <c r="X397" s="7"/>
      <c r="Y397" s="8"/>
      <c r="Z397" s="8"/>
      <c r="AA397" s="8"/>
      <c r="AB397" s="8"/>
      <c r="AC397" s="9"/>
      <c r="AD397" s="7"/>
      <c r="AE397" s="8"/>
      <c r="AF397" s="8"/>
      <c r="AG397" s="8"/>
      <c r="AH397" s="8"/>
      <c r="AI397" s="8"/>
      <c r="AJ397" s="8"/>
      <c r="AK397" s="11"/>
      <c r="AL397" s="9"/>
      <c r="AM397" s="9"/>
      <c r="AN397" s="8"/>
      <c r="AO397" s="8"/>
      <c r="AP397" s="7"/>
      <c r="AQ397" s="8"/>
      <c r="AR397" s="9"/>
      <c r="AS397" s="8"/>
      <c r="AT397" s="8"/>
      <c r="AU397" s="9"/>
    </row>
    <row r="398" spans="1:47" x14ac:dyDescent="0.25">
      <c r="A398" s="7"/>
      <c r="B398" s="7"/>
      <c r="C398" s="8"/>
      <c r="D398" s="8"/>
      <c r="E398" s="8"/>
      <c r="F398" s="8"/>
      <c r="G398" s="8"/>
      <c r="H398" s="17"/>
      <c r="I398" s="9"/>
      <c r="J398" s="9"/>
      <c r="K398" s="9"/>
      <c r="L398" s="9"/>
      <c r="M398" s="9"/>
      <c r="N398" s="9"/>
      <c r="O398" s="9"/>
      <c r="P398" s="9"/>
      <c r="Q398" s="37"/>
      <c r="R398" s="9"/>
      <c r="S398" s="9"/>
      <c r="T398" s="8"/>
      <c r="U398" s="8"/>
      <c r="V398" s="7"/>
      <c r="W398" s="10"/>
      <c r="X398" s="7"/>
      <c r="Y398" s="8"/>
      <c r="Z398" s="8"/>
      <c r="AA398" s="8"/>
      <c r="AB398" s="8"/>
      <c r="AC398" s="9"/>
      <c r="AD398" s="7"/>
      <c r="AE398" s="8"/>
      <c r="AF398" s="8"/>
      <c r="AG398" s="8"/>
      <c r="AH398" s="8"/>
      <c r="AI398" s="8"/>
      <c r="AJ398" s="8"/>
      <c r="AK398" s="11"/>
      <c r="AL398" s="9"/>
      <c r="AM398" s="9"/>
      <c r="AN398" s="8"/>
      <c r="AO398" s="8"/>
      <c r="AP398" s="7"/>
      <c r="AQ398" s="8"/>
      <c r="AR398" s="9"/>
      <c r="AS398" s="8"/>
      <c r="AT398" s="8"/>
      <c r="AU398" s="9"/>
    </row>
    <row r="399" spans="1:47" x14ac:dyDescent="0.25">
      <c r="A399" s="7"/>
      <c r="B399" s="7"/>
      <c r="C399" s="8"/>
      <c r="D399" s="8"/>
      <c r="E399" s="8"/>
      <c r="F399" s="8"/>
      <c r="G399" s="8"/>
      <c r="H399" s="17"/>
      <c r="I399" s="9"/>
      <c r="J399" s="9"/>
      <c r="K399" s="9"/>
      <c r="L399" s="9"/>
      <c r="M399" s="9"/>
      <c r="N399" s="9"/>
      <c r="O399" s="9"/>
      <c r="P399" s="9"/>
      <c r="Q399" s="37"/>
      <c r="R399" s="9"/>
      <c r="S399" s="9"/>
      <c r="T399" s="8"/>
      <c r="U399" s="8"/>
      <c r="V399" s="7"/>
      <c r="W399" s="10"/>
      <c r="X399" s="7"/>
      <c r="Y399" s="8"/>
      <c r="Z399" s="8"/>
      <c r="AA399" s="8"/>
      <c r="AB399" s="8"/>
      <c r="AC399" s="9"/>
      <c r="AD399" s="7"/>
      <c r="AE399" s="8"/>
      <c r="AF399" s="8"/>
      <c r="AG399" s="8"/>
      <c r="AH399" s="8"/>
      <c r="AI399" s="8"/>
      <c r="AJ399" s="8"/>
      <c r="AK399" s="11"/>
      <c r="AL399" s="9"/>
      <c r="AM399" s="9"/>
      <c r="AN399" s="8"/>
      <c r="AO399" s="8"/>
      <c r="AP399" s="7"/>
      <c r="AQ399" s="8"/>
      <c r="AR399" s="9"/>
      <c r="AS399" s="8"/>
      <c r="AT399" s="8"/>
      <c r="AU399" s="9"/>
    </row>
    <row r="400" spans="1:47" x14ac:dyDescent="0.25">
      <c r="A400" s="7"/>
      <c r="B400" s="7"/>
      <c r="C400" s="8"/>
      <c r="D400" s="8"/>
      <c r="E400" s="8"/>
      <c r="F400" s="8"/>
      <c r="G400" s="8"/>
      <c r="H400" s="17"/>
      <c r="I400" s="9"/>
      <c r="J400" s="9"/>
      <c r="K400" s="9"/>
      <c r="L400" s="9"/>
      <c r="M400" s="9"/>
      <c r="N400" s="9"/>
      <c r="O400" s="9"/>
      <c r="P400" s="9"/>
      <c r="Q400" s="37"/>
      <c r="R400" s="9"/>
      <c r="S400" s="9"/>
      <c r="T400" s="8"/>
      <c r="U400" s="8"/>
      <c r="V400" s="7"/>
      <c r="W400" s="10"/>
      <c r="X400" s="7"/>
      <c r="Y400" s="8"/>
      <c r="Z400" s="8"/>
      <c r="AA400" s="8"/>
      <c r="AB400" s="8"/>
      <c r="AC400" s="9"/>
      <c r="AD400" s="7"/>
      <c r="AE400" s="8"/>
      <c r="AF400" s="8"/>
      <c r="AG400" s="8"/>
      <c r="AH400" s="8"/>
      <c r="AI400" s="8"/>
      <c r="AJ400" s="8"/>
      <c r="AK400" s="11"/>
      <c r="AL400" s="9"/>
      <c r="AM400" s="9"/>
      <c r="AN400" s="8"/>
      <c r="AO400" s="8"/>
      <c r="AP400" s="7"/>
      <c r="AQ400" s="8"/>
      <c r="AR400" s="9"/>
      <c r="AS400" s="8"/>
      <c r="AT400" s="8"/>
      <c r="AU400" s="9"/>
    </row>
    <row r="401" spans="1:47" x14ac:dyDescent="0.25">
      <c r="A401" s="7"/>
      <c r="B401" s="7"/>
      <c r="C401" s="8"/>
      <c r="D401" s="8"/>
      <c r="E401" s="8"/>
      <c r="F401" s="8"/>
      <c r="G401" s="8"/>
      <c r="H401" s="17"/>
      <c r="I401" s="9"/>
      <c r="J401" s="9"/>
      <c r="K401" s="9"/>
      <c r="L401" s="9"/>
      <c r="M401" s="9"/>
      <c r="N401" s="9"/>
      <c r="O401" s="9"/>
      <c r="P401" s="9"/>
      <c r="Q401" s="37"/>
      <c r="R401" s="9"/>
      <c r="S401" s="9"/>
      <c r="T401" s="8"/>
      <c r="U401" s="8"/>
      <c r="V401" s="7"/>
      <c r="W401" s="10"/>
      <c r="X401" s="7"/>
      <c r="Y401" s="8"/>
      <c r="Z401" s="8"/>
      <c r="AA401" s="8"/>
      <c r="AB401" s="8"/>
      <c r="AC401" s="9"/>
      <c r="AD401" s="7"/>
      <c r="AE401" s="8"/>
      <c r="AF401" s="8"/>
      <c r="AG401" s="8"/>
      <c r="AH401" s="8"/>
      <c r="AI401" s="8"/>
      <c r="AJ401" s="8"/>
      <c r="AK401" s="11"/>
      <c r="AL401" s="9"/>
      <c r="AM401" s="9"/>
      <c r="AN401" s="8"/>
      <c r="AO401" s="8"/>
      <c r="AP401" s="7"/>
      <c r="AQ401" s="8"/>
      <c r="AR401" s="9"/>
      <c r="AS401" s="8"/>
      <c r="AT401" s="8"/>
      <c r="AU401" s="9"/>
    </row>
    <row r="402" spans="1:47" x14ac:dyDescent="0.25">
      <c r="B402" s="7"/>
      <c r="C402" s="8"/>
      <c r="D402" s="8"/>
      <c r="E402" s="8"/>
      <c r="F402" s="8"/>
      <c r="G402" s="8"/>
      <c r="H402" s="17"/>
      <c r="I402" s="9"/>
      <c r="J402" s="9"/>
      <c r="K402" s="9"/>
      <c r="L402" s="9"/>
      <c r="M402" s="9"/>
      <c r="N402" s="9"/>
      <c r="R402" s="3"/>
      <c r="S402" s="3"/>
      <c r="V402" s="1"/>
      <c r="W402" s="4"/>
      <c r="AC402" s="3"/>
      <c r="AD402" s="1"/>
      <c r="AE402" s="2"/>
      <c r="AF402" s="2"/>
      <c r="AG402" s="2"/>
      <c r="AJ402" s="2"/>
      <c r="AK402" s="5"/>
      <c r="AM402" s="3"/>
      <c r="AP402" s="1"/>
      <c r="AQ402" s="2"/>
      <c r="AR402" s="3"/>
      <c r="AS402" s="2"/>
      <c r="AT402" s="2"/>
      <c r="AU402" s="3"/>
    </row>
    <row r="403" spans="1:47" x14ac:dyDescent="0.25">
      <c r="B403" s="7"/>
      <c r="C403" s="8"/>
      <c r="D403" s="8"/>
      <c r="E403" s="8"/>
      <c r="F403" s="8"/>
      <c r="G403" s="8"/>
      <c r="H403" s="17"/>
      <c r="I403" s="9"/>
      <c r="J403" s="9"/>
      <c r="K403" s="9"/>
      <c r="L403" s="9"/>
      <c r="M403" s="9"/>
      <c r="N403" s="9"/>
      <c r="R403" s="3"/>
      <c r="S403" s="3"/>
      <c r="V403" s="1"/>
      <c r="W403" s="4"/>
      <c r="AC403" s="3"/>
      <c r="AD403" s="1"/>
      <c r="AE403" s="2"/>
      <c r="AF403" s="2"/>
      <c r="AG403" s="2"/>
      <c r="AJ403" s="2"/>
      <c r="AK403" s="5"/>
      <c r="AM403" s="3"/>
      <c r="AP403" s="1"/>
      <c r="AQ403" s="2"/>
      <c r="AR403" s="3"/>
      <c r="AS403" s="2"/>
      <c r="AT403" s="2"/>
      <c r="AU403" s="3"/>
    </row>
    <row r="404" spans="1:47" x14ac:dyDescent="0.25">
      <c r="B404" s="7"/>
      <c r="C404" s="8"/>
      <c r="D404" s="8"/>
      <c r="E404" s="8"/>
      <c r="F404" s="8"/>
      <c r="G404" s="8"/>
      <c r="H404" s="17"/>
      <c r="I404" s="9"/>
      <c r="J404" s="9"/>
      <c r="K404" s="9"/>
      <c r="L404" s="9"/>
      <c r="M404" s="9"/>
      <c r="N404" s="9"/>
      <c r="R404" s="3"/>
      <c r="S404" s="3"/>
      <c r="V404" s="1"/>
      <c r="W404" s="4"/>
      <c r="AC404" s="3"/>
      <c r="AD404" s="1"/>
      <c r="AE404" s="2"/>
      <c r="AF404" s="2"/>
      <c r="AG404" s="2"/>
      <c r="AJ404" s="2"/>
      <c r="AK404" s="5"/>
      <c r="AM404" s="3"/>
      <c r="AP404" s="1"/>
      <c r="AQ404" s="2"/>
      <c r="AR404" s="3"/>
      <c r="AS404" s="2"/>
      <c r="AT404" s="2"/>
      <c r="AU404" s="3"/>
    </row>
    <row r="405" spans="1:47" x14ac:dyDescent="0.25">
      <c r="B405" s="7"/>
      <c r="C405" s="8"/>
      <c r="D405" s="8"/>
      <c r="E405" s="8"/>
      <c r="F405" s="8"/>
      <c r="G405" s="8"/>
      <c r="H405" s="17"/>
      <c r="I405" s="18"/>
      <c r="J405" s="18"/>
      <c r="K405" s="18"/>
      <c r="N405" s="18"/>
      <c r="P405" s="18"/>
      <c r="R405" s="3"/>
      <c r="S405" s="18"/>
      <c r="V405" s="1"/>
      <c r="W405" s="4"/>
      <c r="AC405" s="3"/>
      <c r="AD405" s="1"/>
      <c r="AE405" s="2"/>
      <c r="AF405" s="2"/>
      <c r="AG405" s="2"/>
      <c r="AJ405" s="2"/>
      <c r="AK405" s="5"/>
      <c r="AM405" s="3"/>
      <c r="AP405" s="1"/>
      <c r="AQ405" s="2"/>
      <c r="AR405" s="3"/>
      <c r="AS405" s="2"/>
      <c r="AT405" s="2"/>
      <c r="AU405" s="3"/>
    </row>
    <row r="406" spans="1:47" x14ac:dyDescent="0.25">
      <c r="B406" s="7"/>
      <c r="C406" s="8"/>
      <c r="D406" s="8"/>
      <c r="F406" s="8"/>
      <c r="G406" s="8"/>
      <c r="H406" s="8"/>
      <c r="I406" s="17"/>
      <c r="R406" s="3"/>
      <c r="S406" s="3"/>
      <c r="V406" s="1"/>
      <c r="W406" s="4"/>
      <c r="AC406" s="3"/>
      <c r="AD406" s="1"/>
      <c r="AE406" s="2"/>
      <c r="AF406" s="2"/>
      <c r="AG406" s="2"/>
      <c r="AJ406" s="2"/>
      <c r="AK406" s="5"/>
      <c r="AM406" s="3"/>
      <c r="AP406" s="1"/>
      <c r="AQ406" s="2"/>
      <c r="AR406" s="3"/>
      <c r="AS406" s="2"/>
      <c r="AT406" s="2"/>
      <c r="AU406" s="3"/>
    </row>
    <row r="407" spans="1:47" x14ac:dyDescent="0.25">
      <c r="B407" s="7"/>
      <c r="C407" s="8"/>
      <c r="D407" s="8"/>
      <c r="F407" s="8"/>
      <c r="G407" s="8"/>
      <c r="H407" s="8"/>
      <c r="I407" s="17"/>
      <c r="R407" s="3"/>
      <c r="S407" s="3"/>
      <c r="V407" s="1"/>
      <c r="W407" s="4"/>
      <c r="AC407" s="3"/>
      <c r="AD407" s="1"/>
      <c r="AE407" s="2"/>
      <c r="AF407" s="2"/>
      <c r="AG407" s="2"/>
      <c r="AJ407" s="2"/>
      <c r="AK407" s="5"/>
      <c r="AM407" s="3"/>
      <c r="AP407" s="1"/>
      <c r="AQ407" s="2"/>
      <c r="AR407" s="3"/>
      <c r="AS407" s="2"/>
      <c r="AT407" s="2"/>
      <c r="AU407" s="3"/>
    </row>
    <row r="408" spans="1:47" x14ac:dyDescent="0.25">
      <c r="B408" s="7"/>
      <c r="C408" s="8"/>
      <c r="D408" s="8"/>
      <c r="F408" s="8"/>
      <c r="G408" s="8"/>
      <c r="H408" s="8"/>
      <c r="I408" s="17"/>
      <c r="R408" s="3"/>
      <c r="S408" s="3"/>
      <c r="V408" s="1"/>
      <c r="W408" s="4"/>
      <c r="AC408" s="3"/>
      <c r="AD408" s="1"/>
      <c r="AE408" s="2"/>
      <c r="AF408" s="2"/>
      <c r="AG408" s="2"/>
      <c r="AJ408" s="2"/>
      <c r="AK408" s="5"/>
      <c r="AM408" s="3"/>
      <c r="AP408" s="1"/>
      <c r="AQ408" s="2"/>
      <c r="AR408" s="3"/>
      <c r="AS408" s="2"/>
      <c r="AT408" s="2"/>
      <c r="AU408" s="3"/>
    </row>
    <row r="409" spans="1:47" x14ac:dyDescent="0.25">
      <c r="B409" s="7"/>
      <c r="C409" s="8"/>
      <c r="D409" s="8"/>
      <c r="F409" s="8"/>
      <c r="G409" s="8"/>
      <c r="H409" s="8"/>
      <c r="I409" s="17"/>
      <c r="R409" s="3"/>
      <c r="S409" s="3"/>
      <c r="V409" s="1"/>
      <c r="W409" s="4"/>
      <c r="AC409" s="3"/>
      <c r="AD409" s="1"/>
      <c r="AE409" s="2"/>
      <c r="AF409" s="2"/>
      <c r="AG409" s="2"/>
      <c r="AJ409" s="2"/>
      <c r="AK409" s="5"/>
      <c r="AM409" s="3"/>
      <c r="AP409" s="1"/>
      <c r="AQ409" s="2"/>
      <c r="AR409" s="3"/>
      <c r="AS409" s="2"/>
      <c r="AT409" s="2"/>
      <c r="AU409" s="3"/>
    </row>
    <row r="410" spans="1:47" x14ac:dyDescent="0.25">
      <c r="B410" s="7"/>
      <c r="C410" s="8"/>
      <c r="D410" s="8"/>
      <c r="F410" s="8"/>
      <c r="G410" s="8"/>
      <c r="H410" s="8"/>
      <c r="I410" s="17"/>
      <c r="R410" s="3"/>
      <c r="S410" s="3"/>
      <c r="V410" s="1"/>
      <c r="W410" s="4"/>
      <c r="AC410" s="3"/>
      <c r="AD410" s="1"/>
      <c r="AE410" s="2"/>
      <c r="AF410" s="2"/>
      <c r="AG410" s="2"/>
      <c r="AJ410" s="2"/>
      <c r="AK410" s="5"/>
      <c r="AM410" s="3"/>
      <c r="AP410" s="1"/>
      <c r="AQ410" s="2"/>
      <c r="AR410" s="3"/>
      <c r="AS410" s="2"/>
      <c r="AT410" s="2"/>
      <c r="AU410" s="3"/>
    </row>
    <row r="411" spans="1:47" x14ac:dyDescent="0.25">
      <c r="B411" s="7"/>
      <c r="C411" s="8"/>
      <c r="D411" s="8"/>
      <c r="F411" s="8"/>
      <c r="G411" s="8"/>
      <c r="H411" s="8"/>
      <c r="I411" s="17"/>
      <c r="R411" s="3"/>
      <c r="S411" s="3"/>
      <c r="V411" s="1"/>
      <c r="W411" s="4"/>
      <c r="AC411" s="3"/>
      <c r="AD411" s="1"/>
      <c r="AE411" s="2"/>
      <c r="AF411" s="2"/>
      <c r="AG411" s="2"/>
      <c r="AJ411" s="2"/>
      <c r="AK411" s="5"/>
      <c r="AM411" s="3"/>
      <c r="AP411" s="1"/>
      <c r="AQ411" s="2"/>
      <c r="AR411" s="3"/>
      <c r="AS411" s="2"/>
      <c r="AT411" s="2"/>
      <c r="AU411" s="3"/>
    </row>
    <row r="412" spans="1:47" x14ac:dyDescent="0.25">
      <c r="B412" s="7"/>
      <c r="C412" s="8"/>
      <c r="D412" s="8"/>
      <c r="F412" s="8"/>
      <c r="G412" s="8"/>
      <c r="H412" s="8"/>
      <c r="I412" s="17"/>
      <c r="R412" s="3"/>
      <c r="S412" s="3"/>
      <c r="V412" s="1"/>
      <c r="W412" s="4"/>
      <c r="AC412" s="3"/>
      <c r="AD412" s="1"/>
      <c r="AE412" s="2"/>
      <c r="AF412" s="2"/>
      <c r="AG412" s="2"/>
      <c r="AJ412" s="2"/>
      <c r="AK412" s="5"/>
      <c r="AM412" s="3"/>
      <c r="AP412" s="1"/>
      <c r="AQ412" s="2"/>
      <c r="AR412" s="3"/>
      <c r="AS412" s="2"/>
      <c r="AT412" s="2"/>
      <c r="AU412" s="3"/>
    </row>
    <row r="413" spans="1:47" x14ac:dyDescent="0.25">
      <c r="B413" s="7"/>
      <c r="C413" s="8"/>
      <c r="D413" s="8"/>
      <c r="F413" s="8"/>
      <c r="G413" s="8"/>
      <c r="H413" s="8"/>
      <c r="I413" s="17"/>
      <c r="R413" s="3"/>
      <c r="S413" s="3"/>
      <c r="V413" s="1"/>
      <c r="W413" s="4"/>
      <c r="AC413" s="3"/>
      <c r="AD413" s="1"/>
      <c r="AE413" s="2"/>
      <c r="AF413" s="2"/>
      <c r="AG413" s="2"/>
      <c r="AJ413" s="2"/>
      <c r="AK413" s="5"/>
      <c r="AM413" s="3"/>
      <c r="AP413" s="1"/>
      <c r="AQ413" s="2"/>
      <c r="AR413" s="3"/>
      <c r="AS413" s="2"/>
      <c r="AT413" s="2"/>
      <c r="AU413" s="3"/>
    </row>
  </sheetData>
  <autoFilter ref="D1:D413" xr:uid="{00000000-0001-0000-0000-000000000000}"/>
  <mergeCells count="37">
    <mergeCell ref="G373:H373"/>
    <mergeCell ref="R1:U2"/>
    <mergeCell ref="A1:A3"/>
    <mergeCell ref="B1:B3"/>
    <mergeCell ref="C1:E2"/>
    <mergeCell ref="F1:H1"/>
    <mergeCell ref="F2:G2"/>
    <mergeCell ref="H2:H3"/>
    <mergeCell ref="I1:I3"/>
    <mergeCell ref="J1:J3"/>
    <mergeCell ref="K1:L2"/>
    <mergeCell ref="M1:M3"/>
    <mergeCell ref="N1:N3"/>
    <mergeCell ref="O1:O3"/>
    <mergeCell ref="P1:P3"/>
    <mergeCell ref="Q1:Q3"/>
    <mergeCell ref="AG1:AG3"/>
    <mergeCell ref="V1:V3"/>
    <mergeCell ref="W1:W3"/>
    <mergeCell ref="X1:X3"/>
    <mergeCell ref="Y1:Y3"/>
    <mergeCell ref="Z1:Z3"/>
    <mergeCell ref="AA1:AA3"/>
    <mergeCell ref="AB1:AB3"/>
    <mergeCell ref="AC1:AC3"/>
    <mergeCell ref="AD1:AD3"/>
    <mergeCell ref="AE1:AE3"/>
    <mergeCell ref="AF1:AF3"/>
    <mergeCell ref="AN1:AN3"/>
    <mergeCell ref="AO1:AO3"/>
    <mergeCell ref="AP1:AP3"/>
    <mergeCell ref="AH1:AH3"/>
    <mergeCell ref="AI1:AI3"/>
    <mergeCell ref="AJ1:AJ3"/>
    <mergeCell ref="AK1:AK3"/>
    <mergeCell ref="AL1:AL3"/>
    <mergeCell ref="AM1:AM3"/>
  </mergeCells>
  <phoneticPr fontId="9"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59"/>
  <sheetViews>
    <sheetView tabSelected="1" topLeftCell="A98" zoomScale="85" zoomScaleNormal="85" workbookViewId="0">
      <selection activeCell="D137" sqref="D137"/>
    </sheetView>
  </sheetViews>
  <sheetFormatPr baseColWidth="10" defaultColWidth="11.42578125" defaultRowHeight="12" x14ac:dyDescent="0.2"/>
  <cols>
    <col min="1" max="1" width="12.140625" style="58" customWidth="1"/>
    <col min="2" max="2" width="13.7109375" style="58" hidden="1" customWidth="1"/>
    <col min="3" max="3" width="3.85546875" style="59" customWidth="1"/>
    <col min="4" max="4" width="7.42578125" style="59" customWidth="1"/>
    <col min="5" max="5" width="3.7109375" style="59" hidden="1" customWidth="1"/>
    <col min="6" max="6" width="9.28515625" style="59" customWidth="1"/>
    <col min="7" max="7" width="3.140625" style="59" customWidth="1"/>
    <col min="8" max="8" width="15.140625" style="59" customWidth="1"/>
    <col min="9" max="9" width="31" style="86" customWidth="1"/>
    <col min="10" max="10" width="12.28515625" style="29" customWidth="1"/>
    <col min="11" max="11" width="11.7109375" style="29" customWidth="1"/>
    <col min="12" max="15" width="12.28515625" style="29" hidden="1" customWidth="1"/>
    <col min="16" max="16" width="11.28515625" style="29" customWidth="1"/>
    <col min="17" max="18" width="13.7109375" style="29" hidden="1" customWidth="1"/>
    <col min="19" max="19" width="11.85546875" style="29" customWidth="1"/>
    <col min="20" max="20" width="15.7109375" style="59" hidden="1" customWidth="1"/>
    <col min="21" max="21" width="11" style="59" hidden="1" customWidth="1"/>
    <col min="22" max="22" width="11" style="58" hidden="1" customWidth="1"/>
    <col min="23" max="23" width="12.28515625" style="61" customWidth="1"/>
    <col min="24" max="24" width="10.5703125" style="58" customWidth="1"/>
    <col min="25" max="25" width="4.140625" style="59" customWidth="1"/>
    <col min="26" max="26" width="7.28515625" style="59" customWidth="1"/>
    <col min="27" max="27" width="8.42578125" style="59" customWidth="1"/>
    <col min="28" max="28" width="4" style="59" customWidth="1"/>
    <col min="29" max="29" width="8.5703125" style="60" customWidth="1"/>
    <col min="30" max="30" width="13.7109375" style="58" customWidth="1"/>
    <col min="31" max="31" width="6.42578125" style="59" customWidth="1"/>
    <col min="32" max="33" width="12.7109375" style="59" customWidth="1"/>
    <col min="34" max="34" width="5.85546875" style="59" customWidth="1"/>
    <col min="35" max="35" width="12.7109375" style="59" hidden="1" customWidth="1"/>
    <col min="36" max="36" width="6.7109375" style="59" hidden="1" customWidth="1"/>
    <col min="37" max="37" width="13.7109375" style="62" hidden="1" customWidth="1"/>
    <col min="38" max="39" width="15.7109375" style="60" hidden="1" customWidth="1"/>
    <col min="40" max="40" width="10.7109375" style="59" hidden="1" customWidth="1"/>
    <col min="41" max="41" width="15.7109375" style="59" hidden="1" customWidth="1"/>
    <col min="42" max="42" width="10.7109375" style="58" hidden="1" customWidth="1"/>
    <col min="43" max="43" width="11.7109375" style="59" hidden="1" customWidth="1"/>
    <col min="44" max="44" width="9.28515625" style="60" customWidth="1"/>
    <col min="45" max="45" width="48.85546875" style="95" customWidth="1"/>
    <col min="46" max="46" width="9.7109375" style="59" customWidth="1"/>
    <col min="47" max="47" width="15.7109375" style="60" customWidth="1"/>
    <col min="48" max="16384" width="11.42578125" style="63"/>
  </cols>
  <sheetData>
    <row r="1" spans="1:48" hidden="1" x14ac:dyDescent="0.2">
      <c r="A1" s="58" t="s">
        <v>0</v>
      </c>
    </row>
    <row r="2" spans="1:48" hidden="1" x14ac:dyDescent="0.2">
      <c r="A2" s="58" t="s">
        <v>1</v>
      </c>
    </row>
    <row r="3" spans="1:48" hidden="1" x14ac:dyDescent="0.2">
      <c r="A3" s="58" t="s">
        <v>2</v>
      </c>
    </row>
    <row r="4" spans="1:48" hidden="1" x14ac:dyDescent="0.2">
      <c r="A4" s="58" t="s">
        <v>3</v>
      </c>
    </row>
    <row r="5" spans="1:48" hidden="1" x14ac:dyDescent="0.2">
      <c r="A5" s="58" t="s">
        <v>4</v>
      </c>
    </row>
    <row r="6" spans="1:48" hidden="1" x14ac:dyDescent="0.2"/>
    <row r="7" spans="1:48" hidden="1" x14ac:dyDescent="0.2"/>
    <row r="8" spans="1:48" x14ac:dyDescent="0.2">
      <c r="A8" s="230" t="s">
        <v>63</v>
      </c>
      <c r="B8" s="230"/>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0"/>
      <c r="AC8" s="230"/>
      <c r="AD8" s="230"/>
      <c r="AE8" s="230"/>
      <c r="AF8" s="230"/>
      <c r="AG8" s="230"/>
      <c r="AH8" s="230"/>
      <c r="AI8" s="230"/>
      <c r="AJ8" s="230"/>
      <c r="AK8" s="230"/>
      <c r="AL8" s="230"/>
      <c r="AM8" s="230"/>
      <c r="AN8" s="230"/>
      <c r="AO8" s="230"/>
      <c r="AP8" s="230"/>
    </row>
    <row r="10" spans="1:48" ht="21.95" customHeight="1" x14ac:dyDescent="0.2">
      <c r="A10" s="227" t="s">
        <v>5</v>
      </c>
      <c r="B10" s="227" t="s">
        <v>7</v>
      </c>
      <c r="C10" s="226" t="s">
        <v>8</v>
      </c>
      <c r="D10" s="226"/>
      <c r="E10" s="226"/>
      <c r="F10" s="226" t="s">
        <v>64</v>
      </c>
      <c r="G10" s="224" t="s">
        <v>65</v>
      </c>
      <c r="H10" s="224"/>
      <c r="I10" s="224"/>
      <c r="J10" s="231" t="s">
        <v>66</v>
      </c>
      <c r="K10" s="231"/>
      <c r="L10" s="231" t="s">
        <v>67</v>
      </c>
      <c r="M10" s="231"/>
      <c r="N10" s="231" t="s">
        <v>68</v>
      </c>
      <c r="O10" s="231"/>
      <c r="P10" s="231" t="s">
        <v>69</v>
      </c>
      <c r="Q10" s="231" t="s">
        <v>27</v>
      </c>
      <c r="R10" s="231" t="s">
        <v>70</v>
      </c>
      <c r="S10" s="231" t="s">
        <v>71</v>
      </c>
      <c r="T10" s="226" t="s">
        <v>72</v>
      </c>
      <c r="U10" s="224" t="s">
        <v>73</v>
      </c>
      <c r="V10" s="224"/>
      <c r="W10" s="233" t="s">
        <v>31</v>
      </c>
      <c r="X10" s="224" t="s">
        <v>33</v>
      </c>
      <c r="Y10" s="224"/>
      <c r="Z10" s="224"/>
      <c r="AA10" s="224"/>
      <c r="AB10" s="226" t="s">
        <v>37</v>
      </c>
      <c r="AC10" s="228" t="s">
        <v>38</v>
      </c>
      <c r="AD10" s="227" t="s">
        <v>39</v>
      </c>
      <c r="AE10" s="226" t="s">
        <v>40</v>
      </c>
      <c r="AF10" s="226" t="s">
        <v>45</v>
      </c>
      <c r="AG10" s="226" t="s">
        <v>47</v>
      </c>
      <c r="AH10" s="226" t="s">
        <v>48</v>
      </c>
      <c r="AI10" s="226" t="s">
        <v>42</v>
      </c>
      <c r="AJ10" s="226" t="s">
        <v>44</v>
      </c>
      <c r="AK10" s="232" t="s">
        <v>49</v>
      </c>
      <c r="AL10" s="228" t="s">
        <v>51</v>
      </c>
      <c r="AM10" s="228" t="s">
        <v>53</v>
      </c>
      <c r="AN10" s="226" t="s">
        <v>54</v>
      </c>
      <c r="AO10" s="226" t="s">
        <v>55</v>
      </c>
      <c r="AP10" s="227" t="s">
        <v>56</v>
      </c>
      <c r="AQ10" s="226" t="s">
        <v>57</v>
      </c>
      <c r="AR10" s="228" t="s">
        <v>58</v>
      </c>
      <c r="AS10" s="225" t="s">
        <v>59</v>
      </c>
      <c r="AT10" s="226" t="s">
        <v>61</v>
      </c>
      <c r="AU10" s="228" t="s">
        <v>74</v>
      </c>
    </row>
    <row r="11" spans="1:48" ht="21.95" customHeight="1" x14ac:dyDescent="0.2">
      <c r="A11" s="227"/>
      <c r="B11" s="227"/>
      <c r="C11" s="226"/>
      <c r="D11" s="226"/>
      <c r="E11" s="226"/>
      <c r="F11" s="226"/>
      <c r="G11" s="224" t="s">
        <v>16</v>
      </c>
      <c r="H11" s="224"/>
      <c r="I11" s="229" t="s">
        <v>19</v>
      </c>
      <c r="J11" s="231"/>
      <c r="K11" s="231"/>
      <c r="L11" s="231"/>
      <c r="M11" s="231"/>
      <c r="N11" s="231"/>
      <c r="O11" s="231"/>
      <c r="P11" s="231"/>
      <c r="Q11" s="231"/>
      <c r="R11" s="231"/>
      <c r="S11" s="231"/>
      <c r="T11" s="226"/>
      <c r="U11" s="224"/>
      <c r="V11" s="224"/>
      <c r="W11" s="233"/>
      <c r="X11" s="224"/>
      <c r="Y11" s="224"/>
      <c r="Z11" s="224"/>
      <c r="AA11" s="224"/>
      <c r="AB11" s="226"/>
      <c r="AC11" s="228"/>
      <c r="AD11" s="227"/>
      <c r="AE11" s="226"/>
      <c r="AF11" s="226"/>
      <c r="AG11" s="226"/>
      <c r="AH11" s="226"/>
      <c r="AI11" s="226"/>
      <c r="AJ11" s="226"/>
      <c r="AK11" s="232"/>
      <c r="AL11" s="228"/>
      <c r="AM11" s="228"/>
      <c r="AN11" s="226"/>
      <c r="AO11" s="226"/>
      <c r="AP11" s="227"/>
      <c r="AQ11" s="226"/>
      <c r="AR11" s="228"/>
      <c r="AS11" s="225"/>
      <c r="AT11" s="226"/>
      <c r="AU11" s="228"/>
    </row>
    <row r="12" spans="1:48" ht="96" x14ac:dyDescent="0.2">
      <c r="A12" s="227"/>
      <c r="B12" s="227"/>
      <c r="C12" s="69" t="s">
        <v>9</v>
      </c>
      <c r="D12" s="69" t="s">
        <v>75</v>
      </c>
      <c r="E12" s="69" t="s">
        <v>76</v>
      </c>
      <c r="F12" s="226"/>
      <c r="G12" s="69" t="s">
        <v>9</v>
      </c>
      <c r="H12" s="69" t="s">
        <v>13</v>
      </c>
      <c r="I12" s="229"/>
      <c r="J12" s="42" t="s">
        <v>77</v>
      </c>
      <c r="K12" s="42" t="s">
        <v>78</v>
      </c>
      <c r="L12" s="42" t="s">
        <v>77</v>
      </c>
      <c r="M12" s="42" t="s">
        <v>78</v>
      </c>
      <c r="N12" s="42" t="s">
        <v>77</v>
      </c>
      <c r="O12" s="42" t="s">
        <v>78</v>
      </c>
      <c r="P12" s="231"/>
      <c r="Q12" s="231"/>
      <c r="R12" s="231"/>
      <c r="S12" s="231"/>
      <c r="T12" s="226"/>
      <c r="U12" s="69" t="s">
        <v>13</v>
      </c>
      <c r="V12" s="70" t="s">
        <v>79</v>
      </c>
      <c r="W12" s="233"/>
      <c r="X12" s="70" t="s">
        <v>34</v>
      </c>
      <c r="Y12" s="69" t="s">
        <v>9</v>
      </c>
      <c r="Z12" s="69" t="s">
        <v>35</v>
      </c>
      <c r="AA12" s="69" t="s">
        <v>36</v>
      </c>
      <c r="AB12" s="226"/>
      <c r="AC12" s="228"/>
      <c r="AD12" s="227"/>
      <c r="AE12" s="226"/>
      <c r="AF12" s="226"/>
      <c r="AG12" s="226"/>
      <c r="AH12" s="226"/>
      <c r="AI12" s="226"/>
      <c r="AJ12" s="226"/>
      <c r="AK12" s="232"/>
      <c r="AL12" s="228"/>
      <c r="AM12" s="228"/>
      <c r="AN12" s="226"/>
      <c r="AO12" s="226"/>
      <c r="AP12" s="227"/>
      <c r="AQ12" s="226"/>
      <c r="AR12" s="228"/>
      <c r="AS12" s="225"/>
      <c r="AT12" s="226"/>
      <c r="AU12" s="228"/>
    </row>
    <row r="13" spans="1:48" ht="60" customHeight="1" x14ac:dyDescent="0.2">
      <c r="A13" s="64" t="s">
        <v>6</v>
      </c>
      <c r="B13" s="64" t="s">
        <v>6</v>
      </c>
      <c r="C13" s="65" t="s">
        <v>10</v>
      </c>
      <c r="D13" s="65" t="s">
        <v>12</v>
      </c>
      <c r="E13" s="65" t="s">
        <v>80</v>
      </c>
      <c r="F13" s="65" t="s">
        <v>14</v>
      </c>
      <c r="G13" s="65" t="s">
        <v>17</v>
      </c>
      <c r="H13" s="65" t="s">
        <v>18</v>
      </c>
      <c r="I13" s="87" t="s">
        <v>20</v>
      </c>
      <c r="J13" s="28" t="s">
        <v>22</v>
      </c>
      <c r="K13" s="28" t="s">
        <v>22</v>
      </c>
      <c r="L13" s="28" t="s">
        <v>22</v>
      </c>
      <c r="M13" s="28" t="s">
        <v>22</v>
      </c>
      <c r="N13" s="28" t="s">
        <v>22</v>
      </c>
      <c r="O13" s="28" t="s">
        <v>22</v>
      </c>
      <c r="P13" s="28" t="s">
        <v>22</v>
      </c>
      <c r="Q13" s="28" t="s">
        <v>22</v>
      </c>
      <c r="R13" s="28" t="s">
        <v>22</v>
      </c>
      <c r="S13" s="28" t="s">
        <v>82</v>
      </c>
      <c r="T13" s="65" t="s">
        <v>81</v>
      </c>
      <c r="U13" s="65" t="s">
        <v>81</v>
      </c>
      <c r="V13" s="64" t="s">
        <v>6</v>
      </c>
      <c r="W13" s="67" t="s">
        <v>32</v>
      </c>
      <c r="X13" s="64" t="s">
        <v>6</v>
      </c>
      <c r="Y13" s="65" t="s">
        <v>10</v>
      </c>
      <c r="Z13" s="65" t="s">
        <v>12</v>
      </c>
      <c r="AA13" s="65" t="s">
        <v>14</v>
      </c>
      <c r="AB13" s="65" t="s">
        <v>17</v>
      </c>
      <c r="AC13" s="66" t="s">
        <v>22</v>
      </c>
      <c r="AD13" s="64" t="s">
        <v>6</v>
      </c>
      <c r="AE13" s="65" t="s">
        <v>41</v>
      </c>
      <c r="AF13" s="65" t="s">
        <v>46</v>
      </c>
      <c r="AG13" s="65" t="s">
        <v>46</v>
      </c>
      <c r="AH13" s="65" t="s">
        <v>46</v>
      </c>
      <c r="AI13" s="65" t="s">
        <v>43</v>
      </c>
      <c r="AJ13" s="65" t="s">
        <v>43</v>
      </c>
      <c r="AK13" s="68" t="s">
        <v>50</v>
      </c>
      <c r="AL13" s="66" t="s">
        <v>52</v>
      </c>
      <c r="AM13" s="66" t="s">
        <v>22</v>
      </c>
      <c r="AN13" s="65" t="s">
        <v>12</v>
      </c>
      <c r="AO13" s="65" t="s">
        <v>14</v>
      </c>
      <c r="AP13" s="64" t="s">
        <v>6</v>
      </c>
      <c r="AQ13" s="65" t="s">
        <v>46</v>
      </c>
      <c r="AR13" s="66" t="s">
        <v>52</v>
      </c>
      <c r="AS13" s="96" t="s">
        <v>20</v>
      </c>
      <c r="AT13" s="65" t="s">
        <v>17</v>
      </c>
      <c r="AU13" s="66" t="s">
        <v>22</v>
      </c>
    </row>
    <row r="14" spans="1:48" s="83" customFormat="1" ht="11.25" customHeight="1" x14ac:dyDescent="0.2">
      <c r="A14" s="71">
        <v>46181</v>
      </c>
      <c r="B14" s="71">
        <f t="shared" ref="B14:B77" si="0">+A14</f>
        <v>46181</v>
      </c>
      <c r="C14" s="72" t="s">
        <v>83</v>
      </c>
      <c r="D14" s="73" t="s">
        <v>89</v>
      </c>
      <c r="E14" s="74"/>
      <c r="F14" s="72">
        <v>62240</v>
      </c>
      <c r="G14" s="74">
        <v>6</v>
      </c>
      <c r="H14" s="73">
        <v>20282498295</v>
      </c>
      <c r="I14" s="73" t="s">
        <v>93</v>
      </c>
      <c r="J14" s="75">
        <f t="shared" ref="J14:J77" si="1">+S14/1.18</f>
        <v>16.949152542372882</v>
      </c>
      <c r="K14" s="75">
        <f t="shared" ref="K14:K77" si="2">+J14*0.18</f>
        <v>3.0508474576271185</v>
      </c>
      <c r="L14" s="75"/>
      <c r="M14" s="75"/>
      <c r="N14" s="75"/>
      <c r="O14" s="75"/>
      <c r="P14" s="75"/>
      <c r="Q14" s="75"/>
      <c r="R14" s="75"/>
      <c r="S14" s="75">
        <v>20</v>
      </c>
      <c r="T14" s="72"/>
      <c r="U14" s="72"/>
      <c r="V14" s="88"/>
      <c r="W14" s="76"/>
      <c r="X14" s="71"/>
      <c r="Y14" s="72"/>
      <c r="Z14" s="72"/>
      <c r="AA14" s="72"/>
      <c r="AB14" s="72" t="s">
        <v>86</v>
      </c>
      <c r="AC14" s="93"/>
      <c r="AD14" s="71">
        <v>46181</v>
      </c>
      <c r="AE14" s="72" t="s">
        <v>940</v>
      </c>
      <c r="AF14" s="149" t="s">
        <v>943</v>
      </c>
      <c r="AG14" s="92"/>
      <c r="AH14" s="72" t="s">
        <v>88</v>
      </c>
      <c r="AI14" s="75"/>
      <c r="AJ14" s="72"/>
      <c r="AK14" s="72"/>
      <c r="AL14" s="77"/>
      <c r="AM14" s="72"/>
      <c r="AN14" s="72"/>
      <c r="AO14" s="72"/>
      <c r="AP14" s="72"/>
      <c r="AQ14" s="78"/>
      <c r="AR14" s="79">
        <v>18</v>
      </c>
      <c r="AS14" s="80" t="s">
        <v>815</v>
      </c>
      <c r="AT14" s="81"/>
      <c r="AU14" s="82"/>
      <c r="AV14" s="89"/>
    </row>
    <row r="15" spans="1:48" s="98" customFormat="1" ht="11.25" customHeight="1" x14ac:dyDescent="0.2">
      <c r="A15" s="71">
        <v>46183</v>
      </c>
      <c r="B15" s="71">
        <f t="shared" si="0"/>
        <v>46183</v>
      </c>
      <c r="C15" s="72" t="s">
        <v>83</v>
      </c>
      <c r="D15" s="73" t="s">
        <v>89</v>
      </c>
      <c r="E15" s="74"/>
      <c r="F15" s="72">
        <v>62299</v>
      </c>
      <c r="G15" s="74">
        <v>6</v>
      </c>
      <c r="H15" s="73">
        <v>20282498295</v>
      </c>
      <c r="I15" s="73" t="s">
        <v>93</v>
      </c>
      <c r="J15" s="75">
        <f t="shared" si="1"/>
        <v>16.949152542372882</v>
      </c>
      <c r="K15" s="75">
        <f t="shared" si="2"/>
        <v>3.0508474576271185</v>
      </c>
      <c r="L15" s="75"/>
      <c r="M15" s="75"/>
      <c r="N15" s="75"/>
      <c r="O15" s="75"/>
      <c r="P15" s="75"/>
      <c r="Q15" s="75"/>
      <c r="R15" s="75"/>
      <c r="S15" s="75">
        <v>20</v>
      </c>
      <c r="T15" s="72"/>
      <c r="U15" s="72"/>
      <c r="V15" s="88"/>
      <c r="W15" s="76"/>
      <c r="X15" s="71"/>
      <c r="Y15" s="72"/>
      <c r="Z15" s="72"/>
      <c r="AA15" s="72"/>
      <c r="AB15" s="72" t="s">
        <v>86</v>
      </c>
      <c r="AC15" s="93"/>
      <c r="AD15" s="71">
        <v>46183</v>
      </c>
      <c r="AE15" s="72" t="s">
        <v>940</v>
      </c>
      <c r="AF15" s="149" t="s">
        <v>943</v>
      </c>
      <c r="AG15" s="92"/>
      <c r="AH15" s="72" t="s">
        <v>88</v>
      </c>
      <c r="AI15" s="75"/>
      <c r="AJ15" s="72"/>
      <c r="AK15" s="72"/>
      <c r="AL15" s="77"/>
      <c r="AM15" s="72"/>
      <c r="AN15" s="72"/>
      <c r="AO15" s="72"/>
      <c r="AP15" s="72"/>
      <c r="AQ15" s="78"/>
      <c r="AR15" s="79">
        <v>18</v>
      </c>
      <c r="AS15" s="80" t="s">
        <v>815</v>
      </c>
      <c r="AT15" s="81"/>
      <c r="AU15" s="82"/>
    </row>
    <row r="16" spans="1:48" s="98" customFormat="1" ht="11.25" customHeight="1" x14ac:dyDescent="0.2">
      <c r="A16" s="71">
        <v>46189</v>
      </c>
      <c r="B16" s="71">
        <f t="shared" si="0"/>
        <v>46189</v>
      </c>
      <c r="C16" s="72" t="s">
        <v>83</v>
      </c>
      <c r="D16" s="73" t="s">
        <v>89</v>
      </c>
      <c r="E16" s="74"/>
      <c r="F16" s="72">
        <v>62520</v>
      </c>
      <c r="G16" s="74">
        <v>6</v>
      </c>
      <c r="H16" s="73">
        <v>20282498295</v>
      </c>
      <c r="I16" s="73" t="s">
        <v>93</v>
      </c>
      <c r="J16" s="75">
        <f t="shared" si="1"/>
        <v>16.949152542372882</v>
      </c>
      <c r="K16" s="75">
        <f t="shared" si="2"/>
        <v>3.0508474576271185</v>
      </c>
      <c r="L16" s="75"/>
      <c r="M16" s="75"/>
      <c r="N16" s="75"/>
      <c r="O16" s="75"/>
      <c r="P16" s="75"/>
      <c r="Q16" s="75"/>
      <c r="R16" s="75"/>
      <c r="S16" s="75">
        <v>20</v>
      </c>
      <c r="T16" s="72"/>
      <c r="U16" s="72"/>
      <c r="V16" s="88"/>
      <c r="W16" s="76"/>
      <c r="X16" s="71"/>
      <c r="Y16" s="72"/>
      <c r="Z16" s="72"/>
      <c r="AA16" s="72"/>
      <c r="AB16" s="72" t="s">
        <v>86</v>
      </c>
      <c r="AC16" s="93"/>
      <c r="AD16" s="71">
        <v>46189</v>
      </c>
      <c r="AE16" s="72" t="s">
        <v>940</v>
      </c>
      <c r="AF16" s="149" t="s">
        <v>943</v>
      </c>
      <c r="AG16" s="92"/>
      <c r="AH16" s="72" t="s">
        <v>88</v>
      </c>
      <c r="AI16" s="75"/>
      <c r="AJ16" s="72"/>
      <c r="AK16" s="72"/>
      <c r="AL16" s="77"/>
      <c r="AM16" s="72"/>
      <c r="AN16" s="72"/>
      <c r="AO16" s="72"/>
      <c r="AP16" s="72"/>
      <c r="AQ16" s="78"/>
      <c r="AR16" s="79">
        <v>18</v>
      </c>
      <c r="AS16" s="80" t="s">
        <v>815</v>
      </c>
      <c r="AT16" s="81"/>
      <c r="AU16" s="82"/>
    </row>
    <row r="17" spans="1:47" s="98" customFormat="1" ht="11.25" customHeight="1" x14ac:dyDescent="0.2">
      <c r="A17" s="71">
        <v>46191</v>
      </c>
      <c r="B17" s="71">
        <f t="shared" si="0"/>
        <v>46191</v>
      </c>
      <c r="C17" s="72" t="s">
        <v>83</v>
      </c>
      <c r="D17" s="73" t="s">
        <v>89</v>
      </c>
      <c r="E17" s="74"/>
      <c r="F17" s="72">
        <v>62580</v>
      </c>
      <c r="G17" s="74">
        <v>6</v>
      </c>
      <c r="H17" s="73">
        <v>20282498295</v>
      </c>
      <c r="I17" s="73" t="s">
        <v>93</v>
      </c>
      <c r="J17" s="75">
        <f t="shared" si="1"/>
        <v>16.949152542372882</v>
      </c>
      <c r="K17" s="75">
        <f t="shared" si="2"/>
        <v>3.0508474576271185</v>
      </c>
      <c r="L17" s="75"/>
      <c r="M17" s="75"/>
      <c r="N17" s="75"/>
      <c r="O17" s="75"/>
      <c r="P17" s="75"/>
      <c r="Q17" s="75"/>
      <c r="R17" s="75"/>
      <c r="S17" s="75">
        <v>20</v>
      </c>
      <c r="T17" s="72"/>
      <c r="U17" s="72"/>
      <c r="V17" s="88"/>
      <c r="W17" s="76"/>
      <c r="X17" s="71"/>
      <c r="Y17" s="72"/>
      <c r="Z17" s="72"/>
      <c r="AA17" s="72"/>
      <c r="AB17" s="72" t="s">
        <v>86</v>
      </c>
      <c r="AC17" s="93"/>
      <c r="AD17" s="71">
        <v>46191</v>
      </c>
      <c r="AE17" s="72" t="s">
        <v>940</v>
      </c>
      <c r="AF17" s="149" t="s">
        <v>943</v>
      </c>
      <c r="AG17" s="92"/>
      <c r="AH17" s="72" t="s">
        <v>88</v>
      </c>
      <c r="AI17" s="75"/>
      <c r="AJ17" s="72"/>
      <c r="AK17" s="72"/>
      <c r="AL17" s="77"/>
      <c r="AM17" s="72"/>
      <c r="AN17" s="72"/>
      <c r="AO17" s="72"/>
      <c r="AP17" s="72"/>
      <c r="AQ17" s="78"/>
      <c r="AR17" s="79">
        <v>18</v>
      </c>
      <c r="AS17" s="80" t="s">
        <v>815</v>
      </c>
      <c r="AT17" s="81"/>
      <c r="AU17" s="82"/>
    </row>
    <row r="18" spans="1:47" s="98" customFormat="1" ht="11.25" customHeight="1" x14ac:dyDescent="0.2">
      <c r="A18" s="71">
        <v>46193</v>
      </c>
      <c r="B18" s="71">
        <f t="shared" si="0"/>
        <v>46193</v>
      </c>
      <c r="C18" s="72" t="s">
        <v>83</v>
      </c>
      <c r="D18" s="73" t="s">
        <v>89</v>
      </c>
      <c r="E18" s="74"/>
      <c r="F18" s="72">
        <v>62651</v>
      </c>
      <c r="G18" s="74">
        <v>6</v>
      </c>
      <c r="H18" s="73">
        <v>20282498295</v>
      </c>
      <c r="I18" s="73" t="s">
        <v>93</v>
      </c>
      <c r="J18" s="75">
        <f t="shared" si="1"/>
        <v>16.949152542372882</v>
      </c>
      <c r="K18" s="75">
        <f t="shared" si="2"/>
        <v>3.0508474576271185</v>
      </c>
      <c r="L18" s="75"/>
      <c r="M18" s="75"/>
      <c r="N18" s="75"/>
      <c r="O18" s="75"/>
      <c r="P18" s="75"/>
      <c r="Q18" s="75"/>
      <c r="R18" s="75"/>
      <c r="S18" s="75">
        <v>20</v>
      </c>
      <c r="T18" s="72"/>
      <c r="U18" s="72"/>
      <c r="V18" s="88"/>
      <c r="W18" s="76"/>
      <c r="X18" s="71"/>
      <c r="Y18" s="72"/>
      <c r="Z18" s="72"/>
      <c r="AA18" s="72"/>
      <c r="AB18" s="72" t="s">
        <v>86</v>
      </c>
      <c r="AC18" s="93"/>
      <c r="AD18" s="71">
        <v>46193</v>
      </c>
      <c r="AE18" s="72" t="s">
        <v>940</v>
      </c>
      <c r="AF18" s="149" t="s">
        <v>943</v>
      </c>
      <c r="AG18" s="92"/>
      <c r="AH18" s="72" t="s">
        <v>88</v>
      </c>
      <c r="AI18" s="75"/>
      <c r="AJ18" s="72"/>
      <c r="AK18" s="72"/>
      <c r="AL18" s="77"/>
      <c r="AM18" s="72"/>
      <c r="AN18" s="72"/>
      <c r="AO18" s="72"/>
      <c r="AP18" s="72"/>
      <c r="AQ18" s="78"/>
      <c r="AR18" s="79">
        <v>18</v>
      </c>
      <c r="AS18" s="80" t="s">
        <v>815</v>
      </c>
      <c r="AT18" s="81"/>
      <c r="AU18" s="82"/>
    </row>
    <row r="19" spans="1:47" s="98" customFormat="1" ht="11.25" customHeight="1" x14ac:dyDescent="0.2">
      <c r="A19" s="71">
        <v>46196</v>
      </c>
      <c r="B19" s="71">
        <f t="shared" si="0"/>
        <v>46196</v>
      </c>
      <c r="C19" s="72" t="s">
        <v>83</v>
      </c>
      <c r="D19" s="73" t="s">
        <v>89</v>
      </c>
      <c r="E19" s="74"/>
      <c r="F19" s="72">
        <v>62763</v>
      </c>
      <c r="G19" s="74">
        <v>6</v>
      </c>
      <c r="H19" s="73">
        <v>20282498295</v>
      </c>
      <c r="I19" s="73" t="s">
        <v>93</v>
      </c>
      <c r="J19" s="75">
        <f t="shared" si="1"/>
        <v>16.949152542372882</v>
      </c>
      <c r="K19" s="75">
        <f t="shared" si="2"/>
        <v>3.0508474576271185</v>
      </c>
      <c r="L19" s="75"/>
      <c r="M19" s="75"/>
      <c r="N19" s="75"/>
      <c r="O19" s="75"/>
      <c r="P19" s="75"/>
      <c r="Q19" s="75"/>
      <c r="R19" s="75"/>
      <c r="S19" s="75">
        <v>20</v>
      </c>
      <c r="T19" s="72"/>
      <c r="U19" s="72"/>
      <c r="V19" s="88"/>
      <c r="W19" s="76"/>
      <c r="X19" s="71"/>
      <c r="Y19" s="72"/>
      <c r="Z19" s="72"/>
      <c r="AA19" s="72"/>
      <c r="AB19" s="72" t="s">
        <v>86</v>
      </c>
      <c r="AC19" s="93"/>
      <c r="AD19" s="71">
        <v>46196</v>
      </c>
      <c r="AE19" s="72" t="s">
        <v>940</v>
      </c>
      <c r="AF19" s="149" t="s">
        <v>943</v>
      </c>
      <c r="AG19" s="92"/>
      <c r="AH19" s="72" t="s">
        <v>88</v>
      </c>
      <c r="AI19" s="75"/>
      <c r="AJ19" s="72"/>
      <c r="AK19" s="72"/>
      <c r="AL19" s="77"/>
      <c r="AM19" s="72"/>
      <c r="AN19" s="72"/>
      <c r="AO19" s="72"/>
      <c r="AP19" s="72"/>
      <c r="AQ19" s="78"/>
      <c r="AR19" s="79">
        <v>18</v>
      </c>
      <c r="AS19" s="80" t="s">
        <v>815</v>
      </c>
      <c r="AT19" s="81"/>
      <c r="AU19" s="82"/>
    </row>
    <row r="20" spans="1:47" s="144" customFormat="1" ht="11.25" customHeight="1" x14ac:dyDescent="0.2">
      <c r="A20" s="131">
        <v>46197</v>
      </c>
      <c r="B20" s="131">
        <f t="shared" si="0"/>
        <v>46197</v>
      </c>
      <c r="C20" s="132" t="s">
        <v>83</v>
      </c>
      <c r="D20" s="133" t="s">
        <v>89</v>
      </c>
      <c r="E20" s="134"/>
      <c r="F20" s="132">
        <v>62792</v>
      </c>
      <c r="G20" s="134">
        <v>6</v>
      </c>
      <c r="H20" s="133">
        <v>20282498295</v>
      </c>
      <c r="I20" s="133" t="s">
        <v>93</v>
      </c>
      <c r="J20" s="135">
        <f t="shared" si="1"/>
        <v>16.949152542372882</v>
      </c>
      <c r="K20" s="135">
        <f t="shared" si="2"/>
        <v>3.0508474576271185</v>
      </c>
      <c r="L20" s="135"/>
      <c r="M20" s="135"/>
      <c r="N20" s="135"/>
      <c r="O20" s="135"/>
      <c r="P20" s="135"/>
      <c r="Q20" s="135"/>
      <c r="R20" s="135"/>
      <c r="S20" s="135">
        <v>20</v>
      </c>
      <c r="T20" s="132"/>
      <c r="U20" s="132"/>
      <c r="V20" s="136"/>
      <c r="W20" s="137"/>
      <c r="X20" s="131"/>
      <c r="Y20" s="132"/>
      <c r="Z20" s="132"/>
      <c r="AA20" s="132"/>
      <c r="AB20" s="132" t="s">
        <v>86</v>
      </c>
      <c r="AC20" s="145"/>
      <c r="AD20" s="131">
        <v>46197</v>
      </c>
      <c r="AE20" s="132" t="s">
        <v>940</v>
      </c>
      <c r="AF20" s="150" t="s">
        <v>943</v>
      </c>
      <c r="AG20" s="146"/>
      <c r="AH20" s="132" t="s">
        <v>88</v>
      </c>
      <c r="AI20" s="135"/>
      <c r="AJ20" s="132"/>
      <c r="AK20" s="132"/>
      <c r="AL20" s="138"/>
      <c r="AM20" s="132"/>
      <c r="AN20" s="132"/>
      <c r="AO20" s="132"/>
      <c r="AP20" s="132"/>
      <c r="AQ20" s="139"/>
      <c r="AR20" s="140">
        <v>18</v>
      </c>
      <c r="AS20" s="141" t="s">
        <v>815</v>
      </c>
      <c r="AT20" s="142"/>
      <c r="AU20" s="143"/>
    </row>
    <row r="21" spans="1:47" s="98" customFormat="1" ht="11.25" customHeight="1" x14ac:dyDescent="0.2">
      <c r="A21" s="71">
        <v>46202</v>
      </c>
      <c r="B21" s="71">
        <f t="shared" si="0"/>
        <v>46202</v>
      </c>
      <c r="C21" s="72" t="s">
        <v>83</v>
      </c>
      <c r="D21" s="73" t="s">
        <v>89</v>
      </c>
      <c r="E21" s="74"/>
      <c r="F21" s="72">
        <v>62933</v>
      </c>
      <c r="G21" s="74">
        <v>6</v>
      </c>
      <c r="H21" s="73">
        <v>20282498295</v>
      </c>
      <c r="I21" s="73" t="s">
        <v>93</v>
      </c>
      <c r="J21" s="75">
        <f t="shared" si="1"/>
        <v>16.949152542372882</v>
      </c>
      <c r="K21" s="75">
        <f t="shared" si="2"/>
        <v>3.0508474576271185</v>
      </c>
      <c r="L21" s="75"/>
      <c r="M21" s="75"/>
      <c r="N21" s="75"/>
      <c r="O21" s="75"/>
      <c r="P21" s="75"/>
      <c r="Q21" s="75"/>
      <c r="R21" s="75"/>
      <c r="S21" s="75">
        <v>20</v>
      </c>
      <c r="T21" s="72"/>
      <c r="U21" s="72"/>
      <c r="V21" s="88"/>
      <c r="W21" s="76"/>
      <c r="X21" s="71"/>
      <c r="Y21" s="72"/>
      <c r="Z21" s="72"/>
      <c r="AA21" s="72"/>
      <c r="AB21" s="72" t="s">
        <v>86</v>
      </c>
      <c r="AC21" s="93"/>
      <c r="AD21" s="71">
        <v>46202</v>
      </c>
      <c r="AE21" s="72" t="s">
        <v>940</v>
      </c>
      <c r="AF21" s="149" t="s">
        <v>943</v>
      </c>
      <c r="AG21" s="92"/>
      <c r="AH21" s="72" t="s">
        <v>88</v>
      </c>
      <c r="AI21" s="75"/>
      <c r="AJ21" s="72"/>
      <c r="AK21" s="72"/>
      <c r="AL21" s="77"/>
      <c r="AM21" s="72"/>
      <c r="AN21" s="72"/>
      <c r="AO21" s="72"/>
      <c r="AP21" s="72"/>
      <c r="AQ21" s="78"/>
      <c r="AR21" s="79">
        <v>18</v>
      </c>
      <c r="AS21" s="80" t="s">
        <v>815</v>
      </c>
      <c r="AT21" s="81"/>
      <c r="AU21" s="82"/>
    </row>
    <row r="22" spans="1:47" s="98" customFormat="1" ht="11.25" customHeight="1" x14ac:dyDescent="0.2">
      <c r="A22" s="71">
        <v>46195</v>
      </c>
      <c r="B22" s="71">
        <f t="shared" si="0"/>
        <v>46195</v>
      </c>
      <c r="C22" s="72" t="s">
        <v>83</v>
      </c>
      <c r="D22" s="73" t="s">
        <v>89</v>
      </c>
      <c r="E22" s="74"/>
      <c r="F22" s="72">
        <v>71707</v>
      </c>
      <c r="G22" s="74">
        <v>6</v>
      </c>
      <c r="H22" s="73">
        <v>20485878794</v>
      </c>
      <c r="I22" s="73" t="s">
        <v>117</v>
      </c>
      <c r="J22" s="75">
        <f t="shared" si="1"/>
        <v>16.949152542372882</v>
      </c>
      <c r="K22" s="75">
        <f t="shared" si="2"/>
        <v>3.0508474576271185</v>
      </c>
      <c r="L22" s="75"/>
      <c r="M22" s="75"/>
      <c r="N22" s="75"/>
      <c r="O22" s="75"/>
      <c r="P22" s="75"/>
      <c r="Q22" s="75"/>
      <c r="R22" s="75"/>
      <c r="S22" s="75">
        <v>20</v>
      </c>
      <c r="T22" s="72"/>
      <c r="U22" s="72"/>
      <c r="V22" s="88"/>
      <c r="W22" s="76"/>
      <c r="X22" s="71"/>
      <c r="Y22" s="72"/>
      <c r="Z22" s="72"/>
      <c r="AA22" s="72"/>
      <c r="AB22" s="72" t="s">
        <v>86</v>
      </c>
      <c r="AC22" s="93"/>
      <c r="AD22" s="71">
        <v>46195</v>
      </c>
      <c r="AE22" s="72" t="s">
        <v>940</v>
      </c>
      <c r="AF22" s="149" t="s">
        <v>943</v>
      </c>
      <c r="AG22" s="92"/>
      <c r="AH22" s="72" t="s">
        <v>88</v>
      </c>
      <c r="AI22" s="75"/>
      <c r="AJ22" s="72"/>
      <c r="AK22" s="72"/>
      <c r="AL22" s="77"/>
      <c r="AM22" s="72"/>
      <c r="AN22" s="72"/>
      <c r="AO22" s="72"/>
      <c r="AP22" s="72"/>
      <c r="AQ22" s="78"/>
      <c r="AR22" s="79">
        <v>18</v>
      </c>
      <c r="AS22" s="80" t="s">
        <v>815</v>
      </c>
      <c r="AT22" s="81"/>
      <c r="AU22" s="82"/>
    </row>
    <row r="23" spans="1:47" s="98" customFormat="1" ht="11.25" customHeight="1" x14ac:dyDescent="0.2">
      <c r="A23" s="71">
        <v>46200</v>
      </c>
      <c r="B23" s="71">
        <f t="shared" si="0"/>
        <v>46200</v>
      </c>
      <c r="C23" s="72" t="s">
        <v>83</v>
      </c>
      <c r="D23" s="73" t="s">
        <v>89</v>
      </c>
      <c r="E23" s="74"/>
      <c r="F23" s="72">
        <v>71926</v>
      </c>
      <c r="G23" s="74">
        <v>6</v>
      </c>
      <c r="H23" s="73">
        <v>20485878794</v>
      </c>
      <c r="I23" s="73" t="s">
        <v>117</v>
      </c>
      <c r="J23" s="75">
        <f t="shared" si="1"/>
        <v>16.949152542372882</v>
      </c>
      <c r="K23" s="75">
        <f t="shared" si="2"/>
        <v>3.0508474576271185</v>
      </c>
      <c r="L23" s="75"/>
      <c r="M23" s="75"/>
      <c r="N23" s="75"/>
      <c r="O23" s="75"/>
      <c r="P23" s="75"/>
      <c r="Q23" s="75"/>
      <c r="R23" s="75"/>
      <c r="S23" s="75">
        <v>20</v>
      </c>
      <c r="T23" s="72"/>
      <c r="U23" s="72"/>
      <c r="V23" s="88"/>
      <c r="W23" s="76"/>
      <c r="X23" s="71"/>
      <c r="Y23" s="72"/>
      <c r="Z23" s="72"/>
      <c r="AA23" s="72"/>
      <c r="AB23" s="72" t="s">
        <v>86</v>
      </c>
      <c r="AC23" s="93"/>
      <c r="AD23" s="71">
        <v>46200</v>
      </c>
      <c r="AE23" s="72" t="s">
        <v>940</v>
      </c>
      <c r="AF23" s="149" t="s">
        <v>943</v>
      </c>
      <c r="AG23" s="92"/>
      <c r="AH23" s="72" t="s">
        <v>88</v>
      </c>
      <c r="AI23" s="75"/>
      <c r="AJ23" s="72"/>
      <c r="AK23" s="72"/>
      <c r="AL23" s="77"/>
      <c r="AM23" s="72"/>
      <c r="AN23" s="72"/>
      <c r="AO23" s="72"/>
      <c r="AP23" s="72"/>
      <c r="AQ23" s="78"/>
      <c r="AR23" s="79">
        <v>18</v>
      </c>
      <c r="AS23" s="80" t="s">
        <v>815</v>
      </c>
      <c r="AT23" s="81"/>
      <c r="AU23" s="82"/>
    </row>
    <row r="24" spans="1:47" s="98" customFormat="1" ht="11.25" customHeight="1" x14ac:dyDescent="0.2">
      <c r="A24" s="71">
        <v>46201</v>
      </c>
      <c r="B24" s="71">
        <f t="shared" si="0"/>
        <v>46201</v>
      </c>
      <c r="C24" s="72" t="s">
        <v>83</v>
      </c>
      <c r="D24" s="73" t="s">
        <v>89</v>
      </c>
      <c r="E24" s="74"/>
      <c r="F24" s="72">
        <v>71970</v>
      </c>
      <c r="G24" s="74">
        <v>6</v>
      </c>
      <c r="H24" s="73">
        <v>20485878794</v>
      </c>
      <c r="I24" s="73" t="s">
        <v>117</v>
      </c>
      <c r="J24" s="75">
        <f t="shared" si="1"/>
        <v>16.949152542372882</v>
      </c>
      <c r="K24" s="75">
        <f t="shared" si="2"/>
        <v>3.0508474576271185</v>
      </c>
      <c r="L24" s="75"/>
      <c r="M24" s="75"/>
      <c r="N24" s="75"/>
      <c r="O24" s="75"/>
      <c r="P24" s="75"/>
      <c r="Q24" s="75"/>
      <c r="R24" s="75"/>
      <c r="S24" s="75">
        <v>20</v>
      </c>
      <c r="T24" s="72"/>
      <c r="U24" s="72"/>
      <c r="V24" s="88"/>
      <c r="W24" s="76"/>
      <c r="X24" s="71"/>
      <c r="Y24" s="72"/>
      <c r="Z24" s="72"/>
      <c r="AA24" s="72"/>
      <c r="AB24" s="72" t="s">
        <v>86</v>
      </c>
      <c r="AC24" s="93"/>
      <c r="AD24" s="71">
        <v>46201</v>
      </c>
      <c r="AE24" s="72" t="s">
        <v>940</v>
      </c>
      <c r="AF24" s="149" t="s">
        <v>943</v>
      </c>
      <c r="AG24" s="92"/>
      <c r="AH24" s="72" t="s">
        <v>88</v>
      </c>
      <c r="AI24" s="75"/>
      <c r="AJ24" s="72"/>
      <c r="AK24" s="72"/>
      <c r="AL24" s="77"/>
      <c r="AM24" s="72"/>
      <c r="AN24" s="72"/>
      <c r="AO24" s="72"/>
      <c r="AP24" s="72"/>
      <c r="AQ24" s="78"/>
      <c r="AR24" s="79">
        <v>18</v>
      </c>
      <c r="AS24" s="80" t="s">
        <v>815</v>
      </c>
      <c r="AT24" s="81"/>
      <c r="AU24" s="82"/>
    </row>
    <row r="25" spans="1:47" s="98" customFormat="1" ht="11.25" customHeight="1" x14ac:dyDescent="0.2">
      <c r="A25" s="71">
        <v>46174</v>
      </c>
      <c r="B25" s="71">
        <f t="shared" si="0"/>
        <v>46174</v>
      </c>
      <c r="C25" s="72" t="s">
        <v>83</v>
      </c>
      <c r="D25" s="73" t="s">
        <v>90</v>
      </c>
      <c r="E25" s="74"/>
      <c r="F25" s="72">
        <v>18708</v>
      </c>
      <c r="G25" s="74">
        <v>6</v>
      </c>
      <c r="H25" s="73">
        <v>20601682801</v>
      </c>
      <c r="I25" s="73" t="s">
        <v>94</v>
      </c>
      <c r="J25" s="75">
        <f t="shared" si="1"/>
        <v>1004.4915254237288</v>
      </c>
      <c r="K25" s="75">
        <f t="shared" si="2"/>
        <v>180.80847457627118</v>
      </c>
      <c r="L25" s="75"/>
      <c r="M25" s="75"/>
      <c r="N25" s="75"/>
      <c r="O25" s="75"/>
      <c r="P25" s="75"/>
      <c r="Q25" s="75"/>
      <c r="R25" s="75"/>
      <c r="S25" s="75">
        <v>1185.3</v>
      </c>
      <c r="T25" s="72"/>
      <c r="U25" s="72"/>
      <c r="V25" s="88"/>
      <c r="W25" s="76"/>
      <c r="X25" s="71"/>
      <c r="Y25" s="72"/>
      <c r="Z25" s="72"/>
      <c r="AA25" s="72"/>
      <c r="AB25" s="72" t="s">
        <v>86</v>
      </c>
      <c r="AC25" s="93"/>
      <c r="AD25" s="71">
        <v>46174</v>
      </c>
      <c r="AE25" s="72" t="s">
        <v>940</v>
      </c>
      <c r="AF25" s="149" t="s">
        <v>942</v>
      </c>
      <c r="AG25" s="92"/>
      <c r="AH25" s="72" t="s">
        <v>88</v>
      </c>
      <c r="AI25" s="75"/>
      <c r="AJ25" s="72"/>
      <c r="AK25" s="72"/>
      <c r="AL25" s="77"/>
      <c r="AM25" s="72"/>
      <c r="AN25" s="72"/>
      <c r="AO25" s="72"/>
      <c r="AP25" s="72"/>
      <c r="AQ25" s="78"/>
      <c r="AR25" s="79">
        <v>18</v>
      </c>
      <c r="AS25" s="80" t="s">
        <v>816</v>
      </c>
      <c r="AT25" s="81"/>
      <c r="AU25" s="82"/>
    </row>
    <row r="26" spans="1:47" s="98" customFormat="1" ht="11.25" customHeight="1" x14ac:dyDescent="0.2">
      <c r="A26" s="71">
        <v>46175</v>
      </c>
      <c r="B26" s="71">
        <f t="shared" si="0"/>
        <v>46175</v>
      </c>
      <c r="C26" s="72" t="s">
        <v>83</v>
      </c>
      <c r="D26" s="73" t="s">
        <v>90</v>
      </c>
      <c r="E26" s="74"/>
      <c r="F26" s="72">
        <v>18721</v>
      </c>
      <c r="G26" s="74">
        <v>6</v>
      </c>
      <c r="H26" s="73">
        <v>20601682801</v>
      </c>
      <c r="I26" s="73" t="s">
        <v>94</v>
      </c>
      <c r="J26" s="75">
        <f t="shared" si="1"/>
        <v>1004.4915254237288</v>
      </c>
      <c r="K26" s="75">
        <f t="shared" si="2"/>
        <v>180.80847457627118</v>
      </c>
      <c r="L26" s="75"/>
      <c r="M26" s="75"/>
      <c r="N26" s="75"/>
      <c r="O26" s="75"/>
      <c r="P26" s="75"/>
      <c r="Q26" s="75"/>
      <c r="R26" s="75"/>
      <c r="S26" s="75">
        <v>1185.3</v>
      </c>
      <c r="T26" s="72"/>
      <c r="U26" s="72"/>
      <c r="V26" s="88"/>
      <c r="W26" s="76"/>
      <c r="X26" s="71"/>
      <c r="Y26" s="72"/>
      <c r="Z26" s="72"/>
      <c r="AA26" s="72"/>
      <c r="AB26" s="72" t="s">
        <v>86</v>
      </c>
      <c r="AC26" s="93"/>
      <c r="AD26" s="71">
        <v>46175</v>
      </c>
      <c r="AE26" s="72" t="s">
        <v>940</v>
      </c>
      <c r="AF26" s="149" t="s">
        <v>942</v>
      </c>
      <c r="AG26" s="92"/>
      <c r="AH26" s="72" t="s">
        <v>88</v>
      </c>
      <c r="AI26" s="75"/>
      <c r="AJ26" s="72"/>
      <c r="AK26" s="72"/>
      <c r="AL26" s="77"/>
      <c r="AM26" s="72"/>
      <c r="AN26" s="72"/>
      <c r="AO26" s="72"/>
      <c r="AP26" s="72"/>
      <c r="AQ26" s="78"/>
      <c r="AR26" s="79">
        <v>18</v>
      </c>
      <c r="AS26" s="80" t="s">
        <v>816</v>
      </c>
      <c r="AT26" s="81"/>
      <c r="AU26" s="82"/>
    </row>
    <row r="27" spans="1:47" s="98" customFormat="1" ht="11.25" customHeight="1" x14ac:dyDescent="0.2">
      <c r="A27" s="71">
        <v>46175</v>
      </c>
      <c r="B27" s="71">
        <f t="shared" si="0"/>
        <v>46175</v>
      </c>
      <c r="C27" s="72" t="s">
        <v>83</v>
      </c>
      <c r="D27" s="73" t="s">
        <v>90</v>
      </c>
      <c r="E27" s="74"/>
      <c r="F27" s="72">
        <v>18728</v>
      </c>
      <c r="G27" s="74">
        <v>6</v>
      </c>
      <c r="H27" s="73">
        <v>20601682801</v>
      </c>
      <c r="I27" s="73" t="s">
        <v>94</v>
      </c>
      <c r="J27" s="75">
        <f t="shared" si="1"/>
        <v>1004.4915254237288</v>
      </c>
      <c r="K27" s="75">
        <f t="shared" si="2"/>
        <v>180.80847457627118</v>
      </c>
      <c r="L27" s="75"/>
      <c r="M27" s="75"/>
      <c r="N27" s="75"/>
      <c r="O27" s="75"/>
      <c r="P27" s="75"/>
      <c r="Q27" s="75"/>
      <c r="R27" s="75"/>
      <c r="S27" s="75">
        <v>1185.3</v>
      </c>
      <c r="T27" s="72"/>
      <c r="U27" s="72"/>
      <c r="V27" s="88"/>
      <c r="W27" s="76"/>
      <c r="X27" s="71"/>
      <c r="Y27" s="72"/>
      <c r="Z27" s="72"/>
      <c r="AA27" s="72"/>
      <c r="AB27" s="72" t="s">
        <v>86</v>
      </c>
      <c r="AC27" s="93"/>
      <c r="AD27" s="71">
        <v>46175</v>
      </c>
      <c r="AE27" s="72" t="s">
        <v>940</v>
      </c>
      <c r="AF27" s="149" t="s">
        <v>942</v>
      </c>
      <c r="AG27" s="92"/>
      <c r="AH27" s="72" t="s">
        <v>88</v>
      </c>
      <c r="AI27" s="75"/>
      <c r="AJ27" s="72"/>
      <c r="AK27" s="72"/>
      <c r="AL27" s="77"/>
      <c r="AM27" s="72"/>
      <c r="AN27" s="72"/>
      <c r="AO27" s="72"/>
      <c r="AP27" s="72"/>
      <c r="AQ27" s="78"/>
      <c r="AR27" s="79">
        <v>18</v>
      </c>
      <c r="AS27" s="80" t="s">
        <v>816</v>
      </c>
      <c r="AT27" s="81"/>
      <c r="AU27" s="82"/>
    </row>
    <row r="28" spans="1:47" s="98" customFormat="1" ht="11.25" customHeight="1" x14ac:dyDescent="0.2">
      <c r="A28" s="71">
        <v>46176</v>
      </c>
      <c r="B28" s="71">
        <f t="shared" si="0"/>
        <v>46176</v>
      </c>
      <c r="C28" s="72" t="s">
        <v>83</v>
      </c>
      <c r="D28" s="73" t="s">
        <v>90</v>
      </c>
      <c r="E28" s="74"/>
      <c r="F28" s="72">
        <v>18745</v>
      </c>
      <c r="G28" s="74">
        <v>6</v>
      </c>
      <c r="H28" s="73">
        <v>20601682801</v>
      </c>
      <c r="I28" s="73" t="s">
        <v>94</v>
      </c>
      <c r="J28" s="75">
        <f t="shared" si="1"/>
        <v>1004.4915254237288</v>
      </c>
      <c r="K28" s="75">
        <f t="shared" si="2"/>
        <v>180.80847457627118</v>
      </c>
      <c r="L28" s="75"/>
      <c r="M28" s="75"/>
      <c r="N28" s="75"/>
      <c r="O28" s="75"/>
      <c r="P28" s="75"/>
      <c r="Q28" s="75"/>
      <c r="R28" s="75"/>
      <c r="S28" s="75">
        <v>1185.3</v>
      </c>
      <c r="T28" s="72"/>
      <c r="U28" s="72"/>
      <c r="V28" s="88"/>
      <c r="W28" s="76"/>
      <c r="X28" s="71"/>
      <c r="Y28" s="72"/>
      <c r="Z28" s="72"/>
      <c r="AA28" s="72"/>
      <c r="AB28" s="72" t="s">
        <v>86</v>
      </c>
      <c r="AC28" s="93"/>
      <c r="AD28" s="71">
        <v>46176</v>
      </c>
      <c r="AE28" s="72" t="s">
        <v>940</v>
      </c>
      <c r="AF28" s="149" t="s">
        <v>942</v>
      </c>
      <c r="AG28" s="92"/>
      <c r="AH28" s="72" t="s">
        <v>88</v>
      </c>
      <c r="AI28" s="75"/>
      <c r="AJ28" s="72"/>
      <c r="AK28" s="72"/>
      <c r="AL28" s="77"/>
      <c r="AM28" s="72"/>
      <c r="AN28" s="72"/>
      <c r="AO28" s="72"/>
      <c r="AP28" s="72"/>
      <c r="AQ28" s="78"/>
      <c r="AR28" s="79">
        <v>18</v>
      </c>
      <c r="AS28" s="80" t="s">
        <v>816</v>
      </c>
      <c r="AT28" s="81"/>
      <c r="AU28" s="82"/>
    </row>
    <row r="29" spans="1:47" s="98" customFormat="1" ht="11.25" customHeight="1" x14ac:dyDescent="0.2">
      <c r="A29" s="71">
        <v>46176</v>
      </c>
      <c r="B29" s="71">
        <f t="shared" si="0"/>
        <v>46176</v>
      </c>
      <c r="C29" s="72" t="s">
        <v>83</v>
      </c>
      <c r="D29" s="73" t="s">
        <v>90</v>
      </c>
      <c r="E29" s="74"/>
      <c r="F29" s="72">
        <v>18747</v>
      </c>
      <c r="G29" s="74">
        <v>6</v>
      </c>
      <c r="H29" s="73">
        <v>20601682801</v>
      </c>
      <c r="I29" s="73" t="s">
        <v>94</v>
      </c>
      <c r="J29" s="75">
        <f t="shared" si="1"/>
        <v>1004.4915254237288</v>
      </c>
      <c r="K29" s="75">
        <f t="shared" si="2"/>
        <v>180.80847457627118</v>
      </c>
      <c r="L29" s="75"/>
      <c r="M29" s="75"/>
      <c r="N29" s="75"/>
      <c r="O29" s="75"/>
      <c r="P29" s="75"/>
      <c r="Q29" s="75"/>
      <c r="R29" s="75"/>
      <c r="S29" s="75">
        <v>1185.3</v>
      </c>
      <c r="T29" s="72"/>
      <c r="U29" s="72"/>
      <c r="V29" s="88"/>
      <c r="W29" s="76"/>
      <c r="X29" s="71"/>
      <c r="Y29" s="72"/>
      <c r="Z29" s="72"/>
      <c r="AA29" s="72"/>
      <c r="AB29" s="72" t="s">
        <v>86</v>
      </c>
      <c r="AC29" s="93"/>
      <c r="AD29" s="71">
        <v>46176</v>
      </c>
      <c r="AE29" s="72" t="s">
        <v>940</v>
      </c>
      <c r="AF29" s="149" t="s">
        <v>942</v>
      </c>
      <c r="AG29" s="92"/>
      <c r="AH29" s="72" t="s">
        <v>88</v>
      </c>
      <c r="AI29" s="75"/>
      <c r="AJ29" s="72"/>
      <c r="AK29" s="72"/>
      <c r="AL29" s="77"/>
      <c r="AM29" s="72"/>
      <c r="AN29" s="72"/>
      <c r="AO29" s="72"/>
      <c r="AP29" s="72"/>
      <c r="AQ29" s="78"/>
      <c r="AR29" s="79">
        <v>18</v>
      </c>
      <c r="AS29" s="80" t="s">
        <v>816</v>
      </c>
      <c r="AT29" s="81"/>
      <c r="AU29" s="82"/>
    </row>
    <row r="30" spans="1:47" s="98" customFormat="1" ht="11.25" customHeight="1" x14ac:dyDescent="0.2">
      <c r="A30" s="71">
        <v>46177</v>
      </c>
      <c r="B30" s="71">
        <f t="shared" si="0"/>
        <v>46177</v>
      </c>
      <c r="C30" s="72" t="s">
        <v>83</v>
      </c>
      <c r="D30" s="73" t="s">
        <v>90</v>
      </c>
      <c r="E30" s="74"/>
      <c r="F30" s="72">
        <v>18761</v>
      </c>
      <c r="G30" s="74">
        <v>6</v>
      </c>
      <c r="H30" s="73">
        <v>20601682801</v>
      </c>
      <c r="I30" s="73" t="s">
        <v>94</v>
      </c>
      <c r="J30" s="75">
        <f t="shared" si="1"/>
        <v>1004.4915254237288</v>
      </c>
      <c r="K30" s="75">
        <f t="shared" si="2"/>
        <v>180.80847457627118</v>
      </c>
      <c r="L30" s="75"/>
      <c r="M30" s="75"/>
      <c r="N30" s="75"/>
      <c r="O30" s="75"/>
      <c r="P30" s="75"/>
      <c r="Q30" s="75"/>
      <c r="R30" s="75"/>
      <c r="S30" s="75">
        <v>1185.3</v>
      </c>
      <c r="T30" s="72"/>
      <c r="U30" s="72"/>
      <c r="V30" s="88"/>
      <c r="W30" s="76"/>
      <c r="X30" s="71"/>
      <c r="Y30" s="72"/>
      <c r="Z30" s="72"/>
      <c r="AA30" s="72"/>
      <c r="AB30" s="72" t="s">
        <v>86</v>
      </c>
      <c r="AC30" s="93"/>
      <c r="AD30" s="71">
        <v>46177</v>
      </c>
      <c r="AE30" s="72" t="s">
        <v>940</v>
      </c>
      <c r="AF30" s="149" t="s">
        <v>942</v>
      </c>
      <c r="AG30" s="92"/>
      <c r="AH30" s="72" t="s">
        <v>88</v>
      </c>
      <c r="AI30" s="75"/>
      <c r="AJ30" s="72"/>
      <c r="AK30" s="72"/>
      <c r="AL30" s="77"/>
      <c r="AM30" s="72"/>
      <c r="AN30" s="72"/>
      <c r="AO30" s="72"/>
      <c r="AP30" s="72"/>
      <c r="AQ30" s="78"/>
      <c r="AR30" s="79">
        <v>18</v>
      </c>
      <c r="AS30" s="80" t="s">
        <v>816</v>
      </c>
      <c r="AT30" s="81"/>
      <c r="AU30" s="82"/>
    </row>
    <row r="31" spans="1:47" s="98" customFormat="1" ht="11.25" customHeight="1" x14ac:dyDescent="0.2">
      <c r="A31" s="71">
        <v>46177</v>
      </c>
      <c r="B31" s="71">
        <f t="shared" si="0"/>
        <v>46177</v>
      </c>
      <c r="C31" s="72" t="s">
        <v>83</v>
      </c>
      <c r="D31" s="73" t="s">
        <v>90</v>
      </c>
      <c r="E31" s="74"/>
      <c r="F31" s="72">
        <v>18765</v>
      </c>
      <c r="G31" s="74">
        <v>6</v>
      </c>
      <c r="H31" s="73">
        <v>20601682801</v>
      </c>
      <c r="I31" s="73" t="s">
        <v>94</v>
      </c>
      <c r="J31" s="75">
        <f t="shared" si="1"/>
        <v>1004.4915254237288</v>
      </c>
      <c r="K31" s="75">
        <f t="shared" si="2"/>
        <v>180.80847457627118</v>
      </c>
      <c r="L31" s="75"/>
      <c r="M31" s="75"/>
      <c r="N31" s="75"/>
      <c r="O31" s="75"/>
      <c r="P31" s="75"/>
      <c r="Q31" s="75"/>
      <c r="R31" s="75"/>
      <c r="S31" s="75">
        <v>1185.3</v>
      </c>
      <c r="T31" s="72"/>
      <c r="U31" s="72"/>
      <c r="V31" s="88"/>
      <c r="W31" s="76"/>
      <c r="X31" s="71"/>
      <c r="Y31" s="72"/>
      <c r="Z31" s="72"/>
      <c r="AA31" s="72"/>
      <c r="AB31" s="72" t="s">
        <v>86</v>
      </c>
      <c r="AC31" s="93"/>
      <c r="AD31" s="71">
        <v>46177</v>
      </c>
      <c r="AE31" s="72" t="s">
        <v>940</v>
      </c>
      <c r="AF31" s="149" t="s">
        <v>942</v>
      </c>
      <c r="AG31" s="92"/>
      <c r="AH31" s="72" t="s">
        <v>88</v>
      </c>
      <c r="AI31" s="75"/>
      <c r="AJ31" s="72"/>
      <c r="AK31" s="72"/>
      <c r="AL31" s="77"/>
      <c r="AM31" s="72"/>
      <c r="AN31" s="72"/>
      <c r="AO31" s="72"/>
      <c r="AP31" s="72"/>
      <c r="AQ31" s="78"/>
      <c r="AR31" s="79">
        <v>18</v>
      </c>
      <c r="AS31" s="80" t="s">
        <v>816</v>
      </c>
      <c r="AT31" s="81"/>
      <c r="AU31" s="82"/>
    </row>
    <row r="32" spans="1:47" s="98" customFormat="1" ht="11.25" customHeight="1" x14ac:dyDescent="0.2">
      <c r="A32" s="71">
        <v>46178</v>
      </c>
      <c r="B32" s="71">
        <f t="shared" si="0"/>
        <v>46178</v>
      </c>
      <c r="C32" s="72" t="s">
        <v>83</v>
      </c>
      <c r="D32" s="73" t="s">
        <v>90</v>
      </c>
      <c r="E32" s="74"/>
      <c r="F32" s="72">
        <v>18781</v>
      </c>
      <c r="G32" s="74">
        <v>6</v>
      </c>
      <c r="H32" s="73">
        <v>20601682801</v>
      </c>
      <c r="I32" s="73" t="s">
        <v>94</v>
      </c>
      <c r="J32" s="75">
        <f t="shared" si="1"/>
        <v>1004.4915254237288</v>
      </c>
      <c r="K32" s="75">
        <f t="shared" si="2"/>
        <v>180.80847457627118</v>
      </c>
      <c r="L32" s="75"/>
      <c r="M32" s="75"/>
      <c r="N32" s="75"/>
      <c r="O32" s="75"/>
      <c r="P32" s="75"/>
      <c r="Q32" s="75"/>
      <c r="R32" s="75"/>
      <c r="S32" s="75">
        <v>1185.3</v>
      </c>
      <c r="T32" s="72"/>
      <c r="U32" s="72"/>
      <c r="V32" s="88"/>
      <c r="W32" s="76"/>
      <c r="X32" s="71"/>
      <c r="Y32" s="72"/>
      <c r="Z32" s="72"/>
      <c r="AA32" s="72"/>
      <c r="AB32" s="72" t="s">
        <v>86</v>
      </c>
      <c r="AC32" s="93"/>
      <c r="AD32" s="71">
        <v>46178</v>
      </c>
      <c r="AE32" s="72" t="s">
        <v>940</v>
      </c>
      <c r="AF32" s="149" t="s">
        <v>942</v>
      </c>
      <c r="AG32" s="92"/>
      <c r="AH32" s="72" t="s">
        <v>88</v>
      </c>
      <c r="AI32" s="75"/>
      <c r="AJ32" s="72"/>
      <c r="AK32" s="72"/>
      <c r="AL32" s="77"/>
      <c r="AM32" s="72"/>
      <c r="AN32" s="72"/>
      <c r="AO32" s="72"/>
      <c r="AP32" s="72"/>
      <c r="AQ32" s="78"/>
      <c r="AR32" s="79">
        <v>18</v>
      </c>
      <c r="AS32" s="80" t="s">
        <v>816</v>
      </c>
      <c r="AT32" s="81"/>
      <c r="AU32" s="82"/>
    </row>
    <row r="33" spans="1:47" s="98" customFormat="1" ht="11.25" customHeight="1" x14ac:dyDescent="0.2">
      <c r="A33" s="71">
        <v>46178</v>
      </c>
      <c r="B33" s="71">
        <f t="shared" si="0"/>
        <v>46178</v>
      </c>
      <c r="C33" s="72" t="s">
        <v>83</v>
      </c>
      <c r="D33" s="73" t="s">
        <v>90</v>
      </c>
      <c r="E33" s="74"/>
      <c r="F33" s="72">
        <v>18784</v>
      </c>
      <c r="G33" s="74">
        <v>6</v>
      </c>
      <c r="H33" s="73">
        <v>20601682801</v>
      </c>
      <c r="I33" s="73" t="s">
        <v>94</v>
      </c>
      <c r="J33" s="75">
        <f t="shared" si="1"/>
        <v>1004.4915254237288</v>
      </c>
      <c r="K33" s="75">
        <f t="shared" si="2"/>
        <v>180.80847457627118</v>
      </c>
      <c r="L33" s="75"/>
      <c r="M33" s="75"/>
      <c r="N33" s="75"/>
      <c r="O33" s="75"/>
      <c r="P33" s="75"/>
      <c r="Q33" s="75"/>
      <c r="R33" s="75"/>
      <c r="S33" s="75">
        <v>1185.3</v>
      </c>
      <c r="T33" s="72"/>
      <c r="U33" s="72"/>
      <c r="V33" s="88"/>
      <c r="W33" s="76"/>
      <c r="X33" s="71"/>
      <c r="Y33" s="72"/>
      <c r="Z33" s="72"/>
      <c r="AA33" s="72"/>
      <c r="AB33" s="72" t="s">
        <v>86</v>
      </c>
      <c r="AC33" s="93"/>
      <c r="AD33" s="71">
        <v>46178</v>
      </c>
      <c r="AE33" s="72" t="s">
        <v>940</v>
      </c>
      <c r="AF33" s="149" t="s">
        <v>942</v>
      </c>
      <c r="AG33" s="92"/>
      <c r="AH33" s="72" t="s">
        <v>88</v>
      </c>
      <c r="AI33" s="75"/>
      <c r="AJ33" s="72"/>
      <c r="AK33" s="72"/>
      <c r="AL33" s="77"/>
      <c r="AM33" s="72"/>
      <c r="AN33" s="72"/>
      <c r="AO33" s="72"/>
      <c r="AP33" s="72"/>
      <c r="AQ33" s="78"/>
      <c r="AR33" s="79">
        <v>18</v>
      </c>
      <c r="AS33" s="80" t="s">
        <v>816</v>
      </c>
      <c r="AT33" s="81"/>
      <c r="AU33" s="82"/>
    </row>
    <row r="34" spans="1:47" s="98" customFormat="1" ht="11.25" customHeight="1" x14ac:dyDescent="0.2">
      <c r="A34" s="71">
        <v>46179</v>
      </c>
      <c r="B34" s="71">
        <f t="shared" si="0"/>
        <v>46179</v>
      </c>
      <c r="C34" s="72" t="s">
        <v>83</v>
      </c>
      <c r="D34" s="73" t="s">
        <v>90</v>
      </c>
      <c r="E34" s="74"/>
      <c r="F34" s="72">
        <v>18800</v>
      </c>
      <c r="G34" s="74">
        <v>6</v>
      </c>
      <c r="H34" s="73">
        <v>20601682801</v>
      </c>
      <c r="I34" s="73" t="s">
        <v>94</v>
      </c>
      <c r="J34" s="75">
        <f t="shared" si="1"/>
        <v>1004.4915254237288</v>
      </c>
      <c r="K34" s="75">
        <f t="shared" si="2"/>
        <v>180.80847457627118</v>
      </c>
      <c r="L34" s="75"/>
      <c r="M34" s="75"/>
      <c r="N34" s="75"/>
      <c r="O34" s="75"/>
      <c r="P34" s="75"/>
      <c r="Q34" s="75"/>
      <c r="R34" s="75"/>
      <c r="S34" s="75">
        <v>1185.3</v>
      </c>
      <c r="T34" s="72"/>
      <c r="U34" s="72"/>
      <c r="V34" s="88"/>
      <c r="W34" s="76"/>
      <c r="X34" s="71"/>
      <c r="Y34" s="72"/>
      <c r="Z34" s="72"/>
      <c r="AA34" s="72"/>
      <c r="AB34" s="72" t="s">
        <v>86</v>
      </c>
      <c r="AC34" s="93"/>
      <c r="AD34" s="71">
        <v>46179</v>
      </c>
      <c r="AE34" s="72" t="s">
        <v>940</v>
      </c>
      <c r="AF34" s="149" t="s">
        <v>942</v>
      </c>
      <c r="AG34" s="92"/>
      <c r="AH34" s="72" t="s">
        <v>88</v>
      </c>
      <c r="AI34" s="75"/>
      <c r="AJ34" s="72"/>
      <c r="AK34" s="72"/>
      <c r="AL34" s="77"/>
      <c r="AM34" s="72"/>
      <c r="AN34" s="72"/>
      <c r="AO34" s="72"/>
      <c r="AP34" s="72"/>
      <c r="AQ34" s="78"/>
      <c r="AR34" s="79">
        <v>18</v>
      </c>
      <c r="AS34" s="80" t="s">
        <v>816</v>
      </c>
      <c r="AT34" s="81"/>
      <c r="AU34" s="82"/>
    </row>
    <row r="35" spans="1:47" s="98" customFormat="1" ht="11.25" customHeight="1" x14ac:dyDescent="0.2">
      <c r="A35" s="71">
        <v>46179</v>
      </c>
      <c r="B35" s="71">
        <f t="shared" si="0"/>
        <v>46179</v>
      </c>
      <c r="C35" s="72" t="s">
        <v>83</v>
      </c>
      <c r="D35" s="73" t="s">
        <v>90</v>
      </c>
      <c r="E35" s="74"/>
      <c r="F35" s="72">
        <v>18804</v>
      </c>
      <c r="G35" s="74">
        <v>6</v>
      </c>
      <c r="H35" s="73">
        <v>20601682801</v>
      </c>
      <c r="I35" s="73" t="s">
        <v>94</v>
      </c>
      <c r="J35" s="75">
        <f t="shared" si="1"/>
        <v>1004.4915254237288</v>
      </c>
      <c r="K35" s="75">
        <f t="shared" si="2"/>
        <v>180.80847457627118</v>
      </c>
      <c r="L35" s="75"/>
      <c r="M35" s="75"/>
      <c r="N35" s="75"/>
      <c r="O35" s="75"/>
      <c r="P35" s="75"/>
      <c r="Q35" s="75"/>
      <c r="R35" s="75"/>
      <c r="S35" s="75">
        <v>1185.3</v>
      </c>
      <c r="T35" s="72"/>
      <c r="U35" s="72"/>
      <c r="V35" s="88"/>
      <c r="W35" s="76"/>
      <c r="X35" s="71"/>
      <c r="Y35" s="72"/>
      <c r="Z35" s="72"/>
      <c r="AA35" s="72"/>
      <c r="AB35" s="72" t="s">
        <v>86</v>
      </c>
      <c r="AC35" s="93"/>
      <c r="AD35" s="71">
        <v>46179</v>
      </c>
      <c r="AE35" s="72" t="s">
        <v>940</v>
      </c>
      <c r="AF35" s="149" t="s">
        <v>942</v>
      </c>
      <c r="AG35" s="92"/>
      <c r="AH35" s="72" t="s">
        <v>88</v>
      </c>
      <c r="AI35" s="75"/>
      <c r="AJ35" s="72"/>
      <c r="AK35" s="72"/>
      <c r="AL35" s="77"/>
      <c r="AM35" s="72"/>
      <c r="AN35" s="72"/>
      <c r="AO35" s="72"/>
      <c r="AP35" s="72"/>
      <c r="AQ35" s="78"/>
      <c r="AR35" s="79">
        <v>18</v>
      </c>
      <c r="AS35" s="80" t="s">
        <v>816</v>
      </c>
      <c r="AT35" s="81"/>
      <c r="AU35" s="82"/>
    </row>
    <row r="36" spans="1:47" s="98" customFormat="1" ht="11.25" customHeight="1" x14ac:dyDescent="0.2">
      <c r="A36" s="71">
        <v>46180</v>
      </c>
      <c r="B36" s="71">
        <f t="shared" si="0"/>
        <v>46180</v>
      </c>
      <c r="C36" s="72" t="s">
        <v>83</v>
      </c>
      <c r="D36" s="73" t="s">
        <v>90</v>
      </c>
      <c r="E36" s="74"/>
      <c r="F36" s="72">
        <v>18818</v>
      </c>
      <c r="G36" s="74">
        <v>6</v>
      </c>
      <c r="H36" s="73">
        <v>20601682801</v>
      </c>
      <c r="I36" s="73" t="s">
        <v>94</v>
      </c>
      <c r="J36" s="75">
        <f t="shared" si="1"/>
        <v>1004.4915254237288</v>
      </c>
      <c r="K36" s="75">
        <f t="shared" si="2"/>
        <v>180.80847457627118</v>
      </c>
      <c r="L36" s="75"/>
      <c r="M36" s="75"/>
      <c r="N36" s="75"/>
      <c r="O36" s="75"/>
      <c r="P36" s="75"/>
      <c r="Q36" s="75"/>
      <c r="R36" s="75"/>
      <c r="S36" s="75">
        <v>1185.3</v>
      </c>
      <c r="T36" s="72"/>
      <c r="U36" s="72"/>
      <c r="V36" s="88"/>
      <c r="W36" s="76"/>
      <c r="X36" s="71"/>
      <c r="Y36" s="72"/>
      <c r="Z36" s="72"/>
      <c r="AA36" s="72"/>
      <c r="AB36" s="72" t="s">
        <v>86</v>
      </c>
      <c r="AC36" s="93"/>
      <c r="AD36" s="71">
        <v>46180</v>
      </c>
      <c r="AE36" s="72" t="s">
        <v>940</v>
      </c>
      <c r="AF36" s="149" t="s">
        <v>942</v>
      </c>
      <c r="AG36" s="92"/>
      <c r="AH36" s="72" t="s">
        <v>88</v>
      </c>
      <c r="AI36" s="75"/>
      <c r="AJ36" s="72"/>
      <c r="AK36" s="72"/>
      <c r="AL36" s="77"/>
      <c r="AM36" s="72"/>
      <c r="AN36" s="72"/>
      <c r="AO36" s="72"/>
      <c r="AP36" s="72"/>
      <c r="AQ36" s="78"/>
      <c r="AR36" s="79">
        <v>18</v>
      </c>
      <c r="AS36" s="80" t="s">
        <v>816</v>
      </c>
      <c r="AT36" s="81"/>
      <c r="AU36" s="82"/>
    </row>
    <row r="37" spans="1:47" s="98" customFormat="1" ht="11.25" customHeight="1" x14ac:dyDescent="0.2">
      <c r="A37" s="71">
        <v>46181</v>
      </c>
      <c r="B37" s="71">
        <f t="shared" si="0"/>
        <v>46181</v>
      </c>
      <c r="C37" s="72" t="s">
        <v>83</v>
      </c>
      <c r="D37" s="73" t="s">
        <v>90</v>
      </c>
      <c r="E37" s="74"/>
      <c r="F37" s="72">
        <v>18831</v>
      </c>
      <c r="G37" s="74">
        <v>6</v>
      </c>
      <c r="H37" s="73">
        <v>20601682801</v>
      </c>
      <c r="I37" s="73" t="s">
        <v>94</v>
      </c>
      <c r="J37" s="75">
        <f t="shared" si="1"/>
        <v>1004.4915254237288</v>
      </c>
      <c r="K37" s="75">
        <f t="shared" si="2"/>
        <v>180.80847457627118</v>
      </c>
      <c r="L37" s="75"/>
      <c r="M37" s="75"/>
      <c r="N37" s="75"/>
      <c r="O37" s="75"/>
      <c r="P37" s="75"/>
      <c r="Q37" s="75"/>
      <c r="R37" s="75"/>
      <c r="S37" s="75">
        <v>1185.3</v>
      </c>
      <c r="T37" s="72"/>
      <c r="U37" s="72"/>
      <c r="V37" s="88"/>
      <c r="W37" s="76"/>
      <c r="X37" s="71"/>
      <c r="Y37" s="72"/>
      <c r="Z37" s="72"/>
      <c r="AA37" s="72"/>
      <c r="AB37" s="72" t="s">
        <v>86</v>
      </c>
      <c r="AC37" s="93"/>
      <c r="AD37" s="71">
        <v>46181</v>
      </c>
      <c r="AE37" s="72" t="s">
        <v>940</v>
      </c>
      <c r="AF37" s="149" t="s">
        <v>942</v>
      </c>
      <c r="AG37" s="92"/>
      <c r="AH37" s="72" t="s">
        <v>88</v>
      </c>
      <c r="AI37" s="75"/>
      <c r="AJ37" s="72"/>
      <c r="AK37" s="72"/>
      <c r="AL37" s="77"/>
      <c r="AM37" s="72"/>
      <c r="AN37" s="72"/>
      <c r="AO37" s="72"/>
      <c r="AP37" s="72"/>
      <c r="AQ37" s="78"/>
      <c r="AR37" s="79">
        <v>18</v>
      </c>
      <c r="AS37" s="80" t="s">
        <v>816</v>
      </c>
      <c r="AT37" s="81"/>
      <c r="AU37" s="82"/>
    </row>
    <row r="38" spans="1:47" s="98" customFormat="1" ht="11.25" customHeight="1" x14ac:dyDescent="0.2">
      <c r="A38" s="71">
        <v>46181</v>
      </c>
      <c r="B38" s="71">
        <f t="shared" si="0"/>
        <v>46181</v>
      </c>
      <c r="C38" s="72" t="s">
        <v>83</v>
      </c>
      <c r="D38" s="73" t="s">
        <v>90</v>
      </c>
      <c r="E38" s="74"/>
      <c r="F38" s="72">
        <v>18838</v>
      </c>
      <c r="G38" s="74">
        <v>6</v>
      </c>
      <c r="H38" s="73">
        <v>20601682801</v>
      </c>
      <c r="I38" s="73" t="s">
        <v>94</v>
      </c>
      <c r="J38" s="75">
        <f t="shared" si="1"/>
        <v>1004.4915254237288</v>
      </c>
      <c r="K38" s="75">
        <f t="shared" si="2"/>
        <v>180.80847457627118</v>
      </c>
      <c r="L38" s="75"/>
      <c r="M38" s="75"/>
      <c r="N38" s="75"/>
      <c r="O38" s="75"/>
      <c r="P38" s="75"/>
      <c r="Q38" s="75"/>
      <c r="R38" s="75"/>
      <c r="S38" s="75">
        <v>1185.3</v>
      </c>
      <c r="T38" s="72"/>
      <c r="U38" s="72"/>
      <c r="V38" s="88"/>
      <c r="W38" s="76"/>
      <c r="X38" s="71"/>
      <c r="Y38" s="72"/>
      <c r="Z38" s="72"/>
      <c r="AA38" s="72"/>
      <c r="AB38" s="72" t="s">
        <v>86</v>
      </c>
      <c r="AC38" s="93"/>
      <c r="AD38" s="71">
        <v>46181</v>
      </c>
      <c r="AE38" s="72" t="s">
        <v>940</v>
      </c>
      <c r="AF38" s="149" t="s">
        <v>942</v>
      </c>
      <c r="AG38" s="92"/>
      <c r="AH38" s="72" t="s">
        <v>88</v>
      </c>
      <c r="AI38" s="75"/>
      <c r="AJ38" s="72"/>
      <c r="AK38" s="72"/>
      <c r="AL38" s="77"/>
      <c r="AM38" s="72"/>
      <c r="AN38" s="72"/>
      <c r="AO38" s="72"/>
      <c r="AP38" s="72"/>
      <c r="AQ38" s="78"/>
      <c r="AR38" s="79">
        <v>18</v>
      </c>
      <c r="AS38" s="80" t="s">
        <v>816</v>
      </c>
      <c r="AT38" s="81"/>
      <c r="AU38" s="82"/>
    </row>
    <row r="39" spans="1:47" s="98" customFormat="1" ht="11.25" customHeight="1" x14ac:dyDescent="0.2">
      <c r="A39" s="71">
        <v>46182</v>
      </c>
      <c r="B39" s="71">
        <f t="shared" si="0"/>
        <v>46182</v>
      </c>
      <c r="C39" s="72" t="s">
        <v>83</v>
      </c>
      <c r="D39" s="73" t="s">
        <v>90</v>
      </c>
      <c r="E39" s="74"/>
      <c r="F39" s="72">
        <v>18858</v>
      </c>
      <c r="G39" s="74">
        <v>6</v>
      </c>
      <c r="H39" s="73">
        <v>20601682801</v>
      </c>
      <c r="I39" s="73" t="s">
        <v>94</v>
      </c>
      <c r="J39" s="75">
        <f t="shared" si="1"/>
        <v>1004.4915254237288</v>
      </c>
      <c r="K39" s="75">
        <f t="shared" si="2"/>
        <v>180.80847457627118</v>
      </c>
      <c r="L39" s="75"/>
      <c r="M39" s="75"/>
      <c r="N39" s="75"/>
      <c r="O39" s="75"/>
      <c r="P39" s="75"/>
      <c r="Q39" s="75"/>
      <c r="R39" s="75"/>
      <c r="S39" s="75">
        <v>1185.3</v>
      </c>
      <c r="T39" s="72"/>
      <c r="U39" s="72"/>
      <c r="V39" s="88"/>
      <c r="W39" s="76"/>
      <c r="X39" s="71"/>
      <c r="Y39" s="72"/>
      <c r="Z39" s="72"/>
      <c r="AA39" s="72"/>
      <c r="AB39" s="72" t="s">
        <v>86</v>
      </c>
      <c r="AC39" s="93"/>
      <c r="AD39" s="71">
        <v>46182</v>
      </c>
      <c r="AE39" s="72" t="s">
        <v>940</v>
      </c>
      <c r="AF39" s="149" t="s">
        <v>942</v>
      </c>
      <c r="AG39" s="92"/>
      <c r="AH39" s="72" t="s">
        <v>88</v>
      </c>
      <c r="AI39" s="75"/>
      <c r="AJ39" s="72"/>
      <c r="AK39" s="72"/>
      <c r="AL39" s="77"/>
      <c r="AM39" s="72"/>
      <c r="AN39" s="72"/>
      <c r="AO39" s="72"/>
      <c r="AP39" s="72"/>
      <c r="AQ39" s="78"/>
      <c r="AR39" s="79">
        <v>18</v>
      </c>
      <c r="AS39" s="80" t="s">
        <v>816</v>
      </c>
      <c r="AT39" s="81"/>
      <c r="AU39" s="82"/>
    </row>
    <row r="40" spans="1:47" s="98" customFormat="1" ht="11.25" customHeight="1" x14ac:dyDescent="0.2">
      <c r="A40" s="71">
        <v>46182</v>
      </c>
      <c r="B40" s="71">
        <f t="shared" si="0"/>
        <v>46182</v>
      </c>
      <c r="C40" s="72" t="s">
        <v>83</v>
      </c>
      <c r="D40" s="73" t="s">
        <v>90</v>
      </c>
      <c r="E40" s="74"/>
      <c r="F40" s="72">
        <v>18864</v>
      </c>
      <c r="G40" s="74">
        <v>6</v>
      </c>
      <c r="H40" s="73">
        <v>20601682801</v>
      </c>
      <c r="I40" s="73" t="s">
        <v>94</v>
      </c>
      <c r="J40" s="75">
        <f t="shared" si="1"/>
        <v>1004.4915254237288</v>
      </c>
      <c r="K40" s="75">
        <f t="shared" si="2"/>
        <v>180.80847457627118</v>
      </c>
      <c r="L40" s="75"/>
      <c r="M40" s="75"/>
      <c r="N40" s="75"/>
      <c r="O40" s="75"/>
      <c r="P40" s="75"/>
      <c r="Q40" s="75"/>
      <c r="R40" s="75"/>
      <c r="S40" s="75">
        <v>1185.3</v>
      </c>
      <c r="T40" s="72"/>
      <c r="U40" s="72"/>
      <c r="V40" s="88"/>
      <c r="W40" s="76"/>
      <c r="X40" s="71"/>
      <c r="Y40" s="72"/>
      <c r="Z40" s="72"/>
      <c r="AA40" s="72"/>
      <c r="AB40" s="72" t="s">
        <v>86</v>
      </c>
      <c r="AC40" s="93"/>
      <c r="AD40" s="71">
        <v>46182</v>
      </c>
      <c r="AE40" s="72" t="s">
        <v>940</v>
      </c>
      <c r="AF40" s="149" t="s">
        <v>942</v>
      </c>
      <c r="AG40" s="92"/>
      <c r="AH40" s="72" t="s">
        <v>88</v>
      </c>
      <c r="AI40" s="75"/>
      <c r="AJ40" s="72"/>
      <c r="AK40" s="72"/>
      <c r="AL40" s="77"/>
      <c r="AM40" s="72"/>
      <c r="AN40" s="72"/>
      <c r="AO40" s="72"/>
      <c r="AP40" s="72"/>
      <c r="AQ40" s="78"/>
      <c r="AR40" s="79">
        <v>18</v>
      </c>
      <c r="AS40" s="80" t="s">
        <v>816</v>
      </c>
      <c r="AT40" s="81"/>
      <c r="AU40" s="82"/>
    </row>
    <row r="41" spans="1:47" s="98" customFormat="1" ht="11.25" customHeight="1" x14ac:dyDescent="0.2">
      <c r="A41" s="71">
        <v>46183</v>
      </c>
      <c r="B41" s="71">
        <f t="shared" si="0"/>
        <v>46183</v>
      </c>
      <c r="C41" s="72" t="s">
        <v>83</v>
      </c>
      <c r="D41" s="73" t="s">
        <v>90</v>
      </c>
      <c r="E41" s="74"/>
      <c r="F41" s="72">
        <v>18882</v>
      </c>
      <c r="G41" s="74">
        <v>6</v>
      </c>
      <c r="H41" s="73">
        <v>20601682801</v>
      </c>
      <c r="I41" s="73" t="s">
        <v>94</v>
      </c>
      <c r="J41" s="75">
        <f t="shared" si="1"/>
        <v>1004.4915254237288</v>
      </c>
      <c r="K41" s="75">
        <f t="shared" si="2"/>
        <v>180.80847457627118</v>
      </c>
      <c r="L41" s="75"/>
      <c r="M41" s="75"/>
      <c r="N41" s="75"/>
      <c r="O41" s="75"/>
      <c r="P41" s="75"/>
      <c r="Q41" s="75"/>
      <c r="R41" s="75"/>
      <c r="S41" s="75">
        <v>1185.3</v>
      </c>
      <c r="T41" s="72"/>
      <c r="U41" s="72"/>
      <c r="V41" s="88"/>
      <c r="W41" s="76"/>
      <c r="X41" s="71"/>
      <c r="Y41" s="72"/>
      <c r="Z41" s="72"/>
      <c r="AA41" s="72"/>
      <c r="AB41" s="72" t="s">
        <v>86</v>
      </c>
      <c r="AC41" s="93"/>
      <c r="AD41" s="71">
        <v>46183</v>
      </c>
      <c r="AE41" s="72" t="s">
        <v>940</v>
      </c>
      <c r="AF41" s="149" t="s">
        <v>942</v>
      </c>
      <c r="AG41" s="92"/>
      <c r="AH41" s="72" t="s">
        <v>88</v>
      </c>
      <c r="AI41" s="75"/>
      <c r="AJ41" s="72"/>
      <c r="AK41" s="72"/>
      <c r="AL41" s="77"/>
      <c r="AM41" s="72"/>
      <c r="AN41" s="72"/>
      <c r="AO41" s="72"/>
      <c r="AP41" s="72"/>
      <c r="AQ41" s="78"/>
      <c r="AR41" s="79">
        <v>18</v>
      </c>
      <c r="AS41" s="80" t="s">
        <v>816</v>
      </c>
      <c r="AT41" s="81"/>
      <c r="AU41" s="82"/>
    </row>
    <row r="42" spans="1:47" s="98" customFormat="1" ht="11.25" customHeight="1" x14ac:dyDescent="0.2">
      <c r="A42" s="71">
        <v>46183</v>
      </c>
      <c r="B42" s="71">
        <f t="shared" si="0"/>
        <v>46183</v>
      </c>
      <c r="C42" s="72" t="s">
        <v>83</v>
      </c>
      <c r="D42" s="73" t="s">
        <v>90</v>
      </c>
      <c r="E42" s="74"/>
      <c r="F42" s="72">
        <v>18890</v>
      </c>
      <c r="G42" s="74">
        <v>6</v>
      </c>
      <c r="H42" s="73">
        <v>20601682801</v>
      </c>
      <c r="I42" s="73" t="s">
        <v>94</v>
      </c>
      <c r="J42" s="75">
        <f t="shared" si="1"/>
        <v>1004.4915254237288</v>
      </c>
      <c r="K42" s="75">
        <f t="shared" si="2"/>
        <v>180.80847457627118</v>
      </c>
      <c r="L42" s="75"/>
      <c r="M42" s="75"/>
      <c r="N42" s="75"/>
      <c r="O42" s="75"/>
      <c r="P42" s="75"/>
      <c r="Q42" s="75"/>
      <c r="R42" s="75"/>
      <c r="S42" s="75">
        <v>1185.3</v>
      </c>
      <c r="T42" s="72"/>
      <c r="U42" s="72"/>
      <c r="V42" s="88"/>
      <c r="W42" s="76"/>
      <c r="X42" s="71"/>
      <c r="Y42" s="72"/>
      <c r="Z42" s="72"/>
      <c r="AA42" s="72"/>
      <c r="AB42" s="72" t="s">
        <v>86</v>
      </c>
      <c r="AC42" s="93"/>
      <c r="AD42" s="71">
        <v>46183</v>
      </c>
      <c r="AE42" s="72" t="s">
        <v>940</v>
      </c>
      <c r="AF42" s="149" t="s">
        <v>942</v>
      </c>
      <c r="AG42" s="92"/>
      <c r="AH42" s="72" t="s">
        <v>88</v>
      </c>
      <c r="AI42" s="75"/>
      <c r="AJ42" s="72"/>
      <c r="AK42" s="72"/>
      <c r="AL42" s="77"/>
      <c r="AM42" s="72"/>
      <c r="AN42" s="72"/>
      <c r="AO42" s="72"/>
      <c r="AP42" s="72"/>
      <c r="AQ42" s="78"/>
      <c r="AR42" s="79">
        <v>18</v>
      </c>
      <c r="AS42" s="80" t="s">
        <v>816</v>
      </c>
      <c r="AT42" s="81"/>
      <c r="AU42" s="82"/>
    </row>
    <row r="43" spans="1:47" s="98" customFormat="1" ht="11.25" customHeight="1" x14ac:dyDescent="0.2">
      <c r="A43" s="71">
        <v>46184</v>
      </c>
      <c r="B43" s="71">
        <f t="shared" si="0"/>
        <v>46184</v>
      </c>
      <c r="C43" s="72" t="s">
        <v>83</v>
      </c>
      <c r="D43" s="73" t="s">
        <v>90</v>
      </c>
      <c r="E43" s="74"/>
      <c r="F43" s="72">
        <v>18905</v>
      </c>
      <c r="G43" s="74">
        <v>6</v>
      </c>
      <c r="H43" s="73">
        <v>20601682801</v>
      </c>
      <c r="I43" s="73" t="s">
        <v>94</v>
      </c>
      <c r="J43" s="75">
        <f t="shared" si="1"/>
        <v>1004.4915254237288</v>
      </c>
      <c r="K43" s="75">
        <f t="shared" si="2"/>
        <v>180.80847457627118</v>
      </c>
      <c r="L43" s="75"/>
      <c r="M43" s="75"/>
      <c r="N43" s="75"/>
      <c r="O43" s="75"/>
      <c r="P43" s="75"/>
      <c r="Q43" s="75"/>
      <c r="R43" s="75"/>
      <c r="S43" s="75">
        <v>1185.3</v>
      </c>
      <c r="T43" s="72"/>
      <c r="U43" s="72"/>
      <c r="V43" s="88"/>
      <c r="W43" s="76"/>
      <c r="X43" s="71"/>
      <c r="Y43" s="72"/>
      <c r="Z43" s="72"/>
      <c r="AA43" s="72"/>
      <c r="AB43" s="72" t="s">
        <v>86</v>
      </c>
      <c r="AC43" s="93"/>
      <c r="AD43" s="71">
        <v>46184</v>
      </c>
      <c r="AE43" s="72" t="s">
        <v>940</v>
      </c>
      <c r="AF43" s="149" t="s">
        <v>942</v>
      </c>
      <c r="AG43" s="92"/>
      <c r="AH43" s="72" t="s">
        <v>88</v>
      </c>
      <c r="AI43" s="75"/>
      <c r="AJ43" s="72"/>
      <c r="AK43" s="72"/>
      <c r="AL43" s="77"/>
      <c r="AM43" s="72"/>
      <c r="AN43" s="72"/>
      <c r="AO43" s="72"/>
      <c r="AP43" s="72"/>
      <c r="AQ43" s="78"/>
      <c r="AR43" s="79">
        <v>18</v>
      </c>
      <c r="AS43" s="80" t="s">
        <v>816</v>
      </c>
      <c r="AT43" s="81"/>
      <c r="AU43" s="82"/>
    </row>
    <row r="44" spans="1:47" s="98" customFormat="1" ht="11.25" customHeight="1" x14ac:dyDescent="0.2">
      <c r="A44" s="71">
        <v>46184</v>
      </c>
      <c r="B44" s="71">
        <f t="shared" si="0"/>
        <v>46184</v>
      </c>
      <c r="C44" s="72" t="s">
        <v>83</v>
      </c>
      <c r="D44" s="73" t="s">
        <v>90</v>
      </c>
      <c r="E44" s="74"/>
      <c r="F44" s="72">
        <v>18915</v>
      </c>
      <c r="G44" s="74">
        <v>6</v>
      </c>
      <c r="H44" s="73">
        <v>20601682801</v>
      </c>
      <c r="I44" s="73" t="s">
        <v>94</v>
      </c>
      <c r="J44" s="75">
        <f t="shared" si="1"/>
        <v>1004.4915254237288</v>
      </c>
      <c r="K44" s="75">
        <f t="shared" si="2"/>
        <v>180.80847457627118</v>
      </c>
      <c r="L44" s="75"/>
      <c r="M44" s="75"/>
      <c r="N44" s="75"/>
      <c r="O44" s="75"/>
      <c r="P44" s="75"/>
      <c r="Q44" s="75"/>
      <c r="R44" s="75"/>
      <c r="S44" s="75">
        <v>1185.3</v>
      </c>
      <c r="T44" s="72"/>
      <c r="U44" s="72"/>
      <c r="V44" s="88"/>
      <c r="W44" s="76"/>
      <c r="X44" s="71"/>
      <c r="Y44" s="72"/>
      <c r="Z44" s="72"/>
      <c r="AA44" s="72"/>
      <c r="AB44" s="72" t="s">
        <v>86</v>
      </c>
      <c r="AC44" s="93"/>
      <c r="AD44" s="71">
        <v>46184</v>
      </c>
      <c r="AE44" s="72" t="s">
        <v>940</v>
      </c>
      <c r="AF44" s="149" t="s">
        <v>942</v>
      </c>
      <c r="AG44" s="92"/>
      <c r="AH44" s="72" t="s">
        <v>88</v>
      </c>
      <c r="AI44" s="75"/>
      <c r="AJ44" s="72"/>
      <c r="AK44" s="72"/>
      <c r="AL44" s="77"/>
      <c r="AM44" s="72"/>
      <c r="AN44" s="72"/>
      <c r="AO44" s="72"/>
      <c r="AP44" s="72"/>
      <c r="AQ44" s="78"/>
      <c r="AR44" s="79">
        <v>18</v>
      </c>
      <c r="AS44" s="80" t="s">
        <v>816</v>
      </c>
      <c r="AT44" s="81"/>
      <c r="AU44" s="82"/>
    </row>
    <row r="45" spans="1:47" s="98" customFormat="1" ht="11.25" customHeight="1" x14ac:dyDescent="0.2">
      <c r="A45" s="71">
        <v>46185</v>
      </c>
      <c r="B45" s="71">
        <f t="shared" si="0"/>
        <v>46185</v>
      </c>
      <c r="C45" s="72" t="s">
        <v>83</v>
      </c>
      <c r="D45" s="73" t="s">
        <v>90</v>
      </c>
      <c r="E45" s="74"/>
      <c r="F45" s="72">
        <v>18936</v>
      </c>
      <c r="G45" s="74">
        <v>6</v>
      </c>
      <c r="H45" s="73">
        <v>20601682801</v>
      </c>
      <c r="I45" s="73" t="s">
        <v>94</v>
      </c>
      <c r="J45" s="75">
        <f t="shared" si="1"/>
        <v>1004.4915254237288</v>
      </c>
      <c r="K45" s="75">
        <f t="shared" si="2"/>
        <v>180.80847457627118</v>
      </c>
      <c r="L45" s="75"/>
      <c r="M45" s="75"/>
      <c r="N45" s="75"/>
      <c r="O45" s="75"/>
      <c r="P45" s="75"/>
      <c r="Q45" s="75"/>
      <c r="R45" s="75"/>
      <c r="S45" s="75">
        <v>1185.3</v>
      </c>
      <c r="T45" s="72"/>
      <c r="U45" s="72"/>
      <c r="V45" s="88"/>
      <c r="W45" s="76"/>
      <c r="X45" s="71"/>
      <c r="Y45" s="72"/>
      <c r="Z45" s="72"/>
      <c r="AA45" s="72"/>
      <c r="AB45" s="72" t="s">
        <v>86</v>
      </c>
      <c r="AC45" s="93"/>
      <c r="AD45" s="71">
        <v>46185</v>
      </c>
      <c r="AE45" s="72" t="s">
        <v>940</v>
      </c>
      <c r="AF45" s="149" t="s">
        <v>942</v>
      </c>
      <c r="AG45" s="92"/>
      <c r="AH45" s="72" t="s">
        <v>88</v>
      </c>
      <c r="AI45" s="75"/>
      <c r="AJ45" s="72"/>
      <c r="AK45" s="72"/>
      <c r="AL45" s="77"/>
      <c r="AM45" s="72"/>
      <c r="AN45" s="72"/>
      <c r="AO45" s="72"/>
      <c r="AP45" s="72"/>
      <c r="AQ45" s="78"/>
      <c r="AR45" s="79">
        <v>18</v>
      </c>
      <c r="AS45" s="80" t="s">
        <v>816</v>
      </c>
      <c r="AT45" s="81"/>
      <c r="AU45" s="82"/>
    </row>
    <row r="46" spans="1:47" s="98" customFormat="1" ht="11.25" customHeight="1" x14ac:dyDescent="0.2">
      <c r="A46" s="71">
        <v>46185</v>
      </c>
      <c r="B46" s="71">
        <f t="shared" si="0"/>
        <v>46185</v>
      </c>
      <c r="C46" s="72" t="s">
        <v>83</v>
      </c>
      <c r="D46" s="73" t="s">
        <v>90</v>
      </c>
      <c r="E46" s="74"/>
      <c r="F46" s="72">
        <v>18938</v>
      </c>
      <c r="G46" s="74">
        <v>6</v>
      </c>
      <c r="H46" s="73">
        <v>20601682801</v>
      </c>
      <c r="I46" s="73" t="s">
        <v>94</v>
      </c>
      <c r="J46" s="75">
        <f t="shared" si="1"/>
        <v>1004.4915254237288</v>
      </c>
      <c r="K46" s="75">
        <f t="shared" si="2"/>
        <v>180.80847457627118</v>
      </c>
      <c r="L46" s="75"/>
      <c r="M46" s="75"/>
      <c r="N46" s="75"/>
      <c r="O46" s="75"/>
      <c r="P46" s="75"/>
      <c r="Q46" s="75"/>
      <c r="R46" s="75"/>
      <c r="S46" s="75">
        <v>1185.3</v>
      </c>
      <c r="T46" s="72"/>
      <c r="U46" s="72"/>
      <c r="V46" s="88"/>
      <c r="W46" s="76"/>
      <c r="X46" s="71"/>
      <c r="Y46" s="72"/>
      <c r="Z46" s="72"/>
      <c r="AA46" s="72"/>
      <c r="AB46" s="72" t="s">
        <v>86</v>
      </c>
      <c r="AC46" s="93"/>
      <c r="AD46" s="71">
        <v>46185</v>
      </c>
      <c r="AE46" s="72" t="s">
        <v>940</v>
      </c>
      <c r="AF46" s="149" t="s">
        <v>942</v>
      </c>
      <c r="AG46" s="92"/>
      <c r="AH46" s="72" t="s">
        <v>88</v>
      </c>
      <c r="AI46" s="75"/>
      <c r="AJ46" s="72"/>
      <c r="AK46" s="72"/>
      <c r="AL46" s="77"/>
      <c r="AM46" s="72"/>
      <c r="AN46" s="72"/>
      <c r="AO46" s="72"/>
      <c r="AP46" s="72"/>
      <c r="AQ46" s="78"/>
      <c r="AR46" s="79">
        <v>18</v>
      </c>
      <c r="AS46" s="80" t="s">
        <v>816</v>
      </c>
      <c r="AT46" s="81"/>
      <c r="AU46" s="82"/>
    </row>
    <row r="47" spans="1:47" s="98" customFormat="1" ht="11.25" customHeight="1" x14ac:dyDescent="0.2">
      <c r="A47" s="71">
        <v>46186</v>
      </c>
      <c r="B47" s="71">
        <f t="shared" si="0"/>
        <v>46186</v>
      </c>
      <c r="C47" s="72" t="s">
        <v>83</v>
      </c>
      <c r="D47" s="73" t="s">
        <v>90</v>
      </c>
      <c r="E47" s="74"/>
      <c r="F47" s="72">
        <v>18955</v>
      </c>
      <c r="G47" s="74">
        <v>6</v>
      </c>
      <c r="H47" s="73">
        <v>20601682801</v>
      </c>
      <c r="I47" s="73" t="s">
        <v>94</v>
      </c>
      <c r="J47" s="75">
        <f t="shared" si="1"/>
        <v>1004.4915254237288</v>
      </c>
      <c r="K47" s="75">
        <f t="shared" si="2"/>
        <v>180.80847457627118</v>
      </c>
      <c r="L47" s="75"/>
      <c r="M47" s="75"/>
      <c r="N47" s="75"/>
      <c r="O47" s="75"/>
      <c r="P47" s="75"/>
      <c r="Q47" s="75"/>
      <c r="R47" s="75"/>
      <c r="S47" s="75">
        <v>1185.3</v>
      </c>
      <c r="T47" s="72"/>
      <c r="U47" s="72"/>
      <c r="V47" s="88"/>
      <c r="W47" s="76"/>
      <c r="X47" s="71"/>
      <c r="Y47" s="72"/>
      <c r="Z47" s="72"/>
      <c r="AA47" s="72"/>
      <c r="AB47" s="72" t="s">
        <v>86</v>
      </c>
      <c r="AC47" s="93"/>
      <c r="AD47" s="71">
        <v>46186</v>
      </c>
      <c r="AE47" s="72" t="s">
        <v>940</v>
      </c>
      <c r="AF47" s="149" t="s">
        <v>942</v>
      </c>
      <c r="AG47" s="92"/>
      <c r="AH47" s="72" t="s">
        <v>88</v>
      </c>
      <c r="AI47" s="75"/>
      <c r="AJ47" s="72"/>
      <c r="AK47" s="72"/>
      <c r="AL47" s="77"/>
      <c r="AM47" s="72"/>
      <c r="AN47" s="72"/>
      <c r="AO47" s="72"/>
      <c r="AP47" s="72"/>
      <c r="AQ47" s="78"/>
      <c r="AR47" s="79">
        <v>18</v>
      </c>
      <c r="AS47" s="80" t="s">
        <v>816</v>
      </c>
      <c r="AT47" s="81"/>
      <c r="AU47" s="82"/>
    </row>
    <row r="48" spans="1:47" s="98" customFormat="1" ht="11.25" customHeight="1" x14ac:dyDescent="0.2">
      <c r="A48" s="71">
        <v>46186</v>
      </c>
      <c r="B48" s="71">
        <f t="shared" si="0"/>
        <v>46186</v>
      </c>
      <c r="C48" s="72" t="s">
        <v>83</v>
      </c>
      <c r="D48" s="73" t="s">
        <v>90</v>
      </c>
      <c r="E48" s="74"/>
      <c r="F48" s="72">
        <v>18960</v>
      </c>
      <c r="G48" s="74">
        <v>6</v>
      </c>
      <c r="H48" s="73">
        <v>20601682801</v>
      </c>
      <c r="I48" s="73" t="s">
        <v>94</v>
      </c>
      <c r="J48" s="75">
        <f t="shared" si="1"/>
        <v>1004.4915254237288</v>
      </c>
      <c r="K48" s="75">
        <f t="shared" si="2"/>
        <v>180.80847457627118</v>
      </c>
      <c r="L48" s="75"/>
      <c r="M48" s="75"/>
      <c r="N48" s="75"/>
      <c r="O48" s="75"/>
      <c r="P48" s="75"/>
      <c r="Q48" s="75"/>
      <c r="R48" s="75"/>
      <c r="S48" s="75">
        <v>1185.3</v>
      </c>
      <c r="T48" s="72"/>
      <c r="U48" s="72"/>
      <c r="V48" s="88"/>
      <c r="W48" s="76"/>
      <c r="X48" s="71"/>
      <c r="Y48" s="72"/>
      <c r="Z48" s="72"/>
      <c r="AA48" s="72"/>
      <c r="AB48" s="72" t="s">
        <v>86</v>
      </c>
      <c r="AC48" s="93"/>
      <c r="AD48" s="71">
        <v>46186</v>
      </c>
      <c r="AE48" s="72" t="s">
        <v>940</v>
      </c>
      <c r="AF48" s="149" t="s">
        <v>942</v>
      </c>
      <c r="AG48" s="92"/>
      <c r="AH48" s="72" t="s">
        <v>88</v>
      </c>
      <c r="AI48" s="75"/>
      <c r="AJ48" s="72"/>
      <c r="AK48" s="72"/>
      <c r="AL48" s="77"/>
      <c r="AM48" s="72"/>
      <c r="AN48" s="72"/>
      <c r="AO48" s="72"/>
      <c r="AP48" s="72"/>
      <c r="AQ48" s="78"/>
      <c r="AR48" s="79">
        <v>18</v>
      </c>
      <c r="AS48" s="80" t="s">
        <v>816</v>
      </c>
      <c r="AT48" s="81"/>
      <c r="AU48" s="82"/>
    </row>
    <row r="49" spans="1:47" s="98" customFormat="1" ht="11.25" customHeight="1" x14ac:dyDescent="0.2">
      <c r="A49" s="71">
        <v>46187</v>
      </c>
      <c r="B49" s="71">
        <f t="shared" si="0"/>
        <v>46187</v>
      </c>
      <c r="C49" s="72" t="s">
        <v>83</v>
      </c>
      <c r="D49" s="73" t="s">
        <v>90</v>
      </c>
      <c r="E49" s="74"/>
      <c r="F49" s="72">
        <v>18973</v>
      </c>
      <c r="G49" s="74">
        <v>6</v>
      </c>
      <c r="H49" s="73">
        <v>20601682801</v>
      </c>
      <c r="I49" s="73" t="s">
        <v>94</v>
      </c>
      <c r="J49" s="75">
        <f t="shared" si="1"/>
        <v>1004.4915254237288</v>
      </c>
      <c r="K49" s="75">
        <f t="shared" si="2"/>
        <v>180.80847457627118</v>
      </c>
      <c r="L49" s="75"/>
      <c r="M49" s="75"/>
      <c r="N49" s="75"/>
      <c r="O49" s="75"/>
      <c r="P49" s="75"/>
      <c r="Q49" s="75"/>
      <c r="R49" s="75"/>
      <c r="S49" s="75">
        <v>1185.3</v>
      </c>
      <c r="T49" s="72"/>
      <c r="U49" s="72"/>
      <c r="V49" s="88"/>
      <c r="W49" s="76"/>
      <c r="X49" s="71"/>
      <c r="Y49" s="72"/>
      <c r="Z49" s="72"/>
      <c r="AA49" s="72"/>
      <c r="AB49" s="72" t="s">
        <v>86</v>
      </c>
      <c r="AC49" s="93"/>
      <c r="AD49" s="71">
        <v>46187</v>
      </c>
      <c r="AE49" s="72" t="s">
        <v>940</v>
      </c>
      <c r="AF49" s="149" t="s">
        <v>942</v>
      </c>
      <c r="AG49" s="92"/>
      <c r="AH49" s="72" t="s">
        <v>88</v>
      </c>
      <c r="AI49" s="75"/>
      <c r="AJ49" s="72"/>
      <c r="AK49" s="72"/>
      <c r="AL49" s="77"/>
      <c r="AM49" s="72"/>
      <c r="AN49" s="72"/>
      <c r="AO49" s="72"/>
      <c r="AP49" s="72"/>
      <c r="AQ49" s="78"/>
      <c r="AR49" s="79">
        <v>18</v>
      </c>
      <c r="AS49" s="80" t="s">
        <v>816</v>
      </c>
      <c r="AT49" s="81"/>
      <c r="AU49" s="82"/>
    </row>
    <row r="50" spans="1:47" s="98" customFormat="1" ht="11.25" customHeight="1" x14ac:dyDescent="0.2">
      <c r="A50" s="71">
        <v>46188</v>
      </c>
      <c r="B50" s="71">
        <f t="shared" si="0"/>
        <v>46188</v>
      </c>
      <c r="C50" s="72" t="s">
        <v>83</v>
      </c>
      <c r="D50" s="73" t="s">
        <v>90</v>
      </c>
      <c r="E50" s="74"/>
      <c r="F50" s="72">
        <v>18991</v>
      </c>
      <c r="G50" s="74">
        <v>6</v>
      </c>
      <c r="H50" s="73">
        <v>20601682801</v>
      </c>
      <c r="I50" s="73" t="s">
        <v>94</v>
      </c>
      <c r="J50" s="75">
        <f t="shared" si="1"/>
        <v>1004.4915254237288</v>
      </c>
      <c r="K50" s="75">
        <f t="shared" si="2"/>
        <v>180.80847457627118</v>
      </c>
      <c r="L50" s="75"/>
      <c r="M50" s="75"/>
      <c r="N50" s="75"/>
      <c r="O50" s="75"/>
      <c r="P50" s="75"/>
      <c r="Q50" s="75"/>
      <c r="R50" s="75"/>
      <c r="S50" s="75">
        <v>1185.3</v>
      </c>
      <c r="T50" s="72"/>
      <c r="U50" s="72"/>
      <c r="V50" s="88"/>
      <c r="W50" s="76"/>
      <c r="X50" s="71"/>
      <c r="Y50" s="72"/>
      <c r="Z50" s="72"/>
      <c r="AA50" s="72"/>
      <c r="AB50" s="72" t="s">
        <v>86</v>
      </c>
      <c r="AC50" s="93"/>
      <c r="AD50" s="71">
        <v>46188</v>
      </c>
      <c r="AE50" s="72" t="s">
        <v>940</v>
      </c>
      <c r="AF50" s="149" t="s">
        <v>942</v>
      </c>
      <c r="AG50" s="92"/>
      <c r="AH50" s="72" t="s">
        <v>88</v>
      </c>
      <c r="AI50" s="75"/>
      <c r="AJ50" s="72"/>
      <c r="AK50" s="72"/>
      <c r="AL50" s="77"/>
      <c r="AM50" s="72"/>
      <c r="AN50" s="72"/>
      <c r="AO50" s="72"/>
      <c r="AP50" s="72"/>
      <c r="AQ50" s="78"/>
      <c r="AR50" s="79">
        <v>18</v>
      </c>
      <c r="AS50" s="80" t="s">
        <v>816</v>
      </c>
      <c r="AT50" s="81"/>
      <c r="AU50" s="82"/>
    </row>
    <row r="51" spans="1:47" s="98" customFormat="1" ht="11.25" customHeight="1" x14ac:dyDescent="0.2">
      <c r="A51" s="71">
        <v>46188</v>
      </c>
      <c r="B51" s="71">
        <f t="shared" si="0"/>
        <v>46188</v>
      </c>
      <c r="C51" s="72" t="s">
        <v>83</v>
      </c>
      <c r="D51" s="73" t="s">
        <v>90</v>
      </c>
      <c r="E51" s="74"/>
      <c r="F51" s="72">
        <v>18996</v>
      </c>
      <c r="G51" s="74">
        <v>6</v>
      </c>
      <c r="H51" s="73">
        <v>20601682801</v>
      </c>
      <c r="I51" s="73" t="s">
        <v>94</v>
      </c>
      <c r="J51" s="75">
        <f t="shared" si="1"/>
        <v>1004.4915254237288</v>
      </c>
      <c r="K51" s="75">
        <f t="shared" si="2"/>
        <v>180.80847457627118</v>
      </c>
      <c r="L51" s="75"/>
      <c r="M51" s="75"/>
      <c r="N51" s="75"/>
      <c r="O51" s="75"/>
      <c r="P51" s="75"/>
      <c r="Q51" s="75"/>
      <c r="R51" s="75"/>
      <c r="S51" s="75">
        <v>1185.3</v>
      </c>
      <c r="T51" s="72"/>
      <c r="U51" s="72"/>
      <c r="V51" s="88"/>
      <c r="W51" s="76"/>
      <c r="X51" s="71"/>
      <c r="Y51" s="72"/>
      <c r="Z51" s="72"/>
      <c r="AA51" s="72"/>
      <c r="AB51" s="72" t="s">
        <v>86</v>
      </c>
      <c r="AC51" s="93"/>
      <c r="AD51" s="71">
        <v>46188</v>
      </c>
      <c r="AE51" s="72" t="s">
        <v>940</v>
      </c>
      <c r="AF51" s="149" t="s">
        <v>942</v>
      </c>
      <c r="AG51" s="92"/>
      <c r="AH51" s="72" t="s">
        <v>88</v>
      </c>
      <c r="AI51" s="75"/>
      <c r="AJ51" s="72"/>
      <c r="AK51" s="72"/>
      <c r="AL51" s="77"/>
      <c r="AM51" s="72"/>
      <c r="AN51" s="72"/>
      <c r="AO51" s="72"/>
      <c r="AP51" s="72"/>
      <c r="AQ51" s="78"/>
      <c r="AR51" s="79">
        <v>18</v>
      </c>
      <c r="AS51" s="80" t="s">
        <v>816</v>
      </c>
      <c r="AT51" s="81"/>
      <c r="AU51" s="82"/>
    </row>
    <row r="52" spans="1:47" s="98" customFormat="1" ht="11.25" customHeight="1" x14ac:dyDescent="0.2">
      <c r="A52" s="71">
        <v>46189</v>
      </c>
      <c r="B52" s="71">
        <f t="shared" si="0"/>
        <v>46189</v>
      </c>
      <c r="C52" s="72" t="s">
        <v>83</v>
      </c>
      <c r="D52" s="73" t="s">
        <v>90</v>
      </c>
      <c r="E52" s="74"/>
      <c r="F52" s="72">
        <v>19018</v>
      </c>
      <c r="G52" s="74">
        <v>6</v>
      </c>
      <c r="H52" s="73">
        <v>20601682801</v>
      </c>
      <c r="I52" s="73" t="s">
        <v>94</v>
      </c>
      <c r="J52" s="75">
        <f t="shared" si="1"/>
        <v>1004.4915254237288</v>
      </c>
      <c r="K52" s="75">
        <f t="shared" si="2"/>
        <v>180.80847457627118</v>
      </c>
      <c r="L52" s="75"/>
      <c r="M52" s="75"/>
      <c r="N52" s="75"/>
      <c r="O52" s="75"/>
      <c r="P52" s="75"/>
      <c r="Q52" s="75"/>
      <c r="R52" s="75"/>
      <c r="S52" s="75">
        <v>1185.3</v>
      </c>
      <c r="T52" s="72"/>
      <c r="U52" s="72"/>
      <c r="V52" s="88"/>
      <c r="W52" s="76"/>
      <c r="X52" s="71"/>
      <c r="Y52" s="72"/>
      <c r="Z52" s="72"/>
      <c r="AA52" s="72"/>
      <c r="AB52" s="72" t="s">
        <v>86</v>
      </c>
      <c r="AC52" s="93"/>
      <c r="AD52" s="71">
        <v>46189</v>
      </c>
      <c r="AE52" s="72" t="s">
        <v>940</v>
      </c>
      <c r="AF52" s="149" t="s">
        <v>942</v>
      </c>
      <c r="AG52" s="92"/>
      <c r="AH52" s="72" t="s">
        <v>88</v>
      </c>
      <c r="AI52" s="75"/>
      <c r="AJ52" s="72"/>
      <c r="AK52" s="72"/>
      <c r="AL52" s="77"/>
      <c r="AM52" s="72"/>
      <c r="AN52" s="72"/>
      <c r="AO52" s="72"/>
      <c r="AP52" s="72"/>
      <c r="AQ52" s="78"/>
      <c r="AR52" s="79">
        <v>18</v>
      </c>
      <c r="AS52" s="80" t="s">
        <v>816</v>
      </c>
      <c r="AT52" s="81"/>
      <c r="AU52" s="82"/>
    </row>
    <row r="53" spans="1:47" s="98" customFormat="1" ht="11.25" customHeight="1" x14ac:dyDescent="0.2">
      <c r="A53" s="71">
        <v>46189</v>
      </c>
      <c r="B53" s="71">
        <f t="shared" si="0"/>
        <v>46189</v>
      </c>
      <c r="C53" s="72" t="s">
        <v>83</v>
      </c>
      <c r="D53" s="73" t="s">
        <v>90</v>
      </c>
      <c r="E53" s="74"/>
      <c r="F53" s="72">
        <v>19028</v>
      </c>
      <c r="G53" s="74">
        <v>6</v>
      </c>
      <c r="H53" s="73">
        <v>20601682801</v>
      </c>
      <c r="I53" s="73" t="s">
        <v>94</v>
      </c>
      <c r="J53" s="75">
        <f t="shared" si="1"/>
        <v>1004.4915254237288</v>
      </c>
      <c r="K53" s="75">
        <f t="shared" si="2"/>
        <v>180.80847457627118</v>
      </c>
      <c r="L53" s="75"/>
      <c r="M53" s="75"/>
      <c r="N53" s="75"/>
      <c r="O53" s="75"/>
      <c r="P53" s="75"/>
      <c r="Q53" s="75"/>
      <c r="R53" s="75"/>
      <c r="S53" s="75">
        <v>1185.3</v>
      </c>
      <c r="T53" s="72"/>
      <c r="U53" s="72"/>
      <c r="V53" s="88"/>
      <c r="W53" s="76"/>
      <c r="X53" s="71"/>
      <c r="Y53" s="72"/>
      <c r="Z53" s="72"/>
      <c r="AA53" s="72"/>
      <c r="AB53" s="72" t="s">
        <v>86</v>
      </c>
      <c r="AC53" s="93"/>
      <c r="AD53" s="71">
        <v>46189</v>
      </c>
      <c r="AE53" s="72" t="s">
        <v>940</v>
      </c>
      <c r="AF53" s="149" t="s">
        <v>942</v>
      </c>
      <c r="AG53" s="92"/>
      <c r="AH53" s="72" t="s">
        <v>88</v>
      </c>
      <c r="AI53" s="75"/>
      <c r="AJ53" s="72"/>
      <c r="AK53" s="72"/>
      <c r="AL53" s="77"/>
      <c r="AM53" s="72"/>
      <c r="AN53" s="72"/>
      <c r="AO53" s="72"/>
      <c r="AP53" s="72"/>
      <c r="AQ53" s="78"/>
      <c r="AR53" s="79">
        <v>18</v>
      </c>
      <c r="AS53" s="80" t="s">
        <v>816</v>
      </c>
      <c r="AT53" s="81"/>
      <c r="AU53" s="82"/>
    </row>
    <row r="54" spans="1:47" s="98" customFormat="1" ht="11.25" customHeight="1" x14ac:dyDescent="0.2">
      <c r="A54" s="71">
        <v>46190</v>
      </c>
      <c r="B54" s="71">
        <f t="shared" si="0"/>
        <v>46190</v>
      </c>
      <c r="C54" s="72" t="s">
        <v>83</v>
      </c>
      <c r="D54" s="73" t="s">
        <v>90</v>
      </c>
      <c r="E54" s="74"/>
      <c r="F54" s="72">
        <v>19045</v>
      </c>
      <c r="G54" s="74">
        <v>6</v>
      </c>
      <c r="H54" s="73">
        <v>20601682801</v>
      </c>
      <c r="I54" s="73" t="s">
        <v>94</v>
      </c>
      <c r="J54" s="75">
        <f t="shared" si="1"/>
        <v>1004.4915254237288</v>
      </c>
      <c r="K54" s="75">
        <f t="shared" si="2"/>
        <v>180.80847457627118</v>
      </c>
      <c r="L54" s="75"/>
      <c r="M54" s="75"/>
      <c r="N54" s="75"/>
      <c r="O54" s="75"/>
      <c r="P54" s="75"/>
      <c r="Q54" s="75"/>
      <c r="R54" s="75"/>
      <c r="S54" s="75">
        <v>1185.3</v>
      </c>
      <c r="T54" s="72"/>
      <c r="U54" s="72"/>
      <c r="V54" s="88"/>
      <c r="W54" s="76"/>
      <c r="X54" s="71"/>
      <c r="Y54" s="72"/>
      <c r="Z54" s="72"/>
      <c r="AA54" s="72"/>
      <c r="AB54" s="72" t="s">
        <v>86</v>
      </c>
      <c r="AC54" s="93"/>
      <c r="AD54" s="71">
        <v>46190</v>
      </c>
      <c r="AE54" s="72" t="s">
        <v>940</v>
      </c>
      <c r="AF54" s="149" t="s">
        <v>942</v>
      </c>
      <c r="AG54" s="92"/>
      <c r="AH54" s="72" t="s">
        <v>88</v>
      </c>
      <c r="AI54" s="75"/>
      <c r="AJ54" s="72"/>
      <c r="AK54" s="72"/>
      <c r="AL54" s="77"/>
      <c r="AM54" s="72"/>
      <c r="AN54" s="72"/>
      <c r="AO54" s="72"/>
      <c r="AP54" s="72"/>
      <c r="AQ54" s="78"/>
      <c r="AR54" s="79">
        <v>18</v>
      </c>
      <c r="AS54" s="80" t="s">
        <v>816</v>
      </c>
      <c r="AT54" s="81"/>
      <c r="AU54" s="82"/>
    </row>
    <row r="55" spans="1:47" s="98" customFormat="1" ht="11.25" customHeight="1" x14ac:dyDescent="0.2">
      <c r="A55" s="71">
        <v>46190</v>
      </c>
      <c r="B55" s="71">
        <f t="shared" si="0"/>
        <v>46190</v>
      </c>
      <c r="C55" s="72" t="s">
        <v>83</v>
      </c>
      <c r="D55" s="73" t="s">
        <v>90</v>
      </c>
      <c r="E55" s="74"/>
      <c r="F55" s="72">
        <v>19053</v>
      </c>
      <c r="G55" s="74">
        <v>6</v>
      </c>
      <c r="H55" s="73">
        <v>20601682801</v>
      </c>
      <c r="I55" s="73" t="s">
        <v>94</v>
      </c>
      <c r="J55" s="75">
        <f t="shared" si="1"/>
        <v>1004.4915254237288</v>
      </c>
      <c r="K55" s="75">
        <f t="shared" si="2"/>
        <v>180.80847457627118</v>
      </c>
      <c r="L55" s="75"/>
      <c r="M55" s="75"/>
      <c r="N55" s="75"/>
      <c r="O55" s="75"/>
      <c r="P55" s="75"/>
      <c r="Q55" s="75"/>
      <c r="R55" s="75"/>
      <c r="S55" s="75">
        <v>1185.3</v>
      </c>
      <c r="T55" s="72"/>
      <c r="U55" s="72"/>
      <c r="V55" s="88"/>
      <c r="W55" s="76"/>
      <c r="X55" s="71"/>
      <c r="Y55" s="72"/>
      <c r="Z55" s="72"/>
      <c r="AA55" s="72"/>
      <c r="AB55" s="72" t="s">
        <v>86</v>
      </c>
      <c r="AC55" s="93"/>
      <c r="AD55" s="71">
        <v>46190</v>
      </c>
      <c r="AE55" s="72" t="s">
        <v>940</v>
      </c>
      <c r="AF55" s="149" t="s">
        <v>942</v>
      </c>
      <c r="AG55" s="92"/>
      <c r="AH55" s="72" t="s">
        <v>88</v>
      </c>
      <c r="AI55" s="75"/>
      <c r="AJ55" s="72"/>
      <c r="AK55" s="72"/>
      <c r="AL55" s="77"/>
      <c r="AM55" s="72"/>
      <c r="AN55" s="72"/>
      <c r="AO55" s="72"/>
      <c r="AP55" s="72"/>
      <c r="AQ55" s="78"/>
      <c r="AR55" s="79">
        <v>18</v>
      </c>
      <c r="AS55" s="80" t="s">
        <v>816</v>
      </c>
      <c r="AT55" s="81"/>
      <c r="AU55" s="82"/>
    </row>
    <row r="56" spans="1:47" s="98" customFormat="1" ht="11.25" customHeight="1" x14ac:dyDescent="0.2">
      <c r="A56" s="71">
        <v>46191</v>
      </c>
      <c r="B56" s="71">
        <f t="shared" si="0"/>
        <v>46191</v>
      </c>
      <c r="C56" s="72" t="s">
        <v>83</v>
      </c>
      <c r="D56" s="73" t="s">
        <v>90</v>
      </c>
      <c r="E56" s="74"/>
      <c r="F56" s="72">
        <v>19067</v>
      </c>
      <c r="G56" s="74">
        <v>6</v>
      </c>
      <c r="H56" s="73">
        <v>20601682801</v>
      </c>
      <c r="I56" s="73" t="s">
        <v>94</v>
      </c>
      <c r="J56" s="75">
        <f t="shared" si="1"/>
        <v>1004.4915254237288</v>
      </c>
      <c r="K56" s="75">
        <f t="shared" si="2"/>
        <v>180.80847457627118</v>
      </c>
      <c r="L56" s="75"/>
      <c r="M56" s="75"/>
      <c r="N56" s="75"/>
      <c r="O56" s="75"/>
      <c r="P56" s="75"/>
      <c r="Q56" s="75"/>
      <c r="R56" s="75"/>
      <c r="S56" s="75">
        <v>1185.3</v>
      </c>
      <c r="T56" s="72"/>
      <c r="U56" s="72"/>
      <c r="V56" s="88"/>
      <c r="W56" s="76"/>
      <c r="X56" s="71"/>
      <c r="Y56" s="72"/>
      <c r="Z56" s="72"/>
      <c r="AA56" s="72"/>
      <c r="AB56" s="72" t="s">
        <v>86</v>
      </c>
      <c r="AC56" s="93"/>
      <c r="AD56" s="71">
        <v>46191</v>
      </c>
      <c r="AE56" s="72" t="s">
        <v>940</v>
      </c>
      <c r="AF56" s="149" t="s">
        <v>942</v>
      </c>
      <c r="AG56" s="92"/>
      <c r="AH56" s="72" t="s">
        <v>88</v>
      </c>
      <c r="AI56" s="75"/>
      <c r="AJ56" s="72"/>
      <c r="AK56" s="72"/>
      <c r="AL56" s="77"/>
      <c r="AM56" s="72"/>
      <c r="AN56" s="72"/>
      <c r="AO56" s="72"/>
      <c r="AP56" s="72"/>
      <c r="AQ56" s="78"/>
      <c r="AR56" s="79">
        <v>18</v>
      </c>
      <c r="AS56" s="80" t="s">
        <v>816</v>
      </c>
      <c r="AT56" s="81"/>
      <c r="AU56" s="82"/>
    </row>
    <row r="57" spans="1:47" s="98" customFormat="1" ht="11.25" customHeight="1" x14ac:dyDescent="0.2">
      <c r="A57" s="71">
        <v>46191</v>
      </c>
      <c r="B57" s="71">
        <f t="shared" si="0"/>
        <v>46191</v>
      </c>
      <c r="C57" s="72" t="s">
        <v>83</v>
      </c>
      <c r="D57" s="73" t="s">
        <v>90</v>
      </c>
      <c r="E57" s="74"/>
      <c r="F57" s="72">
        <v>19070</v>
      </c>
      <c r="G57" s="74">
        <v>6</v>
      </c>
      <c r="H57" s="73">
        <v>20601682801</v>
      </c>
      <c r="I57" s="73" t="s">
        <v>94</v>
      </c>
      <c r="J57" s="75">
        <f t="shared" si="1"/>
        <v>1004.4915254237288</v>
      </c>
      <c r="K57" s="75">
        <f t="shared" si="2"/>
        <v>180.80847457627118</v>
      </c>
      <c r="L57" s="75"/>
      <c r="M57" s="75"/>
      <c r="N57" s="75"/>
      <c r="O57" s="75"/>
      <c r="P57" s="75"/>
      <c r="Q57" s="75"/>
      <c r="R57" s="75"/>
      <c r="S57" s="75">
        <v>1185.3</v>
      </c>
      <c r="T57" s="72"/>
      <c r="U57" s="72"/>
      <c r="V57" s="88"/>
      <c r="W57" s="76"/>
      <c r="X57" s="71"/>
      <c r="Y57" s="72"/>
      <c r="Z57" s="72"/>
      <c r="AA57" s="72"/>
      <c r="AB57" s="72" t="s">
        <v>86</v>
      </c>
      <c r="AC57" s="93"/>
      <c r="AD57" s="71">
        <v>46191</v>
      </c>
      <c r="AE57" s="72" t="s">
        <v>940</v>
      </c>
      <c r="AF57" s="149" t="s">
        <v>942</v>
      </c>
      <c r="AG57" s="92"/>
      <c r="AH57" s="72" t="s">
        <v>88</v>
      </c>
      <c r="AI57" s="75"/>
      <c r="AJ57" s="72"/>
      <c r="AK57" s="72"/>
      <c r="AL57" s="77"/>
      <c r="AM57" s="72"/>
      <c r="AN57" s="72"/>
      <c r="AO57" s="72"/>
      <c r="AP57" s="72"/>
      <c r="AQ57" s="78"/>
      <c r="AR57" s="79">
        <v>18</v>
      </c>
      <c r="AS57" s="80" t="s">
        <v>816</v>
      </c>
      <c r="AT57" s="81"/>
      <c r="AU57" s="82"/>
    </row>
    <row r="58" spans="1:47" s="98" customFormat="1" ht="11.25" customHeight="1" x14ac:dyDescent="0.2">
      <c r="A58" s="71">
        <v>46192</v>
      </c>
      <c r="B58" s="71">
        <f t="shared" si="0"/>
        <v>46192</v>
      </c>
      <c r="C58" s="72" t="s">
        <v>83</v>
      </c>
      <c r="D58" s="73" t="s">
        <v>90</v>
      </c>
      <c r="E58" s="74"/>
      <c r="F58" s="72">
        <v>19088</v>
      </c>
      <c r="G58" s="74">
        <v>6</v>
      </c>
      <c r="H58" s="73">
        <v>20601682801</v>
      </c>
      <c r="I58" s="73" t="s">
        <v>94</v>
      </c>
      <c r="J58" s="75">
        <f t="shared" si="1"/>
        <v>1004.4915254237288</v>
      </c>
      <c r="K58" s="75">
        <f t="shared" si="2"/>
        <v>180.80847457627118</v>
      </c>
      <c r="L58" s="75"/>
      <c r="M58" s="75"/>
      <c r="N58" s="75"/>
      <c r="O58" s="75"/>
      <c r="P58" s="75"/>
      <c r="Q58" s="75"/>
      <c r="R58" s="75"/>
      <c r="S58" s="75">
        <v>1185.3</v>
      </c>
      <c r="T58" s="72"/>
      <c r="U58" s="72"/>
      <c r="V58" s="88"/>
      <c r="W58" s="76"/>
      <c r="X58" s="71"/>
      <c r="Y58" s="72"/>
      <c r="Z58" s="72"/>
      <c r="AA58" s="72"/>
      <c r="AB58" s="72" t="s">
        <v>86</v>
      </c>
      <c r="AC58" s="93"/>
      <c r="AD58" s="71">
        <v>46192</v>
      </c>
      <c r="AE58" s="72" t="s">
        <v>940</v>
      </c>
      <c r="AF58" s="149" t="s">
        <v>942</v>
      </c>
      <c r="AG58" s="92"/>
      <c r="AH58" s="72" t="s">
        <v>88</v>
      </c>
      <c r="AI58" s="75"/>
      <c r="AJ58" s="72"/>
      <c r="AK58" s="72"/>
      <c r="AL58" s="77"/>
      <c r="AM58" s="72"/>
      <c r="AN58" s="72"/>
      <c r="AO58" s="72"/>
      <c r="AP58" s="72"/>
      <c r="AQ58" s="78"/>
      <c r="AR58" s="79">
        <v>18</v>
      </c>
      <c r="AS58" s="80" t="s">
        <v>816</v>
      </c>
      <c r="AT58" s="81"/>
      <c r="AU58" s="82"/>
    </row>
    <row r="59" spans="1:47" s="98" customFormat="1" ht="11.25" customHeight="1" x14ac:dyDescent="0.2">
      <c r="A59" s="71">
        <v>46192</v>
      </c>
      <c r="B59" s="71">
        <f t="shared" si="0"/>
        <v>46192</v>
      </c>
      <c r="C59" s="72" t="s">
        <v>83</v>
      </c>
      <c r="D59" s="73" t="s">
        <v>90</v>
      </c>
      <c r="E59" s="74"/>
      <c r="F59" s="72">
        <v>19093</v>
      </c>
      <c r="G59" s="74">
        <v>6</v>
      </c>
      <c r="H59" s="73">
        <v>20601682801</v>
      </c>
      <c r="I59" s="73" t="s">
        <v>94</v>
      </c>
      <c r="J59" s="75">
        <f t="shared" si="1"/>
        <v>1004.4915254237288</v>
      </c>
      <c r="K59" s="75">
        <f t="shared" si="2"/>
        <v>180.80847457627118</v>
      </c>
      <c r="L59" s="75"/>
      <c r="M59" s="75"/>
      <c r="N59" s="75"/>
      <c r="O59" s="75"/>
      <c r="P59" s="75"/>
      <c r="Q59" s="75"/>
      <c r="R59" s="75"/>
      <c r="S59" s="75">
        <v>1185.3</v>
      </c>
      <c r="T59" s="72"/>
      <c r="U59" s="72"/>
      <c r="V59" s="88"/>
      <c r="W59" s="76"/>
      <c r="X59" s="71"/>
      <c r="Y59" s="72"/>
      <c r="Z59" s="72"/>
      <c r="AA59" s="72"/>
      <c r="AB59" s="72" t="s">
        <v>86</v>
      </c>
      <c r="AC59" s="93"/>
      <c r="AD59" s="71">
        <v>46192</v>
      </c>
      <c r="AE59" s="72" t="s">
        <v>940</v>
      </c>
      <c r="AF59" s="149" t="s">
        <v>942</v>
      </c>
      <c r="AG59" s="92"/>
      <c r="AH59" s="72" t="s">
        <v>88</v>
      </c>
      <c r="AI59" s="75"/>
      <c r="AJ59" s="72"/>
      <c r="AK59" s="72"/>
      <c r="AL59" s="77"/>
      <c r="AM59" s="72"/>
      <c r="AN59" s="72"/>
      <c r="AO59" s="72"/>
      <c r="AP59" s="72"/>
      <c r="AQ59" s="78"/>
      <c r="AR59" s="79">
        <v>18</v>
      </c>
      <c r="AS59" s="80" t="s">
        <v>816</v>
      </c>
      <c r="AT59" s="81"/>
      <c r="AU59" s="82"/>
    </row>
    <row r="60" spans="1:47" s="98" customFormat="1" ht="11.25" customHeight="1" x14ac:dyDescent="0.2">
      <c r="A60" s="71">
        <v>46193</v>
      </c>
      <c r="B60" s="71">
        <f t="shared" si="0"/>
        <v>46193</v>
      </c>
      <c r="C60" s="72" t="s">
        <v>83</v>
      </c>
      <c r="D60" s="73" t="s">
        <v>90</v>
      </c>
      <c r="E60" s="74"/>
      <c r="F60" s="72">
        <v>19109</v>
      </c>
      <c r="G60" s="74">
        <v>6</v>
      </c>
      <c r="H60" s="73">
        <v>20601682801</v>
      </c>
      <c r="I60" s="73" t="s">
        <v>94</v>
      </c>
      <c r="J60" s="75">
        <f t="shared" si="1"/>
        <v>1004.4915254237288</v>
      </c>
      <c r="K60" s="75">
        <f t="shared" si="2"/>
        <v>180.80847457627118</v>
      </c>
      <c r="L60" s="75"/>
      <c r="M60" s="75"/>
      <c r="N60" s="75"/>
      <c r="O60" s="75"/>
      <c r="P60" s="75"/>
      <c r="Q60" s="75"/>
      <c r="R60" s="75"/>
      <c r="S60" s="75">
        <v>1185.3</v>
      </c>
      <c r="T60" s="72"/>
      <c r="U60" s="72"/>
      <c r="V60" s="88"/>
      <c r="W60" s="76"/>
      <c r="X60" s="71"/>
      <c r="Y60" s="72"/>
      <c r="Z60" s="72"/>
      <c r="AA60" s="72"/>
      <c r="AB60" s="72" t="s">
        <v>86</v>
      </c>
      <c r="AC60" s="93"/>
      <c r="AD60" s="71">
        <v>46193</v>
      </c>
      <c r="AE60" s="72" t="s">
        <v>940</v>
      </c>
      <c r="AF60" s="149" t="s">
        <v>942</v>
      </c>
      <c r="AG60" s="92"/>
      <c r="AH60" s="72" t="s">
        <v>88</v>
      </c>
      <c r="AI60" s="75"/>
      <c r="AJ60" s="72"/>
      <c r="AK60" s="72"/>
      <c r="AL60" s="77"/>
      <c r="AM60" s="72"/>
      <c r="AN60" s="72"/>
      <c r="AO60" s="72"/>
      <c r="AP60" s="72"/>
      <c r="AQ60" s="78"/>
      <c r="AR60" s="79">
        <v>18</v>
      </c>
      <c r="AS60" s="80" t="s">
        <v>816</v>
      </c>
      <c r="AT60" s="81"/>
      <c r="AU60" s="82"/>
    </row>
    <row r="61" spans="1:47" s="98" customFormat="1" ht="11.25" customHeight="1" x14ac:dyDescent="0.2">
      <c r="A61" s="71">
        <v>46193</v>
      </c>
      <c r="B61" s="71">
        <f t="shared" si="0"/>
        <v>46193</v>
      </c>
      <c r="C61" s="72" t="s">
        <v>83</v>
      </c>
      <c r="D61" s="73" t="s">
        <v>90</v>
      </c>
      <c r="E61" s="74"/>
      <c r="F61" s="72">
        <v>19114</v>
      </c>
      <c r="G61" s="74">
        <v>6</v>
      </c>
      <c r="H61" s="73">
        <v>20601682801</v>
      </c>
      <c r="I61" s="73" t="s">
        <v>94</v>
      </c>
      <c r="J61" s="75">
        <f t="shared" si="1"/>
        <v>1004.4915254237288</v>
      </c>
      <c r="K61" s="75">
        <f t="shared" si="2"/>
        <v>180.80847457627118</v>
      </c>
      <c r="L61" s="75"/>
      <c r="M61" s="75"/>
      <c r="N61" s="75"/>
      <c r="O61" s="75"/>
      <c r="P61" s="75"/>
      <c r="Q61" s="75"/>
      <c r="R61" s="75"/>
      <c r="S61" s="75">
        <v>1185.3</v>
      </c>
      <c r="T61" s="72"/>
      <c r="U61" s="72"/>
      <c r="V61" s="88"/>
      <c r="W61" s="76"/>
      <c r="X61" s="71"/>
      <c r="Y61" s="72"/>
      <c r="Z61" s="72"/>
      <c r="AA61" s="72"/>
      <c r="AB61" s="72" t="s">
        <v>86</v>
      </c>
      <c r="AC61" s="93"/>
      <c r="AD61" s="71">
        <v>46193</v>
      </c>
      <c r="AE61" s="72" t="s">
        <v>940</v>
      </c>
      <c r="AF61" s="149" t="s">
        <v>942</v>
      </c>
      <c r="AG61" s="92"/>
      <c r="AH61" s="72" t="s">
        <v>88</v>
      </c>
      <c r="AI61" s="75"/>
      <c r="AJ61" s="72"/>
      <c r="AK61" s="72"/>
      <c r="AL61" s="77"/>
      <c r="AM61" s="72"/>
      <c r="AN61" s="72"/>
      <c r="AO61" s="72"/>
      <c r="AP61" s="72"/>
      <c r="AQ61" s="78"/>
      <c r="AR61" s="79">
        <v>18</v>
      </c>
      <c r="AS61" s="80" t="s">
        <v>816</v>
      </c>
      <c r="AT61" s="81"/>
      <c r="AU61" s="82"/>
    </row>
    <row r="62" spans="1:47" s="98" customFormat="1" ht="11.25" customHeight="1" x14ac:dyDescent="0.2">
      <c r="A62" s="71">
        <v>46194</v>
      </c>
      <c r="B62" s="71">
        <f t="shared" si="0"/>
        <v>46194</v>
      </c>
      <c r="C62" s="72" t="s">
        <v>83</v>
      </c>
      <c r="D62" s="73" t="s">
        <v>90</v>
      </c>
      <c r="E62" s="74"/>
      <c r="F62" s="72">
        <v>19127</v>
      </c>
      <c r="G62" s="74">
        <v>6</v>
      </c>
      <c r="H62" s="73">
        <v>20601682801</v>
      </c>
      <c r="I62" s="73" t="s">
        <v>94</v>
      </c>
      <c r="J62" s="75">
        <f t="shared" si="1"/>
        <v>1004.4915254237288</v>
      </c>
      <c r="K62" s="75">
        <f t="shared" si="2"/>
        <v>180.80847457627118</v>
      </c>
      <c r="L62" s="75"/>
      <c r="M62" s="75"/>
      <c r="N62" s="75"/>
      <c r="O62" s="75"/>
      <c r="P62" s="75"/>
      <c r="Q62" s="75"/>
      <c r="R62" s="75"/>
      <c r="S62" s="75">
        <v>1185.3</v>
      </c>
      <c r="T62" s="72"/>
      <c r="U62" s="72"/>
      <c r="V62" s="88"/>
      <c r="W62" s="76"/>
      <c r="X62" s="71"/>
      <c r="Y62" s="72"/>
      <c r="Z62" s="72"/>
      <c r="AA62" s="72"/>
      <c r="AB62" s="72" t="s">
        <v>86</v>
      </c>
      <c r="AC62" s="93"/>
      <c r="AD62" s="71">
        <v>46194</v>
      </c>
      <c r="AE62" s="72" t="s">
        <v>940</v>
      </c>
      <c r="AF62" s="149" t="s">
        <v>942</v>
      </c>
      <c r="AG62" s="92"/>
      <c r="AH62" s="72" t="s">
        <v>88</v>
      </c>
      <c r="AI62" s="75"/>
      <c r="AJ62" s="72"/>
      <c r="AK62" s="72"/>
      <c r="AL62" s="77"/>
      <c r="AM62" s="72"/>
      <c r="AN62" s="72"/>
      <c r="AO62" s="72"/>
      <c r="AP62" s="72"/>
      <c r="AQ62" s="78"/>
      <c r="AR62" s="79">
        <v>18</v>
      </c>
      <c r="AS62" s="80" t="s">
        <v>816</v>
      </c>
      <c r="AT62" s="81"/>
      <c r="AU62" s="82"/>
    </row>
    <row r="63" spans="1:47" s="98" customFormat="1" ht="11.25" customHeight="1" x14ac:dyDescent="0.2">
      <c r="A63" s="71">
        <v>46195</v>
      </c>
      <c r="B63" s="71">
        <f t="shared" si="0"/>
        <v>46195</v>
      </c>
      <c r="C63" s="72" t="s">
        <v>83</v>
      </c>
      <c r="D63" s="73" t="s">
        <v>90</v>
      </c>
      <c r="E63" s="74"/>
      <c r="F63" s="72">
        <v>19146</v>
      </c>
      <c r="G63" s="74">
        <v>6</v>
      </c>
      <c r="H63" s="73">
        <v>20601682801</v>
      </c>
      <c r="I63" s="73" t="s">
        <v>94</v>
      </c>
      <c r="J63" s="75">
        <f t="shared" si="1"/>
        <v>1004.4915254237288</v>
      </c>
      <c r="K63" s="75">
        <f t="shared" si="2"/>
        <v>180.80847457627118</v>
      </c>
      <c r="L63" s="75"/>
      <c r="M63" s="75"/>
      <c r="N63" s="75"/>
      <c r="O63" s="75"/>
      <c r="P63" s="75"/>
      <c r="Q63" s="75"/>
      <c r="R63" s="75"/>
      <c r="S63" s="75">
        <v>1185.3</v>
      </c>
      <c r="T63" s="72"/>
      <c r="U63" s="72"/>
      <c r="V63" s="88"/>
      <c r="W63" s="76"/>
      <c r="X63" s="71"/>
      <c r="Y63" s="72"/>
      <c r="Z63" s="72"/>
      <c r="AA63" s="72"/>
      <c r="AB63" s="72" t="s">
        <v>86</v>
      </c>
      <c r="AC63" s="93"/>
      <c r="AD63" s="71">
        <v>46195</v>
      </c>
      <c r="AE63" s="72" t="s">
        <v>940</v>
      </c>
      <c r="AF63" s="149" t="s">
        <v>942</v>
      </c>
      <c r="AG63" s="92"/>
      <c r="AH63" s="72" t="s">
        <v>88</v>
      </c>
      <c r="AI63" s="75"/>
      <c r="AJ63" s="72"/>
      <c r="AK63" s="72"/>
      <c r="AL63" s="77"/>
      <c r="AM63" s="72"/>
      <c r="AN63" s="72"/>
      <c r="AO63" s="72"/>
      <c r="AP63" s="72"/>
      <c r="AQ63" s="78"/>
      <c r="AR63" s="79">
        <v>18</v>
      </c>
      <c r="AS63" s="80" t="s">
        <v>816</v>
      </c>
      <c r="AT63" s="81"/>
      <c r="AU63" s="82"/>
    </row>
    <row r="64" spans="1:47" s="98" customFormat="1" ht="11.25" customHeight="1" x14ac:dyDescent="0.2">
      <c r="A64" s="71">
        <v>46195</v>
      </c>
      <c r="B64" s="71">
        <f t="shared" si="0"/>
        <v>46195</v>
      </c>
      <c r="C64" s="72" t="s">
        <v>83</v>
      </c>
      <c r="D64" s="73" t="s">
        <v>90</v>
      </c>
      <c r="E64" s="74"/>
      <c r="F64" s="72">
        <v>19149</v>
      </c>
      <c r="G64" s="74">
        <v>6</v>
      </c>
      <c r="H64" s="73">
        <v>20601682801</v>
      </c>
      <c r="I64" s="73" t="s">
        <v>94</v>
      </c>
      <c r="J64" s="75">
        <f t="shared" si="1"/>
        <v>1004.4915254237288</v>
      </c>
      <c r="K64" s="75">
        <f t="shared" si="2"/>
        <v>180.80847457627118</v>
      </c>
      <c r="L64" s="75"/>
      <c r="M64" s="75"/>
      <c r="N64" s="75"/>
      <c r="O64" s="75"/>
      <c r="P64" s="75"/>
      <c r="Q64" s="75"/>
      <c r="R64" s="75"/>
      <c r="S64" s="75">
        <v>1185.3</v>
      </c>
      <c r="T64" s="72"/>
      <c r="U64" s="72"/>
      <c r="V64" s="88"/>
      <c r="W64" s="76"/>
      <c r="X64" s="71"/>
      <c r="Y64" s="72"/>
      <c r="Z64" s="72"/>
      <c r="AA64" s="72"/>
      <c r="AB64" s="72" t="s">
        <v>86</v>
      </c>
      <c r="AC64" s="93"/>
      <c r="AD64" s="71">
        <v>46195</v>
      </c>
      <c r="AE64" s="72" t="s">
        <v>940</v>
      </c>
      <c r="AF64" s="149" t="s">
        <v>942</v>
      </c>
      <c r="AG64" s="92"/>
      <c r="AH64" s="72" t="s">
        <v>88</v>
      </c>
      <c r="AI64" s="75"/>
      <c r="AJ64" s="72"/>
      <c r="AK64" s="72"/>
      <c r="AL64" s="77"/>
      <c r="AM64" s="72"/>
      <c r="AN64" s="72"/>
      <c r="AO64" s="72"/>
      <c r="AP64" s="72"/>
      <c r="AQ64" s="78"/>
      <c r="AR64" s="79">
        <v>18</v>
      </c>
      <c r="AS64" s="80" t="s">
        <v>816</v>
      </c>
      <c r="AT64" s="81"/>
      <c r="AU64" s="82"/>
    </row>
    <row r="65" spans="1:47" s="98" customFormat="1" ht="11.25" customHeight="1" x14ac:dyDescent="0.2">
      <c r="A65" s="71">
        <v>46202</v>
      </c>
      <c r="B65" s="71">
        <f t="shared" si="0"/>
        <v>46202</v>
      </c>
      <c r="C65" s="72" t="s">
        <v>83</v>
      </c>
      <c r="D65" s="73" t="s">
        <v>90</v>
      </c>
      <c r="E65" s="74"/>
      <c r="F65" s="72">
        <v>19314</v>
      </c>
      <c r="G65" s="74">
        <v>6</v>
      </c>
      <c r="H65" s="73">
        <v>20601682801</v>
      </c>
      <c r="I65" s="73" t="s">
        <v>94</v>
      </c>
      <c r="J65" s="75">
        <f t="shared" si="1"/>
        <v>1004.4915254237288</v>
      </c>
      <c r="K65" s="75">
        <f t="shared" si="2"/>
        <v>180.80847457627118</v>
      </c>
      <c r="L65" s="75"/>
      <c r="M65" s="75"/>
      <c r="N65" s="75"/>
      <c r="O65" s="75"/>
      <c r="P65" s="75"/>
      <c r="Q65" s="75"/>
      <c r="R65" s="75"/>
      <c r="S65" s="75">
        <v>1185.3</v>
      </c>
      <c r="T65" s="72"/>
      <c r="U65" s="72"/>
      <c r="V65" s="88"/>
      <c r="W65" s="76"/>
      <c r="X65" s="71"/>
      <c r="Y65" s="72"/>
      <c r="Z65" s="72"/>
      <c r="AA65" s="72"/>
      <c r="AB65" s="72" t="s">
        <v>86</v>
      </c>
      <c r="AC65" s="93"/>
      <c r="AD65" s="71">
        <v>46202</v>
      </c>
      <c r="AE65" s="72" t="s">
        <v>940</v>
      </c>
      <c r="AF65" s="149" t="s">
        <v>942</v>
      </c>
      <c r="AG65" s="92"/>
      <c r="AH65" s="72" t="s">
        <v>88</v>
      </c>
      <c r="AI65" s="75"/>
      <c r="AJ65" s="72"/>
      <c r="AK65" s="72"/>
      <c r="AL65" s="77"/>
      <c r="AM65" s="72"/>
      <c r="AN65" s="72"/>
      <c r="AO65" s="72"/>
      <c r="AP65" s="72"/>
      <c r="AQ65" s="78"/>
      <c r="AR65" s="79">
        <v>18</v>
      </c>
      <c r="AS65" s="80" t="s">
        <v>816</v>
      </c>
      <c r="AT65" s="81"/>
      <c r="AU65" s="82"/>
    </row>
    <row r="66" spans="1:47" s="98" customFormat="1" ht="11.25" customHeight="1" x14ac:dyDescent="0.2">
      <c r="A66" s="71">
        <v>46202</v>
      </c>
      <c r="B66" s="71">
        <f t="shared" si="0"/>
        <v>46202</v>
      </c>
      <c r="C66" s="72" t="s">
        <v>83</v>
      </c>
      <c r="D66" s="73" t="s">
        <v>90</v>
      </c>
      <c r="E66" s="74"/>
      <c r="F66" s="72">
        <v>19315</v>
      </c>
      <c r="G66" s="74">
        <v>6</v>
      </c>
      <c r="H66" s="73">
        <v>20601682801</v>
      </c>
      <c r="I66" s="73" t="s">
        <v>94</v>
      </c>
      <c r="J66" s="75">
        <f t="shared" si="1"/>
        <v>1004.4915254237288</v>
      </c>
      <c r="K66" s="75">
        <f t="shared" si="2"/>
        <v>180.80847457627118</v>
      </c>
      <c r="L66" s="75"/>
      <c r="M66" s="75"/>
      <c r="N66" s="75"/>
      <c r="O66" s="75"/>
      <c r="P66" s="75"/>
      <c r="Q66" s="75"/>
      <c r="R66" s="75"/>
      <c r="S66" s="75">
        <v>1185.3</v>
      </c>
      <c r="T66" s="72"/>
      <c r="U66" s="72"/>
      <c r="V66" s="88"/>
      <c r="W66" s="76"/>
      <c r="X66" s="71"/>
      <c r="Y66" s="72"/>
      <c r="Z66" s="72"/>
      <c r="AA66" s="72"/>
      <c r="AB66" s="72" t="s">
        <v>86</v>
      </c>
      <c r="AC66" s="93"/>
      <c r="AD66" s="71">
        <v>46202</v>
      </c>
      <c r="AE66" s="72" t="s">
        <v>940</v>
      </c>
      <c r="AF66" s="149" t="s">
        <v>942</v>
      </c>
      <c r="AG66" s="92"/>
      <c r="AH66" s="72" t="s">
        <v>88</v>
      </c>
      <c r="AI66" s="75"/>
      <c r="AJ66" s="72"/>
      <c r="AK66" s="72"/>
      <c r="AL66" s="77"/>
      <c r="AM66" s="72"/>
      <c r="AN66" s="72"/>
      <c r="AO66" s="72"/>
      <c r="AP66" s="72"/>
      <c r="AQ66" s="78"/>
      <c r="AR66" s="79">
        <v>18</v>
      </c>
      <c r="AS66" s="80" t="s">
        <v>816</v>
      </c>
      <c r="AT66" s="81"/>
      <c r="AU66" s="82"/>
    </row>
    <row r="67" spans="1:47" s="98" customFormat="1" ht="11.25" customHeight="1" x14ac:dyDescent="0.2">
      <c r="A67" s="71">
        <v>46202</v>
      </c>
      <c r="B67" s="71">
        <f t="shared" si="0"/>
        <v>46202</v>
      </c>
      <c r="C67" s="72" t="s">
        <v>83</v>
      </c>
      <c r="D67" s="73" t="s">
        <v>90</v>
      </c>
      <c r="E67" s="74"/>
      <c r="F67" s="72">
        <v>19319</v>
      </c>
      <c r="G67" s="74">
        <v>6</v>
      </c>
      <c r="H67" s="73">
        <v>20601682801</v>
      </c>
      <c r="I67" s="73" t="s">
        <v>94</v>
      </c>
      <c r="J67" s="75">
        <f t="shared" si="1"/>
        <v>1004.4915254237288</v>
      </c>
      <c r="K67" s="75">
        <f t="shared" si="2"/>
        <v>180.80847457627118</v>
      </c>
      <c r="L67" s="75"/>
      <c r="M67" s="75"/>
      <c r="N67" s="75"/>
      <c r="O67" s="75"/>
      <c r="P67" s="75"/>
      <c r="Q67" s="75"/>
      <c r="R67" s="75"/>
      <c r="S67" s="75">
        <v>1185.3</v>
      </c>
      <c r="T67" s="72"/>
      <c r="U67" s="72"/>
      <c r="V67" s="88"/>
      <c r="W67" s="76"/>
      <c r="X67" s="71"/>
      <c r="Y67" s="72"/>
      <c r="Z67" s="72"/>
      <c r="AA67" s="72"/>
      <c r="AB67" s="72" t="s">
        <v>86</v>
      </c>
      <c r="AC67" s="93"/>
      <c r="AD67" s="71">
        <v>46202</v>
      </c>
      <c r="AE67" s="72" t="s">
        <v>940</v>
      </c>
      <c r="AF67" s="149" t="s">
        <v>942</v>
      </c>
      <c r="AG67" s="92"/>
      <c r="AH67" s="72" t="s">
        <v>88</v>
      </c>
      <c r="AI67" s="75"/>
      <c r="AJ67" s="72"/>
      <c r="AK67" s="72"/>
      <c r="AL67" s="77"/>
      <c r="AM67" s="72"/>
      <c r="AN67" s="72"/>
      <c r="AO67" s="72"/>
      <c r="AP67" s="72"/>
      <c r="AQ67" s="78"/>
      <c r="AR67" s="79">
        <v>18</v>
      </c>
      <c r="AS67" s="80" t="s">
        <v>816</v>
      </c>
      <c r="AT67" s="81"/>
      <c r="AU67" s="82"/>
    </row>
    <row r="68" spans="1:47" s="98" customFormat="1" ht="11.25" customHeight="1" x14ac:dyDescent="0.2">
      <c r="A68" s="71">
        <v>46203</v>
      </c>
      <c r="B68" s="71">
        <f t="shared" si="0"/>
        <v>46203</v>
      </c>
      <c r="C68" s="72" t="s">
        <v>83</v>
      </c>
      <c r="D68" s="73" t="s">
        <v>90</v>
      </c>
      <c r="E68" s="74"/>
      <c r="F68" s="72">
        <v>19329</v>
      </c>
      <c r="G68" s="74">
        <v>6</v>
      </c>
      <c r="H68" s="73">
        <v>20601682801</v>
      </c>
      <c r="I68" s="73" t="s">
        <v>94</v>
      </c>
      <c r="J68" s="75">
        <f t="shared" si="1"/>
        <v>1004.4915254237288</v>
      </c>
      <c r="K68" s="75">
        <f t="shared" si="2"/>
        <v>180.80847457627118</v>
      </c>
      <c r="L68" s="75"/>
      <c r="M68" s="75"/>
      <c r="N68" s="75"/>
      <c r="O68" s="75"/>
      <c r="P68" s="75"/>
      <c r="Q68" s="75"/>
      <c r="R68" s="75"/>
      <c r="S68" s="75">
        <v>1185.3</v>
      </c>
      <c r="T68" s="72"/>
      <c r="U68" s="72"/>
      <c r="V68" s="88"/>
      <c r="W68" s="76"/>
      <c r="X68" s="71"/>
      <c r="Y68" s="72"/>
      <c r="Z68" s="72"/>
      <c r="AA68" s="72"/>
      <c r="AB68" s="72" t="s">
        <v>86</v>
      </c>
      <c r="AC68" s="93"/>
      <c r="AD68" s="71">
        <v>46203</v>
      </c>
      <c r="AE68" s="72" t="s">
        <v>940</v>
      </c>
      <c r="AF68" s="149" t="s">
        <v>942</v>
      </c>
      <c r="AG68" s="92"/>
      <c r="AH68" s="72" t="s">
        <v>88</v>
      </c>
      <c r="AI68" s="75"/>
      <c r="AJ68" s="72"/>
      <c r="AK68" s="72"/>
      <c r="AL68" s="77"/>
      <c r="AM68" s="72"/>
      <c r="AN68" s="72"/>
      <c r="AO68" s="72"/>
      <c r="AP68" s="72"/>
      <c r="AQ68" s="78"/>
      <c r="AR68" s="79">
        <v>18</v>
      </c>
      <c r="AS68" s="80" t="s">
        <v>816</v>
      </c>
      <c r="AT68" s="81"/>
      <c r="AU68" s="82"/>
    </row>
    <row r="69" spans="1:47" s="98" customFormat="1" ht="11.25" customHeight="1" x14ac:dyDescent="0.2">
      <c r="A69" s="71">
        <v>46203</v>
      </c>
      <c r="B69" s="71">
        <f t="shared" si="0"/>
        <v>46203</v>
      </c>
      <c r="C69" s="72" t="s">
        <v>83</v>
      </c>
      <c r="D69" s="73" t="s">
        <v>90</v>
      </c>
      <c r="E69" s="74"/>
      <c r="F69" s="72">
        <v>19332</v>
      </c>
      <c r="G69" s="74">
        <v>6</v>
      </c>
      <c r="H69" s="73">
        <v>20601682801</v>
      </c>
      <c r="I69" s="73" t="s">
        <v>94</v>
      </c>
      <c r="J69" s="75">
        <f t="shared" si="1"/>
        <v>1004.4915254237288</v>
      </c>
      <c r="K69" s="75">
        <f t="shared" si="2"/>
        <v>180.80847457627118</v>
      </c>
      <c r="L69" s="75"/>
      <c r="M69" s="75"/>
      <c r="N69" s="75"/>
      <c r="O69" s="75"/>
      <c r="P69" s="75"/>
      <c r="Q69" s="75"/>
      <c r="R69" s="75"/>
      <c r="S69" s="75">
        <v>1185.3</v>
      </c>
      <c r="T69" s="72"/>
      <c r="U69" s="72"/>
      <c r="V69" s="88"/>
      <c r="W69" s="76"/>
      <c r="X69" s="71"/>
      <c r="Y69" s="72"/>
      <c r="Z69" s="72"/>
      <c r="AA69" s="72"/>
      <c r="AB69" s="72" t="s">
        <v>86</v>
      </c>
      <c r="AC69" s="93"/>
      <c r="AD69" s="71">
        <v>46203</v>
      </c>
      <c r="AE69" s="72" t="s">
        <v>940</v>
      </c>
      <c r="AF69" s="149" t="s">
        <v>942</v>
      </c>
      <c r="AG69" s="92"/>
      <c r="AH69" s="72" t="s">
        <v>88</v>
      </c>
      <c r="AI69" s="75"/>
      <c r="AJ69" s="72"/>
      <c r="AK69" s="72"/>
      <c r="AL69" s="77"/>
      <c r="AM69" s="72"/>
      <c r="AN69" s="72"/>
      <c r="AO69" s="72"/>
      <c r="AP69" s="72"/>
      <c r="AQ69" s="78"/>
      <c r="AR69" s="79">
        <v>18</v>
      </c>
      <c r="AS69" s="80" t="s">
        <v>816</v>
      </c>
      <c r="AT69" s="81"/>
      <c r="AU69" s="82"/>
    </row>
    <row r="70" spans="1:47" s="98" customFormat="1" ht="11.25" customHeight="1" x14ac:dyDescent="0.2">
      <c r="A70" s="71">
        <v>46203</v>
      </c>
      <c r="B70" s="71">
        <f t="shared" si="0"/>
        <v>46203</v>
      </c>
      <c r="C70" s="72" t="s">
        <v>83</v>
      </c>
      <c r="D70" s="73" t="s">
        <v>90</v>
      </c>
      <c r="E70" s="74"/>
      <c r="F70" s="72">
        <v>19336</v>
      </c>
      <c r="G70" s="74">
        <v>6</v>
      </c>
      <c r="H70" s="73">
        <v>20601682801</v>
      </c>
      <c r="I70" s="73" t="s">
        <v>94</v>
      </c>
      <c r="J70" s="75">
        <f t="shared" si="1"/>
        <v>1004.4915254237288</v>
      </c>
      <c r="K70" s="75">
        <f t="shared" si="2"/>
        <v>180.80847457627118</v>
      </c>
      <c r="L70" s="75"/>
      <c r="M70" s="75"/>
      <c r="N70" s="75"/>
      <c r="O70" s="75"/>
      <c r="P70" s="75"/>
      <c r="Q70" s="75"/>
      <c r="R70" s="75"/>
      <c r="S70" s="75">
        <v>1185.3</v>
      </c>
      <c r="T70" s="72"/>
      <c r="U70" s="72"/>
      <c r="V70" s="88"/>
      <c r="W70" s="76"/>
      <c r="X70" s="71"/>
      <c r="Y70" s="72"/>
      <c r="Z70" s="72"/>
      <c r="AA70" s="72"/>
      <c r="AB70" s="72" t="s">
        <v>86</v>
      </c>
      <c r="AC70" s="93"/>
      <c r="AD70" s="71">
        <v>46203</v>
      </c>
      <c r="AE70" s="72" t="s">
        <v>940</v>
      </c>
      <c r="AF70" s="149" t="s">
        <v>942</v>
      </c>
      <c r="AG70" s="92"/>
      <c r="AH70" s="72" t="s">
        <v>88</v>
      </c>
      <c r="AI70" s="75"/>
      <c r="AJ70" s="72"/>
      <c r="AK70" s="72"/>
      <c r="AL70" s="77"/>
      <c r="AM70" s="72"/>
      <c r="AN70" s="72"/>
      <c r="AO70" s="72"/>
      <c r="AP70" s="72"/>
      <c r="AQ70" s="78"/>
      <c r="AR70" s="79">
        <v>18</v>
      </c>
      <c r="AS70" s="80" t="s">
        <v>816</v>
      </c>
      <c r="AT70" s="81"/>
      <c r="AU70" s="82"/>
    </row>
    <row r="71" spans="1:47" s="113" customFormat="1" ht="11.25" customHeight="1" x14ac:dyDescent="0.2">
      <c r="A71" s="100">
        <v>46203</v>
      </c>
      <c r="B71" s="100">
        <f t="shared" si="0"/>
        <v>46203</v>
      </c>
      <c r="C71" s="101" t="s">
        <v>83</v>
      </c>
      <c r="D71" s="102" t="s">
        <v>90</v>
      </c>
      <c r="E71" s="103"/>
      <c r="F71" s="101">
        <v>19342</v>
      </c>
      <c r="G71" s="103">
        <v>6</v>
      </c>
      <c r="H71" s="102">
        <v>20601682801</v>
      </c>
      <c r="I71" s="102" t="s">
        <v>94</v>
      </c>
      <c r="J71" s="104">
        <f t="shared" si="1"/>
        <v>200.85593220338984</v>
      </c>
      <c r="K71" s="104">
        <f t="shared" si="2"/>
        <v>36.154067796610171</v>
      </c>
      <c r="L71" s="104"/>
      <c r="M71" s="104"/>
      <c r="N71" s="104"/>
      <c r="O71" s="104"/>
      <c r="P71" s="104"/>
      <c r="Q71" s="104"/>
      <c r="R71" s="104"/>
      <c r="S71" s="104">
        <v>237.01</v>
      </c>
      <c r="T71" s="101"/>
      <c r="U71" s="101"/>
      <c r="V71" s="105"/>
      <c r="W71" s="106"/>
      <c r="X71" s="100"/>
      <c r="Y71" s="101"/>
      <c r="Z71" s="101"/>
      <c r="AA71" s="101"/>
      <c r="AB71" s="101" t="s">
        <v>86</v>
      </c>
      <c r="AC71" s="147"/>
      <c r="AD71" s="100">
        <v>46203</v>
      </c>
      <c r="AE71" s="101" t="s">
        <v>940</v>
      </c>
      <c r="AF71" s="149" t="s">
        <v>942</v>
      </c>
      <c r="AG71" s="148"/>
      <c r="AH71" s="101" t="s">
        <v>88</v>
      </c>
      <c r="AI71" s="104"/>
      <c r="AJ71" s="101"/>
      <c r="AK71" s="101"/>
      <c r="AL71" s="107"/>
      <c r="AM71" s="101"/>
      <c r="AN71" s="101"/>
      <c r="AO71" s="101"/>
      <c r="AP71" s="101"/>
      <c r="AQ71" s="108"/>
      <c r="AR71" s="109">
        <v>18</v>
      </c>
      <c r="AS71" s="110" t="s">
        <v>816</v>
      </c>
      <c r="AT71" s="111"/>
      <c r="AU71" s="112"/>
    </row>
    <row r="72" spans="1:47" s="98" customFormat="1" ht="11.25" customHeight="1" x14ac:dyDescent="0.2">
      <c r="A72" s="71">
        <v>46203</v>
      </c>
      <c r="B72" s="71">
        <f t="shared" si="0"/>
        <v>46203</v>
      </c>
      <c r="C72" s="72" t="s">
        <v>83</v>
      </c>
      <c r="D72" s="73" t="s">
        <v>90</v>
      </c>
      <c r="E72" s="74"/>
      <c r="F72" s="72">
        <v>19343</v>
      </c>
      <c r="G72" s="74">
        <v>6</v>
      </c>
      <c r="H72" s="73">
        <v>20601682801</v>
      </c>
      <c r="I72" s="73" t="s">
        <v>94</v>
      </c>
      <c r="J72" s="75">
        <f t="shared" si="1"/>
        <v>217.56779661016952</v>
      </c>
      <c r="K72" s="75">
        <f t="shared" si="2"/>
        <v>39.162203389830516</v>
      </c>
      <c r="L72" s="75"/>
      <c r="M72" s="75"/>
      <c r="N72" s="75"/>
      <c r="O72" s="75"/>
      <c r="P72" s="75"/>
      <c r="Q72" s="75"/>
      <c r="R72" s="75"/>
      <c r="S72" s="75">
        <v>256.73</v>
      </c>
      <c r="T72" s="72"/>
      <c r="U72" s="72"/>
      <c r="V72" s="88"/>
      <c r="W72" s="76"/>
      <c r="X72" s="71"/>
      <c r="Y72" s="72"/>
      <c r="Z72" s="72"/>
      <c r="AA72" s="72"/>
      <c r="AB72" s="72" t="s">
        <v>86</v>
      </c>
      <c r="AC72" s="93"/>
      <c r="AD72" s="71">
        <v>46203</v>
      </c>
      <c r="AE72" s="72" t="s">
        <v>940</v>
      </c>
      <c r="AF72" s="149" t="s">
        <v>942</v>
      </c>
      <c r="AG72" s="92"/>
      <c r="AH72" s="72" t="s">
        <v>88</v>
      </c>
      <c r="AI72" s="75"/>
      <c r="AJ72" s="72"/>
      <c r="AK72" s="72"/>
      <c r="AL72" s="77"/>
      <c r="AM72" s="72"/>
      <c r="AN72" s="72"/>
      <c r="AO72" s="72"/>
      <c r="AP72" s="72"/>
      <c r="AQ72" s="78"/>
      <c r="AR72" s="79">
        <v>18</v>
      </c>
      <c r="AS72" s="80" t="s">
        <v>816</v>
      </c>
      <c r="AT72" s="81"/>
      <c r="AU72" s="82"/>
    </row>
    <row r="73" spans="1:47" s="98" customFormat="1" ht="11.25" customHeight="1" x14ac:dyDescent="0.2">
      <c r="A73" s="71">
        <v>46174</v>
      </c>
      <c r="B73" s="71">
        <f t="shared" si="0"/>
        <v>46174</v>
      </c>
      <c r="C73" s="72" t="s">
        <v>83</v>
      </c>
      <c r="D73" s="73" t="s">
        <v>91</v>
      </c>
      <c r="E73" s="74"/>
      <c r="F73" s="72">
        <v>68369</v>
      </c>
      <c r="G73" s="74">
        <v>6</v>
      </c>
      <c r="H73" s="73">
        <v>20281453492</v>
      </c>
      <c r="I73" s="73" t="s">
        <v>95</v>
      </c>
      <c r="J73" s="75">
        <f t="shared" si="1"/>
        <v>16.949152542372882</v>
      </c>
      <c r="K73" s="75">
        <f t="shared" si="2"/>
        <v>3.0508474576271185</v>
      </c>
      <c r="L73" s="75"/>
      <c r="M73" s="75"/>
      <c r="N73" s="75"/>
      <c r="O73" s="75"/>
      <c r="P73" s="75"/>
      <c r="Q73" s="75"/>
      <c r="R73" s="75"/>
      <c r="S73" s="75">
        <v>20</v>
      </c>
      <c r="T73" s="72"/>
      <c r="U73" s="72"/>
      <c r="V73" s="88"/>
      <c r="W73" s="76"/>
      <c r="X73" s="71"/>
      <c r="Y73" s="72"/>
      <c r="Z73" s="72"/>
      <c r="AA73" s="72"/>
      <c r="AB73" s="72" t="s">
        <v>86</v>
      </c>
      <c r="AC73" s="93"/>
      <c r="AD73" s="71">
        <v>46174</v>
      </c>
      <c r="AE73" s="72" t="s">
        <v>940</v>
      </c>
      <c r="AF73" s="149" t="s">
        <v>943</v>
      </c>
      <c r="AG73" s="92"/>
      <c r="AH73" s="72" t="s">
        <v>88</v>
      </c>
      <c r="AI73" s="75"/>
      <c r="AJ73" s="72"/>
      <c r="AK73" s="72"/>
      <c r="AL73" s="77"/>
      <c r="AM73" s="72"/>
      <c r="AN73" s="72"/>
      <c r="AO73" s="72"/>
      <c r="AP73" s="72"/>
      <c r="AQ73" s="78"/>
      <c r="AR73" s="79">
        <v>18</v>
      </c>
      <c r="AS73" s="80" t="s">
        <v>815</v>
      </c>
      <c r="AT73" s="81"/>
      <c r="AU73" s="82"/>
    </row>
    <row r="74" spans="1:47" s="98" customFormat="1" ht="11.25" customHeight="1" x14ac:dyDescent="0.2">
      <c r="A74" s="71">
        <v>46174</v>
      </c>
      <c r="B74" s="71">
        <f t="shared" si="0"/>
        <v>46174</v>
      </c>
      <c r="C74" s="72" t="s">
        <v>83</v>
      </c>
      <c r="D74" s="73" t="s">
        <v>91</v>
      </c>
      <c r="E74" s="74"/>
      <c r="F74" s="72">
        <v>68371</v>
      </c>
      <c r="G74" s="74">
        <v>6</v>
      </c>
      <c r="H74" s="73">
        <v>20281453492</v>
      </c>
      <c r="I74" s="73" t="s">
        <v>95</v>
      </c>
      <c r="J74" s="75">
        <f t="shared" si="1"/>
        <v>16.949152542372882</v>
      </c>
      <c r="K74" s="75">
        <f t="shared" si="2"/>
        <v>3.0508474576271185</v>
      </c>
      <c r="L74" s="75"/>
      <c r="M74" s="75"/>
      <c r="N74" s="75"/>
      <c r="O74" s="75"/>
      <c r="P74" s="75"/>
      <c r="Q74" s="75"/>
      <c r="R74" s="75"/>
      <c r="S74" s="75">
        <v>20</v>
      </c>
      <c r="T74" s="72"/>
      <c r="U74" s="72"/>
      <c r="V74" s="88"/>
      <c r="W74" s="76"/>
      <c r="X74" s="71"/>
      <c r="Y74" s="72"/>
      <c r="Z74" s="72"/>
      <c r="AA74" s="72"/>
      <c r="AB74" s="72" t="s">
        <v>86</v>
      </c>
      <c r="AC74" s="93"/>
      <c r="AD74" s="71">
        <v>46174</v>
      </c>
      <c r="AE74" s="72" t="s">
        <v>940</v>
      </c>
      <c r="AF74" s="149" t="s">
        <v>943</v>
      </c>
      <c r="AG74" s="92"/>
      <c r="AH74" s="72" t="s">
        <v>88</v>
      </c>
      <c r="AI74" s="75"/>
      <c r="AJ74" s="72"/>
      <c r="AK74" s="72"/>
      <c r="AL74" s="77"/>
      <c r="AM74" s="72"/>
      <c r="AN74" s="72"/>
      <c r="AO74" s="72"/>
      <c r="AP74" s="72"/>
      <c r="AQ74" s="78"/>
      <c r="AR74" s="79">
        <v>18</v>
      </c>
      <c r="AS74" s="80" t="s">
        <v>815</v>
      </c>
      <c r="AT74" s="81"/>
      <c r="AU74" s="82"/>
    </row>
    <row r="75" spans="1:47" s="98" customFormat="1" ht="11.25" customHeight="1" x14ac:dyDescent="0.2">
      <c r="A75" s="71">
        <v>46174</v>
      </c>
      <c r="B75" s="71">
        <f t="shared" si="0"/>
        <v>46174</v>
      </c>
      <c r="C75" s="72" t="s">
        <v>83</v>
      </c>
      <c r="D75" s="73" t="s">
        <v>91</v>
      </c>
      <c r="E75" s="74"/>
      <c r="F75" s="72">
        <v>68373</v>
      </c>
      <c r="G75" s="74">
        <v>6</v>
      </c>
      <c r="H75" s="73">
        <v>20281453492</v>
      </c>
      <c r="I75" s="73" t="s">
        <v>95</v>
      </c>
      <c r="J75" s="75">
        <f t="shared" si="1"/>
        <v>16.949152542372882</v>
      </c>
      <c r="K75" s="75">
        <f t="shared" si="2"/>
        <v>3.0508474576271185</v>
      </c>
      <c r="L75" s="75"/>
      <c r="M75" s="75"/>
      <c r="N75" s="75"/>
      <c r="O75" s="75"/>
      <c r="P75" s="75"/>
      <c r="Q75" s="75"/>
      <c r="R75" s="75"/>
      <c r="S75" s="75">
        <v>20</v>
      </c>
      <c r="T75" s="72"/>
      <c r="U75" s="72"/>
      <c r="V75" s="88"/>
      <c r="W75" s="76"/>
      <c r="X75" s="71"/>
      <c r="Y75" s="72"/>
      <c r="Z75" s="72"/>
      <c r="AA75" s="72"/>
      <c r="AB75" s="72" t="s">
        <v>86</v>
      </c>
      <c r="AC75" s="93"/>
      <c r="AD75" s="71">
        <v>46174</v>
      </c>
      <c r="AE75" s="72" t="s">
        <v>940</v>
      </c>
      <c r="AF75" s="149" t="s">
        <v>943</v>
      </c>
      <c r="AG75" s="92"/>
      <c r="AH75" s="72" t="s">
        <v>88</v>
      </c>
      <c r="AI75" s="75"/>
      <c r="AJ75" s="72"/>
      <c r="AK75" s="72"/>
      <c r="AL75" s="77"/>
      <c r="AM75" s="72"/>
      <c r="AN75" s="72"/>
      <c r="AO75" s="72"/>
      <c r="AP75" s="72"/>
      <c r="AQ75" s="78"/>
      <c r="AR75" s="79">
        <v>18</v>
      </c>
      <c r="AS75" s="80" t="s">
        <v>815</v>
      </c>
      <c r="AT75" s="81"/>
      <c r="AU75" s="82"/>
    </row>
    <row r="76" spans="1:47" s="98" customFormat="1" ht="11.25" customHeight="1" x14ac:dyDescent="0.2">
      <c r="A76" s="71">
        <v>46175</v>
      </c>
      <c r="B76" s="71">
        <f t="shared" si="0"/>
        <v>46175</v>
      </c>
      <c r="C76" s="72" t="s">
        <v>83</v>
      </c>
      <c r="D76" s="73" t="s">
        <v>91</v>
      </c>
      <c r="E76" s="74"/>
      <c r="F76" s="72">
        <v>68385</v>
      </c>
      <c r="G76" s="74">
        <v>6</v>
      </c>
      <c r="H76" s="73">
        <v>20281453492</v>
      </c>
      <c r="I76" s="73" t="s">
        <v>95</v>
      </c>
      <c r="J76" s="75">
        <f t="shared" si="1"/>
        <v>16.949152542372882</v>
      </c>
      <c r="K76" s="75">
        <f t="shared" si="2"/>
        <v>3.0508474576271185</v>
      </c>
      <c r="L76" s="75"/>
      <c r="M76" s="75"/>
      <c r="N76" s="75"/>
      <c r="O76" s="75"/>
      <c r="P76" s="75"/>
      <c r="Q76" s="75"/>
      <c r="R76" s="75"/>
      <c r="S76" s="75">
        <v>20</v>
      </c>
      <c r="T76" s="72"/>
      <c r="U76" s="72"/>
      <c r="V76" s="88"/>
      <c r="W76" s="76"/>
      <c r="X76" s="71"/>
      <c r="Y76" s="72"/>
      <c r="Z76" s="72"/>
      <c r="AA76" s="72"/>
      <c r="AB76" s="72" t="s">
        <v>86</v>
      </c>
      <c r="AC76" s="93"/>
      <c r="AD76" s="71">
        <v>46175</v>
      </c>
      <c r="AE76" s="72" t="s">
        <v>940</v>
      </c>
      <c r="AF76" s="149" t="s">
        <v>943</v>
      </c>
      <c r="AG76" s="92"/>
      <c r="AH76" s="72" t="s">
        <v>88</v>
      </c>
      <c r="AI76" s="75"/>
      <c r="AJ76" s="72"/>
      <c r="AK76" s="72"/>
      <c r="AL76" s="77"/>
      <c r="AM76" s="72"/>
      <c r="AN76" s="72"/>
      <c r="AO76" s="72"/>
      <c r="AP76" s="72"/>
      <c r="AQ76" s="78"/>
      <c r="AR76" s="79">
        <v>18</v>
      </c>
      <c r="AS76" s="80" t="s">
        <v>815</v>
      </c>
      <c r="AT76" s="81"/>
      <c r="AU76" s="82"/>
    </row>
    <row r="77" spans="1:47" s="98" customFormat="1" ht="11.25" customHeight="1" x14ac:dyDescent="0.2">
      <c r="A77" s="71">
        <v>46175</v>
      </c>
      <c r="B77" s="71">
        <f t="shared" si="0"/>
        <v>46175</v>
      </c>
      <c r="C77" s="72" t="s">
        <v>83</v>
      </c>
      <c r="D77" s="73" t="s">
        <v>91</v>
      </c>
      <c r="E77" s="74"/>
      <c r="F77" s="72">
        <v>68387</v>
      </c>
      <c r="G77" s="74">
        <v>6</v>
      </c>
      <c r="H77" s="73">
        <v>20281453492</v>
      </c>
      <c r="I77" s="73" t="s">
        <v>95</v>
      </c>
      <c r="J77" s="75">
        <f t="shared" si="1"/>
        <v>16.949152542372882</v>
      </c>
      <c r="K77" s="75">
        <f t="shared" si="2"/>
        <v>3.0508474576271185</v>
      </c>
      <c r="L77" s="75"/>
      <c r="M77" s="75"/>
      <c r="N77" s="75"/>
      <c r="O77" s="75"/>
      <c r="P77" s="75"/>
      <c r="Q77" s="75"/>
      <c r="R77" s="75"/>
      <c r="S77" s="75">
        <v>20</v>
      </c>
      <c r="T77" s="72"/>
      <c r="U77" s="72"/>
      <c r="V77" s="88"/>
      <c r="W77" s="76"/>
      <c r="X77" s="71"/>
      <c r="Y77" s="72"/>
      <c r="Z77" s="72"/>
      <c r="AA77" s="72"/>
      <c r="AB77" s="72" t="s">
        <v>86</v>
      </c>
      <c r="AC77" s="93"/>
      <c r="AD77" s="71">
        <v>46175</v>
      </c>
      <c r="AE77" s="72" t="s">
        <v>940</v>
      </c>
      <c r="AF77" s="149" t="s">
        <v>943</v>
      </c>
      <c r="AG77" s="92"/>
      <c r="AH77" s="72" t="s">
        <v>88</v>
      </c>
      <c r="AI77" s="75"/>
      <c r="AJ77" s="72"/>
      <c r="AK77" s="72"/>
      <c r="AL77" s="77"/>
      <c r="AM77" s="72"/>
      <c r="AN77" s="72"/>
      <c r="AO77" s="72"/>
      <c r="AP77" s="72"/>
      <c r="AQ77" s="78"/>
      <c r="AR77" s="79">
        <v>18</v>
      </c>
      <c r="AS77" s="80" t="s">
        <v>815</v>
      </c>
      <c r="AT77" s="81"/>
      <c r="AU77" s="82"/>
    </row>
    <row r="78" spans="1:47" s="98" customFormat="1" ht="11.25" customHeight="1" x14ac:dyDescent="0.2">
      <c r="A78" s="71">
        <v>46175</v>
      </c>
      <c r="B78" s="71">
        <f t="shared" ref="B78:B137" si="3">+A78</f>
        <v>46175</v>
      </c>
      <c r="C78" s="72" t="s">
        <v>83</v>
      </c>
      <c r="D78" s="73" t="s">
        <v>91</v>
      </c>
      <c r="E78" s="74"/>
      <c r="F78" s="72">
        <v>68394</v>
      </c>
      <c r="G78" s="74">
        <v>6</v>
      </c>
      <c r="H78" s="73">
        <v>20281453492</v>
      </c>
      <c r="I78" s="73" t="s">
        <v>95</v>
      </c>
      <c r="J78" s="75">
        <f t="shared" ref="J78:J137" si="4">+S78/1.18</f>
        <v>84.745762711864415</v>
      </c>
      <c r="K78" s="75">
        <f t="shared" ref="K78:K137" si="5">+J78*0.18</f>
        <v>15.254237288135593</v>
      </c>
      <c r="L78" s="75"/>
      <c r="M78" s="75"/>
      <c r="N78" s="75"/>
      <c r="O78" s="75"/>
      <c r="P78" s="75"/>
      <c r="Q78" s="75"/>
      <c r="R78" s="75"/>
      <c r="S78" s="75">
        <v>100</v>
      </c>
      <c r="T78" s="72"/>
      <c r="U78" s="72"/>
      <c r="V78" s="88"/>
      <c r="W78" s="76"/>
      <c r="X78" s="71"/>
      <c r="Y78" s="72"/>
      <c r="Z78" s="72"/>
      <c r="AA78" s="72"/>
      <c r="AB78" s="72" t="s">
        <v>86</v>
      </c>
      <c r="AC78" s="93"/>
      <c r="AD78" s="71">
        <v>46175</v>
      </c>
      <c r="AE78" s="72" t="s">
        <v>940</v>
      </c>
      <c r="AF78" s="149" t="s">
        <v>943</v>
      </c>
      <c r="AG78" s="92"/>
      <c r="AH78" s="72" t="s">
        <v>88</v>
      </c>
      <c r="AI78" s="75"/>
      <c r="AJ78" s="72"/>
      <c r="AK78" s="72"/>
      <c r="AL78" s="77"/>
      <c r="AM78" s="72"/>
      <c r="AN78" s="72"/>
      <c r="AO78" s="72"/>
      <c r="AP78" s="72"/>
      <c r="AQ78" s="78"/>
      <c r="AR78" s="79">
        <v>18</v>
      </c>
      <c r="AS78" s="80" t="s">
        <v>815</v>
      </c>
      <c r="AT78" s="81"/>
      <c r="AU78" s="82"/>
    </row>
    <row r="79" spans="1:47" s="98" customFormat="1" ht="11.25" customHeight="1" x14ac:dyDescent="0.2">
      <c r="A79" s="71">
        <v>46176</v>
      </c>
      <c r="B79" s="71">
        <f t="shared" si="3"/>
        <v>46176</v>
      </c>
      <c r="C79" s="72" t="s">
        <v>83</v>
      </c>
      <c r="D79" s="73" t="s">
        <v>91</v>
      </c>
      <c r="E79" s="74"/>
      <c r="F79" s="72">
        <v>68398</v>
      </c>
      <c r="G79" s="74">
        <v>6</v>
      </c>
      <c r="H79" s="73">
        <v>20281453492</v>
      </c>
      <c r="I79" s="73" t="s">
        <v>95</v>
      </c>
      <c r="J79" s="75">
        <f t="shared" si="4"/>
        <v>16.949152542372882</v>
      </c>
      <c r="K79" s="75">
        <f t="shared" si="5"/>
        <v>3.0508474576271185</v>
      </c>
      <c r="L79" s="75"/>
      <c r="M79" s="75"/>
      <c r="N79" s="75"/>
      <c r="O79" s="75"/>
      <c r="P79" s="75"/>
      <c r="Q79" s="75"/>
      <c r="R79" s="75"/>
      <c r="S79" s="75">
        <v>20</v>
      </c>
      <c r="T79" s="72"/>
      <c r="U79" s="72"/>
      <c r="V79" s="88"/>
      <c r="W79" s="76"/>
      <c r="X79" s="71"/>
      <c r="Y79" s="72"/>
      <c r="Z79" s="72"/>
      <c r="AA79" s="72"/>
      <c r="AB79" s="72" t="s">
        <v>86</v>
      </c>
      <c r="AC79" s="93"/>
      <c r="AD79" s="71">
        <v>46176</v>
      </c>
      <c r="AE79" s="72" t="s">
        <v>940</v>
      </c>
      <c r="AF79" s="149" t="s">
        <v>943</v>
      </c>
      <c r="AG79" s="92"/>
      <c r="AH79" s="72" t="s">
        <v>88</v>
      </c>
      <c r="AI79" s="75"/>
      <c r="AJ79" s="72"/>
      <c r="AK79" s="72"/>
      <c r="AL79" s="77"/>
      <c r="AM79" s="72"/>
      <c r="AN79" s="72"/>
      <c r="AO79" s="72"/>
      <c r="AP79" s="72"/>
      <c r="AQ79" s="78"/>
      <c r="AR79" s="79">
        <v>18</v>
      </c>
      <c r="AS79" s="80" t="s">
        <v>815</v>
      </c>
      <c r="AT79" s="81"/>
      <c r="AU79" s="82"/>
    </row>
    <row r="80" spans="1:47" s="98" customFormat="1" ht="11.25" customHeight="1" x14ac:dyDescent="0.2">
      <c r="A80" s="71">
        <v>46176</v>
      </c>
      <c r="B80" s="71">
        <f t="shared" si="3"/>
        <v>46176</v>
      </c>
      <c r="C80" s="72" t="s">
        <v>83</v>
      </c>
      <c r="D80" s="73" t="s">
        <v>91</v>
      </c>
      <c r="E80" s="74"/>
      <c r="F80" s="72">
        <v>68399</v>
      </c>
      <c r="G80" s="74">
        <v>6</v>
      </c>
      <c r="H80" s="73">
        <v>20281453492</v>
      </c>
      <c r="I80" s="73" t="s">
        <v>95</v>
      </c>
      <c r="J80" s="75">
        <f t="shared" si="4"/>
        <v>16.949152542372882</v>
      </c>
      <c r="K80" s="75">
        <f t="shared" si="5"/>
        <v>3.0508474576271185</v>
      </c>
      <c r="L80" s="75"/>
      <c r="M80" s="75"/>
      <c r="N80" s="75"/>
      <c r="O80" s="75"/>
      <c r="P80" s="75"/>
      <c r="Q80" s="75"/>
      <c r="R80" s="75"/>
      <c r="S80" s="75">
        <v>20</v>
      </c>
      <c r="T80" s="72"/>
      <c r="U80" s="72"/>
      <c r="V80" s="88"/>
      <c r="W80" s="76"/>
      <c r="X80" s="71"/>
      <c r="Y80" s="72"/>
      <c r="Z80" s="72"/>
      <c r="AA80" s="72"/>
      <c r="AB80" s="72" t="s">
        <v>86</v>
      </c>
      <c r="AC80" s="93"/>
      <c r="AD80" s="71">
        <v>46176</v>
      </c>
      <c r="AE80" s="72" t="s">
        <v>940</v>
      </c>
      <c r="AF80" s="149" t="s">
        <v>943</v>
      </c>
      <c r="AG80" s="92"/>
      <c r="AH80" s="72" t="s">
        <v>88</v>
      </c>
      <c r="AI80" s="75"/>
      <c r="AJ80" s="72"/>
      <c r="AK80" s="72"/>
      <c r="AL80" s="77"/>
      <c r="AM80" s="72"/>
      <c r="AN80" s="72"/>
      <c r="AO80" s="72"/>
      <c r="AP80" s="72"/>
      <c r="AQ80" s="78"/>
      <c r="AR80" s="79">
        <v>18</v>
      </c>
      <c r="AS80" s="80" t="s">
        <v>815</v>
      </c>
      <c r="AT80" s="81"/>
      <c r="AU80" s="82"/>
    </row>
    <row r="81" spans="1:47" s="98" customFormat="1" ht="11.25" customHeight="1" x14ac:dyDescent="0.2">
      <c r="A81" s="71">
        <v>46177</v>
      </c>
      <c r="B81" s="71">
        <f t="shared" si="3"/>
        <v>46177</v>
      </c>
      <c r="C81" s="72" t="s">
        <v>83</v>
      </c>
      <c r="D81" s="73" t="s">
        <v>91</v>
      </c>
      <c r="E81" s="74"/>
      <c r="F81" s="72">
        <v>68409</v>
      </c>
      <c r="G81" s="74">
        <v>6</v>
      </c>
      <c r="H81" s="73">
        <v>20281453492</v>
      </c>
      <c r="I81" s="73" t="s">
        <v>95</v>
      </c>
      <c r="J81" s="75">
        <f t="shared" si="4"/>
        <v>16.949152542372882</v>
      </c>
      <c r="K81" s="75">
        <f t="shared" si="5"/>
        <v>3.0508474576271185</v>
      </c>
      <c r="L81" s="75"/>
      <c r="M81" s="75"/>
      <c r="N81" s="75"/>
      <c r="O81" s="75"/>
      <c r="P81" s="75"/>
      <c r="Q81" s="75"/>
      <c r="R81" s="75"/>
      <c r="S81" s="75">
        <v>20</v>
      </c>
      <c r="T81" s="72"/>
      <c r="U81" s="72"/>
      <c r="V81" s="88"/>
      <c r="W81" s="76"/>
      <c r="X81" s="71"/>
      <c r="Y81" s="72"/>
      <c r="Z81" s="72"/>
      <c r="AA81" s="72"/>
      <c r="AB81" s="72" t="s">
        <v>86</v>
      </c>
      <c r="AC81" s="93"/>
      <c r="AD81" s="71">
        <v>46177</v>
      </c>
      <c r="AE81" s="72" t="s">
        <v>940</v>
      </c>
      <c r="AF81" s="149" t="s">
        <v>943</v>
      </c>
      <c r="AG81" s="92"/>
      <c r="AH81" s="72" t="s">
        <v>88</v>
      </c>
      <c r="AI81" s="75"/>
      <c r="AJ81" s="72"/>
      <c r="AK81" s="72"/>
      <c r="AL81" s="77"/>
      <c r="AM81" s="72"/>
      <c r="AN81" s="72"/>
      <c r="AO81" s="72"/>
      <c r="AP81" s="72"/>
      <c r="AQ81" s="78"/>
      <c r="AR81" s="79">
        <v>18</v>
      </c>
      <c r="AS81" s="80" t="s">
        <v>815</v>
      </c>
      <c r="AT81" s="81"/>
      <c r="AU81" s="82"/>
    </row>
    <row r="82" spans="1:47" s="98" customFormat="1" ht="11.25" customHeight="1" x14ac:dyDescent="0.2">
      <c r="A82" s="71">
        <v>46177</v>
      </c>
      <c r="B82" s="71">
        <f t="shared" si="3"/>
        <v>46177</v>
      </c>
      <c r="C82" s="72" t="s">
        <v>83</v>
      </c>
      <c r="D82" s="73" t="s">
        <v>91</v>
      </c>
      <c r="E82" s="74"/>
      <c r="F82" s="72">
        <v>68413</v>
      </c>
      <c r="G82" s="74">
        <v>6</v>
      </c>
      <c r="H82" s="73">
        <v>20281453492</v>
      </c>
      <c r="I82" s="73" t="s">
        <v>95</v>
      </c>
      <c r="J82" s="75">
        <f t="shared" si="4"/>
        <v>16.949152542372882</v>
      </c>
      <c r="K82" s="75">
        <f t="shared" si="5"/>
        <v>3.0508474576271185</v>
      </c>
      <c r="L82" s="75"/>
      <c r="M82" s="75"/>
      <c r="N82" s="75"/>
      <c r="O82" s="75"/>
      <c r="P82" s="75"/>
      <c r="Q82" s="75"/>
      <c r="R82" s="75"/>
      <c r="S82" s="75">
        <v>20</v>
      </c>
      <c r="T82" s="72"/>
      <c r="U82" s="72"/>
      <c r="V82" s="88"/>
      <c r="W82" s="76"/>
      <c r="X82" s="71"/>
      <c r="Y82" s="72"/>
      <c r="Z82" s="72"/>
      <c r="AA82" s="72"/>
      <c r="AB82" s="72" t="s">
        <v>86</v>
      </c>
      <c r="AC82" s="93"/>
      <c r="AD82" s="71">
        <v>46177</v>
      </c>
      <c r="AE82" s="72" t="s">
        <v>940</v>
      </c>
      <c r="AF82" s="149" t="s">
        <v>943</v>
      </c>
      <c r="AG82" s="92"/>
      <c r="AH82" s="72" t="s">
        <v>88</v>
      </c>
      <c r="AI82" s="75"/>
      <c r="AJ82" s="72"/>
      <c r="AK82" s="72"/>
      <c r="AL82" s="77"/>
      <c r="AM82" s="72"/>
      <c r="AN82" s="72"/>
      <c r="AO82" s="72"/>
      <c r="AP82" s="72"/>
      <c r="AQ82" s="78"/>
      <c r="AR82" s="79">
        <v>18</v>
      </c>
      <c r="AS82" s="80" t="s">
        <v>815</v>
      </c>
      <c r="AT82" s="81"/>
      <c r="AU82" s="82"/>
    </row>
    <row r="83" spans="1:47" s="98" customFormat="1" ht="11.25" customHeight="1" x14ac:dyDescent="0.2">
      <c r="A83" s="71">
        <v>46178</v>
      </c>
      <c r="B83" s="71">
        <f t="shared" si="3"/>
        <v>46178</v>
      </c>
      <c r="C83" s="72" t="s">
        <v>83</v>
      </c>
      <c r="D83" s="73" t="s">
        <v>91</v>
      </c>
      <c r="E83" s="74"/>
      <c r="F83" s="72">
        <v>68445</v>
      </c>
      <c r="G83" s="74">
        <v>6</v>
      </c>
      <c r="H83" s="73">
        <v>20281453492</v>
      </c>
      <c r="I83" s="73" t="s">
        <v>95</v>
      </c>
      <c r="J83" s="75">
        <f t="shared" si="4"/>
        <v>16.949152542372882</v>
      </c>
      <c r="K83" s="75">
        <f t="shared" si="5"/>
        <v>3.0508474576271185</v>
      </c>
      <c r="L83" s="75"/>
      <c r="M83" s="75"/>
      <c r="N83" s="75"/>
      <c r="O83" s="75"/>
      <c r="P83" s="75"/>
      <c r="Q83" s="75"/>
      <c r="R83" s="75"/>
      <c r="S83" s="75">
        <v>20</v>
      </c>
      <c r="T83" s="72"/>
      <c r="U83" s="72"/>
      <c r="V83" s="88"/>
      <c r="W83" s="76"/>
      <c r="X83" s="71"/>
      <c r="Y83" s="72"/>
      <c r="Z83" s="72"/>
      <c r="AA83" s="72"/>
      <c r="AB83" s="72" t="s">
        <v>86</v>
      </c>
      <c r="AC83" s="93"/>
      <c r="AD83" s="71">
        <v>46178</v>
      </c>
      <c r="AE83" s="72" t="s">
        <v>940</v>
      </c>
      <c r="AF83" s="149" t="s">
        <v>943</v>
      </c>
      <c r="AG83" s="92"/>
      <c r="AH83" s="72" t="s">
        <v>88</v>
      </c>
      <c r="AI83" s="75"/>
      <c r="AJ83" s="72"/>
      <c r="AK83" s="72"/>
      <c r="AL83" s="77"/>
      <c r="AM83" s="72"/>
      <c r="AN83" s="72"/>
      <c r="AO83" s="72"/>
      <c r="AP83" s="72"/>
      <c r="AQ83" s="78"/>
      <c r="AR83" s="79">
        <v>18</v>
      </c>
      <c r="AS83" s="80" t="s">
        <v>815</v>
      </c>
      <c r="AT83" s="81"/>
      <c r="AU83" s="82"/>
    </row>
    <row r="84" spans="1:47" s="98" customFormat="1" ht="11.25" customHeight="1" x14ac:dyDescent="0.2">
      <c r="A84" s="71">
        <v>46178</v>
      </c>
      <c r="B84" s="71">
        <f t="shared" si="3"/>
        <v>46178</v>
      </c>
      <c r="C84" s="72" t="s">
        <v>83</v>
      </c>
      <c r="D84" s="73" t="s">
        <v>91</v>
      </c>
      <c r="E84" s="74"/>
      <c r="F84" s="72">
        <v>68448</v>
      </c>
      <c r="G84" s="74">
        <v>6</v>
      </c>
      <c r="H84" s="73">
        <v>20281453492</v>
      </c>
      <c r="I84" s="73" t="s">
        <v>95</v>
      </c>
      <c r="J84" s="75">
        <f t="shared" si="4"/>
        <v>16.949152542372882</v>
      </c>
      <c r="K84" s="75">
        <f t="shared" si="5"/>
        <v>3.0508474576271185</v>
      </c>
      <c r="L84" s="75"/>
      <c r="M84" s="75"/>
      <c r="N84" s="75"/>
      <c r="O84" s="75"/>
      <c r="P84" s="75"/>
      <c r="Q84" s="75"/>
      <c r="R84" s="75"/>
      <c r="S84" s="75">
        <v>20</v>
      </c>
      <c r="T84" s="72"/>
      <c r="U84" s="72"/>
      <c r="V84" s="88"/>
      <c r="W84" s="76"/>
      <c r="X84" s="71"/>
      <c r="Y84" s="72"/>
      <c r="Z84" s="72"/>
      <c r="AA84" s="72"/>
      <c r="AB84" s="72" t="s">
        <v>86</v>
      </c>
      <c r="AC84" s="93"/>
      <c r="AD84" s="71">
        <v>46178</v>
      </c>
      <c r="AE84" s="72" t="s">
        <v>940</v>
      </c>
      <c r="AF84" s="149" t="s">
        <v>943</v>
      </c>
      <c r="AG84" s="92"/>
      <c r="AH84" s="72" t="s">
        <v>88</v>
      </c>
      <c r="AI84" s="75"/>
      <c r="AJ84" s="72"/>
      <c r="AK84" s="72"/>
      <c r="AL84" s="77"/>
      <c r="AM84" s="72"/>
      <c r="AN84" s="72"/>
      <c r="AO84" s="72"/>
      <c r="AP84" s="72"/>
      <c r="AQ84" s="78"/>
      <c r="AR84" s="79">
        <v>18</v>
      </c>
      <c r="AS84" s="80" t="s">
        <v>815</v>
      </c>
      <c r="AT84" s="81"/>
      <c r="AU84" s="82"/>
    </row>
    <row r="85" spans="1:47" s="98" customFormat="1" ht="11.25" customHeight="1" x14ac:dyDescent="0.2">
      <c r="A85" s="71">
        <v>46179</v>
      </c>
      <c r="B85" s="71">
        <f t="shared" si="3"/>
        <v>46179</v>
      </c>
      <c r="C85" s="72" t="s">
        <v>83</v>
      </c>
      <c r="D85" s="73" t="s">
        <v>91</v>
      </c>
      <c r="E85" s="74"/>
      <c r="F85" s="72">
        <v>68461</v>
      </c>
      <c r="G85" s="74">
        <v>6</v>
      </c>
      <c r="H85" s="73">
        <v>20281453492</v>
      </c>
      <c r="I85" s="73" t="s">
        <v>95</v>
      </c>
      <c r="J85" s="75">
        <f t="shared" si="4"/>
        <v>16.949152542372882</v>
      </c>
      <c r="K85" s="75">
        <f t="shared" si="5"/>
        <v>3.0508474576271185</v>
      </c>
      <c r="L85" s="75"/>
      <c r="M85" s="75"/>
      <c r="N85" s="75"/>
      <c r="O85" s="75"/>
      <c r="P85" s="75"/>
      <c r="Q85" s="75"/>
      <c r="R85" s="75"/>
      <c r="S85" s="75">
        <v>20</v>
      </c>
      <c r="T85" s="72"/>
      <c r="U85" s="72"/>
      <c r="V85" s="88"/>
      <c r="W85" s="76"/>
      <c r="X85" s="71"/>
      <c r="Y85" s="72"/>
      <c r="Z85" s="72"/>
      <c r="AA85" s="72"/>
      <c r="AB85" s="72" t="s">
        <v>86</v>
      </c>
      <c r="AC85" s="93"/>
      <c r="AD85" s="71">
        <v>46179</v>
      </c>
      <c r="AE85" s="72" t="s">
        <v>940</v>
      </c>
      <c r="AF85" s="149" t="s">
        <v>943</v>
      </c>
      <c r="AG85" s="92"/>
      <c r="AH85" s="72" t="s">
        <v>88</v>
      </c>
      <c r="AI85" s="75"/>
      <c r="AJ85" s="72"/>
      <c r="AK85" s="72"/>
      <c r="AL85" s="77"/>
      <c r="AM85" s="72"/>
      <c r="AN85" s="72"/>
      <c r="AO85" s="72"/>
      <c r="AP85" s="72"/>
      <c r="AQ85" s="78"/>
      <c r="AR85" s="79">
        <v>18</v>
      </c>
      <c r="AS85" s="80" t="s">
        <v>815</v>
      </c>
      <c r="AT85" s="81"/>
      <c r="AU85" s="82"/>
    </row>
    <row r="86" spans="1:47" s="98" customFormat="1" ht="11.25" customHeight="1" x14ac:dyDescent="0.2">
      <c r="A86" s="71">
        <v>46179</v>
      </c>
      <c r="B86" s="71">
        <f t="shared" si="3"/>
        <v>46179</v>
      </c>
      <c r="C86" s="72" t="s">
        <v>83</v>
      </c>
      <c r="D86" s="73" t="s">
        <v>91</v>
      </c>
      <c r="E86" s="74"/>
      <c r="F86" s="72">
        <v>68462</v>
      </c>
      <c r="G86" s="74">
        <v>6</v>
      </c>
      <c r="H86" s="73">
        <v>20281453492</v>
      </c>
      <c r="I86" s="73" t="s">
        <v>95</v>
      </c>
      <c r="J86" s="75">
        <f t="shared" si="4"/>
        <v>16.949152542372882</v>
      </c>
      <c r="K86" s="75">
        <f t="shared" si="5"/>
        <v>3.0508474576271185</v>
      </c>
      <c r="L86" s="75"/>
      <c r="M86" s="75"/>
      <c r="N86" s="75"/>
      <c r="O86" s="75"/>
      <c r="P86" s="75"/>
      <c r="Q86" s="75"/>
      <c r="R86" s="75"/>
      <c r="S86" s="75">
        <v>20</v>
      </c>
      <c r="T86" s="72"/>
      <c r="U86" s="72"/>
      <c r="V86" s="88"/>
      <c r="W86" s="76"/>
      <c r="X86" s="71"/>
      <c r="Y86" s="72"/>
      <c r="Z86" s="72"/>
      <c r="AA86" s="72"/>
      <c r="AB86" s="72" t="s">
        <v>86</v>
      </c>
      <c r="AC86" s="93"/>
      <c r="AD86" s="71">
        <v>46179</v>
      </c>
      <c r="AE86" s="72" t="s">
        <v>940</v>
      </c>
      <c r="AF86" s="149" t="s">
        <v>943</v>
      </c>
      <c r="AG86" s="92"/>
      <c r="AH86" s="72" t="s">
        <v>88</v>
      </c>
      <c r="AI86" s="75"/>
      <c r="AJ86" s="72"/>
      <c r="AK86" s="72"/>
      <c r="AL86" s="77"/>
      <c r="AM86" s="72"/>
      <c r="AN86" s="72"/>
      <c r="AO86" s="72"/>
      <c r="AP86" s="72"/>
      <c r="AQ86" s="78"/>
      <c r="AR86" s="79">
        <v>18</v>
      </c>
      <c r="AS86" s="80" t="s">
        <v>815</v>
      </c>
      <c r="AT86" s="81"/>
      <c r="AU86" s="82"/>
    </row>
    <row r="87" spans="1:47" s="98" customFormat="1" ht="11.25" customHeight="1" x14ac:dyDescent="0.2">
      <c r="A87" s="71">
        <v>46179</v>
      </c>
      <c r="B87" s="71">
        <f t="shared" si="3"/>
        <v>46179</v>
      </c>
      <c r="C87" s="72" t="s">
        <v>83</v>
      </c>
      <c r="D87" s="73" t="s">
        <v>91</v>
      </c>
      <c r="E87" s="74"/>
      <c r="F87" s="72">
        <v>68463</v>
      </c>
      <c r="G87" s="74">
        <v>6</v>
      </c>
      <c r="H87" s="73">
        <v>20281453492</v>
      </c>
      <c r="I87" s="73" t="s">
        <v>95</v>
      </c>
      <c r="J87" s="75">
        <f t="shared" si="4"/>
        <v>12.711864406779661</v>
      </c>
      <c r="K87" s="75">
        <f t="shared" si="5"/>
        <v>2.2881355932203387</v>
      </c>
      <c r="L87" s="75"/>
      <c r="M87" s="75"/>
      <c r="N87" s="75"/>
      <c r="O87" s="75"/>
      <c r="P87" s="75"/>
      <c r="Q87" s="75"/>
      <c r="R87" s="75"/>
      <c r="S87" s="75">
        <v>15</v>
      </c>
      <c r="T87" s="72"/>
      <c r="U87" s="72"/>
      <c r="V87" s="88"/>
      <c r="W87" s="76"/>
      <c r="X87" s="71"/>
      <c r="Y87" s="72"/>
      <c r="Z87" s="72"/>
      <c r="AA87" s="72"/>
      <c r="AB87" s="72" t="s">
        <v>86</v>
      </c>
      <c r="AC87" s="93"/>
      <c r="AD87" s="71">
        <v>46179</v>
      </c>
      <c r="AE87" s="72" t="s">
        <v>940</v>
      </c>
      <c r="AF87" s="149" t="s">
        <v>943</v>
      </c>
      <c r="AG87" s="92"/>
      <c r="AH87" s="72" t="s">
        <v>88</v>
      </c>
      <c r="AI87" s="75"/>
      <c r="AJ87" s="72"/>
      <c r="AK87" s="72"/>
      <c r="AL87" s="77"/>
      <c r="AM87" s="72"/>
      <c r="AN87" s="72"/>
      <c r="AO87" s="72"/>
      <c r="AP87" s="72"/>
      <c r="AQ87" s="78"/>
      <c r="AR87" s="79">
        <v>18</v>
      </c>
      <c r="AS87" s="80" t="s">
        <v>815</v>
      </c>
      <c r="AT87" s="81"/>
      <c r="AU87" s="82"/>
    </row>
    <row r="88" spans="1:47" s="98" customFormat="1" ht="11.25" customHeight="1" x14ac:dyDescent="0.2">
      <c r="A88" s="71">
        <v>46180</v>
      </c>
      <c r="B88" s="71">
        <f t="shared" si="3"/>
        <v>46180</v>
      </c>
      <c r="C88" s="72" t="s">
        <v>83</v>
      </c>
      <c r="D88" s="73" t="s">
        <v>91</v>
      </c>
      <c r="E88" s="74"/>
      <c r="F88" s="72">
        <v>68469</v>
      </c>
      <c r="G88" s="74">
        <v>6</v>
      </c>
      <c r="H88" s="73">
        <v>20281453492</v>
      </c>
      <c r="I88" s="73" t="s">
        <v>95</v>
      </c>
      <c r="J88" s="75">
        <f t="shared" si="4"/>
        <v>16.949152542372882</v>
      </c>
      <c r="K88" s="75">
        <f t="shared" si="5"/>
        <v>3.0508474576271185</v>
      </c>
      <c r="L88" s="75"/>
      <c r="M88" s="75"/>
      <c r="N88" s="75"/>
      <c r="O88" s="75"/>
      <c r="P88" s="75"/>
      <c r="Q88" s="75"/>
      <c r="R88" s="75"/>
      <c r="S88" s="75">
        <v>20</v>
      </c>
      <c r="T88" s="72"/>
      <c r="U88" s="72"/>
      <c r="V88" s="88"/>
      <c r="W88" s="76"/>
      <c r="X88" s="71"/>
      <c r="Y88" s="72"/>
      <c r="Z88" s="72"/>
      <c r="AA88" s="72"/>
      <c r="AB88" s="72" t="s">
        <v>86</v>
      </c>
      <c r="AC88" s="93"/>
      <c r="AD88" s="71">
        <v>46180</v>
      </c>
      <c r="AE88" s="72" t="s">
        <v>940</v>
      </c>
      <c r="AF88" s="149" t="s">
        <v>943</v>
      </c>
      <c r="AG88" s="92"/>
      <c r="AH88" s="72" t="s">
        <v>88</v>
      </c>
      <c r="AI88" s="75"/>
      <c r="AJ88" s="72"/>
      <c r="AK88" s="72"/>
      <c r="AL88" s="77"/>
      <c r="AM88" s="72"/>
      <c r="AN88" s="72"/>
      <c r="AO88" s="72"/>
      <c r="AP88" s="72"/>
      <c r="AQ88" s="78"/>
      <c r="AR88" s="79">
        <v>18</v>
      </c>
      <c r="AS88" s="80" t="s">
        <v>815</v>
      </c>
      <c r="AT88" s="81"/>
      <c r="AU88" s="82"/>
    </row>
    <row r="89" spans="1:47" s="98" customFormat="1" ht="11.25" customHeight="1" x14ac:dyDescent="0.2">
      <c r="A89" s="71">
        <v>46180</v>
      </c>
      <c r="B89" s="71">
        <f t="shared" si="3"/>
        <v>46180</v>
      </c>
      <c r="C89" s="72" t="s">
        <v>83</v>
      </c>
      <c r="D89" s="73" t="s">
        <v>91</v>
      </c>
      <c r="E89" s="74"/>
      <c r="F89" s="72">
        <v>68478</v>
      </c>
      <c r="G89" s="74">
        <v>6</v>
      </c>
      <c r="H89" s="73">
        <v>20281453492</v>
      </c>
      <c r="I89" s="73" t="s">
        <v>95</v>
      </c>
      <c r="J89" s="75">
        <f t="shared" si="4"/>
        <v>16.949152542372882</v>
      </c>
      <c r="K89" s="75">
        <f t="shared" si="5"/>
        <v>3.0508474576271185</v>
      </c>
      <c r="L89" s="75"/>
      <c r="M89" s="75"/>
      <c r="N89" s="75"/>
      <c r="O89" s="75"/>
      <c r="P89" s="75"/>
      <c r="Q89" s="75"/>
      <c r="R89" s="75"/>
      <c r="S89" s="75">
        <v>20</v>
      </c>
      <c r="T89" s="72"/>
      <c r="U89" s="72"/>
      <c r="V89" s="88"/>
      <c r="W89" s="76"/>
      <c r="X89" s="71"/>
      <c r="Y89" s="72"/>
      <c r="Z89" s="72"/>
      <c r="AA89" s="72"/>
      <c r="AB89" s="72" t="s">
        <v>86</v>
      </c>
      <c r="AC89" s="93"/>
      <c r="AD89" s="71">
        <v>46180</v>
      </c>
      <c r="AE89" s="72" t="s">
        <v>940</v>
      </c>
      <c r="AF89" s="149" t="s">
        <v>943</v>
      </c>
      <c r="AG89" s="92"/>
      <c r="AH89" s="72" t="s">
        <v>88</v>
      </c>
      <c r="AI89" s="75"/>
      <c r="AJ89" s="72"/>
      <c r="AK89" s="72"/>
      <c r="AL89" s="77"/>
      <c r="AM89" s="72"/>
      <c r="AN89" s="72"/>
      <c r="AO89" s="72"/>
      <c r="AP89" s="72"/>
      <c r="AQ89" s="78"/>
      <c r="AR89" s="79">
        <v>18</v>
      </c>
      <c r="AS89" s="80" t="s">
        <v>815</v>
      </c>
      <c r="AT89" s="81"/>
      <c r="AU89" s="82"/>
    </row>
    <row r="90" spans="1:47" s="98" customFormat="1" ht="11.25" customHeight="1" x14ac:dyDescent="0.2">
      <c r="A90" s="71">
        <v>46182</v>
      </c>
      <c r="B90" s="71">
        <f t="shared" si="3"/>
        <v>46182</v>
      </c>
      <c r="C90" s="72" t="s">
        <v>83</v>
      </c>
      <c r="D90" s="73" t="s">
        <v>91</v>
      </c>
      <c r="E90" s="74"/>
      <c r="F90" s="72">
        <v>68498</v>
      </c>
      <c r="G90" s="74">
        <v>6</v>
      </c>
      <c r="H90" s="73">
        <v>20281453492</v>
      </c>
      <c r="I90" s="73" t="s">
        <v>95</v>
      </c>
      <c r="J90" s="75">
        <f t="shared" si="4"/>
        <v>16.949152542372882</v>
      </c>
      <c r="K90" s="75">
        <f t="shared" si="5"/>
        <v>3.0508474576271185</v>
      </c>
      <c r="L90" s="75"/>
      <c r="M90" s="75"/>
      <c r="N90" s="75"/>
      <c r="O90" s="75"/>
      <c r="P90" s="75"/>
      <c r="Q90" s="75"/>
      <c r="R90" s="75"/>
      <c r="S90" s="75">
        <v>20</v>
      </c>
      <c r="T90" s="72"/>
      <c r="U90" s="72"/>
      <c r="V90" s="88"/>
      <c r="W90" s="76"/>
      <c r="X90" s="71"/>
      <c r="Y90" s="72"/>
      <c r="Z90" s="72"/>
      <c r="AA90" s="72"/>
      <c r="AB90" s="72" t="s">
        <v>86</v>
      </c>
      <c r="AC90" s="93"/>
      <c r="AD90" s="71">
        <v>46182</v>
      </c>
      <c r="AE90" s="72" t="s">
        <v>940</v>
      </c>
      <c r="AF90" s="149" t="s">
        <v>943</v>
      </c>
      <c r="AG90" s="92"/>
      <c r="AH90" s="72" t="s">
        <v>88</v>
      </c>
      <c r="AI90" s="75"/>
      <c r="AJ90" s="72"/>
      <c r="AK90" s="72"/>
      <c r="AL90" s="77"/>
      <c r="AM90" s="72"/>
      <c r="AN90" s="72"/>
      <c r="AO90" s="72"/>
      <c r="AP90" s="72"/>
      <c r="AQ90" s="78"/>
      <c r="AR90" s="79">
        <v>18</v>
      </c>
      <c r="AS90" s="80" t="s">
        <v>815</v>
      </c>
      <c r="AT90" s="81"/>
      <c r="AU90" s="82"/>
    </row>
    <row r="91" spans="1:47" s="98" customFormat="1" ht="11.25" customHeight="1" x14ac:dyDescent="0.2">
      <c r="A91" s="71">
        <v>46182</v>
      </c>
      <c r="B91" s="71">
        <f t="shared" si="3"/>
        <v>46182</v>
      </c>
      <c r="C91" s="72" t="s">
        <v>83</v>
      </c>
      <c r="D91" s="73" t="s">
        <v>91</v>
      </c>
      <c r="E91" s="74"/>
      <c r="F91" s="72">
        <v>68501</v>
      </c>
      <c r="G91" s="74">
        <v>6</v>
      </c>
      <c r="H91" s="73">
        <v>20281453492</v>
      </c>
      <c r="I91" s="73" t="s">
        <v>95</v>
      </c>
      <c r="J91" s="75">
        <f t="shared" si="4"/>
        <v>16.949152542372882</v>
      </c>
      <c r="K91" s="75">
        <f t="shared" si="5"/>
        <v>3.0508474576271185</v>
      </c>
      <c r="L91" s="75"/>
      <c r="M91" s="75"/>
      <c r="N91" s="75"/>
      <c r="O91" s="75"/>
      <c r="P91" s="75"/>
      <c r="Q91" s="75"/>
      <c r="R91" s="75"/>
      <c r="S91" s="75">
        <v>20</v>
      </c>
      <c r="T91" s="72"/>
      <c r="U91" s="72"/>
      <c r="V91" s="88"/>
      <c r="W91" s="76"/>
      <c r="X91" s="71"/>
      <c r="Y91" s="72"/>
      <c r="Z91" s="72"/>
      <c r="AA91" s="72"/>
      <c r="AB91" s="72" t="s">
        <v>86</v>
      </c>
      <c r="AC91" s="93"/>
      <c r="AD91" s="71">
        <v>46182</v>
      </c>
      <c r="AE91" s="72" t="s">
        <v>940</v>
      </c>
      <c r="AF91" s="149" t="s">
        <v>943</v>
      </c>
      <c r="AG91" s="92"/>
      <c r="AH91" s="72" t="s">
        <v>88</v>
      </c>
      <c r="AI91" s="75"/>
      <c r="AJ91" s="72"/>
      <c r="AK91" s="72"/>
      <c r="AL91" s="77"/>
      <c r="AM91" s="72"/>
      <c r="AN91" s="72"/>
      <c r="AO91" s="72"/>
      <c r="AP91" s="72"/>
      <c r="AQ91" s="78"/>
      <c r="AR91" s="79">
        <v>18</v>
      </c>
      <c r="AS91" s="80" t="s">
        <v>815</v>
      </c>
      <c r="AT91" s="81"/>
      <c r="AU91" s="82"/>
    </row>
    <row r="92" spans="1:47" s="98" customFormat="1" ht="11.25" customHeight="1" x14ac:dyDescent="0.2">
      <c r="A92" s="71">
        <v>46182</v>
      </c>
      <c r="B92" s="71">
        <f t="shared" si="3"/>
        <v>46182</v>
      </c>
      <c r="C92" s="72" t="s">
        <v>83</v>
      </c>
      <c r="D92" s="73" t="s">
        <v>91</v>
      </c>
      <c r="E92" s="74"/>
      <c r="F92" s="72">
        <v>68511</v>
      </c>
      <c r="G92" s="74">
        <v>6</v>
      </c>
      <c r="H92" s="73">
        <v>20281453492</v>
      </c>
      <c r="I92" s="73" t="s">
        <v>95</v>
      </c>
      <c r="J92" s="75">
        <f t="shared" si="4"/>
        <v>16.949152542372882</v>
      </c>
      <c r="K92" s="75">
        <f t="shared" si="5"/>
        <v>3.0508474576271185</v>
      </c>
      <c r="L92" s="75"/>
      <c r="M92" s="75"/>
      <c r="N92" s="75"/>
      <c r="O92" s="75"/>
      <c r="P92" s="75"/>
      <c r="Q92" s="75"/>
      <c r="R92" s="75"/>
      <c r="S92" s="75">
        <v>20</v>
      </c>
      <c r="T92" s="72"/>
      <c r="U92" s="72"/>
      <c r="V92" s="88"/>
      <c r="W92" s="76"/>
      <c r="X92" s="71"/>
      <c r="Y92" s="72"/>
      <c r="Z92" s="72"/>
      <c r="AA92" s="72"/>
      <c r="AB92" s="72" t="s">
        <v>86</v>
      </c>
      <c r="AC92" s="93"/>
      <c r="AD92" s="71">
        <v>46182</v>
      </c>
      <c r="AE92" s="72" t="s">
        <v>940</v>
      </c>
      <c r="AF92" s="149" t="s">
        <v>943</v>
      </c>
      <c r="AG92" s="92"/>
      <c r="AH92" s="72" t="s">
        <v>88</v>
      </c>
      <c r="AI92" s="75"/>
      <c r="AJ92" s="72"/>
      <c r="AK92" s="72"/>
      <c r="AL92" s="77"/>
      <c r="AM92" s="72"/>
      <c r="AN92" s="72"/>
      <c r="AO92" s="72"/>
      <c r="AP92" s="72"/>
      <c r="AQ92" s="78"/>
      <c r="AR92" s="79">
        <v>18</v>
      </c>
      <c r="AS92" s="80" t="s">
        <v>815</v>
      </c>
      <c r="AT92" s="81"/>
      <c r="AU92" s="82"/>
    </row>
    <row r="93" spans="1:47" s="98" customFormat="1" ht="11.25" customHeight="1" x14ac:dyDescent="0.2">
      <c r="A93" s="71">
        <v>46183</v>
      </c>
      <c r="B93" s="71">
        <f t="shared" si="3"/>
        <v>46183</v>
      </c>
      <c r="C93" s="72" t="s">
        <v>83</v>
      </c>
      <c r="D93" s="73" t="s">
        <v>91</v>
      </c>
      <c r="E93" s="74"/>
      <c r="F93" s="72">
        <v>68525</v>
      </c>
      <c r="G93" s="74">
        <v>6</v>
      </c>
      <c r="H93" s="73">
        <v>20281453492</v>
      </c>
      <c r="I93" s="73" t="s">
        <v>95</v>
      </c>
      <c r="J93" s="75">
        <f t="shared" si="4"/>
        <v>16.949152542372882</v>
      </c>
      <c r="K93" s="75">
        <f t="shared" si="5"/>
        <v>3.0508474576271185</v>
      </c>
      <c r="L93" s="75"/>
      <c r="M93" s="75"/>
      <c r="N93" s="75"/>
      <c r="O93" s="75"/>
      <c r="P93" s="75"/>
      <c r="Q93" s="75"/>
      <c r="R93" s="75"/>
      <c r="S93" s="75">
        <v>20</v>
      </c>
      <c r="T93" s="72"/>
      <c r="U93" s="72"/>
      <c r="V93" s="88"/>
      <c r="W93" s="76"/>
      <c r="X93" s="71"/>
      <c r="Y93" s="72"/>
      <c r="Z93" s="72"/>
      <c r="AA93" s="72"/>
      <c r="AB93" s="72" t="s">
        <v>86</v>
      </c>
      <c r="AC93" s="93"/>
      <c r="AD93" s="71">
        <v>46183</v>
      </c>
      <c r="AE93" s="72" t="s">
        <v>940</v>
      </c>
      <c r="AF93" s="149" t="s">
        <v>943</v>
      </c>
      <c r="AG93" s="92"/>
      <c r="AH93" s="72" t="s">
        <v>88</v>
      </c>
      <c r="AI93" s="75"/>
      <c r="AJ93" s="72"/>
      <c r="AK93" s="72"/>
      <c r="AL93" s="77"/>
      <c r="AM93" s="72"/>
      <c r="AN93" s="72"/>
      <c r="AO93" s="72"/>
      <c r="AP93" s="72"/>
      <c r="AQ93" s="78"/>
      <c r="AR93" s="79">
        <v>18</v>
      </c>
      <c r="AS93" s="80" t="s">
        <v>815</v>
      </c>
      <c r="AT93" s="81"/>
      <c r="AU93" s="82"/>
    </row>
    <row r="94" spans="1:47" s="98" customFormat="1" ht="11.25" customHeight="1" x14ac:dyDescent="0.2">
      <c r="A94" s="71">
        <v>46184</v>
      </c>
      <c r="B94" s="71">
        <f t="shared" si="3"/>
        <v>46184</v>
      </c>
      <c r="C94" s="72" t="s">
        <v>83</v>
      </c>
      <c r="D94" s="73" t="s">
        <v>91</v>
      </c>
      <c r="E94" s="74"/>
      <c r="F94" s="72">
        <v>68537</v>
      </c>
      <c r="G94" s="74">
        <v>6</v>
      </c>
      <c r="H94" s="73">
        <v>20281453492</v>
      </c>
      <c r="I94" s="73" t="s">
        <v>95</v>
      </c>
      <c r="J94" s="75">
        <f t="shared" si="4"/>
        <v>16.949152542372882</v>
      </c>
      <c r="K94" s="75">
        <f t="shared" si="5"/>
        <v>3.0508474576271185</v>
      </c>
      <c r="L94" s="75"/>
      <c r="M94" s="75"/>
      <c r="N94" s="75"/>
      <c r="O94" s="75"/>
      <c r="P94" s="75"/>
      <c r="Q94" s="75"/>
      <c r="R94" s="75"/>
      <c r="S94" s="75">
        <v>20</v>
      </c>
      <c r="T94" s="72"/>
      <c r="U94" s="72"/>
      <c r="V94" s="88"/>
      <c r="W94" s="76"/>
      <c r="X94" s="71"/>
      <c r="Y94" s="72"/>
      <c r="Z94" s="72"/>
      <c r="AA94" s="72"/>
      <c r="AB94" s="72" t="s">
        <v>86</v>
      </c>
      <c r="AC94" s="93"/>
      <c r="AD94" s="71">
        <v>46184</v>
      </c>
      <c r="AE94" s="72" t="s">
        <v>940</v>
      </c>
      <c r="AF94" s="149" t="s">
        <v>943</v>
      </c>
      <c r="AG94" s="92"/>
      <c r="AH94" s="72" t="s">
        <v>88</v>
      </c>
      <c r="AI94" s="75"/>
      <c r="AJ94" s="72"/>
      <c r="AK94" s="72"/>
      <c r="AL94" s="77"/>
      <c r="AM94" s="72"/>
      <c r="AN94" s="72"/>
      <c r="AO94" s="72"/>
      <c r="AP94" s="72"/>
      <c r="AQ94" s="78"/>
      <c r="AR94" s="79">
        <v>18</v>
      </c>
      <c r="AS94" s="80" t="s">
        <v>815</v>
      </c>
      <c r="AT94" s="81"/>
      <c r="AU94" s="82"/>
    </row>
    <row r="95" spans="1:47" s="98" customFormat="1" ht="11.25" customHeight="1" x14ac:dyDescent="0.2">
      <c r="A95" s="71">
        <v>46184</v>
      </c>
      <c r="B95" s="71">
        <f t="shared" si="3"/>
        <v>46184</v>
      </c>
      <c r="C95" s="72" t="s">
        <v>83</v>
      </c>
      <c r="D95" s="73" t="s">
        <v>91</v>
      </c>
      <c r="E95" s="74"/>
      <c r="F95" s="72">
        <v>68543</v>
      </c>
      <c r="G95" s="74">
        <v>6</v>
      </c>
      <c r="H95" s="73">
        <v>20281453492</v>
      </c>
      <c r="I95" s="73" t="s">
        <v>95</v>
      </c>
      <c r="J95" s="75">
        <f t="shared" si="4"/>
        <v>16.949152542372882</v>
      </c>
      <c r="K95" s="75">
        <f t="shared" si="5"/>
        <v>3.0508474576271185</v>
      </c>
      <c r="L95" s="75"/>
      <c r="M95" s="75"/>
      <c r="N95" s="75"/>
      <c r="O95" s="75"/>
      <c r="P95" s="75"/>
      <c r="Q95" s="75"/>
      <c r="R95" s="75"/>
      <c r="S95" s="75">
        <v>20</v>
      </c>
      <c r="T95" s="72"/>
      <c r="U95" s="72"/>
      <c r="V95" s="88"/>
      <c r="W95" s="76"/>
      <c r="X95" s="71"/>
      <c r="Y95" s="72"/>
      <c r="Z95" s="72"/>
      <c r="AA95" s="72"/>
      <c r="AB95" s="72" t="s">
        <v>86</v>
      </c>
      <c r="AC95" s="93"/>
      <c r="AD95" s="71">
        <v>46184</v>
      </c>
      <c r="AE95" s="72" t="s">
        <v>940</v>
      </c>
      <c r="AF95" s="149" t="s">
        <v>943</v>
      </c>
      <c r="AG95" s="92"/>
      <c r="AH95" s="72" t="s">
        <v>88</v>
      </c>
      <c r="AI95" s="75"/>
      <c r="AJ95" s="72"/>
      <c r="AK95" s="72"/>
      <c r="AL95" s="77"/>
      <c r="AM95" s="72"/>
      <c r="AN95" s="72"/>
      <c r="AO95" s="72"/>
      <c r="AP95" s="72"/>
      <c r="AQ95" s="78"/>
      <c r="AR95" s="79">
        <v>18</v>
      </c>
      <c r="AS95" s="80" t="s">
        <v>815</v>
      </c>
      <c r="AT95" s="81"/>
      <c r="AU95" s="82"/>
    </row>
    <row r="96" spans="1:47" s="98" customFormat="1" ht="11.25" customHeight="1" x14ac:dyDescent="0.2">
      <c r="A96" s="71">
        <v>46185</v>
      </c>
      <c r="B96" s="71">
        <f t="shared" si="3"/>
        <v>46185</v>
      </c>
      <c r="C96" s="72" t="s">
        <v>83</v>
      </c>
      <c r="D96" s="73" t="s">
        <v>91</v>
      </c>
      <c r="E96" s="74"/>
      <c r="F96" s="72">
        <v>68545</v>
      </c>
      <c r="G96" s="74">
        <v>6</v>
      </c>
      <c r="H96" s="73">
        <v>20281453492</v>
      </c>
      <c r="I96" s="73" t="s">
        <v>95</v>
      </c>
      <c r="J96" s="75">
        <f t="shared" si="4"/>
        <v>16.949152542372882</v>
      </c>
      <c r="K96" s="75">
        <f t="shared" si="5"/>
        <v>3.0508474576271185</v>
      </c>
      <c r="L96" s="75"/>
      <c r="M96" s="75"/>
      <c r="N96" s="75"/>
      <c r="O96" s="75"/>
      <c r="P96" s="75"/>
      <c r="Q96" s="75"/>
      <c r="R96" s="75"/>
      <c r="S96" s="75">
        <v>20</v>
      </c>
      <c r="T96" s="72"/>
      <c r="U96" s="72"/>
      <c r="V96" s="88"/>
      <c r="W96" s="76"/>
      <c r="X96" s="71"/>
      <c r="Y96" s="72"/>
      <c r="Z96" s="72"/>
      <c r="AA96" s="72"/>
      <c r="AB96" s="72" t="s">
        <v>86</v>
      </c>
      <c r="AC96" s="93"/>
      <c r="AD96" s="71">
        <v>46185</v>
      </c>
      <c r="AE96" s="72" t="s">
        <v>940</v>
      </c>
      <c r="AF96" s="149" t="s">
        <v>943</v>
      </c>
      <c r="AG96" s="92"/>
      <c r="AH96" s="72" t="s">
        <v>88</v>
      </c>
      <c r="AI96" s="75"/>
      <c r="AJ96" s="72"/>
      <c r="AK96" s="72"/>
      <c r="AL96" s="77"/>
      <c r="AM96" s="72"/>
      <c r="AN96" s="72"/>
      <c r="AO96" s="72"/>
      <c r="AP96" s="72"/>
      <c r="AQ96" s="78"/>
      <c r="AR96" s="79">
        <v>18</v>
      </c>
      <c r="AS96" s="80" t="s">
        <v>815</v>
      </c>
      <c r="AT96" s="81"/>
      <c r="AU96" s="82"/>
    </row>
    <row r="97" spans="1:47" s="98" customFormat="1" ht="11.25" customHeight="1" x14ac:dyDescent="0.2">
      <c r="A97" s="71">
        <v>46186</v>
      </c>
      <c r="B97" s="71">
        <f t="shared" si="3"/>
        <v>46186</v>
      </c>
      <c r="C97" s="72" t="s">
        <v>83</v>
      </c>
      <c r="D97" s="73" t="s">
        <v>91</v>
      </c>
      <c r="E97" s="74"/>
      <c r="F97" s="72">
        <v>68560</v>
      </c>
      <c r="G97" s="74">
        <v>6</v>
      </c>
      <c r="H97" s="73">
        <v>20281453492</v>
      </c>
      <c r="I97" s="73" t="s">
        <v>95</v>
      </c>
      <c r="J97" s="75">
        <f t="shared" si="4"/>
        <v>16.949152542372882</v>
      </c>
      <c r="K97" s="75">
        <f t="shared" si="5"/>
        <v>3.0508474576271185</v>
      </c>
      <c r="L97" s="75"/>
      <c r="M97" s="75"/>
      <c r="N97" s="75"/>
      <c r="O97" s="75"/>
      <c r="P97" s="75"/>
      <c r="Q97" s="75"/>
      <c r="R97" s="75"/>
      <c r="S97" s="75">
        <v>20</v>
      </c>
      <c r="T97" s="72"/>
      <c r="U97" s="72"/>
      <c r="V97" s="88"/>
      <c r="W97" s="76"/>
      <c r="X97" s="71"/>
      <c r="Y97" s="72"/>
      <c r="Z97" s="72"/>
      <c r="AA97" s="72"/>
      <c r="AB97" s="72" t="s">
        <v>86</v>
      </c>
      <c r="AC97" s="93"/>
      <c r="AD97" s="71">
        <v>46186</v>
      </c>
      <c r="AE97" s="72" t="s">
        <v>940</v>
      </c>
      <c r="AF97" s="149" t="s">
        <v>943</v>
      </c>
      <c r="AG97" s="92"/>
      <c r="AH97" s="72" t="s">
        <v>88</v>
      </c>
      <c r="AI97" s="75"/>
      <c r="AJ97" s="72"/>
      <c r="AK97" s="72"/>
      <c r="AL97" s="77"/>
      <c r="AM97" s="72"/>
      <c r="AN97" s="72"/>
      <c r="AO97" s="72"/>
      <c r="AP97" s="72"/>
      <c r="AQ97" s="78"/>
      <c r="AR97" s="79">
        <v>18</v>
      </c>
      <c r="AS97" s="80" t="s">
        <v>815</v>
      </c>
      <c r="AT97" s="81"/>
      <c r="AU97" s="82"/>
    </row>
    <row r="98" spans="1:47" s="98" customFormat="1" ht="11.25" customHeight="1" x14ac:dyDescent="0.2">
      <c r="A98" s="71">
        <v>46186</v>
      </c>
      <c r="B98" s="71">
        <f t="shared" si="3"/>
        <v>46186</v>
      </c>
      <c r="C98" s="72" t="s">
        <v>83</v>
      </c>
      <c r="D98" s="73" t="s">
        <v>91</v>
      </c>
      <c r="E98" s="74"/>
      <c r="F98" s="72">
        <v>68561</v>
      </c>
      <c r="G98" s="74">
        <v>6</v>
      </c>
      <c r="H98" s="73">
        <v>20281453492</v>
      </c>
      <c r="I98" s="73" t="s">
        <v>95</v>
      </c>
      <c r="J98" s="75">
        <f t="shared" si="4"/>
        <v>16.949152542372882</v>
      </c>
      <c r="K98" s="75">
        <f t="shared" si="5"/>
        <v>3.0508474576271185</v>
      </c>
      <c r="L98" s="75"/>
      <c r="M98" s="75"/>
      <c r="N98" s="75"/>
      <c r="O98" s="75"/>
      <c r="P98" s="75"/>
      <c r="Q98" s="75"/>
      <c r="R98" s="75"/>
      <c r="S98" s="75">
        <v>20</v>
      </c>
      <c r="T98" s="72"/>
      <c r="U98" s="72"/>
      <c r="V98" s="88"/>
      <c r="W98" s="76"/>
      <c r="X98" s="71"/>
      <c r="Y98" s="72"/>
      <c r="Z98" s="72"/>
      <c r="AA98" s="72"/>
      <c r="AB98" s="72" t="s">
        <v>86</v>
      </c>
      <c r="AC98" s="93"/>
      <c r="AD98" s="71">
        <v>46186</v>
      </c>
      <c r="AE98" s="72" t="s">
        <v>940</v>
      </c>
      <c r="AF98" s="149" t="s">
        <v>943</v>
      </c>
      <c r="AG98" s="92"/>
      <c r="AH98" s="72" t="s">
        <v>88</v>
      </c>
      <c r="AI98" s="75"/>
      <c r="AJ98" s="72"/>
      <c r="AK98" s="72"/>
      <c r="AL98" s="77"/>
      <c r="AM98" s="72"/>
      <c r="AN98" s="72"/>
      <c r="AO98" s="72"/>
      <c r="AP98" s="72"/>
      <c r="AQ98" s="78"/>
      <c r="AR98" s="79">
        <v>18</v>
      </c>
      <c r="AS98" s="80" t="s">
        <v>815</v>
      </c>
      <c r="AT98" s="81"/>
      <c r="AU98" s="82"/>
    </row>
    <row r="99" spans="1:47" s="98" customFormat="1" ht="11.25" customHeight="1" x14ac:dyDescent="0.2">
      <c r="A99" s="71">
        <v>46187</v>
      </c>
      <c r="B99" s="71">
        <f t="shared" si="3"/>
        <v>46187</v>
      </c>
      <c r="C99" s="72" t="s">
        <v>83</v>
      </c>
      <c r="D99" s="73" t="s">
        <v>91</v>
      </c>
      <c r="E99" s="74"/>
      <c r="F99" s="72">
        <v>68567</v>
      </c>
      <c r="G99" s="74">
        <v>6</v>
      </c>
      <c r="H99" s="73">
        <v>20281453492</v>
      </c>
      <c r="I99" s="73" t="s">
        <v>95</v>
      </c>
      <c r="J99" s="75">
        <f t="shared" si="4"/>
        <v>16.949152542372882</v>
      </c>
      <c r="K99" s="75">
        <f t="shared" si="5"/>
        <v>3.0508474576271185</v>
      </c>
      <c r="L99" s="75"/>
      <c r="M99" s="75"/>
      <c r="N99" s="75"/>
      <c r="O99" s="75"/>
      <c r="P99" s="75"/>
      <c r="Q99" s="75"/>
      <c r="R99" s="75"/>
      <c r="S99" s="75">
        <v>20</v>
      </c>
      <c r="T99" s="72"/>
      <c r="U99" s="72"/>
      <c r="V99" s="88"/>
      <c r="W99" s="76"/>
      <c r="X99" s="71"/>
      <c r="Y99" s="72"/>
      <c r="Z99" s="72"/>
      <c r="AA99" s="72"/>
      <c r="AB99" s="72" t="s">
        <v>86</v>
      </c>
      <c r="AC99" s="93"/>
      <c r="AD99" s="71">
        <v>46187</v>
      </c>
      <c r="AE99" s="72" t="s">
        <v>940</v>
      </c>
      <c r="AF99" s="149" t="s">
        <v>943</v>
      </c>
      <c r="AG99" s="92"/>
      <c r="AH99" s="72" t="s">
        <v>88</v>
      </c>
      <c r="AI99" s="75"/>
      <c r="AJ99" s="72"/>
      <c r="AK99" s="72"/>
      <c r="AL99" s="77"/>
      <c r="AM99" s="72"/>
      <c r="AN99" s="72"/>
      <c r="AO99" s="72"/>
      <c r="AP99" s="72"/>
      <c r="AQ99" s="78"/>
      <c r="AR99" s="79">
        <v>18</v>
      </c>
      <c r="AS99" s="80" t="s">
        <v>815</v>
      </c>
      <c r="AT99" s="81"/>
      <c r="AU99" s="82"/>
    </row>
    <row r="100" spans="1:47" s="98" customFormat="1" ht="11.25" customHeight="1" x14ac:dyDescent="0.2">
      <c r="A100" s="71">
        <v>46188</v>
      </c>
      <c r="B100" s="71">
        <f t="shared" si="3"/>
        <v>46188</v>
      </c>
      <c r="C100" s="72" t="s">
        <v>83</v>
      </c>
      <c r="D100" s="73" t="s">
        <v>91</v>
      </c>
      <c r="E100" s="74"/>
      <c r="F100" s="72">
        <v>68589</v>
      </c>
      <c r="G100" s="74">
        <v>6</v>
      </c>
      <c r="H100" s="73">
        <v>20281453492</v>
      </c>
      <c r="I100" s="73" t="s">
        <v>95</v>
      </c>
      <c r="J100" s="75">
        <f t="shared" si="4"/>
        <v>19.779661016949152</v>
      </c>
      <c r="K100" s="75">
        <f t="shared" si="5"/>
        <v>3.5603389830508472</v>
      </c>
      <c r="L100" s="75"/>
      <c r="M100" s="75"/>
      <c r="N100" s="75"/>
      <c r="O100" s="75"/>
      <c r="P100" s="75"/>
      <c r="Q100" s="75"/>
      <c r="R100" s="75"/>
      <c r="S100" s="75">
        <v>23.34</v>
      </c>
      <c r="T100" s="72"/>
      <c r="U100" s="72"/>
      <c r="V100" s="88"/>
      <c r="W100" s="76"/>
      <c r="X100" s="71"/>
      <c r="Y100" s="72"/>
      <c r="Z100" s="72"/>
      <c r="AA100" s="72"/>
      <c r="AB100" s="72" t="s">
        <v>86</v>
      </c>
      <c r="AC100" s="93"/>
      <c r="AD100" s="71">
        <v>46188</v>
      </c>
      <c r="AE100" s="72" t="s">
        <v>940</v>
      </c>
      <c r="AF100" s="149" t="s">
        <v>943</v>
      </c>
      <c r="AG100" s="92"/>
      <c r="AH100" s="72" t="s">
        <v>88</v>
      </c>
      <c r="AI100" s="75"/>
      <c r="AJ100" s="72"/>
      <c r="AK100" s="72"/>
      <c r="AL100" s="77"/>
      <c r="AM100" s="72"/>
      <c r="AN100" s="72"/>
      <c r="AO100" s="72"/>
      <c r="AP100" s="72"/>
      <c r="AQ100" s="78"/>
      <c r="AR100" s="79">
        <v>18</v>
      </c>
      <c r="AS100" s="80" t="s">
        <v>815</v>
      </c>
      <c r="AT100" s="81"/>
      <c r="AU100" s="82"/>
    </row>
    <row r="101" spans="1:47" s="98" customFormat="1" ht="11.25" customHeight="1" x14ac:dyDescent="0.2">
      <c r="A101" s="71">
        <v>46188</v>
      </c>
      <c r="B101" s="71">
        <f t="shared" si="3"/>
        <v>46188</v>
      </c>
      <c r="C101" s="72" t="s">
        <v>83</v>
      </c>
      <c r="D101" s="73" t="s">
        <v>91</v>
      </c>
      <c r="E101" s="74"/>
      <c r="F101" s="72">
        <v>68592</v>
      </c>
      <c r="G101" s="74">
        <v>6</v>
      </c>
      <c r="H101" s="73">
        <v>20281453492</v>
      </c>
      <c r="I101" s="73" t="s">
        <v>95</v>
      </c>
      <c r="J101" s="75">
        <f t="shared" si="4"/>
        <v>16.949152542372882</v>
      </c>
      <c r="K101" s="75">
        <f t="shared" si="5"/>
        <v>3.0508474576271185</v>
      </c>
      <c r="L101" s="75"/>
      <c r="M101" s="75"/>
      <c r="N101" s="75"/>
      <c r="O101" s="75"/>
      <c r="P101" s="75"/>
      <c r="Q101" s="75"/>
      <c r="R101" s="75"/>
      <c r="S101" s="75">
        <v>20</v>
      </c>
      <c r="T101" s="72"/>
      <c r="U101" s="72"/>
      <c r="V101" s="88"/>
      <c r="W101" s="76"/>
      <c r="X101" s="71"/>
      <c r="Y101" s="72"/>
      <c r="Z101" s="72"/>
      <c r="AA101" s="72"/>
      <c r="AB101" s="72" t="s">
        <v>86</v>
      </c>
      <c r="AC101" s="93"/>
      <c r="AD101" s="71">
        <v>46188</v>
      </c>
      <c r="AE101" s="72" t="s">
        <v>940</v>
      </c>
      <c r="AF101" s="149" t="s">
        <v>943</v>
      </c>
      <c r="AG101" s="92"/>
      <c r="AH101" s="72" t="s">
        <v>88</v>
      </c>
      <c r="AI101" s="75"/>
      <c r="AJ101" s="72"/>
      <c r="AK101" s="72"/>
      <c r="AL101" s="77"/>
      <c r="AM101" s="72"/>
      <c r="AN101" s="72"/>
      <c r="AO101" s="72"/>
      <c r="AP101" s="72"/>
      <c r="AQ101" s="78"/>
      <c r="AR101" s="79">
        <v>18</v>
      </c>
      <c r="AS101" s="80" t="s">
        <v>815</v>
      </c>
      <c r="AT101" s="81"/>
      <c r="AU101" s="82"/>
    </row>
    <row r="102" spans="1:47" s="98" customFormat="1" ht="11.25" customHeight="1" x14ac:dyDescent="0.2">
      <c r="A102" s="71">
        <v>46189</v>
      </c>
      <c r="B102" s="71">
        <f t="shared" si="3"/>
        <v>46189</v>
      </c>
      <c r="C102" s="72" t="s">
        <v>83</v>
      </c>
      <c r="D102" s="73" t="s">
        <v>91</v>
      </c>
      <c r="E102" s="74"/>
      <c r="F102" s="72">
        <v>68601</v>
      </c>
      <c r="G102" s="74">
        <v>6</v>
      </c>
      <c r="H102" s="73">
        <v>20281453492</v>
      </c>
      <c r="I102" s="73" t="s">
        <v>95</v>
      </c>
      <c r="J102" s="75">
        <f t="shared" si="4"/>
        <v>16.949152542372882</v>
      </c>
      <c r="K102" s="75">
        <f t="shared" si="5"/>
        <v>3.0508474576271185</v>
      </c>
      <c r="L102" s="75"/>
      <c r="M102" s="75"/>
      <c r="N102" s="75"/>
      <c r="O102" s="75"/>
      <c r="P102" s="75"/>
      <c r="Q102" s="75"/>
      <c r="R102" s="75"/>
      <c r="S102" s="75">
        <v>20</v>
      </c>
      <c r="T102" s="72"/>
      <c r="U102" s="72"/>
      <c r="V102" s="88"/>
      <c r="W102" s="76"/>
      <c r="X102" s="71"/>
      <c r="Y102" s="72"/>
      <c r="Z102" s="72"/>
      <c r="AA102" s="72"/>
      <c r="AB102" s="72" t="s">
        <v>86</v>
      </c>
      <c r="AC102" s="93"/>
      <c r="AD102" s="71">
        <v>46189</v>
      </c>
      <c r="AE102" s="72" t="s">
        <v>940</v>
      </c>
      <c r="AF102" s="149" t="s">
        <v>943</v>
      </c>
      <c r="AG102" s="92"/>
      <c r="AH102" s="72" t="s">
        <v>88</v>
      </c>
      <c r="AI102" s="75"/>
      <c r="AJ102" s="72"/>
      <c r="AK102" s="72"/>
      <c r="AL102" s="77"/>
      <c r="AM102" s="72"/>
      <c r="AN102" s="72"/>
      <c r="AO102" s="72"/>
      <c r="AP102" s="72"/>
      <c r="AQ102" s="78"/>
      <c r="AR102" s="79">
        <v>18</v>
      </c>
      <c r="AS102" s="80" t="s">
        <v>815</v>
      </c>
      <c r="AT102" s="81"/>
      <c r="AU102" s="82"/>
    </row>
    <row r="103" spans="1:47" s="98" customFormat="1" ht="11.25" customHeight="1" x14ac:dyDescent="0.2">
      <c r="A103" s="71">
        <v>46189</v>
      </c>
      <c r="B103" s="71">
        <f t="shared" si="3"/>
        <v>46189</v>
      </c>
      <c r="C103" s="72" t="s">
        <v>83</v>
      </c>
      <c r="D103" s="73" t="s">
        <v>91</v>
      </c>
      <c r="E103" s="74"/>
      <c r="F103" s="72">
        <v>68602</v>
      </c>
      <c r="G103" s="74">
        <v>6</v>
      </c>
      <c r="H103" s="73">
        <v>20281453492</v>
      </c>
      <c r="I103" s="73" t="s">
        <v>95</v>
      </c>
      <c r="J103" s="75">
        <f t="shared" si="4"/>
        <v>16.949152542372882</v>
      </c>
      <c r="K103" s="75">
        <f t="shared" si="5"/>
        <v>3.0508474576271185</v>
      </c>
      <c r="L103" s="75"/>
      <c r="M103" s="75"/>
      <c r="N103" s="75"/>
      <c r="O103" s="75"/>
      <c r="P103" s="75"/>
      <c r="Q103" s="75"/>
      <c r="R103" s="75"/>
      <c r="S103" s="75">
        <v>20</v>
      </c>
      <c r="T103" s="72"/>
      <c r="U103" s="72"/>
      <c r="V103" s="88"/>
      <c r="W103" s="76"/>
      <c r="X103" s="71"/>
      <c r="Y103" s="72"/>
      <c r="Z103" s="72"/>
      <c r="AA103" s="72"/>
      <c r="AB103" s="72" t="s">
        <v>86</v>
      </c>
      <c r="AC103" s="93"/>
      <c r="AD103" s="71">
        <v>46189</v>
      </c>
      <c r="AE103" s="72" t="s">
        <v>940</v>
      </c>
      <c r="AF103" s="149" t="s">
        <v>943</v>
      </c>
      <c r="AG103" s="92"/>
      <c r="AH103" s="72" t="s">
        <v>88</v>
      </c>
      <c r="AI103" s="75"/>
      <c r="AJ103" s="72"/>
      <c r="AK103" s="72"/>
      <c r="AL103" s="77"/>
      <c r="AM103" s="72"/>
      <c r="AN103" s="72"/>
      <c r="AO103" s="72"/>
      <c r="AP103" s="72"/>
      <c r="AQ103" s="78"/>
      <c r="AR103" s="79">
        <v>18</v>
      </c>
      <c r="AS103" s="80" t="s">
        <v>815</v>
      </c>
      <c r="AT103" s="81"/>
      <c r="AU103" s="82"/>
    </row>
    <row r="104" spans="1:47" s="98" customFormat="1" ht="11.25" customHeight="1" x14ac:dyDescent="0.2">
      <c r="A104" s="71">
        <v>46190</v>
      </c>
      <c r="B104" s="71">
        <f t="shared" si="3"/>
        <v>46190</v>
      </c>
      <c r="C104" s="72" t="s">
        <v>83</v>
      </c>
      <c r="D104" s="73" t="s">
        <v>91</v>
      </c>
      <c r="E104" s="74"/>
      <c r="F104" s="72">
        <v>68619</v>
      </c>
      <c r="G104" s="74">
        <v>6</v>
      </c>
      <c r="H104" s="73">
        <v>20281453492</v>
      </c>
      <c r="I104" s="73" t="s">
        <v>95</v>
      </c>
      <c r="J104" s="75">
        <f t="shared" si="4"/>
        <v>16.949152542372882</v>
      </c>
      <c r="K104" s="75">
        <f t="shared" si="5"/>
        <v>3.0508474576271185</v>
      </c>
      <c r="L104" s="75"/>
      <c r="M104" s="75"/>
      <c r="N104" s="75"/>
      <c r="O104" s="75"/>
      <c r="P104" s="75"/>
      <c r="Q104" s="75"/>
      <c r="R104" s="75"/>
      <c r="S104" s="75">
        <v>20</v>
      </c>
      <c r="T104" s="72"/>
      <c r="U104" s="72"/>
      <c r="V104" s="88"/>
      <c r="W104" s="76"/>
      <c r="X104" s="71"/>
      <c r="Y104" s="72"/>
      <c r="Z104" s="72"/>
      <c r="AA104" s="72"/>
      <c r="AB104" s="72" t="s">
        <v>86</v>
      </c>
      <c r="AC104" s="93"/>
      <c r="AD104" s="71">
        <v>46190</v>
      </c>
      <c r="AE104" s="72" t="s">
        <v>940</v>
      </c>
      <c r="AF104" s="149" t="s">
        <v>943</v>
      </c>
      <c r="AG104" s="92"/>
      <c r="AH104" s="72" t="s">
        <v>88</v>
      </c>
      <c r="AI104" s="75"/>
      <c r="AJ104" s="72"/>
      <c r="AK104" s="72"/>
      <c r="AL104" s="77"/>
      <c r="AM104" s="72"/>
      <c r="AN104" s="72"/>
      <c r="AO104" s="72"/>
      <c r="AP104" s="72"/>
      <c r="AQ104" s="78"/>
      <c r="AR104" s="79">
        <v>18</v>
      </c>
      <c r="AS104" s="80" t="s">
        <v>815</v>
      </c>
      <c r="AT104" s="81"/>
      <c r="AU104" s="82"/>
    </row>
    <row r="105" spans="1:47" s="98" customFormat="1" ht="11.25" customHeight="1" x14ac:dyDescent="0.2">
      <c r="A105" s="71">
        <v>46190</v>
      </c>
      <c r="B105" s="71">
        <f t="shared" si="3"/>
        <v>46190</v>
      </c>
      <c r="C105" s="72" t="s">
        <v>83</v>
      </c>
      <c r="D105" s="73" t="s">
        <v>91</v>
      </c>
      <c r="E105" s="74"/>
      <c r="F105" s="72">
        <v>68625</v>
      </c>
      <c r="G105" s="74">
        <v>6</v>
      </c>
      <c r="H105" s="73">
        <v>20281453492</v>
      </c>
      <c r="I105" s="73" t="s">
        <v>95</v>
      </c>
      <c r="J105" s="75">
        <f t="shared" si="4"/>
        <v>16.949152542372882</v>
      </c>
      <c r="K105" s="75">
        <f t="shared" si="5"/>
        <v>3.0508474576271185</v>
      </c>
      <c r="L105" s="75"/>
      <c r="M105" s="75"/>
      <c r="N105" s="75"/>
      <c r="O105" s="75"/>
      <c r="P105" s="75"/>
      <c r="Q105" s="75"/>
      <c r="R105" s="75"/>
      <c r="S105" s="75">
        <v>20</v>
      </c>
      <c r="T105" s="72"/>
      <c r="U105" s="72"/>
      <c r="V105" s="88"/>
      <c r="W105" s="76"/>
      <c r="X105" s="71"/>
      <c r="Y105" s="72"/>
      <c r="Z105" s="72"/>
      <c r="AA105" s="72"/>
      <c r="AB105" s="72" t="s">
        <v>86</v>
      </c>
      <c r="AC105" s="93"/>
      <c r="AD105" s="71">
        <v>46190</v>
      </c>
      <c r="AE105" s="72" t="s">
        <v>940</v>
      </c>
      <c r="AF105" s="149" t="s">
        <v>943</v>
      </c>
      <c r="AG105" s="92"/>
      <c r="AH105" s="72" t="s">
        <v>88</v>
      </c>
      <c r="AI105" s="75"/>
      <c r="AJ105" s="72"/>
      <c r="AK105" s="72"/>
      <c r="AL105" s="77"/>
      <c r="AM105" s="72"/>
      <c r="AN105" s="72"/>
      <c r="AO105" s="72"/>
      <c r="AP105" s="72"/>
      <c r="AQ105" s="78"/>
      <c r="AR105" s="79">
        <v>18</v>
      </c>
      <c r="AS105" s="80" t="s">
        <v>815</v>
      </c>
      <c r="AT105" s="81"/>
      <c r="AU105" s="82"/>
    </row>
    <row r="106" spans="1:47" s="144" customFormat="1" ht="11.25" customHeight="1" x14ac:dyDescent="0.2">
      <c r="A106" s="131">
        <v>46190</v>
      </c>
      <c r="B106" s="131">
        <f t="shared" si="3"/>
        <v>46190</v>
      </c>
      <c r="C106" s="132" t="s">
        <v>83</v>
      </c>
      <c r="D106" s="133" t="s">
        <v>91</v>
      </c>
      <c r="E106" s="134"/>
      <c r="F106" s="132">
        <v>68629</v>
      </c>
      <c r="G106" s="134">
        <v>6</v>
      </c>
      <c r="H106" s="133">
        <v>20281453492</v>
      </c>
      <c r="I106" s="133" t="s">
        <v>95</v>
      </c>
      <c r="J106" s="135">
        <f t="shared" si="4"/>
        <v>16.949152542372882</v>
      </c>
      <c r="K106" s="135">
        <f t="shared" si="5"/>
        <v>3.0508474576271185</v>
      </c>
      <c r="L106" s="135"/>
      <c r="M106" s="135"/>
      <c r="N106" s="135"/>
      <c r="O106" s="135"/>
      <c r="P106" s="135"/>
      <c r="Q106" s="135"/>
      <c r="R106" s="135"/>
      <c r="S106" s="135">
        <v>20</v>
      </c>
      <c r="T106" s="132"/>
      <c r="U106" s="132"/>
      <c r="V106" s="136"/>
      <c r="W106" s="137"/>
      <c r="X106" s="131"/>
      <c r="Y106" s="132"/>
      <c r="Z106" s="132"/>
      <c r="AA106" s="132"/>
      <c r="AB106" s="132" t="s">
        <v>86</v>
      </c>
      <c r="AC106" s="145"/>
      <c r="AD106" s="131">
        <v>46190</v>
      </c>
      <c r="AE106" s="132" t="s">
        <v>940</v>
      </c>
      <c r="AF106" s="150" t="s">
        <v>943</v>
      </c>
      <c r="AG106" s="146"/>
      <c r="AH106" s="132" t="s">
        <v>88</v>
      </c>
      <c r="AI106" s="135"/>
      <c r="AJ106" s="132"/>
      <c r="AK106" s="132"/>
      <c r="AL106" s="138"/>
      <c r="AM106" s="132"/>
      <c r="AN106" s="132"/>
      <c r="AO106" s="132"/>
      <c r="AP106" s="132"/>
      <c r="AQ106" s="139"/>
      <c r="AR106" s="140">
        <v>18</v>
      </c>
      <c r="AS106" s="141" t="s">
        <v>815</v>
      </c>
      <c r="AT106" s="142"/>
      <c r="AU106" s="143"/>
    </row>
    <row r="107" spans="1:47" s="98" customFormat="1" ht="11.25" customHeight="1" x14ac:dyDescent="0.2">
      <c r="A107" s="71">
        <v>46191</v>
      </c>
      <c r="B107" s="71">
        <f t="shared" si="3"/>
        <v>46191</v>
      </c>
      <c r="C107" s="72" t="s">
        <v>83</v>
      </c>
      <c r="D107" s="73" t="s">
        <v>91</v>
      </c>
      <c r="E107" s="74"/>
      <c r="F107" s="72">
        <v>68630</v>
      </c>
      <c r="G107" s="74">
        <v>6</v>
      </c>
      <c r="H107" s="73">
        <v>20281453492</v>
      </c>
      <c r="I107" s="73" t="s">
        <v>95</v>
      </c>
      <c r="J107" s="75">
        <f t="shared" si="4"/>
        <v>16.949152542372882</v>
      </c>
      <c r="K107" s="75">
        <f t="shared" si="5"/>
        <v>3.0508474576271185</v>
      </c>
      <c r="L107" s="75"/>
      <c r="M107" s="75"/>
      <c r="N107" s="75"/>
      <c r="O107" s="75"/>
      <c r="P107" s="75"/>
      <c r="Q107" s="75"/>
      <c r="R107" s="75"/>
      <c r="S107" s="75">
        <v>20</v>
      </c>
      <c r="T107" s="72"/>
      <c r="U107" s="72"/>
      <c r="V107" s="88"/>
      <c r="W107" s="76"/>
      <c r="X107" s="71"/>
      <c r="Y107" s="72"/>
      <c r="Z107" s="72"/>
      <c r="AA107" s="72"/>
      <c r="AB107" s="72" t="s">
        <v>86</v>
      </c>
      <c r="AC107" s="93"/>
      <c r="AD107" s="71">
        <v>46191</v>
      </c>
      <c r="AE107" s="72" t="s">
        <v>940</v>
      </c>
      <c r="AF107" s="149" t="s">
        <v>943</v>
      </c>
      <c r="AG107" s="92"/>
      <c r="AH107" s="72" t="s">
        <v>88</v>
      </c>
      <c r="AI107" s="75"/>
      <c r="AJ107" s="72"/>
      <c r="AK107" s="72"/>
      <c r="AL107" s="77"/>
      <c r="AM107" s="72"/>
      <c r="AN107" s="72"/>
      <c r="AO107" s="72"/>
      <c r="AP107" s="72"/>
      <c r="AQ107" s="78"/>
      <c r="AR107" s="79">
        <v>18</v>
      </c>
      <c r="AS107" s="80" t="s">
        <v>815</v>
      </c>
      <c r="AT107" s="81"/>
      <c r="AU107" s="82"/>
    </row>
    <row r="108" spans="1:47" s="98" customFormat="1" ht="11.25" customHeight="1" x14ac:dyDescent="0.2">
      <c r="A108" s="71">
        <v>46192</v>
      </c>
      <c r="B108" s="71">
        <f t="shared" si="3"/>
        <v>46192</v>
      </c>
      <c r="C108" s="72" t="s">
        <v>83</v>
      </c>
      <c r="D108" s="73" t="s">
        <v>91</v>
      </c>
      <c r="E108" s="74"/>
      <c r="F108" s="72">
        <v>68646</v>
      </c>
      <c r="G108" s="74">
        <v>6</v>
      </c>
      <c r="H108" s="73">
        <v>20281453492</v>
      </c>
      <c r="I108" s="73" t="s">
        <v>95</v>
      </c>
      <c r="J108" s="75">
        <f t="shared" si="4"/>
        <v>16.949152542372882</v>
      </c>
      <c r="K108" s="75">
        <f t="shared" si="5"/>
        <v>3.0508474576271185</v>
      </c>
      <c r="L108" s="75"/>
      <c r="M108" s="75"/>
      <c r="N108" s="75"/>
      <c r="O108" s="75"/>
      <c r="P108" s="75"/>
      <c r="Q108" s="75"/>
      <c r="R108" s="75"/>
      <c r="S108" s="75">
        <v>20</v>
      </c>
      <c r="T108" s="72"/>
      <c r="U108" s="72"/>
      <c r="V108" s="88"/>
      <c r="W108" s="76"/>
      <c r="X108" s="71"/>
      <c r="Y108" s="72"/>
      <c r="Z108" s="72"/>
      <c r="AA108" s="72"/>
      <c r="AB108" s="72" t="s">
        <v>86</v>
      </c>
      <c r="AC108" s="93"/>
      <c r="AD108" s="71">
        <v>46192</v>
      </c>
      <c r="AE108" s="72" t="s">
        <v>940</v>
      </c>
      <c r="AF108" s="149" t="s">
        <v>943</v>
      </c>
      <c r="AG108" s="92"/>
      <c r="AH108" s="72" t="s">
        <v>88</v>
      </c>
      <c r="AI108" s="75"/>
      <c r="AJ108" s="72"/>
      <c r="AK108" s="72"/>
      <c r="AL108" s="77"/>
      <c r="AM108" s="72"/>
      <c r="AN108" s="72"/>
      <c r="AO108" s="72"/>
      <c r="AP108" s="72"/>
      <c r="AQ108" s="78"/>
      <c r="AR108" s="79">
        <v>18</v>
      </c>
      <c r="AS108" s="80" t="s">
        <v>815</v>
      </c>
      <c r="AT108" s="81"/>
      <c r="AU108" s="82"/>
    </row>
    <row r="109" spans="1:47" s="98" customFormat="1" ht="11.25" customHeight="1" x14ac:dyDescent="0.2">
      <c r="A109" s="71">
        <v>46193</v>
      </c>
      <c r="B109" s="71">
        <f t="shared" si="3"/>
        <v>46193</v>
      </c>
      <c r="C109" s="72" t="s">
        <v>83</v>
      </c>
      <c r="D109" s="73" t="s">
        <v>91</v>
      </c>
      <c r="E109" s="74"/>
      <c r="F109" s="72">
        <v>68655</v>
      </c>
      <c r="G109" s="74">
        <v>6</v>
      </c>
      <c r="H109" s="73">
        <v>20281453492</v>
      </c>
      <c r="I109" s="73" t="s">
        <v>95</v>
      </c>
      <c r="J109" s="75">
        <f t="shared" si="4"/>
        <v>16.949152542372882</v>
      </c>
      <c r="K109" s="75">
        <f t="shared" si="5"/>
        <v>3.0508474576271185</v>
      </c>
      <c r="L109" s="75"/>
      <c r="M109" s="75"/>
      <c r="N109" s="75"/>
      <c r="O109" s="75"/>
      <c r="P109" s="75"/>
      <c r="Q109" s="75"/>
      <c r="R109" s="75"/>
      <c r="S109" s="75">
        <v>20</v>
      </c>
      <c r="T109" s="72"/>
      <c r="U109" s="72"/>
      <c r="V109" s="88"/>
      <c r="W109" s="76"/>
      <c r="X109" s="71"/>
      <c r="Y109" s="72"/>
      <c r="Z109" s="72"/>
      <c r="AA109" s="72"/>
      <c r="AB109" s="72" t="s">
        <v>86</v>
      </c>
      <c r="AC109" s="93"/>
      <c r="AD109" s="71">
        <v>46193</v>
      </c>
      <c r="AE109" s="72" t="s">
        <v>940</v>
      </c>
      <c r="AF109" s="149" t="s">
        <v>943</v>
      </c>
      <c r="AG109" s="92"/>
      <c r="AH109" s="72" t="s">
        <v>88</v>
      </c>
      <c r="AI109" s="75"/>
      <c r="AJ109" s="72"/>
      <c r="AK109" s="72"/>
      <c r="AL109" s="77"/>
      <c r="AM109" s="72"/>
      <c r="AN109" s="72"/>
      <c r="AO109" s="72"/>
      <c r="AP109" s="72"/>
      <c r="AQ109" s="78"/>
      <c r="AR109" s="79">
        <v>18</v>
      </c>
      <c r="AS109" s="80" t="s">
        <v>815</v>
      </c>
      <c r="AT109" s="81"/>
      <c r="AU109" s="82"/>
    </row>
    <row r="110" spans="1:47" s="98" customFormat="1" ht="11.25" customHeight="1" x14ac:dyDescent="0.2">
      <c r="A110" s="71">
        <v>46193</v>
      </c>
      <c r="B110" s="71">
        <f t="shared" si="3"/>
        <v>46193</v>
      </c>
      <c r="C110" s="72" t="s">
        <v>83</v>
      </c>
      <c r="D110" s="73" t="s">
        <v>91</v>
      </c>
      <c r="E110" s="74"/>
      <c r="F110" s="72">
        <v>68659</v>
      </c>
      <c r="G110" s="74">
        <v>6</v>
      </c>
      <c r="H110" s="73">
        <v>20281453492</v>
      </c>
      <c r="I110" s="73" t="s">
        <v>95</v>
      </c>
      <c r="J110" s="75">
        <f t="shared" si="4"/>
        <v>16.949152542372882</v>
      </c>
      <c r="K110" s="75">
        <f t="shared" si="5"/>
        <v>3.0508474576271185</v>
      </c>
      <c r="L110" s="75"/>
      <c r="M110" s="75"/>
      <c r="N110" s="75"/>
      <c r="O110" s="75"/>
      <c r="P110" s="75"/>
      <c r="Q110" s="75"/>
      <c r="R110" s="75"/>
      <c r="S110" s="75">
        <v>20</v>
      </c>
      <c r="T110" s="72"/>
      <c r="U110" s="72"/>
      <c r="V110" s="88"/>
      <c r="W110" s="76"/>
      <c r="X110" s="71"/>
      <c r="Y110" s="72"/>
      <c r="Z110" s="72"/>
      <c r="AA110" s="72"/>
      <c r="AB110" s="72" t="s">
        <v>86</v>
      </c>
      <c r="AC110" s="93"/>
      <c r="AD110" s="71">
        <v>46193</v>
      </c>
      <c r="AE110" s="72" t="s">
        <v>940</v>
      </c>
      <c r="AF110" s="149" t="s">
        <v>943</v>
      </c>
      <c r="AG110" s="92"/>
      <c r="AH110" s="72" t="s">
        <v>88</v>
      </c>
      <c r="AI110" s="75"/>
      <c r="AJ110" s="72"/>
      <c r="AK110" s="72"/>
      <c r="AL110" s="77"/>
      <c r="AM110" s="72"/>
      <c r="AN110" s="72"/>
      <c r="AO110" s="72"/>
      <c r="AP110" s="72"/>
      <c r="AQ110" s="78"/>
      <c r="AR110" s="79">
        <v>18</v>
      </c>
      <c r="AS110" s="80" t="s">
        <v>815</v>
      </c>
      <c r="AT110" s="81"/>
      <c r="AU110" s="82"/>
    </row>
    <row r="111" spans="1:47" s="98" customFormat="1" ht="11.25" customHeight="1" x14ac:dyDescent="0.2">
      <c r="A111" s="71">
        <v>46195</v>
      </c>
      <c r="B111" s="71">
        <f t="shared" si="3"/>
        <v>46195</v>
      </c>
      <c r="C111" s="72" t="s">
        <v>83</v>
      </c>
      <c r="D111" s="73" t="s">
        <v>91</v>
      </c>
      <c r="E111" s="74"/>
      <c r="F111" s="72">
        <v>68675</v>
      </c>
      <c r="G111" s="74">
        <v>6</v>
      </c>
      <c r="H111" s="73">
        <v>20281453492</v>
      </c>
      <c r="I111" s="73" t="s">
        <v>95</v>
      </c>
      <c r="J111" s="75">
        <f t="shared" si="4"/>
        <v>16.949152542372882</v>
      </c>
      <c r="K111" s="75">
        <f t="shared" si="5"/>
        <v>3.0508474576271185</v>
      </c>
      <c r="L111" s="75"/>
      <c r="M111" s="75"/>
      <c r="N111" s="75"/>
      <c r="O111" s="75"/>
      <c r="P111" s="75"/>
      <c r="Q111" s="75"/>
      <c r="R111" s="75"/>
      <c r="S111" s="75">
        <v>20</v>
      </c>
      <c r="T111" s="72"/>
      <c r="U111" s="72"/>
      <c r="V111" s="88"/>
      <c r="W111" s="76"/>
      <c r="X111" s="71"/>
      <c r="Y111" s="72"/>
      <c r="Z111" s="72"/>
      <c r="AA111" s="72"/>
      <c r="AB111" s="72" t="s">
        <v>86</v>
      </c>
      <c r="AC111" s="93"/>
      <c r="AD111" s="71">
        <v>46195</v>
      </c>
      <c r="AE111" s="72" t="s">
        <v>940</v>
      </c>
      <c r="AF111" s="149" t="s">
        <v>943</v>
      </c>
      <c r="AG111" s="92"/>
      <c r="AH111" s="72" t="s">
        <v>88</v>
      </c>
      <c r="AI111" s="75"/>
      <c r="AJ111" s="72"/>
      <c r="AK111" s="72"/>
      <c r="AL111" s="77"/>
      <c r="AM111" s="72"/>
      <c r="AN111" s="72"/>
      <c r="AO111" s="72"/>
      <c r="AP111" s="72"/>
      <c r="AQ111" s="78"/>
      <c r="AR111" s="79">
        <v>18</v>
      </c>
      <c r="AS111" s="80" t="s">
        <v>815</v>
      </c>
      <c r="AT111" s="81"/>
      <c r="AU111" s="82"/>
    </row>
    <row r="112" spans="1:47" s="98" customFormat="1" ht="11.25" customHeight="1" x14ac:dyDescent="0.2">
      <c r="A112" s="71">
        <v>46196</v>
      </c>
      <c r="B112" s="71">
        <f t="shared" si="3"/>
        <v>46196</v>
      </c>
      <c r="C112" s="72" t="s">
        <v>83</v>
      </c>
      <c r="D112" s="73" t="s">
        <v>91</v>
      </c>
      <c r="E112" s="74"/>
      <c r="F112" s="72">
        <v>68702</v>
      </c>
      <c r="G112" s="74">
        <v>6</v>
      </c>
      <c r="H112" s="73">
        <v>20281453492</v>
      </c>
      <c r="I112" s="73" t="s">
        <v>95</v>
      </c>
      <c r="J112" s="75">
        <f t="shared" si="4"/>
        <v>16.949152542372882</v>
      </c>
      <c r="K112" s="75">
        <f t="shared" si="5"/>
        <v>3.0508474576271185</v>
      </c>
      <c r="L112" s="75"/>
      <c r="M112" s="75"/>
      <c r="N112" s="75"/>
      <c r="O112" s="75"/>
      <c r="P112" s="75"/>
      <c r="Q112" s="75"/>
      <c r="R112" s="75"/>
      <c r="S112" s="75">
        <v>20</v>
      </c>
      <c r="T112" s="72"/>
      <c r="U112" s="72"/>
      <c r="V112" s="88"/>
      <c r="W112" s="76"/>
      <c r="X112" s="71"/>
      <c r="Y112" s="72"/>
      <c r="Z112" s="72"/>
      <c r="AA112" s="72"/>
      <c r="AB112" s="72" t="s">
        <v>86</v>
      </c>
      <c r="AC112" s="93"/>
      <c r="AD112" s="71">
        <v>46196</v>
      </c>
      <c r="AE112" s="72" t="s">
        <v>940</v>
      </c>
      <c r="AF112" s="149" t="s">
        <v>943</v>
      </c>
      <c r="AG112" s="92"/>
      <c r="AH112" s="72" t="s">
        <v>88</v>
      </c>
      <c r="AI112" s="75"/>
      <c r="AJ112" s="72"/>
      <c r="AK112" s="72"/>
      <c r="AL112" s="77"/>
      <c r="AM112" s="72"/>
      <c r="AN112" s="72"/>
      <c r="AO112" s="72"/>
      <c r="AP112" s="72"/>
      <c r="AQ112" s="78"/>
      <c r="AR112" s="79">
        <v>18</v>
      </c>
      <c r="AS112" s="80" t="s">
        <v>815</v>
      </c>
      <c r="AT112" s="81"/>
      <c r="AU112" s="82"/>
    </row>
    <row r="113" spans="1:47" s="98" customFormat="1" ht="11.25" customHeight="1" x14ac:dyDescent="0.2">
      <c r="A113" s="71">
        <v>46196</v>
      </c>
      <c r="B113" s="71">
        <f t="shared" si="3"/>
        <v>46196</v>
      </c>
      <c r="C113" s="72" t="s">
        <v>83</v>
      </c>
      <c r="D113" s="73" t="s">
        <v>91</v>
      </c>
      <c r="E113" s="74"/>
      <c r="F113" s="72">
        <v>68704</v>
      </c>
      <c r="G113" s="74">
        <v>6</v>
      </c>
      <c r="H113" s="73">
        <v>20281453492</v>
      </c>
      <c r="I113" s="73" t="s">
        <v>95</v>
      </c>
      <c r="J113" s="75">
        <f t="shared" si="4"/>
        <v>16.949152542372882</v>
      </c>
      <c r="K113" s="75">
        <f t="shared" si="5"/>
        <v>3.0508474576271185</v>
      </c>
      <c r="L113" s="75"/>
      <c r="M113" s="75"/>
      <c r="N113" s="75"/>
      <c r="O113" s="75"/>
      <c r="P113" s="75"/>
      <c r="Q113" s="75"/>
      <c r="R113" s="75"/>
      <c r="S113" s="75">
        <v>20</v>
      </c>
      <c r="T113" s="72"/>
      <c r="U113" s="72"/>
      <c r="V113" s="88"/>
      <c r="W113" s="76"/>
      <c r="X113" s="71"/>
      <c r="Y113" s="72"/>
      <c r="Z113" s="72"/>
      <c r="AA113" s="72"/>
      <c r="AB113" s="72" t="s">
        <v>86</v>
      </c>
      <c r="AC113" s="93"/>
      <c r="AD113" s="71">
        <v>46196</v>
      </c>
      <c r="AE113" s="72" t="s">
        <v>940</v>
      </c>
      <c r="AF113" s="149" t="s">
        <v>943</v>
      </c>
      <c r="AG113" s="92"/>
      <c r="AH113" s="72" t="s">
        <v>88</v>
      </c>
      <c r="AI113" s="75"/>
      <c r="AJ113" s="72"/>
      <c r="AK113" s="72"/>
      <c r="AL113" s="77"/>
      <c r="AM113" s="72"/>
      <c r="AN113" s="72"/>
      <c r="AO113" s="72"/>
      <c r="AP113" s="72"/>
      <c r="AQ113" s="78"/>
      <c r="AR113" s="79">
        <v>18</v>
      </c>
      <c r="AS113" s="80" t="s">
        <v>815</v>
      </c>
      <c r="AT113" s="81"/>
      <c r="AU113" s="82"/>
    </row>
    <row r="114" spans="1:47" s="98" customFormat="1" ht="11.25" customHeight="1" x14ac:dyDescent="0.2">
      <c r="A114" s="71">
        <v>46197</v>
      </c>
      <c r="B114" s="71">
        <f t="shared" si="3"/>
        <v>46197</v>
      </c>
      <c r="C114" s="72" t="s">
        <v>83</v>
      </c>
      <c r="D114" s="73" t="s">
        <v>91</v>
      </c>
      <c r="E114" s="74"/>
      <c r="F114" s="72">
        <v>68716</v>
      </c>
      <c r="G114" s="74">
        <v>6</v>
      </c>
      <c r="H114" s="73">
        <v>20281453492</v>
      </c>
      <c r="I114" s="73" t="s">
        <v>95</v>
      </c>
      <c r="J114" s="75">
        <f t="shared" si="4"/>
        <v>16.949152542372882</v>
      </c>
      <c r="K114" s="75">
        <f t="shared" si="5"/>
        <v>3.0508474576271185</v>
      </c>
      <c r="L114" s="75"/>
      <c r="M114" s="75"/>
      <c r="N114" s="75"/>
      <c r="O114" s="75"/>
      <c r="P114" s="75"/>
      <c r="Q114" s="75"/>
      <c r="R114" s="75"/>
      <c r="S114" s="75">
        <v>20</v>
      </c>
      <c r="T114" s="72"/>
      <c r="U114" s="72"/>
      <c r="V114" s="88"/>
      <c r="W114" s="76"/>
      <c r="X114" s="71"/>
      <c r="Y114" s="72"/>
      <c r="Z114" s="72"/>
      <c r="AA114" s="72"/>
      <c r="AB114" s="72" t="s">
        <v>86</v>
      </c>
      <c r="AC114" s="93"/>
      <c r="AD114" s="71">
        <v>46197</v>
      </c>
      <c r="AE114" s="72" t="s">
        <v>940</v>
      </c>
      <c r="AF114" s="149" t="s">
        <v>943</v>
      </c>
      <c r="AG114" s="92"/>
      <c r="AH114" s="72" t="s">
        <v>88</v>
      </c>
      <c r="AI114" s="75"/>
      <c r="AJ114" s="72"/>
      <c r="AK114" s="72"/>
      <c r="AL114" s="77"/>
      <c r="AM114" s="72"/>
      <c r="AN114" s="72"/>
      <c r="AO114" s="72"/>
      <c r="AP114" s="72"/>
      <c r="AQ114" s="78"/>
      <c r="AR114" s="79">
        <v>18</v>
      </c>
      <c r="AS114" s="80" t="s">
        <v>815</v>
      </c>
      <c r="AT114" s="81"/>
      <c r="AU114" s="82"/>
    </row>
    <row r="115" spans="1:47" s="98" customFormat="1" ht="11.25" customHeight="1" x14ac:dyDescent="0.2">
      <c r="A115" s="71">
        <v>46197</v>
      </c>
      <c r="B115" s="71">
        <f t="shared" si="3"/>
        <v>46197</v>
      </c>
      <c r="C115" s="72" t="s">
        <v>83</v>
      </c>
      <c r="D115" s="73" t="s">
        <v>91</v>
      </c>
      <c r="E115" s="74"/>
      <c r="F115" s="72">
        <v>68730</v>
      </c>
      <c r="G115" s="74">
        <v>6</v>
      </c>
      <c r="H115" s="73">
        <v>20281453492</v>
      </c>
      <c r="I115" s="73" t="s">
        <v>95</v>
      </c>
      <c r="J115" s="75">
        <f t="shared" si="4"/>
        <v>16.949152542372882</v>
      </c>
      <c r="K115" s="75">
        <f t="shared" si="5"/>
        <v>3.0508474576271185</v>
      </c>
      <c r="L115" s="75"/>
      <c r="M115" s="75"/>
      <c r="N115" s="75"/>
      <c r="O115" s="75"/>
      <c r="P115" s="75"/>
      <c r="Q115" s="75"/>
      <c r="R115" s="75"/>
      <c r="S115" s="75">
        <v>20</v>
      </c>
      <c r="T115" s="72"/>
      <c r="U115" s="72"/>
      <c r="V115" s="88"/>
      <c r="W115" s="76"/>
      <c r="X115" s="71"/>
      <c r="Y115" s="72"/>
      <c r="Z115" s="72"/>
      <c r="AA115" s="72"/>
      <c r="AB115" s="72" t="s">
        <v>86</v>
      </c>
      <c r="AC115" s="93"/>
      <c r="AD115" s="71">
        <v>46197</v>
      </c>
      <c r="AE115" s="72" t="s">
        <v>940</v>
      </c>
      <c r="AF115" s="149" t="s">
        <v>943</v>
      </c>
      <c r="AG115" s="92"/>
      <c r="AH115" s="72" t="s">
        <v>88</v>
      </c>
      <c r="AI115" s="75"/>
      <c r="AJ115" s="72"/>
      <c r="AK115" s="72"/>
      <c r="AL115" s="77"/>
      <c r="AM115" s="72"/>
      <c r="AN115" s="72"/>
      <c r="AO115" s="72"/>
      <c r="AP115" s="72"/>
      <c r="AQ115" s="78"/>
      <c r="AR115" s="79">
        <v>18</v>
      </c>
      <c r="AS115" s="80" t="s">
        <v>815</v>
      </c>
      <c r="AT115" s="81"/>
      <c r="AU115" s="82"/>
    </row>
    <row r="116" spans="1:47" s="98" customFormat="1" ht="11.25" customHeight="1" x14ac:dyDescent="0.2">
      <c r="A116" s="71">
        <v>46198</v>
      </c>
      <c r="B116" s="71">
        <f t="shared" si="3"/>
        <v>46198</v>
      </c>
      <c r="C116" s="72" t="s">
        <v>83</v>
      </c>
      <c r="D116" s="73" t="s">
        <v>91</v>
      </c>
      <c r="E116" s="74"/>
      <c r="F116" s="72">
        <v>68733</v>
      </c>
      <c r="G116" s="74">
        <v>6</v>
      </c>
      <c r="H116" s="73">
        <v>20281453492</v>
      </c>
      <c r="I116" s="73" t="s">
        <v>95</v>
      </c>
      <c r="J116" s="75">
        <f t="shared" si="4"/>
        <v>16.949152542372882</v>
      </c>
      <c r="K116" s="75">
        <f t="shared" si="5"/>
        <v>3.0508474576271185</v>
      </c>
      <c r="L116" s="75"/>
      <c r="M116" s="75"/>
      <c r="N116" s="75"/>
      <c r="O116" s="75"/>
      <c r="P116" s="75"/>
      <c r="Q116" s="75"/>
      <c r="R116" s="75"/>
      <c r="S116" s="75">
        <v>20</v>
      </c>
      <c r="T116" s="72"/>
      <c r="U116" s="72"/>
      <c r="V116" s="88"/>
      <c r="W116" s="76"/>
      <c r="X116" s="71"/>
      <c r="Y116" s="72"/>
      <c r="Z116" s="72"/>
      <c r="AA116" s="72"/>
      <c r="AB116" s="72" t="s">
        <v>86</v>
      </c>
      <c r="AC116" s="93"/>
      <c r="AD116" s="71">
        <v>46198</v>
      </c>
      <c r="AE116" s="72" t="s">
        <v>940</v>
      </c>
      <c r="AF116" s="149" t="s">
        <v>943</v>
      </c>
      <c r="AG116" s="92"/>
      <c r="AH116" s="72" t="s">
        <v>88</v>
      </c>
      <c r="AI116" s="75"/>
      <c r="AJ116" s="72"/>
      <c r="AK116" s="72"/>
      <c r="AL116" s="77"/>
      <c r="AM116" s="72"/>
      <c r="AN116" s="72"/>
      <c r="AO116" s="72"/>
      <c r="AP116" s="72"/>
      <c r="AQ116" s="78"/>
      <c r="AR116" s="79">
        <v>18</v>
      </c>
      <c r="AS116" s="80" t="s">
        <v>815</v>
      </c>
      <c r="AT116" s="81"/>
      <c r="AU116" s="82"/>
    </row>
    <row r="117" spans="1:47" s="98" customFormat="1" ht="11.25" customHeight="1" x14ac:dyDescent="0.2">
      <c r="A117" s="71">
        <v>46198</v>
      </c>
      <c r="B117" s="71">
        <f t="shared" si="3"/>
        <v>46198</v>
      </c>
      <c r="C117" s="72" t="s">
        <v>83</v>
      </c>
      <c r="D117" s="73" t="s">
        <v>91</v>
      </c>
      <c r="E117" s="74"/>
      <c r="F117" s="72">
        <v>68743</v>
      </c>
      <c r="G117" s="74">
        <v>6</v>
      </c>
      <c r="H117" s="73">
        <v>20281453492</v>
      </c>
      <c r="I117" s="73" t="s">
        <v>95</v>
      </c>
      <c r="J117" s="75">
        <f t="shared" si="4"/>
        <v>16.949152542372882</v>
      </c>
      <c r="K117" s="75">
        <f t="shared" si="5"/>
        <v>3.0508474576271185</v>
      </c>
      <c r="L117" s="75"/>
      <c r="M117" s="75"/>
      <c r="N117" s="75"/>
      <c r="O117" s="75"/>
      <c r="P117" s="75"/>
      <c r="Q117" s="75"/>
      <c r="R117" s="75"/>
      <c r="S117" s="75">
        <v>20</v>
      </c>
      <c r="T117" s="72"/>
      <c r="U117" s="72"/>
      <c r="V117" s="88"/>
      <c r="W117" s="76"/>
      <c r="X117" s="71"/>
      <c r="Y117" s="72"/>
      <c r="Z117" s="72"/>
      <c r="AA117" s="72"/>
      <c r="AB117" s="72" t="s">
        <v>86</v>
      </c>
      <c r="AC117" s="93"/>
      <c r="AD117" s="71">
        <v>46198</v>
      </c>
      <c r="AE117" s="72" t="s">
        <v>940</v>
      </c>
      <c r="AF117" s="149" t="s">
        <v>943</v>
      </c>
      <c r="AG117" s="92"/>
      <c r="AH117" s="72" t="s">
        <v>88</v>
      </c>
      <c r="AI117" s="75"/>
      <c r="AJ117" s="72"/>
      <c r="AK117" s="72"/>
      <c r="AL117" s="77"/>
      <c r="AM117" s="72"/>
      <c r="AN117" s="72"/>
      <c r="AO117" s="72"/>
      <c r="AP117" s="72"/>
      <c r="AQ117" s="78"/>
      <c r="AR117" s="79">
        <v>18</v>
      </c>
      <c r="AS117" s="80" t="s">
        <v>815</v>
      </c>
      <c r="AT117" s="81"/>
      <c r="AU117" s="82"/>
    </row>
    <row r="118" spans="1:47" s="98" customFormat="1" ht="11.25" customHeight="1" x14ac:dyDescent="0.2">
      <c r="A118" s="71">
        <v>46199</v>
      </c>
      <c r="B118" s="71">
        <f t="shared" si="3"/>
        <v>46199</v>
      </c>
      <c r="C118" s="72" t="s">
        <v>83</v>
      </c>
      <c r="D118" s="73" t="s">
        <v>91</v>
      </c>
      <c r="E118" s="74"/>
      <c r="F118" s="72">
        <v>68744</v>
      </c>
      <c r="G118" s="74">
        <v>6</v>
      </c>
      <c r="H118" s="73">
        <v>20281453492</v>
      </c>
      <c r="I118" s="73" t="s">
        <v>95</v>
      </c>
      <c r="J118" s="75">
        <f t="shared" si="4"/>
        <v>16.949152542372882</v>
      </c>
      <c r="K118" s="75">
        <f t="shared" si="5"/>
        <v>3.0508474576271185</v>
      </c>
      <c r="L118" s="75"/>
      <c r="M118" s="75"/>
      <c r="N118" s="75"/>
      <c r="O118" s="75"/>
      <c r="P118" s="75"/>
      <c r="Q118" s="75"/>
      <c r="R118" s="75"/>
      <c r="S118" s="75">
        <v>20</v>
      </c>
      <c r="T118" s="72"/>
      <c r="U118" s="72"/>
      <c r="V118" s="88"/>
      <c r="W118" s="76"/>
      <c r="X118" s="71"/>
      <c r="Y118" s="72"/>
      <c r="Z118" s="72"/>
      <c r="AA118" s="72"/>
      <c r="AB118" s="72" t="s">
        <v>86</v>
      </c>
      <c r="AC118" s="93"/>
      <c r="AD118" s="71">
        <v>46199</v>
      </c>
      <c r="AE118" s="72" t="s">
        <v>940</v>
      </c>
      <c r="AF118" s="149" t="s">
        <v>943</v>
      </c>
      <c r="AG118" s="92"/>
      <c r="AH118" s="72" t="s">
        <v>88</v>
      </c>
      <c r="AI118" s="75"/>
      <c r="AJ118" s="72"/>
      <c r="AK118" s="72"/>
      <c r="AL118" s="77"/>
      <c r="AM118" s="72"/>
      <c r="AN118" s="72"/>
      <c r="AO118" s="72"/>
      <c r="AP118" s="72"/>
      <c r="AQ118" s="78"/>
      <c r="AR118" s="79">
        <v>18</v>
      </c>
      <c r="AS118" s="80" t="s">
        <v>815</v>
      </c>
      <c r="AT118" s="81"/>
      <c r="AU118" s="82"/>
    </row>
    <row r="119" spans="1:47" s="98" customFormat="1" ht="11.25" customHeight="1" x14ac:dyDescent="0.2">
      <c r="A119" s="71">
        <v>46199</v>
      </c>
      <c r="B119" s="71">
        <f t="shared" si="3"/>
        <v>46199</v>
      </c>
      <c r="C119" s="72" t="s">
        <v>83</v>
      </c>
      <c r="D119" s="73" t="s">
        <v>91</v>
      </c>
      <c r="E119" s="74"/>
      <c r="F119" s="72">
        <v>68747</v>
      </c>
      <c r="G119" s="74">
        <v>6</v>
      </c>
      <c r="H119" s="73">
        <v>20281453492</v>
      </c>
      <c r="I119" s="73" t="s">
        <v>95</v>
      </c>
      <c r="J119" s="75">
        <f t="shared" si="4"/>
        <v>16.949152542372882</v>
      </c>
      <c r="K119" s="75">
        <f t="shared" si="5"/>
        <v>3.0508474576271185</v>
      </c>
      <c r="L119" s="75"/>
      <c r="M119" s="75"/>
      <c r="N119" s="75"/>
      <c r="O119" s="75"/>
      <c r="P119" s="75"/>
      <c r="Q119" s="75"/>
      <c r="R119" s="75"/>
      <c r="S119" s="75">
        <v>20</v>
      </c>
      <c r="T119" s="72"/>
      <c r="U119" s="72"/>
      <c r="V119" s="88"/>
      <c r="W119" s="76"/>
      <c r="X119" s="71"/>
      <c r="Y119" s="72"/>
      <c r="Z119" s="72"/>
      <c r="AA119" s="72"/>
      <c r="AB119" s="72" t="s">
        <v>86</v>
      </c>
      <c r="AC119" s="93"/>
      <c r="AD119" s="71">
        <v>46199</v>
      </c>
      <c r="AE119" s="72" t="s">
        <v>940</v>
      </c>
      <c r="AF119" s="149" t="s">
        <v>943</v>
      </c>
      <c r="AG119" s="92"/>
      <c r="AH119" s="72" t="s">
        <v>88</v>
      </c>
      <c r="AI119" s="75"/>
      <c r="AJ119" s="72"/>
      <c r="AK119" s="72"/>
      <c r="AL119" s="77"/>
      <c r="AM119" s="72"/>
      <c r="AN119" s="72"/>
      <c r="AO119" s="72"/>
      <c r="AP119" s="72"/>
      <c r="AQ119" s="78"/>
      <c r="AR119" s="79">
        <v>18</v>
      </c>
      <c r="AS119" s="80" t="s">
        <v>815</v>
      </c>
      <c r="AT119" s="81"/>
      <c r="AU119" s="82"/>
    </row>
    <row r="120" spans="1:47" s="98" customFormat="1" ht="11.25" customHeight="1" x14ac:dyDescent="0.2">
      <c r="A120" s="71">
        <v>46200</v>
      </c>
      <c r="B120" s="71">
        <f t="shared" si="3"/>
        <v>46200</v>
      </c>
      <c r="C120" s="72" t="s">
        <v>83</v>
      </c>
      <c r="D120" s="73" t="s">
        <v>91</v>
      </c>
      <c r="E120" s="74"/>
      <c r="F120" s="72">
        <v>68769</v>
      </c>
      <c r="G120" s="74">
        <v>6</v>
      </c>
      <c r="H120" s="73">
        <v>20281453492</v>
      </c>
      <c r="I120" s="73" t="s">
        <v>95</v>
      </c>
      <c r="J120" s="75">
        <f t="shared" si="4"/>
        <v>16.949152542372882</v>
      </c>
      <c r="K120" s="75">
        <f t="shared" si="5"/>
        <v>3.0508474576271185</v>
      </c>
      <c r="L120" s="75"/>
      <c r="M120" s="75"/>
      <c r="N120" s="75"/>
      <c r="O120" s="75"/>
      <c r="P120" s="75"/>
      <c r="Q120" s="75"/>
      <c r="R120" s="75"/>
      <c r="S120" s="75">
        <v>20</v>
      </c>
      <c r="T120" s="72"/>
      <c r="U120" s="72"/>
      <c r="V120" s="88"/>
      <c r="W120" s="76"/>
      <c r="X120" s="71"/>
      <c r="Y120" s="72"/>
      <c r="Z120" s="72"/>
      <c r="AA120" s="72"/>
      <c r="AB120" s="72" t="s">
        <v>86</v>
      </c>
      <c r="AC120" s="93"/>
      <c r="AD120" s="71">
        <v>46200</v>
      </c>
      <c r="AE120" s="72" t="s">
        <v>940</v>
      </c>
      <c r="AF120" s="149" t="s">
        <v>943</v>
      </c>
      <c r="AG120" s="92"/>
      <c r="AH120" s="72" t="s">
        <v>88</v>
      </c>
      <c r="AI120" s="75"/>
      <c r="AJ120" s="72"/>
      <c r="AK120" s="72"/>
      <c r="AL120" s="77"/>
      <c r="AM120" s="72"/>
      <c r="AN120" s="72"/>
      <c r="AO120" s="72"/>
      <c r="AP120" s="72"/>
      <c r="AQ120" s="78"/>
      <c r="AR120" s="79">
        <v>18</v>
      </c>
      <c r="AS120" s="80" t="s">
        <v>815</v>
      </c>
      <c r="AT120" s="81"/>
      <c r="AU120" s="82"/>
    </row>
    <row r="121" spans="1:47" s="98" customFormat="1" ht="11.25" customHeight="1" x14ac:dyDescent="0.2">
      <c r="A121" s="71">
        <v>46200</v>
      </c>
      <c r="B121" s="71">
        <f t="shared" si="3"/>
        <v>46200</v>
      </c>
      <c r="C121" s="72" t="s">
        <v>83</v>
      </c>
      <c r="D121" s="73" t="s">
        <v>91</v>
      </c>
      <c r="E121" s="74"/>
      <c r="F121" s="72">
        <v>68776</v>
      </c>
      <c r="G121" s="74">
        <v>6</v>
      </c>
      <c r="H121" s="73">
        <v>20281453492</v>
      </c>
      <c r="I121" s="73" t="s">
        <v>95</v>
      </c>
      <c r="J121" s="75">
        <f t="shared" si="4"/>
        <v>16.949152542372882</v>
      </c>
      <c r="K121" s="75">
        <f t="shared" si="5"/>
        <v>3.0508474576271185</v>
      </c>
      <c r="L121" s="75"/>
      <c r="M121" s="75"/>
      <c r="N121" s="75"/>
      <c r="O121" s="75"/>
      <c r="P121" s="75"/>
      <c r="Q121" s="75"/>
      <c r="R121" s="75"/>
      <c r="S121" s="75">
        <v>20</v>
      </c>
      <c r="T121" s="72"/>
      <c r="U121" s="72"/>
      <c r="V121" s="88"/>
      <c r="W121" s="76"/>
      <c r="X121" s="71"/>
      <c r="Y121" s="72"/>
      <c r="Z121" s="72"/>
      <c r="AA121" s="72"/>
      <c r="AB121" s="72" t="s">
        <v>86</v>
      </c>
      <c r="AC121" s="93"/>
      <c r="AD121" s="71">
        <v>46200</v>
      </c>
      <c r="AE121" s="72" t="s">
        <v>940</v>
      </c>
      <c r="AF121" s="149" t="s">
        <v>943</v>
      </c>
      <c r="AG121" s="92"/>
      <c r="AH121" s="72" t="s">
        <v>88</v>
      </c>
      <c r="AI121" s="75"/>
      <c r="AJ121" s="72"/>
      <c r="AK121" s="72"/>
      <c r="AL121" s="77"/>
      <c r="AM121" s="72"/>
      <c r="AN121" s="72"/>
      <c r="AO121" s="72"/>
      <c r="AP121" s="72"/>
      <c r="AQ121" s="78"/>
      <c r="AR121" s="79">
        <v>18</v>
      </c>
      <c r="AS121" s="80" t="s">
        <v>815</v>
      </c>
      <c r="AT121" s="81"/>
      <c r="AU121" s="82"/>
    </row>
    <row r="122" spans="1:47" s="98" customFormat="1" ht="11.25" customHeight="1" x14ac:dyDescent="0.2">
      <c r="A122" s="71">
        <v>46201</v>
      </c>
      <c r="B122" s="71">
        <f t="shared" si="3"/>
        <v>46201</v>
      </c>
      <c r="C122" s="72" t="s">
        <v>83</v>
      </c>
      <c r="D122" s="73" t="s">
        <v>91</v>
      </c>
      <c r="E122" s="74"/>
      <c r="F122" s="72">
        <v>68784</v>
      </c>
      <c r="G122" s="74">
        <v>6</v>
      </c>
      <c r="H122" s="73">
        <v>20281453492</v>
      </c>
      <c r="I122" s="73" t="s">
        <v>95</v>
      </c>
      <c r="J122" s="75">
        <f t="shared" si="4"/>
        <v>16.949152542372882</v>
      </c>
      <c r="K122" s="75">
        <f t="shared" si="5"/>
        <v>3.0508474576271185</v>
      </c>
      <c r="L122" s="75"/>
      <c r="M122" s="75"/>
      <c r="N122" s="75"/>
      <c r="O122" s="75"/>
      <c r="P122" s="75"/>
      <c r="Q122" s="75"/>
      <c r="R122" s="75"/>
      <c r="S122" s="75">
        <v>20</v>
      </c>
      <c r="T122" s="72"/>
      <c r="U122" s="72"/>
      <c r="V122" s="88"/>
      <c r="W122" s="76"/>
      <c r="X122" s="71"/>
      <c r="Y122" s="72"/>
      <c r="Z122" s="72"/>
      <c r="AA122" s="72"/>
      <c r="AB122" s="72" t="s">
        <v>86</v>
      </c>
      <c r="AC122" s="93"/>
      <c r="AD122" s="71">
        <v>46201</v>
      </c>
      <c r="AE122" s="72" t="s">
        <v>940</v>
      </c>
      <c r="AF122" s="149" t="s">
        <v>943</v>
      </c>
      <c r="AG122" s="92"/>
      <c r="AH122" s="72" t="s">
        <v>88</v>
      </c>
      <c r="AI122" s="75"/>
      <c r="AJ122" s="72"/>
      <c r="AK122" s="72"/>
      <c r="AL122" s="77"/>
      <c r="AM122" s="72"/>
      <c r="AN122" s="72"/>
      <c r="AO122" s="72"/>
      <c r="AP122" s="72"/>
      <c r="AQ122" s="78"/>
      <c r="AR122" s="79">
        <v>18</v>
      </c>
      <c r="AS122" s="80" t="s">
        <v>815</v>
      </c>
      <c r="AT122" s="81"/>
      <c r="AU122" s="82"/>
    </row>
    <row r="123" spans="1:47" s="98" customFormat="1" ht="11.25" customHeight="1" x14ac:dyDescent="0.2">
      <c r="A123" s="71">
        <v>46203</v>
      </c>
      <c r="B123" s="71">
        <f t="shared" si="3"/>
        <v>46203</v>
      </c>
      <c r="C123" s="72" t="s">
        <v>83</v>
      </c>
      <c r="D123" s="73" t="s">
        <v>91</v>
      </c>
      <c r="E123" s="74"/>
      <c r="F123" s="72">
        <v>68801</v>
      </c>
      <c r="G123" s="74">
        <v>6</v>
      </c>
      <c r="H123" s="73">
        <v>20281453492</v>
      </c>
      <c r="I123" s="73" t="s">
        <v>95</v>
      </c>
      <c r="J123" s="75">
        <f t="shared" si="4"/>
        <v>16.949152542372882</v>
      </c>
      <c r="K123" s="75">
        <f t="shared" si="5"/>
        <v>3.0508474576271185</v>
      </c>
      <c r="L123" s="75"/>
      <c r="M123" s="75"/>
      <c r="N123" s="75"/>
      <c r="O123" s="75"/>
      <c r="P123" s="75"/>
      <c r="Q123" s="75"/>
      <c r="R123" s="75"/>
      <c r="S123" s="75">
        <v>20</v>
      </c>
      <c r="T123" s="72"/>
      <c r="U123" s="72"/>
      <c r="V123" s="88"/>
      <c r="W123" s="76"/>
      <c r="X123" s="71"/>
      <c r="Y123" s="72"/>
      <c r="Z123" s="72"/>
      <c r="AA123" s="72"/>
      <c r="AB123" s="72" t="s">
        <v>86</v>
      </c>
      <c r="AC123" s="93"/>
      <c r="AD123" s="71">
        <v>46203</v>
      </c>
      <c r="AE123" s="72" t="s">
        <v>940</v>
      </c>
      <c r="AF123" s="149" t="s">
        <v>943</v>
      </c>
      <c r="AG123" s="92"/>
      <c r="AH123" s="72" t="s">
        <v>88</v>
      </c>
      <c r="AI123" s="75"/>
      <c r="AJ123" s="72"/>
      <c r="AK123" s="72"/>
      <c r="AL123" s="77"/>
      <c r="AM123" s="72"/>
      <c r="AN123" s="72"/>
      <c r="AO123" s="72"/>
      <c r="AP123" s="72"/>
      <c r="AQ123" s="78"/>
      <c r="AR123" s="79">
        <v>18</v>
      </c>
      <c r="AS123" s="80" t="s">
        <v>815</v>
      </c>
      <c r="AT123" s="81"/>
      <c r="AU123" s="82"/>
    </row>
    <row r="124" spans="1:47" s="98" customFormat="1" ht="11.25" customHeight="1" x14ac:dyDescent="0.2">
      <c r="A124" s="71">
        <v>46203</v>
      </c>
      <c r="B124" s="71">
        <f t="shared" si="3"/>
        <v>46203</v>
      </c>
      <c r="C124" s="72" t="s">
        <v>83</v>
      </c>
      <c r="D124" s="73" t="s">
        <v>91</v>
      </c>
      <c r="E124" s="74"/>
      <c r="F124" s="72">
        <v>68818</v>
      </c>
      <c r="G124" s="74">
        <v>6</v>
      </c>
      <c r="H124" s="73">
        <v>20281453492</v>
      </c>
      <c r="I124" s="73" t="s">
        <v>95</v>
      </c>
      <c r="J124" s="75">
        <f t="shared" si="4"/>
        <v>16.949152542372882</v>
      </c>
      <c r="K124" s="75">
        <f t="shared" si="5"/>
        <v>3.0508474576271185</v>
      </c>
      <c r="L124" s="75"/>
      <c r="M124" s="75"/>
      <c r="N124" s="75"/>
      <c r="O124" s="75"/>
      <c r="P124" s="75"/>
      <c r="Q124" s="75"/>
      <c r="R124" s="75"/>
      <c r="S124" s="75">
        <v>20</v>
      </c>
      <c r="T124" s="72"/>
      <c r="U124" s="72"/>
      <c r="V124" s="88"/>
      <c r="W124" s="76"/>
      <c r="X124" s="71"/>
      <c r="Y124" s="72"/>
      <c r="Z124" s="72"/>
      <c r="AA124" s="72"/>
      <c r="AB124" s="72" t="s">
        <v>86</v>
      </c>
      <c r="AC124" s="93"/>
      <c r="AD124" s="71">
        <v>46203</v>
      </c>
      <c r="AE124" s="72" t="s">
        <v>940</v>
      </c>
      <c r="AF124" s="149" t="s">
        <v>943</v>
      </c>
      <c r="AG124" s="92"/>
      <c r="AH124" s="72" t="s">
        <v>88</v>
      </c>
      <c r="AI124" s="75"/>
      <c r="AJ124" s="72"/>
      <c r="AK124" s="72"/>
      <c r="AL124" s="77"/>
      <c r="AM124" s="72"/>
      <c r="AN124" s="72"/>
      <c r="AO124" s="72"/>
      <c r="AP124" s="72"/>
      <c r="AQ124" s="78"/>
      <c r="AR124" s="79">
        <v>18</v>
      </c>
      <c r="AS124" s="80" t="s">
        <v>815</v>
      </c>
      <c r="AT124" s="81"/>
      <c r="AU124" s="82"/>
    </row>
    <row r="125" spans="1:47" s="98" customFormat="1" ht="11.25" customHeight="1" x14ac:dyDescent="0.2">
      <c r="A125" s="71">
        <v>46203</v>
      </c>
      <c r="B125" s="71">
        <f t="shared" si="3"/>
        <v>46203</v>
      </c>
      <c r="C125" s="72" t="s">
        <v>83</v>
      </c>
      <c r="D125" s="73" t="s">
        <v>91</v>
      </c>
      <c r="E125" s="74"/>
      <c r="F125" s="72">
        <v>68819</v>
      </c>
      <c r="G125" s="74">
        <v>6</v>
      </c>
      <c r="H125" s="73">
        <v>20281453492</v>
      </c>
      <c r="I125" s="73" t="s">
        <v>95</v>
      </c>
      <c r="J125" s="75">
        <f t="shared" si="4"/>
        <v>16.949152542372882</v>
      </c>
      <c r="K125" s="75">
        <f t="shared" si="5"/>
        <v>3.0508474576271185</v>
      </c>
      <c r="L125" s="75"/>
      <c r="M125" s="75"/>
      <c r="N125" s="75"/>
      <c r="O125" s="75"/>
      <c r="P125" s="75"/>
      <c r="Q125" s="75"/>
      <c r="R125" s="75"/>
      <c r="S125" s="75">
        <v>20</v>
      </c>
      <c r="T125" s="72"/>
      <c r="U125" s="72"/>
      <c r="V125" s="88"/>
      <c r="W125" s="76"/>
      <c r="X125" s="71"/>
      <c r="Y125" s="72"/>
      <c r="Z125" s="72"/>
      <c r="AA125" s="72"/>
      <c r="AB125" s="72" t="s">
        <v>86</v>
      </c>
      <c r="AC125" s="93"/>
      <c r="AD125" s="71">
        <v>46203</v>
      </c>
      <c r="AE125" s="72" t="s">
        <v>940</v>
      </c>
      <c r="AF125" s="149" t="s">
        <v>943</v>
      </c>
      <c r="AG125" s="92"/>
      <c r="AH125" s="72" t="s">
        <v>88</v>
      </c>
      <c r="AI125" s="75"/>
      <c r="AJ125" s="72"/>
      <c r="AK125" s="72"/>
      <c r="AL125" s="77"/>
      <c r="AM125" s="72"/>
      <c r="AN125" s="72"/>
      <c r="AO125" s="72"/>
      <c r="AP125" s="72"/>
      <c r="AQ125" s="78"/>
      <c r="AR125" s="79">
        <v>18</v>
      </c>
      <c r="AS125" s="80" t="s">
        <v>815</v>
      </c>
      <c r="AT125" s="81"/>
      <c r="AU125" s="82"/>
    </row>
    <row r="126" spans="1:47" s="98" customFormat="1" ht="11.25" customHeight="1" x14ac:dyDescent="0.2">
      <c r="A126" s="71">
        <v>46177</v>
      </c>
      <c r="B126" s="71">
        <f t="shared" si="3"/>
        <v>46177</v>
      </c>
      <c r="C126" s="72" t="s">
        <v>83</v>
      </c>
      <c r="D126" s="73" t="s">
        <v>92</v>
      </c>
      <c r="E126" s="74"/>
      <c r="F126" s="72">
        <v>4976</v>
      </c>
      <c r="G126" s="74">
        <v>6</v>
      </c>
      <c r="H126" s="73">
        <v>20608938673</v>
      </c>
      <c r="I126" s="73" t="s">
        <v>96</v>
      </c>
      <c r="J126" s="75">
        <f t="shared" si="4"/>
        <v>19.491525423728813</v>
      </c>
      <c r="K126" s="75">
        <f t="shared" si="5"/>
        <v>3.5084745762711864</v>
      </c>
      <c r="L126" s="75"/>
      <c r="M126" s="75"/>
      <c r="N126" s="75"/>
      <c r="O126" s="75"/>
      <c r="P126" s="75"/>
      <c r="Q126" s="75"/>
      <c r="R126" s="75"/>
      <c r="S126" s="75">
        <v>23</v>
      </c>
      <c r="T126" s="72"/>
      <c r="U126" s="72"/>
      <c r="V126" s="88"/>
      <c r="W126" s="76"/>
      <c r="X126" s="71"/>
      <c r="Y126" s="72"/>
      <c r="Z126" s="72"/>
      <c r="AA126" s="72"/>
      <c r="AB126" s="72" t="s">
        <v>86</v>
      </c>
      <c r="AC126" s="93"/>
      <c r="AD126" s="71">
        <v>46177</v>
      </c>
      <c r="AE126" s="72" t="s">
        <v>940</v>
      </c>
      <c r="AF126" s="149" t="s">
        <v>944</v>
      </c>
      <c r="AG126" s="92"/>
      <c r="AH126" s="72" t="s">
        <v>88</v>
      </c>
      <c r="AI126" s="75"/>
      <c r="AJ126" s="72"/>
      <c r="AK126" s="72"/>
      <c r="AL126" s="77"/>
      <c r="AM126" s="72"/>
      <c r="AN126" s="72"/>
      <c r="AO126" s="72"/>
      <c r="AP126" s="72"/>
      <c r="AQ126" s="78"/>
      <c r="AR126" s="79">
        <v>18</v>
      </c>
      <c r="AS126" s="80" t="s">
        <v>817</v>
      </c>
      <c r="AT126" s="81"/>
      <c r="AU126" s="82"/>
    </row>
    <row r="127" spans="1:47" s="98" customFormat="1" ht="11.25" customHeight="1" x14ac:dyDescent="0.2">
      <c r="A127" s="71">
        <v>46183</v>
      </c>
      <c r="B127" s="71">
        <f t="shared" si="3"/>
        <v>46183</v>
      </c>
      <c r="C127" s="72" t="s">
        <v>83</v>
      </c>
      <c r="D127" s="73" t="s">
        <v>92</v>
      </c>
      <c r="E127" s="74"/>
      <c r="F127" s="72">
        <v>4990</v>
      </c>
      <c r="G127" s="74">
        <v>6</v>
      </c>
      <c r="H127" s="73">
        <v>20608938673</v>
      </c>
      <c r="I127" s="73" t="s">
        <v>96</v>
      </c>
      <c r="J127" s="75">
        <f t="shared" si="4"/>
        <v>9.3220338983050848</v>
      </c>
      <c r="K127" s="75">
        <f t="shared" si="5"/>
        <v>1.6779661016949152</v>
      </c>
      <c r="L127" s="75"/>
      <c r="M127" s="75"/>
      <c r="N127" s="75"/>
      <c r="O127" s="75"/>
      <c r="P127" s="75"/>
      <c r="Q127" s="75"/>
      <c r="R127" s="75"/>
      <c r="S127" s="75">
        <v>11</v>
      </c>
      <c r="T127" s="72"/>
      <c r="U127" s="72"/>
      <c r="V127" s="88"/>
      <c r="W127" s="76"/>
      <c r="X127" s="71"/>
      <c r="Y127" s="72"/>
      <c r="Z127" s="72"/>
      <c r="AA127" s="72"/>
      <c r="AB127" s="72" t="s">
        <v>86</v>
      </c>
      <c r="AC127" s="93"/>
      <c r="AD127" s="71">
        <v>46183</v>
      </c>
      <c r="AE127" s="72" t="s">
        <v>940</v>
      </c>
      <c r="AF127" s="149" t="s">
        <v>944</v>
      </c>
      <c r="AG127" s="92"/>
      <c r="AH127" s="72" t="s">
        <v>88</v>
      </c>
      <c r="AI127" s="75"/>
      <c r="AJ127" s="72"/>
      <c r="AK127" s="72"/>
      <c r="AL127" s="77"/>
      <c r="AM127" s="72"/>
      <c r="AN127" s="72"/>
      <c r="AO127" s="72"/>
      <c r="AP127" s="72"/>
      <c r="AQ127" s="78"/>
      <c r="AR127" s="79">
        <v>18</v>
      </c>
      <c r="AS127" s="80" t="s">
        <v>817</v>
      </c>
      <c r="AT127" s="81"/>
      <c r="AU127" s="82"/>
    </row>
    <row r="128" spans="1:47" s="98" customFormat="1" ht="11.25" customHeight="1" x14ac:dyDescent="0.2">
      <c r="A128" s="71">
        <v>46183</v>
      </c>
      <c r="B128" s="71">
        <f t="shared" si="3"/>
        <v>46183</v>
      </c>
      <c r="C128" s="72" t="s">
        <v>83</v>
      </c>
      <c r="D128" s="73" t="s">
        <v>92</v>
      </c>
      <c r="E128" s="74"/>
      <c r="F128" s="72">
        <v>4991</v>
      </c>
      <c r="G128" s="74">
        <v>6</v>
      </c>
      <c r="H128" s="73">
        <v>20608938673</v>
      </c>
      <c r="I128" s="73" t="s">
        <v>96</v>
      </c>
      <c r="J128" s="75">
        <f t="shared" si="4"/>
        <v>19.491525423728813</v>
      </c>
      <c r="K128" s="75">
        <f t="shared" si="5"/>
        <v>3.5084745762711864</v>
      </c>
      <c r="L128" s="75"/>
      <c r="M128" s="75"/>
      <c r="N128" s="75"/>
      <c r="O128" s="75"/>
      <c r="P128" s="75"/>
      <c r="Q128" s="75"/>
      <c r="R128" s="75"/>
      <c r="S128" s="75">
        <v>23</v>
      </c>
      <c r="T128" s="72"/>
      <c r="U128" s="72"/>
      <c r="V128" s="88"/>
      <c r="W128" s="76"/>
      <c r="X128" s="71"/>
      <c r="Y128" s="72"/>
      <c r="Z128" s="72"/>
      <c r="AA128" s="72"/>
      <c r="AB128" s="72" t="s">
        <v>86</v>
      </c>
      <c r="AC128" s="93"/>
      <c r="AD128" s="71">
        <v>46183</v>
      </c>
      <c r="AE128" s="72" t="s">
        <v>940</v>
      </c>
      <c r="AF128" s="149" t="s">
        <v>944</v>
      </c>
      <c r="AG128" s="92"/>
      <c r="AH128" s="72" t="s">
        <v>88</v>
      </c>
      <c r="AI128" s="75"/>
      <c r="AJ128" s="72"/>
      <c r="AK128" s="72"/>
      <c r="AL128" s="77"/>
      <c r="AM128" s="72"/>
      <c r="AN128" s="72"/>
      <c r="AO128" s="72"/>
      <c r="AP128" s="72"/>
      <c r="AQ128" s="78"/>
      <c r="AR128" s="79">
        <v>18</v>
      </c>
      <c r="AS128" s="80" t="s">
        <v>817</v>
      </c>
      <c r="AT128" s="81"/>
      <c r="AU128" s="82"/>
    </row>
    <row r="129" spans="1:47" s="98" customFormat="1" ht="11.25" customHeight="1" x14ac:dyDescent="0.2">
      <c r="A129" s="71">
        <v>46192</v>
      </c>
      <c r="B129" s="71">
        <f t="shared" si="3"/>
        <v>46192</v>
      </c>
      <c r="C129" s="72" t="s">
        <v>83</v>
      </c>
      <c r="D129" s="73" t="s">
        <v>92</v>
      </c>
      <c r="E129" s="74"/>
      <c r="F129" s="72">
        <v>5013</v>
      </c>
      <c r="G129" s="74">
        <v>6</v>
      </c>
      <c r="H129" s="73">
        <v>20608938673</v>
      </c>
      <c r="I129" s="73" t="s">
        <v>96</v>
      </c>
      <c r="J129" s="75">
        <f t="shared" si="4"/>
        <v>36.440677966101696</v>
      </c>
      <c r="K129" s="75">
        <f t="shared" si="5"/>
        <v>6.5593220338983054</v>
      </c>
      <c r="L129" s="75"/>
      <c r="M129" s="75"/>
      <c r="N129" s="75"/>
      <c r="O129" s="75"/>
      <c r="P129" s="75"/>
      <c r="Q129" s="75"/>
      <c r="R129" s="75"/>
      <c r="S129" s="75">
        <v>43</v>
      </c>
      <c r="T129" s="72"/>
      <c r="U129" s="72"/>
      <c r="V129" s="88"/>
      <c r="W129" s="76"/>
      <c r="X129" s="71"/>
      <c r="Y129" s="72"/>
      <c r="Z129" s="72"/>
      <c r="AA129" s="72"/>
      <c r="AB129" s="72" t="s">
        <v>86</v>
      </c>
      <c r="AC129" s="93"/>
      <c r="AD129" s="71">
        <v>46192</v>
      </c>
      <c r="AE129" s="72" t="s">
        <v>940</v>
      </c>
      <c r="AF129" s="149" t="s">
        <v>944</v>
      </c>
      <c r="AG129" s="92"/>
      <c r="AH129" s="72" t="s">
        <v>88</v>
      </c>
      <c r="AI129" s="75"/>
      <c r="AJ129" s="72"/>
      <c r="AK129" s="72"/>
      <c r="AL129" s="77"/>
      <c r="AM129" s="72"/>
      <c r="AN129" s="72"/>
      <c r="AO129" s="72"/>
      <c r="AP129" s="72"/>
      <c r="AQ129" s="78"/>
      <c r="AR129" s="79">
        <v>18</v>
      </c>
      <c r="AS129" s="80" t="s">
        <v>817</v>
      </c>
      <c r="AT129" s="81"/>
      <c r="AU129" s="82"/>
    </row>
    <row r="130" spans="1:47" s="98" customFormat="1" ht="11.25" customHeight="1" x14ac:dyDescent="0.2">
      <c r="A130" s="71">
        <v>46195</v>
      </c>
      <c r="B130" s="71">
        <f t="shared" si="3"/>
        <v>46195</v>
      </c>
      <c r="C130" s="72" t="s">
        <v>83</v>
      </c>
      <c r="D130" s="73" t="s">
        <v>92</v>
      </c>
      <c r="E130" s="74"/>
      <c r="F130" s="72">
        <v>5018</v>
      </c>
      <c r="G130" s="74">
        <v>6</v>
      </c>
      <c r="H130" s="73">
        <v>20608938673</v>
      </c>
      <c r="I130" s="73" t="s">
        <v>96</v>
      </c>
      <c r="J130" s="75">
        <f t="shared" si="4"/>
        <v>22.033898305084747</v>
      </c>
      <c r="K130" s="75">
        <f t="shared" si="5"/>
        <v>3.9661016949152543</v>
      </c>
      <c r="L130" s="75"/>
      <c r="M130" s="75"/>
      <c r="N130" s="75"/>
      <c r="O130" s="75"/>
      <c r="P130" s="75"/>
      <c r="Q130" s="75"/>
      <c r="R130" s="75"/>
      <c r="S130" s="75">
        <v>26</v>
      </c>
      <c r="T130" s="72"/>
      <c r="U130" s="72"/>
      <c r="V130" s="88"/>
      <c r="W130" s="76"/>
      <c r="X130" s="71"/>
      <c r="Y130" s="72"/>
      <c r="Z130" s="72"/>
      <c r="AA130" s="72"/>
      <c r="AB130" s="72" t="s">
        <v>86</v>
      </c>
      <c r="AC130" s="93"/>
      <c r="AD130" s="71">
        <v>46195</v>
      </c>
      <c r="AE130" s="72" t="s">
        <v>940</v>
      </c>
      <c r="AF130" s="149" t="s">
        <v>944</v>
      </c>
      <c r="AG130" s="92"/>
      <c r="AH130" s="72" t="s">
        <v>88</v>
      </c>
      <c r="AI130" s="75"/>
      <c r="AJ130" s="72"/>
      <c r="AK130" s="72"/>
      <c r="AL130" s="77"/>
      <c r="AM130" s="72"/>
      <c r="AN130" s="72"/>
      <c r="AO130" s="72"/>
      <c r="AP130" s="72"/>
      <c r="AQ130" s="78"/>
      <c r="AR130" s="79">
        <v>18</v>
      </c>
      <c r="AS130" s="80" t="s">
        <v>817</v>
      </c>
      <c r="AT130" s="81"/>
      <c r="AU130" s="82"/>
    </row>
    <row r="131" spans="1:47" s="98" customFormat="1" ht="11.25" customHeight="1" x14ac:dyDescent="0.2">
      <c r="A131" s="71">
        <v>46196</v>
      </c>
      <c r="B131" s="71">
        <f t="shared" si="3"/>
        <v>46196</v>
      </c>
      <c r="C131" s="72" t="s">
        <v>83</v>
      </c>
      <c r="D131" s="73" t="s">
        <v>92</v>
      </c>
      <c r="E131" s="74"/>
      <c r="F131" s="72">
        <v>5024</v>
      </c>
      <c r="G131" s="74">
        <v>6</v>
      </c>
      <c r="H131" s="73">
        <v>20608938673</v>
      </c>
      <c r="I131" s="73" t="s">
        <v>96</v>
      </c>
      <c r="J131" s="75">
        <f t="shared" si="4"/>
        <v>29.661016949152543</v>
      </c>
      <c r="K131" s="75">
        <f t="shared" si="5"/>
        <v>5.3389830508474576</v>
      </c>
      <c r="L131" s="75"/>
      <c r="M131" s="75"/>
      <c r="N131" s="75"/>
      <c r="O131" s="75"/>
      <c r="P131" s="75"/>
      <c r="Q131" s="75"/>
      <c r="R131" s="75"/>
      <c r="S131" s="75">
        <v>35</v>
      </c>
      <c r="T131" s="72"/>
      <c r="U131" s="72"/>
      <c r="V131" s="88"/>
      <c r="W131" s="76"/>
      <c r="X131" s="71"/>
      <c r="Y131" s="72"/>
      <c r="Z131" s="72"/>
      <c r="AA131" s="72"/>
      <c r="AB131" s="72" t="s">
        <v>86</v>
      </c>
      <c r="AC131" s="93"/>
      <c r="AD131" s="71">
        <v>46196</v>
      </c>
      <c r="AE131" s="72" t="s">
        <v>940</v>
      </c>
      <c r="AF131" s="149" t="s">
        <v>944</v>
      </c>
      <c r="AG131" s="92"/>
      <c r="AH131" s="72" t="s">
        <v>88</v>
      </c>
      <c r="AI131" s="75"/>
      <c r="AJ131" s="72"/>
      <c r="AK131" s="72"/>
      <c r="AL131" s="77"/>
      <c r="AM131" s="72"/>
      <c r="AN131" s="72"/>
      <c r="AO131" s="72"/>
      <c r="AP131" s="72"/>
      <c r="AQ131" s="78"/>
      <c r="AR131" s="79">
        <v>18</v>
      </c>
      <c r="AS131" s="80" t="s">
        <v>817</v>
      </c>
      <c r="AT131" s="81"/>
      <c r="AU131" s="82"/>
    </row>
    <row r="132" spans="1:47" s="98" customFormat="1" ht="11.25" customHeight="1" x14ac:dyDescent="0.2">
      <c r="A132" s="71">
        <v>46197</v>
      </c>
      <c r="B132" s="71">
        <f t="shared" si="3"/>
        <v>46197</v>
      </c>
      <c r="C132" s="72" t="s">
        <v>83</v>
      </c>
      <c r="D132" s="73" t="s">
        <v>92</v>
      </c>
      <c r="E132" s="74"/>
      <c r="F132" s="72">
        <v>5026</v>
      </c>
      <c r="G132" s="74">
        <v>6</v>
      </c>
      <c r="H132" s="73">
        <v>20608938673</v>
      </c>
      <c r="I132" s="73" t="s">
        <v>96</v>
      </c>
      <c r="J132" s="75">
        <f t="shared" si="4"/>
        <v>6.3559322033898304</v>
      </c>
      <c r="K132" s="75">
        <f t="shared" si="5"/>
        <v>1.1440677966101693</v>
      </c>
      <c r="L132" s="75"/>
      <c r="M132" s="75"/>
      <c r="N132" s="75"/>
      <c r="O132" s="75"/>
      <c r="P132" s="75"/>
      <c r="Q132" s="75"/>
      <c r="R132" s="75"/>
      <c r="S132" s="75">
        <v>7.5</v>
      </c>
      <c r="T132" s="72"/>
      <c r="U132" s="72"/>
      <c r="V132" s="88"/>
      <c r="W132" s="76"/>
      <c r="X132" s="71"/>
      <c r="Y132" s="72"/>
      <c r="Z132" s="72"/>
      <c r="AA132" s="72"/>
      <c r="AB132" s="72" t="s">
        <v>86</v>
      </c>
      <c r="AC132" s="93"/>
      <c r="AD132" s="71">
        <v>46197</v>
      </c>
      <c r="AE132" s="72" t="s">
        <v>940</v>
      </c>
      <c r="AF132" s="149" t="s">
        <v>944</v>
      </c>
      <c r="AG132" s="92"/>
      <c r="AH132" s="72" t="s">
        <v>88</v>
      </c>
      <c r="AI132" s="75"/>
      <c r="AJ132" s="72"/>
      <c r="AK132" s="72"/>
      <c r="AL132" s="77"/>
      <c r="AM132" s="72"/>
      <c r="AN132" s="72"/>
      <c r="AO132" s="72"/>
      <c r="AP132" s="72"/>
      <c r="AQ132" s="78"/>
      <c r="AR132" s="79">
        <v>18</v>
      </c>
      <c r="AS132" s="80" t="s">
        <v>817</v>
      </c>
      <c r="AT132" s="81"/>
      <c r="AU132" s="82"/>
    </row>
    <row r="133" spans="1:47" s="98" customFormat="1" ht="11.25" customHeight="1" x14ac:dyDescent="0.2">
      <c r="A133" s="71">
        <v>46198</v>
      </c>
      <c r="B133" s="71">
        <f t="shared" si="3"/>
        <v>46198</v>
      </c>
      <c r="C133" s="72" t="s">
        <v>83</v>
      </c>
      <c r="D133" s="73" t="s">
        <v>92</v>
      </c>
      <c r="E133" s="74"/>
      <c r="F133" s="72">
        <v>5029</v>
      </c>
      <c r="G133" s="74">
        <v>6</v>
      </c>
      <c r="H133" s="73">
        <v>20608938673</v>
      </c>
      <c r="I133" s="73" t="s">
        <v>96</v>
      </c>
      <c r="J133" s="75">
        <f t="shared" si="4"/>
        <v>55.084745762711869</v>
      </c>
      <c r="K133" s="75">
        <f t="shared" si="5"/>
        <v>9.9152542372881367</v>
      </c>
      <c r="L133" s="75"/>
      <c r="M133" s="75"/>
      <c r="N133" s="75"/>
      <c r="O133" s="75"/>
      <c r="P133" s="75"/>
      <c r="Q133" s="75"/>
      <c r="R133" s="75"/>
      <c r="S133" s="75">
        <v>65</v>
      </c>
      <c r="T133" s="72"/>
      <c r="U133" s="72"/>
      <c r="V133" s="88"/>
      <c r="W133" s="76"/>
      <c r="X133" s="71"/>
      <c r="Y133" s="72"/>
      <c r="Z133" s="72"/>
      <c r="AA133" s="72"/>
      <c r="AB133" s="72" t="s">
        <v>86</v>
      </c>
      <c r="AC133" s="93"/>
      <c r="AD133" s="71">
        <v>46198</v>
      </c>
      <c r="AE133" s="72" t="s">
        <v>940</v>
      </c>
      <c r="AF133" s="149" t="s">
        <v>944</v>
      </c>
      <c r="AG133" s="92"/>
      <c r="AH133" s="72" t="s">
        <v>88</v>
      </c>
      <c r="AI133" s="75"/>
      <c r="AJ133" s="72"/>
      <c r="AK133" s="72"/>
      <c r="AL133" s="77"/>
      <c r="AM133" s="72"/>
      <c r="AN133" s="72"/>
      <c r="AO133" s="72"/>
      <c r="AP133" s="72"/>
      <c r="AQ133" s="78"/>
      <c r="AR133" s="79">
        <v>18</v>
      </c>
      <c r="AS133" s="80" t="s">
        <v>817</v>
      </c>
      <c r="AT133" s="81"/>
      <c r="AU133" s="82"/>
    </row>
    <row r="134" spans="1:47" s="98" customFormat="1" ht="11.25" customHeight="1" x14ac:dyDescent="0.2">
      <c r="A134" s="71">
        <v>46199</v>
      </c>
      <c r="B134" s="71">
        <f t="shared" si="3"/>
        <v>46199</v>
      </c>
      <c r="C134" s="72" t="s">
        <v>83</v>
      </c>
      <c r="D134" s="73" t="s">
        <v>92</v>
      </c>
      <c r="E134" s="74"/>
      <c r="F134" s="72">
        <v>5032</v>
      </c>
      <c r="G134" s="74">
        <v>6</v>
      </c>
      <c r="H134" s="73">
        <v>20608938673</v>
      </c>
      <c r="I134" s="73" t="s">
        <v>96</v>
      </c>
      <c r="J134" s="75">
        <f t="shared" si="4"/>
        <v>13.559322033898306</v>
      </c>
      <c r="K134" s="75">
        <f t="shared" si="5"/>
        <v>2.4406779661016951</v>
      </c>
      <c r="L134" s="75"/>
      <c r="M134" s="75"/>
      <c r="N134" s="75"/>
      <c r="O134" s="75"/>
      <c r="P134" s="75"/>
      <c r="Q134" s="75"/>
      <c r="R134" s="75"/>
      <c r="S134" s="75">
        <v>16</v>
      </c>
      <c r="T134" s="72"/>
      <c r="U134" s="72"/>
      <c r="V134" s="88"/>
      <c r="W134" s="76"/>
      <c r="X134" s="71"/>
      <c r="Y134" s="72"/>
      <c r="Z134" s="72"/>
      <c r="AA134" s="72"/>
      <c r="AB134" s="72" t="s">
        <v>86</v>
      </c>
      <c r="AC134" s="93"/>
      <c r="AD134" s="71">
        <v>46199</v>
      </c>
      <c r="AE134" s="72" t="s">
        <v>940</v>
      </c>
      <c r="AF134" s="149" t="s">
        <v>944</v>
      </c>
      <c r="AG134" s="92"/>
      <c r="AH134" s="72" t="s">
        <v>88</v>
      </c>
      <c r="AI134" s="75"/>
      <c r="AJ134" s="72"/>
      <c r="AK134" s="72"/>
      <c r="AL134" s="77"/>
      <c r="AM134" s="72"/>
      <c r="AN134" s="72"/>
      <c r="AO134" s="72"/>
      <c r="AP134" s="72"/>
      <c r="AQ134" s="78"/>
      <c r="AR134" s="79">
        <v>18</v>
      </c>
      <c r="AS134" s="80" t="s">
        <v>817</v>
      </c>
      <c r="AT134" s="81"/>
      <c r="AU134" s="82"/>
    </row>
    <row r="135" spans="1:47" s="98" customFormat="1" ht="11.25" customHeight="1" x14ac:dyDescent="0.2">
      <c r="A135" s="71">
        <v>46200</v>
      </c>
      <c r="B135" s="71">
        <f t="shared" si="3"/>
        <v>46200</v>
      </c>
      <c r="C135" s="72" t="s">
        <v>83</v>
      </c>
      <c r="D135" s="73" t="s">
        <v>92</v>
      </c>
      <c r="E135" s="74"/>
      <c r="F135" s="72">
        <v>5036</v>
      </c>
      <c r="G135" s="74">
        <v>6</v>
      </c>
      <c r="H135" s="73">
        <v>20608938673</v>
      </c>
      <c r="I135" s="73" t="s">
        <v>96</v>
      </c>
      <c r="J135" s="75">
        <f t="shared" si="4"/>
        <v>12.711864406779661</v>
      </c>
      <c r="K135" s="75">
        <f t="shared" si="5"/>
        <v>2.2881355932203387</v>
      </c>
      <c r="L135" s="75"/>
      <c r="M135" s="75"/>
      <c r="N135" s="75"/>
      <c r="O135" s="75"/>
      <c r="P135" s="75"/>
      <c r="Q135" s="75"/>
      <c r="R135" s="75"/>
      <c r="S135" s="75">
        <v>15</v>
      </c>
      <c r="T135" s="72"/>
      <c r="U135" s="72"/>
      <c r="V135" s="88"/>
      <c r="W135" s="76"/>
      <c r="X135" s="71"/>
      <c r="Y135" s="72"/>
      <c r="Z135" s="72"/>
      <c r="AA135" s="72"/>
      <c r="AB135" s="72" t="s">
        <v>86</v>
      </c>
      <c r="AC135" s="93"/>
      <c r="AD135" s="71">
        <v>46200</v>
      </c>
      <c r="AE135" s="72" t="s">
        <v>940</v>
      </c>
      <c r="AF135" s="149" t="s">
        <v>944</v>
      </c>
      <c r="AG135" s="92"/>
      <c r="AH135" s="72" t="s">
        <v>88</v>
      </c>
      <c r="AI135" s="75"/>
      <c r="AJ135" s="72"/>
      <c r="AK135" s="72"/>
      <c r="AL135" s="77"/>
      <c r="AM135" s="72"/>
      <c r="AN135" s="72"/>
      <c r="AO135" s="72"/>
      <c r="AP135" s="72"/>
      <c r="AQ135" s="78"/>
      <c r="AR135" s="79">
        <v>18</v>
      </c>
      <c r="AS135" s="80" t="s">
        <v>817</v>
      </c>
      <c r="AT135" s="81"/>
      <c r="AU135" s="82"/>
    </row>
    <row r="136" spans="1:47" s="113" customFormat="1" ht="11.25" customHeight="1" x14ac:dyDescent="0.2">
      <c r="A136" s="100">
        <v>46203</v>
      </c>
      <c r="B136" s="100">
        <f t="shared" si="3"/>
        <v>46203</v>
      </c>
      <c r="C136" s="101" t="s">
        <v>118</v>
      </c>
      <c r="D136" s="102" t="s">
        <v>90</v>
      </c>
      <c r="E136" s="103"/>
      <c r="F136" s="101">
        <v>285</v>
      </c>
      <c r="G136" s="103">
        <v>6</v>
      </c>
      <c r="H136" s="102">
        <v>20601682801</v>
      </c>
      <c r="I136" s="102" t="s">
        <v>94</v>
      </c>
      <c r="J136" s="104">
        <f t="shared" si="4"/>
        <v>-200.85593220338984</v>
      </c>
      <c r="K136" s="104">
        <f t="shared" si="5"/>
        <v>-36.154067796610171</v>
      </c>
      <c r="L136" s="104"/>
      <c r="M136" s="104"/>
      <c r="N136" s="104"/>
      <c r="O136" s="104"/>
      <c r="P136" s="104"/>
      <c r="Q136" s="104"/>
      <c r="R136" s="104"/>
      <c r="S136" s="104">
        <v>-237.01</v>
      </c>
      <c r="T136" s="101"/>
      <c r="U136" s="101"/>
      <c r="V136" s="105"/>
      <c r="W136" s="106"/>
      <c r="X136" s="100">
        <v>46203</v>
      </c>
      <c r="Y136" s="101" t="s">
        <v>83</v>
      </c>
      <c r="Z136" s="101" t="s">
        <v>90</v>
      </c>
      <c r="AA136" s="101">
        <v>19342</v>
      </c>
      <c r="AB136" s="72" t="s">
        <v>86</v>
      </c>
      <c r="AC136" s="93"/>
      <c r="AD136" s="100">
        <v>46203</v>
      </c>
      <c r="AE136" s="72" t="s">
        <v>940</v>
      </c>
      <c r="AF136" s="151" t="s">
        <v>942</v>
      </c>
      <c r="AG136" s="92"/>
      <c r="AH136" s="72" t="s">
        <v>88</v>
      </c>
      <c r="AI136" s="104"/>
      <c r="AJ136" s="101"/>
      <c r="AK136" s="101"/>
      <c r="AL136" s="107"/>
      <c r="AM136" s="101"/>
      <c r="AN136" s="101"/>
      <c r="AO136" s="101"/>
      <c r="AP136" s="101"/>
      <c r="AQ136" s="108"/>
      <c r="AR136" s="79">
        <v>18</v>
      </c>
      <c r="AS136" s="110" t="s">
        <v>818</v>
      </c>
      <c r="AT136" s="111"/>
      <c r="AU136" s="112"/>
    </row>
    <row r="137" spans="1:47" s="113" customFormat="1" ht="17.25" customHeight="1" x14ac:dyDescent="0.2">
      <c r="A137" s="71"/>
      <c r="B137" s="71">
        <f t="shared" si="3"/>
        <v>0</v>
      </c>
      <c r="C137" s="72" t="s">
        <v>83</v>
      </c>
      <c r="D137" s="73"/>
      <c r="E137" s="74">
        <v>3787</v>
      </c>
      <c r="F137" s="72"/>
      <c r="G137" s="74">
        <v>6</v>
      </c>
      <c r="H137" s="73"/>
      <c r="I137" s="73"/>
      <c r="J137" s="75">
        <f t="shared" si="4"/>
        <v>0</v>
      </c>
      <c r="K137" s="75">
        <f t="shared" si="5"/>
        <v>0</v>
      </c>
      <c r="L137" s="104"/>
      <c r="M137" s="104"/>
      <c r="N137" s="104"/>
      <c r="O137" s="104"/>
      <c r="P137" s="104"/>
      <c r="Q137" s="104"/>
      <c r="R137" s="104"/>
      <c r="S137" s="104"/>
      <c r="T137" s="101"/>
      <c r="U137" s="101"/>
      <c r="V137" s="105"/>
      <c r="W137" s="106"/>
      <c r="X137" s="100"/>
      <c r="Y137" s="101"/>
      <c r="Z137" s="101"/>
      <c r="AA137" s="101"/>
      <c r="AB137" s="72" t="s">
        <v>86</v>
      </c>
      <c r="AC137" s="93"/>
      <c r="AD137" s="91"/>
      <c r="AE137" s="72" t="s">
        <v>940</v>
      </c>
      <c r="AF137" s="92"/>
      <c r="AG137" s="92"/>
      <c r="AH137" s="72" t="s">
        <v>88</v>
      </c>
      <c r="AI137" s="104"/>
      <c r="AJ137" s="101"/>
      <c r="AK137" s="101"/>
      <c r="AL137" s="107"/>
      <c r="AM137" s="101"/>
      <c r="AN137" s="101"/>
      <c r="AO137" s="101"/>
      <c r="AP137" s="101"/>
      <c r="AQ137" s="108"/>
      <c r="AR137" s="79">
        <v>18</v>
      </c>
      <c r="AS137" s="110"/>
      <c r="AT137" s="111"/>
      <c r="AU137" s="112"/>
    </row>
    <row r="138" spans="1:47" s="85" customFormat="1" x14ac:dyDescent="0.2">
      <c r="A138" s="223" t="s">
        <v>82</v>
      </c>
      <c r="B138" s="223"/>
      <c r="C138" s="223"/>
      <c r="D138" s="223"/>
      <c r="E138" s="223"/>
      <c r="F138" s="223"/>
      <c r="G138" s="223"/>
      <c r="H138" s="223"/>
      <c r="I138" s="223"/>
      <c r="J138" s="84">
        <f>SUM(J14:J137)</f>
        <v>47799.466101694881</v>
      </c>
      <c r="K138" s="84">
        <f t="shared" ref="K138:V138" si="6">SUM(K14:K137)</f>
        <v>8603.9038983050832</v>
      </c>
      <c r="L138" s="84">
        <f t="shared" si="6"/>
        <v>0</v>
      </c>
      <c r="M138" s="84">
        <f t="shared" si="6"/>
        <v>0</v>
      </c>
      <c r="N138" s="84">
        <f t="shared" si="6"/>
        <v>0</v>
      </c>
      <c r="O138" s="84">
        <f t="shared" si="6"/>
        <v>0</v>
      </c>
      <c r="P138" s="84">
        <f t="shared" si="6"/>
        <v>0</v>
      </c>
      <c r="Q138" s="84">
        <f t="shared" si="6"/>
        <v>0</v>
      </c>
      <c r="R138" s="84">
        <f t="shared" si="6"/>
        <v>0</v>
      </c>
      <c r="S138" s="84">
        <f t="shared" si="6"/>
        <v>56403.370000000039</v>
      </c>
      <c r="T138" s="84">
        <f t="shared" si="6"/>
        <v>0</v>
      </c>
      <c r="U138" s="84">
        <f t="shared" si="6"/>
        <v>0</v>
      </c>
      <c r="V138" s="84">
        <f t="shared" si="6"/>
        <v>0</v>
      </c>
      <c r="W138" s="90"/>
      <c r="X138" s="91"/>
      <c r="Y138" s="92"/>
      <c r="Z138" s="92"/>
      <c r="AA138" s="92"/>
      <c r="AB138" s="72" t="s">
        <v>86</v>
      </c>
      <c r="AC138" s="93"/>
      <c r="AD138" s="91"/>
      <c r="AE138" s="72" t="s">
        <v>940</v>
      </c>
      <c r="AF138" s="92"/>
      <c r="AG138" s="92"/>
      <c r="AH138" s="72" t="s">
        <v>88</v>
      </c>
      <c r="AI138" s="92"/>
      <c r="AJ138" s="92"/>
      <c r="AK138" s="94"/>
      <c r="AL138" s="93"/>
      <c r="AM138" s="93"/>
      <c r="AN138" s="92"/>
      <c r="AO138" s="92"/>
      <c r="AP138" s="91"/>
      <c r="AQ138" s="92"/>
      <c r="AR138" s="79">
        <v>18</v>
      </c>
      <c r="AS138" s="97"/>
      <c r="AT138" s="92"/>
      <c r="AU138" s="93"/>
    </row>
    <row r="139" spans="1:47" x14ac:dyDescent="0.2">
      <c r="J139" s="38"/>
      <c r="K139" s="38"/>
      <c r="L139" s="38"/>
      <c r="M139" s="38"/>
      <c r="N139" s="38"/>
      <c r="O139" s="38"/>
      <c r="P139" s="38">
        <f>+P138+O138+N138</f>
        <v>0</v>
      </c>
      <c r="Q139" s="38"/>
      <c r="R139" s="38"/>
      <c r="S139" s="38"/>
    </row>
    <row r="140" spans="1:47" x14ac:dyDescent="0.2">
      <c r="F140" s="59" t="s">
        <v>820</v>
      </c>
    </row>
    <row r="141" spans="1:47" x14ac:dyDescent="0.2">
      <c r="F141" s="59" t="s">
        <v>821</v>
      </c>
    </row>
    <row r="142" spans="1:47" x14ac:dyDescent="0.2">
      <c r="F142" s="59" t="s">
        <v>822</v>
      </c>
    </row>
    <row r="143" spans="1:47" x14ac:dyDescent="0.2">
      <c r="F143" s="59" t="s">
        <v>823</v>
      </c>
    </row>
    <row r="144" spans="1:47" x14ac:dyDescent="0.2">
      <c r="F144" s="59" t="s">
        <v>824</v>
      </c>
    </row>
    <row r="145" spans="6:45" x14ac:dyDescent="0.2">
      <c r="F145" s="59" t="s">
        <v>825</v>
      </c>
    </row>
    <row r="146" spans="6:45" x14ac:dyDescent="0.2">
      <c r="F146" s="59" t="s">
        <v>826</v>
      </c>
    </row>
    <row r="147" spans="6:45" x14ac:dyDescent="0.2">
      <c r="F147" s="59" t="s">
        <v>827</v>
      </c>
    </row>
    <row r="148" spans="6:45" x14ac:dyDescent="0.2">
      <c r="F148" s="59" t="s">
        <v>828</v>
      </c>
    </row>
    <row r="149" spans="6:45" x14ac:dyDescent="0.2">
      <c r="F149" s="59" t="s">
        <v>829</v>
      </c>
      <c r="AS149" s="95" t="s">
        <v>819</v>
      </c>
    </row>
    <row r="150" spans="6:45" x14ac:dyDescent="0.2">
      <c r="F150" s="59" t="s">
        <v>830</v>
      </c>
    </row>
    <row r="151" spans="6:45" x14ac:dyDescent="0.2">
      <c r="F151" s="59" t="s">
        <v>831</v>
      </c>
    </row>
    <row r="152" spans="6:45" x14ac:dyDescent="0.2">
      <c r="F152" s="59" t="s">
        <v>832</v>
      </c>
    </row>
    <row r="153" spans="6:45" x14ac:dyDescent="0.2">
      <c r="F153" s="59" t="s">
        <v>833</v>
      </c>
    </row>
    <row r="154" spans="6:45" x14ac:dyDescent="0.2">
      <c r="F154" s="59" t="s">
        <v>834</v>
      </c>
    </row>
    <row r="155" spans="6:45" x14ac:dyDescent="0.2">
      <c r="F155" s="59" t="s">
        <v>835</v>
      </c>
    </row>
    <row r="156" spans="6:45" x14ac:dyDescent="0.2">
      <c r="F156" s="59" t="s">
        <v>836</v>
      </c>
    </row>
    <row r="157" spans="6:45" x14ac:dyDescent="0.2">
      <c r="F157" s="59" t="s">
        <v>837</v>
      </c>
    </row>
    <row r="158" spans="6:45" x14ac:dyDescent="0.2">
      <c r="F158" s="59" t="s">
        <v>838</v>
      </c>
    </row>
    <row r="159" spans="6:45" x14ac:dyDescent="0.2">
      <c r="F159" s="59" t="s">
        <v>839</v>
      </c>
    </row>
    <row r="160" spans="6:45" x14ac:dyDescent="0.2">
      <c r="F160" s="59" t="s">
        <v>840</v>
      </c>
    </row>
    <row r="161" spans="6:6" x14ac:dyDescent="0.2">
      <c r="F161" s="59" t="s">
        <v>841</v>
      </c>
    </row>
    <row r="162" spans="6:6" x14ac:dyDescent="0.2">
      <c r="F162" s="59" t="s">
        <v>842</v>
      </c>
    </row>
    <row r="163" spans="6:6" x14ac:dyDescent="0.2">
      <c r="F163" s="59" t="s">
        <v>843</v>
      </c>
    </row>
    <row r="164" spans="6:6" x14ac:dyDescent="0.2">
      <c r="F164" s="59" t="s">
        <v>844</v>
      </c>
    </row>
    <row r="165" spans="6:6" x14ac:dyDescent="0.2">
      <c r="F165" s="59" t="s">
        <v>845</v>
      </c>
    </row>
    <row r="166" spans="6:6" x14ac:dyDescent="0.2">
      <c r="F166" s="59" t="s">
        <v>846</v>
      </c>
    </row>
    <row r="167" spans="6:6" x14ac:dyDescent="0.2">
      <c r="F167" s="59" t="s">
        <v>847</v>
      </c>
    </row>
    <row r="168" spans="6:6" x14ac:dyDescent="0.2">
      <c r="F168" s="59" t="s">
        <v>848</v>
      </c>
    </row>
    <row r="169" spans="6:6" x14ac:dyDescent="0.2">
      <c r="F169" s="59" t="s">
        <v>849</v>
      </c>
    </row>
    <row r="170" spans="6:6" x14ac:dyDescent="0.2">
      <c r="F170" s="59" t="s">
        <v>850</v>
      </c>
    </row>
    <row r="171" spans="6:6" x14ac:dyDescent="0.2">
      <c r="F171" s="59" t="s">
        <v>851</v>
      </c>
    </row>
    <row r="172" spans="6:6" x14ac:dyDescent="0.2">
      <c r="F172" s="59" t="s">
        <v>852</v>
      </c>
    </row>
    <row r="173" spans="6:6" x14ac:dyDescent="0.2">
      <c r="F173" s="59" t="s">
        <v>853</v>
      </c>
    </row>
    <row r="174" spans="6:6" x14ac:dyDescent="0.2">
      <c r="F174" s="59" t="s">
        <v>854</v>
      </c>
    </row>
    <row r="175" spans="6:6" x14ac:dyDescent="0.2">
      <c r="F175" s="59" t="s">
        <v>855</v>
      </c>
    </row>
    <row r="176" spans="6:6" x14ac:dyDescent="0.2">
      <c r="F176" s="59" t="s">
        <v>856</v>
      </c>
    </row>
    <row r="177" spans="6:6" x14ac:dyDescent="0.2">
      <c r="F177" s="59" t="s">
        <v>857</v>
      </c>
    </row>
    <row r="178" spans="6:6" x14ac:dyDescent="0.2">
      <c r="F178" s="59" t="s">
        <v>858</v>
      </c>
    </row>
    <row r="179" spans="6:6" x14ac:dyDescent="0.2">
      <c r="F179" s="59" t="s">
        <v>859</v>
      </c>
    </row>
    <row r="180" spans="6:6" x14ac:dyDescent="0.2">
      <c r="F180" s="59" t="s">
        <v>860</v>
      </c>
    </row>
    <row r="181" spans="6:6" x14ac:dyDescent="0.2">
      <c r="F181" s="59" t="s">
        <v>861</v>
      </c>
    </row>
    <row r="182" spans="6:6" x14ac:dyDescent="0.2">
      <c r="F182" s="59" t="s">
        <v>862</v>
      </c>
    </row>
    <row r="183" spans="6:6" x14ac:dyDescent="0.2">
      <c r="F183" s="59" t="s">
        <v>863</v>
      </c>
    </row>
    <row r="184" spans="6:6" x14ac:dyDescent="0.2">
      <c r="F184" s="59" t="s">
        <v>864</v>
      </c>
    </row>
    <row r="185" spans="6:6" x14ac:dyDescent="0.2">
      <c r="F185" s="59" t="s">
        <v>865</v>
      </c>
    </row>
    <row r="186" spans="6:6" x14ac:dyDescent="0.2">
      <c r="F186" s="59" t="s">
        <v>866</v>
      </c>
    </row>
    <row r="187" spans="6:6" x14ac:dyDescent="0.2">
      <c r="F187" s="59" t="s">
        <v>867</v>
      </c>
    </row>
    <row r="188" spans="6:6" x14ac:dyDescent="0.2">
      <c r="F188" s="59" t="s">
        <v>868</v>
      </c>
    </row>
    <row r="189" spans="6:6" x14ac:dyDescent="0.2">
      <c r="F189" s="59" t="s">
        <v>869</v>
      </c>
    </row>
    <row r="190" spans="6:6" x14ac:dyDescent="0.2">
      <c r="F190" s="59" t="s">
        <v>870</v>
      </c>
    </row>
    <row r="191" spans="6:6" x14ac:dyDescent="0.2">
      <c r="F191" s="59" t="s">
        <v>871</v>
      </c>
    </row>
    <row r="192" spans="6:6" x14ac:dyDescent="0.2">
      <c r="F192" s="59" t="s">
        <v>872</v>
      </c>
    </row>
    <row r="193" spans="6:6" x14ac:dyDescent="0.2">
      <c r="F193" s="59" t="s">
        <v>873</v>
      </c>
    </row>
    <row r="194" spans="6:6" x14ac:dyDescent="0.2">
      <c r="F194" s="59" t="s">
        <v>874</v>
      </c>
    </row>
    <row r="195" spans="6:6" x14ac:dyDescent="0.2">
      <c r="F195" s="59" t="s">
        <v>875</v>
      </c>
    </row>
    <row r="196" spans="6:6" x14ac:dyDescent="0.2">
      <c r="F196" s="59" t="s">
        <v>876</v>
      </c>
    </row>
    <row r="197" spans="6:6" x14ac:dyDescent="0.2">
      <c r="F197" s="59" t="s">
        <v>877</v>
      </c>
    </row>
    <row r="198" spans="6:6" x14ac:dyDescent="0.2">
      <c r="F198" s="59" t="s">
        <v>878</v>
      </c>
    </row>
    <row r="199" spans="6:6" x14ac:dyDescent="0.2">
      <c r="F199" s="59" t="s">
        <v>879</v>
      </c>
    </row>
    <row r="200" spans="6:6" x14ac:dyDescent="0.2">
      <c r="F200" s="59" t="s">
        <v>880</v>
      </c>
    </row>
    <row r="201" spans="6:6" x14ac:dyDescent="0.2">
      <c r="F201" s="59" t="s">
        <v>881</v>
      </c>
    </row>
    <row r="202" spans="6:6" x14ac:dyDescent="0.2">
      <c r="F202" s="59" t="s">
        <v>882</v>
      </c>
    </row>
    <row r="203" spans="6:6" x14ac:dyDescent="0.2">
      <c r="F203" s="59" t="s">
        <v>883</v>
      </c>
    </row>
    <row r="204" spans="6:6" x14ac:dyDescent="0.2">
      <c r="F204" s="59" t="s">
        <v>884</v>
      </c>
    </row>
    <row r="205" spans="6:6" x14ac:dyDescent="0.2">
      <c r="F205" s="59" t="s">
        <v>885</v>
      </c>
    </row>
    <row r="206" spans="6:6" x14ac:dyDescent="0.2">
      <c r="F206" s="59" t="s">
        <v>886</v>
      </c>
    </row>
    <row r="207" spans="6:6" x14ac:dyDescent="0.2">
      <c r="F207" s="59" t="s">
        <v>887</v>
      </c>
    </row>
    <row r="208" spans="6:6" x14ac:dyDescent="0.2">
      <c r="F208" s="59" t="s">
        <v>888</v>
      </c>
    </row>
    <row r="209" spans="6:6" x14ac:dyDescent="0.2">
      <c r="F209" s="59" t="s">
        <v>889</v>
      </c>
    </row>
    <row r="210" spans="6:6" x14ac:dyDescent="0.2">
      <c r="F210" s="59" t="s">
        <v>890</v>
      </c>
    </row>
    <row r="211" spans="6:6" x14ac:dyDescent="0.2">
      <c r="F211" s="59" t="s">
        <v>891</v>
      </c>
    </row>
    <row r="212" spans="6:6" x14ac:dyDescent="0.2">
      <c r="F212" s="59" t="s">
        <v>892</v>
      </c>
    </row>
    <row r="213" spans="6:6" x14ac:dyDescent="0.2">
      <c r="F213" s="59" t="s">
        <v>893</v>
      </c>
    </row>
    <row r="214" spans="6:6" x14ac:dyDescent="0.2">
      <c r="F214" s="59" t="s">
        <v>894</v>
      </c>
    </row>
    <row r="215" spans="6:6" x14ac:dyDescent="0.2">
      <c r="F215" s="59" t="s">
        <v>895</v>
      </c>
    </row>
    <row r="216" spans="6:6" x14ac:dyDescent="0.2">
      <c r="F216" s="59" t="s">
        <v>896</v>
      </c>
    </row>
    <row r="217" spans="6:6" x14ac:dyDescent="0.2">
      <c r="F217" s="59" t="s">
        <v>897</v>
      </c>
    </row>
    <row r="218" spans="6:6" x14ac:dyDescent="0.2">
      <c r="F218" s="59" t="s">
        <v>898</v>
      </c>
    </row>
    <row r="219" spans="6:6" x14ac:dyDescent="0.2">
      <c r="F219" s="59" t="s">
        <v>899</v>
      </c>
    </row>
    <row r="220" spans="6:6" x14ac:dyDescent="0.2">
      <c r="F220" s="59" t="s">
        <v>900</v>
      </c>
    </row>
    <row r="221" spans="6:6" x14ac:dyDescent="0.2">
      <c r="F221" s="59" t="s">
        <v>901</v>
      </c>
    </row>
    <row r="222" spans="6:6" x14ac:dyDescent="0.2">
      <c r="F222" s="59" t="s">
        <v>902</v>
      </c>
    </row>
    <row r="223" spans="6:6" x14ac:dyDescent="0.2">
      <c r="F223" s="59" t="s">
        <v>903</v>
      </c>
    </row>
    <row r="224" spans="6:6" x14ac:dyDescent="0.2">
      <c r="F224" s="59" t="s">
        <v>904</v>
      </c>
    </row>
    <row r="225" spans="6:6" x14ac:dyDescent="0.2">
      <c r="F225" s="59" t="s">
        <v>905</v>
      </c>
    </row>
    <row r="226" spans="6:6" x14ac:dyDescent="0.2">
      <c r="F226" s="59" t="s">
        <v>906</v>
      </c>
    </row>
    <row r="227" spans="6:6" x14ac:dyDescent="0.2">
      <c r="F227" s="59" t="s">
        <v>907</v>
      </c>
    </row>
    <row r="228" spans="6:6" x14ac:dyDescent="0.2">
      <c r="F228" s="59" t="s">
        <v>908</v>
      </c>
    </row>
    <row r="229" spans="6:6" x14ac:dyDescent="0.2">
      <c r="F229" s="59" t="s">
        <v>909</v>
      </c>
    </row>
    <row r="230" spans="6:6" x14ac:dyDescent="0.2">
      <c r="F230" s="59" t="s">
        <v>910</v>
      </c>
    </row>
    <row r="231" spans="6:6" x14ac:dyDescent="0.2">
      <c r="F231" s="59" t="s">
        <v>911</v>
      </c>
    </row>
    <row r="232" spans="6:6" x14ac:dyDescent="0.2">
      <c r="F232" s="59" t="s">
        <v>912</v>
      </c>
    </row>
    <row r="233" spans="6:6" x14ac:dyDescent="0.2">
      <c r="F233" s="59" t="s">
        <v>913</v>
      </c>
    </row>
    <row r="234" spans="6:6" x14ac:dyDescent="0.2">
      <c r="F234" s="59" t="s">
        <v>914</v>
      </c>
    </row>
    <row r="235" spans="6:6" x14ac:dyDescent="0.2">
      <c r="F235" s="59" t="s">
        <v>915</v>
      </c>
    </row>
    <row r="236" spans="6:6" x14ac:dyDescent="0.2">
      <c r="F236" s="59" t="s">
        <v>916</v>
      </c>
    </row>
    <row r="237" spans="6:6" x14ac:dyDescent="0.2">
      <c r="F237" s="59" t="s">
        <v>917</v>
      </c>
    </row>
    <row r="238" spans="6:6" x14ac:dyDescent="0.2">
      <c r="F238" s="59" t="s">
        <v>918</v>
      </c>
    </row>
    <row r="239" spans="6:6" x14ac:dyDescent="0.2">
      <c r="F239" s="59" t="s">
        <v>919</v>
      </c>
    </row>
    <row r="240" spans="6:6" x14ac:dyDescent="0.2">
      <c r="F240" s="59" t="s">
        <v>920</v>
      </c>
    </row>
    <row r="241" spans="6:6" x14ac:dyDescent="0.2">
      <c r="F241" s="59" t="s">
        <v>921</v>
      </c>
    </row>
    <row r="242" spans="6:6" x14ac:dyDescent="0.2">
      <c r="F242" s="59" t="s">
        <v>922</v>
      </c>
    </row>
    <row r="243" spans="6:6" x14ac:dyDescent="0.2">
      <c r="F243" s="59" t="s">
        <v>923</v>
      </c>
    </row>
    <row r="244" spans="6:6" x14ac:dyDescent="0.2">
      <c r="F244" s="59" t="s">
        <v>924</v>
      </c>
    </row>
    <row r="245" spans="6:6" x14ac:dyDescent="0.2">
      <c r="F245" s="59" t="s">
        <v>925</v>
      </c>
    </row>
    <row r="246" spans="6:6" x14ac:dyDescent="0.2">
      <c r="F246" s="59" t="s">
        <v>926</v>
      </c>
    </row>
    <row r="247" spans="6:6" x14ac:dyDescent="0.2">
      <c r="F247" s="59" t="s">
        <v>927</v>
      </c>
    </row>
    <row r="248" spans="6:6" x14ac:dyDescent="0.2">
      <c r="F248" s="59" t="s">
        <v>928</v>
      </c>
    </row>
    <row r="249" spans="6:6" x14ac:dyDescent="0.2">
      <c r="F249" s="59" t="s">
        <v>929</v>
      </c>
    </row>
    <row r="250" spans="6:6" x14ac:dyDescent="0.2">
      <c r="F250" s="59" t="s">
        <v>930</v>
      </c>
    </row>
    <row r="251" spans="6:6" x14ac:dyDescent="0.2">
      <c r="F251" s="59" t="s">
        <v>931</v>
      </c>
    </row>
    <row r="252" spans="6:6" x14ac:dyDescent="0.2">
      <c r="F252" s="59" t="s">
        <v>932</v>
      </c>
    </row>
    <row r="253" spans="6:6" x14ac:dyDescent="0.2">
      <c r="F253" s="59" t="s">
        <v>933</v>
      </c>
    </row>
    <row r="254" spans="6:6" x14ac:dyDescent="0.2">
      <c r="F254" s="59" t="s">
        <v>934</v>
      </c>
    </row>
    <row r="255" spans="6:6" x14ac:dyDescent="0.2">
      <c r="F255" s="59" t="s">
        <v>935</v>
      </c>
    </row>
    <row r="256" spans="6:6" x14ac:dyDescent="0.2">
      <c r="F256" s="59" t="s">
        <v>936</v>
      </c>
    </row>
    <row r="257" spans="6:6" x14ac:dyDescent="0.2">
      <c r="F257" s="59" t="s">
        <v>937</v>
      </c>
    </row>
    <row r="258" spans="6:6" x14ac:dyDescent="0.2">
      <c r="F258" s="59" t="s">
        <v>938</v>
      </c>
    </row>
    <row r="259" spans="6:6" x14ac:dyDescent="0.2">
      <c r="F259" s="59" t="s">
        <v>939</v>
      </c>
    </row>
  </sheetData>
  <autoFilter ref="H1:H14" xr:uid="{00000000-0009-0000-0000-000001000000}"/>
  <mergeCells count="40">
    <mergeCell ref="A8:AP8"/>
    <mergeCell ref="A10:A12"/>
    <mergeCell ref="B10:B12"/>
    <mergeCell ref="C10:E11"/>
    <mergeCell ref="F10:F12"/>
    <mergeCell ref="G10:I10"/>
    <mergeCell ref="J10:K11"/>
    <mergeCell ref="L10:M11"/>
    <mergeCell ref="N10:O11"/>
    <mergeCell ref="P10:P12"/>
    <mergeCell ref="Q10:Q12"/>
    <mergeCell ref="R10:R12"/>
    <mergeCell ref="S10:S12"/>
    <mergeCell ref="T10:T12"/>
    <mergeCell ref="AK10:AK12"/>
    <mergeCell ref="W10:W12"/>
    <mergeCell ref="AU10:AU12"/>
    <mergeCell ref="G11:H11"/>
    <mergeCell ref="I11:I12"/>
    <mergeCell ref="AM10:AM12"/>
    <mergeCell ref="AN10:AN12"/>
    <mergeCell ref="AO10:AO12"/>
    <mergeCell ref="AP10:AP12"/>
    <mergeCell ref="AQ10:AQ12"/>
    <mergeCell ref="AR10:AR12"/>
    <mergeCell ref="AG10:AG12"/>
    <mergeCell ref="AH10:AH12"/>
    <mergeCell ref="AI10:AI12"/>
    <mergeCell ref="AL10:AL12"/>
    <mergeCell ref="X10:AA11"/>
    <mergeCell ref="AB10:AB12"/>
    <mergeCell ref="AC10:AC12"/>
    <mergeCell ref="A138:I138"/>
    <mergeCell ref="U10:V11"/>
    <mergeCell ref="AS10:AS12"/>
    <mergeCell ref="AT10:AT12"/>
    <mergeCell ref="AD10:AD12"/>
    <mergeCell ref="AE10:AE12"/>
    <mergeCell ref="AF10:AF12"/>
    <mergeCell ref="AJ10:AJ12"/>
  </mergeCells>
  <phoneticPr fontId="9" type="noConversion"/>
  <conditionalFormatting sqref="F1:F1048576">
    <cfRule type="duplicateValues" dxfId="14" priority="1"/>
  </conditionalFormatting>
  <conditionalFormatting sqref="F14:F137">
    <cfRule type="duplicateValues" dxfId="13" priority="179"/>
    <cfRule type="duplicateValues" dxfId="12" priority="180"/>
    <cfRule type="duplicateValues" dxfId="11" priority="181"/>
    <cfRule type="duplicateValues" dxfId="10" priority="182"/>
    <cfRule type="duplicateValues" dxfId="9" priority="183"/>
    <cfRule type="duplicateValues" dxfId="8" priority="184"/>
    <cfRule type="duplicateValues" dxfId="7" priority="185"/>
    <cfRule type="duplicateValues" dxfId="6" priority="186"/>
    <cfRule type="duplicateValues" dxfId="5" priority="187"/>
    <cfRule type="duplicateValues" dxfId="4" priority="188"/>
    <cfRule type="duplicateValues" dxfId="3" priority="189"/>
    <cfRule type="duplicateValues" dxfId="2" priority="190"/>
  </conditionalFormatting>
  <conditionalFormatting sqref="F138:F1048576 F1:F13">
    <cfRule type="duplicateValues" dxfId="1" priority="56"/>
  </conditionalFormatting>
  <conditionalFormatting sqref="F139:F1048576 F1:F13">
    <cfRule type="duplicateValues" dxfId="0" priority="52"/>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FACE-E57D-4ADD-8ED5-A13AC5B60833}">
  <dimension ref="A1:AN363"/>
  <sheetViews>
    <sheetView topLeftCell="R341" workbookViewId="0">
      <selection activeCell="AC2" sqref="AC2:AF363"/>
    </sheetView>
  </sheetViews>
  <sheetFormatPr baseColWidth="10" defaultRowHeight="15" x14ac:dyDescent="0.25"/>
  <sheetData>
    <row r="1" spans="1:40" x14ac:dyDescent="0.25">
      <c r="A1" t="s">
        <v>119</v>
      </c>
      <c r="B1" t="s">
        <v>120</v>
      </c>
      <c r="C1" t="s">
        <v>97</v>
      </c>
      <c r="D1" t="s">
        <v>98</v>
      </c>
      <c r="E1" t="s">
        <v>99</v>
      </c>
      <c r="F1" t="s">
        <v>100</v>
      </c>
      <c r="G1" t="s">
        <v>101</v>
      </c>
      <c r="H1" t="s">
        <v>102</v>
      </c>
      <c r="I1" t="s">
        <v>103</v>
      </c>
      <c r="J1" t="s">
        <v>104</v>
      </c>
      <c r="K1" t="s">
        <v>105</v>
      </c>
      <c r="L1" t="s">
        <v>106</v>
      </c>
      <c r="M1" t="s">
        <v>121</v>
      </c>
      <c r="N1" t="s">
        <v>122</v>
      </c>
      <c r="O1" t="s">
        <v>123</v>
      </c>
      <c r="P1" t="s">
        <v>124</v>
      </c>
      <c r="Q1" t="s">
        <v>125</v>
      </c>
      <c r="R1" t="s">
        <v>126</v>
      </c>
      <c r="S1" t="s">
        <v>127</v>
      </c>
      <c r="T1" t="s">
        <v>128</v>
      </c>
      <c r="U1" t="s">
        <v>27</v>
      </c>
      <c r="V1" t="s">
        <v>129</v>
      </c>
      <c r="W1" t="s">
        <v>130</v>
      </c>
      <c r="X1" t="s">
        <v>107</v>
      </c>
      <c r="Y1" t="s">
        <v>131</v>
      </c>
      <c r="Z1" t="s">
        <v>108</v>
      </c>
      <c r="AA1" t="s">
        <v>109</v>
      </c>
      <c r="AB1" t="s">
        <v>132</v>
      </c>
      <c r="AC1" t="s">
        <v>110</v>
      </c>
      <c r="AD1" t="s">
        <v>111</v>
      </c>
      <c r="AE1" t="s">
        <v>112</v>
      </c>
      <c r="AF1" t="s">
        <v>113</v>
      </c>
      <c r="AG1" t="s">
        <v>133</v>
      </c>
      <c r="AH1" t="s">
        <v>114</v>
      </c>
      <c r="AI1" t="s">
        <v>134</v>
      </c>
      <c r="AJ1" t="s">
        <v>135</v>
      </c>
      <c r="AK1" t="s">
        <v>136</v>
      </c>
      <c r="AL1" t="s">
        <v>137</v>
      </c>
      <c r="AM1" t="s">
        <v>138</v>
      </c>
      <c r="AN1" t="s">
        <v>139</v>
      </c>
    </row>
    <row r="2" spans="1:40" x14ac:dyDescent="0.25">
      <c r="A2">
        <v>20608997106</v>
      </c>
      <c r="B2" t="s">
        <v>115</v>
      </c>
      <c r="C2">
        <v>202606</v>
      </c>
      <c r="D2" t="s">
        <v>140</v>
      </c>
      <c r="E2" s="99">
        <v>46174</v>
      </c>
      <c r="G2">
        <v>3</v>
      </c>
      <c r="H2" t="s">
        <v>141</v>
      </c>
      <c r="I2">
        <v>3665</v>
      </c>
      <c r="K2" t="s">
        <v>142</v>
      </c>
      <c r="L2" t="s">
        <v>142</v>
      </c>
      <c r="M2" t="s">
        <v>143</v>
      </c>
      <c r="N2">
        <v>0</v>
      </c>
      <c r="O2">
        <v>44.07</v>
      </c>
      <c r="P2">
        <v>0</v>
      </c>
      <c r="Q2">
        <v>7.93</v>
      </c>
      <c r="R2">
        <v>0</v>
      </c>
      <c r="S2">
        <v>0</v>
      </c>
      <c r="T2">
        <v>0</v>
      </c>
      <c r="U2">
        <v>0</v>
      </c>
      <c r="V2">
        <v>0</v>
      </c>
      <c r="W2">
        <v>0</v>
      </c>
      <c r="X2">
        <v>0</v>
      </c>
      <c r="Y2">
        <v>0</v>
      </c>
      <c r="Z2">
        <v>52</v>
      </c>
      <c r="AA2" t="s">
        <v>116</v>
      </c>
      <c r="AB2">
        <v>1</v>
      </c>
      <c r="AI2">
        <v>1</v>
      </c>
      <c r="AJ2">
        <v>0</v>
      </c>
      <c r="AK2">
        <v>0</v>
      </c>
      <c r="AL2">
        <v>101</v>
      </c>
    </row>
    <row r="3" spans="1:40" x14ac:dyDescent="0.25">
      <c r="A3">
        <v>20608997106</v>
      </c>
      <c r="B3" t="s">
        <v>115</v>
      </c>
      <c r="C3">
        <v>202606</v>
      </c>
      <c r="D3" t="s">
        <v>144</v>
      </c>
      <c r="E3" s="99">
        <v>46174</v>
      </c>
      <c r="G3">
        <v>3</v>
      </c>
      <c r="H3" t="s">
        <v>141</v>
      </c>
      <c r="I3">
        <v>3666</v>
      </c>
      <c r="K3">
        <v>1</v>
      </c>
      <c r="L3">
        <v>46169303</v>
      </c>
      <c r="M3" t="s">
        <v>145</v>
      </c>
      <c r="N3">
        <v>0</v>
      </c>
      <c r="O3">
        <v>43.22</v>
      </c>
      <c r="P3">
        <v>0</v>
      </c>
      <c r="Q3">
        <v>7.78</v>
      </c>
      <c r="R3">
        <v>0</v>
      </c>
      <c r="S3">
        <v>0</v>
      </c>
      <c r="T3">
        <v>0</v>
      </c>
      <c r="U3">
        <v>0</v>
      </c>
      <c r="V3">
        <v>0</v>
      </c>
      <c r="W3">
        <v>0</v>
      </c>
      <c r="X3">
        <v>0</v>
      </c>
      <c r="Y3">
        <v>0</v>
      </c>
      <c r="Z3">
        <v>51</v>
      </c>
      <c r="AA3" t="s">
        <v>116</v>
      </c>
      <c r="AB3">
        <v>1</v>
      </c>
      <c r="AI3">
        <v>1</v>
      </c>
      <c r="AJ3">
        <v>0</v>
      </c>
      <c r="AK3">
        <v>0</v>
      </c>
      <c r="AL3">
        <v>101</v>
      </c>
    </row>
    <row r="4" spans="1:40" x14ac:dyDescent="0.25">
      <c r="A4">
        <v>20608997106</v>
      </c>
      <c r="B4" t="s">
        <v>115</v>
      </c>
      <c r="C4">
        <v>202606</v>
      </c>
      <c r="D4" t="s">
        <v>146</v>
      </c>
      <c r="E4" s="99">
        <v>46174</v>
      </c>
      <c r="G4">
        <v>3</v>
      </c>
      <c r="H4" t="s">
        <v>141</v>
      </c>
      <c r="I4">
        <v>3667</v>
      </c>
      <c r="K4" t="s">
        <v>142</v>
      </c>
      <c r="L4" t="s">
        <v>142</v>
      </c>
      <c r="M4" t="s">
        <v>143</v>
      </c>
      <c r="N4">
        <v>0</v>
      </c>
      <c r="O4">
        <v>83.05</v>
      </c>
      <c r="P4">
        <v>0</v>
      </c>
      <c r="Q4">
        <v>14.95</v>
      </c>
      <c r="R4">
        <v>0</v>
      </c>
      <c r="S4">
        <v>0</v>
      </c>
      <c r="T4">
        <v>0</v>
      </c>
      <c r="U4">
        <v>0</v>
      </c>
      <c r="V4">
        <v>0</v>
      </c>
      <c r="W4">
        <v>0</v>
      </c>
      <c r="X4">
        <v>0</v>
      </c>
      <c r="Y4">
        <v>0</v>
      </c>
      <c r="Z4">
        <v>98</v>
      </c>
      <c r="AA4" t="s">
        <v>116</v>
      </c>
      <c r="AB4">
        <v>1</v>
      </c>
      <c r="AI4">
        <v>1</v>
      </c>
      <c r="AJ4">
        <v>0</v>
      </c>
      <c r="AK4">
        <v>0</v>
      </c>
      <c r="AL4">
        <v>101</v>
      </c>
    </row>
    <row r="5" spans="1:40" x14ac:dyDescent="0.25">
      <c r="A5">
        <v>20608997106</v>
      </c>
      <c r="B5" t="s">
        <v>115</v>
      </c>
      <c r="C5">
        <v>202606</v>
      </c>
      <c r="D5" t="s">
        <v>147</v>
      </c>
      <c r="E5" s="99">
        <v>46174</v>
      </c>
      <c r="G5">
        <v>3</v>
      </c>
      <c r="H5" t="s">
        <v>141</v>
      </c>
      <c r="I5">
        <v>3668</v>
      </c>
      <c r="K5">
        <v>1</v>
      </c>
      <c r="L5">
        <v>23262129</v>
      </c>
      <c r="M5" t="s">
        <v>148</v>
      </c>
      <c r="N5">
        <v>0</v>
      </c>
      <c r="O5">
        <v>116.95</v>
      </c>
      <c r="P5">
        <v>0</v>
      </c>
      <c r="Q5">
        <v>21.05</v>
      </c>
      <c r="R5">
        <v>0</v>
      </c>
      <c r="S5">
        <v>0</v>
      </c>
      <c r="T5">
        <v>0</v>
      </c>
      <c r="U5">
        <v>0</v>
      </c>
      <c r="V5">
        <v>0</v>
      </c>
      <c r="W5">
        <v>0</v>
      </c>
      <c r="X5">
        <v>0</v>
      </c>
      <c r="Y5">
        <v>0</v>
      </c>
      <c r="Z5">
        <v>138</v>
      </c>
      <c r="AA5" t="s">
        <v>116</v>
      </c>
      <c r="AB5">
        <v>1</v>
      </c>
      <c r="AI5">
        <v>1</v>
      </c>
      <c r="AJ5">
        <v>0</v>
      </c>
      <c r="AK5">
        <v>0</v>
      </c>
      <c r="AL5">
        <v>101</v>
      </c>
    </row>
    <row r="6" spans="1:40" x14ac:dyDescent="0.25">
      <c r="A6">
        <v>20608997106</v>
      </c>
      <c r="B6" t="s">
        <v>115</v>
      </c>
      <c r="C6">
        <v>202606</v>
      </c>
      <c r="D6" t="s">
        <v>149</v>
      </c>
      <c r="E6" s="99">
        <v>46174</v>
      </c>
      <c r="G6">
        <v>3</v>
      </c>
      <c r="H6" t="s">
        <v>141</v>
      </c>
      <c r="I6">
        <v>3669</v>
      </c>
      <c r="K6" t="s">
        <v>142</v>
      </c>
      <c r="L6" t="s">
        <v>142</v>
      </c>
      <c r="M6" t="s">
        <v>150</v>
      </c>
      <c r="N6">
        <v>0</v>
      </c>
      <c r="O6">
        <v>42.37</v>
      </c>
      <c r="P6">
        <v>0</v>
      </c>
      <c r="Q6">
        <v>7.63</v>
      </c>
      <c r="R6">
        <v>0</v>
      </c>
      <c r="S6">
        <v>0</v>
      </c>
      <c r="T6">
        <v>0</v>
      </c>
      <c r="U6">
        <v>0</v>
      </c>
      <c r="V6">
        <v>0</v>
      </c>
      <c r="W6">
        <v>0</v>
      </c>
      <c r="X6">
        <v>0</v>
      </c>
      <c r="Y6">
        <v>0</v>
      </c>
      <c r="Z6">
        <v>50</v>
      </c>
      <c r="AA6" t="s">
        <v>116</v>
      </c>
      <c r="AB6">
        <v>1</v>
      </c>
      <c r="AI6">
        <v>1</v>
      </c>
      <c r="AJ6">
        <v>0</v>
      </c>
      <c r="AK6">
        <v>0</v>
      </c>
      <c r="AL6">
        <v>101</v>
      </c>
    </row>
    <row r="7" spans="1:40" x14ac:dyDescent="0.25">
      <c r="A7">
        <v>20608997106</v>
      </c>
      <c r="B7" t="s">
        <v>115</v>
      </c>
      <c r="C7">
        <v>202606</v>
      </c>
      <c r="D7" t="s">
        <v>151</v>
      </c>
      <c r="E7" s="99">
        <v>46174</v>
      </c>
      <c r="G7">
        <v>3</v>
      </c>
      <c r="H7" t="s">
        <v>141</v>
      </c>
      <c r="I7">
        <v>3670</v>
      </c>
      <c r="K7" t="s">
        <v>142</v>
      </c>
      <c r="L7" t="s">
        <v>142</v>
      </c>
      <c r="M7" t="s">
        <v>152</v>
      </c>
      <c r="N7">
        <v>0</v>
      </c>
      <c r="O7">
        <v>42.37</v>
      </c>
      <c r="P7">
        <v>0</v>
      </c>
      <c r="Q7">
        <v>7.63</v>
      </c>
      <c r="R7">
        <v>0</v>
      </c>
      <c r="S7">
        <v>0</v>
      </c>
      <c r="T7">
        <v>0</v>
      </c>
      <c r="U7">
        <v>0</v>
      </c>
      <c r="V7">
        <v>0</v>
      </c>
      <c r="W7">
        <v>0</v>
      </c>
      <c r="X7">
        <v>0</v>
      </c>
      <c r="Y7">
        <v>0</v>
      </c>
      <c r="Z7">
        <v>50</v>
      </c>
      <c r="AA7" t="s">
        <v>116</v>
      </c>
      <c r="AB7">
        <v>1</v>
      </c>
      <c r="AI7">
        <v>1</v>
      </c>
      <c r="AJ7">
        <v>0</v>
      </c>
      <c r="AK7">
        <v>0</v>
      </c>
      <c r="AL7">
        <v>101</v>
      </c>
    </row>
    <row r="8" spans="1:40" x14ac:dyDescent="0.25">
      <c r="A8">
        <v>20608997106</v>
      </c>
      <c r="B8" t="s">
        <v>115</v>
      </c>
      <c r="C8">
        <v>202606</v>
      </c>
      <c r="D8" t="s">
        <v>153</v>
      </c>
      <c r="E8" s="99">
        <v>46174</v>
      </c>
      <c r="G8">
        <v>3</v>
      </c>
      <c r="H8" t="s">
        <v>141</v>
      </c>
      <c r="I8">
        <v>3671</v>
      </c>
      <c r="K8" t="s">
        <v>142</v>
      </c>
      <c r="L8" t="s">
        <v>142</v>
      </c>
      <c r="M8" t="s">
        <v>143</v>
      </c>
      <c r="N8">
        <v>0</v>
      </c>
      <c r="O8">
        <v>81.36</v>
      </c>
      <c r="P8">
        <v>0</v>
      </c>
      <c r="Q8">
        <v>14.64</v>
      </c>
      <c r="R8">
        <v>0</v>
      </c>
      <c r="S8">
        <v>0</v>
      </c>
      <c r="T8">
        <v>0</v>
      </c>
      <c r="U8">
        <v>0</v>
      </c>
      <c r="V8">
        <v>0</v>
      </c>
      <c r="W8">
        <v>0</v>
      </c>
      <c r="X8">
        <v>0</v>
      </c>
      <c r="Y8">
        <v>0</v>
      </c>
      <c r="Z8">
        <v>96</v>
      </c>
      <c r="AA8" t="s">
        <v>116</v>
      </c>
      <c r="AB8">
        <v>1</v>
      </c>
      <c r="AI8">
        <v>1</v>
      </c>
      <c r="AJ8">
        <v>0</v>
      </c>
      <c r="AK8">
        <v>0</v>
      </c>
      <c r="AL8">
        <v>101</v>
      </c>
    </row>
    <row r="9" spans="1:40" x14ac:dyDescent="0.25">
      <c r="A9">
        <v>20608997106</v>
      </c>
      <c r="B9" t="s">
        <v>115</v>
      </c>
      <c r="C9">
        <v>202606</v>
      </c>
      <c r="D9" t="s">
        <v>154</v>
      </c>
      <c r="E9" s="99">
        <v>46174</v>
      </c>
      <c r="G9">
        <v>3</v>
      </c>
      <c r="H9" t="s">
        <v>141</v>
      </c>
      <c r="I9">
        <v>3672</v>
      </c>
      <c r="K9" t="s">
        <v>142</v>
      </c>
      <c r="L9" t="s">
        <v>142</v>
      </c>
      <c r="M9" t="s">
        <v>143</v>
      </c>
      <c r="N9">
        <v>0</v>
      </c>
      <c r="O9">
        <v>42.37</v>
      </c>
      <c r="P9">
        <v>0</v>
      </c>
      <c r="Q9">
        <v>7.63</v>
      </c>
      <c r="R9">
        <v>0</v>
      </c>
      <c r="S9">
        <v>0</v>
      </c>
      <c r="T9">
        <v>0</v>
      </c>
      <c r="U9">
        <v>0</v>
      </c>
      <c r="V9">
        <v>0</v>
      </c>
      <c r="W9">
        <v>0</v>
      </c>
      <c r="X9">
        <v>0</v>
      </c>
      <c r="Y9">
        <v>0</v>
      </c>
      <c r="Z9">
        <v>50</v>
      </c>
      <c r="AA9" t="s">
        <v>116</v>
      </c>
      <c r="AB9">
        <v>1</v>
      </c>
      <c r="AI9">
        <v>1</v>
      </c>
      <c r="AJ9">
        <v>0</v>
      </c>
      <c r="AK9">
        <v>0</v>
      </c>
      <c r="AL9">
        <v>101</v>
      </c>
    </row>
    <row r="10" spans="1:40" x14ac:dyDescent="0.25">
      <c r="A10">
        <v>20608997106</v>
      </c>
      <c r="B10" t="s">
        <v>115</v>
      </c>
      <c r="C10">
        <v>202606</v>
      </c>
      <c r="D10" t="s">
        <v>155</v>
      </c>
      <c r="E10" s="99">
        <v>46174</v>
      </c>
      <c r="G10">
        <v>3</v>
      </c>
      <c r="H10" t="s">
        <v>141</v>
      </c>
      <c r="I10">
        <v>3673</v>
      </c>
      <c r="K10" t="s">
        <v>142</v>
      </c>
      <c r="L10" t="s">
        <v>142</v>
      </c>
      <c r="M10" t="s">
        <v>156</v>
      </c>
      <c r="N10">
        <v>0</v>
      </c>
      <c r="O10">
        <v>372.88</v>
      </c>
      <c r="P10">
        <v>0</v>
      </c>
      <c r="Q10">
        <v>67.12</v>
      </c>
      <c r="R10">
        <v>0</v>
      </c>
      <c r="S10">
        <v>0</v>
      </c>
      <c r="T10">
        <v>0</v>
      </c>
      <c r="U10">
        <v>0</v>
      </c>
      <c r="V10">
        <v>0</v>
      </c>
      <c r="W10">
        <v>0</v>
      </c>
      <c r="X10">
        <v>0</v>
      </c>
      <c r="Y10">
        <v>0</v>
      </c>
      <c r="Z10">
        <v>440</v>
      </c>
      <c r="AA10" t="s">
        <v>116</v>
      </c>
      <c r="AB10">
        <v>1</v>
      </c>
      <c r="AI10">
        <v>1</v>
      </c>
      <c r="AJ10">
        <v>0</v>
      </c>
      <c r="AK10">
        <v>0</v>
      </c>
      <c r="AL10">
        <v>101</v>
      </c>
    </row>
    <row r="11" spans="1:40" x14ac:dyDescent="0.25">
      <c r="A11">
        <v>20608997106</v>
      </c>
      <c r="B11" t="s">
        <v>115</v>
      </c>
      <c r="C11">
        <v>202606</v>
      </c>
      <c r="D11" t="s">
        <v>157</v>
      </c>
      <c r="E11" s="99">
        <v>46174</v>
      </c>
      <c r="G11">
        <v>3</v>
      </c>
      <c r="H11" t="s">
        <v>141</v>
      </c>
      <c r="I11">
        <v>3674</v>
      </c>
      <c r="K11" t="s">
        <v>142</v>
      </c>
      <c r="L11" t="s">
        <v>142</v>
      </c>
      <c r="M11" t="s">
        <v>143</v>
      </c>
      <c r="N11">
        <v>0</v>
      </c>
      <c r="O11">
        <v>81.36</v>
      </c>
      <c r="P11">
        <v>0</v>
      </c>
      <c r="Q11">
        <v>14.64</v>
      </c>
      <c r="R11">
        <v>0</v>
      </c>
      <c r="S11">
        <v>0</v>
      </c>
      <c r="T11">
        <v>0</v>
      </c>
      <c r="U11">
        <v>0</v>
      </c>
      <c r="V11">
        <v>0</v>
      </c>
      <c r="W11">
        <v>0</v>
      </c>
      <c r="X11">
        <v>0</v>
      </c>
      <c r="Y11">
        <v>0</v>
      </c>
      <c r="Z11">
        <v>96</v>
      </c>
      <c r="AA11" t="s">
        <v>116</v>
      </c>
      <c r="AB11">
        <v>1</v>
      </c>
      <c r="AI11">
        <v>1</v>
      </c>
      <c r="AJ11">
        <v>0</v>
      </c>
      <c r="AK11">
        <v>0</v>
      </c>
      <c r="AL11">
        <v>101</v>
      </c>
    </row>
    <row r="12" spans="1:40" x14ac:dyDescent="0.25">
      <c r="A12">
        <v>20608997106</v>
      </c>
      <c r="B12" t="s">
        <v>115</v>
      </c>
      <c r="C12">
        <v>202606</v>
      </c>
      <c r="D12" t="s">
        <v>158</v>
      </c>
      <c r="E12" s="99">
        <v>46177</v>
      </c>
      <c r="G12">
        <v>1</v>
      </c>
      <c r="H12" t="s">
        <v>159</v>
      </c>
      <c r="I12">
        <v>34</v>
      </c>
      <c r="K12">
        <v>6</v>
      </c>
      <c r="L12">
        <v>20541310038</v>
      </c>
      <c r="M12" t="s">
        <v>160</v>
      </c>
      <c r="N12">
        <v>0</v>
      </c>
      <c r="O12">
        <v>44.07</v>
      </c>
      <c r="P12">
        <v>0</v>
      </c>
      <c r="Q12">
        <v>7.93</v>
      </c>
      <c r="R12">
        <v>0</v>
      </c>
      <c r="S12">
        <v>0</v>
      </c>
      <c r="T12">
        <v>0</v>
      </c>
      <c r="U12">
        <v>0</v>
      </c>
      <c r="V12">
        <v>0</v>
      </c>
      <c r="W12">
        <v>0</v>
      </c>
      <c r="X12">
        <v>0</v>
      </c>
      <c r="Y12">
        <v>0</v>
      </c>
      <c r="Z12">
        <v>52</v>
      </c>
      <c r="AA12" t="s">
        <v>116</v>
      </c>
      <c r="AB12">
        <v>1</v>
      </c>
      <c r="AI12">
        <v>1</v>
      </c>
      <c r="AJ12">
        <v>0</v>
      </c>
      <c r="AK12">
        <v>0</v>
      </c>
      <c r="AL12">
        <v>101</v>
      </c>
    </row>
    <row r="13" spans="1:40" x14ac:dyDescent="0.25">
      <c r="A13">
        <v>20608997106</v>
      </c>
      <c r="B13" t="s">
        <v>115</v>
      </c>
      <c r="C13">
        <v>202606</v>
      </c>
      <c r="D13" t="s">
        <v>161</v>
      </c>
      <c r="E13" s="99">
        <v>46187</v>
      </c>
      <c r="G13">
        <v>1</v>
      </c>
      <c r="H13" t="s">
        <v>159</v>
      </c>
      <c r="I13">
        <v>35</v>
      </c>
      <c r="K13">
        <v>6</v>
      </c>
      <c r="L13">
        <v>20615178901</v>
      </c>
      <c r="M13" t="s">
        <v>162</v>
      </c>
      <c r="N13">
        <v>0</v>
      </c>
      <c r="O13">
        <v>155.93</v>
      </c>
      <c r="P13">
        <v>0</v>
      </c>
      <c r="Q13">
        <v>28.07</v>
      </c>
      <c r="R13">
        <v>0</v>
      </c>
      <c r="S13">
        <v>0</v>
      </c>
      <c r="T13">
        <v>0</v>
      </c>
      <c r="U13">
        <v>0</v>
      </c>
      <c r="V13">
        <v>0</v>
      </c>
      <c r="W13">
        <v>0</v>
      </c>
      <c r="X13">
        <v>0</v>
      </c>
      <c r="Y13">
        <v>0</v>
      </c>
      <c r="Z13">
        <v>184</v>
      </c>
      <c r="AA13" t="s">
        <v>116</v>
      </c>
      <c r="AB13">
        <v>1</v>
      </c>
      <c r="AI13">
        <v>1</v>
      </c>
      <c r="AJ13">
        <v>0</v>
      </c>
      <c r="AK13">
        <v>0</v>
      </c>
      <c r="AL13">
        <v>101</v>
      </c>
    </row>
    <row r="14" spans="1:40" x14ac:dyDescent="0.25">
      <c r="A14">
        <v>20608997106</v>
      </c>
      <c r="B14" t="s">
        <v>115</v>
      </c>
      <c r="C14">
        <v>202606</v>
      </c>
      <c r="D14" t="s">
        <v>163</v>
      </c>
      <c r="E14" s="99">
        <v>46189</v>
      </c>
      <c r="G14">
        <v>3</v>
      </c>
      <c r="H14" t="s">
        <v>141</v>
      </c>
      <c r="I14">
        <v>3676</v>
      </c>
      <c r="K14" t="s">
        <v>142</v>
      </c>
      <c r="L14" t="s">
        <v>142</v>
      </c>
      <c r="M14" t="s">
        <v>164</v>
      </c>
      <c r="N14">
        <v>0</v>
      </c>
      <c r="O14">
        <v>43.22</v>
      </c>
      <c r="P14">
        <v>0</v>
      </c>
      <c r="Q14">
        <v>7.78</v>
      </c>
      <c r="R14">
        <v>0</v>
      </c>
      <c r="S14">
        <v>0</v>
      </c>
      <c r="T14">
        <v>0</v>
      </c>
      <c r="U14">
        <v>0</v>
      </c>
      <c r="V14">
        <v>0</v>
      </c>
      <c r="W14">
        <v>0</v>
      </c>
      <c r="X14">
        <v>0</v>
      </c>
      <c r="Y14">
        <v>0</v>
      </c>
      <c r="Z14">
        <v>51</v>
      </c>
      <c r="AA14" t="s">
        <v>116</v>
      </c>
      <c r="AB14">
        <v>1</v>
      </c>
      <c r="AI14">
        <v>1</v>
      </c>
      <c r="AJ14">
        <v>0</v>
      </c>
      <c r="AK14">
        <v>0</v>
      </c>
      <c r="AL14">
        <v>101</v>
      </c>
    </row>
    <row r="15" spans="1:40" x14ac:dyDescent="0.25">
      <c r="A15">
        <v>20608997106</v>
      </c>
      <c r="B15" t="s">
        <v>115</v>
      </c>
      <c r="C15">
        <v>202606</v>
      </c>
      <c r="D15" t="s">
        <v>165</v>
      </c>
      <c r="E15" s="99">
        <v>46189</v>
      </c>
      <c r="G15">
        <v>3</v>
      </c>
      <c r="H15" t="s">
        <v>141</v>
      </c>
      <c r="I15">
        <v>3677</v>
      </c>
      <c r="K15" t="s">
        <v>142</v>
      </c>
      <c r="L15" t="s">
        <v>142</v>
      </c>
      <c r="M15" t="s">
        <v>166</v>
      </c>
      <c r="N15">
        <v>0</v>
      </c>
      <c r="O15">
        <v>76.27</v>
      </c>
      <c r="P15">
        <v>0</v>
      </c>
      <c r="Q15">
        <v>13.73</v>
      </c>
      <c r="R15">
        <v>0</v>
      </c>
      <c r="S15">
        <v>0</v>
      </c>
      <c r="T15">
        <v>0</v>
      </c>
      <c r="U15">
        <v>0</v>
      </c>
      <c r="V15">
        <v>0</v>
      </c>
      <c r="W15">
        <v>0</v>
      </c>
      <c r="X15">
        <v>0</v>
      </c>
      <c r="Y15">
        <v>0</v>
      </c>
      <c r="Z15">
        <v>90</v>
      </c>
      <c r="AA15" t="s">
        <v>116</v>
      </c>
      <c r="AB15">
        <v>1</v>
      </c>
      <c r="AI15">
        <v>1</v>
      </c>
      <c r="AJ15">
        <v>0</v>
      </c>
      <c r="AK15">
        <v>0</v>
      </c>
      <c r="AL15">
        <v>101</v>
      </c>
    </row>
    <row r="16" spans="1:40" x14ac:dyDescent="0.25">
      <c r="A16">
        <v>20608997106</v>
      </c>
      <c r="B16" t="s">
        <v>115</v>
      </c>
      <c r="C16">
        <v>202606</v>
      </c>
      <c r="D16" t="s">
        <v>167</v>
      </c>
      <c r="E16" s="99">
        <v>46189</v>
      </c>
      <c r="G16">
        <v>3</v>
      </c>
      <c r="H16" t="s">
        <v>141</v>
      </c>
      <c r="I16">
        <v>3678</v>
      </c>
      <c r="K16" t="s">
        <v>142</v>
      </c>
      <c r="L16" t="s">
        <v>142</v>
      </c>
      <c r="M16" t="s">
        <v>168</v>
      </c>
      <c r="N16">
        <v>0</v>
      </c>
      <c r="O16">
        <v>114.41</v>
      </c>
      <c r="P16">
        <v>0</v>
      </c>
      <c r="Q16">
        <v>20.59</v>
      </c>
      <c r="R16">
        <v>0</v>
      </c>
      <c r="S16">
        <v>0</v>
      </c>
      <c r="T16">
        <v>0</v>
      </c>
      <c r="U16">
        <v>0</v>
      </c>
      <c r="V16">
        <v>0</v>
      </c>
      <c r="W16">
        <v>0</v>
      </c>
      <c r="X16">
        <v>0</v>
      </c>
      <c r="Y16">
        <v>0</v>
      </c>
      <c r="Z16">
        <v>135</v>
      </c>
      <c r="AA16" t="s">
        <v>116</v>
      </c>
      <c r="AB16">
        <v>1</v>
      </c>
      <c r="AI16">
        <v>1</v>
      </c>
      <c r="AJ16">
        <v>0</v>
      </c>
      <c r="AK16">
        <v>0</v>
      </c>
      <c r="AL16">
        <v>101</v>
      </c>
    </row>
    <row r="17" spans="1:38" x14ac:dyDescent="0.25">
      <c r="A17">
        <v>20608997106</v>
      </c>
      <c r="B17" t="s">
        <v>115</v>
      </c>
      <c r="C17">
        <v>202606</v>
      </c>
      <c r="D17" t="s">
        <v>169</v>
      </c>
      <c r="E17" s="99">
        <v>46189</v>
      </c>
      <c r="G17">
        <v>3</v>
      </c>
      <c r="H17" t="s">
        <v>141</v>
      </c>
      <c r="I17">
        <v>3679</v>
      </c>
      <c r="K17" t="s">
        <v>142</v>
      </c>
      <c r="L17" t="s">
        <v>142</v>
      </c>
      <c r="M17" t="s">
        <v>170</v>
      </c>
      <c r="N17">
        <v>0</v>
      </c>
      <c r="O17">
        <v>42.37</v>
      </c>
      <c r="P17">
        <v>0</v>
      </c>
      <c r="Q17">
        <v>7.63</v>
      </c>
      <c r="R17">
        <v>0</v>
      </c>
      <c r="S17">
        <v>0</v>
      </c>
      <c r="T17">
        <v>0</v>
      </c>
      <c r="U17">
        <v>0</v>
      </c>
      <c r="V17">
        <v>0</v>
      </c>
      <c r="W17">
        <v>0</v>
      </c>
      <c r="X17">
        <v>0</v>
      </c>
      <c r="Y17">
        <v>0</v>
      </c>
      <c r="Z17">
        <v>50</v>
      </c>
      <c r="AA17" t="s">
        <v>116</v>
      </c>
      <c r="AB17">
        <v>1</v>
      </c>
      <c r="AI17">
        <v>1</v>
      </c>
      <c r="AJ17">
        <v>0</v>
      </c>
      <c r="AK17">
        <v>0</v>
      </c>
      <c r="AL17">
        <v>101</v>
      </c>
    </row>
    <row r="18" spans="1:38" x14ac:dyDescent="0.25">
      <c r="A18">
        <v>20608997106</v>
      </c>
      <c r="B18" t="s">
        <v>115</v>
      </c>
      <c r="C18">
        <v>202606</v>
      </c>
      <c r="D18" t="s">
        <v>171</v>
      </c>
      <c r="E18" s="99">
        <v>46189</v>
      </c>
      <c r="G18">
        <v>3</v>
      </c>
      <c r="H18" t="s">
        <v>141</v>
      </c>
      <c r="I18">
        <v>3680</v>
      </c>
      <c r="K18" t="s">
        <v>142</v>
      </c>
      <c r="L18" t="s">
        <v>142</v>
      </c>
      <c r="M18" t="s">
        <v>172</v>
      </c>
      <c r="N18">
        <v>0</v>
      </c>
      <c r="O18">
        <v>77.97</v>
      </c>
      <c r="P18">
        <v>0</v>
      </c>
      <c r="Q18">
        <v>14.03</v>
      </c>
      <c r="R18">
        <v>0</v>
      </c>
      <c r="S18">
        <v>0</v>
      </c>
      <c r="T18">
        <v>0</v>
      </c>
      <c r="U18">
        <v>0</v>
      </c>
      <c r="V18">
        <v>0</v>
      </c>
      <c r="W18">
        <v>0</v>
      </c>
      <c r="X18">
        <v>0</v>
      </c>
      <c r="Y18">
        <v>0</v>
      </c>
      <c r="Z18">
        <v>92</v>
      </c>
      <c r="AA18" t="s">
        <v>116</v>
      </c>
      <c r="AB18">
        <v>1</v>
      </c>
      <c r="AI18">
        <v>1</v>
      </c>
      <c r="AJ18">
        <v>0</v>
      </c>
      <c r="AK18">
        <v>0</v>
      </c>
      <c r="AL18">
        <v>101</v>
      </c>
    </row>
    <row r="19" spans="1:38" x14ac:dyDescent="0.25">
      <c r="A19">
        <v>20608997106</v>
      </c>
      <c r="B19" t="s">
        <v>115</v>
      </c>
      <c r="C19">
        <v>202606</v>
      </c>
      <c r="D19" t="s">
        <v>173</v>
      </c>
      <c r="E19" s="99">
        <v>46189</v>
      </c>
      <c r="G19">
        <v>3</v>
      </c>
      <c r="H19" t="s">
        <v>141</v>
      </c>
      <c r="I19">
        <v>3681</v>
      </c>
      <c r="K19" t="s">
        <v>142</v>
      </c>
      <c r="L19" t="s">
        <v>142</v>
      </c>
      <c r="M19">
        <v>41372681</v>
      </c>
      <c r="N19">
        <v>0</v>
      </c>
      <c r="O19">
        <v>364.41</v>
      </c>
      <c r="P19">
        <v>0</v>
      </c>
      <c r="Q19">
        <v>65.59</v>
      </c>
      <c r="R19">
        <v>0</v>
      </c>
      <c r="S19">
        <v>0</v>
      </c>
      <c r="T19">
        <v>0</v>
      </c>
      <c r="U19">
        <v>0</v>
      </c>
      <c r="V19">
        <v>0</v>
      </c>
      <c r="W19">
        <v>0</v>
      </c>
      <c r="X19">
        <v>0</v>
      </c>
      <c r="Y19">
        <v>0</v>
      </c>
      <c r="Z19">
        <v>430</v>
      </c>
      <c r="AA19" t="s">
        <v>116</v>
      </c>
      <c r="AB19">
        <v>1</v>
      </c>
      <c r="AI19">
        <v>1</v>
      </c>
      <c r="AJ19">
        <v>0</v>
      </c>
      <c r="AK19">
        <v>0</v>
      </c>
      <c r="AL19">
        <v>101</v>
      </c>
    </row>
    <row r="20" spans="1:38" x14ac:dyDescent="0.25">
      <c r="A20">
        <v>20608997106</v>
      </c>
      <c r="B20" t="s">
        <v>115</v>
      </c>
      <c r="C20">
        <v>202606</v>
      </c>
      <c r="D20" t="s">
        <v>174</v>
      </c>
      <c r="E20" s="99">
        <v>46189</v>
      </c>
      <c r="G20">
        <v>3</v>
      </c>
      <c r="H20" t="s">
        <v>141</v>
      </c>
      <c r="I20">
        <v>3682</v>
      </c>
      <c r="K20" t="s">
        <v>142</v>
      </c>
      <c r="L20" t="s">
        <v>142</v>
      </c>
      <c r="M20" t="s">
        <v>175</v>
      </c>
      <c r="N20">
        <v>0</v>
      </c>
      <c r="O20">
        <v>42.37</v>
      </c>
      <c r="P20">
        <v>0</v>
      </c>
      <c r="Q20">
        <v>7.63</v>
      </c>
      <c r="R20">
        <v>0</v>
      </c>
      <c r="S20">
        <v>0</v>
      </c>
      <c r="T20">
        <v>0</v>
      </c>
      <c r="U20">
        <v>0</v>
      </c>
      <c r="V20">
        <v>0</v>
      </c>
      <c r="W20">
        <v>0</v>
      </c>
      <c r="X20">
        <v>0</v>
      </c>
      <c r="Y20">
        <v>0</v>
      </c>
      <c r="Z20">
        <v>50</v>
      </c>
      <c r="AA20" t="s">
        <v>116</v>
      </c>
      <c r="AB20">
        <v>1</v>
      </c>
      <c r="AI20">
        <v>1</v>
      </c>
      <c r="AJ20">
        <v>0</v>
      </c>
      <c r="AK20">
        <v>0</v>
      </c>
      <c r="AL20">
        <v>101</v>
      </c>
    </row>
    <row r="21" spans="1:38" x14ac:dyDescent="0.25">
      <c r="A21">
        <v>20608997106</v>
      </c>
      <c r="B21" t="s">
        <v>115</v>
      </c>
      <c r="C21">
        <v>202606</v>
      </c>
      <c r="D21" t="s">
        <v>176</v>
      </c>
      <c r="E21" s="99">
        <v>46189</v>
      </c>
      <c r="G21">
        <v>3</v>
      </c>
      <c r="H21" t="s">
        <v>141</v>
      </c>
      <c r="I21">
        <v>3683</v>
      </c>
      <c r="K21" t="s">
        <v>142</v>
      </c>
      <c r="L21" t="s">
        <v>142</v>
      </c>
      <c r="M21" t="s">
        <v>177</v>
      </c>
      <c r="N21">
        <v>0</v>
      </c>
      <c r="O21">
        <v>43.22</v>
      </c>
      <c r="P21">
        <v>0</v>
      </c>
      <c r="Q21">
        <v>7.78</v>
      </c>
      <c r="R21">
        <v>0</v>
      </c>
      <c r="S21">
        <v>0</v>
      </c>
      <c r="T21">
        <v>0</v>
      </c>
      <c r="U21">
        <v>0</v>
      </c>
      <c r="V21">
        <v>0</v>
      </c>
      <c r="W21">
        <v>0</v>
      </c>
      <c r="X21">
        <v>0</v>
      </c>
      <c r="Y21">
        <v>0</v>
      </c>
      <c r="Z21">
        <v>51</v>
      </c>
      <c r="AA21" t="s">
        <v>116</v>
      </c>
      <c r="AB21">
        <v>1</v>
      </c>
      <c r="AI21">
        <v>1</v>
      </c>
      <c r="AJ21">
        <v>0</v>
      </c>
      <c r="AK21">
        <v>0</v>
      </c>
      <c r="AL21">
        <v>101</v>
      </c>
    </row>
    <row r="22" spans="1:38" x14ac:dyDescent="0.25">
      <c r="A22">
        <v>20608997106</v>
      </c>
      <c r="B22" t="s">
        <v>115</v>
      </c>
      <c r="C22">
        <v>202606</v>
      </c>
      <c r="D22" t="s">
        <v>178</v>
      </c>
      <c r="E22" s="99">
        <v>46189</v>
      </c>
      <c r="G22">
        <v>3</v>
      </c>
      <c r="H22" t="s">
        <v>141</v>
      </c>
      <c r="I22">
        <v>3684</v>
      </c>
      <c r="K22" t="s">
        <v>142</v>
      </c>
      <c r="L22" t="s">
        <v>142</v>
      </c>
      <c r="M22" t="s">
        <v>179</v>
      </c>
      <c r="N22">
        <v>0</v>
      </c>
      <c r="O22">
        <v>81.36</v>
      </c>
      <c r="P22">
        <v>0</v>
      </c>
      <c r="Q22">
        <v>14.64</v>
      </c>
      <c r="R22">
        <v>0</v>
      </c>
      <c r="S22">
        <v>0</v>
      </c>
      <c r="T22">
        <v>0</v>
      </c>
      <c r="U22">
        <v>0</v>
      </c>
      <c r="V22">
        <v>0</v>
      </c>
      <c r="W22">
        <v>0</v>
      </c>
      <c r="X22">
        <v>0</v>
      </c>
      <c r="Y22">
        <v>0</v>
      </c>
      <c r="Z22">
        <v>96</v>
      </c>
      <c r="AA22" t="s">
        <v>116</v>
      </c>
      <c r="AB22">
        <v>1</v>
      </c>
      <c r="AI22">
        <v>1</v>
      </c>
      <c r="AJ22">
        <v>0</v>
      </c>
      <c r="AK22">
        <v>0</v>
      </c>
      <c r="AL22">
        <v>101</v>
      </c>
    </row>
    <row r="23" spans="1:38" x14ac:dyDescent="0.25">
      <c r="A23">
        <v>20608997106</v>
      </c>
      <c r="B23" t="s">
        <v>115</v>
      </c>
      <c r="C23">
        <v>202606</v>
      </c>
      <c r="D23" t="s">
        <v>180</v>
      </c>
      <c r="E23" s="99">
        <v>46190</v>
      </c>
      <c r="G23">
        <v>3</v>
      </c>
      <c r="H23" t="s">
        <v>141</v>
      </c>
      <c r="I23">
        <v>3675</v>
      </c>
      <c r="K23" t="s">
        <v>142</v>
      </c>
      <c r="L23" t="s">
        <v>142</v>
      </c>
      <c r="M23" t="s">
        <v>143</v>
      </c>
      <c r="N23">
        <v>0</v>
      </c>
      <c r="O23">
        <v>44.07</v>
      </c>
      <c r="P23">
        <v>0</v>
      </c>
      <c r="Q23">
        <v>7.93</v>
      </c>
      <c r="R23">
        <v>0</v>
      </c>
      <c r="S23">
        <v>0</v>
      </c>
      <c r="T23">
        <v>0</v>
      </c>
      <c r="U23">
        <v>0</v>
      </c>
      <c r="V23">
        <v>0</v>
      </c>
      <c r="W23">
        <v>0</v>
      </c>
      <c r="X23">
        <v>0</v>
      </c>
      <c r="Y23">
        <v>0</v>
      </c>
      <c r="Z23">
        <v>52</v>
      </c>
      <c r="AA23" t="s">
        <v>116</v>
      </c>
      <c r="AB23">
        <v>1</v>
      </c>
      <c r="AI23">
        <v>1</v>
      </c>
      <c r="AJ23">
        <v>0</v>
      </c>
      <c r="AK23">
        <v>0</v>
      </c>
      <c r="AL23">
        <v>101</v>
      </c>
    </row>
    <row r="24" spans="1:38" x14ac:dyDescent="0.25">
      <c r="A24">
        <v>20608997106</v>
      </c>
      <c r="B24" t="s">
        <v>115</v>
      </c>
      <c r="C24">
        <v>202606</v>
      </c>
      <c r="D24" t="s">
        <v>181</v>
      </c>
      <c r="E24" s="99">
        <v>46190</v>
      </c>
      <c r="G24">
        <v>3</v>
      </c>
      <c r="H24" t="s">
        <v>141</v>
      </c>
      <c r="I24">
        <v>3685</v>
      </c>
      <c r="K24" t="s">
        <v>142</v>
      </c>
      <c r="L24" t="s">
        <v>142</v>
      </c>
      <c r="M24" t="s">
        <v>182</v>
      </c>
      <c r="N24">
        <v>0</v>
      </c>
      <c r="O24">
        <v>43.22</v>
      </c>
      <c r="P24">
        <v>0</v>
      </c>
      <c r="Q24">
        <v>7.78</v>
      </c>
      <c r="R24">
        <v>0</v>
      </c>
      <c r="S24">
        <v>0</v>
      </c>
      <c r="T24">
        <v>0</v>
      </c>
      <c r="U24">
        <v>0</v>
      </c>
      <c r="V24">
        <v>0</v>
      </c>
      <c r="W24">
        <v>0</v>
      </c>
      <c r="X24">
        <v>0</v>
      </c>
      <c r="Y24">
        <v>0</v>
      </c>
      <c r="Z24">
        <v>51</v>
      </c>
      <c r="AA24" t="s">
        <v>116</v>
      </c>
      <c r="AB24">
        <v>1</v>
      </c>
      <c r="AI24">
        <v>1</v>
      </c>
      <c r="AJ24">
        <v>0</v>
      </c>
      <c r="AK24">
        <v>0</v>
      </c>
      <c r="AL24">
        <v>101</v>
      </c>
    </row>
    <row r="25" spans="1:38" x14ac:dyDescent="0.25">
      <c r="A25">
        <v>20608997106</v>
      </c>
      <c r="B25" t="s">
        <v>115</v>
      </c>
      <c r="C25">
        <v>202606</v>
      </c>
      <c r="D25" t="s">
        <v>183</v>
      </c>
      <c r="E25" s="99">
        <v>46190</v>
      </c>
      <c r="G25">
        <v>3</v>
      </c>
      <c r="H25" t="s">
        <v>141</v>
      </c>
      <c r="I25">
        <v>3686</v>
      </c>
      <c r="K25" t="s">
        <v>142</v>
      </c>
      <c r="L25" t="s">
        <v>142</v>
      </c>
      <c r="M25" t="s">
        <v>184</v>
      </c>
      <c r="N25">
        <v>0</v>
      </c>
      <c r="O25">
        <v>79.66</v>
      </c>
      <c r="P25">
        <v>0</v>
      </c>
      <c r="Q25">
        <v>14.34</v>
      </c>
      <c r="R25">
        <v>0</v>
      </c>
      <c r="S25">
        <v>0</v>
      </c>
      <c r="T25">
        <v>0</v>
      </c>
      <c r="U25">
        <v>0</v>
      </c>
      <c r="V25">
        <v>0</v>
      </c>
      <c r="W25">
        <v>0</v>
      </c>
      <c r="X25">
        <v>0</v>
      </c>
      <c r="Y25">
        <v>0</v>
      </c>
      <c r="Z25">
        <v>94</v>
      </c>
      <c r="AA25" t="s">
        <v>116</v>
      </c>
      <c r="AB25">
        <v>1</v>
      </c>
      <c r="AI25">
        <v>1</v>
      </c>
      <c r="AJ25">
        <v>0</v>
      </c>
      <c r="AK25">
        <v>0</v>
      </c>
      <c r="AL25">
        <v>101</v>
      </c>
    </row>
    <row r="26" spans="1:38" x14ac:dyDescent="0.25">
      <c r="A26">
        <v>20608997106</v>
      </c>
      <c r="B26" t="s">
        <v>115</v>
      </c>
      <c r="C26">
        <v>202606</v>
      </c>
      <c r="D26" t="s">
        <v>185</v>
      </c>
      <c r="E26" s="99">
        <v>46190</v>
      </c>
      <c r="G26">
        <v>3</v>
      </c>
      <c r="H26" t="s">
        <v>141</v>
      </c>
      <c r="I26">
        <v>3687</v>
      </c>
      <c r="K26" t="s">
        <v>142</v>
      </c>
      <c r="L26" t="s">
        <v>142</v>
      </c>
      <c r="M26" t="s">
        <v>186</v>
      </c>
      <c r="N26">
        <v>0</v>
      </c>
      <c r="O26">
        <v>114.41</v>
      </c>
      <c r="P26">
        <v>0</v>
      </c>
      <c r="Q26">
        <v>20.59</v>
      </c>
      <c r="R26">
        <v>0</v>
      </c>
      <c r="S26">
        <v>0</v>
      </c>
      <c r="T26">
        <v>0</v>
      </c>
      <c r="U26">
        <v>0</v>
      </c>
      <c r="V26">
        <v>0</v>
      </c>
      <c r="W26">
        <v>0</v>
      </c>
      <c r="X26">
        <v>0</v>
      </c>
      <c r="Y26">
        <v>0</v>
      </c>
      <c r="Z26">
        <v>135</v>
      </c>
      <c r="AA26" t="s">
        <v>116</v>
      </c>
      <c r="AB26">
        <v>1</v>
      </c>
      <c r="AI26">
        <v>1</v>
      </c>
      <c r="AJ26">
        <v>0</v>
      </c>
      <c r="AK26">
        <v>0</v>
      </c>
      <c r="AL26">
        <v>101</v>
      </c>
    </row>
    <row r="27" spans="1:38" x14ac:dyDescent="0.25">
      <c r="A27">
        <v>20608997106</v>
      </c>
      <c r="B27" t="s">
        <v>115</v>
      </c>
      <c r="C27">
        <v>202606</v>
      </c>
      <c r="D27" t="s">
        <v>187</v>
      </c>
      <c r="E27" s="99">
        <v>46190</v>
      </c>
      <c r="G27">
        <v>3</v>
      </c>
      <c r="H27" t="s">
        <v>141</v>
      </c>
      <c r="I27">
        <v>3688</v>
      </c>
      <c r="K27" t="s">
        <v>142</v>
      </c>
      <c r="L27" t="s">
        <v>142</v>
      </c>
      <c r="M27" t="s">
        <v>188</v>
      </c>
      <c r="N27">
        <v>0</v>
      </c>
      <c r="O27">
        <v>42.37</v>
      </c>
      <c r="P27">
        <v>0</v>
      </c>
      <c r="Q27">
        <v>7.63</v>
      </c>
      <c r="R27">
        <v>0</v>
      </c>
      <c r="S27">
        <v>0</v>
      </c>
      <c r="T27">
        <v>0</v>
      </c>
      <c r="U27">
        <v>0</v>
      </c>
      <c r="V27">
        <v>0</v>
      </c>
      <c r="W27">
        <v>0</v>
      </c>
      <c r="X27">
        <v>0</v>
      </c>
      <c r="Y27">
        <v>0</v>
      </c>
      <c r="Z27">
        <v>50</v>
      </c>
      <c r="AA27" t="s">
        <v>116</v>
      </c>
      <c r="AB27">
        <v>1</v>
      </c>
      <c r="AI27">
        <v>1</v>
      </c>
      <c r="AJ27">
        <v>0</v>
      </c>
      <c r="AK27">
        <v>0</v>
      </c>
      <c r="AL27">
        <v>101</v>
      </c>
    </row>
    <row r="28" spans="1:38" x14ac:dyDescent="0.25">
      <c r="A28">
        <v>20608997106</v>
      </c>
      <c r="B28" t="s">
        <v>115</v>
      </c>
      <c r="C28">
        <v>202606</v>
      </c>
      <c r="D28" t="s">
        <v>189</v>
      </c>
      <c r="E28" s="99">
        <v>46190</v>
      </c>
      <c r="G28">
        <v>3</v>
      </c>
      <c r="H28" t="s">
        <v>141</v>
      </c>
      <c r="I28">
        <v>3689</v>
      </c>
      <c r="K28" t="s">
        <v>142</v>
      </c>
      <c r="L28" t="s">
        <v>142</v>
      </c>
      <c r="M28" t="s">
        <v>190</v>
      </c>
      <c r="N28">
        <v>0</v>
      </c>
      <c r="O28">
        <v>186.44</v>
      </c>
      <c r="P28">
        <v>0</v>
      </c>
      <c r="Q28">
        <v>33.56</v>
      </c>
      <c r="R28">
        <v>0</v>
      </c>
      <c r="S28">
        <v>0</v>
      </c>
      <c r="T28">
        <v>0</v>
      </c>
      <c r="U28">
        <v>0</v>
      </c>
      <c r="V28">
        <v>0</v>
      </c>
      <c r="W28">
        <v>0</v>
      </c>
      <c r="X28">
        <v>0</v>
      </c>
      <c r="Y28">
        <v>0</v>
      </c>
      <c r="Z28">
        <v>220</v>
      </c>
      <c r="AA28" t="s">
        <v>116</v>
      </c>
      <c r="AB28">
        <v>1</v>
      </c>
      <c r="AI28">
        <v>1</v>
      </c>
      <c r="AJ28">
        <v>0</v>
      </c>
      <c r="AK28">
        <v>0</v>
      </c>
      <c r="AL28">
        <v>101</v>
      </c>
    </row>
    <row r="29" spans="1:38" x14ac:dyDescent="0.25">
      <c r="A29">
        <v>20608997106</v>
      </c>
      <c r="B29" t="s">
        <v>115</v>
      </c>
      <c r="C29">
        <v>202606</v>
      </c>
      <c r="D29" t="s">
        <v>191</v>
      </c>
      <c r="E29" s="99">
        <v>46190</v>
      </c>
      <c r="G29">
        <v>3</v>
      </c>
      <c r="H29" t="s">
        <v>141</v>
      </c>
      <c r="I29">
        <v>3690</v>
      </c>
      <c r="K29" t="s">
        <v>142</v>
      </c>
      <c r="L29" t="s">
        <v>142</v>
      </c>
      <c r="M29" t="s">
        <v>192</v>
      </c>
      <c r="N29">
        <v>0</v>
      </c>
      <c r="O29">
        <v>43.22</v>
      </c>
      <c r="P29">
        <v>0</v>
      </c>
      <c r="Q29">
        <v>7.78</v>
      </c>
      <c r="R29">
        <v>0</v>
      </c>
      <c r="S29">
        <v>0</v>
      </c>
      <c r="T29">
        <v>0</v>
      </c>
      <c r="U29">
        <v>0</v>
      </c>
      <c r="V29">
        <v>0</v>
      </c>
      <c r="W29">
        <v>0</v>
      </c>
      <c r="X29">
        <v>0</v>
      </c>
      <c r="Y29">
        <v>0</v>
      </c>
      <c r="Z29">
        <v>51</v>
      </c>
      <c r="AA29" t="s">
        <v>116</v>
      </c>
      <c r="AB29">
        <v>1</v>
      </c>
      <c r="AI29">
        <v>1</v>
      </c>
      <c r="AJ29">
        <v>0</v>
      </c>
      <c r="AK29">
        <v>0</v>
      </c>
      <c r="AL29">
        <v>101</v>
      </c>
    </row>
    <row r="30" spans="1:38" x14ac:dyDescent="0.25">
      <c r="A30">
        <v>20608997106</v>
      </c>
      <c r="B30" t="s">
        <v>115</v>
      </c>
      <c r="C30">
        <v>202606</v>
      </c>
      <c r="D30" t="s">
        <v>193</v>
      </c>
      <c r="E30" s="99">
        <v>46190</v>
      </c>
      <c r="G30">
        <v>3</v>
      </c>
      <c r="H30" t="s">
        <v>141</v>
      </c>
      <c r="I30">
        <v>3691</v>
      </c>
      <c r="K30" t="s">
        <v>142</v>
      </c>
      <c r="L30" t="s">
        <v>142</v>
      </c>
      <c r="M30" t="s">
        <v>194</v>
      </c>
      <c r="N30">
        <v>0</v>
      </c>
      <c r="O30">
        <v>152.54</v>
      </c>
      <c r="P30">
        <v>0</v>
      </c>
      <c r="Q30">
        <v>27.46</v>
      </c>
      <c r="R30">
        <v>0</v>
      </c>
      <c r="S30">
        <v>0</v>
      </c>
      <c r="T30">
        <v>0</v>
      </c>
      <c r="U30">
        <v>0</v>
      </c>
      <c r="V30">
        <v>0</v>
      </c>
      <c r="W30">
        <v>0</v>
      </c>
      <c r="X30">
        <v>0</v>
      </c>
      <c r="Y30">
        <v>0</v>
      </c>
      <c r="Z30">
        <v>180</v>
      </c>
      <c r="AA30" t="s">
        <v>116</v>
      </c>
      <c r="AB30">
        <v>1</v>
      </c>
      <c r="AI30">
        <v>1</v>
      </c>
      <c r="AJ30">
        <v>0</v>
      </c>
      <c r="AK30">
        <v>0</v>
      </c>
      <c r="AL30">
        <v>101</v>
      </c>
    </row>
    <row r="31" spans="1:38" x14ac:dyDescent="0.25">
      <c r="A31">
        <v>20608997106</v>
      </c>
      <c r="B31" t="s">
        <v>115</v>
      </c>
      <c r="C31">
        <v>202606</v>
      </c>
      <c r="D31" t="s">
        <v>195</v>
      </c>
      <c r="E31" s="99">
        <v>46190</v>
      </c>
      <c r="G31">
        <v>3</v>
      </c>
      <c r="H31" t="s">
        <v>141</v>
      </c>
      <c r="I31">
        <v>3692</v>
      </c>
      <c r="K31" t="s">
        <v>142</v>
      </c>
      <c r="L31" t="s">
        <v>142</v>
      </c>
      <c r="M31" t="s">
        <v>196</v>
      </c>
      <c r="N31">
        <v>0</v>
      </c>
      <c r="O31">
        <v>79.66</v>
      </c>
      <c r="P31">
        <v>0</v>
      </c>
      <c r="Q31">
        <v>14.34</v>
      </c>
      <c r="R31">
        <v>0</v>
      </c>
      <c r="S31">
        <v>0</v>
      </c>
      <c r="T31">
        <v>0</v>
      </c>
      <c r="U31">
        <v>0</v>
      </c>
      <c r="V31">
        <v>0</v>
      </c>
      <c r="W31">
        <v>0</v>
      </c>
      <c r="X31">
        <v>0</v>
      </c>
      <c r="Y31">
        <v>0</v>
      </c>
      <c r="Z31">
        <v>94</v>
      </c>
      <c r="AA31" t="s">
        <v>116</v>
      </c>
      <c r="AB31">
        <v>1</v>
      </c>
      <c r="AI31">
        <v>1</v>
      </c>
      <c r="AJ31">
        <v>0</v>
      </c>
      <c r="AK31">
        <v>0</v>
      </c>
      <c r="AL31">
        <v>101</v>
      </c>
    </row>
    <row r="32" spans="1:38" x14ac:dyDescent="0.25">
      <c r="A32">
        <v>20608997106</v>
      </c>
      <c r="B32" t="s">
        <v>115</v>
      </c>
      <c r="C32">
        <v>202606</v>
      </c>
      <c r="D32" t="s">
        <v>197</v>
      </c>
      <c r="E32" s="99">
        <v>46190</v>
      </c>
      <c r="G32">
        <v>3</v>
      </c>
      <c r="H32" t="s">
        <v>141</v>
      </c>
      <c r="I32">
        <v>3693</v>
      </c>
      <c r="K32" t="s">
        <v>142</v>
      </c>
      <c r="L32" t="s">
        <v>142</v>
      </c>
      <c r="M32" t="s">
        <v>198</v>
      </c>
      <c r="N32">
        <v>0</v>
      </c>
      <c r="O32">
        <v>43.22</v>
      </c>
      <c r="P32">
        <v>0</v>
      </c>
      <c r="Q32">
        <v>7.78</v>
      </c>
      <c r="R32">
        <v>0</v>
      </c>
      <c r="S32">
        <v>0</v>
      </c>
      <c r="T32">
        <v>0</v>
      </c>
      <c r="U32">
        <v>0</v>
      </c>
      <c r="V32">
        <v>0</v>
      </c>
      <c r="W32">
        <v>0</v>
      </c>
      <c r="X32">
        <v>0</v>
      </c>
      <c r="Y32">
        <v>0</v>
      </c>
      <c r="Z32">
        <v>51</v>
      </c>
      <c r="AA32" t="s">
        <v>116</v>
      </c>
      <c r="AB32">
        <v>1</v>
      </c>
      <c r="AI32">
        <v>1</v>
      </c>
      <c r="AJ32">
        <v>0</v>
      </c>
      <c r="AK32">
        <v>0</v>
      </c>
      <c r="AL32">
        <v>101</v>
      </c>
    </row>
    <row r="33" spans="1:38" x14ac:dyDescent="0.25">
      <c r="A33">
        <v>20608997106</v>
      </c>
      <c r="B33" t="s">
        <v>115</v>
      </c>
      <c r="C33">
        <v>202606</v>
      </c>
      <c r="D33" t="s">
        <v>199</v>
      </c>
      <c r="E33" s="99">
        <v>46190</v>
      </c>
      <c r="G33">
        <v>3</v>
      </c>
      <c r="H33" t="s">
        <v>141</v>
      </c>
      <c r="I33">
        <v>3694</v>
      </c>
      <c r="K33" t="s">
        <v>142</v>
      </c>
      <c r="L33" t="s">
        <v>142</v>
      </c>
      <c r="M33" t="s">
        <v>200</v>
      </c>
      <c r="N33">
        <v>0</v>
      </c>
      <c r="O33">
        <v>83.05</v>
      </c>
      <c r="P33">
        <v>0</v>
      </c>
      <c r="Q33">
        <v>14.95</v>
      </c>
      <c r="R33">
        <v>0</v>
      </c>
      <c r="S33">
        <v>0</v>
      </c>
      <c r="T33">
        <v>0</v>
      </c>
      <c r="U33">
        <v>0</v>
      </c>
      <c r="V33">
        <v>0</v>
      </c>
      <c r="W33">
        <v>0</v>
      </c>
      <c r="X33">
        <v>0</v>
      </c>
      <c r="Y33">
        <v>0</v>
      </c>
      <c r="Z33">
        <v>98</v>
      </c>
      <c r="AA33" t="s">
        <v>116</v>
      </c>
      <c r="AB33">
        <v>1</v>
      </c>
      <c r="AI33">
        <v>1</v>
      </c>
      <c r="AJ33">
        <v>0</v>
      </c>
      <c r="AK33">
        <v>0</v>
      </c>
      <c r="AL33">
        <v>101</v>
      </c>
    </row>
    <row r="34" spans="1:38" x14ac:dyDescent="0.25">
      <c r="A34">
        <v>20608997106</v>
      </c>
      <c r="B34" t="s">
        <v>115</v>
      </c>
      <c r="C34">
        <v>202606</v>
      </c>
      <c r="D34" t="s">
        <v>201</v>
      </c>
      <c r="E34" s="99">
        <v>46190</v>
      </c>
      <c r="G34">
        <v>3</v>
      </c>
      <c r="H34" t="s">
        <v>141</v>
      </c>
      <c r="I34">
        <v>3695</v>
      </c>
      <c r="K34" t="s">
        <v>142</v>
      </c>
      <c r="L34" t="s">
        <v>142</v>
      </c>
      <c r="M34" t="s">
        <v>202</v>
      </c>
      <c r="N34">
        <v>0</v>
      </c>
      <c r="O34">
        <v>114.41</v>
      </c>
      <c r="P34">
        <v>0</v>
      </c>
      <c r="Q34">
        <v>20.59</v>
      </c>
      <c r="R34">
        <v>0</v>
      </c>
      <c r="S34">
        <v>0</v>
      </c>
      <c r="T34">
        <v>0</v>
      </c>
      <c r="U34">
        <v>0</v>
      </c>
      <c r="V34">
        <v>0</v>
      </c>
      <c r="W34">
        <v>0</v>
      </c>
      <c r="X34">
        <v>0</v>
      </c>
      <c r="Y34">
        <v>0</v>
      </c>
      <c r="Z34">
        <v>135</v>
      </c>
      <c r="AA34" t="s">
        <v>116</v>
      </c>
      <c r="AB34">
        <v>1</v>
      </c>
      <c r="AI34">
        <v>1</v>
      </c>
      <c r="AJ34">
        <v>0</v>
      </c>
      <c r="AK34">
        <v>0</v>
      </c>
      <c r="AL34">
        <v>101</v>
      </c>
    </row>
    <row r="35" spans="1:38" x14ac:dyDescent="0.25">
      <c r="A35">
        <v>20608997106</v>
      </c>
      <c r="B35" t="s">
        <v>115</v>
      </c>
      <c r="C35">
        <v>202606</v>
      </c>
      <c r="D35" t="s">
        <v>203</v>
      </c>
      <c r="E35" s="99">
        <v>46190</v>
      </c>
      <c r="G35">
        <v>3</v>
      </c>
      <c r="H35" t="s">
        <v>141</v>
      </c>
      <c r="I35">
        <v>3696</v>
      </c>
      <c r="K35" t="s">
        <v>142</v>
      </c>
      <c r="L35" t="s">
        <v>142</v>
      </c>
      <c r="M35" t="s">
        <v>204</v>
      </c>
      <c r="N35">
        <v>0</v>
      </c>
      <c r="O35">
        <v>145.76</v>
      </c>
      <c r="P35">
        <v>0</v>
      </c>
      <c r="Q35">
        <v>26.24</v>
      </c>
      <c r="R35">
        <v>0</v>
      </c>
      <c r="S35">
        <v>0</v>
      </c>
      <c r="T35">
        <v>0</v>
      </c>
      <c r="U35">
        <v>0</v>
      </c>
      <c r="V35">
        <v>0</v>
      </c>
      <c r="W35">
        <v>0</v>
      </c>
      <c r="X35">
        <v>0</v>
      </c>
      <c r="Y35">
        <v>0</v>
      </c>
      <c r="Z35">
        <v>172</v>
      </c>
      <c r="AA35" t="s">
        <v>116</v>
      </c>
      <c r="AB35">
        <v>1</v>
      </c>
      <c r="AI35">
        <v>1</v>
      </c>
      <c r="AJ35">
        <v>0</v>
      </c>
      <c r="AK35">
        <v>0</v>
      </c>
      <c r="AL35">
        <v>101</v>
      </c>
    </row>
    <row r="36" spans="1:38" x14ac:dyDescent="0.25">
      <c r="A36">
        <v>20608997106</v>
      </c>
      <c r="B36" t="s">
        <v>115</v>
      </c>
      <c r="C36">
        <v>202606</v>
      </c>
      <c r="D36" t="s">
        <v>205</v>
      </c>
      <c r="E36" s="99">
        <v>46190</v>
      </c>
      <c r="G36">
        <v>3</v>
      </c>
      <c r="H36" t="s">
        <v>141</v>
      </c>
      <c r="I36">
        <v>3697</v>
      </c>
      <c r="K36" t="s">
        <v>142</v>
      </c>
      <c r="L36" t="s">
        <v>142</v>
      </c>
      <c r="M36" t="s">
        <v>206</v>
      </c>
      <c r="N36">
        <v>0</v>
      </c>
      <c r="O36">
        <v>43.22</v>
      </c>
      <c r="P36">
        <v>0</v>
      </c>
      <c r="Q36">
        <v>7.78</v>
      </c>
      <c r="R36">
        <v>0</v>
      </c>
      <c r="S36">
        <v>0</v>
      </c>
      <c r="T36">
        <v>0</v>
      </c>
      <c r="U36">
        <v>0</v>
      </c>
      <c r="V36">
        <v>0</v>
      </c>
      <c r="W36">
        <v>0</v>
      </c>
      <c r="X36">
        <v>0</v>
      </c>
      <c r="Y36">
        <v>0</v>
      </c>
      <c r="Z36">
        <v>51</v>
      </c>
      <c r="AA36" t="s">
        <v>116</v>
      </c>
      <c r="AB36">
        <v>1</v>
      </c>
      <c r="AI36">
        <v>1</v>
      </c>
      <c r="AJ36">
        <v>0</v>
      </c>
      <c r="AK36">
        <v>0</v>
      </c>
      <c r="AL36">
        <v>101</v>
      </c>
    </row>
    <row r="37" spans="1:38" x14ac:dyDescent="0.25">
      <c r="A37">
        <v>20608997106</v>
      </c>
      <c r="B37" t="s">
        <v>115</v>
      </c>
      <c r="C37">
        <v>202606</v>
      </c>
      <c r="D37" t="s">
        <v>207</v>
      </c>
      <c r="E37" s="99">
        <v>46190</v>
      </c>
      <c r="G37">
        <v>3</v>
      </c>
      <c r="H37" t="s">
        <v>141</v>
      </c>
      <c r="I37">
        <v>3698</v>
      </c>
      <c r="K37" t="s">
        <v>142</v>
      </c>
      <c r="L37" t="s">
        <v>142</v>
      </c>
      <c r="M37" t="s">
        <v>208</v>
      </c>
      <c r="N37">
        <v>0</v>
      </c>
      <c r="O37">
        <v>81.36</v>
      </c>
      <c r="P37">
        <v>0</v>
      </c>
      <c r="Q37">
        <v>14.64</v>
      </c>
      <c r="R37">
        <v>0</v>
      </c>
      <c r="S37">
        <v>0</v>
      </c>
      <c r="T37">
        <v>0</v>
      </c>
      <c r="U37">
        <v>0</v>
      </c>
      <c r="V37">
        <v>0</v>
      </c>
      <c r="W37">
        <v>0</v>
      </c>
      <c r="X37">
        <v>0</v>
      </c>
      <c r="Y37">
        <v>0</v>
      </c>
      <c r="Z37">
        <v>96</v>
      </c>
      <c r="AA37" t="s">
        <v>116</v>
      </c>
      <c r="AB37">
        <v>1</v>
      </c>
      <c r="AI37">
        <v>1</v>
      </c>
      <c r="AJ37">
        <v>0</v>
      </c>
      <c r="AK37">
        <v>0</v>
      </c>
      <c r="AL37">
        <v>101</v>
      </c>
    </row>
    <row r="38" spans="1:38" x14ac:dyDescent="0.25">
      <c r="A38">
        <v>20608997106</v>
      </c>
      <c r="B38" t="s">
        <v>115</v>
      </c>
      <c r="C38">
        <v>202606</v>
      </c>
      <c r="D38" t="s">
        <v>209</v>
      </c>
      <c r="E38" s="99">
        <v>46190</v>
      </c>
      <c r="G38">
        <v>3</v>
      </c>
      <c r="H38" t="s">
        <v>141</v>
      </c>
      <c r="I38">
        <v>3699</v>
      </c>
      <c r="K38" t="s">
        <v>142</v>
      </c>
      <c r="L38" t="s">
        <v>142</v>
      </c>
      <c r="M38" t="s">
        <v>210</v>
      </c>
      <c r="N38">
        <v>0</v>
      </c>
      <c r="O38">
        <v>114.41</v>
      </c>
      <c r="P38">
        <v>0</v>
      </c>
      <c r="Q38">
        <v>20.59</v>
      </c>
      <c r="R38">
        <v>0</v>
      </c>
      <c r="S38">
        <v>0</v>
      </c>
      <c r="T38">
        <v>0</v>
      </c>
      <c r="U38">
        <v>0</v>
      </c>
      <c r="V38">
        <v>0</v>
      </c>
      <c r="W38">
        <v>0</v>
      </c>
      <c r="X38">
        <v>0</v>
      </c>
      <c r="Y38">
        <v>0</v>
      </c>
      <c r="Z38">
        <v>135</v>
      </c>
      <c r="AA38" t="s">
        <v>116</v>
      </c>
      <c r="AB38">
        <v>1</v>
      </c>
      <c r="AI38">
        <v>1</v>
      </c>
      <c r="AJ38">
        <v>0</v>
      </c>
      <c r="AK38">
        <v>0</v>
      </c>
      <c r="AL38">
        <v>101</v>
      </c>
    </row>
    <row r="39" spans="1:38" x14ac:dyDescent="0.25">
      <c r="A39">
        <v>20608997106</v>
      </c>
      <c r="B39" t="s">
        <v>115</v>
      </c>
      <c r="C39">
        <v>202606</v>
      </c>
      <c r="D39" t="s">
        <v>211</v>
      </c>
      <c r="E39" s="99">
        <v>46190</v>
      </c>
      <c r="G39">
        <v>3</v>
      </c>
      <c r="H39" t="s">
        <v>141</v>
      </c>
      <c r="I39">
        <v>3700</v>
      </c>
      <c r="K39" t="s">
        <v>142</v>
      </c>
      <c r="L39" t="s">
        <v>142</v>
      </c>
      <c r="M39" t="s">
        <v>212</v>
      </c>
      <c r="N39">
        <v>0</v>
      </c>
      <c r="O39">
        <v>42.37</v>
      </c>
      <c r="P39">
        <v>0</v>
      </c>
      <c r="Q39">
        <v>7.63</v>
      </c>
      <c r="R39">
        <v>0</v>
      </c>
      <c r="S39">
        <v>0</v>
      </c>
      <c r="T39">
        <v>0</v>
      </c>
      <c r="U39">
        <v>0</v>
      </c>
      <c r="V39">
        <v>0</v>
      </c>
      <c r="W39">
        <v>0</v>
      </c>
      <c r="X39">
        <v>0</v>
      </c>
      <c r="Y39">
        <v>0</v>
      </c>
      <c r="Z39">
        <v>50</v>
      </c>
      <c r="AA39" t="s">
        <v>116</v>
      </c>
      <c r="AB39">
        <v>1</v>
      </c>
      <c r="AI39">
        <v>1</v>
      </c>
      <c r="AJ39">
        <v>0</v>
      </c>
      <c r="AK39">
        <v>0</v>
      </c>
      <c r="AL39">
        <v>101</v>
      </c>
    </row>
    <row r="40" spans="1:38" x14ac:dyDescent="0.25">
      <c r="A40">
        <v>20608997106</v>
      </c>
      <c r="B40" t="s">
        <v>115</v>
      </c>
      <c r="C40">
        <v>202606</v>
      </c>
      <c r="D40" t="s">
        <v>213</v>
      </c>
      <c r="E40" s="99">
        <v>46190</v>
      </c>
      <c r="G40">
        <v>3</v>
      </c>
      <c r="H40" t="s">
        <v>141</v>
      </c>
      <c r="I40">
        <v>3701</v>
      </c>
      <c r="K40" t="s">
        <v>142</v>
      </c>
      <c r="L40" t="s">
        <v>142</v>
      </c>
      <c r="M40" t="s">
        <v>214</v>
      </c>
      <c r="N40">
        <v>0</v>
      </c>
      <c r="O40">
        <v>186.44</v>
      </c>
      <c r="P40">
        <v>0</v>
      </c>
      <c r="Q40">
        <v>33.56</v>
      </c>
      <c r="R40">
        <v>0</v>
      </c>
      <c r="S40">
        <v>0</v>
      </c>
      <c r="T40">
        <v>0</v>
      </c>
      <c r="U40">
        <v>0</v>
      </c>
      <c r="V40">
        <v>0</v>
      </c>
      <c r="W40">
        <v>0</v>
      </c>
      <c r="X40">
        <v>0</v>
      </c>
      <c r="Y40">
        <v>0</v>
      </c>
      <c r="Z40">
        <v>220</v>
      </c>
      <c r="AA40" t="s">
        <v>116</v>
      </c>
      <c r="AB40">
        <v>1</v>
      </c>
      <c r="AI40">
        <v>1</v>
      </c>
      <c r="AJ40">
        <v>0</v>
      </c>
      <c r="AK40">
        <v>0</v>
      </c>
      <c r="AL40">
        <v>101</v>
      </c>
    </row>
    <row r="41" spans="1:38" x14ac:dyDescent="0.25">
      <c r="A41">
        <v>20608997106</v>
      </c>
      <c r="B41" t="s">
        <v>115</v>
      </c>
      <c r="C41">
        <v>202606</v>
      </c>
      <c r="D41" t="s">
        <v>215</v>
      </c>
      <c r="E41" s="99">
        <v>46190</v>
      </c>
      <c r="G41">
        <v>3</v>
      </c>
      <c r="H41" t="s">
        <v>141</v>
      </c>
      <c r="I41">
        <v>3702</v>
      </c>
      <c r="K41" t="s">
        <v>142</v>
      </c>
      <c r="L41" t="s">
        <v>142</v>
      </c>
      <c r="M41" t="s">
        <v>216</v>
      </c>
      <c r="N41">
        <v>0</v>
      </c>
      <c r="O41">
        <v>43.22</v>
      </c>
      <c r="P41">
        <v>0</v>
      </c>
      <c r="Q41">
        <v>7.78</v>
      </c>
      <c r="R41">
        <v>0</v>
      </c>
      <c r="S41">
        <v>0</v>
      </c>
      <c r="T41">
        <v>0</v>
      </c>
      <c r="U41">
        <v>0</v>
      </c>
      <c r="V41">
        <v>0</v>
      </c>
      <c r="W41">
        <v>0</v>
      </c>
      <c r="X41">
        <v>0</v>
      </c>
      <c r="Y41">
        <v>0</v>
      </c>
      <c r="Z41">
        <v>51</v>
      </c>
      <c r="AA41" t="s">
        <v>116</v>
      </c>
      <c r="AB41">
        <v>1</v>
      </c>
      <c r="AI41">
        <v>1</v>
      </c>
      <c r="AJ41">
        <v>0</v>
      </c>
      <c r="AK41">
        <v>0</v>
      </c>
      <c r="AL41">
        <v>101</v>
      </c>
    </row>
    <row r="42" spans="1:38" x14ac:dyDescent="0.25">
      <c r="A42">
        <v>20608997106</v>
      </c>
      <c r="B42" t="s">
        <v>115</v>
      </c>
      <c r="C42">
        <v>202606</v>
      </c>
      <c r="D42" t="s">
        <v>217</v>
      </c>
      <c r="E42" s="99">
        <v>46190</v>
      </c>
      <c r="G42">
        <v>3</v>
      </c>
      <c r="H42" t="s">
        <v>141</v>
      </c>
      <c r="I42">
        <v>3703</v>
      </c>
      <c r="K42" t="s">
        <v>142</v>
      </c>
      <c r="L42" t="s">
        <v>142</v>
      </c>
      <c r="M42" t="s">
        <v>218</v>
      </c>
      <c r="N42">
        <v>0</v>
      </c>
      <c r="O42">
        <v>81.36</v>
      </c>
      <c r="P42">
        <v>0</v>
      </c>
      <c r="Q42">
        <v>14.64</v>
      </c>
      <c r="R42">
        <v>0</v>
      </c>
      <c r="S42">
        <v>0</v>
      </c>
      <c r="T42">
        <v>0</v>
      </c>
      <c r="U42">
        <v>0</v>
      </c>
      <c r="V42">
        <v>0</v>
      </c>
      <c r="W42">
        <v>0</v>
      </c>
      <c r="X42">
        <v>0</v>
      </c>
      <c r="Y42">
        <v>0</v>
      </c>
      <c r="Z42">
        <v>96</v>
      </c>
      <c r="AA42" t="s">
        <v>116</v>
      </c>
      <c r="AB42">
        <v>1</v>
      </c>
      <c r="AI42">
        <v>1</v>
      </c>
      <c r="AJ42">
        <v>0</v>
      </c>
      <c r="AK42">
        <v>0</v>
      </c>
      <c r="AL42">
        <v>101</v>
      </c>
    </row>
    <row r="43" spans="1:38" x14ac:dyDescent="0.25">
      <c r="A43">
        <v>20608997106</v>
      </c>
      <c r="B43" t="s">
        <v>115</v>
      </c>
      <c r="C43">
        <v>202606</v>
      </c>
      <c r="D43" t="s">
        <v>219</v>
      </c>
      <c r="E43" s="99">
        <v>46190</v>
      </c>
      <c r="G43">
        <v>3</v>
      </c>
      <c r="H43" t="s">
        <v>141</v>
      </c>
      <c r="I43">
        <v>3704</v>
      </c>
      <c r="K43" t="s">
        <v>142</v>
      </c>
      <c r="L43" t="s">
        <v>142</v>
      </c>
      <c r="M43" t="s">
        <v>220</v>
      </c>
      <c r="N43">
        <v>0</v>
      </c>
      <c r="O43">
        <v>114.41</v>
      </c>
      <c r="P43">
        <v>0</v>
      </c>
      <c r="Q43">
        <v>20.59</v>
      </c>
      <c r="R43">
        <v>0</v>
      </c>
      <c r="S43">
        <v>0</v>
      </c>
      <c r="T43">
        <v>0</v>
      </c>
      <c r="U43">
        <v>0</v>
      </c>
      <c r="V43">
        <v>0</v>
      </c>
      <c r="W43">
        <v>0</v>
      </c>
      <c r="X43">
        <v>0</v>
      </c>
      <c r="Y43">
        <v>0</v>
      </c>
      <c r="Z43">
        <v>135</v>
      </c>
      <c r="AA43" t="s">
        <v>116</v>
      </c>
      <c r="AB43">
        <v>1</v>
      </c>
      <c r="AI43">
        <v>1</v>
      </c>
      <c r="AJ43">
        <v>0</v>
      </c>
      <c r="AK43">
        <v>0</v>
      </c>
      <c r="AL43">
        <v>101</v>
      </c>
    </row>
    <row r="44" spans="1:38" x14ac:dyDescent="0.25">
      <c r="A44">
        <v>20608997106</v>
      </c>
      <c r="B44" t="s">
        <v>115</v>
      </c>
      <c r="C44">
        <v>202606</v>
      </c>
      <c r="D44" t="s">
        <v>221</v>
      </c>
      <c r="E44" s="99">
        <v>46190</v>
      </c>
      <c r="G44">
        <v>3</v>
      </c>
      <c r="H44" t="s">
        <v>141</v>
      </c>
      <c r="I44">
        <v>3705</v>
      </c>
      <c r="K44" t="s">
        <v>142</v>
      </c>
      <c r="L44" t="s">
        <v>142</v>
      </c>
      <c r="M44" t="s">
        <v>222</v>
      </c>
      <c r="N44">
        <v>0</v>
      </c>
      <c r="O44">
        <v>42.37</v>
      </c>
      <c r="P44">
        <v>0</v>
      </c>
      <c r="Q44">
        <v>7.63</v>
      </c>
      <c r="R44">
        <v>0</v>
      </c>
      <c r="S44">
        <v>0</v>
      </c>
      <c r="T44">
        <v>0</v>
      </c>
      <c r="U44">
        <v>0</v>
      </c>
      <c r="V44">
        <v>0</v>
      </c>
      <c r="W44">
        <v>0</v>
      </c>
      <c r="X44">
        <v>0</v>
      </c>
      <c r="Y44">
        <v>0</v>
      </c>
      <c r="Z44">
        <v>50</v>
      </c>
      <c r="AA44" t="s">
        <v>116</v>
      </c>
      <c r="AB44">
        <v>1</v>
      </c>
      <c r="AI44">
        <v>1</v>
      </c>
      <c r="AJ44">
        <v>0</v>
      </c>
      <c r="AK44">
        <v>0</v>
      </c>
      <c r="AL44">
        <v>101</v>
      </c>
    </row>
    <row r="45" spans="1:38" x14ac:dyDescent="0.25">
      <c r="A45">
        <v>20608997106</v>
      </c>
      <c r="B45" t="s">
        <v>115</v>
      </c>
      <c r="C45">
        <v>202606</v>
      </c>
      <c r="D45" t="s">
        <v>223</v>
      </c>
      <c r="E45" s="99">
        <v>46193</v>
      </c>
      <c r="G45">
        <v>3</v>
      </c>
      <c r="H45" t="s">
        <v>141</v>
      </c>
      <c r="I45">
        <v>3706</v>
      </c>
      <c r="K45">
        <v>1</v>
      </c>
      <c r="L45">
        <v>76427279</v>
      </c>
      <c r="M45" t="s">
        <v>224</v>
      </c>
      <c r="N45">
        <v>0</v>
      </c>
      <c r="O45">
        <v>36.44</v>
      </c>
      <c r="P45">
        <v>0</v>
      </c>
      <c r="Q45">
        <v>6.56</v>
      </c>
      <c r="R45">
        <v>0</v>
      </c>
      <c r="S45">
        <v>0</v>
      </c>
      <c r="T45">
        <v>0</v>
      </c>
      <c r="U45">
        <v>0</v>
      </c>
      <c r="V45">
        <v>0</v>
      </c>
      <c r="W45">
        <v>0</v>
      </c>
      <c r="X45">
        <v>0</v>
      </c>
      <c r="Y45">
        <v>0</v>
      </c>
      <c r="Z45">
        <v>43</v>
      </c>
      <c r="AA45" t="s">
        <v>116</v>
      </c>
      <c r="AB45">
        <v>1</v>
      </c>
      <c r="AI45">
        <v>1</v>
      </c>
      <c r="AJ45">
        <v>0</v>
      </c>
      <c r="AK45">
        <v>0</v>
      </c>
      <c r="AL45">
        <v>101</v>
      </c>
    </row>
    <row r="46" spans="1:38" x14ac:dyDescent="0.25">
      <c r="A46">
        <v>20608997106</v>
      </c>
      <c r="B46" t="s">
        <v>115</v>
      </c>
      <c r="C46">
        <v>202606</v>
      </c>
      <c r="D46" t="s">
        <v>225</v>
      </c>
      <c r="E46" s="99">
        <v>46193</v>
      </c>
      <c r="G46">
        <v>3</v>
      </c>
      <c r="H46" t="s">
        <v>141</v>
      </c>
      <c r="I46">
        <v>3707</v>
      </c>
      <c r="K46">
        <v>1</v>
      </c>
      <c r="L46">
        <v>42201091</v>
      </c>
      <c r="M46" t="s">
        <v>226</v>
      </c>
      <c r="N46">
        <v>0</v>
      </c>
      <c r="O46">
        <v>74.58</v>
      </c>
      <c r="P46">
        <v>0</v>
      </c>
      <c r="Q46">
        <v>13.42</v>
      </c>
      <c r="R46">
        <v>0</v>
      </c>
      <c r="S46">
        <v>0</v>
      </c>
      <c r="T46">
        <v>0</v>
      </c>
      <c r="U46">
        <v>0</v>
      </c>
      <c r="V46">
        <v>0</v>
      </c>
      <c r="W46">
        <v>0</v>
      </c>
      <c r="X46">
        <v>0</v>
      </c>
      <c r="Y46">
        <v>0</v>
      </c>
      <c r="Z46">
        <v>88</v>
      </c>
      <c r="AA46" t="s">
        <v>116</v>
      </c>
      <c r="AB46">
        <v>1</v>
      </c>
      <c r="AI46">
        <v>1</v>
      </c>
      <c r="AJ46">
        <v>0</v>
      </c>
      <c r="AK46">
        <v>0</v>
      </c>
      <c r="AL46">
        <v>101</v>
      </c>
    </row>
    <row r="47" spans="1:38" x14ac:dyDescent="0.25">
      <c r="A47">
        <v>20608997106</v>
      </c>
      <c r="B47" t="s">
        <v>115</v>
      </c>
      <c r="C47">
        <v>202606</v>
      </c>
      <c r="D47" t="s">
        <v>227</v>
      </c>
      <c r="E47" s="99">
        <v>46193</v>
      </c>
      <c r="G47">
        <v>3</v>
      </c>
      <c r="H47" t="s">
        <v>141</v>
      </c>
      <c r="I47">
        <v>3708</v>
      </c>
      <c r="K47">
        <v>1</v>
      </c>
      <c r="L47">
        <v>19951329</v>
      </c>
      <c r="M47" t="s">
        <v>228</v>
      </c>
      <c r="N47">
        <v>0</v>
      </c>
      <c r="O47">
        <v>114.41</v>
      </c>
      <c r="P47">
        <v>0</v>
      </c>
      <c r="Q47">
        <v>20.59</v>
      </c>
      <c r="R47">
        <v>0</v>
      </c>
      <c r="S47">
        <v>0</v>
      </c>
      <c r="T47">
        <v>0</v>
      </c>
      <c r="U47">
        <v>0</v>
      </c>
      <c r="V47">
        <v>0</v>
      </c>
      <c r="W47">
        <v>0</v>
      </c>
      <c r="X47">
        <v>0</v>
      </c>
      <c r="Y47">
        <v>0</v>
      </c>
      <c r="Z47">
        <v>135</v>
      </c>
      <c r="AA47" t="s">
        <v>116</v>
      </c>
      <c r="AB47">
        <v>1</v>
      </c>
      <c r="AI47">
        <v>1</v>
      </c>
      <c r="AJ47">
        <v>0</v>
      </c>
      <c r="AK47">
        <v>0</v>
      </c>
      <c r="AL47">
        <v>101</v>
      </c>
    </row>
    <row r="48" spans="1:38" x14ac:dyDescent="0.25">
      <c r="A48">
        <v>20608997106</v>
      </c>
      <c r="B48" t="s">
        <v>115</v>
      </c>
      <c r="C48">
        <v>202606</v>
      </c>
      <c r="D48" t="s">
        <v>229</v>
      </c>
      <c r="E48" s="99">
        <v>46193</v>
      </c>
      <c r="G48">
        <v>3</v>
      </c>
      <c r="H48" t="s">
        <v>141</v>
      </c>
      <c r="I48">
        <v>3709</v>
      </c>
      <c r="K48" t="s">
        <v>142</v>
      </c>
      <c r="L48" t="s">
        <v>142</v>
      </c>
      <c r="M48" t="s">
        <v>230</v>
      </c>
      <c r="N48">
        <v>0</v>
      </c>
      <c r="O48">
        <v>43.22</v>
      </c>
      <c r="P48">
        <v>0</v>
      </c>
      <c r="Q48">
        <v>7.78</v>
      </c>
      <c r="R48">
        <v>0</v>
      </c>
      <c r="S48">
        <v>0</v>
      </c>
      <c r="T48">
        <v>0</v>
      </c>
      <c r="U48">
        <v>0</v>
      </c>
      <c r="V48">
        <v>0</v>
      </c>
      <c r="W48">
        <v>0</v>
      </c>
      <c r="X48">
        <v>0</v>
      </c>
      <c r="Y48">
        <v>0</v>
      </c>
      <c r="Z48">
        <v>51</v>
      </c>
      <c r="AA48" t="s">
        <v>116</v>
      </c>
      <c r="AB48">
        <v>1</v>
      </c>
      <c r="AI48">
        <v>1</v>
      </c>
      <c r="AJ48">
        <v>0</v>
      </c>
      <c r="AK48">
        <v>0</v>
      </c>
      <c r="AL48">
        <v>101</v>
      </c>
    </row>
    <row r="49" spans="1:38" x14ac:dyDescent="0.25">
      <c r="A49">
        <v>20608997106</v>
      </c>
      <c r="B49" t="s">
        <v>115</v>
      </c>
      <c r="C49">
        <v>202606</v>
      </c>
      <c r="D49" t="s">
        <v>231</v>
      </c>
      <c r="E49" s="99">
        <v>46193</v>
      </c>
      <c r="G49">
        <v>3</v>
      </c>
      <c r="H49" t="s">
        <v>141</v>
      </c>
      <c r="I49">
        <v>3710</v>
      </c>
      <c r="K49">
        <v>1</v>
      </c>
      <c r="L49">
        <v>20014176</v>
      </c>
      <c r="M49" t="s">
        <v>232</v>
      </c>
      <c r="N49">
        <v>0</v>
      </c>
      <c r="O49">
        <v>77.97</v>
      </c>
      <c r="P49">
        <v>0</v>
      </c>
      <c r="Q49">
        <v>14.03</v>
      </c>
      <c r="R49">
        <v>0</v>
      </c>
      <c r="S49">
        <v>0</v>
      </c>
      <c r="T49">
        <v>0</v>
      </c>
      <c r="U49">
        <v>0</v>
      </c>
      <c r="V49">
        <v>0</v>
      </c>
      <c r="W49">
        <v>0</v>
      </c>
      <c r="X49">
        <v>0</v>
      </c>
      <c r="Y49">
        <v>0</v>
      </c>
      <c r="Z49">
        <v>92</v>
      </c>
      <c r="AA49" t="s">
        <v>116</v>
      </c>
      <c r="AB49">
        <v>1</v>
      </c>
      <c r="AI49">
        <v>1</v>
      </c>
      <c r="AJ49">
        <v>0</v>
      </c>
      <c r="AK49">
        <v>0</v>
      </c>
      <c r="AL49">
        <v>101</v>
      </c>
    </row>
    <row r="50" spans="1:38" x14ac:dyDescent="0.25">
      <c r="A50">
        <v>20608997106</v>
      </c>
      <c r="B50" t="s">
        <v>115</v>
      </c>
      <c r="C50">
        <v>202606</v>
      </c>
      <c r="D50" t="s">
        <v>233</v>
      </c>
      <c r="E50" s="99">
        <v>46193</v>
      </c>
      <c r="G50">
        <v>3</v>
      </c>
      <c r="H50" t="s">
        <v>141</v>
      </c>
      <c r="I50">
        <v>3711</v>
      </c>
      <c r="K50" t="s">
        <v>142</v>
      </c>
      <c r="L50" t="s">
        <v>142</v>
      </c>
      <c r="M50" t="s">
        <v>234</v>
      </c>
      <c r="N50">
        <v>0</v>
      </c>
      <c r="O50">
        <v>43.22</v>
      </c>
      <c r="P50">
        <v>0</v>
      </c>
      <c r="Q50">
        <v>7.78</v>
      </c>
      <c r="R50">
        <v>0</v>
      </c>
      <c r="S50">
        <v>0</v>
      </c>
      <c r="T50">
        <v>0</v>
      </c>
      <c r="U50">
        <v>0</v>
      </c>
      <c r="V50">
        <v>0</v>
      </c>
      <c r="W50">
        <v>0</v>
      </c>
      <c r="X50">
        <v>0</v>
      </c>
      <c r="Y50">
        <v>0</v>
      </c>
      <c r="Z50">
        <v>51</v>
      </c>
      <c r="AA50" t="s">
        <v>116</v>
      </c>
      <c r="AB50">
        <v>1</v>
      </c>
      <c r="AI50">
        <v>1</v>
      </c>
      <c r="AJ50">
        <v>0</v>
      </c>
      <c r="AK50">
        <v>0</v>
      </c>
      <c r="AL50">
        <v>101</v>
      </c>
    </row>
    <row r="51" spans="1:38" x14ac:dyDescent="0.25">
      <c r="A51">
        <v>20608997106</v>
      </c>
      <c r="B51" t="s">
        <v>115</v>
      </c>
      <c r="C51">
        <v>202606</v>
      </c>
      <c r="D51" t="s">
        <v>235</v>
      </c>
      <c r="E51" s="99">
        <v>46193</v>
      </c>
      <c r="G51">
        <v>3</v>
      </c>
      <c r="H51" t="s">
        <v>141</v>
      </c>
      <c r="I51">
        <v>3712</v>
      </c>
      <c r="K51" t="s">
        <v>142</v>
      </c>
      <c r="L51" t="s">
        <v>142</v>
      </c>
      <c r="M51" t="s">
        <v>236</v>
      </c>
      <c r="N51">
        <v>0</v>
      </c>
      <c r="O51">
        <v>119.49</v>
      </c>
      <c r="P51">
        <v>0</v>
      </c>
      <c r="Q51">
        <v>21.51</v>
      </c>
      <c r="R51">
        <v>0</v>
      </c>
      <c r="S51">
        <v>0</v>
      </c>
      <c r="T51">
        <v>0</v>
      </c>
      <c r="U51">
        <v>0</v>
      </c>
      <c r="V51">
        <v>0</v>
      </c>
      <c r="W51">
        <v>0</v>
      </c>
      <c r="X51">
        <v>0</v>
      </c>
      <c r="Y51">
        <v>0</v>
      </c>
      <c r="Z51">
        <v>141</v>
      </c>
      <c r="AA51" t="s">
        <v>116</v>
      </c>
      <c r="AB51">
        <v>1</v>
      </c>
      <c r="AI51">
        <v>1</v>
      </c>
      <c r="AJ51">
        <v>0</v>
      </c>
      <c r="AK51">
        <v>0</v>
      </c>
      <c r="AL51">
        <v>101</v>
      </c>
    </row>
    <row r="52" spans="1:38" x14ac:dyDescent="0.25">
      <c r="A52">
        <v>20608997106</v>
      </c>
      <c r="B52" t="s">
        <v>115</v>
      </c>
      <c r="C52">
        <v>202606</v>
      </c>
      <c r="D52" t="s">
        <v>237</v>
      </c>
      <c r="E52" s="99">
        <v>46193</v>
      </c>
      <c r="G52">
        <v>3</v>
      </c>
      <c r="H52" t="s">
        <v>141</v>
      </c>
      <c r="I52">
        <v>3713</v>
      </c>
      <c r="K52">
        <v>1</v>
      </c>
      <c r="L52">
        <v>41372681</v>
      </c>
      <c r="M52" t="s">
        <v>238</v>
      </c>
      <c r="N52">
        <v>0</v>
      </c>
      <c r="O52">
        <v>42.37</v>
      </c>
      <c r="P52">
        <v>0</v>
      </c>
      <c r="Q52">
        <v>7.63</v>
      </c>
      <c r="R52">
        <v>0</v>
      </c>
      <c r="S52">
        <v>0</v>
      </c>
      <c r="T52">
        <v>0</v>
      </c>
      <c r="U52">
        <v>0</v>
      </c>
      <c r="V52">
        <v>0</v>
      </c>
      <c r="W52">
        <v>0</v>
      </c>
      <c r="X52">
        <v>0</v>
      </c>
      <c r="Y52">
        <v>0</v>
      </c>
      <c r="Z52">
        <v>50</v>
      </c>
      <c r="AA52" t="s">
        <v>116</v>
      </c>
      <c r="AB52">
        <v>1</v>
      </c>
      <c r="AI52">
        <v>1</v>
      </c>
      <c r="AJ52">
        <v>0</v>
      </c>
      <c r="AK52">
        <v>0</v>
      </c>
      <c r="AL52">
        <v>101</v>
      </c>
    </row>
    <row r="53" spans="1:38" x14ac:dyDescent="0.25">
      <c r="A53">
        <v>20608997106</v>
      </c>
      <c r="B53" t="s">
        <v>115</v>
      </c>
      <c r="C53">
        <v>202606</v>
      </c>
      <c r="D53" t="s">
        <v>239</v>
      </c>
      <c r="E53" s="99">
        <v>46193</v>
      </c>
      <c r="G53">
        <v>3</v>
      </c>
      <c r="H53" t="s">
        <v>141</v>
      </c>
      <c r="I53">
        <v>3714</v>
      </c>
      <c r="K53" t="s">
        <v>142</v>
      </c>
      <c r="L53" t="s">
        <v>142</v>
      </c>
      <c r="M53" t="s">
        <v>240</v>
      </c>
      <c r="N53">
        <v>0</v>
      </c>
      <c r="O53">
        <v>186.44</v>
      </c>
      <c r="P53">
        <v>0</v>
      </c>
      <c r="Q53">
        <v>33.56</v>
      </c>
      <c r="R53">
        <v>0</v>
      </c>
      <c r="S53">
        <v>0</v>
      </c>
      <c r="T53">
        <v>0</v>
      </c>
      <c r="U53">
        <v>0</v>
      </c>
      <c r="V53">
        <v>0</v>
      </c>
      <c r="W53">
        <v>0</v>
      </c>
      <c r="X53">
        <v>0</v>
      </c>
      <c r="Y53">
        <v>0</v>
      </c>
      <c r="Z53">
        <v>220</v>
      </c>
      <c r="AA53" t="s">
        <v>116</v>
      </c>
      <c r="AB53">
        <v>1</v>
      </c>
      <c r="AI53">
        <v>1</v>
      </c>
      <c r="AJ53">
        <v>0</v>
      </c>
      <c r="AK53">
        <v>0</v>
      </c>
      <c r="AL53">
        <v>101</v>
      </c>
    </row>
    <row r="54" spans="1:38" x14ac:dyDescent="0.25">
      <c r="A54">
        <v>20608997106</v>
      </c>
      <c r="B54" t="s">
        <v>115</v>
      </c>
      <c r="C54">
        <v>202606</v>
      </c>
      <c r="D54" t="s">
        <v>241</v>
      </c>
      <c r="E54" s="99">
        <v>46193</v>
      </c>
      <c r="G54">
        <v>3</v>
      </c>
      <c r="H54" t="s">
        <v>141</v>
      </c>
      <c r="I54">
        <v>3715</v>
      </c>
      <c r="K54" t="s">
        <v>142</v>
      </c>
      <c r="L54" t="s">
        <v>142</v>
      </c>
      <c r="M54" t="s">
        <v>242</v>
      </c>
      <c r="N54">
        <v>0</v>
      </c>
      <c r="O54">
        <v>79.66</v>
      </c>
      <c r="P54">
        <v>0</v>
      </c>
      <c r="Q54">
        <v>14.34</v>
      </c>
      <c r="R54">
        <v>0</v>
      </c>
      <c r="S54">
        <v>0</v>
      </c>
      <c r="T54">
        <v>0</v>
      </c>
      <c r="U54">
        <v>0</v>
      </c>
      <c r="V54">
        <v>0</v>
      </c>
      <c r="W54">
        <v>0</v>
      </c>
      <c r="X54">
        <v>0</v>
      </c>
      <c r="Y54">
        <v>0</v>
      </c>
      <c r="Z54">
        <v>94</v>
      </c>
      <c r="AA54" t="s">
        <v>116</v>
      </c>
      <c r="AB54">
        <v>1</v>
      </c>
      <c r="AI54">
        <v>1</v>
      </c>
      <c r="AJ54">
        <v>0</v>
      </c>
      <c r="AK54">
        <v>0</v>
      </c>
      <c r="AL54">
        <v>101</v>
      </c>
    </row>
    <row r="55" spans="1:38" x14ac:dyDescent="0.25">
      <c r="A55">
        <v>20608997106</v>
      </c>
      <c r="B55" t="s">
        <v>115</v>
      </c>
      <c r="C55">
        <v>202606</v>
      </c>
      <c r="D55" t="s">
        <v>243</v>
      </c>
      <c r="E55" s="99">
        <v>46193</v>
      </c>
      <c r="G55">
        <v>3</v>
      </c>
      <c r="H55" t="s">
        <v>141</v>
      </c>
      <c r="I55">
        <v>3716</v>
      </c>
      <c r="K55" t="s">
        <v>142</v>
      </c>
      <c r="L55" t="s">
        <v>142</v>
      </c>
      <c r="M55" t="s">
        <v>244</v>
      </c>
      <c r="N55">
        <v>0</v>
      </c>
      <c r="O55">
        <v>42.37</v>
      </c>
      <c r="P55">
        <v>0</v>
      </c>
      <c r="Q55">
        <v>7.63</v>
      </c>
      <c r="R55">
        <v>0</v>
      </c>
      <c r="S55">
        <v>0</v>
      </c>
      <c r="T55">
        <v>0</v>
      </c>
      <c r="U55">
        <v>0</v>
      </c>
      <c r="V55">
        <v>0</v>
      </c>
      <c r="W55">
        <v>0</v>
      </c>
      <c r="X55">
        <v>0</v>
      </c>
      <c r="Y55">
        <v>0</v>
      </c>
      <c r="Z55">
        <v>50</v>
      </c>
      <c r="AA55" t="s">
        <v>116</v>
      </c>
      <c r="AB55">
        <v>1</v>
      </c>
      <c r="AI55">
        <v>1</v>
      </c>
      <c r="AJ55">
        <v>0</v>
      </c>
      <c r="AK55">
        <v>0</v>
      </c>
      <c r="AL55">
        <v>101</v>
      </c>
    </row>
    <row r="56" spans="1:38" x14ac:dyDescent="0.25">
      <c r="A56">
        <v>20608997106</v>
      </c>
      <c r="B56" t="s">
        <v>115</v>
      </c>
      <c r="C56">
        <v>202606</v>
      </c>
      <c r="D56" t="s">
        <v>245</v>
      </c>
      <c r="E56" s="99">
        <v>46193</v>
      </c>
      <c r="G56">
        <v>3</v>
      </c>
      <c r="H56" t="s">
        <v>141</v>
      </c>
      <c r="I56">
        <v>3717</v>
      </c>
      <c r="K56" t="s">
        <v>142</v>
      </c>
      <c r="L56" t="s">
        <v>142</v>
      </c>
      <c r="M56" t="s">
        <v>246</v>
      </c>
      <c r="N56">
        <v>0</v>
      </c>
      <c r="O56">
        <v>111.86</v>
      </c>
      <c r="P56">
        <v>0</v>
      </c>
      <c r="Q56">
        <v>20.14</v>
      </c>
      <c r="R56">
        <v>0</v>
      </c>
      <c r="S56">
        <v>0</v>
      </c>
      <c r="T56">
        <v>0</v>
      </c>
      <c r="U56">
        <v>0</v>
      </c>
      <c r="V56">
        <v>0</v>
      </c>
      <c r="W56">
        <v>0</v>
      </c>
      <c r="X56">
        <v>0</v>
      </c>
      <c r="Y56">
        <v>0</v>
      </c>
      <c r="Z56">
        <v>132</v>
      </c>
      <c r="AA56" t="s">
        <v>116</v>
      </c>
      <c r="AB56">
        <v>1</v>
      </c>
      <c r="AI56">
        <v>1</v>
      </c>
      <c r="AJ56">
        <v>0</v>
      </c>
      <c r="AK56">
        <v>0</v>
      </c>
      <c r="AL56">
        <v>101</v>
      </c>
    </row>
    <row r="57" spans="1:38" x14ac:dyDescent="0.25">
      <c r="A57">
        <v>20608997106</v>
      </c>
      <c r="B57" t="s">
        <v>115</v>
      </c>
      <c r="C57">
        <v>202606</v>
      </c>
      <c r="D57" t="s">
        <v>247</v>
      </c>
      <c r="E57" s="99">
        <v>46193</v>
      </c>
      <c r="G57">
        <v>3</v>
      </c>
      <c r="H57" t="s">
        <v>141</v>
      </c>
      <c r="I57">
        <v>3718</v>
      </c>
      <c r="K57" t="s">
        <v>142</v>
      </c>
      <c r="L57" t="s">
        <v>142</v>
      </c>
      <c r="M57" t="s">
        <v>248</v>
      </c>
      <c r="N57">
        <v>0</v>
      </c>
      <c r="O57">
        <v>77.97</v>
      </c>
      <c r="P57">
        <v>0</v>
      </c>
      <c r="Q57">
        <v>14.03</v>
      </c>
      <c r="R57">
        <v>0</v>
      </c>
      <c r="S57">
        <v>0</v>
      </c>
      <c r="T57">
        <v>0</v>
      </c>
      <c r="U57">
        <v>0</v>
      </c>
      <c r="V57">
        <v>0</v>
      </c>
      <c r="W57">
        <v>0</v>
      </c>
      <c r="X57">
        <v>0</v>
      </c>
      <c r="Y57">
        <v>0</v>
      </c>
      <c r="Z57">
        <v>92</v>
      </c>
      <c r="AA57" t="s">
        <v>116</v>
      </c>
      <c r="AB57">
        <v>1</v>
      </c>
      <c r="AI57">
        <v>1</v>
      </c>
      <c r="AJ57">
        <v>0</v>
      </c>
      <c r="AK57">
        <v>0</v>
      </c>
      <c r="AL57">
        <v>101</v>
      </c>
    </row>
    <row r="58" spans="1:38" x14ac:dyDescent="0.25">
      <c r="A58">
        <v>20608997106</v>
      </c>
      <c r="B58" t="s">
        <v>115</v>
      </c>
      <c r="C58">
        <v>202606</v>
      </c>
      <c r="D58" t="s">
        <v>249</v>
      </c>
      <c r="E58" s="99">
        <v>46193</v>
      </c>
      <c r="G58">
        <v>3</v>
      </c>
      <c r="H58" t="s">
        <v>141</v>
      </c>
      <c r="I58">
        <v>3719</v>
      </c>
      <c r="K58" t="s">
        <v>142</v>
      </c>
      <c r="L58" t="s">
        <v>142</v>
      </c>
      <c r="M58" t="s">
        <v>250</v>
      </c>
      <c r="N58">
        <v>0</v>
      </c>
      <c r="O58">
        <v>152.54</v>
      </c>
      <c r="P58">
        <v>0</v>
      </c>
      <c r="Q58">
        <v>27.46</v>
      </c>
      <c r="R58">
        <v>0</v>
      </c>
      <c r="S58">
        <v>0</v>
      </c>
      <c r="T58">
        <v>0</v>
      </c>
      <c r="U58">
        <v>0</v>
      </c>
      <c r="V58">
        <v>0</v>
      </c>
      <c r="W58">
        <v>0</v>
      </c>
      <c r="X58">
        <v>0</v>
      </c>
      <c r="Y58">
        <v>0</v>
      </c>
      <c r="Z58">
        <v>180</v>
      </c>
      <c r="AA58" t="s">
        <v>116</v>
      </c>
      <c r="AB58">
        <v>1</v>
      </c>
      <c r="AI58">
        <v>1</v>
      </c>
      <c r="AJ58">
        <v>0</v>
      </c>
      <c r="AK58">
        <v>0</v>
      </c>
      <c r="AL58">
        <v>101</v>
      </c>
    </row>
    <row r="59" spans="1:38" x14ac:dyDescent="0.25">
      <c r="A59">
        <v>20608997106</v>
      </c>
      <c r="B59" t="s">
        <v>115</v>
      </c>
      <c r="C59">
        <v>202606</v>
      </c>
      <c r="D59" t="s">
        <v>251</v>
      </c>
      <c r="E59" s="99">
        <v>46193</v>
      </c>
      <c r="G59">
        <v>3</v>
      </c>
      <c r="H59" t="s">
        <v>141</v>
      </c>
      <c r="I59">
        <v>3720</v>
      </c>
      <c r="K59" t="s">
        <v>142</v>
      </c>
      <c r="L59" t="s">
        <v>142</v>
      </c>
      <c r="M59" t="s">
        <v>252</v>
      </c>
      <c r="N59">
        <v>0</v>
      </c>
      <c r="O59">
        <v>111.86</v>
      </c>
      <c r="P59">
        <v>0</v>
      </c>
      <c r="Q59">
        <v>20.14</v>
      </c>
      <c r="R59">
        <v>0</v>
      </c>
      <c r="S59">
        <v>0</v>
      </c>
      <c r="T59">
        <v>0</v>
      </c>
      <c r="U59">
        <v>0</v>
      </c>
      <c r="V59">
        <v>0</v>
      </c>
      <c r="W59">
        <v>0</v>
      </c>
      <c r="X59">
        <v>0</v>
      </c>
      <c r="Y59">
        <v>0</v>
      </c>
      <c r="Z59">
        <v>132</v>
      </c>
      <c r="AA59" t="s">
        <v>116</v>
      </c>
      <c r="AB59">
        <v>1</v>
      </c>
      <c r="AI59">
        <v>1</v>
      </c>
      <c r="AJ59">
        <v>0</v>
      </c>
      <c r="AK59">
        <v>0</v>
      </c>
      <c r="AL59">
        <v>101</v>
      </c>
    </row>
    <row r="60" spans="1:38" x14ac:dyDescent="0.25">
      <c r="A60">
        <v>20608997106</v>
      </c>
      <c r="B60" t="s">
        <v>115</v>
      </c>
      <c r="C60">
        <v>202606</v>
      </c>
      <c r="D60" t="s">
        <v>253</v>
      </c>
      <c r="E60" s="99">
        <v>46194</v>
      </c>
      <c r="G60">
        <v>3</v>
      </c>
      <c r="H60" t="s">
        <v>141</v>
      </c>
      <c r="I60">
        <v>3721</v>
      </c>
      <c r="K60" t="s">
        <v>142</v>
      </c>
      <c r="L60" t="s">
        <v>142</v>
      </c>
      <c r="M60" t="s">
        <v>254</v>
      </c>
      <c r="N60">
        <v>0</v>
      </c>
      <c r="O60">
        <v>43.22</v>
      </c>
      <c r="P60">
        <v>0</v>
      </c>
      <c r="Q60">
        <v>7.78</v>
      </c>
      <c r="R60">
        <v>0</v>
      </c>
      <c r="S60">
        <v>0</v>
      </c>
      <c r="T60">
        <v>0</v>
      </c>
      <c r="U60">
        <v>0</v>
      </c>
      <c r="V60">
        <v>0</v>
      </c>
      <c r="W60">
        <v>0</v>
      </c>
      <c r="X60">
        <v>0</v>
      </c>
      <c r="Y60">
        <v>0</v>
      </c>
      <c r="Z60">
        <v>51</v>
      </c>
      <c r="AA60" t="s">
        <v>116</v>
      </c>
      <c r="AB60">
        <v>1</v>
      </c>
      <c r="AI60">
        <v>1</v>
      </c>
      <c r="AJ60">
        <v>0</v>
      </c>
      <c r="AK60">
        <v>0</v>
      </c>
      <c r="AL60">
        <v>101</v>
      </c>
    </row>
    <row r="61" spans="1:38" x14ac:dyDescent="0.25">
      <c r="A61">
        <v>20608997106</v>
      </c>
      <c r="B61" t="s">
        <v>115</v>
      </c>
      <c r="C61">
        <v>202606</v>
      </c>
      <c r="D61" t="s">
        <v>255</v>
      </c>
      <c r="E61" s="99">
        <v>46194</v>
      </c>
      <c r="G61">
        <v>3</v>
      </c>
      <c r="H61" t="s">
        <v>141</v>
      </c>
      <c r="I61">
        <v>3722</v>
      </c>
      <c r="K61" t="s">
        <v>142</v>
      </c>
      <c r="L61" t="s">
        <v>142</v>
      </c>
      <c r="M61" t="s">
        <v>256</v>
      </c>
      <c r="N61">
        <v>0</v>
      </c>
      <c r="O61">
        <v>83.05</v>
      </c>
      <c r="P61">
        <v>0</v>
      </c>
      <c r="Q61">
        <v>14.95</v>
      </c>
      <c r="R61">
        <v>0</v>
      </c>
      <c r="S61">
        <v>0</v>
      </c>
      <c r="T61">
        <v>0</v>
      </c>
      <c r="U61">
        <v>0</v>
      </c>
      <c r="V61">
        <v>0</v>
      </c>
      <c r="W61">
        <v>0</v>
      </c>
      <c r="X61">
        <v>0</v>
      </c>
      <c r="Y61">
        <v>0</v>
      </c>
      <c r="Z61">
        <v>98</v>
      </c>
      <c r="AA61" t="s">
        <v>116</v>
      </c>
      <c r="AB61">
        <v>1</v>
      </c>
      <c r="AI61">
        <v>1</v>
      </c>
      <c r="AJ61">
        <v>0</v>
      </c>
      <c r="AK61">
        <v>0</v>
      </c>
      <c r="AL61">
        <v>101</v>
      </c>
    </row>
    <row r="62" spans="1:38" x14ac:dyDescent="0.25">
      <c r="A62">
        <v>20608997106</v>
      </c>
      <c r="B62" t="s">
        <v>115</v>
      </c>
      <c r="C62">
        <v>202606</v>
      </c>
      <c r="D62" t="s">
        <v>257</v>
      </c>
      <c r="E62" s="99">
        <v>46194</v>
      </c>
      <c r="G62">
        <v>3</v>
      </c>
      <c r="H62" t="s">
        <v>141</v>
      </c>
      <c r="I62">
        <v>3723</v>
      </c>
      <c r="K62" t="s">
        <v>142</v>
      </c>
      <c r="L62" t="s">
        <v>142</v>
      </c>
      <c r="M62" t="s">
        <v>258</v>
      </c>
      <c r="N62">
        <v>0</v>
      </c>
      <c r="O62">
        <v>122.03</v>
      </c>
      <c r="P62">
        <v>0</v>
      </c>
      <c r="Q62">
        <v>21.97</v>
      </c>
      <c r="R62">
        <v>0</v>
      </c>
      <c r="S62">
        <v>0</v>
      </c>
      <c r="T62">
        <v>0</v>
      </c>
      <c r="U62">
        <v>0</v>
      </c>
      <c r="V62">
        <v>0</v>
      </c>
      <c r="W62">
        <v>0</v>
      </c>
      <c r="X62">
        <v>0</v>
      </c>
      <c r="Y62">
        <v>0</v>
      </c>
      <c r="Z62">
        <v>144</v>
      </c>
      <c r="AA62" t="s">
        <v>116</v>
      </c>
      <c r="AB62">
        <v>1</v>
      </c>
      <c r="AI62">
        <v>1</v>
      </c>
      <c r="AJ62">
        <v>0</v>
      </c>
      <c r="AK62">
        <v>0</v>
      </c>
      <c r="AL62">
        <v>101</v>
      </c>
    </row>
    <row r="63" spans="1:38" x14ac:dyDescent="0.25">
      <c r="A63">
        <v>20608997106</v>
      </c>
      <c r="B63" t="s">
        <v>115</v>
      </c>
      <c r="C63">
        <v>202606</v>
      </c>
      <c r="D63" t="s">
        <v>259</v>
      </c>
      <c r="E63" s="99">
        <v>46194</v>
      </c>
      <c r="G63">
        <v>3</v>
      </c>
      <c r="H63" t="s">
        <v>141</v>
      </c>
      <c r="I63">
        <v>3724</v>
      </c>
      <c r="K63" t="s">
        <v>142</v>
      </c>
      <c r="L63" t="s">
        <v>142</v>
      </c>
      <c r="M63" t="s">
        <v>242</v>
      </c>
      <c r="N63">
        <v>0</v>
      </c>
      <c r="O63">
        <v>182.2</v>
      </c>
      <c r="P63">
        <v>0</v>
      </c>
      <c r="Q63">
        <v>32.799999999999997</v>
      </c>
      <c r="R63">
        <v>0</v>
      </c>
      <c r="S63">
        <v>0</v>
      </c>
      <c r="T63">
        <v>0</v>
      </c>
      <c r="U63">
        <v>0</v>
      </c>
      <c r="V63">
        <v>0</v>
      </c>
      <c r="W63">
        <v>0</v>
      </c>
      <c r="X63">
        <v>0</v>
      </c>
      <c r="Y63">
        <v>0</v>
      </c>
      <c r="Z63">
        <v>215</v>
      </c>
      <c r="AA63" t="s">
        <v>116</v>
      </c>
      <c r="AB63">
        <v>1</v>
      </c>
      <c r="AI63">
        <v>1</v>
      </c>
      <c r="AJ63">
        <v>0</v>
      </c>
      <c r="AK63">
        <v>0</v>
      </c>
      <c r="AL63">
        <v>101</v>
      </c>
    </row>
    <row r="64" spans="1:38" x14ac:dyDescent="0.25">
      <c r="A64">
        <v>20608997106</v>
      </c>
      <c r="B64" t="s">
        <v>115</v>
      </c>
      <c r="C64">
        <v>202606</v>
      </c>
      <c r="D64" t="s">
        <v>260</v>
      </c>
      <c r="E64" s="99">
        <v>46194</v>
      </c>
      <c r="G64">
        <v>3</v>
      </c>
      <c r="H64" t="s">
        <v>141</v>
      </c>
      <c r="I64">
        <v>3725</v>
      </c>
      <c r="K64" t="s">
        <v>142</v>
      </c>
      <c r="L64" t="s">
        <v>142</v>
      </c>
      <c r="M64" t="s">
        <v>261</v>
      </c>
      <c r="N64">
        <v>0</v>
      </c>
      <c r="O64">
        <v>43.22</v>
      </c>
      <c r="P64">
        <v>0</v>
      </c>
      <c r="Q64">
        <v>7.78</v>
      </c>
      <c r="R64">
        <v>0</v>
      </c>
      <c r="S64">
        <v>0</v>
      </c>
      <c r="T64">
        <v>0</v>
      </c>
      <c r="U64">
        <v>0</v>
      </c>
      <c r="V64">
        <v>0</v>
      </c>
      <c r="W64">
        <v>0</v>
      </c>
      <c r="X64">
        <v>0</v>
      </c>
      <c r="Y64">
        <v>0</v>
      </c>
      <c r="Z64">
        <v>51</v>
      </c>
      <c r="AA64" t="s">
        <v>116</v>
      </c>
      <c r="AB64">
        <v>1</v>
      </c>
      <c r="AI64">
        <v>1</v>
      </c>
      <c r="AJ64">
        <v>0</v>
      </c>
      <c r="AK64">
        <v>0</v>
      </c>
      <c r="AL64">
        <v>101</v>
      </c>
    </row>
    <row r="65" spans="1:38" x14ac:dyDescent="0.25">
      <c r="A65">
        <v>20608997106</v>
      </c>
      <c r="B65" t="s">
        <v>115</v>
      </c>
      <c r="C65">
        <v>202606</v>
      </c>
      <c r="D65" t="s">
        <v>262</v>
      </c>
      <c r="E65" s="99">
        <v>46194</v>
      </c>
      <c r="G65">
        <v>3</v>
      </c>
      <c r="H65" t="s">
        <v>141</v>
      </c>
      <c r="I65">
        <v>3726</v>
      </c>
      <c r="K65" t="s">
        <v>142</v>
      </c>
      <c r="L65" t="s">
        <v>142</v>
      </c>
      <c r="M65" t="s">
        <v>263</v>
      </c>
      <c r="N65">
        <v>0</v>
      </c>
      <c r="O65">
        <v>79.66</v>
      </c>
      <c r="P65">
        <v>0</v>
      </c>
      <c r="Q65">
        <v>14.34</v>
      </c>
      <c r="R65">
        <v>0</v>
      </c>
      <c r="S65">
        <v>0</v>
      </c>
      <c r="T65">
        <v>0</v>
      </c>
      <c r="U65">
        <v>0</v>
      </c>
      <c r="V65">
        <v>0</v>
      </c>
      <c r="W65">
        <v>0</v>
      </c>
      <c r="X65">
        <v>0</v>
      </c>
      <c r="Y65">
        <v>0</v>
      </c>
      <c r="Z65">
        <v>94</v>
      </c>
      <c r="AA65" t="s">
        <v>116</v>
      </c>
      <c r="AB65">
        <v>1</v>
      </c>
      <c r="AI65">
        <v>1</v>
      </c>
      <c r="AJ65">
        <v>0</v>
      </c>
      <c r="AK65">
        <v>0</v>
      </c>
      <c r="AL65">
        <v>101</v>
      </c>
    </row>
    <row r="66" spans="1:38" x14ac:dyDescent="0.25">
      <c r="A66">
        <v>20608997106</v>
      </c>
      <c r="B66" t="s">
        <v>115</v>
      </c>
      <c r="C66">
        <v>202606</v>
      </c>
      <c r="D66" t="s">
        <v>264</v>
      </c>
      <c r="E66" s="99">
        <v>46194</v>
      </c>
      <c r="G66">
        <v>3</v>
      </c>
      <c r="H66" t="s">
        <v>141</v>
      </c>
      <c r="I66">
        <v>3727</v>
      </c>
      <c r="K66" t="s">
        <v>142</v>
      </c>
      <c r="L66" t="s">
        <v>142</v>
      </c>
      <c r="M66" t="s">
        <v>265</v>
      </c>
      <c r="N66">
        <v>0</v>
      </c>
      <c r="O66">
        <v>76.27</v>
      </c>
      <c r="P66">
        <v>0</v>
      </c>
      <c r="Q66">
        <v>13.73</v>
      </c>
      <c r="R66">
        <v>0</v>
      </c>
      <c r="S66">
        <v>0</v>
      </c>
      <c r="T66">
        <v>0</v>
      </c>
      <c r="U66">
        <v>0</v>
      </c>
      <c r="V66">
        <v>0</v>
      </c>
      <c r="W66">
        <v>0</v>
      </c>
      <c r="X66">
        <v>0</v>
      </c>
      <c r="Y66">
        <v>0</v>
      </c>
      <c r="Z66">
        <v>90</v>
      </c>
      <c r="AA66" t="s">
        <v>116</v>
      </c>
      <c r="AB66">
        <v>1</v>
      </c>
      <c r="AI66">
        <v>1</v>
      </c>
      <c r="AJ66">
        <v>0</v>
      </c>
      <c r="AK66">
        <v>0</v>
      </c>
      <c r="AL66">
        <v>101</v>
      </c>
    </row>
    <row r="67" spans="1:38" x14ac:dyDescent="0.25">
      <c r="A67">
        <v>20608997106</v>
      </c>
      <c r="B67" t="s">
        <v>115</v>
      </c>
      <c r="C67">
        <v>202606</v>
      </c>
      <c r="D67" t="s">
        <v>266</v>
      </c>
      <c r="E67" s="99">
        <v>46194</v>
      </c>
      <c r="G67">
        <v>3</v>
      </c>
      <c r="H67" t="s">
        <v>141</v>
      </c>
      <c r="I67">
        <v>3728</v>
      </c>
      <c r="K67" t="s">
        <v>142</v>
      </c>
      <c r="L67" t="s">
        <v>142</v>
      </c>
      <c r="M67" t="s">
        <v>267</v>
      </c>
      <c r="N67">
        <v>0</v>
      </c>
      <c r="O67">
        <v>42.37</v>
      </c>
      <c r="P67">
        <v>0</v>
      </c>
      <c r="Q67">
        <v>7.63</v>
      </c>
      <c r="R67">
        <v>0</v>
      </c>
      <c r="S67">
        <v>0</v>
      </c>
      <c r="T67">
        <v>0</v>
      </c>
      <c r="U67">
        <v>0</v>
      </c>
      <c r="V67">
        <v>0</v>
      </c>
      <c r="W67">
        <v>0</v>
      </c>
      <c r="X67">
        <v>0</v>
      </c>
      <c r="Y67">
        <v>0</v>
      </c>
      <c r="Z67">
        <v>50</v>
      </c>
      <c r="AA67" t="s">
        <v>116</v>
      </c>
      <c r="AB67">
        <v>1</v>
      </c>
      <c r="AI67">
        <v>1</v>
      </c>
      <c r="AJ67">
        <v>0</v>
      </c>
      <c r="AK67">
        <v>0</v>
      </c>
      <c r="AL67">
        <v>101</v>
      </c>
    </row>
    <row r="68" spans="1:38" x14ac:dyDescent="0.25">
      <c r="A68">
        <v>20608997106</v>
      </c>
      <c r="B68" t="s">
        <v>115</v>
      </c>
      <c r="C68">
        <v>202606</v>
      </c>
      <c r="D68" t="s">
        <v>268</v>
      </c>
      <c r="E68" s="99">
        <v>46194</v>
      </c>
      <c r="G68">
        <v>3</v>
      </c>
      <c r="H68" t="s">
        <v>141</v>
      </c>
      <c r="I68">
        <v>3729</v>
      </c>
      <c r="K68" t="s">
        <v>142</v>
      </c>
      <c r="L68" t="s">
        <v>142</v>
      </c>
      <c r="M68" t="s">
        <v>269</v>
      </c>
      <c r="N68">
        <v>0</v>
      </c>
      <c r="O68">
        <v>149.15</v>
      </c>
      <c r="P68">
        <v>0</v>
      </c>
      <c r="Q68">
        <v>26.85</v>
      </c>
      <c r="R68">
        <v>0</v>
      </c>
      <c r="S68">
        <v>0</v>
      </c>
      <c r="T68">
        <v>0</v>
      </c>
      <c r="U68">
        <v>0</v>
      </c>
      <c r="V68">
        <v>0</v>
      </c>
      <c r="W68">
        <v>0</v>
      </c>
      <c r="X68">
        <v>0</v>
      </c>
      <c r="Y68">
        <v>0</v>
      </c>
      <c r="Z68">
        <v>176</v>
      </c>
      <c r="AA68" t="s">
        <v>116</v>
      </c>
      <c r="AB68">
        <v>1</v>
      </c>
      <c r="AI68">
        <v>1</v>
      </c>
      <c r="AJ68">
        <v>0</v>
      </c>
      <c r="AK68">
        <v>0</v>
      </c>
      <c r="AL68">
        <v>101</v>
      </c>
    </row>
    <row r="69" spans="1:38" x14ac:dyDescent="0.25">
      <c r="A69">
        <v>20608997106</v>
      </c>
      <c r="B69" t="s">
        <v>115</v>
      </c>
      <c r="C69">
        <v>202606</v>
      </c>
      <c r="D69" t="s">
        <v>270</v>
      </c>
      <c r="E69" s="99">
        <v>46194</v>
      </c>
      <c r="G69">
        <v>3</v>
      </c>
      <c r="H69" t="s">
        <v>141</v>
      </c>
      <c r="I69">
        <v>3730</v>
      </c>
      <c r="K69" t="s">
        <v>142</v>
      </c>
      <c r="L69" t="s">
        <v>142</v>
      </c>
      <c r="M69" t="s">
        <v>271</v>
      </c>
      <c r="N69">
        <v>0</v>
      </c>
      <c r="O69">
        <v>43.22</v>
      </c>
      <c r="P69">
        <v>0</v>
      </c>
      <c r="Q69">
        <v>7.78</v>
      </c>
      <c r="R69">
        <v>0</v>
      </c>
      <c r="S69">
        <v>0</v>
      </c>
      <c r="T69">
        <v>0</v>
      </c>
      <c r="U69">
        <v>0</v>
      </c>
      <c r="V69">
        <v>0</v>
      </c>
      <c r="W69">
        <v>0</v>
      </c>
      <c r="X69">
        <v>0</v>
      </c>
      <c r="Y69">
        <v>0</v>
      </c>
      <c r="Z69">
        <v>51</v>
      </c>
      <c r="AA69" t="s">
        <v>116</v>
      </c>
      <c r="AB69">
        <v>1</v>
      </c>
      <c r="AI69">
        <v>1</v>
      </c>
      <c r="AJ69">
        <v>0</v>
      </c>
      <c r="AK69">
        <v>0</v>
      </c>
      <c r="AL69">
        <v>101</v>
      </c>
    </row>
    <row r="70" spans="1:38" x14ac:dyDescent="0.25">
      <c r="A70">
        <v>20608997106</v>
      </c>
      <c r="B70" t="s">
        <v>115</v>
      </c>
      <c r="C70">
        <v>202606</v>
      </c>
      <c r="D70" t="s">
        <v>272</v>
      </c>
      <c r="E70" s="99">
        <v>46194</v>
      </c>
      <c r="G70">
        <v>3</v>
      </c>
      <c r="H70" t="s">
        <v>141</v>
      </c>
      <c r="I70">
        <v>3731</v>
      </c>
      <c r="K70" t="s">
        <v>142</v>
      </c>
      <c r="L70" t="s">
        <v>142</v>
      </c>
      <c r="M70" t="s">
        <v>273</v>
      </c>
      <c r="N70">
        <v>0</v>
      </c>
      <c r="O70">
        <v>182.2</v>
      </c>
      <c r="P70">
        <v>0</v>
      </c>
      <c r="Q70">
        <v>32.799999999999997</v>
      </c>
      <c r="R70">
        <v>0</v>
      </c>
      <c r="S70">
        <v>0</v>
      </c>
      <c r="T70">
        <v>0</v>
      </c>
      <c r="U70">
        <v>0</v>
      </c>
      <c r="V70">
        <v>0</v>
      </c>
      <c r="W70">
        <v>0</v>
      </c>
      <c r="X70">
        <v>0</v>
      </c>
      <c r="Y70">
        <v>0</v>
      </c>
      <c r="Z70">
        <v>215</v>
      </c>
      <c r="AA70" t="s">
        <v>116</v>
      </c>
      <c r="AB70">
        <v>1</v>
      </c>
      <c r="AI70">
        <v>1</v>
      </c>
      <c r="AJ70">
        <v>0</v>
      </c>
      <c r="AK70">
        <v>0</v>
      </c>
      <c r="AL70">
        <v>101</v>
      </c>
    </row>
    <row r="71" spans="1:38" x14ac:dyDescent="0.25">
      <c r="A71">
        <v>20608997106</v>
      </c>
      <c r="B71" t="s">
        <v>115</v>
      </c>
      <c r="C71">
        <v>202606</v>
      </c>
      <c r="D71" t="s">
        <v>274</v>
      </c>
      <c r="E71" s="99">
        <v>46194</v>
      </c>
      <c r="G71">
        <v>3</v>
      </c>
      <c r="H71" t="s">
        <v>141</v>
      </c>
      <c r="I71">
        <v>3732</v>
      </c>
      <c r="K71" t="s">
        <v>142</v>
      </c>
      <c r="L71" t="s">
        <v>142</v>
      </c>
      <c r="M71" t="s">
        <v>275</v>
      </c>
      <c r="N71">
        <v>0</v>
      </c>
      <c r="O71">
        <v>42.37</v>
      </c>
      <c r="P71">
        <v>0</v>
      </c>
      <c r="Q71">
        <v>7.63</v>
      </c>
      <c r="R71">
        <v>0</v>
      </c>
      <c r="S71">
        <v>0</v>
      </c>
      <c r="T71">
        <v>0</v>
      </c>
      <c r="U71">
        <v>0</v>
      </c>
      <c r="V71">
        <v>0</v>
      </c>
      <c r="W71">
        <v>0</v>
      </c>
      <c r="X71">
        <v>0</v>
      </c>
      <c r="Y71">
        <v>0</v>
      </c>
      <c r="Z71">
        <v>50</v>
      </c>
      <c r="AA71" t="s">
        <v>116</v>
      </c>
      <c r="AB71">
        <v>1</v>
      </c>
      <c r="AI71">
        <v>1</v>
      </c>
      <c r="AJ71">
        <v>0</v>
      </c>
      <c r="AK71">
        <v>0</v>
      </c>
      <c r="AL71">
        <v>101</v>
      </c>
    </row>
    <row r="72" spans="1:38" x14ac:dyDescent="0.25">
      <c r="A72">
        <v>20608997106</v>
      </c>
      <c r="B72" t="s">
        <v>115</v>
      </c>
      <c r="C72">
        <v>202606</v>
      </c>
      <c r="D72" t="s">
        <v>276</v>
      </c>
      <c r="E72" s="99">
        <v>46194</v>
      </c>
      <c r="G72">
        <v>3</v>
      </c>
      <c r="H72" t="s">
        <v>141</v>
      </c>
      <c r="I72">
        <v>3733</v>
      </c>
      <c r="K72" t="s">
        <v>142</v>
      </c>
      <c r="L72" t="s">
        <v>142</v>
      </c>
      <c r="M72" t="s">
        <v>277</v>
      </c>
      <c r="N72">
        <v>0</v>
      </c>
      <c r="O72">
        <v>79.66</v>
      </c>
      <c r="P72">
        <v>0</v>
      </c>
      <c r="Q72">
        <v>14.34</v>
      </c>
      <c r="R72">
        <v>0</v>
      </c>
      <c r="S72">
        <v>0</v>
      </c>
      <c r="T72">
        <v>0</v>
      </c>
      <c r="U72">
        <v>0</v>
      </c>
      <c r="V72">
        <v>0</v>
      </c>
      <c r="W72">
        <v>0</v>
      </c>
      <c r="X72">
        <v>0</v>
      </c>
      <c r="Y72">
        <v>0</v>
      </c>
      <c r="Z72">
        <v>94</v>
      </c>
      <c r="AA72" t="s">
        <v>116</v>
      </c>
      <c r="AB72">
        <v>1</v>
      </c>
      <c r="AI72">
        <v>1</v>
      </c>
      <c r="AJ72">
        <v>0</v>
      </c>
      <c r="AK72">
        <v>0</v>
      </c>
      <c r="AL72">
        <v>101</v>
      </c>
    </row>
    <row r="73" spans="1:38" x14ac:dyDescent="0.25">
      <c r="A73">
        <v>20608997106</v>
      </c>
      <c r="B73" t="s">
        <v>115</v>
      </c>
      <c r="C73">
        <v>202606</v>
      </c>
      <c r="D73" t="s">
        <v>278</v>
      </c>
      <c r="E73" s="99">
        <v>46194</v>
      </c>
      <c r="G73">
        <v>3</v>
      </c>
      <c r="H73" t="s">
        <v>141</v>
      </c>
      <c r="I73">
        <v>3734</v>
      </c>
      <c r="K73" t="s">
        <v>142</v>
      </c>
      <c r="L73" t="s">
        <v>142</v>
      </c>
      <c r="M73" t="s">
        <v>279</v>
      </c>
      <c r="N73">
        <v>0</v>
      </c>
      <c r="O73">
        <v>114.41</v>
      </c>
      <c r="P73">
        <v>0</v>
      </c>
      <c r="Q73">
        <v>20.59</v>
      </c>
      <c r="R73">
        <v>0</v>
      </c>
      <c r="S73">
        <v>0</v>
      </c>
      <c r="T73">
        <v>0</v>
      </c>
      <c r="U73">
        <v>0</v>
      </c>
      <c r="V73">
        <v>0</v>
      </c>
      <c r="W73">
        <v>0</v>
      </c>
      <c r="X73">
        <v>0</v>
      </c>
      <c r="Y73">
        <v>0</v>
      </c>
      <c r="Z73">
        <v>135</v>
      </c>
      <c r="AA73" t="s">
        <v>116</v>
      </c>
      <c r="AB73">
        <v>1</v>
      </c>
      <c r="AI73">
        <v>1</v>
      </c>
      <c r="AJ73">
        <v>0</v>
      </c>
      <c r="AK73">
        <v>0</v>
      </c>
      <c r="AL73">
        <v>101</v>
      </c>
    </row>
    <row r="74" spans="1:38" x14ac:dyDescent="0.25">
      <c r="A74">
        <v>20608997106</v>
      </c>
      <c r="B74" t="s">
        <v>115</v>
      </c>
      <c r="C74">
        <v>202606</v>
      </c>
      <c r="D74" t="s">
        <v>280</v>
      </c>
      <c r="E74" s="99">
        <v>46194</v>
      </c>
      <c r="G74">
        <v>3</v>
      </c>
      <c r="H74" t="s">
        <v>141</v>
      </c>
      <c r="I74">
        <v>3735</v>
      </c>
      <c r="K74" t="s">
        <v>142</v>
      </c>
      <c r="L74" t="s">
        <v>142</v>
      </c>
      <c r="M74" t="s">
        <v>281</v>
      </c>
      <c r="N74">
        <v>0</v>
      </c>
      <c r="O74">
        <v>42.37</v>
      </c>
      <c r="P74">
        <v>0</v>
      </c>
      <c r="Q74">
        <v>7.63</v>
      </c>
      <c r="R74">
        <v>0</v>
      </c>
      <c r="S74">
        <v>0</v>
      </c>
      <c r="T74">
        <v>0</v>
      </c>
      <c r="U74">
        <v>0</v>
      </c>
      <c r="V74">
        <v>0</v>
      </c>
      <c r="W74">
        <v>0</v>
      </c>
      <c r="X74">
        <v>0</v>
      </c>
      <c r="Y74">
        <v>0</v>
      </c>
      <c r="Z74">
        <v>50</v>
      </c>
      <c r="AA74" t="s">
        <v>116</v>
      </c>
      <c r="AB74">
        <v>1</v>
      </c>
      <c r="AI74">
        <v>1</v>
      </c>
      <c r="AJ74">
        <v>0</v>
      </c>
      <c r="AK74">
        <v>0</v>
      </c>
      <c r="AL74">
        <v>101</v>
      </c>
    </row>
    <row r="75" spans="1:38" x14ac:dyDescent="0.25">
      <c r="A75">
        <v>20608997106</v>
      </c>
      <c r="B75" t="s">
        <v>115</v>
      </c>
      <c r="C75">
        <v>202606</v>
      </c>
      <c r="D75" t="s">
        <v>282</v>
      </c>
      <c r="E75" s="99">
        <v>46194</v>
      </c>
      <c r="G75">
        <v>3</v>
      </c>
      <c r="H75" t="s">
        <v>141</v>
      </c>
      <c r="I75">
        <v>3736</v>
      </c>
      <c r="K75" t="s">
        <v>142</v>
      </c>
      <c r="L75" t="s">
        <v>142</v>
      </c>
      <c r="M75" t="s">
        <v>283</v>
      </c>
      <c r="N75">
        <v>0</v>
      </c>
      <c r="O75">
        <v>42.37</v>
      </c>
      <c r="P75">
        <v>0</v>
      </c>
      <c r="Q75">
        <v>7.63</v>
      </c>
      <c r="R75">
        <v>0</v>
      </c>
      <c r="S75">
        <v>0</v>
      </c>
      <c r="T75">
        <v>0</v>
      </c>
      <c r="U75">
        <v>0</v>
      </c>
      <c r="V75">
        <v>0</v>
      </c>
      <c r="W75">
        <v>0</v>
      </c>
      <c r="X75">
        <v>0</v>
      </c>
      <c r="Y75">
        <v>0</v>
      </c>
      <c r="Z75">
        <v>50</v>
      </c>
      <c r="AA75" t="s">
        <v>116</v>
      </c>
      <c r="AB75">
        <v>1</v>
      </c>
      <c r="AI75">
        <v>1</v>
      </c>
      <c r="AJ75">
        <v>0</v>
      </c>
      <c r="AK75">
        <v>0</v>
      </c>
      <c r="AL75">
        <v>101</v>
      </c>
    </row>
    <row r="76" spans="1:38" x14ac:dyDescent="0.25">
      <c r="A76">
        <v>20608997106</v>
      </c>
      <c r="B76" t="s">
        <v>115</v>
      </c>
      <c r="C76">
        <v>202606</v>
      </c>
      <c r="D76" t="s">
        <v>284</v>
      </c>
      <c r="E76" s="99">
        <v>46194</v>
      </c>
      <c r="G76">
        <v>3</v>
      </c>
      <c r="H76" t="s">
        <v>141</v>
      </c>
      <c r="I76">
        <v>3737</v>
      </c>
      <c r="K76">
        <v>1</v>
      </c>
      <c r="L76">
        <v>41372681</v>
      </c>
      <c r="M76" t="s">
        <v>238</v>
      </c>
      <c r="N76">
        <v>0</v>
      </c>
      <c r="O76">
        <v>364.41</v>
      </c>
      <c r="P76">
        <v>0</v>
      </c>
      <c r="Q76">
        <v>65.59</v>
      </c>
      <c r="R76">
        <v>0</v>
      </c>
      <c r="S76">
        <v>0</v>
      </c>
      <c r="T76">
        <v>0</v>
      </c>
      <c r="U76">
        <v>0</v>
      </c>
      <c r="V76">
        <v>0</v>
      </c>
      <c r="W76">
        <v>0</v>
      </c>
      <c r="X76">
        <v>0</v>
      </c>
      <c r="Y76">
        <v>0</v>
      </c>
      <c r="Z76">
        <v>430</v>
      </c>
      <c r="AA76" t="s">
        <v>116</v>
      </c>
      <c r="AB76">
        <v>1</v>
      </c>
      <c r="AI76">
        <v>1</v>
      </c>
      <c r="AJ76">
        <v>0</v>
      </c>
      <c r="AK76">
        <v>0</v>
      </c>
      <c r="AL76">
        <v>101</v>
      </c>
    </row>
    <row r="77" spans="1:38" x14ac:dyDescent="0.25">
      <c r="A77">
        <v>20608997106</v>
      </c>
      <c r="B77" t="s">
        <v>115</v>
      </c>
      <c r="C77">
        <v>202606</v>
      </c>
      <c r="D77" t="s">
        <v>285</v>
      </c>
      <c r="E77" s="99">
        <v>46194</v>
      </c>
      <c r="G77">
        <v>3</v>
      </c>
      <c r="H77" t="s">
        <v>141</v>
      </c>
      <c r="I77">
        <v>3738</v>
      </c>
      <c r="K77">
        <v>1</v>
      </c>
      <c r="L77">
        <v>10515186</v>
      </c>
      <c r="M77" t="s">
        <v>286</v>
      </c>
      <c r="N77">
        <v>0</v>
      </c>
      <c r="O77">
        <v>43.22</v>
      </c>
      <c r="P77">
        <v>0</v>
      </c>
      <c r="Q77">
        <v>7.78</v>
      </c>
      <c r="R77">
        <v>0</v>
      </c>
      <c r="S77">
        <v>0</v>
      </c>
      <c r="T77">
        <v>0</v>
      </c>
      <c r="U77">
        <v>0</v>
      </c>
      <c r="V77">
        <v>0</v>
      </c>
      <c r="W77">
        <v>0</v>
      </c>
      <c r="X77">
        <v>0</v>
      </c>
      <c r="Y77">
        <v>0</v>
      </c>
      <c r="Z77">
        <v>51</v>
      </c>
      <c r="AA77" t="s">
        <v>116</v>
      </c>
      <c r="AB77">
        <v>1</v>
      </c>
      <c r="AI77">
        <v>1</v>
      </c>
      <c r="AJ77">
        <v>0</v>
      </c>
      <c r="AK77">
        <v>0</v>
      </c>
      <c r="AL77">
        <v>101</v>
      </c>
    </row>
    <row r="78" spans="1:38" x14ac:dyDescent="0.25">
      <c r="A78">
        <v>20608997106</v>
      </c>
      <c r="B78" t="s">
        <v>115</v>
      </c>
      <c r="C78">
        <v>202606</v>
      </c>
      <c r="D78" t="s">
        <v>287</v>
      </c>
      <c r="E78" s="99">
        <v>46194</v>
      </c>
      <c r="G78">
        <v>3</v>
      </c>
      <c r="H78" t="s">
        <v>141</v>
      </c>
      <c r="I78">
        <v>3739</v>
      </c>
      <c r="K78" t="s">
        <v>142</v>
      </c>
      <c r="L78" t="s">
        <v>142</v>
      </c>
      <c r="M78">
        <v>19975629</v>
      </c>
      <c r="N78">
        <v>0</v>
      </c>
      <c r="O78">
        <v>79.66</v>
      </c>
      <c r="P78">
        <v>0</v>
      </c>
      <c r="Q78">
        <v>14.34</v>
      </c>
      <c r="R78">
        <v>0</v>
      </c>
      <c r="S78">
        <v>0</v>
      </c>
      <c r="T78">
        <v>0</v>
      </c>
      <c r="U78">
        <v>0</v>
      </c>
      <c r="V78">
        <v>0</v>
      </c>
      <c r="W78">
        <v>0</v>
      </c>
      <c r="X78">
        <v>0</v>
      </c>
      <c r="Y78">
        <v>0</v>
      </c>
      <c r="Z78">
        <v>94</v>
      </c>
      <c r="AA78" t="s">
        <v>116</v>
      </c>
      <c r="AB78">
        <v>1</v>
      </c>
      <c r="AI78">
        <v>1</v>
      </c>
      <c r="AJ78">
        <v>0</v>
      </c>
      <c r="AK78">
        <v>0</v>
      </c>
      <c r="AL78">
        <v>101</v>
      </c>
    </row>
    <row r="79" spans="1:38" x14ac:dyDescent="0.25">
      <c r="A79">
        <v>20608997106</v>
      </c>
      <c r="B79" t="s">
        <v>115</v>
      </c>
      <c r="C79">
        <v>202606</v>
      </c>
      <c r="D79" t="s">
        <v>288</v>
      </c>
      <c r="E79" s="99">
        <v>46194</v>
      </c>
      <c r="G79">
        <v>3</v>
      </c>
      <c r="H79" t="s">
        <v>141</v>
      </c>
      <c r="I79">
        <v>3740</v>
      </c>
      <c r="K79" t="s">
        <v>142</v>
      </c>
      <c r="L79" t="s">
        <v>142</v>
      </c>
      <c r="M79" t="s">
        <v>289</v>
      </c>
      <c r="N79">
        <v>0</v>
      </c>
      <c r="O79">
        <v>111.86</v>
      </c>
      <c r="P79">
        <v>0</v>
      </c>
      <c r="Q79">
        <v>20.14</v>
      </c>
      <c r="R79">
        <v>0</v>
      </c>
      <c r="S79">
        <v>0</v>
      </c>
      <c r="T79">
        <v>0</v>
      </c>
      <c r="U79">
        <v>0</v>
      </c>
      <c r="V79">
        <v>0</v>
      </c>
      <c r="W79">
        <v>0</v>
      </c>
      <c r="X79">
        <v>0</v>
      </c>
      <c r="Y79">
        <v>0</v>
      </c>
      <c r="Z79">
        <v>132</v>
      </c>
      <c r="AA79" t="s">
        <v>116</v>
      </c>
      <c r="AB79">
        <v>1</v>
      </c>
      <c r="AI79">
        <v>1</v>
      </c>
      <c r="AJ79">
        <v>0</v>
      </c>
      <c r="AK79">
        <v>0</v>
      </c>
      <c r="AL79">
        <v>101</v>
      </c>
    </row>
    <row r="80" spans="1:38" x14ac:dyDescent="0.25">
      <c r="A80">
        <v>20608997106</v>
      </c>
      <c r="B80" t="s">
        <v>115</v>
      </c>
      <c r="C80">
        <v>202606</v>
      </c>
      <c r="D80" t="s">
        <v>290</v>
      </c>
      <c r="E80" s="99">
        <v>46195</v>
      </c>
      <c r="G80">
        <v>3</v>
      </c>
      <c r="H80" t="s">
        <v>141</v>
      </c>
      <c r="I80">
        <v>3741</v>
      </c>
      <c r="K80">
        <v>1</v>
      </c>
      <c r="L80">
        <v>70386655</v>
      </c>
      <c r="M80" t="s">
        <v>291</v>
      </c>
      <c r="N80">
        <v>0</v>
      </c>
      <c r="O80">
        <v>43.22</v>
      </c>
      <c r="P80">
        <v>0</v>
      </c>
      <c r="Q80">
        <v>7.78</v>
      </c>
      <c r="R80">
        <v>0</v>
      </c>
      <c r="S80">
        <v>0</v>
      </c>
      <c r="T80">
        <v>0</v>
      </c>
      <c r="U80">
        <v>0</v>
      </c>
      <c r="V80">
        <v>0</v>
      </c>
      <c r="W80">
        <v>0</v>
      </c>
      <c r="X80">
        <v>0</v>
      </c>
      <c r="Y80">
        <v>0</v>
      </c>
      <c r="Z80">
        <v>51</v>
      </c>
      <c r="AA80" t="s">
        <v>116</v>
      </c>
      <c r="AB80">
        <v>1</v>
      </c>
      <c r="AI80">
        <v>1</v>
      </c>
      <c r="AJ80">
        <v>0</v>
      </c>
      <c r="AK80">
        <v>0</v>
      </c>
      <c r="AL80">
        <v>101</v>
      </c>
    </row>
    <row r="81" spans="1:38" x14ac:dyDescent="0.25">
      <c r="A81">
        <v>20608997106</v>
      </c>
      <c r="B81" t="s">
        <v>115</v>
      </c>
      <c r="C81">
        <v>202606</v>
      </c>
      <c r="D81" t="s">
        <v>292</v>
      </c>
      <c r="E81" s="99">
        <v>46195</v>
      </c>
      <c r="G81">
        <v>3</v>
      </c>
      <c r="H81" t="s">
        <v>141</v>
      </c>
      <c r="I81">
        <v>3742</v>
      </c>
      <c r="K81" t="s">
        <v>142</v>
      </c>
      <c r="L81" t="s">
        <v>142</v>
      </c>
      <c r="M81" t="s">
        <v>293</v>
      </c>
      <c r="N81">
        <v>0</v>
      </c>
      <c r="O81">
        <v>79.66</v>
      </c>
      <c r="P81">
        <v>0</v>
      </c>
      <c r="Q81">
        <v>14.34</v>
      </c>
      <c r="R81">
        <v>0</v>
      </c>
      <c r="S81">
        <v>0</v>
      </c>
      <c r="T81">
        <v>0</v>
      </c>
      <c r="U81">
        <v>0</v>
      </c>
      <c r="V81">
        <v>0</v>
      </c>
      <c r="W81">
        <v>0</v>
      </c>
      <c r="X81">
        <v>0</v>
      </c>
      <c r="Y81">
        <v>0</v>
      </c>
      <c r="Z81">
        <v>94</v>
      </c>
      <c r="AA81" t="s">
        <v>116</v>
      </c>
      <c r="AB81">
        <v>1</v>
      </c>
      <c r="AI81">
        <v>1</v>
      </c>
      <c r="AJ81">
        <v>0</v>
      </c>
      <c r="AK81">
        <v>0</v>
      </c>
      <c r="AL81">
        <v>101</v>
      </c>
    </row>
    <row r="82" spans="1:38" x14ac:dyDescent="0.25">
      <c r="A82">
        <v>20608997106</v>
      </c>
      <c r="B82" t="s">
        <v>115</v>
      </c>
      <c r="C82">
        <v>202606</v>
      </c>
      <c r="D82" t="s">
        <v>294</v>
      </c>
      <c r="E82" s="99">
        <v>46195</v>
      </c>
      <c r="G82">
        <v>3</v>
      </c>
      <c r="H82" t="s">
        <v>141</v>
      </c>
      <c r="I82">
        <v>3743</v>
      </c>
      <c r="K82">
        <v>1</v>
      </c>
      <c r="L82">
        <v>23642861</v>
      </c>
      <c r="M82" t="s">
        <v>295</v>
      </c>
      <c r="N82">
        <v>0</v>
      </c>
      <c r="O82">
        <v>116.95</v>
      </c>
      <c r="P82">
        <v>0</v>
      </c>
      <c r="Q82">
        <v>21.05</v>
      </c>
      <c r="R82">
        <v>0</v>
      </c>
      <c r="S82">
        <v>0</v>
      </c>
      <c r="T82">
        <v>0</v>
      </c>
      <c r="U82">
        <v>0</v>
      </c>
      <c r="V82">
        <v>0</v>
      </c>
      <c r="W82">
        <v>0</v>
      </c>
      <c r="X82">
        <v>0</v>
      </c>
      <c r="Y82">
        <v>0</v>
      </c>
      <c r="Z82">
        <v>138</v>
      </c>
      <c r="AA82" t="s">
        <v>116</v>
      </c>
      <c r="AB82">
        <v>1</v>
      </c>
      <c r="AI82">
        <v>1</v>
      </c>
      <c r="AJ82">
        <v>0</v>
      </c>
      <c r="AK82">
        <v>0</v>
      </c>
      <c r="AL82">
        <v>101</v>
      </c>
    </row>
    <row r="83" spans="1:38" x14ac:dyDescent="0.25">
      <c r="A83">
        <v>20608997106</v>
      </c>
      <c r="B83" t="s">
        <v>115</v>
      </c>
      <c r="C83">
        <v>202606</v>
      </c>
      <c r="D83" t="s">
        <v>296</v>
      </c>
      <c r="E83" s="99">
        <v>46195</v>
      </c>
      <c r="G83">
        <v>3</v>
      </c>
      <c r="H83" t="s">
        <v>141</v>
      </c>
      <c r="I83">
        <v>3744</v>
      </c>
      <c r="K83">
        <v>1</v>
      </c>
      <c r="L83">
        <v>46488260</v>
      </c>
      <c r="M83" t="s">
        <v>297</v>
      </c>
      <c r="N83">
        <v>0</v>
      </c>
      <c r="O83">
        <v>42.37</v>
      </c>
      <c r="P83">
        <v>0</v>
      </c>
      <c r="Q83">
        <v>7.63</v>
      </c>
      <c r="R83">
        <v>0</v>
      </c>
      <c r="S83">
        <v>0</v>
      </c>
      <c r="T83">
        <v>0</v>
      </c>
      <c r="U83">
        <v>0</v>
      </c>
      <c r="V83">
        <v>0</v>
      </c>
      <c r="W83">
        <v>0</v>
      </c>
      <c r="X83">
        <v>0</v>
      </c>
      <c r="Y83">
        <v>0</v>
      </c>
      <c r="Z83">
        <v>50</v>
      </c>
      <c r="AA83" t="s">
        <v>116</v>
      </c>
      <c r="AB83">
        <v>1</v>
      </c>
      <c r="AI83">
        <v>1</v>
      </c>
      <c r="AJ83">
        <v>0</v>
      </c>
      <c r="AK83">
        <v>0</v>
      </c>
      <c r="AL83">
        <v>101</v>
      </c>
    </row>
    <row r="84" spans="1:38" x14ac:dyDescent="0.25">
      <c r="A84">
        <v>20608997106</v>
      </c>
      <c r="B84" t="s">
        <v>115</v>
      </c>
      <c r="C84">
        <v>202606</v>
      </c>
      <c r="D84" t="s">
        <v>298</v>
      </c>
      <c r="E84" s="99">
        <v>46195</v>
      </c>
      <c r="G84">
        <v>3</v>
      </c>
      <c r="H84" t="s">
        <v>141</v>
      </c>
      <c r="I84">
        <v>3745</v>
      </c>
      <c r="K84">
        <v>1</v>
      </c>
      <c r="L84">
        <v>46169303</v>
      </c>
      <c r="M84" t="s">
        <v>145</v>
      </c>
      <c r="N84">
        <v>0</v>
      </c>
      <c r="O84">
        <v>84.75</v>
      </c>
      <c r="P84">
        <v>0</v>
      </c>
      <c r="Q84">
        <v>15.25</v>
      </c>
      <c r="R84">
        <v>0</v>
      </c>
      <c r="S84">
        <v>0</v>
      </c>
      <c r="T84">
        <v>0</v>
      </c>
      <c r="U84">
        <v>0</v>
      </c>
      <c r="V84">
        <v>0</v>
      </c>
      <c r="W84">
        <v>0</v>
      </c>
      <c r="X84">
        <v>0</v>
      </c>
      <c r="Y84">
        <v>0</v>
      </c>
      <c r="Z84">
        <v>100</v>
      </c>
      <c r="AA84" t="s">
        <v>116</v>
      </c>
      <c r="AB84">
        <v>1</v>
      </c>
      <c r="AI84">
        <v>1</v>
      </c>
      <c r="AJ84">
        <v>0</v>
      </c>
      <c r="AK84">
        <v>0</v>
      </c>
      <c r="AL84">
        <v>101</v>
      </c>
    </row>
    <row r="85" spans="1:38" x14ac:dyDescent="0.25">
      <c r="A85">
        <v>20608997106</v>
      </c>
      <c r="B85" t="s">
        <v>115</v>
      </c>
      <c r="C85">
        <v>202606</v>
      </c>
      <c r="D85" t="s">
        <v>299</v>
      </c>
      <c r="E85" s="99">
        <v>46195</v>
      </c>
      <c r="G85">
        <v>3</v>
      </c>
      <c r="H85" t="s">
        <v>141</v>
      </c>
      <c r="I85">
        <v>3746</v>
      </c>
      <c r="K85">
        <v>1</v>
      </c>
      <c r="L85">
        <v>42146347</v>
      </c>
      <c r="M85" t="s">
        <v>300</v>
      </c>
      <c r="N85">
        <v>0</v>
      </c>
      <c r="O85">
        <v>186.44</v>
      </c>
      <c r="P85">
        <v>0</v>
      </c>
      <c r="Q85">
        <v>33.56</v>
      </c>
      <c r="R85">
        <v>0</v>
      </c>
      <c r="S85">
        <v>0</v>
      </c>
      <c r="T85">
        <v>0</v>
      </c>
      <c r="U85">
        <v>0</v>
      </c>
      <c r="V85">
        <v>0</v>
      </c>
      <c r="W85">
        <v>0</v>
      </c>
      <c r="X85">
        <v>0</v>
      </c>
      <c r="Y85">
        <v>0</v>
      </c>
      <c r="Z85">
        <v>220</v>
      </c>
      <c r="AA85" t="s">
        <v>116</v>
      </c>
      <c r="AB85">
        <v>1</v>
      </c>
      <c r="AI85">
        <v>1</v>
      </c>
      <c r="AJ85">
        <v>0</v>
      </c>
      <c r="AK85">
        <v>0</v>
      </c>
      <c r="AL85">
        <v>101</v>
      </c>
    </row>
    <row r="86" spans="1:38" x14ac:dyDescent="0.25">
      <c r="A86">
        <v>20608997106</v>
      </c>
      <c r="B86" t="s">
        <v>115</v>
      </c>
      <c r="C86">
        <v>202606</v>
      </c>
      <c r="D86" t="s">
        <v>301</v>
      </c>
      <c r="E86" s="99">
        <v>46195</v>
      </c>
      <c r="G86">
        <v>3</v>
      </c>
      <c r="H86" t="s">
        <v>141</v>
      </c>
      <c r="I86">
        <v>3747</v>
      </c>
      <c r="K86" t="s">
        <v>142</v>
      </c>
      <c r="L86" t="s">
        <v>142</v>
      </c>
      <c r="M86" t="s">
        <v>302</v>
      </c>
      <c r="N86">
        <v>0</v>
      </c>
      <c r="O86">
        <v>43.22</v>
      </c>
      <c r="P86">
        <v>0</v>
      </c>
      <c r="Q86">
        <v>7.78</v>
      </c>
      <c r="R86">
        <v>0</v>
      </c>
      <c r="S86">
        <v>0</v>
      </c>
      <c r="T86">
        <v>0</v>
      </c>
      <c r="U86">
        <v>0</v>
      </c>
      <c r="V86">
        <v>0</v>
      </c>
      <c r="W86">
        <v>0</v>
      </c>
      <c r="X86">
        <v>0</v>
      </c>
      <c r="Y86">
        <v>0</v>
      </c>
      <c r="Z86">
        <v>51</v>
      </c>
      <c r="AA86" t="s">
        <v>116</v>
      </c>
      <c r="AB86">
        <v>1</v>
      </c>
      <c r="AI86">
        <v>1</v>
      </c>
      <c r="AJ86">
        <v>0</v>
      </c>
      <c r="AK86">
        <v>0</v>
      </c>
      <c r="AL86">
        <v>101</v>
      </c>
    </row>
    <row r="87" spans="1:38" x14ac:dyDescent="0.25">
      <c r="A87">
        <v>20608997106</v>
      </c>
      <c r="B87" t="s">
        <v>115</v>
      </c>
      <c r="C87">
        <v>202606</v>
      </c>
      <c r="D87" t="s">
        <v>303</v>
      </c>
      <c r="E87" s="99">
        <v>46195</v>
      </c>
      <c r="G87">
        <v>3</v>
      </c>
      <c r="H87" t="s">
        <v>141</v>
      </c>
      <c r="I87">
        <v>3748</v>
      </c>
      <c r="K87">
        <v>1</v>
      </c>
      <c r="L87">
        <v>48686005</v>
      </c>
      <c r="M87" t="s">
        <v>304</v>
      </c>
      <c r="N87">
        <v>0</v>
      </c>
      <c r="O87">
        <v>77.97</v>
      </c>
      <c r="P87">
        <v>0</v>
      </c>
      <c r="Q87">
        <v>14.03</v>
      </c>
      <c r="R87">
        <v>0</v>
      </c>
      <c r="S87">
        <v>0</v>
      </c>
      <c r="T87">
        <v>0</v>
      </c>
      <c r="U87">
        <v>0</v>
      </c>
      <c r="V87">
        <v>0</v>
      </c>
      <c r="W87">
        <v>0</v>
      </c>
      <c r="X87">
        <v>0</v>
      </c>
      <c r="Y87">
        <v>0</v>
      </c>
      <c r="Z87">
        <v>92</v>
      </c>
      <c r="AA87" t="s">
        <v>116</v>
      </c>
      <c r="AB87">
        <v>1</v>
      </c>
      <c r="AI87">
        <v>1</v>
      </c>
      <c r="AJ87">
        <v>0</v>
      </c>
      <c r="AK87">
        <v>0</v>
      </c>
      <c r="AL87">
        <v>101</v>
      </c>
    </row>
    <row r="88" spans="1:38" x14ac:dyDescent="0.25">
      <c r="A88">
        <v>20608997106</v>
      </c>
      <c r="B88" t="s">
        <v>115</v>
      </c>
      <c r="C88">
        <v>202606</v>
      </c>
      <c r="D88" t="s">
        <v>305</v>
      </c>
      <c r="E88" s="99">
        <v>46195</v>
      </c>
      <c r="G88">
        <v>3</v>
      </c>
      <c r="H88" t="s">
        <v>141</v>
      </c>
      <c r="I88">
        <v>3749</v>
      </c>
      <c r="K88" t="s">
        <v>142</v>
      </c>
      <c r="L88" t="s">
        <v>142</v>
      </c>
      <c r="M88" t="s">
        <v>306</v>
      </c>
      <c r="N88">
        <v>0</v>
      </c>
      <c r="O88">
        <v>42.37</v>
      </c>
      <c r="P88">
        <v>0</v>
      </c>
      <c r="Q88">
        <v>7.63</v>
      </c>
      <c r="R88">
        <v>0</v>
      </c>
      <c r="S88">
        <v>0</v>
      </c>
      <c r="T88">
        <v>0</v>
      </c>
      <c r="U88">
        <v>0</v>
      </c>
      <c r="V88">
        <v>0</v>
      </c>
      <c r="W88">
        <v>0</v>
      </c>
      <c r="X88">
        <v>0</v>
      </c>
      <c r="Y88">
        <v>0</v>
      </c>
      <c r="Z88">
        <v>50</v>
      </c>
      <c r="AA88" t="s">
        <v>116</v>
      </c>
      <c r="AB88">
        <v>1</v>
      </c>
      <c r="AI88">
        <v>1</v>
      </c>
      <c r="AJ88">
        <v>0</v>
      </c>
      <c r="AK88">
        <v>0</v>
      </c>
      <c r="AL88">
        <v>101</v>
      </c>
    </row>
    <row r="89" spans="1:38" x14ac:dyDescent="0.25">
      <c r="A89">
        <v>20608997106</v>
      </c>
      <c r="B89" t="s">
        <v>115</v>
      </c>
      <c r="C89">
        <v>202606</v>
      </c>
      <c r="D89" t="s">
        <v>307</v>
      </c>
      <c r="E89" s="99">
        <v>46195</v>
      </c>
      <c r="G89">
        <v>3</v>
      </c>
      <c r="H89" t="s">
        <v>141</v>
      </c>
      <c r="I89">
        <v>3750</v>
      </c>
      <c r="K89" t="s">
        <v>142</v>
      </c>
      <c r="L89" t="s">
        <v>142</v>
      </c>
      <c r="M89" t="s">
        <v>308</v>
      </c>
      <c r="N89">
        <v>0</v>
      </c>
      <c r="O89">
        <v>114.41</v>
      </c>
      <c r="P89">
        <v>0</v>
      </c>
      <c r="Q89">
        <v>20.59</v>
      </c>
      <c r="R89">
        <v>0</v>
      </c>
      <c r="S89">
        <v>0</v>
      </c>
      <c r="T89">
        <v>0</v>
      </c>
      <c r="U89">
        <v>0</v>
      </c>
      <c r="V89">
        <v>0</v>
      </c>
      <c r="W89">
        <v>0</v>
      </c>
      <c r="X89">
        <v>0</v>
      </c>
      <c r="Y89">
        <v>0</v>
      </c>
      <c r="Z89">
        <v>135</v>
      </c>
      <c r="AA89" t="s">
        <v>116</v>
      </c>
      <c r="AB89">
        <v>1</v>
      </c>
      <c r="AI89">
        <v>1</v>
      </c>
      <c r="AJ89">
        <v>0</v>
      </c>
      <c r="AK89">
        <v>0</v>
      </c>
      <c r="AL89">
        <v>101</v>
      </c>
    </row>
    <row r="90" spans="1:38" x14ac:dyDescent="0.25">
      <c r="A90">
        <v>20608997106</v>
      </c>
      <c r="B90" t="s">
        <v>115</v>
      </c>
      <c r="C90">
        <v>202606</v>
      </c>
      <c r="D90" t="s">
        <v>309</v>
      </c>
      <c r="E90" s="99">
        <v>46195</v>
      </c>
      <c r="G90">
        <v>3</v>
      </c>
      <c r="H90" t="s">
        <v>141</v>
      </c>
      <c r="I90">
        <v>3751</v>
      </c>
      <c r="K90" t="s">
        <v>142</v>
      </c>
      <c r="L90" t="s">
        <v>142</v>
      </c>
      <c r="M90" t="s">
        <v>310</v>
      </c>
      <c r="N90">
        <v>0</v>
      </c>
      <c r="O90">
        <v>80.760000000000005</v>
      </c>
      <c r="P90">
        <v>0</v>
      </c>
      <c r="Q90">
        <v>14.54</v>
      </c>
      <c r="R90">
        <v>0</v>
      </c>
      <c r="S90">
        <v>0</v>
      </c>
      <c r="T90">
        <v>0</v>
      </c>
      <c r="U90">
        <v>0</v>
      </c>
      <c r="V90">
        <v>0</v>
      </c>
      <c r="W90">
        <v>0</v>
      </c>
      <c r="X90">
        <v>0</v>
      </c>
      <c r="Y90">
        <v>0</v>
      </c>
      <c r="Z90">
        <v>95.29</v>
      </c>
      <c r="AA90" t="s">
        <v>116</v>
      </c>
      <c r="AB90">
        <v>1</v>
      </c>
      <c r="AI90">
        <v>1</v>
      </c>
      <c r="AJ90">
        <v>0</v>
      </c>
      <c r="AK90">
        <v>0</v>
      </c>
      <c r="AL90">
        <v>101</v>
      </c>
    </row>
    <row r="91" spans="1:38" x14ac:dyDescent="0.25">
      <c r="A91">
        <v>20608997106</v>
      </c>
      <c r="B91" t="s">
        <v>115</v>
      </c>
      <c r="C91">
        <v>202606</v>
      </c>
      <c r="D91" t="s">
        <v>311</v>
      </c>
      <c r="E91" s="99">
        <v>46195</v>
      </c>
      <c r="G91">
        <v>3</v>
      </c>
      <c r="H91" t="s">
        <v>141</v>
      </c>
      <c r="I91">
        <v>3752</v>
      </c>
      <c r="K91">
        <v>1</v>
      </c>
      <c r="L91">
        <v>80024369</v>
      </c>
      <c r="M91" t="s">
        <v>312</v>
      </c>
      <c r="N91">
        <v>0</v>
      </c>
      <c r="O91">
        <v>43.22</v>
      </c>
      <c r="P91">
        <v>0</v>
      </c>
      <c r="Q91">
        <v>7.78</v>
      </c>
      <c r="R91">
        <v>0</v>
      </c>
      <c r="S91">
        <v>0</v>
      </c>
      <c r="T91">
        <v>0</v>
      </c>
      <c r="U91">
        <v>0</v>
      </c>
      <c r="V91">
        <v>0</v>
      </c>
      <c r="W91">
        <v>0</v>
      </c>
      <c r="X91">
        <v>0</v>
      </c>
      <c r="Y91">
        <v>0</v>
      </c>
      <c r="Z91">
        <v>51</v>
      </c>
      <c r="AA91" t="s">
        <v>116</v>
      </c>
      <c r="AB91">
        <v>1</v>
      </c>
      <c r="AI91">
        <v>1</v>
      </c>
      <c r="AJ91">
        <v>0</v>
      </c>
      <c r="AK91">
        <v>0</v>
      </c>
      <c r="AL91">
        <v>101</v>
      </c>
    </row>
    <row r="92" spans="1:38" x14ac:dyDescent="0.25">
      <c r="A92">
        <v>20608997106</v>
      </c>
      <c r="B92" t="s">
        <v>115</v>
      </c>
      <c r="C92">
        <v>202606</v>
      </c>
      <c r="D92" t="s">
        <v>313</v>
      </c>
      <c r="E92" s="99">
        <v>46195</v>
      </c>
      <c r="G92">
        <v>3</v>
      </c>
      <c r="H92" t="s">
        <v>141</v>
      </c>
      <c r="I92">
        <v>3753</v>
      </c>
      <c r="K92">
        <v>1</v>
      </c>
      <c r="L92">
        <v>20014022</v>
      </c>
      <c r="M92" t="s">
        <v>314</v>
      </c>
      <c r="N92">
        <v>0</v>
      </c>
      <c r="O92">
        <v>79.66</v>
      </c>
      <c r="P92">
        <v>0</v>
      </c>
      <c r="Q92">
        <v>14.34</v>
      </c>
      <c r="R92">
        <v>0</v>
      </c>
      <c r="S92">
        <v>0</v>
      </c>
      <c r="T92">
        <v>0</v>
      </c>
      <c r="U92">
        <v>0</v>
      </c>
      <c r="V92">
        <v>0</v>
      </c>
      <c r="W92">
        <v>0</v>
      </c>
      <c r="X92">
        <v>0</v>
      </c>
      <c r="Y92">
        <v>0</v>
      </c>
      <c r="Z92">
        <v>94</v>
      </c>
      <c r="AA92" t="s">
        <v>116</v>
      </c>
      <c r="AB92">
        <v>1</v>
      </c>
      <c r="AI92">
        <v>1</v>
      </c>
      <c r="AJ92">
        <v>0</v>
      </c>
      <c r="AK92">
        <v>0</v>
      </c>
      <c r="AL92">
        <v>101</v>
      </c>
    </row>
    <row r="93" spans="1:38" x14ac:dyDescent="0.25">
      <c r="A93">
        <v>20608997106</v>
      </c>
      <c r="B93" t="s">
        <v>115</v>
      </c>
      <c r="C93">
        <v>202606</v>
      </c>
      <c r="D93" t="s">
        <v>315</v>
      </c>
      <c r="E93" s="99">
        <v>46195</v>
      </c>
      <c r="G93">
        <v>3</v>
      </c>
      <c r="H93" t="s">
        <v>141</v>
      </c>
      <c r="I93">
        <v>3754</v>
      </c>
      <c r="K93">
        <v>1</v>
      </c>
      <c r="L93">
        <v>19949626</v>
      </c>
      <c r="M93" t="s">
        <v>316</v>
      </c>
      <c r="N93">
        <v>0</v>
      </c>
      <c r="O93">
        <v>114.41</v>
      </c>
      <c r="P93">
        <v>0</v>
      </c>
      <c r="Q93">
        <v>20.59</v>
      </c>
      <c r="R93">
        <v>0</v>
      </c>
      <c r="S93">
        <v>0</v>
      </c>
      <c r="T93">
        <v>0</v>
      </c>
      <c r="U93">
        <v>0</v>
      </c>
      <c r="V93">
        <v>0</v>
      </c>
      <c r="W93">
        <v>0</v>
      </c>
      <c r="X93">
        <v>0</v>
      </c>
      <c r="Y93">
        <v>0</v>
      </c>
      <c r="Z93">
        <v>135</v>
      </c>
      <c r="AA93" t="s">
        <v>116</v>
      </c>
      <c r="AB93">
        <v>1</v>
      </c>
      <c r="AI93">
        <v>1</v>
      </c>
      <c r="AJ93">
        <v>0</v>
      </c>
      <c r="AK93">
        <v>0</v>
      </c>
      <c r="AL93">
        <v>101</v>
      </c>
    </row>
    <row r="94" spans="1:38" x14ac:dyDescent="0.25">
      <c r="A94">
        <v>20608997106</v>
      </c>
      <c r="B94" t="s">
        <v>115</v>
      </c>
      <c r="C94">
        <v>202606</v>
      </c>
      <c r="D94" t="s">
        <v>317</v>
      </c>
      <c r="E94" s="99">
        <v>46195</v>
      </c>
      <c r="G94">
        <v>3</v>
      </c>
      <c r="H94" t="s">
        <v>141</v>
      </c>
      <c r="I94">
        <v>3755</v>
      </c>
      <c r="K94">
        <v>1</v>
      </c>
      <c r="L94">
        <v>20014739</v>
      </c>
      <c r="M94" t="s">
        <v>318</v>
      </c>
      <c r="N94">
        <v>0</v>
      </c>
      <c r="O94">
        <v>42.37</v>
      </c>
      <c r="P94">
        <v>0</v>
      </c>
      <c r="Q94">
        <v>7.63</v>
      </c>
      <c r="R94">
        <v>0</v>
      </c>
      <c r="S94">
        <v>0</v>
      </c>
      <c r="T94">
        <v>0</v>
      </c>
      <c r="U94">
        <v>0</v>
      </c>
      <c r="V94">
        <v>0</v>
      </c>
      <c r="W94">
        <v>0</v>
      </c>
      <c r="X94">
        <v>0</v>
      </c>
      <c r="Y94">
        <v>0</v>
      </c>
      <c r="Z94">
        <v>50</v>
      </c>
      <c r="AA94" t="s">
        <v>116</v>
      </c>
      <c r="AB94">
        <v>1</v>
      </c>
      <c r="AI94">
        <v>1</v>
      </c>
      <c r="AJ94">
        <v>0</v>
      </c>
      <c r="AK94">
        <v>0</v>
      </c>
      <c r="AL94">
        <v>101</v>
      </c>
    </row>
    <row r="95" spans="1:38" x14ac:dyDescent="0.25">
      <c r="A95">
        <v>20608997106</v>
      </c>
      <c r="B95" t="s">
        <v>115</v>
      </c>
      <c r="C95">
        <v>202606</v>
      </c>
      <c r="D95" t="s">
        <v>319</v>
      </c>
      <c r="E95" s="99">
        <v>46195</v>
      </c>
      <c r="G95">
        <v>3</v>
      </c>
      <c r="H95" t="s">
        <v>141</v>
      </c>
      <c r="I95">
        <v>3756</v>
      </c>
      <c r="K95">
        <v>1</v>
      </c>
      <c r="L95">
        <v>40359962</v>
      </c>
      <c r="M95" t="s">
        <v>320</v>
      </c>
      <c r="N95">
        <v>0</v>
      </c>
      <c r="O95">
        <v>83.05</v>
      </c>
      <c r="P95">
        <v>0</v>
      </c>
      <c r="Q95">
        <v>14.95</v>
      </c>
      <c r="R95">
        <v>0</v>
      </c>
      <c r="S95">
        <v>0</v>
      </c>
      <c r="T95">
        <v>0</v>
      </c>
      <c r="U95">
        <v>0</v>
      </c>
      <c r="V95">
        <v>0</v>
      </c>
      <c r="W95">
        <v>0</v>
      </c>
      <c r="X95">
        <v>0</v>
      </c>
      <c r="Y95">
        <v>0</v>
      </c>
      <c r="Z95">
        <v>98</v>
      </c>
      <c r="AA95" t="s">
        <v>116</v>
      </c>
      <c r="AB95">
        <v>1</v>
      </c>
      <c r="AI95">
        <v>1</v>
      </c>
      <c r="AJ95">
        <v>0</v>
      </c>
      <c r="AK95">
        <v>0</v>
      </c>
      <c r="AL95">
        <v>101</v>
      </c>
    </row>
    <row r="96" spans="1:38" x14ac:dyDescent="0.25">
      <c r="A96">
        <v>20608997106</v>
      </c>
      <c r="B96" t="s">
        <v>115</v>
      </c>
      <c r="C96">
        <v>202606</v>
      </c>
      <c r="D96" t="s">
        <v>321</v>
      </c>
      <c r="E96" s="99">
        <v>46195</v>
      </c>
      <c r="G96">
        <v>3</v>
      </c>
      <c r="H96" t="s">
        <v>141</v>
      </c>
      <c r="I96">
        <v>3757</v>
      </c>
      <c r="K96">
        <v>1</v>
      </c>
      <c r="L96">
        <v>42530956</v>
      </c>
      <c r="M96" t="s">
        <v>322</v>
      </c>
      <c r="N96">
        <v>0</v>
      </c>
      <c r="O96">
        <v>111.86</v>
      </c>
      <c r="P96">
        <v>0</v>
      </c>
      <c r="Q96">
        <v>20.14</v>
      </c>
      <c r="R96">
        <v>0</v>
      </c>
      <c r="S96">
        <v>0</v>
      </c>
      <c r="T96">
        <v>0</v>
      </c>
      <c r="U96">
        <v>0</v>
      </c>
      <c r="V96">
        <v>0</v>
      </c>
      <c r="W96">
        <v>0</v>
      </c>
      <c r="X96">
        <v>0</v>
      </c>
      <c r="Y96">
        <v>0</v>
      </c>
      <c r="Z96">
        <v>132</v>
      </c>
      <c r="AA96" t="s">
        <v>116</v>
      </c>
      <c r="AB96">
        <v>1</v>
      </c>
      <c r="AI96">
        <v>1</v>
      </c>
      <c r="AJ96">
        <v>0</v>
      </c>
      <c r="AK96">
        <v>0</v>
      </c>
      <c r="AL96">
        <v>101</v>
      </c>
    </row>
    <row r="97" spans="1:38" x14ac:dyDescent="0.25">
      <c r="A97">
        <v>20608997106</v>
      </c>
      <c r="B97" t="s">
        <v>115</v>
      </c>
      <c r="C97">
        <v>202606</v>
      </c>
      <c r="D97" t="s">
        <v>323</v>
      </c>
      <c r="E97" s="99">
        <v>46195</v>
      </c>
      <c r="G97">
        <v>3</v>
      </c>
      <c r="H97" t="s">
        <v>141</v>
      </c>
      <c r="I97">
        <v>3758</v>
      </c>
      <c r="K97">
        <v>1</v>
      </c>
      <c r="L97">
        <v>80093673</v>
      </c>
      <c r="M97" t="s">
        <v>324</v>
      </c>
      <c r="N97">
        <v>0</v>
      </c>
      <c r="O97">
        <v>42.37</v>
      </c>
      <c r="P97">
        <v>0</v>
      </c>
      <c r="Q97">
        <v>7.63</v>
      </c>
      <c r="R97">
        <v>0</v>
      </c>
      <c r="S97">
        <v>0</v>
      </c>
      <c r="T97">
        <v>0</v>
      </c>
      <c r="U97">
        <v>0</v>
      </c>
      <c r="V97">
        <v>0</v>
      </c>
      <c r="W97">
        <v>0</v>
      </c>
      <c r="X97">
        <v>0</v>
      </c>
      <c r="Y97">
        <v>0</v>
      </c>
      <c r="Z97">
        <v>50</v>
      </c>
      <c r="AA97" t="s">
        <v>116</v>
      </c>
      <c r="AB97">
        <v>1</v>
      </c>
      <c r="AI97">
        <v>1</v>
      </c>
      <c r="AJ97">
        <v>0</v>
      </c>
      <c r="AK97">
        <v>0</v>
      </c>
      <c r="AL97">
        <v>101</v>
      </c>
    </row>
    <row r="98" spans="1:38" x14ac:dyDescent="0.25">
      <c r="A98">
        <v>20608997106</v>
      </c>
      <c r="B98" t="s">
        <v>115</v>
      </c>
      <c r="C98">
        <v>202606</v>
      </c>
      <c r="D98" t="s">
        <v>325</v>
      </c>
      <c r="E98" s="99">
        <v>46195</v>
      </c>
      <c r="G98">
        <v>3</v>
      </c>
      <c r="H98" t="s">
        <v>141</v>
      </c>
      <c r="I98">
        <v>3759</v>
      </c>
      <c r="K98">
        <v>1</v>
      </c>
      <c r="L98">
        <v>20014296</v>
      </c>
      <c r="M98" t="s">
        <v>326</v>
      </c>
      <c r="N98">
        <v>0</v>
      </c>
      <c r="O98">
        <v>80.760000000000005</v>
      </c>
      <c r="P98">
        <v>0</v>
      </c>
      <c r="Q98">
        <v>14.54</v>
      </c>
      <c r="R98">
        <v>0</v>
      </c>
      <c r="S98">
        <v>0</v>
      </c>
      <c r="T98">
        <v>0</v>
      </c>
      <c r="U98">
        <v>0</v>
      </c>
      <c r="V98">
        <v>0</v>
      </c>
      <c r="W98">
        <v>0</v>
      </c>
      <c r="X98">
        <v>0</v>
      </c>
      <c r="Y98">
        <v>0</v>
      </c>
      <c r="Z98">
        <v>95.29</v>
      </c>
      <c r="AA98" t="s">
        <v>116</v>
      </c>
      <c r="AB98">
        <v>1</v>
      </c>
      <c r="AI98">
        <v>1</v>
      </c>
      <c r="AJ98">
        <v>0</v>
      </c>
      <c r="AK98">
        <v>0</v>
      </c>
      <c r="AL98">
        <v>101</v>
      </c>
    </row>
    <row r="99" spans="1:38" x14ac:dyDescent="0.25">
      <c r="A99">
        <v>20608997106</v>
      </c>
      <c r="B99" t="s">
        <v>115</v>
      </c>
      <c r="C99">
        <v>202606</v>
      </c>
      <c r="D99" t="s">
        <v>327</v>
      </c>
      <c r="E99" s="99">
        <v>46195</v>
      </c>
      <c r="G99">
        <v>3</v>
      </c>
      <c r="H99" t="s">
        <v>141</v>
      </c>
      <c r="I99">
        <v>3760</v>
      </c>
      <c r="K99">
        <v>1</v>
      </c>
      <c r="L99">
        <v>20065450</v>
      </c>
      <c r="M99" t="s">
        <v>328</v>
      </c>
      <c r="N99">
        <v>0</v>
      </c>
      <c r="O99">
        <v>42.37</v>
      </c>
      <c r="P99">
        <v>0</v>
      </c>
      <c r="Q99">
        <v>7.63</v>
      </c>
      <c r="R99">
        <v>0</v>
      </c>
      <c r="S99">
        <v>0</v>
      </c>
      <c r="T99">
        <v>0</v>
      </c>
      <c r="U99">
        <v>0</v>
      </c>
      <c r="V99">
        <v>0</v>
      </c>
      <c r="W99">
        <v>0</v>
      </c>
      <c r="X99">
        <v>0</v>
      </c>
      <c r="Y99">
        <v>0</v>
      </c>
      <c r="Z99">
        <v>50</v>
      </c>
      <c r="AA99" t="s">
        <v>116</v>
      </c>
      <c r="AB99">
        <v>1</v>
      </c>
      <c r="AI99">
        <v>1</v>
      </c>
      <c r="AJ99">
        <v>0</v>
      </c>
      <c r="AK99">
        <v>0</v>
      </c>
      <c r="AL99">
        <v>101</v>
      </c>
    </row>
    <row r="100" spans="1:38" x14ac:dyDescent="0.25">
      <c r="A100">
        <v>20608997106</v>
      </c>
      <c r="B100" t="s">
        <v>115</v>
      </c>
      <c r="C100">
        <v>202606</v>
      </c>
      <c r="D100" t="s">
        <v>329</v>
      </c>
      <c r="E100" s="99">
        <v>46196</v>
      </c>
      <c r="G100">
        <v>3</v>
      </c>
      <c r="H100" t="s">
        <v>141</v>
      </c>
      <c r="I100">
        <v>3761</v>
      </c>
      <c r="K100">
        <v>1</v>
      </c>
      <c r="L100">
        <v>20065450</v>
      </c>
      <c r="M100" t="s">
        <v>328</v>
      </c>
      <c r="N100">
        <v>0</v>
      </c>
      <c r="O100">
        <v>43.22</v>
      </c>
      <c r="P100">
        <v>0</v>
      </c>
      <c r="Q100">
        <v>7.78</v>
      </c>
      <c r="R100">
        <v>0</v>
      </c>
      <c r="S100">
        <v>0</v>
      </c>
      <c r="T100">
        <v>0</v>
      </c>
      <c r="U100">
        <v>0</v>
      </c>
      <c r="V100">
        <v>0</v>
      </c>
      <c r="W100">
        <v>0</v>
      </c>
      <c r="X100">
        <v>0</v>
      </c>
      <c r="Y100">
        <v>0</v>
      </c>
      <c r="Z100">
        <v>51</v>
      </c>
      <c r="AA100" t="s">
        <v>116</v>
      </c>
      <c r="AB100">
        <v>1</v>
      </c>
      <c r="AI100">
        <v>1</v>
      </c>
      <c r="AJ100">
        <v>0</v>
      </c>
      <c r="AK100">
        <v>0</v>
      </c>
      <c r="AL100">
        <v>101</v>
      </c>
    </row>
    <row r="101" spans="1:38" x14ac:dyDescent="0.25">
      <c r="A101">
        <v>20608997106</v>
      </c>
      <c r="B101" t="s">
        <v>115</v>
      </c>
      <c r="C101">
        <v>202606</v>
      </c>
      <c r="D101" t="s">
        <v>330</v>
      </c>
      <c r="E101" s="99">
        <v>46196</v>
      </c>
      <c r="G101">
        <v>3</v>
      </c>
      <c r="H101" t="s">
        <v>141</v>
      </c>
      <c r="I101">
        <v>3762</v>
      </c>
      <c r="K101">
        <v>1</v>
      </c>
      <c r="L101">
        <v>46813090</v>
      </c>
      <c r="M101" t="s">
        <v>331</v>
      </c>
      <c r="N101">
        <v>0</v>
      </c>
      <c r="O101">
        <v>81.36</v>
      </c>
      <c r="P101">
        <v>0</v>
      </c>
      <c r="Q101">
        <v>14.64</v>
      </c>
      <c r="R101">
        <v>0</v>
      </c>
      <c r="S101">
        <v>0</v>
      </c>
      <c r="T101">
        <v>0</v>
      </c>
      <c r="U101">
        <v>0</v>
      </c>
      <c r="V101">
        <v>0</v>
      </c>
      <c r="W101">
        <v>0</v>
      </c>
      <c r="X101">
        <v>0</v>
      </c>
      <c r="Y101">
        <v>0</v>
      </c>
      <c r="Z101">
        <v>96</v>
      </c>
      <c r="AA101" t="s">
        <v>116</v>
      </c>
      <c r="AB101">
        <v>1</v>
      </c>
      <c r="AI101">
        <v>1</v>
      </c>
      <c r="AJ101">
        <v>0</v>
      </c>
      <c r="AK101">
        <v>0</v>
      </c>
      <c r="AL101">
        <v>101</v>
      </c>
    </row>
    <row r="102" spans="1:38" x14ac:dyDescent="0.25">
      <c r="A102">
        <v>20608997106</v>
      </c>
      <c r="B102" t="s">
        <v>115</v>
      </c>
      <c r="C102">
        <v>202606</v>
      </c>
      <c r="D102" t="s">
        <v>332</v>
      </c>
      <c r="E102" s="99">
        <v>46196</v>
      </c>
      <c r="G102">
        <v>3</v>
      </c>
      <c r="H102" t="s">
        <v>141</v>
      </c>
      <c r="I102">
        <v>3763</v>
      </c>
      <c r="K102">
        <v>1</v>
      </c>
      <c r="L102">
        <v>23267827</v>
      </c>
      <c r="M102" t="s">
        <v>333</v>
      </c>
      <c r="N102">
        <v>0</v>
      </c>
      <c r="O102">
        <v>114.41</v>
      </c>
      <c r="P102">
        <v>0</v>
      </c>
      <c r="Q102">
        <v>20.59</v>
      </c>
      <c r="R102">
        <v>0</v>
      </c>
      <c r="S102">
        <v>0</v>
      </c>
      <c r="T102">
        <v>0</v>
      </c>
      <c r="U102">
        <v>0</v>
      </c>
      <c r="V102">
        <v>0</v>
      </c>
      <c r="W102">
        <v>0</v>
      </c>
      <c r="X102">
        <v>0</v>
      </c>
      <c r="Y102">
        <v>0</v>
      </c>
      <c r="Z102">
        <v>135</v>
      </c>
      <c r="AA102" t="s">
        <v>116</v>
      </c>
      <c r="AB102">
        <v>1</v>
      </c>
      <c r="AI102">
        <v>1</v>
      </c>
      <c r="AJ102">
        <v>0</v>
      </c>
      <c r="AK102">
        <v>0</v>
      </c>
      <c r="AL102">
        <v>101</v>
      </c>
    </row>
    <row r="103" spans="1:38" x14ac:dyDescent="0.25">
      <c r="A103">
        <v>20608997106</v>
      </c>
      <c r="B103" t="s">
        <v>115</v>
      </c>
      <c r="C103">
        <v>202606</v>
      </c>
      <c r="D103" t="s">
        <v>334</v>
      </c>
      <c r="E103" s="99">
        <v>46196</v>
      </c>
      <c r="G103">
        <v>3</v>
      </c>
      <c r="H103" t="s">
        <v>141</v>
      </c>
      <c r="I103">
        <v>3764</v>
      </c>
      <c r="K103" t="s">
        <v>142</v>
      </c>
      <c r="L103" t="s">
        <v>142</v>
      </c>
      <c r="M103">
        <v>42315406</v>
      </c>
      <c r="N103">
        <v>0</v>
      </c>
      <c r="O103">
        <v>42.37</v>
      </c>
      <c r="P103">
        <v>0</v>
      </c>
      <c r="Q103">
        <v>7.63</v>
      </c>
      <c r="R103">
        <v>0</v>
      </c>
      <c r="S103">
        <v>0</v>
      </c>
      <c r="T103">
        <v>0</v>
      </c>
      <c r="U103">
        <v>0</v>
      </c>
      <c r="V103">
        <v>0</v>
      </c>
      <c r="W103">
        <v>0</v>
      </c>
      <c r="X103">
        <v>0</v>
      </c>
      <c r="Y103">
        <v>0</v>
      </c>
      <c r="Z103">
        <v>50</v>
      </c>
      <c r="AA103" t="s">
        <v>116</v>
      </c>
      <c r="AB103">
        <v>1</v>
      </c>
      <c r="AI103">
        <v>1</v>
      </c>
      <c r="AJ103">
        <v>0</v>
      </c>
      <c r="AK103">
        <v>0</v>
      </c>
      <c r="AL103">
        <v>101</v>
      </c>
    </row>
    <row r="104" spans="1:38" x14ac:dyDescent="0.25">
      <c r="A104">
        <v>20608997106</v>
      </c>
      <c r="B104" t="s">
        <v>115</v>
      </c>
      <c r="C104">
        <v>202606</v>
      </c>
      <c r="D104" t="s">
        <v>335</v>
      </c>
      <c r="E104" s="99">
        <v>46196</v>
      </c>
      <c r="G104">
        <v>3</v>
      </c>
      <c r="H104" t="s">
        <v>141</v>
      </c>
      <c r="I104">
        <v>3765</v>
      </c>
      <c r="K104" t="s">
        <v>142</v>
      </c>
      <c r="L104" t="s">
        <v>142</v>
      </c>
      <c r="M104" t="s">
        <v>336</v>
      </c>
      <c r="N104">
        <v>0</v>
      </c>
      <c r="O104">
        <v>43.22</v>
      </c>
      <c r="P104">
        <v>0</v>
      </c>
      <c r="Q104">
        <v>7.78</v>
      </c>
      <c r="R104">
        <v>0</v>
      </c>
      <c r="S104">
        <v>0</v>
      </c>
      <c r="T104">
        <v>0</v>
      </c>
      <c r="U104">
        <v>0</v>
      </c>
      <c r="V104">
        <v>0</v>
      </c>
      <c r="W104">
        <v>0</v>
      </c>
      <c r="X104">
        <v>0</v>
      </c>
      <c r="Y104">
        <v>0</v>
      </c>
      <c r="Z104">
        <v>51</v>
      </c>
      <c r="AA104" t="s">
        <v>116</v>
      </c>
      <c r="AB104">
        <v>1</v>
      </c>
      <c r="AI104">
        <v>1</v>
      </c>
      <c r="AJ104">
        <v>0</v>
      </c>
      <c r="AK104">
        <v>0</v>
      </c>
      <c r="AL104">
        <v>101</v>
      </c>
    </row>
    <row r="105" spans="1:38" x14ac:dyDescent="0.25">
      <c r="A105">
        <v>20608997106</v>
      </c>
      <c r="B105" t="s">
        <v>115</v>
      </c>
      <c r="C105">
        <v>202606</v>
      </c>
      <c r="D105" t="s">
        <v>337</v>
      </c>
      <c r="E105" s="99">
        <v>46196</v>
      </c>
      <c r="G105">
        <v>3</v>
      </c>
      <c r="H105" t="s">
        <v>141</v>
      </c>
      <c r="I105">
        <v>3766</v>
      </c>
      <c r="K105" t="s">
        <v>142</v>
      </c>
      <c r="L105" t="s">
        <v>142</v>
      </c>
      <c r="M105" t="s">
        <v>338</v>
      </c>
      <c r="N105">
        <v>0</v>
      </c>
      <c r="O105">
        <v>79.66</v>
      </c>
      <c r="P105">
        <v>0</v>
      </c>
      <c r="Q105">
        <v>14.34</v>
      </c>
      <c r="R105">
        <v>0</v>
      </c>
      <c r="S105">
        <v>0</v>
      </c>
      <c r="T105">
        <v>0</v>
      </c>
      <c r="U105">
        <v>0</v>
      </c>
      <c r="V105">
        <v>0</v>
      </c>
      <c r="W105">
        <v>0</v>
      </c>
      <c r="X105">
        <v>0</v>
      </c>
      <c r="Y105">
        <v>0</v>
      </c>
      <c r="Z105">
        <v>94</v>
      </c>
      <c r="AA105" t="s">
        <v>116</v>
      </c>
      <c r="AB105">
        <v>1</v>
      </c>
      <c r="AI105">
        <v>1</v>
      </c>
      <c r="AJ105">
        <v>0</v>
      </c>
      <c r="AK105">
        <v>0</v>
      </c>
      <c r="AL105">
        <v>101</v>
      </c>
    </row>
    <row r="106" spans="1:38" x14ac:dyDescent="0.25">
      <c r="A106">
        <v>20608997106</v>
      </c>
      <c r="B106" t="s">
        <v>115</v>
      </c>
      <c r="C106">
        <v>202606</v>
      </c>
      <c r="D106" t="s">
        <v>339</v>
      </c>
      <c r="E106" s="99">
        <v>46196</v>
      </c>
      <c r="G106">
        <v>3</v>
      </c>
      <c r="H106" t="s">
        <v>141</v>
      </c>
      <c r="I106">
        <v>3767</v>
      </c>
      <c r="K106" t="s">
        <v>142</v>
      </c>
      <c r="L106" t="s">
        <v>142</v>
      </c>
      <c r="M106" t="s">
        <v>340</v>
      </c>
      <c r="N106">
        <v>0</v>
      </c>
      <c r="O106">
        <v>42.37</v>
      </c>
      <c r="P106">
        <v>0</v>
      </c>
      <c r="Q106">
        <v>7.63</v>
      </c>
      <c r="R106">
        <v>0</v>
      </c>
      <c r="S106">
        <v>0</v>
      </c>
      <c r="T106">
        <v>0</v>
      </c>
      <c r="U106">
        <v>0</v>
      </c>
      <c r="V106">
        <v>0</v>
      </c>
      <c r="W106">
        <v>0</v>
      </c>
      <c r="X106">
        <v>0</v>
      </c>
      <c r="Y106">
        <v>0</v>
      </c>
      <c r="Z106">
        <v>50</v>
      </c>
      <c r="AA106" t="s">
        <v>116</v>
      </c>
      <c r="AB106">
        <v>1</v>
      </c>
      <c r="AI106">
        <v>1</v>
      </c>
      <c r="AJ106">
        <v>0</v>
      </c>
      <c r="AK106">
        <v>0</v>
      </c>
      <c r="AL106">
        <v>101</v>
      </c>
    </row>
    <row r="107" spans="1:38" x14ac:dyDescent="0.25">
      <c r="A107">
        <v>20608997106</v>
      </c>
      <c r="B107" t="s">
        <v>115</v>
      </c>
      <c r="C107">
        <v>202606</v>
      </c>
      <c r="D107" t="s">
        <v>341</v>
      </c>
      <c r="E107" s="99">
        <v>46196</v>
      </c>
      <c r="G107">
        <v>3</v>
      </c>
      <c r="H107" t="s">
        <v>141</v>
      </c>
      <c r="I107">
        <v>3768</v>
      </c>
      <c r="K107" t="s">
        <v>142</v>
      </c>
      <c r="L107" t="s">
        <v>142</v>
      </c>
      <c r="M107" t="s">
        <v>342</v>
      </c>
      <c r="N107">
        <v>0</v>
      </c>
      <c r="O107">
        <v>114.41</v>
      </c>
      <c r="P107">
        <v>0</v>
      </c>
      <c r="Q107">
        <v>20.59</v>
      </c>
      <c r="R107">
        <v>0</v>
      </c>
      <c r="S107">
        <v>0</v>
      </c>
      <c r="T107">
        <v>0</v>
      </c>
      <c r="U107">
        <v>0</v>
      </c>
      <c r="V107">
        <v>0</v>
      </c>
      <c r="W107">
        <v>0</v>
      </c>
      <c r="X107">
        <v>0</v>
      </c>
      <c r="Y107">
        <v>0</v>
      </c>
      <c r="Z107">
        <v>135</v>
      </c>
      <c r="AA107" t="s">
        <v>116</v>
      </c>
      <c r="AB107">
        <v>1</v>
      </c>
      <c r="AI107">
        <v>1</v>
      </c>
      <c r="AJ107">
        <v>0</v>
      </c>
      <c r="AK107">
        <v>0</v>
      </c>
      <c r="AL107">
        <v>101</v>
      </c>
    </row>
    <row r="108" spans="1:38" x14ac:dyDescent="0.25">
      <c r="A108">
        <v>20608997106</v>
      </c>
      <c r="B108" t="s">
        <v>115</v>
      </c>
      <c r="C108">
        <v>202606</v>
      </c>
      <c r="D108" t="s">
        <v>343</v>
      </c>
      <c r="E108" s="99">
        <v>46196</v>
      </c>
      <c r="G108">
        <v>3</v>
      </c>
      <c r="H108" t="s">
        <v>141</v>
      </c>
      <c r="I108">
        <v>3769</v>
      </c>
      <c r="K108" t="s">
        <v>142</v>
      </c>
      <c r="L108" t="s">
        <v>142</v>
      </c>
      <c r="M108" t="s">
        <v>344</v>
      </c>
      <c r="N108">
        <v>0</v>
      </c>
      <c r="O108">
        <v>42.37</v>
      </c>
      <c r="P108">
        <v>0</v>
      </c>
      <c r="Q108">
        <v>7.63</v>
      </c>
      <c r="R108">
        <v>0</v>
      </c>
      <c r="S108">
        <v>0</v>
      </c>
      <c r="T108">
        <v>0</v>
      </c>
      <c r="U108">
        <v>0</v>
      </c>
      <c r="V108">
        <v>0</v>
      </c>
      <c r="W108">
        <v>0</v>
      </c>
      <c r="X108">
        <v>0</v>
      </c>
      <c r="Y108">
        <v>0</v>
      </c>
      <c r="Z108">
        <v>50</v>
      </c>
      <c r="AA108" t="s">
        <v>116</v>
      </c>
      <c r="AB108">
        <v>1</v>
      </c>
      <c r="AI108">
        <v>1</v>
      </c>
      <c r="AJ108">
        <v>0</v>
      </c>
      <c r="AK108">
        <v>0</v>
      </c>
      <c r="AL108">
        <v>101</v>
      </c>
    </row>
    <row r="109" spans="1:38" x14ac:dyDescent="0.25">
      <c r="A109">
        <v>20608997106</v>
      </c>
      <c r="B109" t="s">
        <v>115</v>
      </c>
      <c r="C109">
        <v>202606</v>
      </c>
      <c r="D109" t="s">
        <v>345</v>
      </c>
      <c r="E109" s="99">
        <v>46196</v>
      </c>
      <c r="G109">
        <v>3</v>
      </c>
      <c r="H109" t="s">
        <v>141</v>
      </c>
      <c r="I109">
        <v>3770</v>
      </c>
      <c r="K109" t="s">
        <v>142</v>
      </c>
      <c r="L109" t="s">
        <v>142</v>
      </c>
      <c r="M109" t="s">
        <v>346</v>
      </c>
      <c r="N109">
        <v>0</v>
      </c>
      <c r="O109">
        <v>42.37</v>
      </c>
      <c r="P109">
        <v>0</v>
      </c>
      <c r="Q109">
        <v>7.63</v>
      </c>
      <c r="R109">
        <v>0</v>
      </c>
      <c r="S109">
        <v>0</v>
      </c>
      <c r="T109">
        <v>0</v>
      </c>
      <c r="U109">
        <v>0</v>
      </c>
      <c r="V109">
        <v>0</v>
      </c>
      <c r="W109">
        <v>0</v>
      </c>
      <c r="X109">
        <v>0</v>
      </c>
      <c r="Y109">
        <v>0</v>
      </c>
      <c r="Z109">
        <v>50</v>
      </c>
      <c r="AA109" t="s">
        <v>116</v>
      </c>
      <c r="AB109">
        <v>1</v>
      </c>
      <c r="AI109">
        <v>1</v>
      </c>
      <c r="AJ109">
        <v>0</v>
      </c>
      <c r="AK109">
        <v>0</v>
      </c>
      <c r="AL109">
        <v>101</v>
      </c>
    </row>
    <row r="110" spans="1:38" x14ac:dyDescent="0.25">
      <c r="A110">
        <v>20608997106</v>
      </c>
      <c r="B110" t="s">
        <v>115</v>
      </c>
      <c r="C110">
        <v>202606</v>
      </c>
      <c r="D110" t="s">
        <v>347</v>
      </c>
      <c r="E110" s="99">
        <v>46196</v>
      </c>
      <c r="G110">
        <v>3</v>
      </c>
      <c r="H110" t="s">
        <v>141</v>
      </c>
      <c r="I110">
        <v>3771</v>
      </c>
      <c r="K110" t="s">
        <v>142</v>
      </c>
      <c r="L110" t="s">
        <v>142</v>
      </c>
      <c r="M110" t="s">
        <v>348</v>
      </c>
      <c r="N110">
        <v>0</v>
      </c>
      <c r="O110">
        <v>81.36</v>
      </c>
      <c r="P110">
        <v>0</v>
      </c>
      <c r="Q110">
        <v>14.64</v>
      </c>
      <c r="R110">
        <v>0</v>
      </c>
      <c r="S110">
        <v>0</v>
      </c>
      <c r="T110">
        <v>0</v>
      </c>
      <c r="U110">
        <v>0</v>
      </c>
      <c r="V110">
        <v>0</v>
      </c>
      <c r="W110">
        <v>0</v>
      </c>
      <c r="X110">
        <v>0</v>
      </c>
      <c r="Y110">
        <v>0</v>
      </c>
      <c r="Z110">
        <v>96</v>
      </c>
      <c r="AA110" t="s">
        <v>116</v>
      </c>
      <c r="AB110">
        <v>1</v>
      </c>
      <c r="AI110">
        <v>1</v>
      </c>
      <c r="AJ110">
        <v>0</v>
      </c>
      <c r="AK110">
        <v>0</v>
      </c>
      <c r="AL110">
        <v>101</v>
      </c>
    </row>
    <row r="111" spans="1:38" x14ac:dyDescent="0.25">
      <c r="A111">
        <v>20608997106</v>
      </c>
      <c r="B111" t="s">
        <v>115</v>
      </c>
      <c r="C111">
        <v>202606</v>
      </c>
      <c r="D111" t="s">
        <v>349</v>
      </c>
      <c r="E111" s="99">
        <v>46196</v>
      </c>
      <c r="G111">
        <v>3</v>
      </c>
      <c r="H111" t="s">
        <v>141</v>
      </c>
      <c r="I111">
        <v>3772</v>
      </c>
      <c r="K111" t="s">
        <v>142</v>
      </c>
      <c r="L111" t="s">
        <v>142</v>
      </c>
      <c r="M111" t="s">
        <v>350</v>
      </c>
      <c r="N111">
        <v>0</v>
      </c>
      <c r="O111">
        <v>114.41</v>
      </c>
      <c r="P111">
        <v>0</v>
      </c>
      <c r="Q111">
        <v>20.59</v>
      </c>
      <c r="R111">
        <v>0</v>
      </c>
      <c r="S111">
        <v>0</v>
      </c>
      <c r="T111">
        <v>0</v>
      </c>
      <c r="U111">
        <v>0</v>
      </c>
      <c r="V111">
        <v>0</v>
      </c>
      <c r="W111">
        <v>0</v>
      </c>
      <c r="X111">
        <v>0</v>
      </c>
      <c r="Y111">
        <v>0</v>
      </c>
      <c r="Z111">
        <v>135</v>
      </c>
      <c r="AA111" t="s">
        <v>116</v>
      </c>
      <c r="AB111">
        <v>1</v>
      </c>
      <c r="AI111">
        <v>1</v>
      </c>
      <c r="AJ111">
        <v>0</v>
      </c>
      <c r="AK111">
        <v>0</v>
      </c>
      <c r="AL111">
        <v>101</v>
      </c>
    </row>
    <row r="112" spans="1:38" x14ac:dyDescent="0.25">
      <c r="A112">
        <v>20608997106</v>
      </c>
      <c r="B112" t="s">
        <v>115</v>
      </c>
      <c r="C112">
        <v>202606</v>
      </c>
      <c r="D112" t="s">
        <v>351</v>
      </c>
      <c r="E112" s="99">
        <v>46196</v>
      </c>
      <c r="G112">
        <v>3</v>
      </c>
      <c r="H112" t="s">
        <v>141</v>
      </c>
      <c r="I112">
        <v>3773</v>
      </c>
      <c r="K112" t="s">
        <v>142</v>
      </c>
      <c r="L112" t="s">
        <v>142</v>
      </c>
      <c r="M112" t="s">
        <v>352</v>
      </c>
      <c r="N112">
        <v>0</v>
      </c>
      <c r="O112">
        <v>42.37</v>
      </c>
      <c r="P112">
        <v>0</v>
      </c>
      <c r="Q112">
        <v>7.63</v>
      </c>
      <c r="R112">
        <v>0</v>
      </c>
      <c r="S112">
        <v>0</v>
      </c>
      <c r="T112">
        <v>0</v>
      </c>
      <c r="U112">
        <v>0</v>
      </c>
      <c r="V112">
        <v>0</v>
      </c>
      <c r="W112">
        <v>0</v>
      </c>
      <c r="X112">
        <v>0</v>
      </c>
      <c r="Y112">
        <v>0</v>
      </c>
      <c r="Z112">
        <v>50</v>
      </c>
      <c r="AA112" t="s">
        <v>116</v>
      </c>
      <c r="AB112">
        <v>1</v>
      </c>
      <c r="AI112">
        <v>1</v>
      </c>
      <c r="AJ112">
        <v>0</v>
      </c>
      <c r="AK112">
        <v>0</v>
      </c>
      <c r="AL112">
        <v>101</v>
      </c>
    </row>
    <row r="113" spans="1:38" x14ac:dyDescent="0.25">
      <c r="A113">
        <v>20608997106</v>
      </c>
      <c r="B113" t="s">
        <v>115</v>
      </c>
      <c r="C113">
        <v>202606</v>
      </c>
      <c r="D113" t="s">
        <v>353</v>
      </c>
      <c r="E113" s="99">
        <v>46196</v>
      </c>
      <c r="G113">
        <v>3</v>
      </c>
      <c r="H113" t="s">
        <v>141</v>
      </c>
      <c r="I113">
        <v>3774</v>
      </c>
      <c r="K113" t="s">
        <v>142</v>
      </c>
      <c r="L113" t="s">
        <v>142</v>
      </c>
      <c r="M113" t="s">
        <v>354</v>
      </c>
      <c r="N113">
        <v>0</v>
      </c>
      <c r="O113">
        <v>43.22</v>
      </c>
      <c r="P113">
        <v>0</v>
      </c>
      <c r="Q113">
        <v>7.78</v>
      </c>
      <c r="R113">
        <v>0</v>
      </c>
      <c r="S113">
        <v>0</v>
      </c>
      <c r="T113">
        <v>0</v>
      </c>
      <c r="U113">
        <v>0</v>
      </c>
      <c r="V113">
        <v>0</v>
      </c>
      <c r="W113">
        <v>0</v>
      </c>
      <c r="X113">
        <v>0</v>
      </c>
      <c r="Y113">
        <v>0</v>
      </c>
      <c r="Z113">
        <v>51</v>
      </c>
      <c r="AA113" t="s">
        <v>116</v>
      </c>
      <c r="AB113">
        <v>1</v>
      </c>
      <c r="AI113">
        <v>1</v>
      </c>
      <c r="AJ113">
        <v>0</v>
      </c>
      <c r="AK113">
        <v>0</v>
      </c>
      <c r="AL113">
        <v>101</v>
      </c>
    </row>
    <row r="114" spans="1:38" x14ac:dyDescent="0.25">
      <c r="A114">
        <v>20608997106</v>
      </c>
      <c r="B114" t="s">
        <v>115</v>
      </c>
      <c r="C114">
        <v>202606</v>
      </c>
      <c r="D114" t="s">
        <v>355</v>
      </c>
      <c r="E114" s="99">
        <v>46196</v>
      </c>
      <c r="G114">
        <v>3</v>
      </c>
      <c r="H114" t="s">
        <v>141</v>
      </c>
      <c r="I114">
        <v>3776</v>
      </c>
      <c r="K114" t="s">
        <v>142</v>
      </c>
      <c r="L114" t="s">
        <v>142</v>
      </c>
      <c r="M114" t="s">
        <v>356</v>
      </c>
      <c r="N114">
        <v>0</v>
      </c>
      <c r="O114">
        <v>42.37</v>
      </c>
      <c r="P114">
        <v>0</v>
      </c>
      <c r="Q114">
        <v>7.63</v>
      </c>
      <c r="R114">
        <v>0</v>
      </c>
      <c r="S114">
        <v>0</v>
      </c>
      <c r="T114">
        <v>0</v>
      </c>
      <c r="U114">
        <v>0</v>
      </c>
      <c r="V114">
        <v>0</v>
      </c>
      <c r="W114">
        <v>0</v>
      </c>
      <c r="X114">
        <v>0</v>
      </c>
      <c r="Y114">
        <v>0</v>
      </c>
      <c r="Z114">
        <v>50</v>
      </c>
      <c r="AA114" t="s">
        <v>116</v>
      </c>
      <c r="AB114">
        <v>1</v>
      </c>
      <c r="AI114">
        <v>1</v>
      </c>
      <c r="AJ114">
        <v>0</v>
      </c>
      <c r="AK114">
        <v>0</v>
      </c>
      <c r="AL114">
        <v>101</v>
      </c>
    </row>
    <row r="115" spans="1:38" x14ac:dyDescent="0.25">
      <c r="A115">
        <v>20608997106</v>
      </c>
      <c r="B115" t="s">
        <v>115</v>
      </c>
      <c r="C115">
        <v>202606</v>
      </c>
      <c r="D115" t="s">
        <v>357</v>
      </c>
      <c r="E115" s="99">
        <v>46196</v>
      </c>
      <c r="G115">
        <v>3</v>
      </c>
      <c r="H115" t="s">
        <v>141</v>
      </c>
      <c r="I115">
        <v>3777</v>
      </c>
      <c r="K115" t="s">
        <v>142</v>
      </c>
      <c r="L115" t="s">
        <v>142</v>
      </c>
      <c r="M115" t="s">
        <v>358</v>
      </c>
      <c r="N115">
        <v>0</v>
      </c>
      <c r="O115">
        <v>119.49</v>
      </c>
      <c r="P115">
        <v>0</v>
      </c>
      <c r="Q115">
        <v>21.51</v>
      </c>
      <c r="R115">
        <v>0</v>
      </c>
      <c r="S115">
        <v>0</v>
      </c>
      <c r="T115">
        <v>0</v>
      </c>
      <c r="U115">
        <v>0</v>
      </c>
      <c r="V115">
        <v>0</v>
      </c>
      <c r="W115">
        <v>0</v>
      </c>
      <c r="X115">
        <v>0</v>
      </c>
      <c r="Y115">
        <v>0</v>
      </c>
      <c r="Z115">
        <v>141</v>
      </c>
      <c r="AA115" t="s">
        <v>116</v>
      </c>
      <c r="AB115">
        <v>1</v>
      </c>
      <c r="AI115">
        <v>1</v>
      </c>
      <c r="AJ115">
        <v>0</v>
      </c>
      <c r="AK115">
        <v>0</v>
      </c>
      <c r="AL115">
        <v>101</v>
      </c>
    </row>
    <row r="116" spans="1:38" x14ac:dyDescent="0.25">
      <c r="A116">
        <v>20608997106</v>
      </c>
      <c r="B116" t="s">
        <v>115</v>
      </c>
      <c r="C116">
        <v>202606</v>
      </c>
      <c r="D116" t="s">
        <v>359</v>
      </c>
      <c r="E116" s="99">
        <v>46196</v>
      </c>
      <c r="G116">
        <v>3</v>
      </c>
      <c r="H116" t="s">
        <v>141</v>
      </c>
      <c r="I116">
        <v>3778</v>
      </c>
      <c r="K116" t="s">
        <v>142</v>
      </c>
      <c r="L116" t="s">
        <v>142</v>
      </c>
      <c r="M116" t="s">
        <v>360</v>
      </c>
      <c r="N116">
        <v>0</v>
      </c>
      <c r="O116">
        <v>43.22</v>
      </c>
      <c r="P116">
        <v>0</v>
      </c>
      <c r="Q116">
        <v>7.78</v>
      </c>
      <c r="R116">
        <v>0</v>
      </c>
      <c r="S116">
        <v>0</v>
      </c>
      <c r="T116">
        <v>0</v>
      </c>
      <c r="U116">
        <v>0</v>
      </c>
      <c r="V116">
        <v>0</v>
      </c>
      <c r="W116">
        <v>0</v>
      </c>
      <c r="X116">
        <v>0</v>
      </c>
      <c r="Y116">
        <v>0</v>
      </c>
      <c r="Z116">
        <v>51</v>
      </c>
      <c r="AA116" t="s">
        <v>116</v>
      </c>
      <c r="AB116">
        <v>1</v>
      </c>
      <c r="AI116">
        <v>1</v>
      </c>
      <c r="AJ116">
        <v>0</v>
      </c>
      <c r="AK116">
        <v>0</v>
      </c>
      <c r="AL116">
        <v>101</v>
      </c>
    </row>
    <row r="117" spans="1:38" x14ac:dyDescent="0.25">
      <c r="A117">
        <v>20608997106</v>
      </c>
      <c r="B117" t="s">
        <v>115</v>
      </c>
      <c r="C117">
        <v>202606</v>
      </c>
      <c r="D117" t="s">
        <v>361</v>
      </c>
      <c r="E117" s="99">
        <v>46196</v>
      </c>
      <c r="G117">
        <v>3</v>
      </c>
      <c r="H117" t="s">
        <v>141</v>
      </c>
      <c r="I117">
        <v>3779</v>
      </c>
      <c r="K117" t="s">
        <v>142</v>
      </c>
      <c r="L117" t="s">
        <v>142</v>
      </c>
      <c r="M117" t="s">
        <v>362</v>
      </c>
      <c r="N117">
        <v>0</v>
      </c>
      <c r="O117">
        <v>77.97</v>
      </c>
      <c r="P117">
        <v>0</v>
      </c>
      <c r="Q117">
        <v>14.03</v>
      </c>
      <c r="R117">
        <v>0</v>
      </c>
      <c r="S117">
        <v>0</v>
      </c>
      <c r="T117">
        <v>0</v>
      </c>
      <c r="U117">
        <v>0</v>
      </c>
      <c r="V117">
        <v>0</v>
      </c>
      <c r="W117">
        <v>0</v>
      </c>
      <c r="X117">
        <v>0</v>
      </c>
      <c r="Y117">
        <v>0</v>
      </c>
      <c r="Z117">
        <v>92</v>
      </c>
      <c r="AA117" t="s">
        <v>116</v>
      </c>
      <c r="AB117">
        <v>1</v>
      </c>
      <c r="AI117">
        <v>1</v>
      </c>
      <c r="AJ117">
        <v>0</v>
      </c>
      <c r="AK117">
        <v>0</v>
      </c>
      <c r="AL117">
        <v>101</v>
      </c>
    </row>
    <row r="118" spans="1:38" x14ac:dyDescent="0.25">
      <c r="A118">
        <v>20608997106</v>
      </c>
      <c r="B118" t="s">
        <v>115</v>
      </c>
      <c r="C118">
        <v>202606</v>
      </c>
      <c r="D118" t="s">
        <v>363</v>
      </c>
      <c r="E118" s="99">
        <v>46196</v>
      </c>
      <c r="G118">
        <v>3</v>
      </c>
      <c r="H118" t="s">
        <v>141</v>
      </c>
      <c r="I118">
        <v>3780</v>
      </c>
      <c r="K118" t="s">
        <v>142</v>
      </c>
      <c r="L118" t="s">
        <v>142</v>
      </c>
      <c r="M118" t="s">
        <v>364</v>
      </c>
      <c r="N118">
        <v>0</v>
      </c>
      <c r="O118">
        <v>42.37</v>
      </c>
      <c r="P118">
        <v>0</v>
      </c>
      <c r="Q118">
        <v>7.63</v>
      </c>
      <c r="R118">
        <v>0</v>
      </c>
      <c r="S118">
        <v>0</v>
      </c>
      <c r="T118">
        <v>0</v>
      </c>
      <c r="U118">
        <v>0</v>
      </c>
      <c r="V118">
        <v>0</v>
      </c>
      <c r="W118">
        <v>0</v>
      </c>
      <c r="X118">
        <v>0</v>
      </c>
      <c r="Y118">
        <v>0</v>
      </c>
      <c r="Z118">
        <v>50</v>
      </c>
      <c r="AA118" t="s">
        <v>116</v>
      </c>
      <c r="AB118">
        <v>1</v>
      </c>
      <c r="AI118">
        <v>1</v>
      </c>
      <c r="AJ118">
        <v>0</v>
      </c>
      <c r="AK118">
        <v>0</v>
      </c>
      <c r="AL118">
        <v>101</v>
      </c>
    </row>
    <row r="119" spans="1:38" x14ac:dyDescent="0.25">
      <c r="A119">
        <v>20608997106</v>
      </c>
      <c r="B119" t="s">
        <v>115</v>
      </c>
      <c r="C119">
        <v>202606</v>
      </c>
      <c r="D119" t="s">
        <v>365</v>
      </c>
      <c r="E119" s="99">
        <v>46196</v>
      </c>
      <c r="G119">
        <v>3</v>
      </c>
      <c r="H119" t="s">
        <v>141</v>
      </c>
      <c r="I119">
        <v>3781</v>
      </c>
      <c r="K119" t="s">
        <v>142</v>
      </c>
      <c r="L119" t="s">
        <v>142</v>
      </c>
      <c r="M119" t="s">
        <v>366</v>
      </c>
      <c r="N119">
        <v>0</v>
      </c>
      <c r="O119">
        <v>77.97</v>
      </c>
      <c r="P119">
        <v>0</v>
      </c>
      <c r="Q119">
        <v>14.03</v>
      </c>
      <c r="R119">
        <v>0</v>
      </c>
      <c r="S119">
        <v>0</v>
      </c>
      <c r="T119">
        <v>0</v>
      </c>
      <c r="U119">
        <v>0</v>
      </c>
      <c r="V119">
        <v>0</v>
      </c>
      <c r="W119">
        <v>0</v>
      </c>
      <c r="X119">
        <v>0</v>
      </c>
      <c r="Y119">
        <v>0</v>
      </c>
      <c r="Z119">
        <v>92</v>
      </c>
      <c r="AA119" t="s">
        <v>116</v>
      </c>
      <c r="AB119">
        <v>1</v>
      </c>
      <c r="AI119">
        <v>1</v>
      </c>
      <c r="AJ119">
        <v>0</v>
      </c>
      <c r="AK119">
        <v>0</v>
      </c>
      <c r="AL119">
        <v>101</v>
      </c>
    </row>
    <row r="120" spans="1:38" x14ac:dyDescent="0.25">
      <c r="A120">
        <v>20608997106</v>
      </c>
      <c r="B120" t="s">
        <v>115</v>
      </c>
      <c r="C120">
        <v>202606</v>
      </c>
      <c r="D120" t="s">
        <v>367</v>
      </c>
      <c r="E120" s="99">
        <v>46196</v>
      </c>
      <c r="G120">
        <v>3</v>
      </c>
      <c r="H120" t="s">
        <v>141</v>
      </c>
      <c r="I120">
        <v>3782</v>
      </c>
      <c r="K120" t="s">
        <v>142</v>
      </c>
      <c r="L120" t="s">
        <v>142</v>
      </c>
      <c r="M120" t="s">
        <v>368</v>
      </c>
      <c r="N120">
        <v>0</v>
      </c>
      <c r="O120">
        <v>42.37</v>
      </c>
      <c r="P120">
        <v>0</v>
      </c>
      <c r="Q120">
        <v>7.63</v>
      </c>
      <c r="R120">
        <v>0</v>
      </c>
      <c r="S120">
        <v>0</v>
      </c>
      <c r="T120">
        <v>0</v>
      </c>
      <c r="U120">
        <v>0</v>
      </c>
      <c r="V120">
        <v>0</v>
      </c>
      <c r="W120">
        <v>0</v>
      </c>
      <c r="X120">
        <v>0</v>
      </c>
      <c r="Y120">
        <v>0</v>
      </c>
      <c r="Z120">
        <v>50</v>
      </c>
      <c r="AA120" t="s">
        <v>116</v>
      </c>
      <c r="AB120">
        <v>1</v>
      </c>
      <c r="AI120">
        <v>1</v>
      </c>
      <c r="AJ120">
        <v>0</v>
      </c>
      <c r="AK120">
        <v>0</v>
      </c>
      <c r="AL120">
        <v>101</v>
      </c>
    </row>
    <row r="121" spans="1:38" x14ac:dyDescent="0.25">
      <c r="A121">
        <v>20608997106</v>
      </c>
      <c r="B121" t="s">
        <v>115</v>
      </c>
      <c r="C121">
        <v>202606</v>
      </c>
      <c r="D121" t="s">
        <v>369</v>
      </c>
      <c r="E121" s="99">
        <v>46196</v>
      </c>
      <c r="G121">
        <v>3</v>
      </c>
      <c r="H121" t="s">
        <v>141</v>
      </c>
      <c r="I121">
        <v>3783</v>
      </c>
      <c r="K121" t="s">
        <v>142</v>
      </c>
      <c r="L121" t="s">
        <v>142</v>
      </c>
      <c r="M121" t="s">
        <v>370</v>
      </c>
      <c r="N121">
        <v>0</v>
      </c>
      <c r="O121">
        <v>116.95</v>
      </c>
      <c r="P121">
        <v>0</v>
      </c>
      <c r="Q121">
        <v>21.05</v>
      </c>
      <c r="R121">
        <v>0</v>
      </c>
      <c r="S121">
        <v>0</v>
      </c>
      <c r="T121">
        <v>0</v>
      </c>
      <c r="U121">
        <v>0</v>
      </c>
      <c r="V121">
        <v>0</v>
      </c>
      <c r="W121">
        <v>0</v>
      </c>
      <c r="X121">
        <v>0</v>
      </c>
      <c r="Y121">
        <v>0</v>
      </c>
      <c r="Z121">
        <v>138</v>
      </c>
      <c r="AA121" t="s">
        <v>116</v>
      </c>
      <c r="AB121">
        <v>1</v>
      </c>
      <c r="AI121">
        <v>1</v>
      </c>
      <c r="AJ121">
        <v>0</v>
      </c>
      <c r="AK121">
        <v>0</v>
      </c>
      <c r="AL121">
        <v>101</v>
      </c>
    </row>
    <row r="122" spans="1:38" x14ac:dyDescent="0.25">
      <c r="A122">
        <v>20608997106</v>
      </c>
      <c r="B122" t="s">
        <v>115</v>
      </c>
      <c r="C122">
        <v>202606</v>
      </c>
      <c r="D122" t="s">
        <v>371</v>
      </c>
      <c r="E122" s="99">
        <v>46196</v>
      </c>
      <c r="G122">
        <v>3</v>
      </c>
      <c r="H122" t="s">
        <v>141</v>
      </c>
      <c r="I122">
        <v>3784</v>
      </c>
      <c r="K122" t="s">
        <v>142</v>
      </c>
      <c r="L122" t="s">
        <v>142</v>
      </c>
      <c r="M122" t="s">
        <v>372</v>
      </c>
      <c r="N122">
        <v>0</v>
      </c>
      <c r="O122">
        <v>79.66</v>
      </c>
      <c r="P122">
        <v>0</v>
      </c>
      <c r="Q122">
        <v>14.34</v>
      </c>
      <c r="R122">
        <v>0</v>
      </c>
      <c r="S122">
        <v>0</v>
      </c>
      <c r="T122">
        <v>0</v>
      </c>
      <c r="U122">
        <v>0</v>
      </c>
      <c r="V122">
        <v>0</v>
      </c>
      <c r="W122">
        <v>0</v>
      </c>
      <c r="X122">
        <v>0</v>
      </c>
      <c r="Y122">
        <v>0</v>
      </c>
      <c r="Z122">
        <v>94</v>
      </c>
      <c r="AA122" t="s">
        <v>116</v>
      </c>
      <c r="AB122">
        <v>1</v>
      </c>
      <c r="AI122">
        <v>1</v>
      </c>
      <c r="AJ122">
        <v>0</v>
      </c>
      <c r="AK122">
        <v>0</v>
      </c>
      <c r="AL122">
        <v>101</v>
      </c>
    </row>
    <row r="123" spans="1:38" x14ac:dyDescent="0.25">
      <c r="A123">
        <v>20608997106</v>
      </c>
      <c r="B123" t="s">
        <v>115</v>
      </c>
      <c r="C123">
        <v>202606</v>
      </c>
      <c r="D123" t="s">
        <v>373</v>
      </c>
      <c r="E123" s="99">
        <v>46196</v>
      </c>
      <c r="G123">
        <v>3</v>
      </c>
      <c r="H123" t="s">
        <v>141</v>
      </c>
      <c r="I123">
        <v>3785</v>
      </c>
      <c r="K123" t="s">
        <v>142</v>
      </c>
      <c r="L123" t="s">
        <v>142</v>
      </c>
      <c r="M123" t="s">
        <v>374</v>
      </c>
      <c r="N123">
        <v>0</v>
      </c>
      <c r="O123">
        <v>42.37</v>
      </c>
      <c r="P123">
        <v>0</v>
      </c>
      <c r="Q123">
        <v>7.63</v>
      </c>
      <c r="R123">
        <v>0</v>
      </c>
      <c r="S123">
        <v>0</v>
      </c>
      <c r="T123">
        <v>0</v>
      </c>
      <c r="U123">
        <v>0</v>
      </c>
      <c r="V123">
        <v>0</v>
      </c>
      <c r="W123">
        <v>0</v>
      </c>
      <c r="X123">
        <v>0</v>
      </c>
      <c r="Y123">
        <v>0</v>
      </c>
      <c r="Z123">
        <v>50</v>
      </c>
      <c r="AA123" t="s">
        <v>116</v>
      </c>
      <c r="AB123">
        <v>1</v>
      </c>
      <c r="AI123">
        <v>1</v>
      </c>
      <c r="AJ123">
        <v>0</v>
      </c>
      <c r="AK123">
        <v>0</v>
      </c>
      <c r="AL123">
        <v>101</v>
      </c>
    </row>
    <row r="124" spans="1:38" x14ac:dyDescent="0.25">
      <c r="A124">
        <v>20608997106</v>
      </c>
      <c r="B124" t="s">
        <v>115</v>
      </c>
      <c r="C124">
        <v>202606</v>
      </c>
      <c r="D124" t="s">
        <v>375</v>
      </c>
      <c r="E124" s="99">
        <v>46196</v>
      </c>
      <c r="G124">
        <v>3</v>
      </c>
      <c r="H124" t="s">
        <v>141</v>
      </c>
      <c r="I124">
        <v>3786</v>
      </c>
      <c r="K124" t="s">
        <v>142</v>
      </c>
      <c r="L124" t="s">
        <v>142</v>
      </c>
      <c r="M124" t="s">
        <v>376</v>
      </c>
      <c r="N124">
        <v>0</v>
      </c>
      <c r="O124">
        <v>81.36</v>
      </c>
      <c r="P124">
        <v>0</v>
      </c>
      <c r="Q124">
        <v>14.64</v>
      </c>
      <c r="R124">
        <v>0</v>
      </c>
      <c r="S124">
        <v>0</v>
      </c>
      <c r="T124">
        <v>0</v>
      </c>
      <c r="U124">
        <v>0</v>
      </c>
      <c r="V124">
        <v>0</v>
      </c>
      <c r="W124">
        <v>0</v>
      </c>
      <c r="X124">
        <v>0</v>
      </c>
      <c r="Y124">
        <v>0</v>
      </c>
      <c r="Z124">
        <v>96</v>
      </c>
      <c r="AA124" t="s">
        <v>116</v>
      </c>
      <c r="AB124">
        <v>1</v>
      </c>
      <c r="AI124">
        <v>1</v>
      </c>
      <c r="AJ124">
        <v>0</v>
      </c>
      <c r="AK124">
        <v>0</v>
      </c>
      <c r="AL124">
        <v>101</v>
      </c>
    </row>
    <row r="125" spans="1:38" x14ac:dyDescent="0.25">
      <c r="A125">
        <v>20608997106</v>
      </c>
      <c r="B125" t="s">
        <v>115</v>
      </c>
      <c r="C125">
        <v>202606</v>
      </c>
      <c r="D125" t="s">
        <v>377</v>
      </c>
      <c r="E125" s="99">
        <v>46196</v>
      </c>
      <c r="G125">
        <v>3</v>
      </c>
      <c r="H125" t="s">
        <v>141</v>
      </c>
      <c r="I125">
        <v>3787</v>
      </c>
      <c r="K125" t="s">
        <v>142</v>
      </c>
      <c r="L125" t="s">
        <v>142</v>
      </c>
      <c r="M125" t="s">
        <v>378</v>
      </c>
      <c r="N125">
        <v>0</v>
      </c>
      <c r="O125">
        <v>43.22</v>
      </c>
      <c r="P125">
        <v>0</v>
      </c>
      <c r="Q125">
        <v>7.78</v>
      </c>
      <c r="R125">
        <v>0</v>
      </c>
      <c r="S125">
        <v>0</v>
      </c>
      <c r="T125">
        <v>0</v>
      </c>
      <c r="U125">
        <v>0</v>
      </c>
      <c r="V125">
        <v>0</v>
      </c>
      <c r="W125">
        <v>0</v>
      </c>
      <c r="X125">
        <v>0</v>
      </c>
      <c r="Y125">
        <v>0</v>
      </c>
      <c r="Z125">
        <v>51</v>
      </c>
      <c r="AA125" t="s">
        <v>116</v>
      </c>
      <c r="AB125">
        <v>1</v>
      </c>
      <c r="AI125">
        <v>1</v>
      </c>
      <c r="AJ125">
        <v>0</v>
      </c>
      <c r="AK125">
        <v>0</v>
      </c>
      <c r="AL125">
        <v>101</v>
      </c>
    </row>
    <row r="126" spans="1:38" x14ac:dyDescent="0.25">
      <c r="A126">
        <v>20608997106</v>
      </c>
      <c r="B126" t="s">
        <v>115</v>
      </c>
      <c r="C126">
        <v>202606</v>
      </c>
      <c r="D126" t="s">
        <v>379</v>
      </c>
      <c r="E126" s="99">
        <v>46196</v>
      </c>
      <c r="G126">
        <v>3</v>
      </c>
      <c r="H126" t="s">
        <v>141</v>
      </c>
      <c r="I126">
        <v>3788</v>
      </c>
      <c r="K126" t="s">
        <v>142</v>
      </c>
      <c r="L126" t="s">
        <v>142</v>
      </c>
      <c r="M126" t="s">
        <v>380</v>
      </c>
      <c r="N126">
        <v>0</v>
      </c>
      <c r="O126">
        <v>76.27</v>
      </c>
      <c r="P126">
        <v>0</v>
      </c>
      <c r="Q126">
        <v>13.73</v>
      </c>
      <c r="R126">
        <v>0</v>
      </c>
      <c r="S126">
        <v>0</v>
      </c>
      <c r="T126">
        <v>0</v>
      </c>
      <c r="U126">
        <v>0</v>
      </c>
      <c r="V126">
        <v>0</v>
      </c>
      <c r="W126">
        <v>0</v>
      </c>
      <c r="X126">
        <v>0</v>
      </c>
      <c r="Y126">
        <v>0</v>
      </c>
      <c r="Z126">
        <v>90</v>
      </c>
      <c r="AA126" t="s">
        <v>116</v>
      </c>
      <c r="AB126">
        <v>1</v>
      </c>
      <c r="AI126">
        <v>1</v>
      </c>
      <c r="AJ126">
        <v>0</v>
      </c>
      <c r="AK126">
        <v>0</v>
      </c>
      <c r="AL126">
        <v>101</v>
      </c>
    </row>
    <row r="127" spans="1:38" x14ac:dyDescent="0.25">
      <c r="A127">
        <v>20608997106</v>
      </c>
      <c r="B127" t="s">
        <v>115</v>
      </c>
      <c r="C127">
        <v>202606</v>
      </c>
      <c r="D127" t="s">
        <v>381</v>
      </c>
      <c r="E127" s="99">
        <v>46197</v>
      </c>
      <c r="G127">
        <v>1</v>
      </c>
      <c r="H127" t="s">
        <v>159</v>
      </c>
      <c r="I127">
        <v>36</v>
      </c>
      <c r="K127">
        <v>6</v>
      </c>
      <c r="L127">
        <v>20614227037</v>
      </c>
      <c r="M127" t="s">
        <v>382</v>
      </c>
      <c r="N127">
        <v>0</v>
      </c>
      <c r="O127">
        <v>44.07</v>
      </c>
      <c r="P127">
        <v>0</v>
      </c>
      <c r="Q127">
        <v>7.93</v>
      </c>
      <c r="R127">
        <v>0</v>
      </c>
      <c r="S127">
        <v>0</v>
      </c>
      <c r="T127">
        <v>0</v>
      </c>
      <c r="U127">
        <v>0</v>
      </c>
      <c r="V127">
        <v>0</v>
      </c>
      <c r="W127">
        <v>0</v>
      </c>
      <c r="X127">
        <v>0</v>
      </c>
      <c r="Y127">
        <v>0</v>
      </c>
      <c r="Z127">
        <v>52</v>
      </c>
      <c r="AA127" t="s">
        <v>116</v>
      </c>
      <c r="AB127">
        <v>1</v>
      </c>
      <c r="AI127">
        <v>1</v>
      </c>
      <c r="AJ127">
        <v>0</v>
      </c>
      <c r="AK127">
        <v>0</v>
      </c>
      <c r="AL127">
        <v>101</v>
      </c>
    </row>
    <row r="128" spans="1:38" x14ac:dyDescent="0.25">
      <c r="A128">
        <v>20608997106</v>
      </c>
      <c r="B128" t="s">
        <v>115</v>
      </c>
      <c r="C128">
        <v>202606</v>
      </c>
      <c r="D128" t="s">
        <v>383</v>
      </c>
      <c r="E128" s="99">
        <v>46197</v>
      </c>
      <c r="G128">
        <v>3</v>
      </c>
      <c r="H128" t="s">
        <v>141</v>
      </c>
      <c r="I128">
        <v>3789</v>
      </c>
      <c r="K128" t="s">
        <v>142</v>
      </c>
      <c r="L128" t="s">
        <v>142</v>
      </c>
      <c r="M128" t="s">
        <v>384</v>
      </c>
      <c r="N128">
        <v>0</v>
      </c>
      <c r="O128">
        <v>43.22</v>
      </c>
      <c r="P128">
        <v>0</v>
      </c>
      <c r="Q128">
        <v>7.78</v>
      </c>
      <c r="R128">
        <v>0</v>
      </c>
      <c r="S128">
        <v>0</v>
      </c>
      <c r="T128">
        <v>0</v>
      </c>
      <c r="U128">
        <v>0</v>
      </c>
      <c r="V128">
        <v>0</v>
      </c>
      <c r="W128">
        <v>0</v>
      </c>
      <c r="X128">
        <v>0</v>
      </c>
      <c r="Y128">
        <v>0</v>
      </c>
      <c r="Z128">
        <v>51</v>
      </c>
      <c r="AA128" t="s">
        <v>116</v>
      </c>
      <c r="AB128">
        <v>1</v>
      </c>
      <c r="AI128">
        <v>1</v>
      </c>
      <c r="AJ128">
        <v>0</v>
      </c>
      <c r="AK128">
        <v>0</v>
      </c>
      <c r="AL128">
        <v>101</v>
      </c>
    </row>
    <row r="129" spans="1:38" x14ac:dyDescent="0.25">
      <c r="A129">
        <v>20608997106</v>
      </c>
      <c r="B129" t="s">
        <v>115</v>
      </c>
      <c r="C129">
        <v>202606</v>
      </c>
      <c r="D129" t="s">
        <v>385</v>
      </c>
      <c r="E129" s="99">
        <v>46197</v>
      </c>
      <c r="G129">
        <v>3</v>
      </c>
      <c r="H129" t="s">
        <v>141</v>
      </c>
      <c r="I129">
        <v>3790</v>
      </c>
      <c r="K129" t="s">
        <v>142</v>
      </c>
      <c r="L129" t="s">
        <v>142</v>
      </c>
      <c r="M129" t="s">
        <v>386</v>
      </c>
      <c r="N129">
        <v>0</v>
      </c>
      <c r="O129">
        <v>79.66</v>
      </c>
      <c r="P129">
        <v>0</v>
      </c>
      <c r="Q129">
        <v>14.34</v>
      </c>
      <c r="R129">
        <v>0</v>
      </c>
      <c r="S129">
        <v>0</v>
      </c>
      <c r="T129">
        <v>0</v>
      </c>
      <c r="U129">
        <v>0</v>
      </c>
      <c r="V129">
        <v>0</v>
      </c>
      <c r="W129">
        <v>0</v>
      </c>
      <c r="X129">
        <v>0</v>
      </c>
      <c r="Y129">
        <v>0</v>
      </c>
      <c r="Z129">
        <v>94</v>
      </c>
      <c r="AA129" t="s">
        <v>116</v>
      </c>
      <c r="AB129">
        <v>1</v>
      </c>
      <c r="AI129">
        <v>1</v>
      </c>
      <c r="AJ129">
        <v>0</v>
      </c>
      <c r="AK129">
        <v>0</v>
      </c>
      <c r="AL129">
        <v>101</v>
      </c>
    </row>
    <row r="130" spans="1:38" x14ac:dyDescent="0.25">
      <c r="A130">
        <v>20608997106</v>
      </c>
      <c r="B130" t="s">
        <v>115</v>
      </c>
      <c r="C130">
        <v>202606</v>
      </c>
      <c r="D130" t="s">
        <v>387</v>
      </c>
      <c r="E130" s="99">
        <v>46197</v>
      </c>
      <c r="G130">
        <v>3</v>
      </c>
      <c r="H130" t="s">
        <v>141</v>
      </c>
      <c r="I130">
        <v>3791</v>
      </c>
      <c r="K130" t="s">
        <v>142</v>
      </c>
      <c r="L130" t="s">
        <v>142</v>
      </c>
      <c r="M130" t="s">
        <v>388</v>
      </c>
      <c r="N130">
        <v>0</v>
      </c>
      <c r="O130">
        <v>114.41</v>
      </c>
      <c r="P130">
        <v>0</v>
      </c>
      <c r="Q130">
        <v>20.59</v>
      </c>
      <c r="R130">
        <v>0</v>
      </c>
      <c r="S130">
        <v>0</v>
      </c>
      <c r="T130">
        <v>0</v>
      </c>
      <c r="U130">
        <v>0</v>
      </c>
      <c r="V130">
        <v>0</v>
      </c>
      <c r="W130">
        <v>0</v>
      </c>
      <c r="X130">
        <v>0</v>
      </c>
      <c r="Y130">
        <v>0</v>
      </c>
      <c r="Z130">
        <v>135</v>
      </c>
      <c r="AA130" t="s">
        <v>116</v>
      </c>
      <c r="AB130">
        <v>1</v>
      </c>
      <c r="AI130">
        <v>1</v>
      </c>
      <c r="AJ130">
        <v>0</v>
      </c>
      <c r="AK130">
        <v>0</v>
      </c>
      <c r="AL130">
        <v>101</v>
      </c>
    </row>
    <row r="131" spans="1:38" x14ac:dyDescent="0.25">
      <c r="A131">
        <v>20608997106</v>
      </c>
      <c r="B131" t="s">
        <v>115</v>
      </c>
      <c r="C131">
        <v>202606</v>
      </c>
      <c r="D131" t="s">
        <v>389</v>
      </c>
      <c r="E131" s="99">
        <v>46197</v>
      </c>
      <c r="G131">
        <v>3</v>
      </c>
      <c r="H131" t="s">
        <v>141</v>
      </c>
      <c r="I131">
        <v>3792</v>
      </c>
      <c r="K131">
        <v>1</v>
      </c>
      <c r="L131">
        <v>41372681</v>
      </c>
      <c r="M131" t="s">
        <v>238</v>
      </c>
      <c r="N131">
        <v>0</v>
      </c>
      <c r="O131">
        <v>42.37</v>
      </c>
      <c r="P131">
        <v>0</v>
      </c>
      <c r="Q131">
        <v>7.63</v>
      </c>
      <c r="R131">
        <v>0</v>
      </c>
      <c r="S131">
        <v>0</v>
      </c>
      <c r="T131">
        <v>0</v>
      </c>
      <c r="U131">
        <v>0</v>
      </c>
      <c r="V131">
        <v>0</v>
      </c>
      <c r="W131">
        <v>0</v>
      </c>
      <c r="X131">
        <v>0</v>
      </c>
      <c r="Y131">
        <v>0</v>
      </c>
      <c r="Z131">
        <v>50</v>
      </c>
      <c r="AA131" t="s">
        <v>116</v>
      </c>
      <c r="AB131">
        <v>1</v>
      </c>
      <c r="AI131">
        <v>1</v>
      </c>
      <c r="AJ131">
        <v>0</v>
      </c>
      <c r="AK131">
        <v>0</v>
      </c>
      <c r="AL131">
        <v>101</v>
      </c>
    </row>
    <row r="132" spans="1:38" x14ac:dyDescent="0.25">
      <c r="A132">
        <v>20608997106</v>
      </c>
      <c r="B132" t="s">
        <v>115</v>
      </c>
      <c r="C132">
        <v>202606</v>
      </c>
      <c r="D132" t="s">
        <v>390</v>
      </c>
      <c r="E132" s="99">
        <v>46197</v>
      </c>
      <c r="G132">
        <v>3</v>
      </c>
      <c r="H132" t="s">
        <v>141</v>
      </c>
      <c r="I132">
        <v>3793</v>
      </c>
      <c r="K132" t="s">
        <v>142</v>
      </c>
      <c r="L132" t="s">
        <v>142</v>
      </c>
      <c r="M132" t="s">
        <v>391</v>
      </c>
      <c r="N132">
        <v>0</v>
      </c>
      <c r="O132">
        <v>43.22</v>
      </c>
      <c r="P132">
        <v>0</v>
      </c>
      <c r="Q132">
        <v>7.78</v>
      </c>
      <c r="R132">
        <v>0</v>
      </c>
      <c r="S132">
        <v>0</v>
      </c>
      <c r="T132">
        <v>0</v>
      </c>
      <c r="U132">
        <v>0</v>
      </c>
      <c r="V132">
        <v>0</v>
      </c>
      <c r="W132">
        <v>0</v>
      </c>
      <c r="X132">
        <v>0</v>
      </c>
      <c r="Y132">
        <v>0</v>
      </c>
      <c r="Z132">
        <v>51</v>
      </c>
      <c r="AA132" t="s">
        <v>116</v>
      </c>
      <c r="AB132">
        <v>1</v>
      </c>
      <c r="AI132">
        <v>1</v>
      </c>
      <c r="AJ132">
        <v>0</v>
      </c>
      <c r="AK132">
        <v>0</v>
      </c>
      <c r="AL132">
        <v>101</v>
      </c>
    </row>
    <row r="133" spans="1:38" x14ac:dyDescent="0.25">
      <c r="A133">
        <v>20608997106</v>
      </c>
      <c r="B133" t="s">
        <v>115</v>
      </c>
      <c r="C133">
        <v>202606</v>
      </c>
      <c r="D133" t="s">
        <v>392</v>
      </c>
      <c r="E133" s="99">
        <v>46197</v>
      </c>
      <c r="G133">
        <v>3</v>
      </c>
      <c r="H133" t="s">
        <v>141</v>
      </c>
      <c r="I133">
        <v>3794</v>
      </c>
      <c r="K133" t="s">
        <v>142</v>
      </c>
      <c r="L133" t="s">
        <v>142</v>
      </c>
      <c r="M133" t="s">
        <v>393</v>
      </c>
      <c r="N133">
        <v>0</v>
      </c>
      <c r="O133">
        <v>81.36</v>
      </c>
      <c r="P133">
        <v>0</v>
      </c>
      <c r="Q133">
        <v>14.64</v>
      </c>
      <c r="R133">
        <v>0</v>
      </c>
      <c r="S133">
        <v>0</v>
      </c>
      <c r="T133">
        <v>0</v>
      </c>
      <c r="U133">
        <v>0</v>
      </c>
      <c r="V133">
        <v>0</v>
      </c>
      <c r="W133">
        <v>0</v>
      </c>
      <c r="X133">
        <v>0</v>
      </c>
      <c r="Y133">
        <v>0</v>
      </c>
      <c r="Z133">
        <v>96</v>
      </c>
      <c r="AA133" t="s">
        <v>116</v>
      </c>
      <c r="AB133">
        <v>1</v>
      </c>
      <c r="AI133">
        <v>1</v>
      </c>
      <c r="AJ133">
        <v>0</v>
      </c>
      <c r="AK133">
        <v>0</v>
      </c>
      <c r="AL133">
        <v>101</v>
      </c>
    </row>
    <row r="134" spans="1:38" x14ac:dyDescent="0.25">
      <c r="A134">
        <v>20608997106</v>
      </c>
      <c r="B134" t="s">
        <v>115</v>
      </c>
      <c r="C134">
        <v>202606</v>
      </c>
      <c r="D134" t="s">
        <v>394</v>
      </c>
      <c r="E134" s="99">
        <v>46197</v>
      </c>
      <c r="G134">
        <v>3</v>
      </c>
      <c r="H134" t="s">
        <v>141</v>
      </c>
      <c r="I134">
        <v>3795</v>
      </c>
      <c r="K134" t="s">
        <v>142</v>
      </c>
      <c r="L134" t="s">
        <v>142</v>
      </c>
      <c r="M134" t="s">
        <v>395</v>
      </c>
      <c r="N134">
        <v>0</v>
      </c>
      <c r="O134">
        <v>42.37</v>
      </c>
      <c r="P134">
        <v>0</v>
      </c>
      <c r="Q134">
        <v>7.63</v>
      </c>
      <c r="R134">
        <v>0</v>
      </c>
      <c r="S134">
        <v>0</v>
      </c>
      <c r="T134">
        <v>0</v>
      </c>
      <c r="U134">
        <v>0</v>
      </c>
      <c r="V134">
        <v>0</v>
      </c>
      <c r="W134">
        <v>0</v>
      </c>
      <c r="X134">
        <v>0</v>
      </c>
      <c r="Y134">
        <v>0</v>
      </c>
      <c r="Z134">
        <v>50</v>
      </c>
      <c r="AA134" t="s">
        <v>116</v>
      </c>
      <c r="AB134">
        <v>1</v>
      </c>
      <c r="AI134">
        <v>1</v>
      </c>
      <c r="AJ134">
        <v>0</v>
      </c>
      <c r="AK134">
        <v>0</v>
      </c>
      <c r="AL134">
        <v>101</v>
      </c>
    </row>
    <row r="135" spans="1:38" x14ac:dyDescent="0.25">
      <c r="A135">
        <v>20608997106</v>
      </c>
      <c r="B135" t="s">
        <v>115</v>
      </c>
      <c r="C135">
        <v>202606</v>
      </c>
      <c r="D135" t="s">
        <v>396</v>
      </c>
      <c r="E135" s="99">
        <v>46197</v>
      </c>
      <c r="G135">
        <v>3</v>
      </c>
      <c r="H135" t="s">
        <v>141</v>
      </c>
      <c r="I135">
        <v>3796</v>
      </c>
      <c r="K135" t="s">
        <v>142</v>
      </c>
      <c r="L135" t="s">
        <v>142</v>
      </c>
      <c r="M135" t="s">
        <v>397</v>
      </c>
      <c r="N135">
        <v>0</v>
      </c>
      <c r="O135">
        <v>186.44</v>
      </c>
      <c r="P135">
        <v>0</v>
      </c>
      <c r="Q135">
        <v>33.56</v>
      </c>
      <c r="R135">
        <v>0</v>
      </c>
      <c r="S135">
        <v>0</v>
      </c>
      <c r="T135">
        <v>0</v>
      </c>
      <c r="U135">
        <v>0</v>
      </c>
      <c r="V135">
        <v>0</v>
      </c>
      <c r="W135">
        <v>0</v>
      </c>
      <c r="X135">
        <v>0</v>
      </c>
      <c r="Y135">
        <v>0</v>
      </c>
      <c r="Z135">
        <v>220</v>
      </c>
      <c r="AA135" t="s">
        <v>116</v>
      </c>
      <c r="AB135">
        <v>1</v>
      </c>
      <c r="AI135">
        <v>1</v>
      </c>
      <c r="AJ135">
        <v>0</v>
      </c>
      <c r="AK135">
        <v>0</v>
      </c>
      <c r="AL135">
        <v>101</v>
      </c>
    </row>
    <row r="136" spans="1:38" x14ac:dyDescent="0.25">
      <c r="A136">
        <v>20608997106</v>
      </c>
      <c r="B136" t="s">
        <v>115</v>
      </c>
      <c r="C136">
        <v>202606</v>
      </c>
      <c r="D136" t="s">
        <v>398</v>
      </c>
      <c r="E136" s="99">
        <v>46197</v>
      </c>
      <c r="G136">
        <v>3</v>
      </c>
      <c r="H136" t="s">
        <v>141</v>
      </c>
      <c r="I136">
        <v>3797</v>
      </c>
      <c r="K136">
        <v>1</v>
      </c>
      <c r="L136">
        <v>45717198</v>
      </c>
      <c r="M136" t="s">
        <v>399</v>
      </c>
      <c r="N136">
        <v>0</v>
      </c>
      <c r="O136">
        <v>42.37</v>
      </c>
      <c r="P136">
        <v>0</v>
      </c>
      <c r="Q136">
        <v>7.63</v>
      </c>
      <c r="R136">
        <v>0</v>
      </c>
      <c r="S136">
        <v>0</v>
      </c>
      <c r="T136">
        <v>0</v>
      </c>
      <c r="U136">
        <v>0</v>
      </c>
      <c r="V136">
        <v>0</v>
      </c>
      <c r="W136">
        <v>0</v>
      </c>
      <c r="X136">
        <v>0</v>
      </c>
      <c r="Y136">
        <v>0</v>
      </c>
      <c r="Z136">
        <v>50</v>
      </c>
      <c r="AA136" t="s">
        <v>116</v>
      </c>
      <c r="AB136">
        <v>1</v>
      </c>
      <c r="AI136">
        <v>1</v>
      </c>
      <c r="AJ136">
        <v>0</v>
      </c>
      <c r="AK136">
        <v>0</v>
      </c>
      <c r="AL136">
        <v>101</v>
      </c>
    </row>
    <row r="137" spans="1:38" x14ac:dyDescent="0.25">
      <c r="A137">
        <v>20608997106</v>
      </c>
      <c r="B137" t="s">
        <v>115</v>
      </c>
      <c r="C137">
        <v>202606</v>
      </c>
      <c r="D137" t="s">
        <v>400</v>
      </c>
      <c r="E137" s="99">
        <v>46197</v>
      </c>
      <c r="G137">
        <v>3</v>
      </c>
      <c r="H137" t="s">
        <v>141</v>
      </c>
      <c r="I137">
        <v>3798</v>
      </c>
      <c r="K137" t="s">
        <v>142</v>
      </c>
      <c r="L137" t="s">
        <v>142</v>
      </c>
      <c r="M137" t="s">
        <v>401</v>
      </c>
      <c r="N137">
        <v>0</v>
      </c>
      <c r="O137">
        <v>364.41</v>
      </c>
      <c r="P137">
        <v>0</v>
      </c>
      <c r="Q137">
        <v>65.59</v>
      </c>
      <c r="R137">
        <v>0</v>
      </c>
      <c r="S137">
        <v>0</v>
      </c>
      <c r="T137">
        <v>0</v>
      </c>
      <c r="U137">
        <v>0</v>
      </c>
      <c r="V137">
        <v>0</v>
      </c>
      <c r="W137">
        <v>0</v>
      </c>
      <c r="X137">
        <v>0</v>
      </c>
      <c r="Y137">
        <v>0</v>
      </c>
      <c r="Z137">
        <v>430</v>
      </c>
      <c r="AA137" t="s">
        <v>116</v>
      </c>
      <c r="AB137">
        <v>1</v>
      </c>
      <c r="AI137">
        <v>1</v>
      </c>
      <c r="AJ137">
        <v>0</v>
      </c>
      <c r="AK137">
        <v>0</v>
      </c>
      <c r="AL137">
        <v>101</v>
      </c>
    </row>
    <row r="138" spans="1:38" x14ac:dyDescent="0.25">
      <c r="A138">
        <v>20608997106</v>
      </c>
      <c r="B138" t="s">
        <v>115</v>
      </c>
      <c r="C138">
        <v>202606</v>
      </c>
      <c r="D138" t="s">
        <v>402</v>
      </c>
      <c r="E138" s="99">
        <v>46197</v>
      </c>
      <c r="G138">
        <v>3</v>
      </c>
      <c r="H138" t="s">
        <v>141</v>
      </c>
      <c r="I138">
        <v>3799</v>
      </c>
      <c r="K138" t="s">
        <v>142</v>
      </c>
      <c r="L138" t="s">
        <v>142</v>
      </c>
      <c r="M138" t="s">
        <v>143</v>
      </c>
      <c r="N138">
        <v>0</v>
      </c>
      <c r="O138">
        <v>43.22</v>
      </c>
      <c r="P138">
        <v>0</v>
      </c>
      <c r="Q138">
        <v>7.78</v>
      </c>
      <c r="R138">
        <v>0</v>
      </c>
      <c r="S138">
        <v>0</v>
      </c>
      <c r="T138">
        <v>0</v>
      </c>
      <c r="U138">
        <v>0</v>
      </c>
      <c r="V138">
        <v>0</v>
      </c>
      <c r="W138">
        <v>0</v>
      </c>
      <c r="X138">
        <v>0</v>
      </c>
      <c r="Y138">
        <v>0</v>
      </c>
      <c r="Z138">
        <v>51</v>
      </c>
      <c r="AA138" t="s">
        <v>116</v>
      </c>
      <c r="AB138">
        <v>1</v>
      </c>
      <c r="AI138">
        <v>1</v>
      </c>
      <c r="AJ138">
        <v>0</v>
      </c>
      <c r="AK138">
        <v>0</v>
      </c>
      <c r="AL138">
        <v>101</v>
      </c>
    </row>
    <row r="139" spans="1:38" x14ac:dyDescent="0.25">
      <c r="A139">
        <v>20608997106</v>
      </c>
      <c r="B139" t="s">
        <v>115</v>
      </c>
      <c r="C139">
        <v>202606</v>
      </c>
      <c r="D139" t="s">
        <v>403</v>
      </c>
      <c r="E139" s="99">
        <v>46197</v>
      </c>
      <c r="G139">
        <v>3</v>
      </c>
      <c r="H139" t="s">
        <v>141</v>
      </c>
      <c r="I139">
        <v>3800</v>
      </c>
      <c r="K139" t="s">
        <v>142</v>
      </c>
      <c r="L139" t="s">
        <v>142</v>
      </c>
      <c r="M139" t="s">
        <v>404</v>
      </c>
      <c r="N139">
        <v>0</v>
      </c>
      <c r="O139">
        <v>79.66</v>
      </c>
      <c r="P139">
        <v>0</v>
      </c>
      <c r="Q139">
        <v>14.34</v>
      </c>
      <c r="R139">
        <v>0</v>
      </c>
      <c r="S139">
        <v>0</v>
      </c>
      <c r="T139">
        <v>0</v>
      </c>
      <c r="U139">
        <v>0</v>
      </c>
      <c r="V139">
        <v>0</v>
      </c>
      <c r="W139">
        <v>0</v>
      </c>
      <c r="X139">
        <v>0</v>
      </c>
      <c r="Y139">
        <v>0</v>
      </c>
      <c r="Z139">
        <v>94</v>
      </c>
      <c r="AA139" t="s">
        <v>116</v>
      </c>
      <c r="AB139">
        <v>1</v>
      </c>
      <c r="AI139">
        <v>1</v>
      </c>
      <c r="AJ139">
        <v>0</v>
      </c>
      <c r="AK139">
        <v>0</v>
      </c>
      <c r="AL139">
        <v>101</v>
      </c>
    </row>
    <row r="140" spans="1:38" x14ac:dyDescent="0.25">
      <c r="A140">
        <v>20608997106</v>
      </c>
      <c r="B140" t="s">
        <v>115</v>
      </c>
      <c r="C140">
        <v>202606</v>
      </c>
      <c r="D140" t="s">
        <v>405</v>
      </c>
      <c r="E140" s="99">
        <v>46197</v>
      </c>
      <c r="G140">
        <v>3</v>
      </c>
      <c r="H140" t="s">
        <v>141</v>
      </c>
      <c r="I140">
        <v>3801</v>
      </c>
      <c r="K140" t="s">
        <v>142</v>
      </c>
      <c r="L140" t="s">
        <v>142</v>
      </c>
      <c r="M140" t="s">
        <v>406</v>
      </c>
      <c r="N140">
        <v>0</v>
      </c>
      <c r="O140">
        <v>116.95</v>
      </c>
      <c r="P140">
        <v>0</v>
      </c>
      <c r="Q140">
        <v>21.05</v>
      </c>
      <c r="R140">
        <v>0</v>
      </c>
      <c r="S140">
        <v>0</v>
      </c>
      <c r="T140">
        <v>0</v>
      </c>
      <c r="U140">
        <v>0</v>
      </c>
      <c r="V140">
        <v>0</v>
      </c>
      <c r="W140">
        <v>0</v>
      </c>
      <c r="X140">
        <v>0</v>
      </c>
      <c r="Y140">
        <v>0</v>
      </c>
      <c r="Z140">
        <v>138</v>
      </c>
      <c r="AA140" t="s">
        <v>116</v>
      </c>
      <c r="AB140">
        <v>1</v>
      </c>
      <c r="AI140">
        <v>1</v>
      </c>
      <c r="AJ140">
        <v>0</v>
      </c>
      <c r="AK140">
        <v>0</v>
      </c>
      <c r="AL140">
        <v>101</v>
      </c>
    </row>
    <row r="141" spans="1:38" x14ac:dyDescent="0.25">
      <c r="A141">
        <v>20608997106</v>
      </c>
      <c r="B141" t="s">
        <v>115</v>
      </c>
      <c r="C141">
        <v>202606</v>
      </c>
      <c r="D141" t="s">
        <v>407</v>
      </c>
      <c r="E141" s="99">
        <v>46197</v>
      </c>
      <c r="G141">
        <v>3</v>
      </c>
      <c r="H141" t="s">
        <v>141</v>
      </c>
      <c r="I141">
        <v>3802</v>
      </c>
      <c r="K141" t="s">
        <v>142</v>
      </c>
      <c r="L141" t="s">
        <v>142</v>
      </c>
      <c r="M141" t="s">
        <v>408</v>
      </c>
      <c r="N141">
        <v>0</v>
      </c>
      <c r="O141">
        <v>42.37</v>
      </c>
      <c r="P141">
        <v>0</v>
      </c>
      <c r="Q141">
        <v>7.63</v>
      </c>
      <c r="R141">
        <v>0</v>
      </c>
      <c r="S141">
        <v>0</v>
      </c>
      <c r="T141">
        <v>0</v>
      </c>
      <c r="U141">
        <v>0</v>
      </c>
      <c r="V141">
        <v>0</v>
      </c>
      <c r="W141">
        <v>0</v>
      </c>
      <c r="X141">
        <v>0</v>
      </c>
      <c r="Y141">
        <v>0</v>
      </c>
      <c r="Z141">
        <v>50</v>
      </c>
      <c r="AA141" t="s">
        <v>116</v>
      </c>
      <c r="AB141">
        <v>1</v>
      </c>
      <c r="AI141">
        <v>1</v>
      </c>
      <c r="AJ141">
        <v>0</v>
      </c>
      <c r="AK141">
        <v>0</v>
      </c>
      <c r="AL141">
        <v>101</v>
      </c>
    </row>
    <row r="142" spans="1:38" x14ac:dyDescent="0.25">
      <c r="A142">
        <v>20608997106</v>
      </c>
      <c r="B142" t="s">
        <v>115</v>
      </c>
      <c r="C142">
        <v>202606</v>
      </c>
      <c r="D142" t="s">
        <v>409</v>
      </c>
      <c r="E142" s="99">
        <v>46197</v>
      </c>
      <c r="G142">
        <v>3</v>
      </c>
      <c r="H142" t="s">
        <v>141</v>
      </c>
      <c r="I142">
        <v>3803</v>
      </c>
      <c r="K142" t="s">
        <v>142</v>
      </c>
      <c r="L142" t="s">
        <v>142</v>
      </c>
      <c r="M142" t="s">
        <v>410</v>
      </c>
      <c r="N142">
        <v>0</v>
      </c>
      <c r="O142">
        <v>84.75</v>
      </c>
      <c r="P142">
        <v>0</v>
      </c>
      <c r="Q142">
        <v>15.25</v>
      </c>
      <c r="R142">
        <v>0</v>
      </c>
      <c r="S142">
        <v>0</v>
      </c>
      <c r="T142">
        <v>0</v>
      </c>
      <c r="U142">
        <v>0</v>
      </c>
      <c r="V142">
        <v>0</v>
      </c>
      <c r="W142">
        <v>0</v>
      </c>
      <c r="X142">
        <v>0</v>
      </c>
      <c r="Y142">
        <v>0</v>
      </c>
      <c r="Z142">
        <v>100</v>
      </c>
      <c r="AA142" t="s">
        <v>116</v>
      </c>
      <c r="AB142">
        <v>1</v>
      </c>
      <c r="AI142">
        <v>1</v>
      </c>
      <c r="AJ142">
        <v>0</v>
      </c>
      <c r="AK142">
        <v>0</v>
      </c>
      <c r="AL142">
        <v>101</v>
      </c>
    </row>
    <row r="143" spans="1:38" x14ac:dyDescent="0.25">
      <c r="A143">
        <v>20608997106</v>
      </c>
      <c r="B143" t="s">
        <v>115</v>
      </c>
      <c r="C143">
        <v>202606</v>
      </c>
      <c r="D143" t="s">
        <v>411</v>
      </c>
      <c r="E143" s="99">
        <v>46197</v>
      </c>
      <c r="G143">
        <v>3</v>
      </c>
      <c r="H143" t="s">
        <v>141</v>
      </c>
      <c r="I143">
        <v>3805</v>
      </c>
      <c r="K143" t="s">
        <v>142</v>
      </c>
      <c r="L143" t="s">
        <v>142</v>
      </c>
      <c r="M143" t="s">
        <v>412</v>
      </c>
      <c r="N143">
        <v>0</v>
      </c>
      <c r="O143">
        <v>79.66</v>
      </c>
      <c r="P143">
        <v>0</v>
      </c>
      <c r="Q143">
        <v>14.34</v>
      </c>
      <c r="R143">
        <v>0</v>
      </c>
      <c r="S143">
        <v>0</v>
      </c>
      <c r="T143">
        <v>0</v>
      </c>
      <c r="U143">
        <v>0</v>
      </c>
      <c r="V143">
        <v>0</v>
      </c>
      <c r="W143">
        <v>0</v>
      </c>
      <c r="X143">
        <v>0</v>
      </c>
      <c r="Y143">
        <v>0</v>
      </c>
      <c r="Z143">
        <v>94</v>
      </c>
      <c r="AA143" t="s">
        <v>116</v>
      </c>
      <c r="AB143">
        <v>1</v>
      </c>
      <c r="AI143">
        <v>1</v>
      </c>
      <c r="AJ143">
        <v>0</v>
      </c>
      <c r="AK143">
        <v>0</v>
      </c>
      <c r="AL143">
        <v>101</v>
      </c>
    </row>
    <row r="144" spans="1:38" x14ac:dyDescent="0.25">
      <c r="A144">
        <v>20608997106</v>
      </c>
      <c r="B144" t="s">
        <v>115</v>
      </c>
      <c r="C144">
        <v>202606</v>
      </c>
      <c r="D144" t="s">
        <v>413</v>
      </c>
      <c r="E144" s="99">
        <v>46197</v>
      </c>
      <c r="G144">
        <v>3</v>
      </c>
      <c r="H144" t="s">
        <v>141</v>
      </c>
      <c r="I144">
        <v>3806</v>
      </c>
      <c r="K144" t="s">
        <v>142</v>
      </c>
      <c r="L144" t="s">
        <v>142</v>
      </c>
      <c r="M144" t="s">
        <v>414</v>
      </c>
      <c r="N144">
        <v>0</v>
      </c>
      <c r="O144">
        <v>114.41</v>
      </c>
      <c r="P144">
        <v>0</v>
      </c>
      <c r="Q144">
        <v>20.59</v>
      </c>
      <c r="R144">
        <v>0</v>
      </c>
      <c r="S144">
        <v>0</v>
      </c>
      <c r="T144">
        <v>0</v>
      </c>
      <c r="U144">
        <v>0</v>
      </c>
      <c r="V144">
        <v>0</v>
      </c>
      <c r="W144">
        <v>0</v>
      </c>
      <c r="X144">
        <v>0</v>
      </c>
      <c r="Y144">
        <v>0</v>
      </c>
      <c r="Z144">
        <v>135</v>
      </c>
      <c r="AA144" t="s">
        <v>116</v>
      </c>
      <c r="AB144">
        <v>1</v>
      </c>
      <c r="AI144">
        <v>1</v>
      </c>
      <c r="AJ144">
        <v>0</v>
      </c>
      <c r="AK144">
        <v>0</v>
      </c>
      <c r="AL144">
        <v>101</v>
      </c>
    </row>
    <row r="145" spans="1:38" x14ac:dyDescent="0.25">
      <c r="A145">
        <v>20608997106</v>
      </c>
      <c r="B145" t="s">
        <v>115</v>
      </c>
      <c r="C145">
        <v>202606</v>
      </c>
      <c r="D145" t="s">
        <v>415</v>
      </c>
      <c r="E145" s="99">
        <v>46197</v>
      </c>
      <c r="G145">
        <v>3</v>
      </c>
      <c r="H145" t="s">
        <v>141</v>
      </c>
      <c r="I145">
        <v>3807</v>
      </c>
      <c r="K145" t="s">
        <v>142</v>
      </c>
      <c r="L145" t="s">
        <v>142</v>
      </c>
      <c r="M145" t="s">
        <v>208</v>
      </c>
      <c r="N145">
        <v>0</v>
      </c>
      <c r="O145">
        <v>42.37</v>
      </c>
      <c r="P145">
        <v>0</v>
      </c>
      <c r="Q145">
        <v>7.63</v>
      </c>
      <c r="R145">
        <v>0</v>
      </c>
      <c r="S145">
        <v>0</v>
      </c>
      <c r="T145">
        <v>0</v>
      </c>
      <c r="U145">
        <v>0</v>
      </c>
      <c r="V145">
        <v>0</v>
      </c>
      <c r="W145">
        <v>0</v>
      </c>
      <c r="X145">
        <v>0</v>
      </c>
      <c r="Y145">
        <v>0</v>
      </c>
      <c r="Z145">
        <v>50</v>
      </c>
      <c r="AA145" t="s">
        <v>116</v>
      </c>
      <c r="AB145">
        <v>1</v>
      </c>
      <c r="AI145">
        <v>1</v>
      </c>
      <c r="AJ145">
        <v>0</v>
      </c>
      <c r="AK145">
        <v>0</v>
      </c>
      <c r="AL145">
        <v>101</v>
      </c>
    </row>
    <row r="146" spans="1:38" x14ac:dyDescent="0.25">
      <c r="A146">
        <v>20608997106</v>
      </c>
      <c r="B146" t="s">
        <v>115</v>
      </c>
      <c r="C146">
        <v>202606</v>
      </c>
      <c r="D146" t="s">
        <v>416</v>
      </c>
      <c r="E146" s="99">
        <v>46197</v>
      </c>
      <c r="G146">
        <v>3</v>
      </c>
      <c r="H146" t="s">
        <v>141</v>
      </c>
      <c r="I146">
        <v>3808</v>
      </c>
      <c r="K146" t="s">
        <v>142</v>
      </c>
      <c r="L146" t="s">
        <v>142</v>
      </c>
      <c r="M146" t="s">
        <v>417</v>
      </c>
      <c r="N146">
        <v>0</v>
      </c>
      <c r="O146">
        <v>81.36</v>
      </c>
      <c r="P146">
        <v>0</v>
      </c>
      <c r="Q146">
        <v>14.64</v>
      </c>
      <c r="R146">
        <v>0</v>
      </c>
      <c r="S146">
        <v>0</v>
      </c>
      <c r="T146">
        <v>0</v>
      </c>
      <c r="U146">
        <v>0</v>
      </c>
      <c r="V146">
        <v>0</v>
      </c>
      <c r="W146">
        <v>0</v>
      </c>
      <c r="X146">
        <v>0</v>
      </c>
      <c r="Y146">
        <v>0</v>
      </c>
      <c r="Z146">
        <v>96</v>
      </c>
      <c r="AA146" t="s">
        <v>116</v>
      </c>
      <c r="AB146">
        <v>1</v>
      </c>
      <c r="AI146">
        <v>1</v>
      </c>
      <c r="AJ146">
        <v>0</v>
      </c>
      <c r="AK146">
        <v>0</v>
      </c>
      <c r="AL146">
        <v>101</v>
      </c>
    </row>
    <row r="147" spans="1:38" x14ac:dyDescent="0.25">
      <c r="A147">
        <v>20608997106</v>
      </c>
      <c r="B147" t="s">
        <v>115</v>
      </c>
      <c r="C147">
        <v>202606</v>
      </c>
      <c r="D147" t="s">
        <v>418</v>
      </c>
      <c r="E147" s="99">
        <v>46197</v>
      </c>
      <c r="G147">
        <v>3</v>
      </c>
      <c r="H147" t="s">
        <v>141</v>
      </c>
      <c r="I147">
        <v>3809</v>
      </c>
      <c r="K147" t="s">
        <v>142</v>
      </c>
      <c r="L147" t="s">
        <v>142</v>
      </c>
      <c r="M147" t="s">
        <v>419</v>
      </c>
      <c r="N147">
        <v>0</v>
      </c>
      <c r="O147">
        <v>114.41</v>
      </c>
      <c r="P147">
        <v>0</v>
      </c>
      <c r="Q147">
        <v>20.59</v>
      </c>
      <c r="R147">
        <v>0</v>
      </c>
      <c r="S147">
        <v>0</v>
      </c>
      <c r="T147">
        <v>0</v>
      </c>
      <c r="U147">
        <v>0</v>
      </c>
      <c r="V147">
        <v>0</v>
      </c>
      <c r="W147">
        <v>0</v>
      </c>
      <c r="X147">
        <v>0</v>
      </c>
      <c r="Y147">
        <v>0</v>
      </c>
      <c r="Z147">
        <v>135</v>
      </c>
      <c r="AA147" t="s">
        <v>116</v>
      </c>
      <c r="AB147">
        <v>1</v>
      </c>
      <c r="AI147">
        <v>1</v>
      </c>
      <c r="AJ147">
        <v>0</v>
      </c>
      <c r="AK147">
        <v>0</v>
      </c>
      <c r="AL147">
        <v>101</v>
      </c>
    </row>
    <row r="148" spans="1:38" x14ac:dyDescent="0.25">
      <c r="A148">
        <v>20608997106</v>
      </c>
      <c r="B148" t="s">
        <v>115</v>
      </c>
      <c r="C148">
        <v>202606</v>
      </c>
      <c r="D148" t="s">
        <v>420</v>
      </c>
      <c r="E148" s="99">
        <v>46197</v>
      </c>
      <c r="G148">
        <v>3</v>
      </c>
      <c r="H148" t="s">
        <v>141</v>
      </c>
      <c r="I148">
        <v>3810</v>
      </c>
      <c r="K148" t="s">
        <v>142</v>
      </c>
      <c r="L148" t="s">
        <v>142</v>
      </c>
      <c r="M148" t="s">
        <v>421</v>
      </c>
      <c r="N148">
        <v>0</v>
      </c>
      <c r="O148">
        <v>42.37</v>
      </c>
      <c r="P148">
        <v>0</v>
      </c>
      <c r="Q148">
        <v>7.63</v>
      </c>
      <c r="R148">
        <v>0</v>
      </c>
      <c r="S148">
        <v>0</v>
      </c>
      <c r="T148">
        <v>0</v>
      </c>
      <c r="U148">
        <v>0</v>
      </c>
      <c r="V148">
        <v>0</v>
      </c>
      <c r="W148">
        <v>0</v>
      </c>
      <c r="X148">
        <v>0</v>
      </c>
      <c r="Y148">
        <v>0</v>
      </c>
      <c r="Z148">
        <v>50</v>
      </c>
      <c r="AA148" t="s">
        <v>116</v>
      </c>
      <c r="AB148">
        <v>1</v>
      </c>
      <c r="AI148">
        <v>1</v>
      </c>
      <c r="AJ148">
        <v>0</v>
      </c>
      <c r="AK148">
        <v>0</v>
      </c>
      <c r="AL148">
        <v>101</v>
      </c>
    </row>
    <row r="149" spans="1:38" x14ac:dyDescent="0.25">
      <c r="A149">
        <v>20608997106</v>
      </c>
      <c r="B149" t="s">
        <v>115</v>
      </c>
      <c r="C149">
        <v>202606</v>
      </c>
      <c r="D149" t="s">
        <v>422</v>
      </c>
      <c r="E149" s="99">
        <v>46197</v>
      </c>
      <c r="G149">
        <v>3</v>
      </c>
      <c r="H149" t="s">
        <v>141</v>
      </c>
      <c r="I149">
        <v>3811</v>
      </c>
      <c r="K149" t="s">
        <v>142</v>
      </c>
      <c r="L149" t="s">
        <v>142</v>
      </c>
      <c r="M149" t="s">
        <v>423</v>
      </c>
      <c r="N149">
        <v>0</v>
      </c>
      <c r="O149">
        <v>335.59</v>
      </c>
      <c r="P149">
        <v>0</v>
      </c>
      <c r="Q149">
        <v>60.41</v>
      </c>
      <c r="R149">
        <v>0</v>
      </c>
      <c r="S149">
        <v>0</v>
      </c>
      <c r="T149">
        <v>0</v>
      </c>
      <c r="U149">
        <v>0</v>
      </c>
      <c r="V149">
        <v>0</v>
      </c>
      <c r="W149">
        <v>0</v>
      </c>
      <c r="X149">
        <v>0</v>
      </c>
      <c r="Y149">
        <v>0</v>
      </c>
      <c r="Z149">
        <v>396</v>
      </c>
      <c r="AA149" t="s">
        <v>116</v>
      </c>
      <c r="AB149">
        <v>1</v>
      </c>
      <c r="AI149">
        <v>1</v>
      </c>
      <c r="AJ149">
        <v>0</v>
      </c>
      <c r="AK149">
        <v>0</v>
      </c>
      <c r="AL149">
        <v>101</v>
      </c>
    </row>
    <row r="150" spans="1:38" x14ac:dyDescent="0.25">
      <c r="A150">
        <v>20608997106</v>
      </c>
      <c r="B150" t="s">
        <v>115</v>
      </c>
      <c r="C150">
        <v>202606</v>
      </c>
      <c r="D150" t="s">
        <v>424</v>
      </c>
      <c r="E150" s="99">
        <v>46198</v>
      </c>
      <c r="G150">
        <v>3</v>
      </c>
      <c r="H150" t="s">
        <v>141</v>
      </c>
      <c r="I150">
        <v>3775</v>
      </c>
      <c r="K150" t="s">
        <v>142</v>
      </c>
      <c r="L150" t="s">
        <v>142</v>
      </c>
      <c r="M150" t="s">
        <v>425</v>
      </c>
      <c r="N150">
        <v>0</v>
      </c>
      <c r="O150">
        <v>74.58</v>
      </c>
      <c r="P150">
        <v>0</v>
      </c>
      <c r="Q150">
        <v>13.42</v>
      </c>
      <c r="R150">
        <v>0</v>
      </c>
      <c r="S150">
        <v>0</v>
      </c>
      <c r="T150">
        <v>0</v>
      </c>
      <c r="U150">
        <v>0</v>
      </c>
      <c r="V150">
        <v>0</v>
      </c>
      <c r="W150">
        <v>0</v>
      </c>
      <c r="X150">
        <v>0</v>
      </c>
      <c r="Y150">
        <v>0</v>
      </c>
      <c r="Z150">
        <v>88</v>
      </c>
      <c r="AA150" t="s">
        <v>116</v>
      </c>
      <c r="AB150">
        <v>1</v>
      </c>
      <c r="AI150">
        <v>1</v>
      </c>
      <c r="AJ150">
        <v>0</v>
      </c>
      <c r="AK150">
        <v>0</v>
      </c>
      <c r="AL150">
        <v>101</v>
      </c>
    </row>
    <row r="151" spans="1:38" x14ac:dyDescent="0.25">
      <c r="A151">
        <v>20608997106</v>
      </c>
      <c r="B151" t="s">
        <v>115</v>
      </c>
      <c r="C151">
        <v>202606</v>
      </c>
      <c r="D151" t="s">
        <v>426</v>
      </c>
      <c r="E151" s="99">
        <v>46198</v>
      </c>
      <c r="G151">
        <v>3</v>
      </c>
      <c r="H151" t="s">
        <v>141</v>
      </c>
      <c r="I151">
        <v>3812</v>
      </c>
      <c r="K151" t="s">
        <v>142</v>
      </c>
      <c r="L151" t="s">
        <v>142</v>
      </c>
      <c r="M151" t="s">
        <v>378</v>
      </c>
      <c r="N151">
        <v>0</v>
      </c>
      <c r="O151">
        <v>42.37</v>
      </c>
      <c r="P151">
        <v>0</v>
      </c>
      <c r="Q151">
        <v>7.63</v>
      </c>
      <c r="R151">
        <v>0</v>
      </c>
      <c r="S151">
        <v>0</v>
      </c>
      <c r="T151">
        <v>0</v>
      </c>
      <c r="U151">
        <v>0</v>
      </c>
      <c r="V151">
        <v>0</v>
      </c>
      <c r="W151">
        <v>0</v>
      </c>
      <c r="X151">
        <v>0</v>
      </c>
      <c r="Y151">
        <v>0</v>
      </c>
      <c r="Z151">
        <v>50</v>
      </c>
      <c r="AA151" t="s">
        <v>116</v>
      </c>
      <c r="AB151">
        <v>1</v>
      </c>
      <c r="AI151">
        <v>1</v>
      </c>
      <c r="AJ151">
        <v>0</v>
      </c>
      <c r="AK151">
        <v>0</v>
      </c>
      <c r="AL151">
        <v>101</v>
      </c>
    </row>
    <row r="152" spans="1:38" x14ac:dyDescent="0.25">
      <c r="A152">
        <v>20608997106</v>
      </c>
      <c r="B152" t="s">
        <v>115</v>
      </c>
      <c r="C152">
        <v>202606</v>
      </c>
      <c r="D152" t="s">
        <v>427</v>
      </c>
      <c r="E152" s="99">
        <v>46198</v>
      </c>
      <c r="G152">
        <v>3</v>
      </c>
      <c r="H152" t="s">
        <v>141</v>
      </c>
      <c r="I152">
        <v>3813</v>
      </c>
      <c r="K152" t="s">
        <v>142</v>
      </c>
      <c r="L152" t="s">
        <v>142</v>
      </c>
      <c r="M152" t="s">
        <v>428</v>
      </c>
      <c r="N152">
        <v>0</v>
      </c>
      <c r="O152">
        <v>81.36</v>
      </c>
      <c r="P152">
        <v>0</v>
      </c>
      <c r="Q152">
        <v>14.64</v>
      </c>
      <c r="R152">
        <v>0</v>
      </c>
      <c r="S152">
        <v>0</v>
      </c>
      <c r="T152">
        <v>0</v>
      </c>
      <c r="U152">
        <v>0</v>
      </c>
      <c r="V152">
        <v>0</v>
      </c>
      <c r="W152">
        <v>0</v>
      </c>
      <c r="X152">
        <v>0</v>
      </c>
      <c r="Y152">
        <v>0</v>
      </c>
      <c r="Z152">
        <v>96</v>
      </c>
      <c r="AA152" t="s">
        <v>116</v>
      </c>
      <c r="AB152">
        <v>1</v>
      </c>
      <c r="AI152">
        <v>1</v>
      </c>
      <c r="AJ152">
        <v>0</v>
      </c>
      <c r="AK152">
        <v>0</v>
      </c>
      <c r="AL152">
        <v>101</v>
      </c>
    </row>
    <row r="153" spans="1:38" x14ac:dyDescent="0.25">
      <c r="A153">
        <v>20608997106</v>
      </c>
      <c r="B153" t="s">
        <v>115</v>
      </c>
      <c r="C153">
        <v>202606</v>
      </c>
      <c r="D153" t="s">
        <v>429</v>
      </c>
      <c r="E153" s="99">
        <v>46198</v>
      </c>
      <c r="G153">
        <v>3</v>
      </c>
      <c r="H153" t="s">
        <v>141</v>
      </c>
      <c r="I153">
        <v>3814</v>
      </c>
      <c r="K153" t="s">
        <v>142</v>
      </c>
      <c r="L153" t="s">
        <v>142</v>
      </c>
      <c r="M153" t="s">
        <v>430</v>
      </c>
      <c r="N153">
        <v>0</v>
      </c>
      <c r="O153">
        <v>119.49</v>
      </c>
      <c r="P153">
        <v>0</v>
      </c>
      <c r="Q153">
        <v>21.51</v>
      </c>
      <c r="R153">
        <v>0</v>
      </c>
      <c r="S153">
        <v>0</v>
      </c>
      <c r="T153">
        <v>0</v>
      </c>
      <c r="U153">
        <v>0</v>
      </c>
      <c r="V153">
        <v>0</v>
      </c>
      <c r="W153">
        <v>0</v>
      </c>
      <c r="X153">
        <v>0</v>
      </c>
      <c r="Y153">
        <v>0</v>
      </c>
      <c r="Z153">
        <v>141</v>
      </c>
      <c r="AA153" t="s">
        <v>116</v>
      </c>
      <c r="AB153">
        <v>1</v>
      </c>
      <c r="AI153">
        <v>1</v>
      </c>
      <c r="AJ153">
        <v>0</v>
      </c>
      <c r="AK153">
        <v>0</v>
      </c>
      <c r="AL153">
        <v>101</v>
      </c>
    </row>
    <row r="154" spans="1:38" x14ac:dyDescent="0.25">
      <c r="A154">
        <v>20608997106</v>
      </c>
      <c r="B154" t="s">
        <v>115</v>
      </c>
      <c r="C154">
        <v>202606</v>
      </c>
      <c r="D154" t="s">
        <v>431</v>
      </c>
      <c r="E154" s="99">
        <v>46198</v>
      </c>
      <c r="G154">
        <v>3</v>
      </c>
      <c r="H154" t="s">
        <v>141</v>
      </c>
      <c r="I154">
        <v>3815</v>
      </c>
      <c r="K154" t="s">
        <v>142</v>
      </c>
      <c r="L154" t="s">
        <v>142</v>
      </c>
      <c r="M154" t="s">
        <v>432</v>
      </c>
      <c r="N154">
        <v>0</v>
      </c>
      <c r="O154">
        <v>186.44</v>
      </c>
      <c r="P154">
        <v>0</v>
      </c>
      <c r="Q154">
        <v>33.56</v>
      </c>
      <c r="R154">
        <v>0</v>
      </c>
      <c r="S154">
        <v>0</v>
      </c>
      <c r="T154">
        <v>0</v>
      </c>
      <c r="U154">
        <v>0</v>
      </c>
      <c r="V154">
        <v>0</v>
      </c>
      <c r="W154">
        <v>0</v>
      </c>
      <c r="X154">
        <v>0</v>
      </c>
      <c r="Y154">
        <v>0</v>
      </c>
      <c r="Z154">
        <v>220</v>
      </c>
      <c r="AA154" t="s">
        <v>116</v>
      </c>
      <c r="AB154">
        <v>1</v>
      </c>
      <c r="AI154">
        <v>1</v>
      </c>
      <c r="AJ154">
        <v>0</v>
      </c>
      <c r="AK154">
        <v>0</v>
      </c>
      <c r="AL154">
        <v>101</v>
      </c>
    </row>
    <row r="155" spans="1:38" x14ac:dyDescent="0.25">
      <c r="A155">
        <v>20608997106</v>
      </c>
      <c r="B155" t="s">
        <v>115</v>
      </c>
      <c r="C155">
        <v>202606</v>
      </c>
      <c r="D155" t="s">
        <v>433</v>
      </c>
      <c r="E155" s="99">
        <v>46198</v>
      </c>
      <c r="G155">
        <v>3</v>
      </c>
      <c r="H155" t="s">
        <v>141</v>
      </c>
      <c r="I155">
        <v>3816</v>
      </c>
      <c r="K155" t="s">
        <v>142</v>
      </c>
      <c r="L155" t="s">
        <v>142</v>
      </c>
      <c r="M155" t="s">
        <v>434</v>
      </c>
      <c r="N155">
        <v>0</v>
      </c>
      <c r="O155">
        <v>43.22</v>
      </c>
      <c r="P155">
        <v>0</v>
      </c>
      <c r="Q155">
        <v>7.78</v>
      </c>
      <c r="R155">
        <v>0</v>
      </c>
      <c r="S155">
        <v>0</v>
      </c>
      <c r="T155">
        <v>0</v>
      </c>
      <c r="U155">
        <v>0</v>
      </c>
      <c r="V155">
        <v>0</v>
      </c>
      <c r="W155">
        <v>0</v>
      </c>
      <c r="X155">
        <v>0</v>
      </c>
      <c r="Y155">
        <v>0</v>
      </c>
      <c r="Z155">
        <v>51</v>
      </c>
      <c r="AA155" t="s">
        <v>116</v>
      </c>
      <c r="AB155">
        <v>1</v>
      </c>
      <c r="AI155">
        <v>1</v>
      </c>
      <c r="AJ155">
        <v>0</v>
      </c>
      <c r="AK155">
        <v>0</v>
      </c>
      <c r="AL155">
        <v>101</v>
      </c>
    </row>
    <row r="156" spans="1:38" x14ac:dyDescent="0.25">
      <c r="A156">
        <v>20608997106</v>
      </c>
      <c r="B156" t="s">
        <v>115</v>
      </c>
      <c r="C156">
        <v>202606</v>
      </c>
      <c r="D156" t="s">
        <v>435</v>
      </c>
      <c r="E156" s="99">
        <v>46198</v>
      </c>
      <c r="G156">
        <v>3</v>
      </c>
      <c r="H156" t="s">
        <v>141</v>
      </c>
      <c r="I156">
        <v>3817</v>
      </c>
      <c r="K156" t="s">
        <v>142</v>
      </c>
      <c r="L156" t="s">
        <v>142</v>
      </c>
      <c r="M156" t="s">
        <v>293</v>
      </c>
      <c r="N156">
        <v>0</v>
      </c>
      <c r="O156">
        <v>364.41</v>
      </c>
      <c r="P156">
        <v>0</v>
      </c>
      <c r="Q156">
        <v>65.59</v>
      </c>
      <c r="R156">
        <v>0</v>
      </c>
      <c r="S156">
        <v>0</v>
      </c>
      <c r="T156">
        <v>0</v>
      </c>
      <c r="U156">
        <v>0</v>
      </c>
      <c r="V156">
        <v>0</v>
      </c>
      <c r="W156">
        <v>0</v>
      </c>
      <c r="X156">
        <v>0</v>
      </c>
      <c r="Y156">
        <v>0</v>
      </c>
      <c r="Z156">
        <v>430</v>
      </c>
      <c r="AA156" t="s">
        <v>116</v>
      </c>
      <c r="AB156">
        <v>1</v>
      </c>
      <c r="AI156">
        <v>1</v>
      </c>
      <c r="AJ156">
        <v>0</v>
      </c>
      <c r="AK156">
        <v>0</v>
      </c>
      <c r="AL156">
        <v>101</v>
      </c>
    </row>
    <row r="157" spans="1:38" x14ac:dyDescent="0.25">
      <c r="A157">
        <v>20608997106</v>
      </c>
      <c r="B157" t="s">
        <v>115</v>
      </c>
      <c r="C157">
        <v>202606</v>
      </c>
      <c r="D157" t="s">
        <v>436</v>
      </c>
      <c r="E157" s="99">
        <v>46198</v>
      </c>
      <c r="G157">
        <v>3</v>
      </c>
      <c r="H157" t="s">
        <v>141</v>
      </c>
      <c r="I157">
        <v>3818</v>
      </c>
      <c r="K157" t="s">
        <v>142</v>
      </c>
      <c r="L157" t="s">
        <v>142</v>
      </c>
      <c r="M157" t="s">
        <v>437</v>
      </c>
      <c r="N157">
        <v>0</v>
      </c>
      <c r="O157">
        <v>42.37</v>
      </c>
      <c r="P157">
        <v>0</v>
      </c>
      <c r="Q157">
        <v>7.63</v>
      </c>
      <c r="R157">
        <v>0</v>
      </c>
      <c r="S157">
        <v>0</v>
      </c>
      <c r="T157">
        <v>0</v>
      </c>
      <c r="U157">
        <v>0</v>
      </c>
      <c r="V157">
        <v>0</v>
      </c>
      <c r="W157">
        <v>0</v>
      </c>
      <c r="X157">
        <v>0</v>
      </c>
      <c r="Y157">
        <v>0</v>
      </c>
      <c r="Z157">
        <v>50</v>
      </c>
      <c r="AA157" t="s">
        <v>116</v>
      </c>
      <c r="AB157">
        <v>1</v>
      </c>
      <c r="AI157">
        <v>1</v>
      </c>
      <c r="AJ157">
        <v>0</v>
      </c>
      <c r="AK157">
        <v>0</v>
      </c>
      <c r="AL157">
        <v>101</v>
      </c>
    </row>
    <row r="158" spans="1:38" x14ac:dyDescent="0.25">
      <c r="A158">
        <v>20608997106</v>
      </c>
      <c r="B158" t="s">
        <v>115</v>
      </c>
      <c r="C158">
        <v>202606</v>
      </c>
      <c r="D158" t="s">
        <v>438</v>
      </c>
      <c r="E158" s="99">
        <v>46198</v>
      </c>
      <c r="G158">
        <v>3</v>
      </c>
      <c r="H158" t="s">
        <v>141</v>
      </c>
      <c r="I158">
        <v>3819</v>
      </c>
      <c r="K158" t="s">
        <v>142</v>
      </c>
      <c r="L158" t="s">
        <v>142</v>
      </c>
      <c r="M158" t="s">
        <v>439</v>
      </c>
      <c r="N158">
        <v>0</v>
      </c>
      <c r="O158">
        <v>79.66</v>
      </c>
      <c r="P158">
        <v>0</v>
      </c>
      <c r="Q158">
        <v>14.34</v>
      </c>
      <c r="R158">
        <v>0</v>
      </c>
      <c r="S158">
        <v>0</v>
      </c>
      <c r="T158">
        <v>0</v>
      </c>
      <c r="U158">
        <v>0</v>
      </c>
      <c r="V158">
        <v>0</v>
      </c>
      <c r="W158">
        <v>0</v>
      </c>
      <c r="X158">
        <v>0</v>
      </c>
      <c r="Y158">
        <v>0</v>
      </c>
      <c r="Z158">
        <v>94</v>
      </c>
      <c r="AA158" t="s">
        <v>116</v>
      </c>
      <c r="AB158">
        <v>1</v>
      </c>
      <c r="AI158">
        <v>1</v>
      </c>
      <c r="AJ158">
        <v>0</v>
      </c>
      <c r="AK158">
        <v>0</v>
      </c>
      <c r="AL158">
        <v>101</v>
      </c>
    </row>
    <row r="159" spans="1:38" x14ac:dyDescent="0.25">
      <c r="A159">
        <v>20608997106</v>
      </c>
      <c r="B159" t="s">
        <v>115</v>
      </c>
      <c r="C159">
        <v>202606</v>
      </c>
      <c r="D159" t="s">
        <v>440</v>
      </c>
      <c r="E159" s="99">
        <v>46198</v>
      </c>
      <c r="G159">
        <v>3</v>
      </c>
      <c r="H159" t="s">
        <v>141</v>
      </c>
      <c r="I159">
        <v>3820</v>
      </c>
      <c r="K159" t="s">
        <v>142</v>
      </c>
      <c r="L159" t="s">
        <v>142</v>
      </c>
      <c r="M159" t="s">
        <v>344</v>
      </c>
      <c r="N159">
        <v>0</v>
      </c>
      <c r="O159">
        <v>437.29</v>
      </c>
      <c r="P159">
        <v>0</v>
      </c>
      <c r="Q159">
        <v>78.709999999999994</v>
      </c>
      <c r="R159">
        <v>0</v>
      </c>
      <c r="S159">
        <v>0</v>
      </c>
      <c r="T159">
        <v>0</v>
      </c>
      <c r="U159">
        <v>0</v>
      </c>
      <c r="V159">
        <v>0</v>
      </c>
      <c r="W159">
        <v>0</v>
      </c>
      <c r="X159">
        <v>0</v>
      </c>
      <c r="Y159">
        <v>0</v>
      </c>
      <c r="Z159">
        <v>516</v>
      </c>
      <c r="AA159" t="s">
        <v>116</v>
      </c>
      <c r="AB159">
        <v>1</v>
      </c>
      <c r="AI159">
        <v>1</v>
      </c>
      <c r="AJ159">
        <v>0</v>
      </c>
      <c r="AK159">
        <v>0</v>
      </c>
      <c r="AL159">
        <v>101</v>
      </c>
    </row>
    <row r="160" spans="1:38" x14ac:dyDescent="0.25">
      <c r="A160">
        <v>20608997106</v>
      </c>
      <c r="B160" t="s">
        <v>115</v>
      </c>
      <c r="C160">
        <v>202606</v>
      </c>
      <c r="D160" t="s">
        <v>441</v>
      </c>
      <c r="E160" s="99">
        <v>46198</v>
      </c>
      <c r="G160">
        <v>3</v>
      </c>
      <c r="H160" t="s">
        <v>141</v>
      </c>
      <c r="I160">
        <v>3821</v>
      </c>
      <c r="K160" t="s">
        <v>142</v>
      </c>
      <c r="L160" t="s">
        <v>142</v>
      </c>
      <c r="M160" t="s">
        <v>442</v>
      </c>
      <c r="N160">
        <v>0</v>
      </c>
      <c r="O160">
        <v>43.22</v>
      </c>
      <c r="P160">
        <v>0</v>
      </c>
      <c r="Q160">
        <v>7.78</v>
      </c>
      <c r="R160">
        <v>0</v>
      </c>
      <c r="S160">
        <v>0</v>
      </c>
      <c r="T160">
        <v>0</v>
      </c>
      <c r="U160">
        <v>0</v>
      </c>
      <c r="V160">
        <v>0</v>
      </c>
      <c r="W160">
        <v>0</v>
      </c>
      <c r="X160">
        <v>0</v>
      </c>
      <c r="Y160">
        <v>0</v>
      </c>
      <c r="Z160">
        <v>51</v>
      </c>
      <c r="AA160" t="s">
        <v>116</v>
      </c>
      <c r="AB160">
        <v>1</v>
      </c>
      <c r="AI160">
        <v>1</v>
      </c>
      <c r="AJ160">
        <v>0</v>
      </c>
      <c r="AK160">
        <v>0</v>
      </c>
      <c r="AL160">
        <v>101</v>
      </c>
    </row>
    <row r="161" spans="1:38" x14ac:dyDescent="0.25">
      <c r="A161">
        <v>20608997106</v>
      </c>
      <c r="B161" t="s">
        <v>115</v>
      </c>
      <c r="C161">
        <v>202606</v>
      </c>
      <c r="D161" t="s">
        <v>443</v>
      </c>
      <c r="E161" s="99">
        <v>46198</v>
      </c>
      <c r="G161">
        <v>3</v>
      </c>
      <c r="H161" t="s">
        <v>141</v>
      </c>
      <c r="I161">
        <v>3822</v>
      </c>
      <c r="K161" t="s">
        <v>142</v>
      </c>
      <c r="L161" t="s">
        <v>142</v>
      </c>
      <c r="M161" t="s">
        <v>444</v>
      </c>
      <c r="N161">
        <v>0</v>
      </c>
      <c r="O161">
        <v>81.36</v>
      </c>
      <c r="P161">
        <v>0</v>
      </c>
      <c r="Q161">
        <v>14.64</v>
      </c>
      <c r="R161">
        <v>0</v>
      </c>
      <c r="S161">
        <v>0</v>
      </c>
      <c r="T161">
        <v>0</v>
      </c>
      <c r="U161">
        <v>0</v>
      </c>
      <c r="V161">
        <v>0</v>
      </c>
      <c r="W161">
        <v>0</v>
      </c>
      <c r="X161">
        <v>0</v>
      </c>
      <c r="Y161">
        <v>0</v>
      </c>
      <c r="Z161">
        <v>96</v>
      </c>
      <c r="AA161" t="s">
        <v>116</v>
      </c>
      <c r="AB161">
        <v>1</v>
      </c>
      <c r="AI161">
        <v>1</v>
      </c>
      <c r="AJ161">
        <v>0</v>
      </c>
      <c r="AK161">
        <v>0</v>
      </c>
      <c r="AL161">
        <v>101</v>
      </c>
    </row>
    <row r="162" spans="1:38" x14ac:dyDescent="0.25">
      <c r="A162">
        <v>20608997106</v>
      </c>
      <c r="B162" t="s">
        <v>115</v>
      </c>
      <c r="C162">
        <v>202606</v>
      </c>
      <c r="D162" t="s">
        <v>445</v>
      </c>
      <c r="E162" s="99">
        <v>46198</v>
      </c>
      <c r="G162">
        <v>3</v>
      </c>
      <c r="H162" t="s">
        <v>141</v>
      </c>
      <c r="I162">
        <v>3823</v>
      </c>
      <c r="K162" t="s">
        <v>142</v>
      </c>
      <c r="L162" t="s">
        <v>142</v>
      </c>
      <c r="M162" t="s">
        <v>446</v>
      </c>
      <c r="N162">
        <v>0</v>
      </c>
      <c r="O162">
        <v>111.86</v>
      </c>
      <c r="P162">
        <v>0</v>
      </c>
      <c r="Q162">
        <v>20.14</v>
      </c>
      <c r="R162">
        <v>0</v>
      </c>
      <c r="S162">
        <v>0</v>
      </c>
      <c r="T162">
        <v>0</v>
      </c>
      <c r="U162">
        <v>0</v>
      </c>
      <c r="V162">
        <v>0</v>
      </c>
      <c r="W162">
        <v>0</v>
      </c>
      <c r="X162">
        <v>0</v>
      </c>
      <c r="Y162">
        <v>0</v>
      </c>
      <c r="Z162">
        <v>132</v>
      </c>
      <c r="AA162" t="s">
        <v>116</v>
      </c>
      <c r="AB162">
        <v>1</v>
      </c>
      <c r="AI162">
        <v>1</v>
      </c>
      <c r="AJ162">
        <v>0</v>
      </c>
      <c r="AK162">
        <v>0</v>
      </c>
      <c r="AL162">
        <v>101</v>
      </c>
    </row>
    <row r="163" spans="1:38" x14ac:dyDescent="0.25">
      <c r="A163">
        <v>20608997106</v>
      </c>
      <c r="B163" t="s">
        <v>115</v>
      </c>
      <c r="C163">
        <v>202606</v>
      </c>
      <c r="D163" t="s">
        <v>447</v>
      </c>
      <c r="E163" s="99">
        <v>46198</v>
      </c>
      <c r="G163">
        <v>3</v>
      </c>
      <c r="H163" t="s">
        <v>141</v>
      </c>
      <c r="I163">
        <v>3824</v>
      </c>
      <c r="K163" t="s">
        <v>142</v>
      </c>
      <c r="L163" t="s">
        <v>142</v>
      </c>
      <c r="M163" t="s">
        <v>448</v>
      </c>
      <c r="N163">
        <v>0</v>
      </c>
      <c r="O163">
        <v>546.61</v>
      </c>
      <c r="P163">
        <v>0</v>
      </c>
      <c r="Q163">
        <v>98.39</v>
      </c>
      <c r="R163">
        <v>0</v>
      </c>
      <c r="S163">
        <v>0</v>
      </c>
      <c r="T163">
        <v>0</v>
      </c>
      <c r="U163">
        <v>0</v>
      </c>
      <c r="V163">
        <v>0</v>
      </c>
      <c r="W163">
        <v>0</v>
      </c>
      <c r="X163">
        <v>0</v>
      </c>
      <c r="Y163">
        <v>0</v>
      </c>
      <c r="Z163">
        <v>645</v>
      </c>
      <c r="AA163" t="s">
        <v>116</v>
      </c>
      <c r="AB163">
        <v>1</v>
      </c>
      <c r="AI163">
        <v>1</v>
      </c>
      <c r="AJ163">
        <v>0</v>
      </c>
      <c r="AK163">
        <v>0</v>
      </c>
      <c r="AL163">
        <v>101</v>
      </c>
    </row>
    <row r="164" spans="1:38" x14ac:dyDescent="0.25">
      <c r="A164">
        <v>20608997106</v>
      </c>
      <c r="B164" t="s">
        <v>115</v>
      </c>
      <c r="C164">
        <v>202606</v>
      </c>
      <c r="D164" t="s">
        <v>449</v>
      </c>
      <c r="E164" s="99">
        <v>46198</v>
      </c>
      <c r="G164">
        <v>3</v>
      </c>
      <c r="H164" t="s">
        <v>141</v>
      </c>
      <c r="I164">
        <v>3825</v>
      </c>
      <c r="K164" t="s">
        <v>142</v>
      </c>
      <c r="L164" t="s">
        <v>142</v>
      </c>
      <c r="M164" t="s">
        <v>393</v>
      </c>
      <c r="N164">
        <v>0</v>
      </c>
      <c r="O164">
        <v>43.22</v>
      </c>
      <c r="P164">
        <v>0</v>
      </c>
      <c r="Q164">
        <v>7.78</v>
      </c>
      <c r="R164">
        <v>0</v>
      </c>
      <c r="S164">
        <v>0</v>
      </c>
      <c r="T164">
        <v>0</v>
      </c>
      <c r="U164">
        <v>0</v>
      </c>
      <c r="V164">
        <v>0</v>
      </c>
      <c r="W164">
        <v>0</v>
      </c>
      <c r="X164">
        <v>0</v>
      </c>
      <c r="Y164">
        <v>0</v>
      </c>
      <c r="Z164">
        <v>51</v>
      </c>
      <c r="AA164" t="s">
        <v>116</v>
      </c>
      <c r="AB164">
        <v>1</v>
      </c>
      <c r="AI164">
        <v>1</v>
      </c>
      <c r="AJ164">
        <v>0</v>
      </c>
      <c r="AK164">
        <v>0</v>
      </c>
      <c r="AL164">
        <v>101</v>
      </c>
    </row>
    <row r="165" spans="1:38" x14ac:dyDescent="0.25">
      <c r="A165">
        <v>20608997106</v>
      </c>
      <c r="B165" t="s">
        <v>115</v>
      </c>
      <c r="C165">
        <v>202606</v>
      </c>
      <c r="D165" t="s">
        <v>450</v>
      </c>
      <c r="E165" s="99">
        <v>46198</v>
      </c>
      <c r="G165">
        <v>3</v>
      </c>
      <c r="H165" t="s">
        <v>141</v>
      </c>
      <c r="I165">
        <v>3826</v>
      </c>
      <c r="K165" t="s">
        <v>142</v>
      </c>
      <c r="L165" t="s">
        <v>142</v>
      </c>
      <c r="M165" t="s">
        <v>451</v>
      </c>
      <c r="N165">
        <v>0</v>
      </c>
      <c r="O165">
        <v>79.66</v>
      </c>
      <c r="P165">
        <v>0</v>
      </c>
      <c r="Q165">
        <v>14.34</v>
      </c>
      <c r="R165">
        <v>0</v>
      </c>
      <c r="S165">
        <v>0</v>
      </c>
      <c r="T165">
        <v>0</v>
      </c>
      <c r="U165">
        <v>0</v>
      </c>
      <c r="V165">
        <v>0</v>
      </c>
      <c r="W165">
        <v>0</v>
      </c>
      <c r="X165">
        <v>0</v>
      </c>
      <c r="Y165">
        <v>0</v>
      </c>
      <c r="Z165">
        <v>94</v>
      </c>
      <c r="AA165" t="s">
        <v>116</v>
      </c>
      <c r="AB165">
        <v>1</v>
      </c>
      <c r="AI165">
        <v>1</v>
      </c>
      <c r="AJ165">
        <v>0</v>
      </c>
      <c r="AK165">
        <v>0</v>
      </c>
      <c r="AL165">
        <v>101</v>
      </c>
    </row>
    <row r="166" spans="1:38" x14ac:dyDescent="0.25">
      <c r="A166">
        <v>20608997106</v>
      </c>
      <c r="B166" t="s">
        <v>115</v>
      </c>
      <c r="C166">
        <v>202606</v>
      </c>
      <c r="D166" t="s">
        <v>452</v>
      </c>
      <c r="E166" s="99">
        <v>46198</v>
      </c>
      <c r="G166">
        <v>3</v>
      </c>
      <c r="H166" t="s">
        <v>141</v>
      </c>
      <c r="I166">
        <v>3827</v>
      </c>
      <c r="K166" t="s">
        <v>142</v>
      </c>
      <c r="L166" t="s">
        <v>142</v>
      </c>
      <c r="M166" t="s">
        <v>308</v>
      </c>
      <c r="N166">
        <v>0</v>
      </c>
      <c r="O166">
        <v>263.56</v>
      </c>
      <c r="P166">
        <v>0</v>
      </c>
      <c r="Q166">
        <v>47.44</v>
      </c>
      <c r="R166">
        <v>0</v>
      </c>
      <c r="S166">
        <v>0</v>
      </c>
      <c r="T166">
        <v>0</v>
      </c>
      <c r="U166">
        <v>0</v>
      </c>
      <c r="V166">
        <v>0</v>
      </c>
      <c r="W166">
        <v>0</v>
      </c>
      <c r="X166">
        <v>0</v>
      </c>
      <c r="Y166">
        <v>0</v>
      </c>
      <c r="Z166">
        <v>311</v>
      </c>
      <c r="AA166" t="s">
        <v>116</v>
      </c>
      <c r="AB166">
        <v>1</v>
      </c>
      <c r="AI166">
        <v>1</v>
      </c>
      <c r="AJ166">
        <v>0</v>
      </c>
      <c r="AK166">
        <v>0</v>
      </c>
      <c r="AL166">
        <v>101</v>
      </c>
    </row>
    <row r="167" spans="1:38" x14ac:dyDescent="0.25">
      <c r="A167">
        <v>20608997106</v>
      </c>
      <c r="B167" t="s">
        <v>115</v>
      </c>
      <c r="C167">
        <v>202606</v>
      </c>
      <c r="D167" t="s">
        <v>453</v>
      </c>
      <c r="E167" s="99">
        <v>46199</v>
      </c>
      <c r="G167">
        <v>3</v>
      </c>
      <c r="H167" t="s">
        <v>141</v>
      </c>
      <c r="I167">
        <v>3804</v>
      </c>
      <c r="K167" t="s">
        <v>142</v>
      </c>
      <c r="L167" t="s">
        <v>142</v>
      </c>
      <c r="M167" t="s">
        <v>454</v>
      </c>
      <c r="N167">
        <v>0</v>
      </c>
      <c r="O167">
        <v>43.22</v>
      </c>
      <c r="P167">
        <v>0</v>
      </c>
      <c r="Q167">
        <v>7.78</v>
      </c>
      <c r="R167">
        <v>0</v>
      </c>
      <c r="S167">
        <v>0</v>
      </c>
      <c r="T167">
        <v>0</v>
      </c>
      <c r="U167">
        <v>0</v>
      </c>
      <c r="V167">
        <v>0</v>
      </c>
      <c r="W167">
        <v>0</v>
      </c>
      <c r="X167">
        <v>0</v>
      </c>
      <c r="Y167">
        <v>0</v>
      </c>
      <c r="Z167">
        <v>51</v>
      </c>
      <c r="AA167" t="s">
        <v>116</v>
      </c>
      <c r="AB167">
        <v>1</v>
      </c>
      <c r="AI167">
        <v>1</v>
      </c>
      <c r="AJ167">
        <v>0</v>
      </c>
      <c r="AK167">
        <v>0</v>
      </c>
      <c r="AL167">
        <v>101</v>
      </c>
    </row>
    <row r="168" spans="1:38" x14ac:dyDescent="0.25">
      <c r="A168">
        <v>20608997106</v>
      </c>
      <c r="B168" t="s">
        <v>115</v>
      </c>
      <c r="C168">
        <v>202606</v>
      </c>
      <c r="D168" t="s">
        <v>455</v>
      </c>
      <c r="E168" s="99">
        <v>46199</v>
      </c>
      <c r="G168">
        <v>3</v>
      </c>
      <c r="H168" t="s">
        <v>141</v>
      </c>
      <c r="I168">
        <v>3828</v>
      </c>
      <c r="K168" t="s">
        <v>142</v>
      </c>
      <c r="L168" t="s">
        <v>142</v>
      </c>
      <c r="M168" t="s">
        <v>456</v>
      </c>
      <c r="N168">
        <v>0</v>
      </c>
      <c r="O168">
        <v>43.22</v>
      </c>
      <c r="P168">
        <v>0</v>
      </c>
      <c r="Q168">
        <v>7.78</v>
      </c>
      <c r="R168">
        <v>0</v>
      </c>
      <c r="S168">
        <v>0</v>
      </c>
      <c r="T168">
        <v>0</v>
      </c>
      <c r="U168">
        <v>0</v>
      </c>
      <c r="V168">
        <v>0</v>
      </c>
      <c r="W168">
        <v>0</v>
      </c>
      <c r="X168">
        <v>0</v>
      </c>
      <c r="Y168">
        <v>0</v>
      </c>
      <c r="Z168">
        <v>51</v>
      </c>
      <c r="AA168" t="s">
        <v>116</v>
      </c>
      <c r="AB168">
        <v>1</v>
      </c>
      <c r="AI168">
        <v>1</v>
      </c>
      <c r="AJ168">
        <v>0</v>
      </c>
      <c r="AK168">
        <v>0</v>
      </c>
      <c r="AL168">
        <v>101</v>
      </c>
    </row>
    <row r="169" spans="1:38" x14ac:dyDescent="0.25">
      <c r="A169">
        <v>20608997106</v>
      </c>
      <c r="B169" t="s">
        <v>115</v>
      </c>
      <c r="C169">
        <v>202606</v>
      </c>
      <c r="D169" t="s">
        <v>457</v>
      </c>
      <c r="E169" s="99">
        <v>46199</v>
      </c>
      <c r="G169">
        <v>3</v>
      </c>
      <c r="H169" t="s">
        <v>141</v>
      </c>
      <c r="I169">
        <v>3829</v>
      </c>
      <c r="K169" t="s">
        <v>142</v>
      </c>
      <c r="L169" t="s">
        <v>142</v>
      </c>
      <c r="M169" t="s">
        <v>458</v>
      </c>
      <c r="N169">
        <v>0</v>
      </c>
      <c r="O169">
        <v>81.36</v>
      </c>
      <c r="P169">
        <v>0</v>
      </c>
      <c r="Q169">
        <v>14.64</v>
      </c>
      <c r="R169">
        <v>0</v>
      </c>
      <c r="S169">
        <v>0</v>
      </c>
      <c r="T169">
        <v>0</v>
      </c>
      <c r="U169">
        <v>0</v>
      </c>
      <c r="V169">
        <v>0</v>
      </c>
      <c r="W169">
        <v>0</v>
      </c>
      <c r="X169">
        <v>0</v>
      </c>
      <c r="Y169">
        <v>0</v>
      </c>
      <c r="Z169">
        <v>96</v>
      </c>
      <c r="AA169" t="s">
        <v>116</v>
      </c>
      <c r="AB169">
        <v>1</v>
      </c>
      <c r="AI169">
        <v>1</v>
      </c>
      <c r="AJ169">
        <v>0</v>
      </c>
      <c r="AK169">
        <v>0</v>
      </c>
      <c r="AL169">
        <v>101</v>
      </c>
    </row>
    <row r="170" spans="1:38" x14ac:dyDescent="0.25">
      <c r="A170">
        <v>20608997106</v>
      </c>
      <c r="B170" t="s">
        <v>115</v>
      </c>
      <c r="C170">
        <v>202606</v>
      </c>
      <c r="D170" t="s">
        <v>459</v>
      </c>
      <c r="E170" s="99">
        <v>46199</v>
      </c>
      <c r="G170">
        <v>3</v>
      </c>
      <c r="H170" t="s">
        <v>141</v>
      </c>
      <c r="I170">
        <v>3830</v>
      </c>
      <c r="K170" t="s">
        <v>142</v>
      </c>
      <c r="L170" t="s">
        <v>142</v>
      </c>
      <c r="M170" t="s">
        <v>143</v>
      </c>
      <c r="N170">
        <v>0</v>
      </c>
      <c r="O170">
        <v>38.14</v>
      </c>
      <c r="P170">
        <v>0</v>
      </c>
      <c r="Q170">
        <v>6.86</v>
      </c>
      <c r="R170">
        <v>0</v>
      </c>
      <c r="S170">
        <v>0</v>
      </c>
      <c r="T170">
        <v>0</v>
      </c>
      <c r="U170">
        <v>0</v>
      </c>
      <c r="V170">
        <v>0</v>
      </c>
      <c r="W170">
        <v>0</v>
      </c>
      <c r="X170">
        <v>0</v>
      </c>
      <c r="Y170">
        <v>0</v>
      </c>
      <c r="Z170">
        <v>45</v>
      </c>
      <c r="AA170" t="s">
        <v>116</v>
      </c>
      <c r="AB170">
        <v>1</v>
      </c>
      <c r="AI170">
        <v>1</v>
      </c>
      <c r="AJ170">
        <v>0</v>
      </c>
      <c r="AK170">
        <v>0</v>
      </c>
      <c r="AL170">
        <v>101</v>
      </c>
    </row>
    <row r="171" spans="1:38" x14ac:dyDescent="0.25">
      <c r="A171">
        <v>20608997106</v>
      </c>
      <c r="B171" t="s">
        <v>115</v>
      </c>
      <c r="C171">
        <v>202606</v>
      </c>
      <c r="D171" t="s">
        <v>460</v>
      </c>
      <c r="E171" s="99">
        <v>46199</v>
      </c>
      <c r="G171">
        <v>3</v>
      </c>
      <c r="H171" t="s">
        <v>141</v>
      </c>
      <c r="I171">
        <v>3831</v>
      </c>
      <c r="K171" t="s">
        <v>142</v>
      </c>
      <c r="L171" t="s">
        <v>142</v>
      </c>
      <c r="M171" t="s">
        <v>461</v>
      </c>
      <c r="N171">
        <v>0</v>
      </c>
      <c r="O171">
        <v>116.95</v>
      </c>
      <c r="P171">
        <v>0</v>
      </c>
      <c r="Q171">
        <v>21.05</v>
      </c>
      <c r="R171">
        <v>0</v>
      </c>
      <c r="S171">
        <v>0</v>
      </c>
      <c r="T171">
        <v>0</v>
      </c>
      <c r="U171">
        <v>0</v>
      </c>
      <c r="V171">
        <v>0</v>
      </c>
      <c r="W171">
        <v>0</v>
      </c>
      <c r="X171">
        <v>0</v>
      </c>
      <c r="Y171">
        <v>0</v>
      </c>
      <c r="Z171">
        <v>138</v>
      </c>
      <c r="AA171" t="s">
        <v>116</v>
      </c>
      <c r="AB171">
        <v>1</v>
      </c>
      <c r="AI171">
        <v>1</v>
      </c>
      <c r="AJ171">
        <v>0</v>
      </c>
      <c r="AK171">
        <v>0</v>
      </c>
      <c r="AL171">
        <v>101</v>
      </c>
    </row>
    <row r="172" spans="1:38" x14ac:dyDescent="0.25">
      <c r="A172">
        <v>20608997106</v>
      </c>
      <c r="B172" t="s">
        <v>115</v>
      </c>
      <c r="C172">
        <v>202606</v>
      </c>
      <c r="D172" t="s">
        <v>462</v>
      </c>
      <c r="E172" s="99">
        <v>46199</v>
      </c>
      <c r="G172">
        <v>3</v>
      </c>
      <c r="H172" t="s">
        <v>141</v>
      </c>
      <c r="I172">
        <v>3832</v>
      </c>
      <c r="K172" t="s">
        <v>142</v>
      </c>
      <c r="L172" t="s">
        <v>142</v>
      </c>
      <c r="M172" t="s">
        <v>463</v>
      </c>
      <c r="N172">
        <v>0</v>
      </c>
      <c r="O172">
        <v>43.22</v>
      </c>
      <c r="P172">
        <v>0</v>
      </c>
      <c r="Q172">
        <v>7.78</v>
      </c>
      <c r="R172">
        <v>0</v>
      </c>
      <c r="S172">
        <v>0</v>
      </c>
      <c r="T172">
        <v>0</v>
      </c>
      <c r="U172">
        <v>0</v>
      </c>
      <c r="V172">
        <v>0</v>
      </c>
      <c r="W172">
        <v>0</v>
      </c>
      <c r="X172">
        <v>0</v>
      </c>
      <c r="Y172">
        <v>0</v>
      </c>
      <c r="Z172">
        <v>51</v>
      </c>
      <c r="AA172" t="s">
        <v>116</v>
      </c>
      <c r="AB172">
        <v>1</v>
      </c>
      <c r="AI172">
        <v>1</v>
      </c>
      <c r="AJ172">
        <v>0</v>
      </c>
      <c r="AK172">
        <v>0</v>
      </c>
      <c r="AL172">
        <v>101</v>
      </c>
    </row>
    <row r="173" spans="1:38" x14ac:dyDescent="0.25">
      <c r="A173">
        <v>20608997106</v>
      </c>
      <c r="B173" t="s">
        <v>115</v>
      </c>
      <c r="C173">
        <v>202606</v>
      </c>
      <c r="D173" t="s">
        <v>464</v>
      </c>
      <c r="E173" s="99">
        <v>46199</v>
      </c>
      <c r="G173">
        <v>3</v>
      </c>
      <c r="H173" t="s">
        <v>141</v>
      </c>
      <c r="I173">
        <v>3833</v>
      </c>
      <c r="K173">
        <v>1</v>
      </c>
      <c r="L173">
        <v>23701778</v>
      </c>
      <c r="M173" t="s">
        <v>465</v>
      </c>
      <c r="N173">
        <v>0</v>
      </c>
      <c r="O173">
        <v>43.22</v>
      </c>
      <c r="P173">
        <v>0</v>
      </c>
      <c r="Q173">
        <v>7.78</v>
      </c>
      <c r="R173">
        <v>0</v>
      </c>
      <c r="S173">
        <v>0</v>
      </c>
      <c r="T173">
        <v>0</v>
      </c>
      <c r="U173">
        <v>0</v>
      </c>
      <c r="V173">
        <v>0</v>
      </c>
      <c r="W173">
        <v>0</v>
      </c>
      <c r="X173">
        <v>0</v>
      </c>
      <c r="Y173">
        <v>0</v>
      </c>
      <c r="Z173">
        <v>51</v>
      </c>
      <c r="AA173" t="s">
        <v>116</v>
      </c>
      <c r="AB173">
        <v>1</v>
      </c>
      <c r="AI173">
        <v>1</v>
      </c>
      <c r="AJ173">
        <v>0</v>
      </c>
      <c r="AK173">
        <v>0</v>
      </c>
      <c r="AL173">
        <v>101</v>
      </c>
    </row>
    <row r="174" spans="1:38" x14ac:dyDescent="0.25">
      <c r="A174">
        <v>20608997106</v>
      </c>
      <c r="B174" t="s">
        <v>115</v>
      </c>
      <c r="C174">
        <v>202606</v>
      </c>
      <c r="D174" t="s">
        <v>466</v>
      </c>
      <c r="E174" s="99">
        <v>46199</v>
      </c>
      <c r="G174">
        <v>3</v>
      </c>
      <c r="H174" t="s">
        <v>141</v>
      </c>
      <c r="I174">
        <v>3834</v>
      </c>
      <c r="K174">
        <v>1</v>
      </c>
      <c r="L174">
        <v>20093164</v>
      </c>
      <c r="M174" t="s">
        <v>467</v>
      </c>
      <c r="N174">
        <v>0</v>
      </c>
      <c r="O174">
        <v>42.37</v>
      </c>
      <c r="P174">
        <v>0</v>
      </c>
      <c r="Q174">
        <v>7.63</v>
      </c>
      <c r="R174">
        <v>0</v>
      </c>
      <c r="S174">
        <v>0</v>
      </c>
      <c r="T174">
        <v>0</v>
      </c>
      <c r="U174">
        <v>0</v>
      </c>
      <c r="V174">
        <v>0</v>
      </c>
      <c r="W174">
        <v>0</v>
      </c>
      <c r="X174">
        <v>0</v>
      </c>
      <c r="Y174">
        <v>0</v>
      </c>
      <c r="Z174">
        <v>50</v>
      </c>
      <c r="AA174" t="s">
        <v>116</v>
      </c>
      <c r="AB174">
        <v>1</v>
      </c>
      <c r="AI174">
        <v>1</v>
      </c>
      <c r="AJ174">
        <v>0</v>
      </c>
      <c r="AK174">
        <v>0</v>
      </c>
      <c r="AL174">
        <v>101</v>
      </c>
    </row>
    <row r="175" spans="1:38" x14ac:dyDescent="0.25">
      <c r="A175">
        <v>20608997106</v>
      </c>
      <c r="B175" t="s">
        <v>115</v>
      </c>
      <c r="C175">
        <v>202606</v>
      </c>
      <c r="D175" t="s">
        <v>468</v>
      </c>
      <c r="E175" s="99">
        <v>46199</v>
      </c>
      <c r="G175">
        <v>3</v>
      </c>
      <c r="H175" t="s">
        <v>141</v>
      </c>
      <c r="I175">
        <v>3835</v>
      </c>
      <c r="K175">
        <v>1</v>
      </c>
      <c r="L175">
        <v>41303981</v>
      </c>
      <c r="M175" t="s">
        <v>469</v>
      </c>
      <c r="N175">
        <v>0</v>
      </c>
      <c r="O175">
        <v>81.36</v>
      </c>
      <c r="P175">
        <v>0</v>
      </c>
      <c r="Q175">
        <v>14.64</v>
      </c>
      <c r="R175">
        <v>0</v>
      </c>
      <c r="S175">
        <v>0</v>
      </c>
      <c r="T175">
        <v>0</v>
      </c>
      <c r="U175">
        <v>0</v>
      </c>
      <c r="V175">
        <v>0</v>
      </c>
      <c r="W175">
        <v>0</v>
      </c>
      <c r="X175">
        <v>0</v>
      </c>
      <c r="Y175">
        <v>0</v>
      </c>
      <c r="Z175">
        <v>96</v>
      </c>
      <c r="AA175" t="s">
        <v>116</v>
      </c>
      <c r="AB175">
        <v>1</v>
      </c>
      <c r="AI175">
        <v>1</v>
      </c>
      <c r="AJ175">
        <v>0</v>
      </c>
      <c r="AK175">
        <v>0</v>
      </c>
      <c r="AL175">
        <v>101</v>
      </c>
    </row>
    <row r="176" spans="1:38" x14ac:dyDescent="0.25">
      <c r="A176">
        <v>20608997106</v>
      </c>
      <c r="B176" t="s">
        <v>115</v>
      </c>
      <c r="C176">
        <v>202606</v>
      </c>
      <c r="D176" t="s">
        <v>470</v>
      </c>
      <c r="E176" s="99">
        <v>46199</v>
      </c>
      <c r="G176">
        <v>3</v>
      </c>
      <c r="H176" t="s">
        <v>141</v>
      </c>
      <c r="I176">
        <v>3836</v>
      </c>
      <c r="K176">
        <v>1</v>
      </c>
      <c r="L176">
        <v>20065718</v>
      </c>
      <c r="M176" t="s">
        <v>471</v>
      </c>
      <c r="N176">
        <v>0</v>
      </c>
      <c r="O176">
        <v>116.95</v>
      </c>
      <c r="P176">
        <v>0</v>
      </c>
      <c r="Q176">
        <v>21.05</v>
      </c>
      <c r="R176">
        <v>0</v>
      </c>
      <c r="S176">
        <v>0</v>
      </c>
      <c r="T176">
        <v>0</v>
      </c>
      <c r="U176">
        <v>0</v>
      </c>
      <c r="V176">
        <v>0</v>
      </c>
      <c r="W176">
        <v>0</v>
      </c>
      <c r="X176">
        <v>0</v>
      </c>
      <c r="Y176">
        <v>0</v>
      </c>
      <c r="Z176">
        <v>138</v>
      </c>
      <c r="AA176" t="s">
        <v>116</v>
      </c>
      <c r="AB176">
        <v>1</v>
      </c>
      <c r="AI176">
        <v>1</v>
      </c>
      <c r="AJ176">
        <v>0</v>
      </c>
      <c r="AK176">
        <v>0</v>
      </c>
      <c r="AL176">
        <v>101</v>
      </c>
    </row>
    <row r="177" spans="1:38" x14ac:dyDescent="0.25">
      <c r="A177">
        <v>20608997106</v>
      </c>
      <c r="B177" t="s">
        <v>115</v>
      </c>
      <c r="C177">
        <v>202606</v>
      </c>
      <c r="D177" t="s">
        <v>472</v>
      </c>
      <c r="E177" s="99">
        <v>46199</v>
      </c>
      <c r="G177">
        <v>3</v>
      </c>
      <c r="H177" t="s">
        <v>141</v>
      </c>
      <c r="I177">
        <v>3837</v>
      </c>
      <c r="K177">
        <v>1</v>
      </c>
      <c r="L177">
        <v>20014475</v>
      </c>
      <c r="M177" t="s">
        <v>473</v>
      </c>
      <c r="N177">
        <v>0</v>
      </c>
      <c r="O177">
        <v>186.44</v>
      </c>
      <c r="P177">
        <v>0</v>
      </c>
      <c r="Q177">
        <v>33.56</v>
      </c>
      <c r="R177">
        <v>0</v>
      </c>
      <c r="S177">
        <v>0</v>
      </c>
      <c r="T177">
        <v>0</v>
      </c>
      <c r="U177">
        <v>0</v>
      </c>
      <c r="V177">
        <v>0</v>
      </c>
      <c r="W177">
        <v>0</v>
      </c>
      <c r="X177">
        <v>0</v>
      </c>
      <c r="Y177">
        <v>0</v>
      </c>
      <c r="Z177">
        <v>220</v>
      </c>
      <c r="AA177" t="s">
        <v>116</v>
      </c>
      <c r="AB177">
        <v>1</v>
      </c>
      <c r="AI177">
        <v>1</v>
      </c>
      <c r="AJ177">
        <v>0</v>
      </c>
      <c r="AK177">
        <v>0</v>
      </c>
      <c r="AL177">
        <v>101</v>
      </c>
    </row>
    <row r="178" spans="1:38" x14ac:dyDescent="0.25">
      <c r="A178">
        <v>20608997106</v>
      </c>
      <c r="B178" t="s">
        <v>115</v>
      </c>
      <c r="C178">
        <v>202606</v>
      </c>
      <c r="D178" t="s">
        <v>474</v>
      </c>
      <c r="E178" s="99">
        <v>46199</v>
      </c>
      <c r="G178">
        <v>3</v>
      </c>
      <c r="H178" t="s">
        <v>141</v>
      </c>
      <c r="I178">
        <v>3839</v>
      </c>
      <c r="K178">
        <v>1</v>
      </c>
      <c r="L178">
        <v>19950238</v>
      </c>
      <c r="M178" t="s">
        <v>475</v>
      </c>
      <c r="N178">
        <v>0</v>
      </c>
      <c r="O178">
        <v>79.66</v>
      </c>
      <c r="P178">
        <v>0</v>
      </c>
      <c r="Q178">
        <v>14.34</v>
      </c>
      <c r="R178">
        <v>0</v>
      </c>
      <c r="S178">
        <v>0</v>
      </c>
      <c r="T178">
        <v>0</v>
      </c>
      <c r="U178">
        <v>0</v>
      </c>
      <c r="V178">
        <v>0</v>
      </c>
      <c r="W178">
        <v>0</v>
      </c>
      <c r="X178">
        <v>0</v>
      </c>
      <c r="Y178">
        <v>0</v>
      </c>
      <c r="Z178">
        <v>94</v>
      </c>
      <c r="AA178" t="s">
        <v>116</v>
      </c>
      <c r="AB178">
        <v>1</v>
      </c>
      <c r="AI178">
        <v>1</v>
      </c>
      <c r="AJ178">
        <v>0</v>
      </c>
      <c r="AK178">
        <v>0</v>
      </c>
      <c r="AL178">
        <v>101</v>
      </c>
    </row>
    <row r="179" spans="1:38" x14ac:dyDescent="0.25">
      <c r="A179">
        <v>20608997106</v>
      </c>
      <c r="B179" t="s">
        <v>115</v>
      </c>
      <c r="C179">
        <v>202606</v>
      </c>
      <c r="D179" t="s">
        <v>476</v>
      </c>
      <c r="E179" s="99">
        <v>46199</v>
      </c>
      <c r="G179">
        <v>3</v>
      </c>
      <c r="H179" t="s">
        <v>141</v>
      </c>
      <c r="I179">
        <v>3840</v>
      </c>
      <c r="K179">
        <v>1</v>
      </c>
      <c r="L179">
        <v>20104809</v>
      </c>
      <c r="M179" t="s">
        <v>477</v>
      </c>
      <c r="N179">
        <v>0</v>
      </c>
      <c r="O179">
        <v>83.05</v>
      </c>
      <c r="P179">
        <v>0</v>
      </c>
      <c r="Q179">
        <v>14.95</v>
      </c>
      <c r="R179">
        <v>0</v>
      </c>
      <c r="S179">
        <v>0</v>
      </c>
      <c r="T179">
        <v>0</v>
      </c>
      <c r="U179">
        <v>0</v>
      </c>
      <c r="V179">
        <v>0</v>
      </c>
      <c r="W179">
        <v>0</v>
      </c>
      <c r="X179">
        <v>0</v>
      </c>
      <c r="Y179">
        <v>0</v>
      </c>
      <c r="Z179">
        <v>98</v>
      </c>
      <c r="AA179" t="s">
        <v>116</v>
      </c>
      <c r="AB179">
        <v>1</v>
      </c>
      <c r="AI179">
        <v>1</v>
      </c>
      <c r="AJ179">
        <v>0</v>
      </c>
      <c r="AK179">
        <v>0</v>
      </c>
      <c r="AL179">
        <v>101</v>
      </c>
    </row>
    <row r="180" spans="1:38" x14ac:dyDescent="0.25">
      <c r="A180">
        <v>20608997106</v>
      </c>
      <c r="B180" t="s">
        <v>115</v>
      </c>
      <c r="C180">
        <v>202606</v>
      </c>
      <c r="D180" t="s">
        <v>478</v>
      </c>
      <c r="E180" s="99">
        <v>46199</v>
      </c>
      <c r="G180">
        <v>3</v>
      </c>
      <c r="H180" t="s">
        <v>141</v>
      </c>
      <c r="I180">
        <v>3841</v>
      </c>
      <c r="K180">
        <v>1</v>
      </c>
      <c r="L180">
        <v>20093164</v>
      </c>
      <c r="M180" t="s">
        <v>467</v>
      </c>
      <c r="N180">
        <v>0</v>
      </c>
      <c r="O180">
        <v>42.37</v>
      </c>
      <c r="P180">
        <v>0</v>
      </c>
      <c r="Q180">
        <v>7.63</v>
      </c>
      <c r="R180">
        <v>0</v>
      </c>
      <c r="S180">
        <v>0</v>
      </c>
      <c r="T180">
        <v>0</v>
      </c>
      <c r="U180">
        <v>0</v>
      </c>
      <c r="V180">
        <v>0</v>
      </c>
      <c r="W180">
        <v>0</v>
      </c>
      <c r="X180">
        <v>0</v>
      </c>
      <c r="Y180">
        <v>0</v>
      </c>
      <c r="Z180">
        <v>50</v>
      </c>
      <c r="AA180" t="s">
        <v>116</v>
      </c>
      <c r="AB180">
        <v>1</v>
      </c>
      <c r="AI180">
        <v>1</v>
      </c>
      <c r="AJ180">
        <v>0</v>
      </c>
      <c r="AK180">
        <v>0</v>
      </c>
      <c r="AL180">
        <v>101</v>
      </c>
    </row>
    <row r="181" spans="1:38" x14ac:dyDescent="0.25">
      <c r="A181">
        <v>20608997106</v>
      </c>
      <c r="B181" t="s">
        <v>115</v>
      </c>
      <c r="C181">
        <v>202606</v>
      </c>
      <c r="D181" t="s">
        <v>479</v>
      </c>
      <c r="E181" s="99">
        <v>46199</v>
      </c>
      <c r="G181">
        <v>3</v>
      </c>
      <c r="H181" t="s">
        <v>141</v>
      </c>
      <c r="I181">
        <v>3842</v>
      </c>
      <c r="K181">
        <v>1</v>
      </c>
      <c r="L181">
        <v>23665082</v>
      </c>
      <c r="M181" t="s">
        <v>480</v>
      </c>
      <c r="N181">
        <v>0</v>
      </c>
      <c r="O181">
        <v>186.44</v>
      </c>
      <c r="P181">
        <v>0</v>
      </c>
      <c r="Q181">
        <v>33.56</v>
      </c>
      <c r="R181">
        <v>0</v>
      </c>
      <c r="S181">
        <v>0</v>
      </c>
      <c r="T181">
        <v>0</v>
      </c>
      <c r="U181">
        <v>0</v>
      </c>
      <c r="V181">
        <v>0</v>
      </c>
      <c r="W181">
        <v>0</v>
      </c>
      <c r="X181">
        <v>0</v>
      </c>
      <c r="Y181">
        <v>0</v>
      </c>
      <c r="Z181">
        <v>220</v>
      </c>
      <c r="AA181" t="s">
        <v>116</v>
      </c>
      <c r="AB181">
        <v>1</v>
      </c>
      <c r="AI181">
        <v>1</v>
      </c>
      <c r="AJ181">
        <v>0</v>
      </c>
      <c r="AK181">
        <v>0</v>
      </c>
      <c r="AL181">
        <v>101</v>
      </c>
    </row>
    <row r="182" spans="1:38" x14ac:dyDescent="0.25">
      <c r="A182">
        <v>20608997106</v>
      </c>
      <c r="B182" t="s">
        <v>115</v>
      </c>
      <c r="C182">
        <v>202606</v>
      </c>
      <c r="D182" t="s">
        <v>481</v>
      </c>
      <c r="E182" s="99">
        <v>46199</v>
      </c>
      <c r="G182">
        <v>3</v>
      </c>
      <c r="H182" t="s">
        <v>141</v>
      </c>
      <c r="I182">
        <v>3843</v>
      </c>
      <c r="K182">
        <v>1</v>
      </c>
      <c r="L182">
        <v>19973729</v>
      </c>
      <c r="M182" t="s">
        <v>482</v>
      </c>
      <c r="N182">
        <v>0</v>
      </c>
      <c r="O182">
        <v>119.49</v>
      </c>
      <c r="P182">
        <v>0</v>
      </c>
      <c r="Q182">
        <v>21.51</v>
      </c>
      <c r="R182">
        <v>0</v>
      </c>
      <c r="S182">
        <v>0</v>
      </c>
      <c r="T182">
        <v>0</v>
      </c>
      <c r="U182">
        <v>0</v>
      </c>
      <c r="V182">
        <v>0</v>
      </c>
      <c r="W182">
        <v>0</v>
      </c>
      <c r="X182">
        <v>0</v>
      </c>
      <c r="Y182">
        <v>0</v>
      </c>
      <c r="Z182">
        <v>141</v>
      </c>
      <c r="AA182" t="s">
        <v>116</v>
      </c>
      <c r="AB182">
        <v>1</v>
      </c>
      <c r="AI182">
        <v>1</v>
      </c>
      <c r="AJ182">
        <v>0</v>
      </c>
      <c r="AK182">
        <v>0</v>
      </c>
      <c r="AL182">
        <v>101</v>
      </c>
    </row>
    <row r="183" spans="1:38" x14ac:dyDescent="0.25">
      <c r="A183">
        <v>20608997106</v>
      </c>
      <c r="B183" t="s">
        <v>115</v>
      </c>
      <c r="C183">
        <v>202606</v>
      </c>
      <c r="D183" t="s">
        <v>483</v>
      </c>
      <c r="E183" s="99">
        <v>46199</v>
      </c>
      <c r="G183">
        <v>3</v>
      </c>
      <c r="H183" t="s">
        <v>141</v>
      </c>
      <c r="I183">
        <v>3844</v>
      </c>
      <c r="K183">
        <v>1</v>
      </c>
      <c r="L183">
        <v>19973696</v>
      </c>
      <c r="M183" t="s">
        <v>484</v>
      </c>
      <c r="N183">
        <v>0</v>
      </c>
      <c r="O183">
        <v>42.37</v>
      </c>
      <c r="P183">
        <v>0</v>
      </c>
      <c r="Q183">
        <v>7.63</v>
      </c>
      <c r="R183">
        <v>0</v>
      </c>
      <c r="S183">
        <v>0</v>
      </c>
      <c r="T183">
        <v>0</v>
      </c>
      <c r="U183">
        <v>0</v>
      </c>
      <c r="V183">
        <v>0</v>
      </c>
      <c r="W183">
        <v>0</v>
      </c>
      <c r="X183">
        <v>0</v>
      </c>
      <c r="Y183">
        <v>0</v>
      </c>
      <c r="Z183">
        <v>50</v>
      </c>
      <c r="AA183" t="s">
        <v>116</v>
      </c>
      <c r="AB183">
        <v>1</v>
      </c>
      <c r="AI183">
        <v>1</v>
      </c>
      <c r="AJ183">
        <v>0</v>
      </c>
      <c r="AK183">
        <v>0</v>
      </c>
      <c r="AL183">
        <v>101</v>
      </c>
    </row>
    <row r="184" spans="1:38" x14ac:dyDescent="0.25">
      <c r="A184">
        <v>20608997106</v>
      </c>
      <c r="B184" t="s">
        <v>115</v>
      </c>
      <c r="C184">
        <v>202606</v>
      </c>
      <c r="D184" t="s">
        <v>485</v>
      </c>
      <c r="E184" s="99">
        <v>46199</v>
      </c>
      <c r="G184">
        <v>3</v>
      </c>
      <c r="H184" t="s">
        <v>141</v>
      </c>
      <c r="I184">
        <v>3845</v>
      </c>
      <c r="K184">
        <v>1</v>
      </c>
      <c r="L184">
        <v>20092200</v>
      </c>
      <c r="M184" t="s">
        <v>486</v>
      </c>
      <c r="N184">
        <v>0</v>
      </c>
      <c r="O184">
        <v>152.54</v>
      </c>
      <c r="P184">
        <v>0</v>
      </c>
      <c r="Q184">
        <v>27.46</v>
      </c>
      <c r="R184">
        <v>0</v>
      </c>
      <c r="S184">
        <v>0</v>
      </c>
      <c r="T184">
        <v>0</v>
      </c>
      <c r="U184">
        <v>0</v>
      </c>
      <c r="V184">
        <v>0</v>
      </c>
      <c r="W184">
        <v>0</v>
      </c>
      <c r="X184">
        <v>0</v>
      </c>
      <c r="Y184">
        <v>0</v>
      </c>
      <c r="Z184">
        <v>180</v>
      </c>
      <c r="AA184" t="s">
        <v>116</v>
      </c>
      <c r="AB184">
        <v>1</v>
      </c>
      <c r="AI184">
        <v>1</v>
      </c>
      <c r="AJ184">
        <v>0</v>
      </c>
      <c r="AK184">
        <v>0</v>
      </c>
      <c r="AL184">
        <v>101</v>
      </c>
    </row>
    <row r="185" spans="1:38" x14ac:dyDescent="0.25">
      <c r="A185">
        <v>20608997106</v>
      </c>
      <c r="B185" t="s">
        <v>115</v>
      </c>
      <c r="C185">
        <v>202606</v>
      </c>
      <c r="D185" t="s">
        <v>487</v>
      </c>
      <c r="E185" s="99">
        <v>46199</v>
      </c>
      <c r="G185">
        <v>3</v>
      </c>
      <c r="H185" t="s">
        <v>141</v>
      </c>
      <c r="I185">
        <v>3846</v>
      </c>
      <c r="K185">
        <v>1</v>
      </c>
      <c r="L185">
        <v>44400915</v>
      </c>
      <c r="M185" t="s">
        <v>488</v>
      </c>
      <c r="N185">
        <v>0</v>
      </c>
      <c r="O185">
        <v>79.66</v>
      </c>
      <c r="P185">
        <v>0</v>
      </c>
      <c r="Q185">
        <v>14.34</v>
      </c>
      <c r="R185">
        <v>0</v>
      </c>
      <c r="S185">
        <v>0</v>
      </c>
      <c r="T185">
        <v>0</v>
      </c>
      <c r="U185">
        <v>0</v>
      </c>
      <c r="V185">
        <v>0</v>
      </c>
      <c r="W185">
        <v>0</v>
      </c>
      <c r="X185">
        <v>0</v>
      </c>
      <c r="Y185">
        <v>0</v>
      </c>
      <c r="Z185">
        <v>94</v>
      </c>
      <c r="AA185" t="s">
        <v>116</v>
      </c>
      <c r="AB185">
        <v>1</v>
      </c>
      <c r="AI185">
        <v>1</v>
      </c>
      <c r="AJ185">
        <v>0</v>
      </c>
      <c r="AK185">
        <v>0</v>
      </c>
      <c r="AL185">
        <v>101</v>
      </c>
    </row>
    <row r="186" spans="1:38" x14ac:dyDescent="0.25">
      <c r="A186">
        <v>20608997106</v>
      </c>
      <c r="B186" t="s">
        <v>115</v>
      </c>
      <c r="C186">
        <v>202606</v>
      </c>
      <c r="D186" t="s">
        <v>489</v>
      </c>
      <c r="E186" s="99">
        <v>46199</v>
      </c>
      <c r="G186">
        <v>3</v>
      </c>
      <c r="H186" t="s">
        <v>141</v>
      </c>
      <c r="I186">
        <v>3847</v>
      </c>
      <c r="K186">
        <v>1</v>
      </c>
      <c r="L186">
        <v>48291602</v>
      </c>
      <c r="M186" t="s">
        <v>490</v>
      </c>
      <c r="N186">
        <v>0</v>
      </c>
      <c r="O186">
        <v>42.37</v>
      </c>
      <c r="P186">
        <v>0</v>
      </c>
      <c r="Q186">
        <v>7.63</v>
      </c>
      <c r="R186">
        <v>0</v>
      </c>
      <c r="S186">
        <v>0</v>
      </c>
      <c r="T186">
        <v>0</v>
      </c>
      <c r="U186">
        <v>0</v>
      </c>
      <c r="V186">
        <v>0</v>
      </c>
      <c r="W186">
        <v>0</v>
      </c>
      <c r="X186">
        <v>0</v>
      </c>
      <c r="Y186">
        <v>0</v>
      </c>
      <c r="Z186">
        <v>50</v>
      </c>
      <c r="AA186" t="s">
        <v>116</v>
      </c>
      <c r="AB186">
        <v>1</v>
      </c>
      <c r="AI186">
        <v>1</v>
      </c>
      <c r="AJ186">
        <v>0</v>
      </c>
      <c r="AK186">
        <v>0</v>
      </c>
      <c r="AL186">
        <v>101</v>
      </c>
    </row>
    <row r="187" spans="1:38" x14ac:dyDescent="0.25">
      <c r="A187">
        <v>20608997106</v>
      </c>
      <c r="B187" t="s">
        <v>115</v>
      </c>
      <c r="C187">
        <v>202606</v>
      </c>
      <c r="D187" t="s">
        <v>491</v>
      </c>
      <c r="E187" s="99">
        <v>46199</v>
      </c>
      <c r="G187">
        <v>3</v>
      </c>
      <c r="H187" t="s">
        <v>141</v>
      </c>
      <c r="I187">
        <v>3848</v>
      </c>
      <c r="K187">
        <v>1</v>
      </c>
      <c r="L187">
        <v>19949984</v>
      </c>
      <c r="M187" t="s">
        <v>492</v>
      </c>
      <c r="N187">
        <v>0</v>
      </c>
      <c r="O187">
        <v>190.68</v>
      </c>
      <c r="P187">
        <v>0</v>
      </c>
      <c r="Q187">
        <v>34.32</v>
      </c>
      <c r="R187">
        <v>0</v>
      </c>
      <c r="S187">
        <v>0</v>
      </c>
      <c r="T187">
        <v>0</v>
      </c>
      <c r="U187">
        <v>0</v>
      </c>
      <c r="V187">
        <v>0</v>
      </c>
      <c r="W187">
        <v>0</v>
      </c>
      <c r="X187">
        <v>0</v>
      </c>
      <c r="Y187">
        <v>0</v>
      </c>
      <c r="Z187">
        <v>225</v>
      </c>
      <c r="AA187" t="s">
        <v>116</v>
      </c>
      <c r="AB187">
        <v>1</v>
      </c>
      <c r="AI187">
        <v>1</v>
      </c>
      <c r="AJ187">
        <v>0</v>
      </c>
      <c r="AK187">
        <v>0</v>
      </c>
      <c r="AL187">
        <v>101</v>
      </c>
    </row>
    <row r="188" spans="1:38" x14ac:dyDescent="0.25">
      <c r="A188">
        <v>20608997106</v>
      </c>
      <c r="B188" t="s">
        <v>115</v>
      </c>
      <c r="C188">
        <v>202606</v>
      </c>
      <c r="D188" t="s">
        <v>493</v>
      </c>
      <c r="E188" s="99">
        <v>46199</v>
      </c>
      <c r="G188">
        <v>3</v>
      </c>
      <c r="H188" t="s">
        <v>141</v>
      </c>
      <c r="I188">
        <v>3849</v>
      </c>
      <c r="K188">
        <v>1</v>
      </c>
      <c r="L188">
        <v>20016945</v>
      </c>
      <c r="M188" t="s">
        <v>494</v>
      </c>
      <c r="N188">
        <v>0</v>
      </c>
      <c r="O188">
        <v>42.37</v>
      </c>
      <c r="P188">
        <v>0</v>
      </c>
      <c r="Q188">
        <v>7.63</v>
      </c>
      <c r="R188">
        <v>0</v>
      </c>
      <c r="S188">
        <v>0</v>
      </c>
      <c r="T188">
        <v>0</v>
      </c>
      <c r="U188">
        <v>0</v>
      </c>
      <c r="V188">
        <v>0</v>
      </c>
      <c r="W188">
        <v>0</v>
      </c>
      <c r="X188">
        <v>0</v>
      </c>
      <c r="Y188">
        <v>0</v>
      </c>
      <c r="Z188">
        <v>50</v>
      </c>
      <c r="AA188" t="s">
        <v>116</v>
      </c>
      <c r="AB188">
        <v>1</v>
      </c>
      <c r="AI188">
        <v>1</v>
      </c>
      <c r="AJ188">
        <v>0</v>
      </c>
      <c r="AK188">
        <v>0</v>
      </c>
      <c r="AL188">
        <v>101</v>
      </c>
    </row>
    <row r="189" spans="1:38" x14ac:dyDescent="0.25">
      <c r="A189">
        <v>20608997106</v>
      </c>
      <c r="B189" t="s">
        <v>115</v>
      </c>
      <c r="C189">
        <v>202606</v>
      </c>
      <c r="D189" t="s">
        <v>495</v>
      </c>
      <c r="E189" s="99">
        <v>46199</v>
      </c>
      <c r="G189">
        <v>3</v>
      </c>
      <c r="H189" t="s">
        <v>141</v>
      </c>
      <c r="I189">
        <v>3850</v>
      </c>
      <c r="K189">
        <v>1</v>
      </c>
      <c r="L189">
        <v>19949816</v>
      </c>
      <c r="M189" t="s">
        <v>496</v>
      </c>
      <c r="N189">
        <v>0</v>
      </c>
      <c r="O189">
        <v>364.41</v>
      </c>
      <c r="P189">
        <v>0</v>
      </c>
      <c r="Q189">
        <v>65.59</v>
      </c>
      <c r="R189">
        <v>0</v>
      </c>
      <c r="S189">
        <v>0</v>
      </c>
      <c r="T189">
        <v>0</v>
      </c>
      <c r="U189">
        <v>0</v>
      </c>
      <c r="V189">
        <v>0</v>
      </c>
      <c r="W189">
        <v>0</v>
      </c>
      <c r="X189">
        <v>0</v>
      </c>
      <c r="Y189">
        <v>0</v>
      </c>
      <c r="Z189">
        <v>430</v>
      </c>
      <c r="AA189" t="s">
        <v>116</v>
      </c>
      <c r="AB189">
        <v>1</v>
      </c>
      <c r="AI189">
        <v>1</v>
      </c>
      <c r="AJ189">
        <v>0</v>
      </c>
      <c r="AK189">
        <v>0</v>
      </c>
      <c r="AL189">
        <v>101</v>
      </c>
    </row>
    <row r="190" spans="1:38" x14ac:dyDescent="0.25">
      <c r="A190">
        <v>20608997106</v>
      </c>
      <c r="B190" t="s">
        <v>115</v>
      </c>
      <c r="C190">
        <v>202606</v>
      </c>
      <c r="D190" t="s">
        <v>497</v>
      </c>
      <c r="E190" s="99">
        <v>46199</v>
      </c>
      <c r="G190">
        <v>3</v>
      </c>
      <c r="H190" t="s">
        <v>141</v>
      </c>
      <c r="I190">
        <v>3851</v>
      </c>
      <c r="K190">
        <v>1</v>
      </c>
      <c r="L190">
        <v>43774361</v>
      </c>
      <c r="M190" t="s">
        <v>498</v>
      </c>
      <c r="N190">
        <v>0</v>
      </c>
      <c r="O190">
        <v>84.75</v>
      </c>
      <c r="P190">
        <v>0</v>
      </c>
      <c r="Q190">
        <v>15.25</v>
      </c>
      <c r="R190">
        <v>0</v>
      </c>
      <c r="S190">
        <v>0</v>
      </c>
      <c r="T190">
        <v>0</v>
      </c>
      <c r="U190">
        <v>0</v>
      </c>
      <c r="V190">
        <v>0</v>
      </c>
      <c r="W190">
        <v>0</v>
      </c>
      <c r="X190">
        <v>0</v>
      </c>
      <c r="Y190">
        <v>0</v>
      </c>
      <c r="Z190">
        <v>100</v>
      </c>
      <c r="AA190" t="s">
        <v>116</v>
      </c>
      <c r="AB190">
        <v>1</v>
      </c>
      <c r="AI190">
        <v>1</v>
      </c>
      <c r="AJ190">
        <v>0</v>
      </c>
      <c r="AK190">
        <v>0</v>
      </c>
      <c r="AL190">
        <v>101</v>
      </c>
    </row>
    <row r="191" spans="1:38" x14ac:dyDescent="0.25">
      <c r="A191">
        <v>20608997106</v>
      </c>
      <c r="B191" t="s">
        <v>115</v>
      </c>
      <c r="C191">
        <v>202606</v>
      </c>
      <c r="D191" t="s">
        <v>499</v>
      </c>
      <c r="E191" s="99">
        <v>46199</v>
      </c>
      <c r="G191">
        <v>3</v>
      </c>
      <c r="H191" t="s">
        <v>141</v>
      </c>
      <c r="I191">
        <v>3852</v>
      </c>
      <c r="K191">
        <v>1</v>
      </c>
      <c r="L191">
        <v>44254609</v>
      </c>
      <c r="M191" t="s">
        <v>500</v>
      </c>
      <c r="N191">
        <v>0</v>
      </c>
      <c r="O191">
        <v>119.49</v>
      </c>
      <c r="P191">
        <v>0</v>
      </c>
      <c r="Q191">
        <v>21.51</v>
      </c>
      <c r="R191">
        <v>0</v>
      </c>
      <c r="S191">
        <v>0</v>
      </c>
      <c r="T191">
        <v>0</v>
      </c>
      <c r="U191">
        <v>0</v>
      </c>
      <c r="V191">
        <v>0</v>
      </c>
      <c r="W191">
        <v>0</v>
      </c>
      <c r="X191">
        <v>0</v>
      </c>
      <c r="Y191">
        <v>0</v>
      </c>
      <c r="Z191">
        <v>141</v>
      </c>
      <c r="AA191" t="s">
        <v>116</v>
      </c>
      <c r="AB191">
        <v>1</v>
      </c>
      <c r="AI191">
        <v>1</v>
      </c>
      <c r="AJ191">
        <v>0</v>
      </c>
      <c r="AK191">
        <v>0</v>
      </c>
      <c r="AL191">
        <v>101</v>
      </c>
    </row>
    <row r="192" spans="1:38" x14ac:dyDescent="0.25">
      <c r="A192">
        <v>20608997106</v>
      </c>
      <c r="B192" t="s">
        <v>115</v>
      </c>
      <c r="C192">
        <v>202606</v>
      </c>
      <c r="D192" t="s">
        <v>501</v>
      </c>
      <c r="E192" s="99">
        <v>46199</v>
      </c>
      <c r="G192">
        <v>3</v>
      </c>
      <c r="H192" t="s">
        <v>141</v>
      </c>
      <c r="I192">
        <v>3853</v>
      </c>
      <c r="K192" t="s">
        <v>142</v>
      </c>
      <c r="L192" t="s">
        <v>142</v>
      </c>
      <c r="M192" t="s">
        <v>502</v>
      </c>
      <c r="N192">
        <v>0</v>
      </c>
      <c r="O192">
        <v>83.05</v>
      </c>
      <c r="P192">
        <v>0</v>
      </c>
      <c r="Q192">
        <v>14.95</v>
      </c>
      <c r="R192">
        <v>0</v>
      </c>
      <c r="S192">
        <v>0</v>
      </c>
      <c r="T192">
        <v>0</v>
      </c>
      <c r="U192">
        <v>0</v>
      </c>
      <c r="V192">
        <v>0</v>
      </c>
      <c r="W192">
        <v>0</v>
      </c>
      <c r="X192">
        <v>0</v>
      </c>
      <c r="Y192">
        <v>0</v>
      </c>
      <c r="Z192">
        <v>98</v>
      </c>
      <c r="AA192" t="s">
        <v>116</v>
      </c>
      <c r="AB192">
        <v>1</v>
      </c>
      <c r="AI192">
        <v>1</v>
      </c>
      <c r="AJ192">
        <v>0</v>
      </c>
      <c r="AK192">
        <v>0</v>
      </c>
      <c r="AL192">
        <v>101</v>
      </c>
    </row>
    <row r="193" spans="1:38" x14ac:dyDescent="0.25">
      <c r="A193">
        <v>20608997106</v>
      </c>
      <c r="B193" t="s">
        <v>115</v>
      </c>
      <c r="C193">
        <v>202606</v>
      </c>
      <c r="D193" t="s">
        <v>503</v>
      </c>
      <c r="E193" s="99">
        <v>46200</v>
      </c>
      <c r="G193">
        <v>3</v>
      </c>
      <c r="H193" t="s">
        <v>141</v>
      </c>
      <c r="I193">
        <v>3856</v>
      </c>
      <c r="K193">
        <v>1</v>
      </c>
      <c r="L193">
        <v>71607340</v>
      </c>
      <c r="M193" t="s">
        <v>504</v>
      </c>
      <c r="N193">
        <v>0</v>
      </c>
      <c r="O193">
        <v>116.95</v>
      </c>
      <c r="P193">
        <v>0</v>
      </c>
      <c r="Q193">
        <v>21.05</v>
      </c>
      <c r="R193">
        <v>0</v>
      </c>
      <c r="S193">
        <v>0</v>
      </c>
      <c r="T193">
        <v>0</v>
      </c>
      <c r="U193">
        <v>0</v>
      </c>
      <c r="V193">
        <v>0</v>
      </c>
      <c r="W193">
        <v>0</v>
      </c>
      <c r="X193">
        <v>0</v>
      </c>
      <c r="Y193">
        <v>0</v>
      </c>
      <c r="Z193">
        <v>138</v>
      </c>
      <c r="AA193" t="s">
        <v>116</v>
      </c>
      <c r="AB193">
        <v>1</v>
      </c>
      <c r="AI193">
        <v>1</v>
      </c>
      <c r="AJ193">
        <v>0</v>
      </c>
      <c r="AK193">
        <v>0</v>
      </c>
      <c r="AL193">
        <v>101</v>
      </c>
    </row>
    <row r="194" spans="1:38" x14ac:dyDescent="0.25">
      <c r="A194">
        <v>20608997106</v>
      </c>
      <c r="B194" t="s">
        <v>115</v>
      </c>
      <c r="C194">
        <v>202606</v>
      </c>
      <c r="D194" t="s">
        <v>505</v>
      </c>
      <c r="E194" s="99">
        <v>46200</v>
      </c>
      <c r="G194">
        <v>3</v>
      </c>
      <c r="H194" t="s">
        <v>141</v>
      </c>
      <c r="I194">
        <v>3861</v>
      </c>
      <c r="K194">
        <v>1</v>
      </c>
      <c r="L194">
        <v>44483319</v>
      </c>
      <c r="M194" t="s">
        <v>506</v>
      </c>
      <c r="N194">
        <v>0</v>
      </c>
      <c r="O194">
        <v>42.37</v>
      </c>
      <c r="P194">
        <v>0</v>
      </c>
      <c r="Q194">
        <v>7.63</v>
      </c>
      <c r="R194">
        <v>0</v>
      </c>
      <c r="S194">
        <v>0</v>
      </c>
      <c r="T194">
        <v>0</v>
      </c>
      <c r="U194">
        <v>0</v>
      </c>
      <c r="V194">
        <v>0</v>
      </c>
      <c r="W194">
        <v>0</v>
      </c>
      <c r="X194">
        <v>0</v>
      </c>
      <c r="Y194">
        <v>0</v>
      </c>
      <c r="Z194">
        <v>50</v>
      </c>
      <c r="AA194" t="s">
        <v>116</v>
      </c>
      <c r="AB194">
        <v>1</v>
      </c>
      <c r="AI194">
        <v>1</v>
      </c>
      <c r="AJ194">
        <v>0</v>
      </c>
      <c r="AK194">
        <v>0</v>
      </c>
      <c r="AL194">
        <v>101</v>
      </c>
    </row>
    <row r="195" spans="1:38" x14ac:dyDescent="0.25">
      <c r="A195">
        <v>20608997106</v>
      </c>
      <c r="B195" t="s">
        <v>115</v>
      </c>
      <c r="C195">
        <v>202606</v>
      </c>
      <c r="D195" t="s">
        <v>507</v>
      </c>
      <c r="E195" s="99">
        <v>46200</v>
      </c>
      <c r="G195">
        <v>3</v>
      </c>
      <c r="H195" t="s">
        <v>141</v>
      </c>
      <c r="I195">
        <v>3855</v>
      </c>
      <c r="K195">
        <v>1</v>
      </c>
      <c r="L195">
        <v>20974978</v>
      </c>
      <c r="M195" t="s">
        <v>508</v>
      </c>
      <c r="N195">
        <v>0</v>
      </c>
      <c r="O195">
        <v>79.66</v>
      </c>
      <c r="P195">
        <v>0</v>
      </c>
      <c r="Q195">
        <v>14.34</v>
      </c>
      <c r="R195">
        <v>0</v>
      </c>
      <c r="S195">
        <v>0</v>
      </c>
      <c r="T195">
        <v>0</v>
      </c>
      <c r="U195">
        <v>0</v>
      </c>
      <c r="V195">
        <v>0</v>
      </c>
      <c r="W195">
        <v>0</v>
      </c>
      <c r="X195">
        <v>0</v>
      </c>
      <c r="Y195">
        <v>0</v>
      </c>
      <c r="Z195">
        <v>94</v>
      </c>
      <c r="AA195" t="s">
        <v>116</v>
      </c>
      <c r="AB195">
        <v>1</v>
      </c>
      <c r="AI195">
        <v>1</v>
      </c>
      <c r="AJ195">
        <v>0</v>
      </c>
      <c r="AK195">
        <v>0</v>
      </c>
      <c r="AL195">
        <v>101</v>
      </c>
    </row>
    <row r="196" spans="1:38" x14ac:dyDescent="0.25">
      <c r="A196">
        <v>20608997106</v>
      </c>
      <c r="B196" t="s">
        <v>115</v>
      </c>
      <c r="C196">
        <v>202606</v>
      </c>
      <c r="D196" t="s">
        <v>509</v>
      </c>
      <c r="E196" s="99">
        <v>46200</v>
      </c>
      <c r="G196">
        <v>3</v>
      </c>
      <c r="H196" t="s">
        <v>141</v>
      </c>
      <c r="I196">
        <v>3857</v>
      </c>
      <c r="K196">
        <v>1</v>
      </c>
      <c r="L196">
        <v>23712039</v>
      </c>
      <c r="M196" t="s">
        <v>510</v>
      </c>
      <c r="N196">
        <v>0</v>
      </c>
      <c r="O196">
        <v>42.37</v>
      </c>
      <c r="P196">
        <v>0</v>
      </c>
      <c r="Q196">
        <v>7.63</v>
      </c>
      <c r="R196">
        <v>0</v>
      </c>
      <c r="S196">
        <v>0</v>
      </c>
      <c r="T196">
        <v>0</v>
      </c>
      <c r="U196">
        <v>0</v>
      </c>
      <c r="V196">
        <v>0</v>
      </c>
      <c r="W196">
        <v>0</v>
      </c>
      <c r="X196">
        <v>0</v>
      </c>
      <c r="Y196">
        <v>0</v>
      </c>
      <c r="Z196">
        <v>50</v>
      </c>
      <c r="AA196" t="s">
        <v>116</v>
      </c>
      <c r="AB196">
        <v>1</v>
      </c>
      <c r="AI196">
        <v>1</v>
      </c>
      <c r="AJ196">
        <v>0</v>
      </c>
      <c r="AK196">
        <v>0</v>
      </c>
      <c r="AL196">
        <v>101</v>
      </c>
    </row>
    <row r="197" spans="1:38" x14ac:dyDescent="0.25">
      <c r="A197">
        <v>20608997106</v>
      </c>
      <c r="B197" t="s">
        <v>115</v>
      </c>
      <c r="C197">
        <v>202606</v>
      </c>
      <c r="D197" t="s">
        <v>511</v>
      </c>
      <c r="E197" s="99">
        <v>46200</v>
      </c>
      <c r="G197">
        <v>3</v>
      </c>
      <c r="H197" t="s">
        <v>141</v>
      </c>
      <c r="I197">
        <v>3860</v>
      </c>
      <c r="K197">
        <v>1</v>
      </c>
      <c r="L197">
        <v>71659543</v>
      </c>
      <c r="M197" t="s">
        <v>512</v>
      </c>
      <c r="N197">
        <v>0</v>
      </c>
      <c r="O197">
        <v>42.37</v>
      </c>
      <c r="P197">
        <v>0</v>
      </c>
      <c r="Q197">
        <v>7.63</v>
      </c>
      <c r="R197">
        <v>0</v>
      </c>
      <c r="S197">
        <v>0</v>
      </c>
      <c r="T197">
        <v>0</v>
      </c>
      <c r="U197">
        <v>0</v>
      </c>
      <c r="V197">
        <v>0</v>
      </c>
      <c r="W197">
        <v>0</v>
      </c>
      <c r="X197">
        <v>0</v>
      </c>
      <c r="Y197">
        <v>0</v>
      </c>
      <c r="Z197">
        <v>50</v>
      </c>
      <c r="AA197" t="s">
        <v>116</v>
      </c>
      <c r="AB197">
        <v>1</v>
      </c>
      <c r="AI197">
        <v>1</v>
      </c>
      <c r="AJ197">
        <v>0</v>
      </c>
      <c r="AK197">
        <v>0</v>
      </c>
      <c r="AL197">
        <v>101</v>
      </c>
    </row>
    <row r="198" spans="1:38" x14ac:dyDescent="0.25">
      <c r="A198">
        <v>20608997106</v>
      </c>
      <c r="B198" t="s">
        <v>115</v>
      </c>
      <c r="C198">
        <v>202606</v>
      </c>
      <c r="D198" t="s">
        <v>513</v>
      </c>
      <c r="E198" s="99">
        <v>46200</v>
      </c>
      <c r="G198">
        <v>3</v>
      </c>
      <c r="H198" t="s">
        <v>141</v>
      </c>
      <c r="I198">
        <v>3862</v>
      </c>
      <c r="K198">
        <v>1</v>
      </c>
      <c r="L198">
        <v>23681523</v>
      </c>
      <c r="M198" t="s">
        <v>514</v>
      </c>
      <c r="N198">
        <v>0</v>
      </c>
      <c r="O198">
        <v>81.36</v>
      </c>
      <c r="P198">
        <v>0</v>
      </c>
      <c r="Q198">
        <v>14.64</v>
      </c>
      <c r="R198">
        <v>0</v>
      </c>
      <c r="S198">
        <v>0</v>
      </c>
      <c r="T198">
        <v>0</v>
      </c>
      <c r="U198">
        <v>0</v>
      </c>
      <c r="V198">
        <v>0</v>
      </c>
      <c r="W198">
        <v>0</v>
      </c>
      <c r="X198">
        <v>0</v>
      </c>
      <c r="Y198">
        <v>0</v>
      </c>
      <c r="Z198">
        <v>96</v>
      </c>
      <c r="AA198" t="s">
        <v>116</v>
      </c>
      <c r="AB198">
        <v>1</v>
      </c>
      <c r="AI198">
        <v>1</v>
      </c>
      <c r="AJ198">
        <v>0</v>
      </c>
      <c r="AK198">
        <v>0</v>
      </c>
      <c r="AL198">
        <v>101</v>
      </c>
    </row>
    <row r="199" spans="1:38" x14ac:dyDescent="0.25">
      <c r="A199">
        <v>20608997106</v>
      </c>
      <c r="B199" t="s">
        <v>115</v>
      </c>
      <c r="C199">
        <v>202606</v>
      </c>
      <c r="D199" t="s">
        <v>515</v>
      </c>
      <c r="E199" s="99">
        <v>46200</v>
      </c>
      <c r="G199">
        <v>3</v>
      </c>
      <c r="H199" t="s">
        <v>141</v>
      </c>
      <c r="I199">
        <v>3867</v>
      </c>
      <c r="K199">
        <v>1</v>
      </c>
      <c r="L199">
        <v>19808574</v>
      </c>
      <c r="M199" t="s">
        <v>516</v>
      </c>
      <c r="N199">
        <v>0</v>
      </c>
      <c r="O199">
        <v>119.49</v>
      </c>
      <c r="P199">
        <v>0</v>
      </c>
      <c r="Q199">
        <v>21.51</v>
      </c>
      <c r="R199">
        <v>0</v>
      </c>
      <c r="S199">
        <v>0</v>
      </c>
      <c r="T199">
        <v>0</v>
      </c>
      <c r="U199">
        <v>0</v>
      </c>
      <c r="V199">
        <v>0</v>
      </c>
      <c r="W199">
        <v>0</v>
      </c>
      <c r="X199">
        <v>0</v>
      </c>
      <c r="Y199">
        <v>0</v>
      </c>
      <c r="Z199">
        <v>141</v>
      </c>
      <c r="AA199" t="s">
        <v>116</v>
      </c>
      <c r="AB199">
        <v>1</v>
      </c>
      <c r="AI199">
        <v>1</v>
      </c>
      <c r="AJ199">
        <v>0</v>
      </c>
      <c r="AK199">
        <v>0</v>
      </c>
      <c r="AL199">
        <v>101</v>
      </c>
    </row>
    <row r="200" spans="1:38" x14ac:dyDescent="0.25">
      <c r="A200">
        <v>20608997106</v>
      </c>
      <c r="B200" t="s">
        <v>115</v>
      </c>
      <c r="C200">
        <v>202606</v>
      </c>
      <c r="D200" t="s">
        <v>517</v>
      </c>
      <c r="E200" s="99">
        <v>46200</v>
      </c>
      <c r="G200">
        <v>3</v>
      </c>
      <c r="H200" t="s">
        <v>141</v>
      </c>
      <c r="I200">
        <v>3866</v>
      </c>
      <c r="K200">
        <v>1</v>
      </c>
      <c r="L200">
        <v>40056594</v>
      </c>
      <c r="M200" t="s">
        <v>518</v>
      </c>
      <c r="N200">
        <v>0</v>
      </c>
      <c r="O200">
        <v>42.37</v>
      </c>
      <c r="P200">
        <v>0</v>
      </c>
      <c r="Q200">
        <v>7.63</v>
      </c>
      <c r="R200">
        <v>0</v>
      </c>
      <c r="S200">
        <v>0</v>
      </c>
      <c r="T200">
        <v>0</v>
      </c>
      <c r="U200">
        <v>0</v>
      </c>
      <c r="V200">
        <v>0</v>
      </c>
      <c r="W200">
        <v>0</v>
      </c>
      <c r="X200">
        <v>0</v>
      </c>
      <c r="Y200">
        <v>0</v>
      </c>
      <c r="Z200">
        <v>50</v>
      </c>
      <c r="AA200" t="s">
        <v>116</v>
      </c>
      <c r="AB200">
        <v>1</v>
      </c>
      <c r="AI200">
        <v>1</v>
      </c>
      <c r="AJ200">
        <v>0</v>
      </c>
      <c r="AK200">
        <v>0</v>
      </c>
      <c r="AL200">
        <v>101</v>
      </c>
    </row>
    <row r="201" spans="1:38" x14ac:dyDescent="0.25">
      <c r="A201">
        <v>20608997106</v>
      </c>
      <c r="B201" t="s">
        <v>115</v>
      </c>
      <c r="C201">
        <v>202606</v>
      </c>
      <c r="D201" t="s">
        <v>519</v>
      </c>
      <c r="E201" s="99">
        <v>46200</v>
      </c>
      <c r="G201">
        <v>3</v>
      </c>
      <c r="H201" t="s">
        <v>141</v>
      </c>
      <c r="I201">
        <v>3871</v>
      </c>
      <c r="K201">
        <v>1</v>
      </c>
      <c r="L201">
        <v>80357332</v>
      </c>
      <c r="M201" t="s">
        <v>520</v>
      </c>
      <c r="N201">
        <v>0</v>
      </c>
      <c r="O201">
        <v>43.22</v>
      </c>
      <c r="P201">
        <v>0</v>
      </c>
      <c r="Q201">
        <v>7.78</v>
      </c>
      <c r="R201">
        <v>0</v>
      </c>
      <c r="S201">
        <v>0</v>
      </c>
      <c r="T201">
        <v>0</v>
      </c>
      <c r="U201">
        <v>0</v>
      </c>
      <c r="V201">
        <v>0</v>
      </c>
      <c r="W201">
        <v>0</v>
      </c>
      <c r="X201">
        <v>0</v>
      </c>
      <c r="Y201">
        <v>0</v>
      </c>
      <c r="Z201">
        <v>51</v>
      </c>
      <c r="AA201" t="s">
        <v>116</v>
      </c>
      <c r="AB201">
        <v>1</v>
      </c>
      <c r="AI201">
        <v>1</v>
      </c>
      <c r="AJ201">
        <v>0</v>
      </c>
      <c r="AK201">
        <v>0</v>
      </c>
      <c r="AL201">
        <v>101</v>
      </c>
    </row>
    <row r="202" spans="1:38" x14ac:dyDescent="0.25">
      <c r="A202">
        <v>20608997106</v>
      </c>
      <c r="B202" t="s">
        <v>115</v>
      </c>
      <c r="C202">
        <v>202606</v>
      </c>
      <c r="D202" t="s">
        <v>521</v>
      </c>
      <c r="E202" s="99">
        <v>46200</v>
      </c>
      <c r="G202">
        <v>3</v>
      </c>
      <c r="H202" t="s">
        <v>141</v>
      </c>
      <c r="I202">
        <v>3873</v>
      </c>
      <c r="K202">
        <v>1</v>
      </c>
      <c r="L202">
        <v>42146347</v>
      </c>
      <c r="M202" t="s">
        <v>300</v>
      </c>
      <c r="N202">
        <v>0</v>
      </c>
      <c r="O202">
        <v>42.37</v>
      </c>
      <c r="P202">
        <v>0</v>
      </c>
      <c r="Q202">
        <v>7.63</v>
      </c>
      <c r="R202">
        <v>0</v>
      </c>
      <c r="S202">
        <v>0</v>
      </c>
      <c r="T202">
        <v>0</v>
      </c>
      <c r="U202">
        <v>0</v>
      </c>
      <c r="V202">
        <v>0</v>
      </c>
      <c r="W202">
        <v>0</v>
      </c>
      <c r="X202">
        <v>0</v>
      </c>
      <c r="Y202">
        <v>0</v>
      </c>
      <c r="Z202">
        <v>50</v>
      </c>
      <c r="AA202" t="s">
        <v>116</v>
      </c>
      <c r="AB202">
        <v>1</v>
      </c>
      <c r="AI202">
        <v>1</v>
      </c>
      <c r="AJ202">
        <v>0</v>
      </c>
      <c r="AK202">
        <v>0</v>
      </c>
      <c r="AL202">
        <v>101</v>
      </c>
    </row>
    <row r="203" spans="1:38" x14ac:dyDescent="0.25">
      <c r="A203">
        <v>20608997106</v>
      </c>
      <c r="B203" t="s">
        <v>115</v>
      </c>
      <c r="C203">
        <v>202606</v>
      </c>
      <c r="D203" t="s">
        <v>522</v>
      </c>
      <c r="E203" s="99">
        <v>46200</v>
      </c>
      <c r="G203">
        <v>3</v>
      </c>
      <c r="H203" t="s">
        <v>141</v>
      </c>
      <c r="I203">
        <v>3872</v>
      </c>
      <c r="K203">
        <v>1</v>
      </c>
      <c r="L203">
        <v>41403731</v>
      </c>
      <c r="M203" t="s">
        <v>523</v>
      </c>
      <c r="N203">
        <v>0</v>
      </c>
      <c r="O203">
        <v>119.49</v>
      </c>
      <c r="P203">
        <v>0</v>
      </c>
      <c r="Q203">
        <v>21.51</v>
      </c>
      <c r="R203">
        <v>0</v>
      </c>
      <c r="S203">
        <v>0</v>
      </c>
      <c r="T203">
        <v>0</v>
      </c>
      <c r="U203">
        <v>0</v>
      </c>
      <c r="V203">
        <v>0</v>
      </c>
      <c r="W203">
        <v>0</v>
      </c>
      <c r="X203">
        <v>0</v>
      </c>
      <c r="Y203">
        <v>0</v>
      </c>
      <c r="Z203">
        <v>141</v>
      </c>
      <c r="AA203" t="s">
        <v>116</v>
      </c>
      <c r="AB203">
        <v>1</v>
      </c>
      <c r="AI203">
        <v>1</v>
      </c>
      <c r="AJ203">
        <v>0</v>
      </c>
      <c r="AK203">
        <v>0</v>
      </c>
      <c r="AL203">
        <v>101</v>
      </c>
    </row>
    <row r="204" spans="1:38" x14ac:dyDescent="0.25">
      <c r="A204">
        <v>20608997106</v>
      </c>
      <c r="B204" t="s">
        <v>115</v>
      </c>
      <c r="C204">
        <v>202606</v>
      </c>
      <c r="D204" t="s">
        <v>524</v>
      </c>
      <c r="E204" s="99">
        <v>46200</v>
      </c>
      <c r="G204">
        <v>3</v>
      </c>
      <c r="H204" t="s">
        <v>141</v>
      </c>
      <c r="I204">
        <v>3874</v>
      </c>
      <c r="K204">
        <v>1</v>
      </c>
      <c r="L204">
        <v>43470449</v>
      </c>
      <c r="M204" t="s">
        <v>525</v>
      </c>
      <c r="N204">
        <v>0</v>
      </c>
      <c r="O204">
        <v>83.05</v>
      </c>
      <c r="P204">
        <v>0</v>
      </c>
      <c r="Q204">
        <v>14.95</v>
      </c>
      <c r="R204">
        <v>0</v>
      </c>
      <c r="S204">
        <v>0</v>
      </c>
      <c r="T204">
        <v>0</v>
      </c>
      <c r="U204">
        <v>0</v>
      </c>
      <c r="V204">
        <v>0</v>
      </c>
      <c r="W204">
        <v>0</v>
      </c>
      <c r="X204">
        <v>0</v>
      </c>
      <c r="Y204">
        <v>0</v>
      </c>
      <c r="Z204">
        <v>98</v>
      </c>
      <c r="AA204" t="s">
        <v>116</v>
      </c>
      <c r="AB204">
        <v>1</v>
      </c>
      <c r="AI204">
        <v>1</v>
      </c>
      <c r="AJ204">
        <v>0</v>
      </c>
      <c r="AK204">
        <v>0</v>
      </c>
      <c r="AL204">
        <v>101</v>
      </c>
    </row>
    <row r="205" spans="1:38" x14ac:dyDescent="0.25">
      <c r="A205">
        <v>20608997106</v>
      </c>
      <c r="B205" t="s">
        <v>115</v>
      </c>
      <c r="C205">
        <v>202606</v>
      </c>
      <c r="D205" t="s">
        <v>526</v>
      </c>
      <c r="E205" s="99">
        <v>46200</v>
      </c>
      <c r="G205">
        <v>3</v>
      </c>
      <c r="H205" t="s">
        <v>141</v>
      </c>
      <c r="I205">
        <v>3854</v>
      </c>
      <c r="K205">
        <v>1</v>
      </c>
      <c r="L205">
        <v>80060583</v>
      </c>
      <c r="M205" t="s">
        <v>527</v>
      </c>
      <c r="N205">
        <v>0</v>
      </c>
      <c r="O205">
        <v>43.22</v>
      </c>
      <c r="P205">
        <v>0</v>
      </c>
      <c r="Q205">
        <v>7.78</v>
      </c>
      <c r="R205">
        <v>0</v>
      </c>
      <c r="S205">
        <v>0</v>
      </c>
      <c r="T205">
        <v>0</v>
      </c>
      <c r="U205">
        <v>0</v>
      </c>
      <c r="V205">
        <v>0</v>
      </c>
      <c r="W205">
        <v>0</v>
      </c>
      <c r="X205">
        <v>0</v>
      </c>
      <c r="Y205">
        <v>0</v>
      </c>
      <c r="Z205">
        <v>51</v>
      </c>
      <c r="AA205" t="s">
        <v>116</v>
      </c>
      <c r="AB205">
        <v>1</v>
      </c>
      <c r="AI205">
        <v>1</v>
      </c>
      <c r="AJ205">
        <v>0</v>
      </c>
      <c r="AK205">
        <v>0</v>
      </c>
      <c r="AL205">
        <v>101</v>
      </c>
    </row>
    <row r="206" spans="1:38" x14ac:dyDescent="0.25">
      <c r="A206">
        <v>20608997106</v>
      </c>
      <c r="B206" t="s">
        <v>115</v>
      </c>
      <c r="C206">
        <v>202606</v>
      </c>
      <c r="D206" t="s">
        <v>528</v>
      </c>
      <c r="E206" s="99">
        <v>46200</v>
      </c>
      <c r="G206">
        <v>3</v>
      </c>
      <c r="H206" t="s">
        <v>141</v>
      </c>
      <c r="I206">
        <v>3863</v>
      </c>
      <c r="K206">
        <v>1</v>
      </c>
      <c r="L206">
        <v>46848260</v>
      </c>
      <c r="M206" t="s">
        <v>529</v>
      </c>
      <c r="N206">
        <v>0</v>
      </c>
      <c r="O206">
        <v>114.41</v>
      </c>
      <c r="P206">
        <v>0</v>
      </c>
      <c r="Q206">
        <v>20.59</v>
      </c>
      <c r="R206">
        <v>0</v>
      </c>
      <c r="S206">
        <v>0</v>
      </c>
      <c r="T206">
        <v>0</v>
      </c>
      <c r="U206">
        <v>0</v>
      </c>
      <c r="V206">
        <v>0</v>
      </c>
      <c r="W206">
        <v>0</v>
      </c>
      <c r="X206">
        <v>0</v>
      </c>
      <c r="Y206">
        <v>0</v>
      </c>
      <c r="Z206">
        <v>135</v>
      </c>
      <c r="AA206" t="s">
        <v>116</v>
      </c>
      <c r="AB206">
        <v>1</v>
      </c>
      <c r="AI206">
        <v>1</v>
      </c>
      <c r="AJ206">
        <v>0</v>
      </c>
      <c r="AK206">
        <v>0</v>
      </c>
      <c r="AL206">
        <v>101</v>
      </c>
    </row>
    <row r="207" spans="1:38" x14ac:dyDescent="0.25">
      <c r="A207">
        <v>20608997106</v>
      </c>
      <c r="B207" t="s">
        <v>115</v>
      </c>
      <c r="C207">
        <v>202606</v>
      </c>
      <c r="D207" t="s">
        <v>530</v>
      </c>
      <c r="E207" s="99">
        <v>46200</v>
      </c>
      <c r="G207">
        <v>3</v>
      </c>
      <c r="H207" t="s">
        <v>141</v>
      </c>
      <c r="I207">
        <v>3865</v>
      </c>
      <c r="K207">
        <v>1</v>
      </c>
      <c r="L207">
        <v>71550302</v>
      </c>
      <c r="M207" t="s">
        <v>531</v>
      </c>
      <c r="N207">
        <v>0</v>
      </c>
      <c r="O207">
        <v>79.66</v>
      </c>
      <c r="P207">
        <v>0</v>
      </c>
      <c r="Q207">
        <v>14.34</v>
      </c>
      <c r="R207">
        <v>0</v>
      </c>
      <c r="S207">
        <v>0</v>
      </c>
      <c r="T207">
        <v>0</v>
      </c>
      <c r="U207">
        <v>0</v>
      </c>
      <c r="V207">
        <v>0</v>
      </c>
      <c r="W207">
        <v>0</v>
      </c>
      <c r="X207">
        <v>0</v>
      </c>
      <c r="Y207">
        <v>0</v>
      </c>
      <c r="Z207">
        <v>94</v>
      </c>
      <c r="AA207" t="s">
        <v>116</v>
      </c>
      <c r="AB207">
        <v>1</v>
      </c>
      <c r="AI207">
        <v>1</v>
      </c>
      <c r="AJ207">
        <v>0</v>
      </c>
      <c r="AK207">
        <v>0</v>
      </c>
      <c r="AL207">
        <v>101</v>
      </c>
    </row>
    <row r="208" spans="1:38" x14ac:dyDescent="0.25">
      <c r="A208">
        <v>20608997106</v>
      </c>
      <c r="B208" t="s">
        <v>115</v>
      </c>
      <c r="C208">
        <v>202606</v>
      </c>
      <c r="D208" t="s">
        <v>532</v>
      </c>
      <c r="E208" s="99">
        <v>46200</v>
      </c>
      <c r="G208">
        <v>3</v>
      </c>
      <c r="H208" t="s">
        <v>141</v>
      </c>
      <c r="I208">
        <v>3864</v>
      </c>
      <c r="K208">
        <v>1</v>
      </c>
      <c r="L208">
        <v>20415925</v>
      </c>
      <c r="M208" t="s">
        <v>533</v>
      </c>
      <c r="N208">
        <v>0</v>
      </c>
      <c r="O208">
        <v>42.37</v>
      </c>
      <c r="P208">
        <v>0</v>
      </c>
      <c r="Q208">
        <v>7.63</v>
      </c>
      <c r="R208">
        <v>0</v>
      </c>
      <c r="S208">
        <v>0</v>
      </c>
      <c r="T208">
        <v>0</v>
      </c>
      <c r="U208">
        <v>0</v>
      </c>
      <c r="V208">
        <v>0</v>
      </c>
      <c r="W208">
        <v>0</v>
      </c>
      <c r="X208">
        <v>0</v>
      </c>
      <c r="Y208">
        <v>0</v>
      </c>
      <c r="Z208">
        <v>50</v>
      </c>
      <c r="AA208" t="s">
        <v>116</v>
      </c>
      <c r="AB208">
        <v>1</v>
      </c>
      <c r="AI208">
        <v>1</v>
      </c>
      <c r="AJ208">
        <v>0</v>
      </c>
      <c r="AK208">
        <v>0</v>
      </c>
      <c r="AL208">
        <v>101</v>
      </c>
    </row>
    <row r="209" spans="1:38" x14ac:dyDescent="0.25">
      <c r="A209">
        <v>20608997106</v>
      </c>
      <c r="B209" t="s">
        <v>115</v>
      </c>
      <c r="C209">
        <v>202606</v>
      </c>
      <c r="D209" t="s">
        <v>534</v>
      </c>
      <c r="E209" s="99">
        <v>46200</v>
      </c>
      <c r="G209">
        <v>3</v>
      </c>
      <c r="H209" t="s">
        <v>141</v>
      </c>
      <c r="I209">
        <v>3869</v>
      </c>
      <c r="K209">
        <v>1</v>
      </c>
      <c r="L209">
        <v>40056594</v>
      </c>
      <c r="M209" t="s">
        <v>518</v>
      </c>
      <c r="N209">
        <v>0</v>
      </c>
      <c r="O209">
        <v>81.36</v>
      </c>
      <c r="P209">
        <v>0</v>
      </c>
      <c r="Q209">
        <v>14.64</v>
      </c>
      <c r="R209">
        <v>0</v>
      </c>
      <c r="S209">
        <v>0</v>
      </c>
      <c r="T209">
        <v>0</v>
      </c>
      <c r="U209">
        <v>0</v>
      </c>
      <c r="V209">
        <v>0</v>
      </c>
      <c r="W209">
        <v>0</v>
      </c>
      <c r="X209">
        <v>0</v>
      </c>
      <c r="Y209">
        <v>0</v>
      </c>
      <c r="Z209">
        <v>96</v>
      </c>
      <c r="AA209" t="s">
        <v>116</v>
      </c>
      <c r="AB209">
        <v>1</v>
      </c>
      <c r="AI209">
        <v>1</v>
      </c>
      <c r="AJ209">
        <v>0</v>
      </c>
      <c r="AK209">
        <v>0</v>
      </c>
      <c r="AL209">
        <v>101</v>
      </c>
    </row>
    <row r="210" spans="1:38" x14ac:dyDescent="0.25">
      <c r="A210">
        <v>20608997106</v>
      </c>
      <c r="B210" t="s">
        <v>115</v>
      </c>
      <c r="C210">
        <v>202606</v>
      </c>
      <c r="D210" t="s">
        <v>535</v>
      </c>
      <c r="E210" s="99">
        <v>46200</v>
      </c>
      <c r="G210">
        <v>3</v>
      </c>
      <c r="H210" t="s">
        <v>141</v>
      </c>
      <c r="I210">
        <v>3858</v>
      </c>
      <c r="K210">
        <v>1</v>
      </c>
      <c r="L210">
        <v>23711888</v>
      </c>
      <c r="M210" t="s">
        <v>536</v>
      </c>
      <c r="N210">
        <v>0</v>
      </c>
      <c r="O210">
        <v>81.36</v>
      </c>
      <c r="P210">
        <v>0</v>
      </c>
      <c r="Q210">
        <v>14.64</v>
      </c>
      <c r="R210">
        <v>0</v>
      </c>
      <c r="S210">
        <v>0</v>
      </c>
      <c r="T210">
        <v>0</v>
      </c>
      <c r="U210">
        <v>0</v>
      </c>
      <c r="V210">
        <v>0</v>
      </c>
      <c r="W210">
        <v>0</v>
      </c>
      <c r="X210">
        <v>0</v>
      </c>
      <c r="Y210">
        <v>0</v>
      </c>
      <c r="Z210">
        <v>96</v>
      </c>
      <c r="AA210" t="s">
        <v>116</v>
      </c>
      <c r="AB210">
        <v>1</v>
      </c>
      <c r="AI210">
        <v>1</v>
      </c>
      <c r="AJ210">
        <v>0</v>
      </c>
      <c r="AK210">
        <v>0</v>
      </c>
      <c r="AL210">
        <v>101</v>
      </c>
    </row>
    <row r="211" spans="1:38" x14ac:dyDescent="0.25">
      <c r="A211">
        <v>20608997106</v>
      </c>
      <c r="B211" t="s">
        <v>115</v>
      </c>
      <c r="C211">
        <v>202606</v>
      </c>
      <c r="D211" t="s">
        <v>537</v>
      </c>
      <c r="E211" s="99">
        <v>46200</v>
      </c>
      <c r="G211">
        <v>3</v>
      </c>
      <c r="H211" t="s">
        <v>141</v>
      </c>
      <c r="I211">
        <v>3859</v>
      </c>
      <c r="K211">
        <v>1</v>
      </c>
      <c r="L211">
        <v>74411998</v>
      </c>
      <c r="M211" t="s">
        <v>538</v>
      </c>
      <c r="N211">
        <v>0</v>
      </c>
      <c r="O211">
        <v>114.41</v>
      </c>
      <c r="P211">
        <v>0</v>
      </c>
      <c r="Q211">
        <v>20.59</v>
      </c>
      <c r="R211">
        <v>0</v>
      </c>
      <c r="S211">
        <v>0</v>
      </c>
      <c r="T211">
        <v>0</v>
      </c>
      <c r="U211">
        <v>0</v>
      </c>
      <c r="V211">
        <v>0</v>
      </c>
      <c r="W211">
        <v>0</v>
      </c>
      <c r="X211">
        <v>0</v>
      </c>
      <c r="Y211">
        <v>0</v>
      </c>
      <c r="Z211">
        <v>135</v>
      </c>
      <c r="AA211" t="s">
        <v>116</v>
      </c>
      <c r="AB211">
        <v>1</v>
      </c>
      <c r="AI211">
        <v>1</v>
      </c>
      <c r="AJ211">
        <v>0</v>
      </c>
      <c r="AK211">
        <v>0</v>
      </c>
      <c r="AL211">
        <v>101</v>
      </c>
    </row>
    <row r="212" spans="1:38" x14ac:dyDescent="0.25">
      <c r="A212">
        <v>20608997106</v>
      </c>
      <c r="B212" t="s">
        <v>115</v>
      </c>
      <c r="C212">
        <v>202606</v>
      </c>
      <c r="D212" t="s">
        <v>539</v>
      </c>
      <c r="E212" s="99">
        <v>46200</v>
      </c>
      <c r="G212">
        <v>3</v>
      </c>
      <c r="H212" t="s">
        <v>141</v>
      </c>
      <c r="I212">
        <v>3868</v>
      </c>
      <c r="K212">
        <v>1</v>
      </c>
      <c r="L212">
        <v>20079811</v>
      </c>
      <c r="M212" t="s">
        <v>540</v>
      </c>
      <c r="N212">
        <v>0</v>
      </c>
      <c r="O212">
        <v>42.37</v>
      </c>
      <c r="P212">
        <v>0</v>
      </c>
      <c r="Q212">
        <v>7.63</v>
      </c>
      <c r="R212">
        <v>0</v>
      </c>
      <c r="S212">
        <v>0</v>
      </c>
      <c r="T212">
        <v>0</v>
      </c>
      <c r="U212">
        <v>0</v>
      </c>
      <c r="V212">
        <v>0</v>
      </c>
      <c r="W212">
        <v>0</v>
      </c>
      <c r="X212">
        <v>0</v>
      </c>
      <c r="Y212">
        <v>0</v>
      </c>
      <c r="Z212">
        <v>50</v>
      </c>
      <c r="AA212" t="s">
        <v>116</v>
      </c>
      <c r="AB212">
        <v>1</v>
      </c>
      <c r="AI212">
        <v>1</v>
      </c>
      <c r="AJ212">
        <v>0</v>
      </c>
      <c r="AK212">
        <v>0</v>
      </c>
      <c r="AL212">
        <v>101</v>
      </c>
    </row>
    <row r="213" spans="1:38" x14ac:dyDescent="0.25">
      <c r="A213">
        <v>20608997106</v>
      </c>
      <c r="B213" t="s">
        <v>115</v>
      </c>
      <c r="C213">
        <v>202606</v>
      </c>
      <c r="D213" t="s">
        <v>541</v>
      </c>
      <c r="E213" s="99">
        <v>46200</v>
      </c>
      <c r="G213">
        <v>3</v>
      </c>
      <c r="H213" t="s">
        <v>141</v>
      </c>
      <c r="I213">
        <v>3870</v>
      </c>
      <c r="K213">
        <v>1</v>
      </c>
      <c r="L213">
        <v>23642861</v>
      </c>
      <c r="M213" t="s">
        <v>295</v>
      </c>
      <c r="N213">
        <v>0</v>
      </c>
      <c r="O213">
        <v>42.37</v>
      </c>
      <c r="P213">
        <v>0</v>
      </c>
      <c r="Q213">
        <v>7.63</v>
      </c>
      <c r="R213">
        <v>0</v>
      </c>
      <c r="S213">
        <v>0</v>
      </c>
      <c r="T213">
        <v>0</v>
      </c>
      <c r="U213">
        <v>0</v>
      </c>
      <c r="V213">
        <v>0</v>
      </c>
      <c r="W213">
        <v>0</v>
      </c>
      <c r="X213">
        <v>0</v>
      </c>
      <c r="Y213">
        <v>0</v>
      </c>
      <c r="Z213">
        <v>50</v>
      </c>
      <c r="AA213" t="s">
        <v>116</v>
      </c>
      <c r="AB213">
        <v>1</v>
      </c>
      <c r="AI213">
        <v>1</v>
      </c>
      <c r="AJ213">
        <v>0</v>
      </c>
      <c r="AK213">
        <v>0</v>
      </c>
      <c r="AL213">
        <v>101</v>
      </c>
    </row>
    <row r="214" spans="1:38" x14ac:dyDescent="0.25">
      <c r="A214">
        <v>20608997106</v>
      </c>
      <c r="B214" t="s">
        <v>115</v>
      </c>
      <c r="C214">
        <v>202606</v>
      </c>
      <c r="D214" t="s">
        <v>542</v>
      </c>
      <c r="E214" s="99">
        <v>46200</v>
      </c>
      <c r="G214">
        <v>1</v>
      </c>
      <c r="H214" t="s">
        <v>159</v>
      </c>
      <c r="I214">
        <v>40</v>
      </c>
      <c r="K214">
        <v>6</v>
      </c>
      <c r="L214">
        <v>20603433867</v>
      </c>
      <c r="M214" t="s">
        <v>543</v>
      </c>
      <c r="N214">
        <v>0</v>
      </c>
      <c r="O214">
        <v>355.93</v>
      </c>
      <c r="P214">
        <v>0</v>
      </c>
      <c r="Q214">
        <v>64.069999999999993</v>
      </c>
      <c r="R214">
        <v>0</v>
      </c>
      <c r="S214">
        <v>0</v>
      </c>
      <c r="T214">
        <v>0</v>
      </c>
      <c r="U214">
        <v>0</v>
      </c>
      <c r="V214">
        <v>0</v>
      </c>
      <c r="W214">
        <v>0</v>
      </c>
      <c r="X214">
        <v>0</v>
      </c>
      <c r="Y214">
        <v>0</v>
      </c>
      <c r="Z214">
        <v>420</v>
      </c>
      <c r="AA214" t="s">
        <v>116</v>
      </c>
      <c r="AB214">
        <v>1</v>
      </c>
      <c r="AI214">
        <v>1</v>
      </c>
      <c r="AJ214">
        <v>0</v>
      </c>
      <c r="AK214">
        <v>0</v>
      </c>
      <c r="AL214">
        <v>101</v>
      </c>
    </row>
    <row r="215" spans="1:38" x14ac:dyDescent="0.25">
      <c r="A215">
        <v>20608997106</v>
      </c>
      <c r="B215" t="s">
        <v>115</v>
      </c>
      <c r="C215">
        <v>202606</v>
      </c>
      <c r="D215" t="s">
        <v>544</v>
      </c>
      <c r="E215" s="99">
        <v>46200</v>
      </c>
      <c r="G215">
        <v>3</v>
      </c>
      <c r="H215" t="s">
        <v>141</v>
      </c>
      <c r="I215">
        <v>3875</v>
      </c>
      <c r="K215">
        <v>1</v>
      </c>
      <c r="L215">
        <v>20995587</v>
      </c>
      <c r="M215" t="s">
        <v>545</v>
      </c>
      <c r="N215">
        <v>0</v>
      </c>
      <c r="O215">
        <v>43.22</v>
      </c>
      <c r="P215">
        <v>0</v>
      </c>
      <c r="Q215">
        <v>7.78</v>
      </c>
      <c r="R215">
        <v>0</v>
      </c>
      <c r="S215">
        <v>0</v>
      </c>
      <c r="T215">
        <v>0</v>
      </c>
      <c r="U215">
        <v>0</v>
      </c>
      <c r="V215">
        <v>0</v>
      </c>
      <c r="W215">
        <v>0</v>
      </c>
      <c r="X215">
        <v>0</v>
      </c>
      <c r="Y215">
        <v>0</v>
      </c>
      <c r="Z215">
        <v>51</v>
      </c>
      <c r="AA215" t="s">
        <v>116</v>
      </c>
      <c r="AB215">
        <v>1</v>
      </c>
      <c r="AI215">
        <v>1</v>
      </c>
      <c r="AJ215">
        <v>0</v>
      </c>
      <c r="AK215">
        <v>0</v>
      </c>
      <c r="AL215">
        <v>101</v>
      </c>
    </row>
    <row r="216" spans="1:38" x14ac:dyDescent="0.25">
      <c r="A216">
        <v>20608997106</v>
      </c>
      <c r="B216" t="s">
        <v>115</v>
      </c>
      <c r="C216">
        <v>202606</v>
      </c>
      <c r="D216" t="s">
        <v>546</v>
      </c>
      <c r="E216" s="99">
        <v>46200</v>
      </c>
      <c r="G216">
        <v>3</v>
      </c>
      <c r="H216" t="s">
        <v>141</v>
      </c>
      <c r="I216">
        <v>3876</v>
      </c>
      <c r="K216">
        <v>1</v>
      </c>
      <c r="L216">
        <v>75769994</v>
      </c>
      <c r="M216" t="s">
        <v>547</v>
      </c>
      <c r="N216">
        <v>0</v>
      </c>
      <c r="O216">
        <v>81.36</v>
      </c>
      <c r="P216">
        <v>0</v>
      </c>
      <c r="Q216">
        <v>14.64</v>
      </c>
      <c r="R216">
        <v>0</v>
      </c>
      <c r="S216">
        <v>0</v>
      </c>
      <c r="T216">
        <v>0</v>
      </c>
      <c r="U216">
        <v>0</v>
      </c>
      <c r="V216">
        <v>0</v>
      </c>
      <c r="W216">
        <v>0</v>
      </c>
      <c r="X216">
        <v>0</v>
      </c>
      <c r="Y216">
        <v>0</v>
      </c>
      <c r="Z216">
        <v>96</v>
      </c>
      <c r="AA216" t="s">
        <v>116</v>
      </c>
      <c r="AB216">
        <v>1</v>
      </c>
      <c r="AI216">
        <v>1</v>
      </c>
      <c r="AJ216">
        <v>0</v>
      </c>
      <c r="AK216">
        <v>0</v>
      </c>
      <c r="AL216">
        <v>101</v>
      </c>
    </row>
    <row r="217" spans="1:38" x14ac:dyDescent="0.25">
      <c r="A217">
        <v>20608997106</v>
      </c>
      <c r="B217" t="s">
        <v>115</v>
      </c>
      <c r="C217">
        <v>202606</v>
      </c>
      <c r="D217" t="s">
        <v>548</v>
      </c>
      <c r="E217" s="99">
        <v>46200</v>
      </c>
      <c r="G217">
        <v>3</v>
      </c>
      <c r="H217" t="s">
        <v>141</v>
      </c>
      <c r="I217">
        <v>3877</v>
      </c>
      <c r="K217">
        <v>1</v>
      </c>
      <c r="L217">
        <v>40759200</v>
      </c>
      <c r="M217" t="s">
        <v>549</v>
      </c>
      <c r="N217">
        <v>0</v>
      </c>
      <c r="O217">
        <v>116.95</v>
      </c>
      <c r="P217">
        <v>0</v>
      </c>
      <c r="Q217">
        <v>21.05</v>
      </c>
      <c r="R217">
        <v>0</v>
      </c>
      <c r="S217">
        <v>0</v>
      </c>
      <c r="T217">
        <v>0</v>
      </c>
      <c r="U217">
        <v>0</v>
      </c>
      <c r="V217">
        <v>0</v>
      </c>
      <c r="W217">
        <v>0</v>
      </c>
      <c r="X217">
        <v>0</v>
      </c>
      <c r="Y217">
        <v>0</v>
      </c>
      <c r="Z217">
        <v>138</v>
      </c>
      <c r="AA217" t="s">
        <v>116</v>
      </c>
      <c r="AB217">
        <v>1</v>
      </c>
      <c r="AI217">
        <v>1</v>
      </c>
      <c r="AJ217">
        <v>0</v>
      </c>
      <c r="AK217">
        <v>0</v>
      </c>
      <c r="AL217">
        <v>101</v>
      </c>
    </row>
    <row r="218" spans="1:38" x14ac:dyDescent="0.25">
      <c r="A218">
        <v>20608997106</v>
      </c>
      <c r="B218" t="s">
        <v>115</v>
      </c>
      <c r="C218">
        <v>202606</v>
      </c>
      <c r="D218" t="s">
        <v>550</v>
      </c>
      <c r="E218" s="99">
        <v>46200</v>
      </c>
      <c r="G218">
        <v>3</v>
      </c>
      <c r="H218" t="s">
        <v>141</v>
      </c>
      <c r="I218">
        <v>3878</v>
      </c>
      <c r="K218">
        <v>1</v>
      </c>
      <c r="L218">
        <v>23217674</v>
      </c>
      <c r="M218" t="s">
        <v>551</v>
      </c>
      <c r="N218">
        <v>0</v>
      </c>
      <c r="O218">
        <v>42.37</v>
      </c>
      <c r="P218">
        <v>0</v>
      </c>
      <c r="Q218">
        <v>7.63</v>
      </c>
      <c r="R218">
        <v>0</v>
      </c>
      <c r="S218">
        <v>0</v>
      </c>
      <c r="T218">
        <v>0</v>
      </c>
      <c r="U218">
        <v>0</v>
      </c>
      <c r="V218">
        <v>0</v>
      </c>
      <c r="W218">
        <v>0</v>
      </c>
      <c r="X218">
        <v>0</v>
      </c>
      <c r="Y218">
        <v>0</v>
      </c>
      <c r="Z218">
        <v>50</v>
      </c>
      <c r="AA218" t="s">
        <v>116</v>
      </c>
      <c r="AB218">
        <v>1</v>
      </c>
      <c r="AI218">
        <v>1</v>
      </c>
      <c r="AJ218">
        <v>0</v>
      </c>
      <c r="AK218">
        <v>0</v>
      </c>
      <c r="AL218">
        <v>101</v>
      </c>
    </row>
    <row r="219" spans="1:38" x14ac:dyDescent="0.25">
      <c r="A219">
        <v>20608997106</v>
      </c>
      <c r="B219" t="s">
        <v>115</v>
      </c>
      <c r="C219">
        <v>202606</v>
      </c>
      <c r="D219" t="s">
        <v>552</v>
      </c>
      <c r="E219" s="99">
        <v>46200</v>
      </c>
      <c r="G219">
        <v>3</v>
      </c>
      <c r="H219" t="s">
        <v>141</v>
      </c>
      <c r="I219">
        <v>3879</v>
      </c>
      <c r="K219">
        <v>1</v>
      </c>
      <c r="L219">
        <v>43225930</v>
      </c>
      <c r="M219" t="s">
        <v>553</v>
      </c>
      <c r="N219">
        <v>0</v>
      </c>
      <c r="O219">
        <v>84.75</v>
      </c>
      <c r="P219">
        <v>0</v>
      </c>
      <c r="Q219">
        <v>15.25</v>
      </c>
      <c r="R219">
        <v>0</v>
      </c>
      <c r="S219">
        <v>0</v>
      </c>
      <c r="T219">
        <v>0</v>
      </c>
      <c r="U219">
        <v>0</v>
      </c>
      <c r="V219">
        <v>0</v>
      </c>
      <c r="W219">
        <v>0</v>
      </c>
      <c r="X219">
        <v>0</v>
      </c>
      <c r="Y219">
        <v>0</v>
      </c>
      <c r="Z219">
        <v>100</v>
      </c>
      <c r="AA219" t="s">
        <v>116</v>
      </c>
      <c r="AB219">
        <v>1</v>
      </c>
      <c r="AI219">
        <v>1</v>
      </c>
      <c r="AJ219">
        <v>0</v>
      </c>
      <c r="AK219">
        <v>0</v>
      </c>
      <c r="AL219">
        <v>101</v>
      </c>
    </row>
    <row r="220" spans="1:38" x14ac:dyDescent="0.25">
      <c r="A220">
        <v>20608997106</v>
      </c>
      <c r="B220" t="s">
        <v>115</v>
      </c>
      <c r="C220">
        <v>202606</v>
      </c>
      <c r="D220" t="s">
        <v>554</v>
      </c>
      <c r="E220" s="99">
        <v>46200</v>
      </c>
      <c r="G220">
        <v>3</v>
      </c>
      <c r="H220" t="s">
        <v>141</v>
      </c>
      <c r="I220">
        <v>3880</v>
      </c>
      <c r="K220">
        <v>1</v>
      </c>
      <c r="L220">
        <v>71546205</v>
      </c>
      <c r="M220" t="s">
        <v>555</v>
      </c>
      <c r="N220">
        <v>0</v>
      </c>
      <c r="O220">
        <v>186.44</v>
      </c>
      <c r="P220">
        <v>0</v>
      </c>
      <c r="Q220">
        <v>33.56</v>
      </c>
      <c r="R220">
        <v>0</v>
      </c>
      <c r="S220">
        <v>0</v>
      </c>
      <c r="T220">
        <v>0</v>
      </c>
      <c r="U220">
        <v>0</v>
      </c>
      <c r="V220">
        <v>0</v>
      </c>
      <c r="W220">
        <v>0</v>
      </c>
      <c r="X220">
        <v>0</v>
      </c>
      <c r="Y220">
        <v>0</v>
      </c>
      <c r="Z220">
        <v>220</v>
      </c>
      <c r="AA220" t="s">
        <v>116</v>
      </c>
      <c r="AB220">
        <v>1</v>
      </c>
      <c r="AI220">
        <v>1</v>
      </c>
      <c r="AJ220">
        <v>0</v>
      </c>
      <c r="AK220">
        <v>0</v>
      </c>
      <c r="AL220">
        <v>101</v>
      </c>
    </row>
    <row r="221" spans="1:38" x14ac:dyDescent="0.25">
      <c r="A221">
        <v>20608997106</v>
      </c>
      <c r="B221" t="s">
        <v>115</v>
      </c>
      <c r="C221">
        <v>202606</v>
      </c>
      <c r="D221" t="s">
        <v>556</v>
      </c>
      <c r="E221" s="99">
        <v>46200</v>
      </c>
      <c r="G221">
        <v>3</v>
      </c>
      <c r="H221" t="s">
        <v>141</v>
      </c>
      <c r="I221">
        <v>3881</v>
      </c>
      <c r="K221">
        <v>1</v>
      </c>
      <c r="L221">
        <v>23257235</v>
      </c>
      <c r="M221" t="s">
        <v>557</v>
      </c>
      <c r="N221">
        <v>0</v>
      </c>
      <c r="O221">
        <v>42.37</v>
      </c>
      <c r="P221">
        <v>0</v>
      </c>
      <c r="Q221">
        <v>7.63</v>
      </c>
      <c r="R221">
        <v>0</v>
      </c>
      <c r="S221">
        <v>0</v>
      </c>
      <c r="T221">
        <v>0</v>
      </c>
      <c r="U221">
        <v>0</v>
      </c>
      <c r="V221">
        <v>0</v>
      </c>
      <c r="W221">
        <v>0</v>
      </c>
      <c r="X221">
        <v>0</v>
      </c>
      <c r="Y221">
        <v>0</v>
      </c>
      <c r="Z221">
        <v>50</v>
      </c>
      <c r="AA221" t="s">
        <v>116</v>
      </c>
      <c r="AB221">
        <v>1</v>
      </c>
      <c r="AI221">
        <v>1</v>
      </c>
      <c r="AJ221">
        <v>0</v>
      </c>
      <c r="AK221">
        <v>0</v>
      </c>
      <c r="AL221">
        <v>101</v>
      </c>
    </row>
    <row r="222" spans="1:38" x14ac:dyDescent="0.25">
      <c r="A222">
        <v>20608997106</v>
      </c>
      <c r="B222" t="s">
        <v>115</v>
      </c>
      <c r="C222">
        <v>202606</v>
      </c>
      <c r="D222" t="s">
        <v>558</v>
      </c>
      <c r="E222" s="99">
        <v>46200</v>
      </c>
      <c r="G222">
        <v>3</v>
      </c>
      <c r="H222" t="s">
        <v>141</v>
      </c>
      <c r="I222">
        <v>3882</v>
      </c>
      <c r="K222">
        <v>1</v>
      </c>
      <c r="L222">
        <v>23255298</v>
      </c>
      <c r="M222" t="s">
        <v>559</v>
      </c>
      <c r="N222">
        <v>0</v>
      </c>
      <c r="O222">
        <v>81.36</v>
      </c>
      <c r="P222">
        <v>0</v>
      </c>
      <c r="Q222">
        <v>14.64</v>
      </c>
      <c r="R222">
        <v>0</v>
      </c>
      <c r="S222">
        <v>0</v>
      </c>
      <c r="T222">
        <v>0</v>
      </c>
      <c r="U222">
        <v>0</v>
      </c>
      <c r="V222">
        <v>0</v>
      </c>
      <c r="W222">
        <v>0</v>
      </c>
      <c r="X222">
        <v>0</v>
      </c>
      <c r="Y222">
        <v>0</v>
      </c>
      <c r="Z222">
        <v>96</v>
      </c>
      <c r="AA222" t="s">
        <v>116</v>
      </c>
      <c r="AB222">
        <v>1</v>
      </c>
      <c r="AI222">
        <v>1</v>
      </c>
      <c r="AJ222">
        <v>0</v>
      </c>
      <c r="AK222">
        <v>0</v>
      </c>
      <c r="AL222">
        <v>101</v>
      </c>
    </row>
    <row r="223" spans="1:38" x14ac:dyDescent="0.25">
      <c r="A223">
        <v>20608997106</v>
      </c>
      <c r="B223" t="s">
        <v>115</v>
      </c>
      <c r="C223">
        <v>202606</v>
      </c>
      <c r="D223" t="s">
        <v>560</v>
      </c>
      <c r="E223" s="99">
        <v>46200</v>
      </c>
      <c r="G223">
        <v>3</v>
      </c>
      <c r="H223" t="s">
        <v>141</v>
      </c>
      <c r="I223">
        <v>3883</v>
      </c>
      <c r="K223">
        <v>1</v>
      </c>
      <c r="L223">
        <v>44206524</v>
      </c>
      <c r="M223" t="s">
        <v>561</v>
      </c>
      <c r="N223">
        <v>0</v>
      </c>
      <c r="O223">
        <v>119.49</v>
      </c>
      <c r="P223">
        <v>0</v>
      </c>
      <c r="Q223">
        <v>21.51</v>
      </c>
      <c r="R223">
        <v>0</v>
      </c>
      <c r="S223">
        <v>0</v>
      </c>
      <c r="T223">
        <v>0</v>
      </c>
      <c r="U223">
        <v>0</v>
      </c>
      <c r="V223">
        <v>0</v>
      </c>
      <c r="W223">
        <v>0</v>
      </c>
      <c r="X223">
        <v>0</v>
      </c>
      <c r="Y223">
        <v>0</v>
      </c>
      <c r="Z223">
        <v>141</v>
      </c>
      <c r="AA223" t="s">
        <v>116</v>
      </c>
      <c r="AB223">
        <v>1</v>
      </c>
      <c r="AI223">
        <v>1</v>
      </c>
      <c r="AJ223">
        <v>0</v>
      </c>
      <c r="AK223">
        <v>0</v>
      </c>
      <c r="AL223">
        <v>101</v>
      </c>
    </row>
    <row r="224" spans="1:38" x14ac:dyDescent="0.25">
      <c r="A224">
        <v>20608997106</v>
      </c>
      <c r="B224" t="s">
        <v>115</v>
      </c>
      <c r="C224">
        <v>202606</v>
      </c>
      <c r="D224" t="s">
        <v>562</v>
      </c>
      <c r="E224" s="99">
        <v>46200</v>
      </c>
      <c r="G224">
        <v>3</v>
      </c>
      <c r="H224" t="s">
        <v>141</v>
      </c>
      <c r="I224">
        <v>3884</v>
      </c>
      <c r="K224">
        <v>1</v>
      </c>
      <c r="L224">
        <v>44206524</v>
      </c>
      <c r="M224" t="s">
        <v>561</v>
      </c>
      <c r="N224">
        <v>0</v>
      </c>
      <c r="O224">
        <v>42.37</v>
      </c>
      <c r="P224">
        <v>0</v>
      </c>
      <c r="Q224">
        <v>7.63</v>
      </c>
      <c r="R224">
        <v>0</v>
      </c>
      <c r="S224">
        <v>0</v>
      </c>
      <c r="T224">
        <v>0</v>
      </c>
      <c r="U224">
        <v>0</v>
      </c>
      <c r="V224">
        <v>0</v>
      </c>
      <c r="W224">
        <v>0</v>
      </c>
      <c r="X224">
        <v>0</v>
      </c>
      <c r="Y224">
        <v>0</v>
      </c>
      <c r="Z224">
        <v>50</v>
      </c>
      <c r="AA224" t="s">
        <v>116</v>
      </c>
      <c r="AB224">
        <v>1</v>
      </c>
      <c r="AI224">
        <v>1</v>
      </c>
      <c r="AJ224">
        <v>0</v>
      </c>
      <c r="AK224">
        <v>0</v>
      </c>
      <c r="AL224">
        <v>101</v>
      </c>
    </row>
    <row r="225" spans="1:38" x14ac:dyDescent="0.25">
      <c r="A225">
        <v>20608997106</v>
      </c>
      <c r="B225" t="s">
        <v>115</v>
      </c>
      <c r="C225">
        <v>202606</v>
      </c>
      <c r="D225" t="s">
        <v>563</v>
      </c>
      <c r="E225" s="99">
        <v>46200</v>
      </c>
      <c r="G225">
        <v>3</v>
      </c>
      <c r="H225" t="s">
        <v>141</v>
      </c>
      <c r="I225">
        <v>3885</v>
      </c>
      <c r="K225">
        <v>1</v>
      </c>
      <c r="L225">
        <v>23217741</v>
      </c>
      <c r="M225" t="s">
        <v>564</v>
      </c>
      <c r="N225">
        <v>0</v>
      </c>
      <c r="O225">
        <v>155.93</v>
      </c>
      <c r="P225">
        <v>0</v>
      </c>
      <c r="Q225">
        <v>28.07</v>
      </c>
      <c r="R225">
        <v>0</v>
      </c>
      <c r="S225">
        <v>0</v>
      </c>
      <c r="T225">
        <v>0</v>
      </c>
      <c r="U225">
        <v>0</v>
      </c>
      <c r="V225">
        <v>0</v>
      </c>
      <c r="W225">
        <v>0</v>
      </c>
      <c r="X225">
        <v>0</v>
      </c>
      <c r="Y225">
        <v>0</v>
      </c>
      <c r="Z225">
        <v>184</v>
      </c>
      <c r="AA225" t="s">
        <v>116</v>
      </c>
      <c r="AB225">
        <v>1</v>
      </c>
      <c r="AI225">
        <v>1</v>
      </c>
      <c r="AJ225">
        <v>0</v>
      </c>
      <c r="AK225">
        <v>0</v>
      </c>
      <c r="AL225">
        <v>101</v>
      </c>
    </row>
    <row r="226" spans="1:38" x14ac:dyDescent="0.25">
      <c r="A226">
        <v>20608997106</v>
      </c>
      <c r="B226" t="s">
        <v>115</v>
      </c>
      <c r="C226">
        <v>202606</v>
      </c>
      <c r="D226" t="s">
        <v>565</v>
      </c>
      <c r="E226" s="99">
        <v>46200</v>
      </c>
      <c r="G226">
        <v>3</v>
      </c>
      <c r="H226" t="s">
        <v>141</v>
      </c>
      <c r="I226">
        <v>3886</v>
      </c>
      <c r="K226">
        <v>1</v>
      </c>
      <c r="L226">
        <v>23257027</v>
      </c>
      <c r="M226" t="s">
        <v>566</v>
      </c>
      <c r="N226">
        <v>0</v>
      </c>
      <c r="O226">
        <v>79.66</v>
      </c>
      <c r="P226">
        <v>0</v>
      </c>
      <c r="Q226">
        <v>14.34</v>
      </c>
      <c r="R226">
        <v>0</v>
      </c>
      <c r="S226">
        <v>0</v>
      </c>
      <c r="T226">
        <v>0</v>
      </c>
      <c r="U226">
        <v>0</v>
      </c>
      <c r="V226">
        <v>0</v>
      </c>
      <c r="W226">
        <v>0</v>
      </c>
      <c r="X226">
        <v>0</v>
      </c>
      <c r="Y226">
        <v>0</v>
      </c>
      <c r="Z226">
        <v>94</v>
      </c>
      <c r="AA226" t="s">
        <v>116</v>
      </c>
      <c r="AB226">
        <v>1</v>
      </c>
      <c r="AI226">
        <v>1</v>
      </c>
      <c r="AJ226">
        <v>0</v>
      </c>
      <c r="AK226">
        <v>0</v>
      </c>
      <c r="AL226">
        <v>101</v>
      </c>
    </row>
    <row r="227" spans="1:38" x14ac:dyDescent="0.25">
      <c r="A227">
        <v>20608997106</v>
      </c>
      <c r="B227" t="s">
        <v>115</v>
      </c>
      <c r="C227">
        <v>202606</v>
      </c>
      <c r="D227" t="s">
        <v>567</v>
      </c>
      <c r="E227" s="99">
        <v>46201</v>
      </c>
      <c r="G227">
        <v>3</v>
      </c>
      <c r="H227" t="s">
        <v>141</v>
      </c>
      <c r="I227">
        <v>3838</v>
      </c>
      <c r="K227">
        <v>1</v>
      </c>
      <c r="L227">
        <v>19950833</v>
      </c>
      <c r="M227" t="s">
        <v>568</v>
      </c>
      <c r="N227">
        <v>0</v>
      </c>
      <c r="O227">
        <v>41.53</v>
      </c>
      <c r="P227">
        <v>0</v>
      </c>
      <c r="Q227">
        <v>7.47</v>
      </c>
      <c r="R227">
        <v>0</v>
      </c>
      <c r="S227">
        <v>0</v>
      </c>
      <c r="T227">
        <v>0</v>
      </c>
      <c r="U227">
        <v>0</v>
      </c>
      <c r="V227">
        <v>0</v>
      </c>
      <c r="W227">
        <v>0</v>
      </c>
      <c r="X227">
        <v>0</v>
      </c>
      <c r="Y227">
        <v>0</v>
      </c>
      <c r="Z227">
        <v>49</v>
      </c>
      <c r="AA227" t="s">
        <v>116</v>
      </c>
      <c r="AB227">
        <v>1</v>
      </c>
      <c r="AI227">
        <v>1</v>
      </c>
      <c r="AJ227">
        <v>0</v>
      </c>
      <c r="AK227">
        <v>0</v>
      </c>
      <c r="AL227">
        <v>101</v>
      </c>
    </row>
    <row r="228" spans="1:38" x14ac:dyDescent="0.25">
      <c r="A228">
        <v>20608997106</v>
      </c>
      <c r="B228" t="s">
        <v>115</v>
      </c>
      <c r="C228">
        <v>202606</v>
      </c>
      <c r="D228" t="s">
        <v>569</v>
      </c>
      <c r="E228" s="99">
        <v>46201</v>
      </c>
      <c r="G228">
        <v>1</v>
      </c>
      <c r="H228" t="s">
        <v>159</v>
      </c>
      <c r="I228">
        <v>37</v>
      </c>
      <c r="K228">
        <v>6</v>
      </c>
      <c r="L228">
        <v>10200169170</v>
      </c>
      <c r="M228" t="s">
        <v>570</v>
      </c>
      <c r="N228">
        <v>0</v>
      </c>
      <c r="O228">
        <v>1067.8</v>
      </c>
      <c r="P228">
        <v>0</v>
      </c>
      <c r="Q228">
        <v>192.2</v>
      </c>
      <c r="R228">
        <v>0</v>
      </c>
      <c r="S228">
        <v>0</v>
      </c>
      <c r="T228">
        <v>0</v>
      </c>
      <c r="U228">
        <v>0</v>
      </c>
      <c r="V228">
        <v>0</v>
      </c>
      <c r="W228">
        <v>0</v>
      </c>
      <c r="X228">
        <v>0</v>
      </c>
      <c r="Y228">
        <v>0</v>
      </c>
      <c r="Z228">
        <v>1260</v>
      </c>
      <c r="AA228" t="s">
        <v>116</v>
      </c>
      <c r="AB228">
        <v>1</v>
      </c>
      <c r="AI228">
        <v>1</v>
      </c>
      <c r="AJ228">
        <v>0</v>
      </c>
      <c r="AK228">
        <v>0</v>
      </c>
      <c r="AL228">
        <v>101</v>
      </c>
    </row>
    <row r="229" spans="1:38" x14ac:dyDescent="0.25">
      <c r="A229">
        <v>20608997106</v>
      </c>
      <c r="B229" t="s">
        <v>115</v>
      </c>
      <c r="C229">
        <v>202606</v>
      </c>
      <c r="D229" t="s">
        <v>571</v>
      </c>
      <c r="E229" s="99">
        <v>46201</v>
      </c>
      <c r="G229">
        <v>1</v>
      </c>
      <c r="H229" t="s">
        <v>159</v>
      </c>
      <c r="I229">
        <v>38</v>
      </c>
      <c r="K229">
        <v>6</v>
      </c>
      <c r="L229">
        <v>10200169170</v>
      </c>
      <c r="M229" t="s">
        <v>570</v>
      </c>
      <c r="N229">
        <v>0</v>
      </c>
      <c r="O229">
        <v>1067.8</v>
      </c>
      <c r="P229">
        <v>0</v>
      </c>
      <c r="Q229">
        <v>192.2</v>
      </c>
      <c r="R229">
        <v>0</v>
      </c>
      <c r="S229">
        <v>0</v>
      </c>
      <c r="T229">
        <v>0</v>
      </c>
      <c r="U229">
        <v>0</v>
      </c>
      <c r="V229">
        <v>0</v>
      </c>
      <c r="W229">
        <v>0</v>
      </c>
      <c r="X229">
        <v>0</v>
      </c>
      <c r="Y229">
        <v>0</v>
      </c>
      <c r="Z229">
        <v>1260</v>
      </c>
      <c r="AA229" t="s">
        <v>116</v>
      </c>
      <c r="AB229">
        <v>1</v>
      </c>
      <c r="AI229">
        <v>1</v>
      </c>
      <c r="AJ229">
        <v>0</v>
      </c>
      <c r="AK229">
        <v>0</v>
      </c>
      <c r="AL229">
        <v>101</v>
      </c>
    </row>
    <row r="230" spans="1:38" x14ac:dyDescent="0.25">
      <c r="A230">
        <v>20608997106</v>
      </c>
      <c r="B230" t="s">
        <v>115</v>
      </c>
      <c r="C230">
        <v>202606</v>
      </c>
      <c r="D230" t="s">
        <v>572</v>
      </c>
      <c r="E230" s="99">
        <v>46201</v>
      </c>
      <c r="G230">
        <v>3</v>
      </c>
      <c r="H230" t="s">
        <v>141</v>
      </c>
      <c r="I230">
        <v>3887</v>
      </c>
      <c r="K230">
        <v>1</v>
      </c>
      <c r="L230">
        <v>42453929</v>
      </c>
      <c r="M230" t="s">
        <v>573</v>
      </c>
      <c r="N230">
        <v>0</v>
      </c>
      <c r="O230">
        <v>42.37</v>
      </c>
      <c r="P230">
        <v>0</v>
      </c>
      <c r="Q230">
        <v>7.63</v>
      </c>
      <c r="R230">
        <v>0</v>
      </c>
      <c r="S230">
        <v>0</v>
      </c>
      <c r="T230">
        <v>0</v>
      </c>
      <c r="U230">
        <v>0</v>
      </c>
      <c r="V230">
        <v>0</v>
      </c>
      <c r="W230">
        <v>0</v>
      </c>
      <c r="X230">
        <v>0</v>
      </c>
      <c r="Y230">
        <v>0</v>
      </c>
      <c r="Z230">
        <v>50</v>
      </c>
      <c r="AA230" t="s">
        <v>116</v>
      </c>
      <c r="AB230">
        <v>1</v>
      </c>
      <c r="AI230">
        <v>1</v>
      </c>
      <c r="AJ230">
        <v>0</v>
      </c>
      <c r="AK230">
        <v>0</v>
      </c>
      <c r="AL230">
        <v>101</v>
      </c>
    </row>
    <row r="231" spans="1:38" x14ac:dyDescent="0.25">
      <c r="A231">
        <v>20608997106</v>
      </c>
      <c r="B231" t="s">
        <v>115</v>
      </c>
      <c r="C231">
        <v>202606</v>
      </c>
      <c r="D231" t="s">
        <v>574</v>
      </c>
      <c r="E231" s="99">
        <v>46201</v>
      </c>
      <c r="G231">
        <v>3</v>
      </c>
      <c r="H231" t="s">
        <v>141</v>
      </c>
      <c r="I231">
        <v>3888</v>
      </c>
      <c r="K231">
        <v>1</v>
      </c>
      <c r="L231">
        <v>23217741</v>
      </c>
      <c r="M231" t="s">
        <v>564</v>
      </c>
      <c r="N231">
        <v>0</v>
      </c>
      <c r="O231">
        <v>81.36</v>
      </c>
      <c r="P231">
        <v>0</v>
      </c>
      <c r="Q231">
        <v>14.64</v>
      </c>
      <c r="R231">
        <v>0</v>
      </c>
      <c r="S231">
        <v>0</v>
      </c>
      <c r="T231">
        <v>0</v>
      </c>
      <c r="U231">
        <v>0</v>
      </c>
      <c r="V231">
        <v>0</v>
      </c>
      <c r="W231">
        <v>0</v>
      </c>
      <c r="X231">
        <v>0</v>
      </c>
      <c r="Y231">
        <v>0</v>
      </c>
      <c r="Z231">
        <v>96</v>
      </c>
      <c r="AA231" t="s">
        <v>116</v>
      </c>
      <c r="AB231">
        <v>1</v>
      </c>
      <c r="AI231">
        <v>1</v>
      </c>
      <c r="AJ231">
        <v>0</v>
      </c>
      <c r="AK231">
        <v>0</v>
      </c>
      <c r="AL231">
        <v>101</v>
      </c>
    </row>
    <row r="232" spans="1:38" x14ac:dyDescent="0.25">
      <c r="A232">
        <v>20608997106</v>
      </c>
      <c r="B232" t="s">
        <v>115</v>
      </c>
      <c r="C232">
        <v>202606</v>
      </c>
      <c r="D232" t="s">
        <v>575</v>
      </c>
      <c r="E232" s="99">
        <v>46201</v>
      </c>
      <c r="G232">
        <v>3</v>
      </c>
      <c r="H232" t="s">
        <v>141</v>
      </c>
      <c r="I232">
        <v>3889</v>
      </c>
      <c r="K232">
        <v>1</v>
      </c>
      <c r="L232">
        <v>23237793</v>
      </c>
      <c r="M232" t="s">
        <v>576</v>
      </c>
      <c r="N232">
        <v>0</v>
      </c>
      <c r="O232">
        <v>116.95</v>
      </c>
      <c r="P232">
        <v>0</v>
      </c>
      <c r="Q232">
        <v>21.05</v>
      </c>
      <c r="R232">
        <v>0</v>
      </c>
      <c r="S232">
        <v>0</v>
      </c>
      <c r="T232">
        <v>0</v>
      </c>
      <c r="U232">
        <v>0</v>
      </c>
      <c r="V232">
        <v>0</v>
      </c>
      <c r="W232">
        <v>0</v>
      </c>
      <c r="X232">
        <v>0</v>
      </c>
      <c r="Y232">
        <v>0</v>
      </c>
      <c r="Z232">
        <v>138</v>
      </c>
      <c r="AA232" t="s">
        <v>116</v>
      </c>
      <c r="AB232">
        <v>1</v>
      </c>
      <c r="AI232">
        <v>1</v>
      </c>
      <c r="AJ232">
        <v>0</v>
      </c>
      <c r="AK232">
        <v>0</v>
      </c>
      <c r="AL232">
        <v>101</v>
      </c>
    </row>
    <row r="233" spans="1:38" x14ac:dyDescent="0.25">
      <c r="A233">
        <v>20608997106</v>
      </c>
      <c r="B233" t="s">
        <v>115</v>
      </c>
      <c r="C233">
        <v>202606</v>
      </c>
      <c r="D233" t="s">
        <v>577</v>
      </c>
      <c r="E233" s="99">
        <v>46201</v>
      </c>
      <c r="G233">
        <v>3</v>
      </c>
      <c r="H233" t="s">
        <v>141</v>
      </c>
      <c r="I233">
        <v>3890</v>
      </c>
      <c r="K233">
        <v>1</v>
      </c>
      <c r="L233">
        <v>45370597</v>
      </c>
      <c r="M233" t="s">
        <v>578</v>
      </c>
      <c r="N233">
        <v>0</v>
      </c>
      <c r="O233">
        <v>42.37</v>
      </c>
      <c r="P233">
        <v>0</v>
      </c>
      <c r="Q233">
        <v>7.63</v>
      </c>
      <c r="R233">
        <v>0</v>
      </c>
      <c r="S233">
        <v>0</v>
      </c>
      <c r="T233">
        <v>0</v>
      </c>
      <c r="U233">
        <v>0</v>
      </c>
      <c r="V233">
        <v>0</v>
      </c>
      <c r="W233">
        <v>0</v>
      </c>
      <c r="X233">
        <v>0</v>
      </c>
      <c r="Y233">
        <v>0</v>
      </c>
      <c r="Z233">
        <v>50</v>
      </c>
      <c r="AA233" t="s">
        <v>116</v>
      </c>
      <c r="AB233">
        <v>1</v>
      </c>
      <c r="AI233">
        <v>1</v>
      </c>
      <c r="AJ233">
        <v>0</v>
      </c>
      <c r="AK233">
        <v>0</v>
      </c>
      <c r="AL233">
        <v>101</v>
      </c>
    </row>
    <row r="234" spans="1:38" x14ac:dyDescent="0.25">
      <c r="A234">
        <v>20608997106</v>
      </c>
      <c r="B234" t="s">
        <v>115</v>
      </c>
      <c r="C234">
        <v>202606</v>
      </c>
      <c r="D234" t="s">
        <v>579</v>
      </c>
      <c r="E234" s="99">
        <v>46201</v>
      </c>
      <c r="G234">
        <v>3</v>
      </c>
      <c r="H234" t="s">
        <v>141</v>
      </c>
      <c r="I234">
        <v>3891</v>
      </c>
      <c r="K234">
        <v>1</v>
      </c>
      <c r="L234">
        <v>23238360</v>
      </c>
      <c r="M234" t="s">
        <v>580</v>
      </c>
      <c r="N234">
        <v>0</v>
      </c>
      <c r="O234">
        <v>81.36</v>
      </c>
      <c r="P234">
        <v>0</v>
      </c>
      <c r="Q234">
        <v>14.64</v>
      </c>
      <c r="R234">
        <v>0</v>
      </c>
      <c r="S234">
        <v>0</v>
      </c>
      <c r="T234">
        <v>0</v>
      </c>
      <c r="U234">
        <v>0</v>
      </c>
      <c r="V234">
        <v>0</v>
      </c>
      <c r="W234">
        <v>0</v>
      </c>
      <c r="X234">
        <v>0</v>
      </c>
      <c r="Y234">
        <v>0</v>
      </c>
      <c r="Z234">
        <v>96</v>
      </c>
      <c r="AA234" t="s">
        <v>116</v>
      </c>
      <c r="AB234">
        <v>1</v>
      </c>
      <c r="AI234">
        <v>1</v>
      </c>
      <c r="AJ234">
        <v>0</v>
      </c>
      <c r="AK234">
        <v>0</v>
      </c>
      <c r="AL234">
        <v>101</v>
      </c>
    </row>
    <row r="235" spans="1:38" x14ac:dyDescent="0.25">
      <c r="A235">
        <v>20608997106</v>
      </c>
      <c r="B235" t="s">
        <v>115</v>
      </c>
      <c r="C235">
        <v>202606</v>
      </c>
      <c r="D235" t="s">
        <v>581</v>
      </c>
      <c r="E235" s="99">
        <v>46201</v>
      </c>
      <c r="G235">
        <v>3</v>
      </c>
      <c r="H235" t="s">
        <v>141</v>
      </c>
      <c r="I235">
        <v>3892</v>
      </c>
      <c r="K235">
        <v>1</v>
      </c>
      <c r="L235">
        <v>42713349</v>
      </c>
      <c r="M235" t="s">
        <v>582</v>
      </c>
      <c r="N235">
        <v>0</v>
      </c>
      <c r="O235">
        <v>42.37</v>
      </c>
      <c r="P235">
        <v>0</v>
      </c>
      <c r="Q235">
        <v>7.63</v>
      </c>
      <c r="R235">
        <v>0</v>
      </c>
      <c r="S235">
        <v>0</v>
      </c>
      <c r="T235">
        <v>0</v>
      </c>
      <c r="U235">
        <v>0</v>
      </c>
      <c r="V235">
        <v>0</v>
      </c>
      <c r="W235">
        <v>0</v>
      </c>
      <c r="X235">
        <v>0</v>
      </c>
      <c r="Y235">
        <v>0</v>
      </c>
      <c r="Z235">
        <v>50</v>
      </c>
      <c r="AA235" t="s">
        <v>116</v>
      </c>
      <c r="AB235">
        <v>1</v>
      </c>
      <c r="AI235">
        <v>1</v>
      </c>
      <c r="AJ235">
        <v>0</v>
      </c>
      <c r="AK235">
        <v>0</v>
      </c>
      <c r="AL235">
        <v>101</v>
      </c>
    </row>
    <row r="236" spans="1:38" x14ac:dyDescent="0.25">
      <c r="A236">
        <v>20608997106</v>
      </c>
      <c r="B236" t="s">
        <v>115</v>
      </c>
      <c r="C236">
        <v>202606</v>
      </c>
      <c r="D236" t="s">
        <v>583</v>
      </c>
      <c r="E236" s="99">
        <v>46201</v>
      </c>
      <c r="G236">
        <v>3</v>
      </c>
      <c r="H236" t="s">
        <v>141</v>
      </c>
      <c r="I236">
        <v>3893</v>
      </c>
      <c r="K236">
        <v>1</v>
      </c>
      <c r="L236">
        <v>71526343</v>
      </c>
      <c r="M236" t="s">
        <v>584</v>
      </c>
      <c r="N236">
        <v>0</v>
      </c>
      <c r="O236">
        <v>81.36</v>
      </c>
      <c r="P236">
        <v>0</v>
      </c>
      <c r="Q236">
        <v>14.64</v>
      </c>
      <c r="R236">
        <v>0</v>
      </c>
      <c r="S236">
        <v>0</v>
      </c>
      <c r="T236">
        <v>0</v>
      </c>
      <c r="U236">
        <v>0</v>
      </c>
      <c r="V236">
        <v>0</v>
      </c>
      <c r="W236">
        <v>0</v>
      </c>
      <c r="X236">
        <v>0</v>
      </c>
      <c r="Y236">
        <v>0</v>
      </c>
      <c r="Z236">
        <v>96</v>
      </c>
      <c r="AA236" t="s">
        <v>116</v>
      </c>
      <c r="AB236">
        <v>1</v>
      </c>
      <c r="AI236">
        <v>1</v>
      </c>
      <c r="AJ236">
        <v>0</v>
      </c>
      <c r="AK236">
        <v>0</v>
      </c>
      <c r="AL236">
        <v>101</v>
      </c>
    </row>
    <row r="237" spans="1:38" x14ac:dyDescent="0.25">
      <c r="A237">
        <v>20608997106</v>
      </c>
      <c r="B237" t="s">
        <v>115</v>
      </c>
      <c r="C237">
        <v>202606</v>
      </c>
      <c r="D237" t="s">
        <v>585</v>
      </c>
      <c r="E237" s="99">
        <v>46201</v>
      </c>
      <c r="G237">
        <v>3</v>
      </c>
      <c r="H237" t="s">
        <v>141</v>
      </c>
      <c r="I237">
        <v>3894</v>
      </c>
      <c r="K237">
        <v>1</v>
      </c>
      <c r="L237">
        <v>19889839</v>
      </c>
      <c r="M237" t="s">
        <v>586</v>
      </c>
      <c r="N237">
        <v>0</v>
      </c>
      <c r="O237">
        <v>223.73</v>
      </c>
      <c r="P237">
        <v>0</v>
      </c>
      <c r="Q237">
        <v>40.270000000000003</v>
      </c>
      <c r="R237">
        <v>0</v>
      </c>
      <c r="S237">
        <v>0</v>
      </c>
      <c r="T237">
        <v>0</v>
      </c>
      <c r="U237">
        <v>0</v>
      </c>
      <c r="V237">
        <v>0</v>
      </c>
      <c r="W237">
        <v>0</v>
      </c>
      <c r="X237">
        <v>0</v>
      </c>
      <c r="Y237">
        <v>0</v>
      </c>
      <c r="Z237">
        <v>264</v>
      </c>
      <c r="AA237" t="s">
        <v>116</v>
      </c>
      <c r="AB237">
        <v>1</v>
      </c>
      <c r="AI237">
        <v>1</v>
      </c>
      <c r="AJ237">
        <v>0</v>
      </c>
      <c r="AK237">
        <v>0</v>
      </c>
      <c r="AL237">
        <v>101</v>
      </c>
    </row>
    <row r="238" spans="1:38" x14ac:dyDescent="0.25">
      <c r="A238">
        <v>20608997106</v>
      </c>
      <c r="B238" t="s">
        <v>115</v>
      </c>
      <c r="C238">
        <v>202606</v>
      </c>
      <c r="D238" t="s">
        <v>587</v>
      </c>
      <c r="E238" s="99">
        <v>46201</v>
      </c>
      <c r="G238">
        <v>3</v>
      </c>
      <c r="H238" t="s">
        <v>141</v>
      </c>
      <c r="I238">
        <v>3895</v>
      </c>
      <c r="K238">
        <v>1</v>
      </c>
      <c r="L238">
        <v>71526343</v>
      </c>
      <c r="M238" t="s">
        <v>584</v>
      </c>
      <c r="N238">
        <v>0</v>
      </c>
      <c r="O238">
        <v>42.37</v>
      </c>
      <c r="P238">
        <v>0</v>
      </c>
      <c r="Q238">
        <v>7.63</v>
      </c>
      <c r="R238">
        <v>0</v>
      </c>
      <c r="S238">
        <v>0</v>
      </c>
      <c r="T238">
        <v>0</v>
      </c>
      <c r="U238">
        <v>0</v>
      </c>
      <c r="V238">
        <v>0</v>
      </c>
      <c r="W238">
        <v>0</v>
      </c>
      <c r="X238">
        <v>0</v>
      </c>
      <c r="Y238">
        <v>0</v>
      </c>
      <c r="Z238">
        <v>50</v>
      </c>
      <c r="AA238" t="s">
        <v>116</v>
      </c>
      <c r="AB238">
        <v>1</v>
      </c>
      <c r="AI238">
        <v>1</v>
      </c>
      <c r="AJ238">
        <v>0</v>
      </c>
      <c r="AK238">
        <v>0</v>
      </c>
      <c r="AL238">
        <v>101</v>
      </c>
    </row>
    <row r="239" spans="1:38" x14ac:dyDescent="0.25">
      <c r="A239">
        <v>20608997106</v>
      </c>
      <c r="B239" t="s">
        <v>115</v>
      </c>
      <c r="C239">
        <v>202606</v>
      </c>
      <c r="D239" t="s">
        <v>588</v>
      </c>
      <c r="E239" s="99">
        <v>46201</v>
      </c>
      <c r="G239">
        <v>3</v>
      </c>
      <c r="H239" t="s">
        <v>141</v>
      </c>
      <c r="I239">
        <v>3896</v>
      </c>
      <c r="K239">
        <v>1</v>
      </c>
      <c r="L239">
        <v>71531364</v>
      </c>
      <c r="M239" t="s">
        <v>589</v>
      </c>
      <c r="N239">
        <v>0</v>
      </c>
      <c r="O239">
        <v>42.37</v>
      </c>
      <c r="P239">
        <v>0</v>
      </c>
      <c r="Q239">
        <v>7.63</v>
      </c>
      <c r="R239">
        <v>0</v>
      </c>
      <c r="S239">
        <v>0</v>
      </c>
      <c r="T239">
        <v>0</v>
      </c>
      <c r="U239">
        <v>0</v>
      </c>
      <c r="V239">
        <v>0</v>
      </c>
      <c r="W239">
        <v>0</v>
      </c>
      <c r="X239">
        <v>0</v>
      </c>
      <c r="Y239">
        <v>0</v>
      </c>
      <c r="Z239">
        <v>50</v>
      </c>
      <c r="AA239" t="s">
        <v>116</v>
      </c>
      <c r="AB239">
        <v>1</v>
      </c>
      <c r="AI239">
        <v>1</v>
      </c>
      <c r="AJ239">
        <v>0</v>
      </c>
      <c r="AK239">
        <v>0</v>
      </c>
      <c r="AL239">
        <v>101</v>
      </c>
    </row>
    <row r="240" spans="1:38" x14ac:dyDescent="0.25">
      <c r="A240">
        <v>20608997106</v>
      </c>
      <c r="B240" t="s">
        <v>115</v>
      </c>
      <c r="C240">
        <v>202606</v>
      </c>
      <c r="D240" t="s">
        <v>590</v>
      </c>
      <c r="E240" s="99">
        <v>46201</v>
      </c>
      <c r="G240">
        <v>3</v>
      </c>
      <c r="H240" t="s">
        <v>141</v>
      </c>
      <c r="I240">
        <v>3897</v>
      </c>
      <c r="K240">
        <v>1</v>
      </c>
      <c r="L240">
        <v>23236482</v>
      </c>
      <c r="M240" t="s">
        <v>591</v>
      </c>
      <c r="N240">
        <v>0</v>
      </c>
      <c r="O240">
        <v>79.66</v>
      </c>
      <c r="P240">
        <v>0</v>
      </c>
      <c r="Q240">
        <v>14.34</v>
      </c>
      <c r="R240">
        <v>0</v>
      </c>
      <c r="S240">
        <v>0</v>
      </c>
      <c r="T240">
        <v>0</v>
      </c>
      <c r="U240">
        <v>0</v>
      </c>
      <c r="V240">
        <v>0</v>
      </c>
      <c r="W240">
        <v>0</v>
      </c>
      <c r="X240">
        <v>0</v>
      </c>
      <c r="Y240">
        <v>0</v>
      </c>
      <c r="Z240">
        <v>94</v>
      </c>
      <c r="AA240" t="s">
        <v>116</v>
      </c>
      <c r="AB240">
        <v>1</v>
      </c>
      <c r="AI240">
        <v>1</v>
      </c>
      <c r="AJ240">
        <v>0</v>
      </c>
      <c r="AK240">
        <v>0</v>
      </c>
      <c r="AL240">
        <v>101</v>
      </c>
    </row>
    <row r="241" spans="1:38" x14ac:dyDescent="0.25">
      <c r="A241">
        <v>20608997106</v>
      </c>
      <c r="B241" t="s">
        <v>115</v>
      </c>
      <c r="C241">
        <v>202606</v>
      </c>
      <c r="D241" t="s">
        <v>592</v>
      </c>
      <c r="E241" s="99">
        <v>46201</v>
      </c>
      <c r="G241">
        <v>3</v>
      </c>
      <c r="H241" t="s">
        <v>141</v>
      </c>
      <c r="I241">
        <v>3898</v>
      </c>
      <c r="K241">
        <v>1</v>
      </c>
      <c r="L241">
        <v>71546205</v>
      </c>
      <c r="M241" t="s">
        <v>555</v>
      </c>
      <c r="N241">
        <v>0</v>
      </c>
      <c r="O241">
        <v>111.86</v>
      </c>
      <c r="P241">
        <v>0</v>
      </c>
      <c r="Q241">
        <v>20.14</v>
      </c>
      <c r="R241">
        <v>0</v>
      </c>
      <c r="S241">
        <v>0</v>
      </c>
      <c r="T241">
        <v>0</v>
      </c>
      <c r="U241">
        <v>0</v>
      </c>
      <c r="V241">
        <v>0</v>
      </c>
      <c r="W241">
        <v>0</v>
      </c>
      <c r="X241">
        <v>0</v>
      </c>
      <c r="Y241">
        <v>0</v>
      </c>
      <c r="Z241">
        <v>132</v>
      </c>
      <c r="AA241" t="s">
        <v>116</v>
      </c>
      <c r="AB241">
        <v>1</v>
      </c>
      <c r="AI241">
        <v>1</v>
      </c>
      <c r="AJ241">
        <v>0</v>
      </c>
      <c r="AK241">
        <v>0</v>
      </c>
      <c r="AL241">
        <v>101</v>
      </c>
    </row>
    <row r="242" spans="1:38" x14ac:dyDescent="0.25">
      <c r="A242">
        <v>20608997106</v>
      </c>
      <c r="B242" t="s">
        <v>115</v>
      </c>
      <c r="C242">
        <v>202606</v>
      </c>
      <c r="D242" t="s">
        <v>593</v>
      </c>
      <c r="E242" s="99">
        <v>46201</v>
      </c>
      <c r="G242">
        <v>3</v>
      </c>
      <c r="H242" t="s">
        <v>141</v>
      </c>
      <c r="I242">
        <v>3899</v>
      </c>
      <c r="K242">
        <v>1</v>
      </c>
      <c r="L242">
        <v>40705038</v>
      </c>
      <c r="M242" t="s">
        <v>594</v>
      </c>
      <c r="N242">
        <v>0</v>
      </c>
      <c r="O242">
        <v>186.44</v>
      </c>
      <c r="P242">
        <v>0</v>
      </c>
      <c r="Q242">
        <v>33.56</v>
      </c>
      <c r="R242">
        <v>0</v>
      </c>
      <c r="S242">
        <v>0</v>
      </c>
      <c r="T242">
        <v>0</v>
      </c>
      <c r="U242">
        <v>0</v>
      </c>
      <c r="V242">
        <v>0</v>
      </c>
      <c r="W242">
        <v>0</v>
      </c>
      <c r="X242">
        <v>0</v>
      </c>
      <c r="Y242">
        <v>0</v>
      </c>
      <c r="Z242">
        <v>220</v>
      </c>
      <c r="AA242" t="s">
        <v>116</v>
      </c>
      <c r="AB242">
        <v>1</v>
      </c>
      <c r="AI242">
        <v>1</v>
      </c>
      <c r="AJ242">
        <v>0</v>
      </c>
      <c r="AK242">
        <v>0</v>
      </c>
      <c r="AL242">
        <v>101</v>
      </c>
    </row>
    <row r="243" spans="1:38" x14ac:dyDescent="0.25">
      <c r="A243">
        <v>20608997106</v>
      </c>
      <c r="B243" t="s">
        <v>115</v>
      </c>
      <c r="C243">
        <v>202606</v>
      </c>
      <c r="D243" t="s">
        <v>595</v>
      </c>
      <c r="E243" s="99">
        <v>46201</v>
      </c>
      <c r="G243">
        <v>3</v>
      </c>
      <c r="H243" t="s">
        <v>141</v>
      </c>
      <c r="I243">
        <v>3900</v>
      </c>
      <c r="K243">
        <v>1</v>
      </c>
      <c r="L243">
        <v>40759200</v>
      </c>
      <c r="M243" t="s">
        <v>549</v>
      </c>
      <c r="N243">
        <v>0</v>
      </c>
      <c r="O243">
        <v>42.37</v>
      </c>
      <c r="P243">
        <v>0</v>
      </c>
      <c r="Q243">
        <v>7.63</v>
      </c>
      <c r="R243">
        <v>0</v>
      </c>
      <c r="S243">
        <v>0</v>
      </c>
      <c r="T243">
        <v>0</v>
      </c>
      <c r="U243">
        <v>0</v>
      </c>
      <c r="V243">
        <v>0</v>
      </c>
      <c r="W243">
        <v>0</v>
      </c>
      <c r="X243">
        <v>0</v>
      </c>
      <c r="Y243">
        <v>0</v>
      </c>
      <c r="Z243">
        <v>50</v>
      </c>
      <c r="AA243" t="s">
        <v>116</v>
      </c>
      <c r="AB243">
        <v>1</v>
      </c>
      <c r="AI243">
        <v>1</v>
      </c>
      <c r="AJ243">
        <v>0</v>
      </c>
      <c r="AK243">
        <v>0</v>
      </c>
      <c r="AL243">
        <v>101</v>
      </c>
    </row>
    <row r="244" spans="1:38" x14ac:dyDescent="0.25">
      <c r="A244">
        <v>20608997106</v>
      </c>
      <c r="B244" t="s">
        <v>115</v>
      </c>
      <c r="C244">
        <v>202606</v>
      </c>
      <c r="D244" t="s">
        <v>596</v>
      </c>
      <c r="E244" s="99">
        <v>46201</v>
      </c>
      <c r="G244">
        <v>3</v>
      </c>
      <c r="H244" t="s">
        <v>141</v>
      </c>
      <c r="I244">
        <v>3901</v>
      </c>
      <c r="K244">
        <v>1</v>
      </c>
      <c r="L244">
        <v>23237131</v>
      </c>
      <c r="M244" t="s">
        <v>597</v>
      </c>
      <c r="N244">
        <v>0</v>
      </c>
      <c r="O244">
        <v>81.36</v>
      </c>
      <c r="P244">
        <v>0</v>
      </c>
      <c r="Q244">
        <v>14.64</v>
      </c>
      <c r="R244">
        <v>0</v>
      </c>
      <c r="S244">
        <v>0</v>
      </c>
      <c r="T244">
        <v>0</v>
      </c>
      <c r="U244">
        <v>0</v>
      </c>
      <c r="V244">
        <v>0</v>
      </c>
      <c r="W244">
        <v>0</v>
      </c>
      <c r="X244">
        <v>0</v>
      </c>
      <c r="Y244">
        <v>0</v>
      </c>
      <c r="Z244">
        <v>96</v>
      </c>
      <c r="AA244" t="s">
        <v>116</v>
      </c>
      <c r="AB244">
        <v>1</v>
      </c>
      <c r="AI244">
        <v>1</v>
      </c>
      <c r="AJ244">
        <v>0</v>
      </c>
      <c r="AK244">
        <v>0</v>
      </c>
      <c r="AL244">
        <v>101</v>
      </c>
    </row>
    <row r="245" spans="1:38" x14ac:dyDescent="0.25">
      <c r="A245">
        <v>20608997106</v>
      </c>
      <c r="B245" t="s">
        <v>115</v>
      </c>
      <c r="C245">
        <v>202606</v>
      </c>
      <c r="D245" t="s">
        <v>598</v>
      </c>
      <c r="E245" s="99">
        <v>46201</v>
      </c>
      <c r="G245">
        <v>3</v>
      </c>
      <c r="H245" t="s">
        <v>141</v>
      </c>
      <c r="I245">
        <v>3902</v>
      </c>
      <c r="K245">
        <v>1</v>
      </c>
      <c r="L245">
        <v>40705038</v>
      </c>
      <c r="M245" t="s">
        <v>594</v>
      </c>
      <c r="N245">
        <v>0</v>
      </c>
      <c r="O245">
        <v>111.86</v>
      </c>
      <c r="P245">
        <v>0</v>
      </c>
      <c r="Q245">
        <v>20.14</v>
      </c>
      <c r="R245">
        <v>0</v>
      </c>
      <c r="S245">
        <v>0</v>
      </c>
      <c r="T245">
        <v>0</v>
      </c>
      <c r="U245">
        <v>0</v>
      </c>
      <c r="V245">
        <v>0</v>
      </c>
      <c r="W245">
        <v>0</v>
      </c>
      <c r="X245">
        <v>0</v>
      </c>
      <c r="Y245">
        <v>0</v>
      </c>
      <c r="Z245">
        <v>132</v>
      </c>
      <c r="AA245" t="s">
        <v>116</v>
      </c>
      <c r="AB245">
        <v>1</v>
      </c>
      <c r="AI245">
        <v>1</v>
      </c>
      <c r="AJ245">
        <v>0</v>
      </c>
      <c r="AK245">
        <v>0</v>
      </c>
      <c r="AL245">
        <v>101</v>
      </c>
    </row>
    <row r="246" spans="1:38" x14ac:dyDescent="0.25">
      <c r="A246">
        <v>20608997106</v>
      </c>
      <c r="B246" t="s">
        <v>115</v>
      </c>
      <c r="C246">
        <v>202606</v>
      </c>
      <c r="D246" t="s">
        <v>599</v>
      </c>
      <c r="E246" s="99">
        <v>46201</v>
      </c>
      <c r="G246">
        <v>3</v>
      </c>
      <c r="H246" t="s">
        <v>141</v>
      </c>
      <c r="I246">
        <v>3903</v>
      </c>
      <c r="K246">
        <v>1</v>
      </c>
      <c r="L246">
        <v>40867468</v>
      </c>
      <c r="M246" t="s">
        <v>600</v>
      </c>
      <c r="N246">
        <v>0</v>
      </c>
      <c r="O246">
        <v>223.73</v>
      </c>
      <c r="P246">
        <v>0</v>
      </c>
      <c r="Q246">
        <v>40.270000000000003</v>
      </c>
      <c r="R246">
        <v>0</v>
      </c>
      <c r="S246">
        <v>0</v>
      </c>
      <c r="T246">
        <v>0</v>
      </c>
      <c r="U246">
        <v>0</v>
      </c>
      <c r="V246">
        <v>0</v>
      </c>
      <c r="W246">
        <v>0</v>
      </c>
      <c r="X246">
        <v>0</v>
      </c>
      <c r="Y246">
        <v>0</v>
      </c>
      <c r="Z246">
        <v>264</v>
      </c>
      <c r="AA246" t="s">
        <v>116</v>
      </c>
      <c r="AB246">
        <v>1</v>
      </c>
      <c r="AI246">
        <v>1</v>
      </c>
      <c r="AJ246">
        <v>0</v>
      </c>
      <c r="AK246">
        <v>0</v>
      </c>
      <c r="AL246">
        <v>101</v>
      </c>
    </row>
    <row r="247" spans="1:38" x14ac:dyDescent="0.25">
      <c r="A247">
        <v>20608997106</v>
      </c>
      <c r="B247" t="s">
        <v>115</v>
      </c>
      <c r="C247">
        <v>202606</v>
      </c>
      <c r="D247" t="s">
        <v>601</v>
      </c>
      <c r="E247" s="99">
        <v>46201</v>
      </c>
      <c r="G247">
        <v>3</v>
      </c>
      <c r="H247" t="s">
        <v>141</v>
      </c>
      <c r="I247">
        <v>3904</v>
      </c>
      <c r="K247">
        <v>1</v>
      </c>
      <c r="L247">
        <v>23258385</v>
      </c>
      <c r="M247" t="s">
        <v>602</v>
      </c>
      <c r="N247">
        <v>0</v>
      </c>
      <c r="O247">
        <v>42.37</v>
      </c>
      <c r="P247">
        <v>0</v>
      </c>
      <c r="Q247">
        <v>7.63</v>
      </c>
      <c r="R247">
        <v>0</v>
      </c>
      <c r="S247">
        <v>0</v>
      </c>
      <c r="T247">
        <v>0</v>
      </c>
      <c r="U247">
        <v>0</v>
      </c>
      <c r="V247">
        <v>0</v>
      </c>
      <c r="W247">
        <v>0</v>
      </c>
      <c r="X247">
        <v>0</v>
      </c>
      <c r="Y247">
        <v>0</v>
      </c>
      <c r="Z247">
        <v>50</v>
      </c>
      <c r="AA247" t="s">
        <v>116</v>
      </c>
      <c r="AB247">
        <v>1</v>
      </c>
      <c r="AI247">
        <v>1</v>
      </c>
      <c r="AJ247">
        <v>0</v>
      </c>
      <c r="AK247">
        <v>0</v>
      </c>
      <c r="AL247">
        <v>101</v>
      </c>
    </row>
    <row r="248" spans="1:38" x14ac:dyDescent="0.25">
      <c r="A248">
        <v>20608997106</v>
      </c>
      <c r="B248" t="s">
        <v>115</v>
      </c>
      <c r="C248">
        <v>202606</v>
      </c>
      <c r="D248" t="s">
        <v>603</v>
      </c>
      <c r="E248" s="99">
        <v>46201</v>
      </c>
      <c r="G248">
        <v>3</v>
      </c>
      <c r="H248" t="s">
        <v>141</v>
      </c>
      <c r="I248">
        <v>3905</v>
      </c>
      <c r="K248">
        <v>1</v>
      </c>
      <c r="L248">
        <v>23258385</v>
      </c>
      <c r="M248" t="s">
        <v>602</v>
      </c>
      <c r="N248">
        <v>0</v>
      </c>
      <c r="O248">
        <v>79.66</v>
      </c>
      <c r="P248">
        <v>0</v>
      </c>
      <c r="Q248">
        <v>14.34</v>
      </c>
      <c r="R248">
        <v>0</v>
      </c>
      <c r="S248">
        <v>0</v>
      </c>
      <c r="T248">
        <v>0</v>
      </c>
      <c r="U248">
        <v>0</v>
      </c>
      <c r="V248">
        <v>0</v>
      </c>
      <c r="W248">
        <v>0</v>
      </c>
      <c r="X248">
        <v>0</v>
      </c>
      <c r="Y248">
        <v>0</v>
      </c>
      <c r="Z248">
        <v>94</v>
      </c>
      <c r="AA248" t="s">
        <v>116</v>
      </c>
      <c r="AB248">
        <v>1</v>
      </c>
      <c r="AI248">
        <v>1</v>
      </c>
      <c r="AJ248">
        <v>0</v>
      </c>
      <c r="AK248">
        <v>0</v>
      </c>
      <c r="AL248">
        <v>101</v>
      </c>
    </row>
    <row r="249" spans="1:38" x14ac:dyDescent="0.25">
      <c r="A249">
        <v>20608997106</v>
      </c>
      <c r="B249" t="s">
        <v>115</v>
      </c>
      <c r="C249">
        <v>202606</v>
      </c>
      <c r="D249" t="s">
        <v>604</v>
      </c>
      <c r="E249" s="99">
        <v>46201</v>
      </c>
      <c r="G249">
        <v>3</v>
      </c>
      <c r="H249" t="s">
        <v>141</v>
      </c>
      <c r="I249">
        <v>3906</v>
      </c>
      <c r="K249">
        <v>1</v>
      </c>
      <c r="L249">
        <v>23258385</v>
      </c>
      <c r="M249" t="s">
        <v>602</v>
      </c>
      <c r="N249">
        <v>0</v>
      </c>
      <c r="O249">
        <v>149.15</v>
      </c>
      <c r="P249">
        <v>0</v>
      </c>
      <c r="Q249">
        <v>26.85</v>
      </c>
      <c r="R249">
        <v>0</v>
      </c>
      <c r="S249">
        <v>0</v>
      </c>
      <c r="T249">
        <v>0</v>
      </c>
      <c r="U249">
        <v>0</v>
      </c>
      <c r="V249">
        <v>0</v>
      </c>
      <c r="W249">
        <v>0</v>
      </c>
      <c r="X249">
        <v>0</v>
      </c>
      <c r="Y249">
        <v>0</v>
      </c>
      <c r="Z249">
        <v>176</v>
      </c>
      <c r="AA249" t="s">
        <v>116</v>
      </c>
      <c r="AB249">
        <v>1</v>
      </c>
      <c r="AI249">
        <v>1</v>
      </c>
      <c r="AJ249">
        <v>0</v>
      </c>
      <c r="AK249">
        <v>0</v>
      </c>
      <c r="AL249">
        <v>101</v>
      </c>
    </row>
    <row r="250" spans="1:38" x14ac:dyDescent="0.25">
      <c r="A250">
        <v>20608997106</v>
      </c>
      <c r="B250" t="s">
        <v>115</v>
      </c>
      <c r="C250">
        <v>202606</v>
      </c>
      <c r="D250" t="s">
        <v>605</v>
      </c>
      <c r="E250" s="99">
        <v>46201</v>
      </c>
      <c r="G250">
        <v>3</v>
      </c>
      <c r="H250" t="s">
        <v>141</v>
      </c>
      <c r="I250">
        <v>3907</v>
      </c>
      <c r="K250">
        <v>1</v>
      </c>
      <c r="L250">
        <v>41057536</v>
      </c>
      <c r="M250" t="s">
        <v>606</v>
      </c>
      <c r="N250">
        <v>0</v>
      </c>
      <c r="O250">
        <v>42.37</v>
      </c>
      <c r="P250">
        <v>0</v>
      </c>
      <c r="Q250">
        <v>7.63</v>
      </c>
      <c r="R250">
        <v>0</v>
      </c>
      <c r="S250">
        <v>0</v>
      </c>
      <c r="T250">
        <v>0</v>
      </c>
      <c r="U250">
        <v>0</v>
      </c>
      <c r="V250">
        <v>0</v>
      </c>
      <c r="W250">
        <v>0</v>
      </c>
      <c r="X250">
        <v>0</v>
      </c>
      <c r="Y250">
        <v>0</v>
      </c>
      <c r="Z250">
        <v>50</v>
      </c>
      <c r="AA250" t="s">
        <v>116</v>
      </c>
      <c r="AB250">
        <v>1</v>
      </c>
      <c r="AI250">
        <v>1</v>
      </c>
      <c r="AJ250">
        <v>0</v>
      </c>
      <c r="AK250">
        <v>0</v>
      </c>
      <c r="AL250">
        <v>101</v>
      </c>
    </row>
    <row r="251" spans="1:38" x14ac:dyDescent="0.25">
      <c r="A251">
        <v>20608997106</v>
      </c>
      <c r="B251" t="s">
        <v>115</v>
      </c>
      <c r="C251">
        <v>202606</v>
      </c>
      <c r="D251" t="s">
        <v>607</v>
      </c>
      <c r="E251" s="99">
        <v>46201</v>
      </c>
      <c r="G251">
        <v>3</v>
      </c>
      <c r="H251" t="s">
        <v>141</v>
      </c>
      <c r="I251">
        <v>3909</v>
      </c>
      <c r="K251">
        <v>1</v>
      </c>
      <c r="L251">
        <v>23237194</v>
      </c>
      <c r="M251" t="s">
        <v>608</v>
      </c>
      <c r="N251">
        <v>0</v>
      </c>
      <c r="O251">
        <v>186.44</v>
      </c>
      <c r="P251">
        <v>0</v>
      </c>
      <c r="Q251">
        <v>33.56</v>
      </c>
      <c r="R251">
        <v>0</v>
      </c>
      <c r="S251">
        <v>0</v>
      </c>
      <c r="T251">
        <v>0</v>
      </c>
      <c r="U251">
        <v>0</v>
      </c>
      <c r="V251">
        <v>0</v>
      </c>
      <c r="W251">
        <v>0</v>
      </c>
      <c r="X251">
        <v>0</v>
      </c>
      <c r="Y251">
        <v>0</v>
      </c>
      <c r="Z251">
        <v>220</v>
      </c>
      <c r="AA251" t="s">
        <v>116</v>
      </c>
      <c r="AB251">
        <v>1</v>
      </c>
      <c r="AI251">
        <v>1</v>
      </c>
      <c r="AJ251">
        <v>0</v>
      </c>
      <c r="AK251">
        <v>0</v>
      </c>
      <c r="AL251">
        <v>101</v>
      </c>
    </row>
    <row r="252" spans="1:38" x14ac:dyDescent="0.25">
      <c r="A252">
        <v>20608997106</v>
      </c>
      <c r="B252" t="s">
        <v>115</v>
      </c>
      <c r="C252">
        <v>202606</v>
      </c>
      <c r="D252" t="s">
        <v>609</v>
      </c>
      <c r="E252" s="99">
        <v>46201</v>
      </c>
      <c r="G252">
        <v>3</v>
      </c>
      <c r="H252" t="s">
        <v>141</v>
      </c>
      <c r="I252">
        <v>3910</v>
      </c>
      <c r="K252">
        <v>1</v>
      </c>
      <c r="L252">
        <v>23278026</v>
      </c>
      <c r="M252" t="s">
        <v>610</v>
      </c>
      <c r="N252">
        <v>0</v>
      </c>
      <c r="O252">
        <v>364.41</v>
      </c>
      <c r="P252">
        <v>0</v>
      </c>
      <c r="Q252">
        <v>65.59</v>
      </c>
      <c r="R252">
        <v>0</v>
      </c>
      <c r="S252">
        <v>0</v>
      </c>
      <c r="T252">
        <v>0</v>
      </c>
      <c r="U252">
        <v>0</v>
      </c>
      <c r="V252">
        <v>0</v>
      </c>
      <c r="W252">
        <v>0</v>
      </c>
      <c r="X252">
        <v>0</v>
      </c>
      <c r="Y252">
        <v>0</v>
      </c>
      <c r="Z252">
        <v>430</v>
      </c>
      <c r="AA252" t="s">
        <v>116</v>
      </c>
      <c r="AB252">
        <v>1</v>
      </c>
      <c r="AI252">
        <v>1</v>
      </c>
      <c r="AJ252">
        <v>0</v>
      </c>
      <c r="AK252">
        <v>0</v>
      </c>
      <c r="AL252">
        <v>101</v>
      </c>
    </row>
    <row r="253" spans="1:38" x14ac:dyDescent="0.25">
      <c r="A253">
        <v>20608997106</v>
      </c>
      <c r="B253" t="s">
        <v>115</v>
      </c>
      <c r="C253">
        <v>202606</v>
      </c>
      <c r="D253" t="s">
        <v>611</v>
      </c>
      <c r="E253" s="99">
        <v>46202</v>
      </c>
      <c r="G253">
        <v>7</v>
      </c>
      <c r="H253" t="s">
        <v>159</v>
      </c>
      <c r="I253">
        <v>1</v>
      </c>
      <c r="K253">
        <v>6</v>
      </c>
      <c r="L253">
        <v>10200169170</v>
      </c>
      <c r="M253" t="s">
        <v>570</v>
      </c>
      <c r="N253">
        <v>0</v>
      </c>
      <c r="O253">
        <v>-1067.8</v>
      </c>
      <c r="P253">
        <v>0</v>
      </c>
      <c r="Q253">
        <v>-192.2</v>
      </c>
      <c r="R253">
        <v>0</v>
      </c>
      <c r="S253">
        <v>0</v>
      </c>
      <c r="T253">
        <v>0</v>
      </c>
      <c r="U253">
        <v>0</v>
      </c>
      <c r="V253">
        <v>0</v>
      </c>
      <c r="W253">
        <v>0</v>
      </c>
      <c r="X253">
        <v>0</v>
      </c>
      <c r="Y253">
        <v>0</v>
      </c>
      <c r="Z253">
        <v>-1260</v>
      </c>
      <c r="AA253" t="s">
        <v>116</v>
      </c>
      <c r="AB253">
        <v>1</v>
      </c>
      <c r="AC253" s="99">
        <v>46201</v>
      </c>
      <c r="AD253">
        <v>1</v>
      </c>
      <c r="AE253" t="s">
        <v>159</v>
      </c>
      <c r="AF253">
        <v>37</v>
      </c>
      <c r="AH253">
        <v>1</v>
      </c>
      <c r="AI253">
        <v>1</v>
      </c>
      <c r="AJ253">
        <v>0</v>
      </c>
      <c r="AK253">
        <v>0</v>
      </c>
    </row>
    <row r="254" spans="1:38" x14ac:dyDescent="0.25">
      <c r="A254">
        <v>20608997106</v>
      </c>
      <c r="B254" t="s">
        <v>115</v>
      </c>
      <c r="C254">
        <v>202606</v>
      </c>
      <c r="D254" t="s">
        <v>612</v>
      </c>
      <c r="E254" s="99">
        <v>46202</v>
      </c>
      <c r="G254">
        <v>1</v>
      </c>
      <c r="H254" t="s">
        <v>159</v>
      </c>
      <c r="I254">
        <v>39</v>
      </c>
      <c r="K254">
        <v>6</v>
      </c>
      <c r="L254">
        <v>10200169170</v>
      </c>
      <c r="M254" t="s">
        <v>570</v>
      </c>
      <c r="N254">
        <v>0</v>
      </c>
      <c r="O254">
        <v>1067.8</v>
      </c>
      <c r="P254">
        <v>0</v>
      </c>
      <c r="Q254">
        <v>192.2</v>
      </c>
      <c r="R254">
        <v>0</v>
      </c>
      <c r="S254">
        <v>0</v>
      </c>
      <c r="T254">
        <v>0</v>
      </c>
      <c r="U254">
        <v>0</v>
      </c>
      <c r="V254">
        <v>0</v>
      </c>
      <c r="W254">
        <v>0</v>
      </c>
      <c r="X254">
        <v>0</v>
      </c>
      <c r="Y254">
        <v>0</v>
      </c>
      <c r="Z254">
        <v>1260</v>
      </c>
      <c r="AA254" t="s">
        <v>116</v>
      </c>
      <c r="AB254">
        <v>1</v>
      </c>
      <c r="AI254">
        <v>1</v>
      </c>
      <c r="AJ254">
        <v>0</v>
      </c>
      <c r="AK254">
        <v>0</v>
      </c>
      <c r="AL254">
        <v>101</v>
      </c>
    </row>
    <row r="255" spans="1:38" x14ac:dyDescent="0.25">
      <c r="A255">
        <v>20608997106</v>
      </c>
      <c r="B255" t="s">
        <v>115</v>
      </c>
      <c r="C255">
        <v>202606</v>
      </c>
      <c r="D255" t="s">
        <v>613</v>
      </c>
      <c r="E255" s="99">
        <v>46202</v>
      </c>
      <c r="G255">
        <v>3</v>
      </c>
      <c r="H255" t="s">
        <v>141</v>
      </c>
      <c r="I255">
        <v>3908</v>
      </c>
      <c r="K255">
        <v>1</v>
      </c>
      <c r="L255">
        <v>71551833</v>
      </c>
      <c r="M255" t="s">
        <v>614</v>
      </c>
      <c r="N255">
        <v>0</v>
      </c>
      <c r="O255">
        <v>81.36</v>
      </c>
      <c r="P255">
        <v>0</v>
      </c>
      <c r="Q255">
        <v>14.64</v>
      </c>
      <c r="R255">
        <v>0</v>
      </c>
      <c r="S255">
        <v>0</v>
      </c>
      <c r="T255">
        <v>0</v>
      </c>
      <c r="U255">
        <v>0</v>
      </c>
      <c r="V255">
        <v>0</v>
      </c>
      <c r="W255">
        <v>0</v>
      </c>
      <c r="X255">
        <v>0</v>
      </c>
      <c r="Y255">
        <v>0</v>
      </c>
      <c r="Z255">
        <v>96</v>
      </c>
      <c r="AA255" t="s">
        <v>116</v>
      </c>
      <c r="AB255">
        <v>1</v>
      </c>
      <c r="AI255">
        <v>1</v>
      </c>
      <c r="AJ255">
        <v>0</v>
      </c>
      <c r="AK255">
        <v>0</v>
      </c>
      <c r="AL255">
        <v>101</v>
      </c>
    </row>
    <row r="256" spans="1:38" x14ac:dyDescent="0.25">
      <c r="A256">
        <v>20608997106</v>
      </c>
      <c r="B256" t="s">
        <v>115</v>
      </c>
      <c r="C256">
        <v>202606</v>
      </c>
      <c r="D256" t="s">
        <v>615</v>
      </c>
      <c r="E256" s="99">
        <v>46202</v>
      </c>
      <c r="G256">
        <v>3</v>
      </c>
      <c r="H256" t="s">
        <v>141</v>
      </c>
      <c r="I256">
        <v>3911</v>
      </c>
      <c r="K256">
        <v>1</v>
      </c>
      <c r="L256">
        <v>23278026</v>
      </c>
      <c r="M256" t="s">
        <v>610</v>
      </c>
      <c r="N256">
        <v>0</v>
      </c>
      <c r="O256">
        <v>42.37</v>
      </c>
      <c r="P256">
        <v>0</v>
      </c>
      <c r="Q256">
        <v>7.63</v>
      </c>
      <c r="R256">
        <v>0</v>
      </c>
      <c r="S256">
        <v>0</v>
      </c>
      <c r="T256">
        <v>0</v>
      </c>
      <c r="U256">
        <v>0</v>
      </c>
      <c r="V256">
        <v>0</v>
      </c>
      <c r="W256">
        <v>0</v>
      </c>
      <c r="X256">
        <v>0</v>
      </c>
      <c r="Y256">
        <v>0</v>
      </c>
      <c r="Z256">
        <v>50</v>
      </c>
      <c r="AA256" t="s">
        <v>116</v>
      </c>
      <c r="AB256">
        <v>1</v>
      </c>
      <c r="AI256">
        <v>1</v>
      </c>
      <c r="AJ256">
        <v>0</v>
      </c>
      <c r="AK256">
        <v>0</v>
      </c>
      <c r="AL256">
        <v>101</v>
      </c>
    </row>
    <row r="257" spans="1:38" x14ac:dyDescent="0.25">
      <c r="A257">
        <v>20608997106</v>
      </c>
      <c r="B257" t="s">
        <v>115</v>
      </c>
      <c r="C257">
        <v>202606</v>
      </c>
      <c r="D257" t="s">
        <v>616</v>
      </c>
      <c r="E257" s="99">
        <v>46202</v>
      </c>
      <c r="G257">
        <v>3</v>
      </c>
      <c r="H257" t="s">
        <v>141</v>
      </c>
      <c r="I257">
        <v>3912</v>
      </c>
      <c r="K257">
        <v>1</v>
      </c>
      <c r="L257">
        <v>23278026</v>
      </c>
      <c r="M257" t="s">
        <v>610</v>
      </c>
      <c r="N257">
        <v>0</v>
      </c>
      <c r="O257">
        <v>81.36</v>
      </c>
      <c r="P257">
        <v>0</v>
      </c>
      <c r="Q257">
        <v>14.64</v>
      </c>
      <c r="R257">
        <v>0</v>
      </c>
      <c r="S257">
        <v>0</v>
      </c>
      <c r="T257">
        <v>0</v>
      </c>
      <c r="U257">
        <v>0</v>
      </c>
      <c r="V257">
        <v>0</v>
      </c>
      <c r="W257">
        <v>0</v>
      </c>
      <c r="X257">
        <v>0</v>
      </c>
      <c r="Y257">
        <v>0</v>
      </c>
      <c r="Z257">
        <v>96</v>
      </c>
      <c r="AA257" t="s">
        <v>116</v>
      </c>
      <c r="AB257">
        <v>1</v>
      </c>
      <c r="AI257">
        <v>1</v>
      </c>
      <c r="AJ257">
        <v>0</v>
      </c>
      <c r="AK257">
        <v>0</v>
      </c>
      <c r="AL257">
        <v>101</v>
      </c>
    </row>
    <row r="258" spans="1:38" x14ac:dyDescent="0.25">
      <c r="A258">
        <v>20608997106</v>
      </c>
      <c r="B258" t="s">
        <v>115</v>
      </c>
      <c r="C258">
        <v>202606</v>
      </c>
      <c r="D258" t="s">
        <v>617</v>
      </c>
      <c r="E258" s="99">
        <v>46202</v>
      </c>
      <c r="G258">
        <v>3</v>
      </c>
      <c r="H258" t="s">
        <v>141</v>
      </c>
      <c r="I258">
        <v>3913</v>
      </c>
      <c r="K258">
        <v>1</v>
      </c>
      <c r="L258">
        <v>23221644</v>
      </c>
      <c r="M258" t="s">
        <v>618</v>
      </c>
      <c r="N258">
        <v>0</v>
      </c>
      <c r="O258">
        <v>114.41</v>
      </c>
      <c r="P258">
        <v>0</v>
      </c>
      <c r="Q258">
        <v>20.59</v>
      </c>
      <c r="R258">
        <v>0</v>
      </c>
      <c r="S258">
        <v>0</v>
      </c>
      <c r="T258">
        <v>0</v>
      </c>
      <c r="U258">
        <v>0</v>
      </c>
      <c r="V258">
        <v>0</v>
      </c>
      <c r="W258">
        <v>0</v>
      </c>
      <c r="X258">
        <v>0</v>
      </c>
      <c r="Y258">
        <v>0</v>
      </c>
      <c r="Z258">
        <v>135</v>
      </c>
      <c r="AA258" t="s">
        <v>116</v>
      </c>
      <c r="AB258">
        <v>1</v>
      </c>
      <c r="AI258">
        <v>1</v>
      </c>
      <c r="AJ258">
        <v>0</v>
      </c>
      <c r="AK258">
        <v>0</v>
      </c>
      <c r="AL258">
        <v>101</v>
      </c>
    </row>
    <row r="259" spans="1:38" x14ac:dyDescent="0.25">
      <c r="A259">
        <v>20608997106</v>
      </c>
      <c r="B259" t="s">
        <v>115</v>
      </c>
      <c r="C259">
        <v>202606</v>
      </c>
      <c r="D259" t="s">
        <v>619</v>
      </c>
      <c r="E259" s="99">
        <v>46202</v>
      </c>
      <c r="G259">
        <v>1</v>
      </c>
      <c r="H259" t="s">
        <v>159</v>
      </c>
      <c r="I259">
        <v>41</v>
      </c>
      <c r="K259">
        <v>6</v>
      </c>
      <c r="L259">
        <v>20615178901</v>
      </c>
      <c r="M259" t="s">
        <v>162</v>
      </c>
      <c r="N259">
        <v>0</v>
      </c>
      <c r="O259">
        <v>116.95</v>
      </c>
      <c r="P259">
        <v>0</v>
      </c>
      <c r="Q259">
        <v>21.05</v>
      </c>
      <c r="R259">
        <v>0</v>
      </c>
      <c r="S259">
        <v>0</v>
      </c>
      <c r="T259">
        <v>0</v>
      </c>
      <c r="U259">
        <v>0</v>
      </c>
      <c r="V259">
        <v>0</v>
      </c>
      <c r="W259">
        <v>0</v>
      </c>
      <c r="X259">
        <v>0</v>
      </c>
      <c r="Y259">
        <v>0</v>
      </c>
      <c r="Z259">
        <v>138</v>
      </c>
      <c r="AA259" t="s">
        <v>116</v>
      </c>
      <c r="AB259">
        <v>1</v>
      </c>
      <c r="AI259">
        <v>1</v>
      </c>
      <c r="AJ259">
        <v>0</v>
      </c>
      <c r="AK259">
        <v>0</v>
      </c>
      <c r="AL259">
        <v>101</v>
      </c>
    </row>
    <row r="260" spans="1:38" x14ac:dyDescent="0.25">
      <c r="A260">
        <v>20608997106</v>
      </c>
      <c r="B260" t="s">
        <v>115</v>
      </c>
      <c r="C260">
        <v>202606</v>
      </c>
      <c r="D260" t="s">
        <v>620</v>
      </c>
      <c r="E260" s="99">
        <v>46202</v>
      </c>
      <c r="G260">
        <v>3</v>
      </c>
      <c r="H260" t="s">
        <v>141</v>
      </c>
      <c r="I260">
        <v>3914</v>
      </c>
      <c r="K260">
        <v>1</v>
      </c>
      <c r="L260">
        <v>71529553</v>
      </c>
      <c r="M260" t="s">
        <v>621</v>
      </c>
      <c r="N260">
        <v>0</v>
      </c>
      <c r="O260">
        <v>42.37</v>
      </c>
      <c r="P260">
        <v>0</v>
      </c>
      <c r="Q260">
        <v>7.63</v>
      </c>
      <c r="R260">
        <v>0</v>
      </c>
      <c r="S260">
        <v>0</v>
      </c>
      <c r="T260">
        <v>0</v>
      </c>
      <c r="U260">
        <v>0</v>
      </c>
      <c r="V260">
        <v>0</v>
      </c>
      <c r="W260">
        <v>0</v>
      </c>
      <c r="X260">
        <v>0</v>
      </c>
      <c r="Y260">
        <v>0</v>
      </c>
      <c r="Z260">
        <v>50</v>
      </c>
      <c r="AA260" t="s">
        <v>116</v>
      </c>
      <c r="AB260">
        <v>1</v>
      </c>
      <c r="AI260">
        <v>1</v>
      </c>
      <c r="AJ260">
        <v>0</v>
      </c>
      <c r="AK260">
        <v>0</v>
      </c>
      <c r="AL260">
        <v>101</v>
      </c>
    </row>
    <row r="261" spans="1:38" x14ac:dyDescent="0.25">
      <c r="A261">
        <v>20608997106</v>
      </c>
      <c r="B261" t="s">
        <v>115</v>
      </c>
      <c r="C261">
        <v>202606</v>
      </c>
      <c r="D261" t="s">
        <v>622</v>
      </c>
      <c r="E261" s="99">
        <v>46202</v>
      </c>
      <c r="G261">
        <v>3</v>
      </c>
      <c r="H261" t="s">
        <v>141</v>
      </c>
      <c r="I261">
        <v>3915</v>
      </c>
      <c r="K261">
        <v>1</v>
      </c>
      <c r="L261">
        <v>71529553</v>
      </c>
      <c r="M261" t="s">
        <v>621</v>
      </c>
      <c r="N261">
        <v>0</v>
      </c>
      <c r="O261">
        <v>81.36</v>
      </c>
      <c r="P261">
        <v>0</v>
      </c>
      <c r="Q261">
        <v>14.64</v>
      </c>
      <c r="R261">
        <v>0</v>
      </c>
      <c r="S261">
        <v>0</v>
      </c>
      <c r="T261">
        <v>0</v>
      </c>
      <c r="U261">
        <v>0</v>
      </c>
      <c r="V261">
        <v>0</v>
      </c>
      <c r="W261">
        <v>0</v>
      </c>
      <c r="X261">
        <v>0</v>
      </c>
      <c r="Y261">
        <v>0</v>
      </c>
      <c r="Z261">
        <v>96</v>
      </c>
      <c r="AA261" t="s">
        <v>116</v>
      </c>
      <c r="AB261">
        <v>1</v>
      </c>
      <c r="AI261">
        <v>1</v>
      </c>
      <c r="AJ261">
        <v>0</v>
      </c>
      <c r="AK261">
        <v>0</v>
      </c>
      <c r="AL261">
        <v>101</v>
      </c>
    </row>
    <row r="262" spans="1:38" x14ac:dyDescent="0.25">
      <c r="A262">
        <v>20608997106</v>
      </c>
      <c r="B262" t="s">
        <v>115</v>
      </c>
      <c r="C262">
        <v>202606</v>
      </c>
      <c r="D262" t="s">
        <v>623</v>
      </c>
      <c r="E262" s="99">
        <v>46202</v>
      </c>
      <c r="G262">
        <v>3</v>
      </c>
      <c r="H262" t="s">
        <v>141</v>
      </c>
      <c r="I262">
        <v>3916</v>
      </c>
      <c r="K262">
        <v>1</v>
      </c>
      <c r="L262">
        <v>71527523</v>
      </c>
      <c r="M262" t="s">
        <v>624</v>
      </c>
      <c r="N262">
        <v>0</v>
      </c>
      <c r="O262">
        <v>119.49</v>
      </c>
      <c r="P262">
        <v>0</v>
      </c>
      <c r="Q262">
        <v>21.51</v>
      </c>
      <c r="R262">
        <v>0</v>
      </c>
      <c r="S262">
        <v>0</v>
      </c>
      <c r="T262">
        <v>0</v>
      </c>
      <c r="U262">
        <v>0</v>
      </c>
      <c r="V262">
        <v>0</v>
      </c>
      <c r="W262">
        <v>0</v>
      </c>
      <c r="X262">
        <v>0</v>
      </c>
      <c r="Y262">
        <v>0</v>
      </c>
      <c r="Z262">
        <v>141</v>
      </c>
      <c r="AA262" t="s">
        <v>116</v>
      </c>
      <c r="AB262">
        <v>1</v>
      </c>
      <c r="AI262">
        <v>1</v>
      </c>
      <c r="AJ262">
        <v>0</v>
      </c>
      <c r="AK262">
        <v>0</v>
      </c>
      <c r="AL262">
        <v>101</v>
      </c>
    </row>
    <row r="263" spans="1:38" x14ac:dyDescent="0.25">
      <c r="A263">
        <v>20608997106</v>
      </c>
      <c r="B263" t="s">
        <v>115</v>
      </c>
      <c r="C263">
        <v>202606</v>
      </c>
      <c r="D263" t="s">
        <v>625</v>
      </c>
      <c r="E263" s="99">
        <v>46202</v>
      </c>
      <c r="G263">
        <v>3</v>
      </c>
      <c r="H263" t="s">
        <v>141</v>
      </c>
      <c r="I263">
        <v>3917</v>
      </c>
      <c r="K263">
        <v>1</v>
      </c>
      <c r="L263">
        <v>71529539</v>
      </c>
      <c r="M263" t="s">
        <v>626</v>
      </c>
      <c r="N263">
        <v>0</v>
      </c>
      <c r="O263">
        <v>116.95</v>
      </c>
      <c r="P263">
        <v>0</v>
      </c>
      <c r="Q263">
        <v>21.05</v>
      </c>
      <c r="R263">
        <v>0</v>
      </c>
      <c r="S263">
        <v>0</v>
      </c>
      <c r="T263">
        <v>0</v>
      </c>
      <c r="U263">
        <v>0</v>
      </c>
      <c r="V263">
        <v>0</v>
      </c>
      <c r="W263">
        <v>0</v>
      </c>
      <c r="X263">
        <v>0</v>
      </c>
      <c r="Y263">
        <v>0</v>
      </c>
      <c r="Z263">
        <v>138</v>
      </c>
      <c r="AA263" t="s">
        <v>116</v>
      </c>
      <c r="AB263">
        <v>1</v>
      </c>
      <c r="AI263">
        <v>1</v>
      </c>
      <c r="AJ263">
        <v>0</v>
      </c>
      <c r="AK263">
        <v>0</v>
      </c>
      <c r="AL263">
        <v>101</v>
      </c>
    </row>
    <row r="264" spans="1:38" x14ac:dyDescent="0.25">
      <c r="A264">
        <v>20608997106</v>
      </c>
      <c r="B264" t="s">
        <v>115</v>
      </c>
      <c r="C264">
        <v>202606</v>
      </c>
      <c r="D264" t="s">
        <v>627</v>
      </c>
      <c r="E264" s="99">
        <v>46202</v>
      </c>
      <c r="G264">
        <v>3</v>
      </c>
      <c r="H264" t="s">
        <v>141</v>
      </c>
      <c r="I264">
        <v>3918</v>
      </c>
      <c r="K264">
        <v>1</v>
      </c>
      <c r="L264">
        <v>41742977</v>
      </c>
      <c r="M264" t="s">
        <v>628</v>
      </c>
      <c r="N264">
        <v>0</v>
      </c>
      <c r="O264">
        <v>42.37</v>
      </c>
      <c r="P264">
        <v>0</v>
      </c>
      <c r="Q264">
        <v>7.63</v>
      </c>
      <c r="R264">
        <v>0</v>
      </c>
      <c r="S264">
        <v>0</v>
      </c>
      <c r="T264">
        <v>0</v>
      </c>
      <c r="U264">
        <v>0</v>
      </c>
      <c r="V264">
        <v>0</v>
      </c>
      <c r="W264">
        <v>0</v>
      </c>
      <c r="X264">
        <v>0</v>
      </c>
      <c r="Y264">
        <v>0</v>
      </c>
      <c r="Z264">
        <v>50</v>
      </c>
      <c r="AA264" t="s">
        <v>116</v>
      </c>
      <c r="AB264">
        <v>1</v>
      </c>
      <c r="AI264">
        <v>1</v>
      </c>
      <c r="AJ264">
        <v>0</v>
      </c>
      <c r="AK264">
        <v>0</v>
      </c>
      <c r="AL264">
        <v>101</v>
      </c>
    </row>
    <row r="265" spans="1:38" x14ac:dyDescent="0.25">
      <c r="A265">
        <v>20608997106</v>
      </c>
      <c r="B265" t="s">
        <v>115</v>
      </c>
      <c r="C265">
        <v>202606</v>
      </c>
      <c r="D265" t="s">
        <v>629</v>
      </c>
      <c r="E265" s="99">
        <v>46202</v>
      </c>
      <c r="G265">
        <v>3</v>
      </c>
      <c r="H265" t="s">
        <v>141</v>
      </c>
      <c r="I265">
        <v>3919</v>
      </c>
      <c r="K265">
        <v>1</v>
      </c>
      <c r="L265">
        <v>43443312</v>
      </c>
      <c r="M265" t="s">
        <v>630</v>
      </c>
      <c r="N265">
        <v>0</v>
      </c>
      <c r="O265">
        <v>81.36</v>
      </c>
      <c r="P265">
        <v>0</v>
      </c>
      <c r="Q265">
        <v>14.64</v>
      </c>
      <c r="R265">
        <v>0</v>
      </c>
      <c r="S265">
        <v>0</v>
      </c>
      <c r="T265">
        <v>0</v>
      </c>
      <c r="U265">
        <v>0</v>
      </c>
      <c r="V265">
        <v>0</v>
      </c>
      <c r="W265">
        <v>0</v>
      </c>
      <c r="X265">
        <v>0</v>
      </c>
      <c r="Y265">
        <v>0</v>
      </c>
      <c r="Z265">
        <v>96</v>
      </c>
      <c r="AA265" t="s">
        <v>116</v>
      </c>
      <c r="AB265">
        <v>1</v>
      </c>
      <c r="AI265">
        <v>1</v>
      </c>
      <c r="AJ265">
        <v>0</v>
      </c>
      <c r="AK265">
        <v>0</v>
      </c>
      <c r="AL265">
        <v>101</v>
      </c>
    </row>
    <row r="266" spans="1:38" x14ac:dyDescent="0.25">
      <c r="A266">
        <v>20608997106</v>
      </c>
      <c r="B266" t="s">
        <v>115</v>
      </c>
      <c r="C266">
        <v>202606</v>
      </c>
      <c r="D266" t="s">
        <v>631</v>
      </c>
      <c r="E266" s="99">
        <v>46202</v>
      </c>
      <c r="G266">
        <v>3</v>
      </c>
      <c r="H266" t="s">
        <v>141</v>
      </c>
      <c r="I266">
        <v>3920</v>
      </c>
      <c r="K266">
        <v>1</v>
      </c>
      <c r="L266">
        <v>41264192</v>
      </c>
      <c r="M266" t="s">
        <v>632</v>
      </c>
      <c r="N266">
        <v>0</v>
      </c>
      <c r="O266">
        <v>116.95</v>
      </c>
      <c r="P266">
        <v>0</v>
      </c>
      <c r="Q266">
        <v>21.05</v>
      </c>
      <c r="R266">
        <v>0</v>
      </c>
      <c r="S266">
        <v>0</v>
      </c>
      <c r="T266">
        <v>0</v>
      </c>
      <c r="U266">
        <v>0</v>
      </c>
      <c r="V266">
        <v>0</v>
      </c>
      <c r="W266">
        <v>0</v>
      </c>
      <c r="X266">
        <v>0</v>
      </c>
      <c r="Y266">
        <v>0</v>
      </c>
      <c r="Z266">
        <v>138</v>
      </c>
      <c r="AA266" t="s">
        <v>116</v>
      </c>
      <c r="AB266">
        <v>1</v>
      </c>
      <c r="AI266">
        <v>1</v>
      </c>
      <c r="AJ266">
        <v>0</v>
      </c>
      <c r="AK266">
        <v>0</v>
      </c>
      <c r="AL266">
        <v>101</v>
      </c>
    </row>
    <row r="267" spans="1:38" x14ac:dyDescent="0.25">
      <c r="A267">
        <v>20608997106</v>
      </c>
      <c r="B267" t="s">
        <v>115</v>
      </c>
      <c r="C267">
        <v>202606</v>
      </c>
      <c r="D267" t="s">
        <v>633</v>
      </c>
      <c r="E267" s="99">
        <v>46202</v>
      </c>
      <c r="G267">
        <v>3</v>
      </c>
      <c r="H267" t="s">
        <v>141</v>
      </c>
      <c r="I267">
        <v>3921</v>
      </c>
      <c r="K267">
        <v>1</v>
      </c>
      <c r="L267">
        <v>23237490</v>
      </c>
      <c r="M267" t="s">
        <v>634</v>
      </c>
      <c r="N267">
        <v>0</v>
      </c>
      <c r="O267">
        <v>228.81</v>
      </c>
      <c r="P267">
        <v>0</v>
      </c>
      <c r="Q267">
        <v>41.19</v>
      </c>
      <c r="R267">
        <v>0</v>
      </c>
      <c r="S267">
        <v>0</v>
      </c>
      <c r="T267">
        <v>0</v>
      </c>
      <c r="U267">
        <v>0</v>
      </c>
      <c r="V267">
        <v>0</v>
      </c>
      <c r="W267">
        <v>0</v>
      </c>
      <c r="X267">
        <v>0</v>
      </c>
      <c r="Y267">
        <v>0</v>
      </c>
      <c r="Z267">
        <v>270</v>
      </c>
      <c r="AA267" t="s">
        <v>116</v>
      </c>
      <c r="AB267">
        <v>1</v>
      </c>
      <c r="AI267">
        <v>1</v>
      </c>
      <c r="AJ267">
        <v>0</v>
      </c>
      <c r="AK267">
        <v>0</v>
      </c>
      <c r="AL267">
        <v>101</v>
      </c>
    </row>
    <row r="268" spans="1:38" x14ac:dyDescent="0.25">
      <c r="A268">
        <v>20608997106</v>
      </c>
      <c r="B268" t="s">
        <v>115</v>
      </c>
      <c r="C268">
        <v>202606</v>
      </c>
      <c r="D268" t="s">
        <v>635</v>
      </c>
      <c r="E268" s="99">
        <v>46202</v>
      </c>
      <c r="G268">
        <v>3</v>
      </c>
      <c r="H268" t="s">
        <v>141</v>
      </c>
      <c r="I268">
        <v>3922</v>
      </c>
      <c r="K268">
        <v>1</v>
      </c>
      <c r="L268">
        <v>40867468</v>
      </c>
      <c r="M268" t="s">
        <v>600</v>
      </c>
      <c r="N268">
        <v>0</v>
      </c>
      <c r="O268">
        <v>42.37</v>
      </c>
      <c r="P268">
        <v>0</v>
      </c>
      <c r="Q268">
        <v>7.63</v>
      </c>
      <c r="R268">
        <v>0</v>
      </c>
      <c r="S268">
        <v>0</v>
      </c>
      <c r="T268">
        <v>0</v>
      </c>
      <c r="U268">
        <v>0</v>
      </c>
      <c r="V268">
        <v>0</v>
      </c>
      <c r="W268">
        <v>0</v>
      </c>
      <c r="X268">
        <v>0</v>
      </c>
      <c r="Y268">
        <v>0</v>
      </c>
      <c r="Z268">
        <v>50</v>
      </c>
      <c r="AA268" t="s">
        <v>116</v>
      </c>
      <c r="AB268">
        <v>1</v>
      </c>
      <c r="AI268">
        <v>1</v>
      </c>
      <c r="AJ268">
        <v>0</v>
      </c>
      <c r="AK268">
        <v>0</v>
      </c>
      <c r="AL268">
        <v>101</v>
      </c>
    </row>
    <row r="269" spans="1:38" x14ac:dyDescent="0.25">
      <c r="A269">
        <v>20608997106</v>
      </c>
      <c r="B269" t="s">
        <v>115</v>
      </c>
      <c r="C269">
        <v>202606</v>
      </c>
      <c r="D269" t="s">
        <v>636</v>
      </c>
      <c r="E269" s="99">
        <v>46202</v>
      </c>
      <c r="G269">
        <v>3</v>
      </c>
      <c r="H269" t="s">
        <v>141</v>
      </c>
      <c r="I269">
        <v>3923</v>
      </c>
      <c r="K269">
        <v>1</v>
      </c>
      <c r="L269">
        <v>71380093</v>
      </c>
      <c r="M269" t="s">
        <v>637</v>
      </c>
      <c r="N269">
        <v>0</v>
      </c>
      <c r="O269">
        <v>76.27</v>
      </c>
      <c r="P269">
        <v>0</v>
      </c>
      <c r="Q269">
        <v>13.73</v>
      </c>
      <c r="R269">
        <v>0</v>
      </c>
      <c r="S269">
        <v>0</v>
      </c>
      <c r="T269">
        <v>0</v>
      </c>
      <c r="U269">
        <v>0</v>
      </c>
      <c r="V269">
        <v>0</v>
      </c>
      <c r="W269">
        <v>0</v>
      </c>
      <c r="X269">
        <v>0</v>
      </c>
      <c r="Y269">
        <v>0</v>
      </c>
      <c r="Z269">
        <v>90</v>
      </c>
      <c r="AA269" t="s">
        <v>116</v>
      </c>
      <c r="AB269">
        <v>1</v>
      </c>
      <c r="AI269">
        <v>1</v>
      </c>
      <c r="AJ269">
        <v>0</v>
      </c>
      <c r="AK269">
        <v>0</v>
      </c>
      <c r="AL269">
        <v>101</v>
      </c>
    </row>
    <row r="270" spans="1:38" x14ac:dyDescent="0.25">
      <c r="A270">
        <v>20608997106</v>
      </c>
      <c r="B270" t="s">
        <v>115</v>
      </c>
      <c r="C270">
        <v>202606</v>
      </c>
      <c r="D270" t="s">
        <v>638</v>
      </c>
      <c r="E270" s="99">
        <v>46202</v>
      </c>
      <c r="G270">
        <v>3</v>
      </c>
      <c r="H270" t="s">
        <v>141</v>
      </c>
      <c r="I270">
        <v>3924</v>
      </c>
      <c r="K270">
        <v>1</v>
      </c>
      <c r="L270">
        <v>71549263</v>
      </c>
      <c r="M270" t="s">
        <v>639</v>
      </c>
      <c r="N270">
        <v>0</v>
      </c>
      <c r="O270">
        <v>186.44</v>
      </c>
      <c r="P270">
        <v>0</v>
      </c>
      <c r="Q270">
        <v>33.56</v>
      </c>
      <c r="R270">
        <v>0</v>
      </c>
      <c r="S270">
        <v>0</v>
      </c>
      <c r="T270">
        <v>0</v>
      </c>
      <c r="U270">
        <v>0</v>
      </c>
      <c r="V270">
        <v>0</v>
      </c>
      <c r="W270">
        <v>0</v>
      </c>
      <c r="X270">
        <v>0</v>
      </c>
      <c r="Y270">
        <v>0</v>
      </c>
      <c r="Z270">
        <v>220</v>
      </c>
      <c r="AA270" t="s">
        <v>116</v>
      </c>
      <c r="AB270">
        <v>1</v>
      </c>
      <c r="AI270">
        <v>1</v>
      </c>
      <c r="AJ270">
        <v>0</v>
      </c>
      <c r="AK270">
        <v>0</v>
      </c>
      <c r="AL270">
        <v>101</v>
      </c>
    </row>
    <row r="271" spans="1:38" x14ac:dyDescent="0.25">
      <c r="A271">
        <v>20608997106</v>
      </c>
      <c r="B271" t="s">
        <v>115</v>
      </c>
      <c r="C271">
        <v>202606</v>
      </c>
      <c r="D271" t="s">
        <v>640</v>
      </c>
      <c r="E271" s="99">
        <v>46202</v>
      </c>
      <c r="G271">
        <v>3</v>
      </c>
      <c r="H271" t="s">
        <v>141</v>
      </c>
      <c r="I271">
        <v>3925</v>
      </c>
      <c r="K271">
        <v>1</v>
      </c>
      <c r="L271">
        <v>44382015</v>
      </c>
      <c r="M271" t="s">
        <v>641</v>
      </c>
      <c r="N271">
        <v>0</v>
      </c>
      <c r="O271">
        <v>43.22</v>
      </c>
      <c r="P271">
        <v>0</v>
      </c>
      <c r="Q271">
        <v>7.78</v>
      </c>
      <c r="R271">
        <v>0</v>
      </c>
      <c r="S271">
        <v>0</v>
      </c>
      <c r="T271">
        <v>0</v>
      </c>
      <c r="U271">
        <v>0</v>
      </c>
      <c r="V271">
        <v>0</v>
      </c>
      <c r="W271">
        <v>0</v>
      </c>
      <c r="X271">
        <v>0</v>
      </c>
      <c r="Y271">
        <v>0</v>
      </c>
      <c r="Z271">
        <v>51</v>
      </c>
      <c r="AA271" t="s">
        <v>116</v>
      </c>
      <c r="AB271">
        <v>1</v>
      </c>
      <c r="AI271">
        <v>1</v>
      </c>
      <c r="AJ271">
        <v>0</v>
      </c>
      <c r="AK271">
        <v>0</v>
      </c>
      <c r="AL271">
        <v>101</v>
      </c>
    </row>
    <row r="272" spans="1:38" x14ac:dyDescent="0.25">
      <c r="A272">
        <v>20608997106</v>
      </c>
      <c r="B272" t="s">
        <v>115</v>
      </c>
      <c r="C272">
        <v>202606</v>
      </c>
      <c r="D272" t="s">
        <v>642</v>
      </c>
      <c r="E272" s="99">
        <v>46202</v>
      </c>
      <c r="G272">
        <v>3</v>
      </c>
      <c r="H272" t="s">
        <v>141</v>
      </c>
      <c r="I272">
        <v>3926</v>
      </c>
      <c r="K272">
        <v>1</v>
      </c>
      <c r="L272">
        <v>10515186</v>
      </c>
      <c r="M272" t="s">
        <v>286</v>
      </c>
      <c r="N272">
        <v>0</v>
      </c>
      <c r="O272">
        <v>122.03</v>
      </c>
      <c r="P272">
        <v>0</v>
      </c>
      <c r="Q272">
        <v>21.97</v>
      </c>
      <c r="R272">
        <v>0</v>
      </c>
      <c r="S272">
        <v>0</v>
      </c>
      <c r="T272">
        <v>0</v>
      </c>
      <c r="U272">
        <v>0</v>
      </c>
      <c r="V272">
        <v>0</v>
      </c>
      <c r="W272">
        <v>0</v>
      </c>
      <c r="X272">
        <v>0</v>
      </c>
      <c r="Y272">
        <v>0</v>
      </c>
      <c r="Z272">
        <v>144</v>
      </c>
      <c r="AA272" t="s">
        <v>116</v>
      </c>
      <c r="AB272">
        <v>1</v>
      </c>
      <c r="AI272">
        <v>1</v>
      </c>
      <c r="AJ272">
        <v>0</v>
      </c>
      <c r="AK272">
        <v>0</v>
      </c>
      <c r="AL272">
        <v>101</v>
      </c>
    </row>
    <row r="273" spans="1:38" x14ac:dyDescent="0.25">
      <c r="A273">
        <v>20608997106</v>
      </c>
      <c r="B273" t="s">
        <v>115</v>
      </c>
      <c r="C273">
        <v>202606</v>
      </c>
      <c r="D273" t="s">
        <v>643</v>
      </c>
      <c r="E273" s="99">
        <v>46202</v>
      </c>
      <c r="G273">
        <v>3</v>
      </c>
      <c r="H273" t="s">
        <v>141</v>
      </c>
      <c r="I273">
        <v>3927</v>
      </c>
      <c r="K273">
        <v>1</v>
      </c>
      <c r="L273">
        <v>10796885</v>
      </c>
      <c r="M273" t="s">
        <v>644</v>
      </c>
      <c r="N273">
        <v>0</v>
      </c>
      <c r="O273">
        <v>42.37</v>
      </c>
      <c r="P273">
        <v>0</v>
      </c>
      <c r="Q273">
        <v>7.63</v>
      </c>
      <c r="R273">
        <v>0</v>
      </c>
      <c r="S273">
        <v>0</v>
      </c>
      <c r="T273">
        <v>0</v>
      </c>
      <c r="U273">
        <v>0</v>
      </c>
      <c r="V273">
        <v>0</v>
      </c>
      <c r="W273">
        <v>0</v>
      </c>
      <c r="X273">
        <v>0</v>
      </c>
      <c r="Y273">
        <v>0</v>
      </c>
      <c r="Z273">
        <v>50</v>
      </c>
      <c r="AA273" t="s">
        <v>116</v>
      </c>
      <c r="AB273">
        <v>1</v>
      </c>
      <c r="AI273">
        <v>1</v>
      </c>
      <c r="AJ273">
        <v>0</v>
      </c>
      <c r="AK273">
        <v>0</v>
      </c>
      <c r="AL273">
        <v>101</v>
      </c>
    </row>
    <row r="274" spans="1:38" x14ac:dyDescent="0.25">
      <c r="A274">
        <v>20608997106</v>
      </c>
      <c r="B274" t="s">
        <v>115</v>
      </c>
      <c r="C274">
        <v>202606</v>
      </c>
      <c r="D274" t="s">
        <v>645</v>
      </c>
      <c r="E274" s="99">
        <v>46202</v>
      </c>
      <c r="G274">
        <v>3</v>
      </c>
      <c r="H274" t="s">
        <v>141</v>
      </c>
      <c r="I274">
        <v>3928</v>
      </c>
      <c r="K274">
        <v>1</v>
      </c>
      <c r="L274">
        <v>10515186</v>
      </c>
      <c r="M274" t="s">
        <v>286</v>
      </c>
      <c r="N274">
        <v>0</v>
      </c>
      <c r="O274">
        <v>84.75</v>
      </c>
      <c r="P274">
        <v>0</v>
      </c>
      <c r="Q274">
        <v>15.25</v>
      </c>
      <c r="R274">
        <v>0</v>
      </c>
      <c r="S274">
        <v>0</v>
      </c>
      <c r="T274">
        <v>0</v>
      </c>
      <c r="U274">
        <v>0</v>
      </c>
      <c r="V274">
        <v>0</v>
      </c>
      <c r="W274">
        <v>0</v>
      </c>
      <c r="X274">
        <v>0</v>
      </c>
      <c r="Y274">
        <v>0</v>
      </c>
      <c r="Z274">
        <v>100</v>
      </c>
      <c r="AA274" t="s">
        <v>116</v>
      </c>
      <c r="AB274">
        <v>1</v>
      </c>
      <c r="AI274">
        <v>1</v>
      </c>
      <c r="AJ274">
        <v>0</v>
      </c>
      <c r="AK274">
        <v>0</v>
      </c>
      <c r="AL274">
        <v>101</v>
      </c>
    </row>
    <row r="275" spans="1:38" x14ac:dyDescent="0.25">
      <c r="A275">
        <v>20608997106</v>
      </c>
      <c r="B275" t="s">
        <v>115</v>
      </c>
      <c r="C275">
        <v>202606</v>
      </c>
      <c r="D275" t="s">
        <v>646</v>
      </c>
      <c r="E275" s="99">
        <v>46202</v>
      </c>
      <c r="G275">
        <v>3</v>
      </c>
      <c r="H275" t="s">
        <v>141</v>
      </c>
      <c r="I275">
        <v>3929</v>
      </c>
      <c r="K275">
        <v>1</v>
      </c>
      <c r="L275">
        <v>19975637</v>
      </c>
      <c r="M275" t="s">
        <v>647</v>
      </c>
      <c r="N275">
        <v>0</v>
      </c>
      <c r="O275">
        <v>81.36</v>
      </c>
      <c r="P275">
        <v>0</v>
      </c>
      <c r="Q275">
        <v>14.64</v>
      </c>
      <c r="R275">
        <v>0</v>
      </c>
      <c r="S275">
        <v>0</v>
      </c>
      <c r="T275">
        <v>0</v>
      </c>
      <c r="U275">
        <v>0</v>
      </c>
      <c r="V275">
        <v>0</v>
      </c>
      <c r="W275">
        <v>0</v>
      </c>
      <c r="X275">
        <v>0</v>
      </c>
      <c r="Y275">
        <v>0</v>
      </c>
      <c r="Z275">
        <v>96</v>
      </c>
      <c r="AA275" t="s">
        <v>116</v>
      </c>
      <c r="AB275">
        <v>1</v>
      </c>
      <c r="AI275">
        <v>1</v>
      </c>
      <c r="AJ275">
        <v>0</v>
      </c>
      <c r="AK275">
        <v>0</v>
      </c>
      <c r="AL275">
        <v>101</v>
      </c>
    </row>
    <row r="276" spans="1:38" x14ac:dyDescent="0.25">
      <c r="A276">
        <v>20608997106</v>
      </c>
      <c r="B276" t="s">
        <v>115</v>
      </c>
      <c r="C276">
        <v>202606</v>
      </c>
      <c r="D276" t="s">
        <v>648</v>
      </c>
      <c r="E276" s="99">
        <v>46202</v>
      </c>
      <c r="G276">
        <v>3</v>
      </c>
      <c r="H276" t="s">
        <v>141</v>
      </c>
      <c r="I276">
        <v>3930</v>
      </c>
      <c r="K276">
        <v>1</v>
      </c>
      <c r="L276">
        <v>19974546</v>
      </c>
      <c r="M276" t="s">
        <v>649</v>
      </c>
      <c r="N276">
        <v>0</v>
      </c>
      <c r="O276">
        <v>116.95</v>
      </c>
      <c r="P276">
        <v>0</v>
      </c>
      <c r="Q276">
        <v>21.05</v>
      </c>
      <c r="R276">
        <v>0</v>
      </c>
      <c r="S276">
        <v>0</v>
      </c>
      <c r="T276">
        <v>0</v>
      </c>
      <c r="U276">
        <v>0</v>
      </c>
      <c r="V276">
        <v>0</v>
      </c>
      <c r="W276">
        <v>0</v>
      </c>
      <c r="X276">
        <v>0</v>
      </c>
      <c r="Y276">
        <v>0</v>
      </c>
      <c r="Z276">
        <v>138</v>
      </c>
      <c r="AA276" t="s">
        <v>116</v>
      </c>
      <c r="AB276">
        <v>1</v>
      </c>
      <c r="AI276">
        <v>1</v>
      </c>
      <c r="AJ276">
        <v>0</v>
      </c>
      <c r="AK276">
        <v>0</v>
      </c>
      <c r="AL276">
        <v>101</v>
      </c>
    </row>
    <row r="277" spans="1:38" x14ac:dyDescent="0.25">
      <c r="A277">
        <v>20608997106</v>
      </c>
      <c r="B277" t="s">
        <v>115</v>
      </c>
      <c r="C277">
        <v>202606</v>
      </c>
      <c r="D277" t="s">
        <v>650</v>
      </c>
      <c r="E277" s="99">
        <v>46202</v>
      </c>
      <c r="G277">
        <v>3</v>
      </c>
      <c r="H277" t="s">
        <v>141</v>
      </c>
      <c r="I277">
        <v>3931</v>
      </c>
      <c r="K277">
        <v>1</v>
      </c>
      <c r="L277">
        <v>45180346</v>
      </c>
      <c r="M277" t="s">
        <v>651</v>
      </c>
      <c r="N277">
        <v>0</v>
      </c>
      <c r="O277">
        <v>43.22</v>
      </c>
      <c r="P277">
        <v>0</v>
      </c>
      <c r="Q277">
        <v>7.78</v>
      </c>
      <c r="R277">
        <v>0</v>
      </c>
      <c r="S277">
        <v>0</v>
      </c>
      <c r="T277">
        <v>0</v>
      </c>
      <c r="U277">
        <v>0</v>
      </c>
      <c r="V277">
        <v>0</v>
      </c>
      <c r="W277">
        <v>0</v>
      </c>
      <c r="X277">
        <v>0</v>
      </c>
      <c r="Y277">
        <v>0</v>
      </c>
      <c r="Z277">
        <v>51</v>
      </c>
      <c r="AA277" t="s">
        <v>116</v>
      </c>
      <c r="AB277">
        <v>1</v>
      </c>
      <c r="AI277">
        <v>1</v>
      </c>
      <c r="AJ277">
        <v>0</v>
      </c>
      <c r="AK277">
        <v>0</v>
      </c>
      <c r="AL277">
        <v>101</v>
      </c>
    </row>
    <row r="278" spans="1:38" x14ac:dyDescent="0.25">
      <c r="A278">
        <v>20608997106</v>
      </c>
      <c r="B278" t="s">
        <v>115</v>
      </c>
      <c r="C278">
        <v>202606</v>
      </c>
      <c r="D278" t="s">
        <v>652</v>
      </c>
      <c r="E278" s="99">
        <v>46202</v>
      </c>
      <c r="G278">
        <v>3</v>
      </c>
      <c r="H278" t="s">
        <v>141</v>
      </c>
      <c r="I278">
        <v>3932</v>
      </c>
      <c r="K278">
        <v>1</v>
      </c>
      <c r="L278">
        <v>47006834</v>
      </c>
      <c r="M278" t="s">
        <v>653</v>
      </c>
      <c r="N278">
        <v>0</v>
      </c>
      <c r="O278">
        <v>81.36</v>
      </c>
      <c r="P278">
        <v>0</v>
      </c>
      <c r="Q278">
        <v>14.64</v>
      </c>
      <c r="R278">
        <v>0</v>
      </c>
      <c r="S278">
        <v>0</v>
      </c>
      <c r="T278">
        <v>0</v>
      </c>
      <c r="U278">
        <v>0</v>
      </c>
      <c r="V278">
        <v>0</v>
      </c>
      <c r="W278">
        <v>0</v>
      </c>
      <c r="X278">
        <v>0</v>
      </c>
      <c r="Y278">
        <v>0</v>
      </c>
      <c r="Z278">
        <v>96</v>
      </c>
      <c r="AA278" t="s">
        <v>116</v>
      </c>
      <c r="AB278">
        <v>1</v>
      </c>
      <c r="AI278">
        <v>1</v>
      </c>
      <c r="AJ278">
        <v>0</v>
      </c>
      <c r="AK278">
        <v>0</v>
      </c>
      <c r="AL278">
        <v>101</v>
      </c>
    </row>
    <row r="279" spans="1:38" x14ac:dyDescent="0.25">
      <c r="A279">
        <v>20608997106</v>
      </c>
      <c r="B279" t="s">
        <v>115</v>
      </c>
      <c r="C279">
        <v>202606</v>
      </c>
      <c r="D279" t="s">
        <v>654</v>
      </c>
      <c r="E279" s="99">
        <v>46202</v>
      </c>
      <c r="G279">
        <v>3</v>
      </c>
      <c r="H279" t="s">
        <v>141</v>
      </c>
      <c r="I279">
        <v>3933</v>
      </c>
      <c r="K279">
        <v>1</v>
      </c>
      <c r="L279">
        <v>60210275</v>
      </c>
      <c r="M279" t="s">
        <v>655</v>
      </c>
      <c r="N279">
        <v>0</v>
      </c>
      <c r="O279">
        <v>114.41</v>
      </c>
      <c r="P279">
        <v>0</v>
      </c>
      <c r="Q279">
        <v>20.59</v>
      </c>
      <c r="R279">
        <v>0</v>
      </c>
      <c r="S279">
        <v>0</v>
      </c>
      <c r="T279">
        <v>0</v>
      </c>
      <c r="U279">
        <v>0</v>
      </c>
      <c r="V279">
        <v>0</v>
      </c>
      <c r="W279">
        <v>0</v>
      </c>
      <c r="X279">
        <v>0</v>
      </c>
      <c r="Y279">
        <v>0</v>
      </c>
      <c r="Z279">
        <v>135</v>
      </c>
      <c r="AA279" t="s">
        <v>116</v>
      </c>
      <c r="AB279">
        <v>1</v>
      </c>
      <c r="AI279">
        <v>1</v>
      </c>
      <c r="AJ279">
        <v>0</v>
      </c>
      <c r="AK279">
        <v>0</v>
      </c>
      <c r="AL279">
        <v>101</v>
      </c>
    </row>
    <row r="280" spans="1:38" x14ac:dyDescent="0.25">
      <c r="A280">
        <v>20608997106</v>
      </c>
      <c r="B280" t="s">
        <v>115</v>
      </c>
      <c r="C280">
        <v>202606</v>
      </c>
      <c r="D280" t="s">
        <v>656</v>
      </c>
      <c r="E280" s="99">
        <v>46202</v>
      </c>
      <c r="G280">
        <v>3</v>
      </c>
      <c r="H280" t="s">
        <v>141</v>
      </c>
      <c r="I280">
        <v>3934</v>
      </c>
      <c r="K280">
        <v>1</v>
      </c>
      <c r="L280">
        <v>71414600</v>
      </c>
      <c r="M280" t="s">
        <v>657</v>
      </c>
      <c r="N280">
        <v>0</v>
      </c>
      <c r="O280">
        <v>223.73</v>
      </c>
      <c r="P280">
        <v>0</v>
      </c>
      <c r="Q280">
        <v>40.270000000000003</v>
      </c>
      <c r="R280">
        <v>0</v>
      </c>
      <c r="S280">
        <v>0</v>
      </c>
      <c r="T280">
        <v>0</v>
      </c>
      <c r="U280">
        <v>0</v>
      </c>
      <c r="V280">
        <v>0</v>
      </c>
      <c r="W280">
        <v>0</v>
      </c>
      <c r="X280">
        <v>0</v>
      </c>
      <c r="Y280">
        <v>0</v>
      </c>
      <c r="Z280">
        <v>264</v>
      </c>
      <c r="AA280" t="s">
        <v>116</v>
      </c>
      <c r="AB280">
        <v>1</v>
      </c>
      <c r="AI280">
        <v>1</v>
      </c>
      <c r="AJ280">
        <v>0</v>
      </c>
      <c r="AK280">
        <v>0</v>
      </c>
      <c r="AL280">
        <v>101</v>
      </c>
    </row>
    <row r="281" spans="1:38" x14ac:dyDescent="0.25">
      <c r="A281">
        <v>20608997106</v>
      </c>
      <c r="B281" t="s">
        <v>115</v>
      </c>
      <c r="C281">
        <v>202606</v>
      </c>
      <c r="D281" t="s">
        <v>658</v>
      </c>
      <c r="E281" s="99">
        <v>46202</v>
      </c>
      <c r="G281">
        <v>3</v>
      </c>
      <c r="H281" t="s">
        <v>141</v>
      </c>
      <c r="I281">
        <v>3935</v>
      </c>
      <c r="K281">
        <v>1</v>
      </c>
      <c r="L281">
        <v>23217674</v>
      </c>
      <c r="M281" t="s">
        <v>551</v>
      </c>
      <c r="N281">
        <v>0</v>
      </c>
      <c r="O281">
        <v>42.37</v>
      </c>
      <c r="P281">
        <v>0</v>
      </c>
      <c r="Q281">
        <v>7.63</v>
      </c>
      <c r="R281">
        <v>0</v>
      </c>
      <c r="S281">
        <v>0</v>
      </c>
      <c r="T281">
        <v>0</v>
      </c>
      <c r="U281">
        <v>0</v>
      </c>
      <c r="V281">
        <v>0</v>
      </c>
      <c r="W281">
        <v>0</v>
      </c>
      <c r="X281">
        <v>0</v>
      </c>
      <c r="Y281">
        <v>0</v>
      </c>
      <c r="Z281">
        <v>50</v>
      </c>
      <c r="AA281" t="s">
        <v>116</v>
      </c>
      <c r="AB281">
        <v>1</v>
      </c>
      <c r="AI281">
        <v>1</v>
      </c>
      <c r="AJ281">
        <v>0</v>
      </c>
      <c r="AK281">
        <v>0</v>
      </c>
      <c r="AL281">
        <v>101</v>
      </c>
    </row>
    <row r="282" spans="1:38" x14ac:dyDescent="0.25">
      <c r="A282">
        <v>20608997106</v>
      </c>
      <c r="B282" t="s">
        <v>115</v>
      </c>
      <c r="C282">
        <v>202606</v>
      </c>
      <c r="D282" t="s">
        <v>659</v>
      </c>
      <c r="E282" s="99">
        <v>46202</v>
      </c>
      <c r="G282">
        <v>3</v>
      </c>
      <c r="H282" t="s">
        <v>141</v>
      </c>
      <c r="I282">
        <v>3936</v>
      </c>
      <c r="K282">
        <v>1</v>
      </c>
      <c r="L282">
        <v>40759200</v>
      </c>
      <c r="M282" t="s">
        <v>549</v>
      </c>
      <c r="N282">
        <v>0</v>
      </c>
      <c r="O282">
        <v>81.36</v>
      </c>
      <c r="P282">
        <v>0</v>
      </c>
      <c r="Q282">
        <v>14.64</v>
      </c>
      <c r="R282">
        <v>0</v>
      </c>
      <c r="S282">
        <v>0</v>
      </c>
      <c r="T282">
        <v>0</v>
      </c>
      <c r="U282">
        <v>0</v>
      </c>
      <c r="V282">
        <v>0</v>
      </c>
      <c r="W282">
        <v>0</v>
      </c>
      <c r="X282">
        <v>0</v>
      </c>
      <c r="Y282">
        <v>0</v>
      </c>
      <c r="Z282">
        <v>96</v>
      </c>
      <c r="AA282" t="s">
        <v>116</v>
      </c>
      <c r="AB282">
        <v>1</v>
      </c>
      <c r="AI282">
        <v>1</v>
      </c>
      <c r="AJ282">
        <v>0</v>
      </c>
      <c r="AK282">
        <v>0</v>
      </c>
      <c r="AL282">
        <v>101</v>
      </c>
    </row>
    <row r="283" spans="1:38" x14ac:dyDescent="0.25">
      <c r="A283">
        <v>20608997106</v>
      </c>
      <c r="B283" t="s">
        <v>115</v>
      </c>
      <c r="C283">
        <v>202606</v>
      </c>
      <c r="D283" t="s">
        <v>660</v>
      </c>
      <c r="E283" s="99">
        <v>46202</v>
      </c>
      <c r="G283">
        <v>3</v>
      </c>
      <c r="H283" t="s">
        <v>141</v>
      </c>
      <c r="I283">
        <v>3937</v>
      </c>
      <c r="K283">
        <v>1</v>
      </c>
      <c r="L283">
        <v>43225930</v>
      </c>
      <c r="M283" t="s">
        <v>553</v>
      </c>
      <c r="N283">
        <v>0</v>
      </c>
      <c r="O283">
        <v>129.66</v>
      </c>
      <c r="P283">
        <v>0</v>
      </c>
      <c r="Q283">
        <v>23.34</v>
      </c>
      <c r="R283">
        <v>0</v>
      </c>
      <c r="S283">
        <v>0</v>
      </c>
      <c r="T283">
        <v>0</v>
      </c>
      <c r="U283">
        <v>0</v>
      </c>
      <c r="V283">
        <v>0</v>
      </c>
      <c r="W283">
        <v>0</v>
      </c>
      <c r="X283">
        <v>0</v>
      </c>
      <c r="Y283">
        <v>0</v>
      </c>
      <c r="Z283">
        <v>153</v>
      </c>
      <c r="AA283" t="s">
        <v>116</v>
      </c>
      <c r="AB283">
        <v>1</v>
      </c>
      <c r="AI283">
        <v>1</v>
      </c>
      <c r="AJ283">
        <v>0</v>
      </c>
      <c r="AK283">
        <v>0</v>
      </c>
      <c r="AL283">
        <v>101</v>
      </c>
    </row>
    <row r="284" spans="1:38" x14ac:dyDescent="0.25">
      <c r="A284">
        <v>20608997106</v>
      </c>
      <c r="B284" t="s">
        <v>115</v>
      </c>
      <c r="C284">
        <v>202606</v>
      </c>
      <c r="D284" t="s">
        <v>661</v>
      </c>
      <c r="E284" s="99">
        <v>46202</v>
      </c>
      <c r="G284">
        <v>3</v>
      </c>
      <c r="H284" t="s">
        <v>141</v>
      </c>
      <c r="I284">
        <v>3938</v>
      </c>
      <c r="K284">
        <v>1</v>
      </c>
      <c r="L284">
        <v>71546205</v>
      </c>
      <c r="M284" t="s">
        <v>555</v>
      </c>
      <c r="N284">
        <v>0</v>
      </c>
      <c r="O284">
        <v>223.73</v>
      </c>
      <c r="P284">
        <v>0</v>
      </c>
      <c r="Q284">
        <v>40.270000000000003</v>
      </c>
      <c r="R284">
        <v>0</v>
      </c>
      <c r="S284">
        <v>0</v>
      </c>
      <c r="T284">
        <v>0</v>
      </c>
      <c r="U284">
        <v>0</v>
      </c>
      <c r="V284">
        <v>0</v>
      </c>
      <c r="W284">
        <v>0</v>
      </c>
      <c r="X284">
        <v>0</v>
      </c>
      <c r="Y284">
        <v>0</v>
      </c>
      <c r="Z284">
        <v>264</v>
      </c>
      <c r="AA284" t="s">
        <v>116</v>
      </c>
      <c r="AB284">
        <v>1</v>
      </c>
      <c r="AI284">
        <v>1</v>
      </c>
      <c r="AJ284">
        <v>0</v>
      </c>
      <c r="AK284">
        <v>0</v>
      </c>
      <c r="AL284">
        <v>101</v>
      </c>
    </row>
    <row r="285" spans="1:38" x14ac:dyDescent="0.25">
      <c r="A285">
        <v>20608997106</v>
      </c>
      <c r="B285" t="s">
        <v>115</v>
      </c>
      <c r="C285">
        <v>202606</v>
      </c>
      <c r="D285" t="s">
        <v>662</v>
      </c>
      <c r="E285" s="99">
        <v>46202</v>
      </c>
      <c r="G285">
        <v>3</v>
      </c>
      <c r="H285" t="s">
        <v>141</v>
      </c>
      <c r="I285">
        <v>3939</v>
      </c>
      <c r="K285">
        <v>1</v>
      </c>
      <c r="L285">
        <v>44206524</v>
      </c>
      <c r="M285" t="s">
        <v>561</v>
      </c>
      <c r="N285">
        <v>0</v>
      </c>
      <c r="O285">
        <v>41.53</v>
      </c>
      <c r="P285">
        <v>0</v>
      </c>
      <c r="Q285">
        <v>7.47</v>
      </c>
      <c r="R285">
        <v>0</v>
      </c>
      <c r="S285">
        <v>0</v>
      </c>
      <c r="T285">
        <v>0</v>
      </c>
      <c r="U285">
        <v>0</v>
      </c>
      <c r="V285">
        <v>0</v>
      </c>
      <c r="W285">
        <v>0</v>
      </c>
      <c r="X285">
        <v>0</v>
      </c>
      <c r="Y285">
        <v>0</v>
      </c>
      <c r="Z285">
        <v>49</v>
      </c>
      <c r="AA285" t="s">
        <v>116</v>
      </c>
      <c r="AB285">
        <v>1</v>
      </c>
      <c r="AI285">
        <v>1</v>
      </c>
      <c r="AJ285">
        <v>0</v>
      </c>
      <c r="AK285">
        <v>0</v>
      </c>
      <c r="AL285">
        <v>101</v>
      </c>
    </row>
    <row r="286" spans="1:38" x14ac:dyDescent="0.25">
      <c r="A286">
        <v>20608997106</v>
      </c>
      <c r="B286" t="s">
        <v>115</v>
      </c>
      <c r="C286">
        <v>202606</v>
      </c>
      <c r="D286" t="s">
        <v>663</v>
      </c>
      <c r="E286" s="99">
        <v>46202</v>
      </c>
      <c r="G286">
        <v>3</v>
      </c>
      <c r="H286" t="s">
        <v>141</v>
      </c>
      <c r="I286">
        <v>3940</v>
      </c>
      <c r="K286">
        <v>1</v>
      </c>
      <c r="L286">
        <v>80130130</v>
      </c>
      <c r="M286" t="s">
        <v>664</v>
      </c>
      <c r="N286">
        <v>0</v>
      </c>
      <c r="O286">
        <v>81.36</v>
      </c>
      <c r="P286">
        <v>0</v>
      </c>
      <c r="Q286">
        <v>14.64</v>
      </c>
      <c r="R286">
        <v>0</v>
      </c>
      <c r="S286">
        <v>0</v>
      </c>
      <c r="T286">
        <v>0</v>
      </c>
      <c r="U286">
        <v>0</v>
      </c>
      <c r="V286">
        <v>0</v>
      </c>
      <c r="W286">
        <v>0</v>
      </c>
      <c r="X286">
        <v>0</v>
      </c>
      <c r="Y286">
        <v>0</v>
      </c>
      <c r="Z286">
        <v>96</v>
      </c>
      <c r="AA286" t="s">
        <v>116</v>
      </c>
      <c r="AB286">
        <v>1</v>
      </c>
      <c r="AI286">
        <v>1</v>
      </c>
      <c r="AJ286">
        <v>0</v>
      </c>
      <c r="AK286">
        <v>0</v>
      </c>
      <c r="AL286">
        <v>101</v>
      </c>
    </row>
    <row r="287" spans="1:38" x14ac:dyDescent="0.25">
      <c r="A287">
        <v>20608997106</v>
      </c>
      <c r="B287" t="s">
        <v>115</v>
      </c>
      <c r="C287">
        <v>202606</v>
      </c>
      <c r="D287" t="s">
        <v>665</v>
      </c>
      <c r="E287" s="99">
        <v>46202</v>
      </c>
      <c r="G287">
        <v>3</v>
      </c>
      <c r="H287" t="s">
        <v>141</v>
      </c>
      <c r="I287">
        <v>3941</v>
      </c>
      <c r="K287">
        <v>1</v>
      </c>
      <c r="L287">
        <v>71350105</v>
      </c>
      <c r="M287" t="s">
        <v>666</v>
      </c>
      <c r="N287">
        <v>0</v>
      </c>
      <c r="O287">
        <v>155.93</v>
      </c>
      <c r="P287">
        <v>0</v>
      </c>
      <c r="Q287">
        <v>28.07</v>
      </c>
      <c r="R287">
        <v>0</v>
      </c>
      <c r="S287">
        <v>0</v>
      </c>
      <c r="T287">
        <v>0</v>
      </c>
      <c r="U287">
        <v>0</v>
      </c>
      <c r="V287">
        <v>0</v>
      </c>
      <c r="W287">
        <v>0</v>
      </c>
      <c r="X287">
        <v>0</v>
      </c>
      <c r="Y287">
        <v>0</v>
      </c>
      <c r="Z287">
        <v>184</v>
      </c>
      <c r="AA287" t="s">
        <v>116</v>
      </c>
      <c r="AB287">
        <v>1</v>
      </c>
      <c r="AI287">
        <v>1</v>
      </c>
      <c r="AJ287">
        <v>0</v>
      </c>
      <c r="AK287">
        <v>0</v>
      </c>
      <c r="AL287">
        <v>101</v>
      </c>
    </row>
    <row r="288" spans="1:38" x14ac:dyDescent="0.25">
      <c r="A288">
        <v>20608997106</v>
      </c>
      <c r="B288" t="s">
        <v>115</v>
      </c>
      <c r="C288">
        <v>202606</v>
      </c>
      <c r="D288" t="s">
        <v>667</v>
      </c>
      <c r="E288" s="99">
        <v>46202</v>
      </c>
      <c r="G288">
        <v>3</v>
      </c>
      <c r="H288" t="s">
        <v>141</v>
      </c>
      <c r="I288">
        <v>3942</v>
      </c>
      <c r="K288">
        <v>1</v>
      </c>
      <c r="L288">
        <v>46881183</v>
      </c>
      <c r="M288" t="s">
        <v>668</v>
      </c>
      <c r="N288">
        <v>0</v>
      </c>
      <c r="O288">
        <v>42.37</v>
      </c>
      <c r="P288">
        <v>0</v>
      </c>
      <c r="Q288">
        <v>7.63</v>
      </c>
      <c r="R288">
        <v>0</v>
      </c>
      <c r="S288">
        <v>0</v>
      </c>
      <c r="T288">
        <v>0</v>
      </c>
      <c r="U288">
        <v>0</v>
      </c>
      <c r="V288">
        <v>0</v>
      </c>
      <c r="W288">
        <v>0</v>
      </c>
      <c r="X288">
        <v>0</v>
      </c>
      <c r="Y288">
        <v>0</v>
      </c>
      <c r="Z288">
        <v>50</v>
      </c>
      <c r="AA288" t="s">
        <v>116</v>
      </c>
      <c r="AB288">
        <v>1</v>
      </c>
      <c r="AI288">
        <v>1</v>
      </c>
      <c r="AJ288">
        <v>0</v>
      </c>
      <c r="AK288">
        <v>0</v>
      </c>
      <c r="AL288">
        <v>101</v>
      </c>
    </row>
    <row r="289" spans="1:38" x14ac:dyDescent="0.25">
      <c r="A289">
        <v>20608997106</v>
      </c>
      <c r="B289" t="s">
        <v>115</v>
      </c>
      <c r="C289">
        <v>202606</v>
      </c>
      <c r="D289" t="s">
        <v>669</v>
      </c>
      <c r="E289" s="99">
        <v>46202</v>
      </c>
      <c r="G289">
        <v>3</v>
      </c>
      <c r="H289" t="s">
        <v>141</v>
      </c>
      <c r="I289">
        <v>3943</v>
      </c>
      <c r="K289">
        <v>1</v>
      </c>
      <c r="L289">
        <v>71380136</v>
      </c>
      <c r="M289" t="s">
        <v>670</v>
      </c>
      <c r="N289">
        <v>0</v>
      </c>
      <c r="O289">
        <v>77.97</v>
      </c>
      <c r="P289">
        <v>0</v>
      </c>
      <c r="Q289">
        <v>14.03</v>
      </c>
      <c r="R289">
        <v>0</v>
      </c>
      <c r="S289">
        <v>0</v>
      </c>
      <c r="T289">
        <v>0</v>
      </c>
      <c r="U289">
        <v>0</v>
      </c>
      <c r="V289">
        <v>0</v>
      </c>
      <c r="W289">
        <v>0</v>
      </c>
      <c r="X289">
        <v>0</v>
      </c>
      <c r="Y289">
        <v>0</v>
      </c>
      <c r="Z289">
        <v>92</v>
      </c>
      <c r="AA289" t="s">
        <v>116</v>
      </c>
      <c r="AB289">
        <v>1</v>
      </c>
      <c r="AI289">
        <v>1</v>
      </c>
      <c r="AJ289">
        <v>0</v>
      </c>
      <c r="AK289">
        <v>0</v>
      </c>
      <c r="AL289">
        <v>101</v>
      </c>
    </row>
    <row r="290" spans="1:38" x14ac:dyDescent="0.25">
      <c r="A290">
        <v>20608997106</v>
      </c>
      <c r="B290" t="s">
        <v>115</v>
      </c>
      <c r="C290">
        <v>202606</v>
      </c>
      <c r="D290" t="s">
        <v>671</v>
      </c>
      <c r="E290" s="99">
        <v>46202</v>
      </c>
      <c r="G290">
        <v>3</v>
      </c>
      <c r="H290" t="s">
        <v>141</v>
      </c>
      <c r="I290">
        <v>3944</v>
      </c>
      <c r="K290">
        <v>1</v>
      </c>
      <c r="L290">
        <v>60006660</v>
      </c>
      <c r="M290" t="s">
        <v>672</v>
      </c>
      <c r="N290">
        <v>0</v>
      </c>
      <c r="O290">
        <v>42.37</v>
      </c>
      <c r="P290">
        <v>0</v>
      </c>
      <c r="Q290">
        <v>7.63</v>
      </c>
      <c r="R290">
        <v>0</v>
      </c>
      <c r="S290">
        <v>0</v>
      </c>
      <c r="T290">
        <v>0</v>
      </c>
      <c r="U290">
        <v>0</v>
      </c>
      <c r="V290">
        <v>0</v>
      </c>
      <c r="W290">
        <v>0</v>
      </c>
      <c r="X290">
        <v>0</v>
      </c>
      <c r="Y290">
        <v>0</v>
      </c>
      <c r="Z290">
        <v>50</v>
      </c>
      <c r="AA290" t="s">
        <v>116</v>
      </c>
      <c r="AB290">
        <v>1</v>
      </c>
      <c r="AI290">
        <v>1</v>
      </c>
      <c r="AJ290">
        <v>0</v>
      </c>
      <c r="AK290">
        <v>0</v>
      </c>
      <c r="AL290">
        <v>101</v>
      </c>
    </row>
    <row r="291" spans="1:38" x14ac:dyDescent="0.25">
      <c r="A291">
        <v>20608997106</v>
      </c>
      <c r="B291" t="s">
        <v>115</v>
      </c>
      <c r="C291">
        <v>202606</v>
      </c>
      <c r="D291" t="s">
        <v>673</v>
      </c>
      <c r="E291" s="99">
        <v>46202</v>
      </c>
      <c r="G291">
        <v>3</v>
      </c>
      <c r="H291" t="s">
        <v>141</v>
      </c>
      <c r="I291">
        <v>3945</v>
      </c>
      <c r="K291" t="s">
        <v>142</v>
      </c>
      <c r="L291" t="s">
        <v>142</v>
      </c>
      <c r="M291" t="s">
        <v>674</v>
      </c>
      <c r="N291">
        <v>0</v>
      </c>
      <c r="O291">
        <v>190.68</v>
      </c>
      <c r="P291">
        <v>0</v>
      </c>
      <c r="Q291">
        <v>34.32</v>
      </c>
      <c r="R291">
        <v>0</v>
      </c>
      <c r="S291">
        <v>0</v>
      </c>
      <c r="T291">
        <v>0</v>
      </c>
      <c r="U291">
        <v>0</v>
      </c>
      <c r="V291">
        <v>0</v>
      </c>
      <c r="W291">
        <v>0</v>
      </c>
      <c r="X291">
        <v>0</v>
      </c>
      <c r="Y291">
        <v>0</v>
      </c>
      <c r="Z291">
        <v>225</v>
      </c>
      <c r="AA291" t="s">
        <v>116</v>
      </c>
      <c r="AB291">
        <v>1</v>
      </c>
      <c r="AI291">
        <v>1</v>
      </c>
      <c r="AJ291">
        <v>0</v>
      </c>
      <c r="AK291">
        <v>0</v>
      </c>
      <c r="AL291">
        <v>101</v>
      </c>
    </row>
    <row r="292" spans="1:38" x14ac:dyDescent="0.25">
      <c r="A292">
        <v>20608997106</v>
      </c>
      <c r="B292" t="s">
        <v>115</v>
      </c>
      <c r="C292">
        <v>202606</v>
      </c>
      <c r="D292" t="s">
        <v>675</v>
      </c>
      <c r="E292" s="99">
        <v>46202</v>
      </c>
      <c r="G292">
        <v>3</v>
      </c>
      <c r="H292" t="s">
        <v>141</v>
      </c>
      <c r="I292">
        <v>3946</v>
      </c>
      <c r="K292" t="s">
        <v>142</v>
      </c>
      <c r="L292" t="s">
        <v>142</v>
      </c>
      <c r="M292" t="s">
        <v>676</v>
      </c>
      <c r="N292">
        <v>0</v>
      </c>
      <c r="O292">
        <v>364.41</v>
      </c>
      <c r="P292">
        <v>0</v>
      </c>
      <c r="Q292">
        <v>65.59</v>
      </c>
      <c r="R292">
        <v>0</v>
      </c>
      <c r="S292">
        <v>0</v>
      </c>
      <c r="T292">
        <v>0</v>
      </c>
      <c r="U292">
        <v>0</v>
      </c>
      <c r="V292">
        <v>0</v>
      </c>
      <c r="W292">
        <v>0</v>
      </c>
      <c r="X292">
        <v>0</v>
      </c>
      <c r="Y292">
        <v>0</v>
      </c>
      <c r="Z292">
        <v>430</v>
      </c>
      <c r="AA292" t="s">
        <v>116</v>
      </c>
      <c r="AB292">
        <v>1</v>
      </c>
      <c r="AI292">
        <v>1</v>
      </c>
      <c r="AJ292">
        <v>0</v>
      </c>
      <c r="AK292">
        <v>0</v>
      </c>
      <c r="AL292">
        <v>101</v>
      </c>
    </row>
    <row r="293" spans="1:38" x14ac:dyDescent="0.25">
      <c r="A293">
        <v>20608997106</v>
      </c>
      <c r="B293" t="s">
        <v>115</v>
      </c>
      <c r="C293">
        <v>202606</v>
      </c>
      <c r="D293" t="s">
        <v>677</v>
      </c>
      <c r="E293" s="99">
        <v>46202</v>
      </c>
      <c r="G293">
        <v>3</v>
      </c>
      <c r="H293" t="s">
        <v>141</v>
      </c>
      <c r="I293">
        <v>3947</v>
      </c>
      <c r="K293" t="s">
        <v>142</v>
      </c>
      <c r="L293" t="s">
        <v>142</v>
      </c>
      <c r="M293" t="s">
        <v>678</v>
      </c>
      <c r="N293">
        <v>0</v>
      </c>
      <c r="O293">
        <v>152.54</v>
      </c>
      <c r="P293">
        <v>0</v>
      </c>
      <c r="Q293">
        <v>27.46</v>
      </c>
      <c r="R293">
        <v>0</v>
      </c>
      <c r="S293">
        <v>0</v>
      </c>
      <c r="T293">
        <v>0</v>
      </c>
      <c r="U293">
        <v>0</v>
      </c>
      <c r="V293">
        <v>0</v>
      </c>
      <c r="W293">
        <v>0</v>
      </c>
      <c r="X293">
        <v>0</v>
      </c>
      <c r="Y293">
        <v>0</v>
      </c>
      <c r="Z293">
        <v>180</v>
      </c>
      <c r="AA293" t="s">
        <v>116</v>
      </c>
      <c r="AB293">
        <v>1</v>
      </c>
      <c r="AI293">
        <v>1</v>
      </c>
      <c r="AJ293">
        <v>0</v>
      </c>
      <c r="AK293">
        <v>0</v>
      </c>
      <c r="AL293">
        <v>101</v>
      </c>
    </row>
    <row r="294" spans="1:38" x14ac:dyDescent="0.25">
      <c r="A294">
        <v>20608997106</v>
      </c>
      <c r="B294" t="s">
        <v>115</v>
      </c>
      <c r="C294">
        <v>202606</v>
      </c>
      <c r="D294" t="s">
        <v>679</v>
      </c>
      <c r="E294" s="99">
        <v>46202</v>
      </c>
      <c r="G294">
        <v>3</v>
      </c>
      <c r="H294" t="s">
        <v>141</v>
      </c>
      <c r="I294">
        <v>3948</v>
      </c>
      <c r="K294" t="s">
        <v>142</v>
      </c>
      <c r="L294" t="s">
        <v>142</v>
      </c>
      <c r="M294" t="s">
        <v>680</v>
      </c>
      <c r="N294">
        <v>0</v>
      </c>
      <c r="O294">
        <v>223.73</v>
      </c>
      <c r="P294">
        <v>0</v>
      </c>
      <c r="Q294">
        <v>40.270000000000003</v>
      </c>
      <c r="R294">
        <v>0</v>
      </c>
      <c r="S294">
        <v>0</v>
      </c>
      <c r="T294">
        <v>0</v>
      </c>
      <c r="U294">
        <v>0</v>
      </c>
      <c r="V294">
        <v>0</v>
      </c>
      <c r="W294">
        <v>0</v>
      </c>
      <c r="X294">
        <v>0</v>
      </c>
      <c r="Y294">
        <v>0</v>
      </c>
      <c r="Z294">
        <v>264</v>
      </c>
      <c r="AA294" t="s">
        <v>116</v>
      </c>
      <c r="AB294">
        <v>1</v>
      </c>
      <c r="AI294">
        <v>1</v>
      </c>
      <c r="AJ294">
        <v>0</v>
      </c>
      <c r="AK294">
        <v>0</v>
      </c>
      <c r="AL294">
        <v>101</v>
      </c>
    </row>
    <row r="295" spans="1:38" x14ac:dyDescent="0.25">
      <c r="A295">
        <v>20608997106</v>
      </c>
      <c r="B295" t="s">
        <v>115</v>
      </c>
      <c r="C295">
        <v>202606</v>
      </c>
      <c r="D295" t="s">
        <v>681</v>
      </c>
      <c r="E295" s="99">
        <v>46202</v>
      </c>
      <c r="G295">
        <v>3</v>
      </c>
      <c r="H295" t="s">
        <v>141</v>
      </c>
      <c r="I295">
        <v>3949</v>
      </c>
      <c r="K295" t="s">
        <v>142</v>
      </c>
      <c r="L295" t="s">
        <v>142</v>
      </c>
      <c r="M295" t="s">
        <v>682</v>
      </c>
      <c r="N295">
        <v>0</v>
      </c>
      <c r="O295">
        <v>186.44</v>
      </c>
      <c r="P295">
        <v>0</v>
      </c>
      <c r="Q295">
        <v>33.56</v>
      </c>
      <c r="R295">
        <v>0</v>
      </c>
      <c r="S295">
        <v>0</v>
      </c>
      <c r="T295">
        <v>0</v>
      </c>
      <c r="U295">
        <v>0</v>
      </c>
      <c r="V295">
        <v>0</v>
      </c>
      <c r="W295">
        <v>0</v>
      </c>
      <c r="X295">
        <v>0</v>
      </c>
      <c r="Y295">
        <v>0</v>
      </c>
      <c r="Z295">
        <v>220</v>
      </c>
      <c r="AA295" t="s">
        <v>116</v>
      </c>
      <c r="AB295">
        <v>1</v>
      </c>
      <c r="AI295">
        <v>1</v>
      </c>
      <c r="AJ295">
        <v>0</v>
      </c>
      <c r="AK295">
        <v>0</v>
      </c>
      <c r="AL295">
        <v>101</v>
      </c>
    </row>
    <row r="296" spans="1:38" x14ac:dyDescent="0.25">
      <c r="A296">
        <v>20608997106</v>
      </c>
      <c r="B296" t="s">
        <v>115</v>
      </c>
      <c r="C296">
        <v>202606</v>
      </c>
      <c r="D296" t="s">
        <v>683</v>
      </c>
      <c r="E296" s="99">
        <v>46202</v>
      </c>
      <c r="G296">
        <v>3</v>
      </c>
      <c r="H296" t="s">
        <v>141</v>
      </c>
      <c r="I296">
        <v>3950</v>
      </c>
      <c r="K296" t="s">
        <v>142</v>
      </c>
      <c r="L296" t="s">
        <v>142</v>
      </c>
      <c r="M296" t="s">
        <v>684</v>
      </c>
      <c r="N296">
        <v>0</v>
      </c>
      <c r="O296">
        <v>298.31</v>
      </c>
      <c r="P296">
        <v>0</v>
      </c>
      <c r="Q296">
        <v>53.69</v>
      </c>
      <c r="R296">
        <v>0</v>
      </c>
      <c r="S296">
        <v>0</v>
      </c>
      <c r="T296">
        <v>0</v>
      </c>
      <c r="U296">
        <v>0</v>
      </c>
      <c r="V296">
        <v>0</v>
      </c>
      <c r="W296">
        <v>0</v>
      </c>
      <c r="X296">
        <v>0</v>
      </c>
      <c r="Y296">
        <v>0</v>
      </c>
      <c r="Z296">
        <v>352</v>
      </c>
      <c r="AA296" t="s">
        <v>116</v>
      </c>
      <c r="AB296">
        <v>1</v>
      </c>
      <c r="AI296">
        <v>1</v>
      </c>
      <c r="AJ296">
        <v>0</v>
      </c>
      <c r="AK296">
        <v>0</v>
      </c>
      <c r="AL296">
        <v>101</v>
      </c>
    </row>
    <row r="297" spans="1:38" x14ac:dyDescent="0.25">
      <c r="A297">
        <v>20608997106</v>
      </c>
      <c r="B297" t="s">
        <v>115</v>
      </c>
      <c r="C297">
        <v>202606</v>
      </c>
      <c r="D297" t="s">
        <v>685</v>
      </c>
      <c r="E297" s="99">
        <v>46202</v>
      </c>
      <c r="G297">
        <v>3</v>
      </c>
      <c r="H297" t="s">
        <v>141</v>
      </c>
      <c r="I297">
        <v>3951</v>
      </c>
      <c r="K297" t="s">
        <v>142</v>
      </c>
      <c r="L297" t="s">
        <v>142</v>
      </c>
      <c r="M297" t="s">
        <v>686</v>
      </c>
      <c r="N297">
        <v>0</v>
      </c>
      <c r="O297">
        <v>261.02</v>
      </c>
      <c r="P297">
        <v>0</v>
      </c>
      <c r="Q297">
        <v>46.98</v>
      </c>
      <c r="R297">
        <v>0</v>
      </c>
      <c r="S297">
        <v>0</v>
      </c>
      <c r="T297">
        <v>0</v>
      </c>
      <c r="U297">
        <v>0</v>
      </c>
      <c r="V297">
        <v>0</v>
      </c>
      <c r="W297">
        <v>0</v>
      </c>
      <c r="X297">
        <v>0</v>
      </c>
      <c r="Y297">
        <v>0</v>
      </c>
      <c r="Z297">
        <v>308</v>
      </c>
      <c r="AA297" t="s">
        <v>116</v>
      </c>
      <c r="AB297">
        <v>1</v>
      </c>
      <c r="AI297">
        <v>1</v>
      </c>
      <c r="AJ297">
        <v>0</v>
      </c>
      <c r="AK297">
        <v>0</v>
      </c>
      <c r="AL297">
        <v>101</v>
      </c>
    </row>
    <row r="298" spans="1:38" x14ac:dyDescent="0.25">
      <c r="A298">
        <v>20608997106</v>
      </c>
      <c r="B298" t="s">
        <v>115</v>
      </c>
      <c r="C298">
        <v>202606</v>
      </c>
      <c r="D298" t="s">
        <v>687</v>
      </c>
      <c r="E298" s="99">
        <v>46202</v>
      </c>
      <c r="G298">
        <v>3</v>
      </c>
      <c r="H298" t="s">
        <v>141</v>
      </c>
      <c r="I298">
        <v>3952</v>
      </c>
      <c r="K298" t="s">
        <v>142</v>
      </c>
      <c r="L298" t="s">
        <v>142</v>
      </c>
      <c r="M298" t="s">
        <v>688</v>
      </c>
      <c r="N298">
        <v>0</v>
      </c>
      <c r="O298">
        <v>364.41</v>
      </c>
      <c r="P298">
        <v>0</v>
      </c>
      <c r="Q298">
        <v>65.59</v>
      </c>
      <c r="R298">
        <v>0</v>
      </c>
      <c r="S298">
        <v>0</v>
      </c>
      <c r="T298">
        <v>0</v>
      </c>
      <c r="U298">
        <v>0</v>
      </c>
      <c r="V298">
        <v>0</v>
      </c>
      <c r="W298">
        <v>0</v>
      </c>
      <c r="X298">
        <v>0</v>
      </c>
      <c r="Y298">
        <v>0</v>
      </c>
      <c r="Z298">
        <v>430</v>
      </c>
      <c r="AA298" t="s">
        <v>116</v>
      </c>
      <c r="AB298">
        <v>1</v>
      </c>
      <c r="AI298">
        <v>1</v>
      </c>
      <c r="AJ298">
        <v>0</v>
      </c>
      <c r="AK298">
        <v>0</v>
      </c>
      <c r="AL298">
        <v>101</v>
      </c>
    </row>
    <row r="299" spans="1:38" x14ac:dyDescent="0.25">
      <c r="A299">
        <v>20608997106</v>
      </c>
      <c r="B299" t="s">
        <v>115</v>
      </c>
      <c r="C299">
        <v>202606</v>
      </c>
      <c r="D299" t="s">
        <v>689</v>
      </c>
      <c r="E299" s="99">
        <v>46202</v>
      </c>
      <c r="G299">
        <v>3</v>
      </c>
      <c r="H299" t="s">
        <v>141</v>
      </c>
      <c r="I299">
        <v>3953</v>
      </c>
      <c r="K299" t="s">
        <v>142</v>
      </c>
      <c r="L299" t="s">
        <v>142</v>
      </c>
      <c r="M299" t="s">
        <v>690</v>
      </c>
      <c r="N299">
        <v>0</v>
      </c>
      <c r="O299">
        <v>119.49</v>
      </c>
      <c r="P299">
        <v>0</v>
      </c>
      <c r="Q299">
        <v>21.51</v>
      </c>
      <c r="R299">
        <v>0</v>
      </c>
      <c r="S299">
        <v>0</v>
      </c>
      <c r="T299">
        <v>0</v>
      </c>
      <c r="U299">
        <v>0</v>
      </c>
      <c r="V299">
        <v>0</v>
      </c>
      <c r="W299">
        <v>0</v>
      </c>
      <c r="X299">
        <v>0</v>
      </c>
      <c r="Y299">
        <v>0</v>
      </c>
      <c r="Z299">
        <v>141</v>
      </c>
      <c r="AA299" t="s">
        <v>116</v>
      </c>
      <c r="AB299">
        <v>1</v>
      </c>
      <c r="AI299">
        <v>1</v>
      </c>
      <c r="AJ299">
        <v>0</v>
      </c>
      <c r="AK299">
        <v>0</v>
      </c>
      <c r="AL299">
        <v>101</v>
      </c>
    </row>
    <row r="300" spans="1:38" x14ac:dyDescent="0.25">
      <c r="A300">
        <v>20608997106</v>
      </c>
      <c r="B300" t="s">
        <v>115</v>
      </c>
      <c r="C300">
        <v>202606</v>
      </c>
      <c r="D300" t="s">
        <v>691</v>
      </c>
      <c r="E300" s="99">
        <v>46202</v>
      </c>
      <c r="G300">
        <v>3</v>
      </c>
      <c r="H300" t="s">
        <v>141</v>
      </c>
      <c r="I300">
        <v>3954</v>
      </c>
      <c r="K300" t="s">
        <v>142</v>
      </c>
      <c r="L300" t="s">
        <v>142</v>
      </c>
      <c r="M300" t="s">
        <v>692</v>
      </c>
      <c r="N300">
        <v>0</v>
      </c>
      <c r="O300">
        <v>510.17</v>
      </c>
      <c r="P300">
        <v>0</v>
      </c>
      <c r="Q300">
        <v>91.83</v>
      </c>
      <c r="R300">
        <v>0</v>
      </c>
      <c r="S300">
        <v>0</v>
      </c>
      <c r="T300">
        <v>0</v>
      </c>
      <c r="U300">
        <v>0</v>
      </c>
      <c r="V300">
        <v>0</v>
      </c>
      <c r="W300">
        <v>0</v>
      </c>
      <c r="X300">
        <v>0</v>
      </c>
      <c r="Y300">
        <v>0</v>
      </c>
      <c r="Z300">
        <v>602</v>
      </c>
      <c r="AA300" t="s">
        <v>116</v>
      </c>
      <c r="AB300">
        <v>1</v>
      </c>
      <c r="AI300">
        <v>1</v>
      </c>
      <c r="AJ300">
        <v>0</v>
      </c>
      <c r="AK300">
        <v>0</v>
      </c>
      <c r="AL300">
        <v>101</v>
      </c>
    </row>
    <row r="301" spans="1:38" x14ac:dyDescent="0.25">
      <c r="A301">
        <v>20608997106</v>
      </c>
      <c r="B301" t="s">
        <v>115</v>
      </c>
      <c r="C301">
        <v>202606</v>
      </c>
      <c r="D301" t="s">
        <v>693</v>
      </c>
      <c r="E301" s="99">
        <v>46202</v>
      </c>
      <c r="G301">
        <v>3</v>
      </c>
      <c r="H301" t="s">
        <v>141</v>
      </c>
      <c r="I301">
        <v>3955</v>
      </c>
      <c r="K301" t="s">
        <v>142</v>
      </c>
      <c r="L301" t="s">
        <v>142</v>
      </c>
      <c r="M301" t="s">
        <v>694</v>
      </c>
      <c r="N301">
        <v>0</v>
      </c>
      <c r="O301">
        <v>155.93</v>
      </c>
      <c r="P301">
        <v>0</v>
      </c>
      <c r="Q301">
        <v>28.07</v>
      </c>
      <c r="R301">
        <v>0</v>
      </c>
      <c r="S301">
        <v>0</v>
      </c>
      <c r="T301">
        <v>0</v>
      </c>
      <c r="U301">
        <v>0</v>
      </c>
      <c r="V301">
        <v>0</v>
      </c>
      <c r="W301">
        <v>0</v>
      </c>
      <c r="X301">
        <v>0</v>
      </c>
      <c r="Y301">
        <v>0</v>
      </c>
      <c r="Z301">
        <v>184</v>
      </c>
      <c r="AA301" t="s">
        <v>116</v>
      </c>
      <c r="AB301">
        <v>1</v>
      </c>
      <c r="AI301">
        <v>1</v>
      </c>
      <c r="AJ301">
        <v>0</v>
      </c>
      <c r="AK301">
        <v>0</v>
      </c>
      <c r="AL301">
        <v>101</v>
      </c>
    </row>
    <row r="302" spans="1:38" x14ac:dyDescent="0.25">
      <c r="A302">
        <v>20608997106</v>
      </c>
      <c r="B302" t="s">
        <v>115</v>
      </c>
      <c r="C302">
        <v>202606</v>
      </c>
      <c r="D302" t="s">
        <v>695</v>
      </c>
      <c r="E302" s="99">
        <v>46202</v>
      </c>
      <c r="G302">
        <v>3</v>
      </c>
      <c r="H302" t="s">
        <v>141</v>
      </c>
      <c r="I302">
        <v>3956</v>
      </c>
      <c r="K302" t="s">
        <v>142</v>
      </c>
      <c r="L302" t="s">
        <v>142</v>
      </c>
      <c r="M302" t="s">
        <v>696</v>
      </c>
      <c r="N302">
        <v>0</v>
      </c>
      <c r="O302">
        <v>255.08</v>
      </c>
      <c r="P302">
        <v>0</v>
      </c>
      <c r="Q302">
        <v>45.92</v>
      </c>
      <c r="R302">
        <v>0</v>
      </c>
      <c r="S302">
        <v>0</v>
      </c>
      <c r="T302">
        <v>0</v>
      </c>
      <c r="U302">
        <v>0</v>
      </c>
      <c r="V302">
        <v>0</v>
      </c>
      <c r="W302">
        <v>0</v>
      </c>
      <c r="X302">
        <v>0</v>
      </c>
      <c r="Y302">
        <v>0</v>
      </c>
      <c r="Z302">
        <v>301</v>
      </c>
      <c r="AA302" t="s">
        <v>116</v>
      </c>
      <c r="AB302">
        <v>1</v>
      </c>
      <c r="AI302">
        <v>1</v>
      </c>
      <c r="AJ302">
        <v>0</v>
      </c>
      <c r="AK302">
        <v>0</v>
      </c>
      <c r="AL302">
        <v>101</v>
      </c>
    </row>
    <row r="303" spans="1:38" x14ac:dyDescent="0.25">
      <c r="A303">
        <v>20608997106</v>
      </c>
      <c r="B303" t="s">
        <v>115</v>
      </c>
      <c r="C303">
        <v>202606</v>
      </c>
      <c r="D303" t="s">
        <v>697</v>
      </c>
      <c r="E303" s="99">
        <v>46202</v>
      </c>
      <c r="G303">
        <v>3</v>
      </c>
      <c r="H303" t="s">
        <v>141</v>
      </c>
      <c r="I303">
        <v>3957</v>
      </c>
      <c r="K303" t="s">
        <v>142</v>
      </c>
      <c r="L303" t="s">
        <v>142</v>
      </c>
      <c r="M303" t="s">
        <v>698</v>
      </c>
      <c r="N303">
        <v>0</v>
      </c>
      <c r="O303">
        <v>223.73</v>
      </c>
      <c r="P303">
        <v>0</v>
      </c>
      <c r="Q303">
        <v>40.270000000000003</v>
      </c>
      <c r="R303">
        <v>0</v>
      </c>
      <c r="S303">
        <v>0</v>
      </c>
      <c r="T303">
        <v>0</v>
      </c>
      <c r="U303">
        <v>0</v>
      </c>
      <c r="V303">
        <v>0</v>
      </c>
      <c r="W303">
        <v>0</v>
      </c>
      <c r="X303">
        <v>0</v>
      </c>
      <c r="Y303">
        <v>0</v>
      </c>
      <c r="Z303">
        <v>264</v>
      </c>
      <c r="AA303" t="s">
        <v>116</v>
      </c>
      <c r="AB303">
        <v>1</v>
      </c>
      <c r="AI303">
        <v>1</v>
      </c>
      <c r="AJ303">
        <v>0</v>
      </c>
      <c r="AK303">
        <v>0</v>
      </c>
      <c r="AL303">
        <v>101</v>
      </c>
    </row>
    <row r="304" spans="1:38" x14ac:dyDescent="0.25">
      <c r="A304">
        <v>20608997106</v>
      </c>
      <c r="B304" t="s">
        <v>115</v>
      </c>
      <c r="C304">
        <v>202606</v>
      </c>
      <c r="D304" t="s">
        <v>699</v>
      </c>
      <c r="E304" s="99">
        <v>46202</v>
      </c>
      <c r="G304">
        <v>3</v>
      </c>
      <c r="H304" t="s">
        <v>141</v>
      </c>
      <c r="I304">
        <v>3958</v>
      </c>
      <c r="K304" t="s">
        <v>142</v>
      </c>
      <c r="L304" t="s">
        <v>142</v>
      </c>
      <c r="M304" t="s">
        <v>700</v>
      </c>
      <c r="N304">
        <v>0</v>
      </c>
      <c r="O304">
        <v>186.44</v>
      </c>
      <c r="P304">
        <v>0</v>
      </c>
      <c r="Q304">
        <v>33.56</v>
      </c>
      <c r="R304">
        <v>0</v>
      </c>
      <c r="S304">
        <v>0</v>
      </c>
      <c r="T304">
        <v>0</v>
      </c>
      <c r="U304">
        <v>0</v>
      </c>
      <c r="V304">
        <v>0</v>
      </c>
      <c r="W304">
        <v>0</v>
      </c>
      <c r="X304">
        <v>0</v>
      </c>
      <c r="Y304">
        <v>0</v>
      </c>
      <c r="Z304">
        <v>220</v>
      </c>
      <c r="AA304" t="s">
        <v>116</v>
      </c>
      <c r="AB304">
        <v>1</v>
      </c>
      <c r="AI304">
        <v>1</v>
      </c>
      <c r="AJ304">
        <v>0</v>
      </c>
      <c r="AK304">
        <v>0</v>
      </c>
      <c r="AL304">
        <v>101</v>
      </c>
    </row>
    <row r="305" spans="1:38" x14ac:dyDescent="0.25">
      <c r="A305">
        <v>20608997106</v>
      </c>
      <c r="B305" t="s">
        <v>115</v>
      </c>
      <c r="C305">
        <v>202606</v>
      </c>
      <c r="D305" t="s">
        <v>701</v>
      </c>
      <c r="E305" s="99">
        <v>46202</v>
      </c>
      <c r="G305">
        <v>3</v>
      </c>
      <c r="H305" t="s">
        <v>141</v>
      </c>
      <c r="I305">
        <v>3959</v>
      </c>
      <c r="K305" t="s">
        <v>142</v>
      </c>
      <c r="L305" t="s">
        <v>142</v>
      </c>
      <c r="M305" t="s">
        <v>702</v>
      </c>
      <c r="N305">
        <v>0</v>
      </c>
      <c r="O305">
        <v>43.22</v>
      </c>
      <c r="P305">
        <v>0</v>
      </c>
      <c r="Q305">
        <v>7.78</v>
      </c>
      <c r="R305">
        <v>0</v>
      </c>
      <c r="S305">
        <v>0</v>
      </c>
      <c r="T305">
        <v>0</v>
      </c>
      <c r="U305">
        <v>0</v>
      </c>
      <c r="V305">
        <v>0</v>
      </c>
      <c r="W305">
        <v>0</v>
      </c>
      <c r="X305">
        <v>0</v>
      </c>
      <c r="Y305">
        <v>0</v>
      </c>
      <c r="Z305">
        <v>51</v>
      </c>
      <c r="AA305" t="s">
        <v>116</v>
      </c>
      <c r="AB305">
        <v>1</v>
      </c>
      <c r="AI305">
        <v>1</v>
      </c>
      <c r="AJ305">
        <v>0</v>
      </c>
      <c r="AK305">
        <v>0</v>
      </c>
      <c r="AL305">
        <v>101</v>
      </c>
    </row>
    <row r="306" spans="1:38" x14ac:dyDescent="0.25">
      <c r="A306">
        <v>20608997106</v>
      </c>
      <c r="B306" t="s">
        <v>115</v>
      </c>
      <c r="C306">
        <v>202606</v>
      </c>
      <c r="D306" t="s">
        <v>703</v>
      </c>
      <c r="E306" s="99">
        <v>46202</v>
      </c>
      <c r="G306">
        <v>3</v>
      </c>
      <c r="H306" t="s">
        <v>141</v>
      </c>
      <c r="I306">
        <v>3960</v>
      </c>
      <c r="K306" t="s">
        <v>142</v>
      </c>
      <c r="L306" t="s">
        <v>142</v>
      </c>
      <c r="M306" t="s">
        <v>704</v>
      </c>
      <c r="N306">
        <v>0</v>
      </c>
      <c r="O306">
        <v>81.36</v>
      </c>
      <c r="P306">
        <v>0</v>
      </c>
      <c r="Q306">
        <v>14.64</v>
      </c>
      <c r="R306">
        <v>0</v>
      </c>
      <c r="S306">
        <v>0</v>
      </c>
      <c r="T306">
        <v>0</v>
      </c>
      <c r="U306">
        <v>0</v>
      </c>
      <c r="V306">
        <v>0</v>
      </c>
      <c r="W306">
        <v>0</v>
      </c>
      <c r="X306">
        <v>0</v>
      </c>
      <c r="Y306">
        <v>0</v>
      </c>
      <c r="Z306">
        <v>96</v>
      </c>
      <c r="AA306" t="s">
        <v>116</v>
      </c>
      <c r="AB306">
        <v>1</v>
      </c>
      <c r="AI306">
        <v>1</v>
      </c>
      <c r="AJ306">
        <v>0</v>
      </c>
      <c r="AK306">
        <v>0</v>
      </c>
      <c r="AL306">
        <v>101</v>
      </c>
    </row>
    <row r="307" spans="1:38" x14ac:dyDescent="0.25">
      <c r="A307">
        <v>20608997106</v>
      </c>
      <c r="B307" t="s">
        <v>115</v>
      </c>
      <c r="C307">
        <v>202606</v>
      </c>
      <c r="D307" t="s">
        <v>705</v>
      </c>
      <c r="E307" s="99">
        <v>46202</v>
      </c>
      <c r="G307">
        <v>3</v>
      </c>
      <c r="H307" t="s">
        <v>141</v>
      </c>
      <c r="I307">
        <v>3961</v>
      </c>
      <c r="K307" t="s">
        <v>142</v>
      </c>
      <c r="L307" t="s">
        <v>142</v>
      </c>
      <c r="M307" t="s">
        <v>706</v>
      </c>
      <c r="N307">
        <v>0</v>
      </c>
      <c r="O307">
        <v>116.95</v>
      </c>
      <c r="P307">
        <v>0</v>
      </c>
      <c r="Q307">
        <v>21.05</v>
      </c>
      <c r="R307">
        <v>0</v>
      </c>
      <c r="S307">
        <v>0</v>
      </c>
      <c r="T307">
        <v>0</v>
      </c>
      <c r="U307">
        <v>0</v>
      </c>
      <c r="V307">
        <v>0</v>
      </c>
      <c r="W307">
        <v>0</v>
      </c>
      <c r="X307">
        <v>0</v>
      </c>
      <c r="Y307">
        <v>0</v>
      </c>
      <c r="Z307">
        <v>138</v>
      </c>
      <c r="AA307" t="s">
        <v>116</v>
      </c>
      <c r="AB307">
        <v>1</v>
      </c>
      <c r="AI307">
        <v>1</v>
      </c>
      <c r="AJ307">
        <v>0</v>
      </c>
      <c r="AK307">
        <v>0</v>
      </c>
      <c r="AL307">
        <v>101</v>
      </c>
    </row>
    <row r="308" spans="1:38" x14ac:dyDescent="0.25">
      <c r="A308">
        <v>20608997106</v>
      </c>
      <c r="B308" t="s">
        <v>115</v>
      </c>
      <c r="C308">
        <v>202606</v>
      </c>
      <c r="D308" t="s">
        <v>707</v>
      </c>
      <c r="E308" s="99">
        <v>46202</v>
      </c>
      <c r="G308">
        <v>3</v>
      </c>
      <c r="H308" t="s">
        <v>141</v>
      </c>
      <c r="I308">
        <v>3962</v>
      </c>
      <c r="K308" t="s">
        <v>142</v>
      </c>
      <c r="L308" t="s">
        <v>142</v>
      </c>
      <c r="M308" t="s">
        <v>708</v>
      </c>
      <c r="N308">
        <v>0</v>
      </c>
      <c r="O308">
        <v>149.15</v>
      </c>
      <c r="P308">
        <v>0</v>
      </c>
      <c r="Q308">
        <v>26.85</v>
      </c>
      <c r="R308">
        <v>0</v>
      </c>
      <c r="S308">
        <v>0</v>
      </c>
      <c r="T308">
        <v>0</v>
      </c>
      <c r="U308">
        <v>0</v>
      </c>
      <c r="V308">
        <v>0</v>
      </c>
      <c r="W308">
        <v>0</v>
      </c>
      <c r="X308">
        <v>0</v>
      </c>
      <c r="Y308">
        <v>0</v>
      </c>
      <c r="Z308">
        <v>176</v>
      </c>
      <c r="AA308" t="s">
        <v>116</v>
      </c>
      <c r="AB308">
        <v>1</v>
      </c>
      <c r="AI308">
        <v>1</v>
      </c>
      <c r="AJ308">
        <v>0</v>
      </c>
      <c r="AK308">
        <v>0</v>
      </c>
      <c r="AL308">
        <v>101</v>
      </c>
    </row>
    <row r="309" spans="1:38" x14ac:dyDescent="0.25">
      <c r="A309">
        <v>20608997106</v>
      </c>
      <c r="B309" t="s">
        <v>115</v>
      </c>
      <c r="C309">
        <v>202606</v>
      </c>
      <c r="D309" t="s">
        <v>709</v>
      </c>
      <c r="E309" s="99">
        <v>46202</v>
      </c>
      <c r="G309">
        <v>3</v>
      </c>
      <c r="H309" t="s">
        <v>141</v>
      </c>
      <c r="I309">
        <v>3964</v>
      </c>
      <c r="K309" t="s">
        <v>142</v>
      </c>
      <c r="L309" t="s">
        <v>142</v>
      </c>
      <c r="M309" t="s">
        <v>710</v>
      </c>
      <c r="N309">
        <v>0</v>
      </c>
      <c r="O309">
        <v>223.73</v>
      </c>
      <c r="P309">
        <v>0</v>
      </c>
      <c r="Q309">
        <v>40.270000000000003</v>
      </c>
      <c r="R309">
        <v>0</v>
      </c>
      <c r="S309">
        <v>0</v>
      </c>
      <c r="T309">
        <v>0</v>
      </c>
      <c r="U309">
        <v>0</v>
      </c>
      <c r="V309">
        <v>0</v>
      </c>
      <c r="W309">
        <v>0</v>
      </c>
      <c r="X309">
        <v>0</v>
      </c>
      <c r="Y309">
        <v>0</v>
      </c>
      <c r="Z309">
        <v>264</v>
      </c>
      <c r="AA309" t="s">
        <v>116</v>
      </c>
      <c r="AB309">
        <v>1</v>
      </c>
      <c r="AI309">
        <v>1</v>
      </c>
      <c r="AJ309">
        <v>0</v>
      </c>
      <c r="AK309">
        <v>0</v>
      </c>
      <c r="AL309">
        <v>101</v>
      </c>
    </row>
    <row r="310" spans="1:38" x14ac:dyDescent="0.25">
      <c r="A310">
        <v>20608997106</v>
      </c>
      <c r="B310" t="s">
        <v>115</v>
      </c>
      <c r="C310">
        <v>202606</v>
      </c>
      <c r="D310" t="s">
        <v>711</v>
      </c>
      <c r="E310" s="99">
        <v>46202</v>
      </c>
      <c r="G310">
        <v>3</v>
      </c>
      <c r="H310" t="s">
        <v>141</v>
      </c>
      <c r="I310">
        <v>3965</v>
      </c>
      <c r="K310" t="s">
        <v>142</v>
      </c>
      <c r="L310" t="s">
        <v>142</v>
      </c>
      <c r="M310" t="s">
        <v>712</v>
      </c>
      <c r="N310">
        <v>0</v>
      </c>
      <c r="O310">
        <v>255.08</v>
      </c>
      <c r="P310">
        <v>0</v>
      </c>
      <c r="Q310">
        <v>45.92</v>
      </c>
      <c r="R310">
        <v>0</v>
      </c>
      <c r="S310">
        <v>0</v>
      </c>
      <c r="T310">
        <v>0</v>
      </c>
      <c r="U310">
        <v>0</v>
      </c>
      <c r="V310">
        <v>0</v>
      </c>
      <c r="W310">
        <v>0</v>
      </c>
      <c r="X310">
        <v>0</v>
      </c>
      <c r="Y310">
        <v>0</v>
      </c>
      <c r="Z310">
        <v>301</v>
      </c>
      <c r="AA310" t="s">
        <v>116</v>
      </c>
      <c r="AB310">
        <v>1</v>
      </c>
      <c r="AI310">
        <v>1</v>
      </c>
      <c r="AJ310">
        <v>0</v>
      </c>
      <c r="AK310">
        <v>0</v>
      </c>
      <c r="AL310">
        <v>101</v>
      </c>
    </row>
    <row r="311" spans="1:38" x14ac:dyDescent="0.25">
      <c r="A311">
        <v>20608997106</v>
      </c>
      <c r="B311" t="s">
        <v>115</v>
      </c>
      <c r="C311">
        <v>202606</v>
      </c>
      <c r="D311" t="s">
        <v>713</v>
      </c>
      <c r="E311" s="99">
        <v>46202</v>
      </c>
      <c r="G311">
        <v>3</v>
      </c>
      <c r="H311" t="s">
        <v>141</v>
      </c>
      <c r="I311">
        <v>3963</v>
      </c>
      <c r="K311" t="s">
        <v>142</v>
      </c>
      <c r="L311" t="s">
        <v>142</v>
      </c>
      <c r="M311" t="s">
        <v>714</v>
      </c>
      <c r="N311">
        <v>0</v>
      </c>
      <c r="O311">
        <v>190.68</v>
      </c>
      <c r="P311">
        <v>0</v>
      </c>
      <c r="Q311">
        <v>34.32</v>
      </c>
      <c r="R311">
        <v>0</v>
      </c>
      <c r="S311">
        <v>0</v>
      </c>
      <c r="T311">
        <v>0</v>
      </c>
      <c r="U311">
        <v>0</v>
      </c>
      <c r="V311">
        <v>0</v>
      </c>
      <c r="W311">
        <v>0</v>
      </c>
      <c r="X311">
        <v>0</v>
      </c>
      <c r="Y311">
        <v>0</v>
      </c>
      <c r="Z311">
        <v>225</v>
      </c>
      <c r="AA311" t="s">
        <v>116</v>
      </c>
      <c r="AB311">
        <v>1</v>
      </c>
      <c r="AI311">
        <v>1</v>
      </c>
      <c r="AJ311">
        <v>0</v>
      </c>
      <c r="AK311">
        <v>0</v>
      </c>
      <c r="AL311">
        <v>101</v>
      </c>
    </row>
    <row r="312" spans="1:38" x14ac:dyDescent="0.25">
      <c r="A312">
        <v>20608997106</v>
      </c>
      <c r="B312" t="s">
        <v>115</v>
      </c>
      <c r="C312">
        <v>202606</v>
      </c>
      <c r="D312" t="s">
        <v>715</v>
      </c>
      <c r="E312" s="99">
        <v>46202</v>
      </c>
      <c r="G312">
        <v>3</v>
      </c>
      <c r="H312" t="s">
        <v>141</v>
      </c>
      <c r="I312">
        <v>3966</v>
      </c>
      <c r="K312" t="s">
        <v>142</v>
      </c>
      <c r="L312" t="s">
        <v>142</v>
      </c>
      <c r="M312" t="s">
        <v>716</v>
      </c>
      <c r="N312">
        <v>0</v>
      </c>
      <c r="O312">
        <v>291.52999999999997</v>
      </c>
      <c r="P312">
        <v>0</v>
      </c>
      <c r="Q312">
        <v>52.47</v>
      </c>
      <c r="R312">
        <v>0</v>
      </c>
      <c r="S312">
        <v>0</v>
      </c>
      <c r="T312">
        <v>0</v>
      </c>
      <c r="U312">
        <v>0</v>
      </c>
      <c r="V312">
        <v>0</v>
      </c>
      <c r="W312">
        <v>0</v>
      </c>
      <c r="X312">
        <v>0</v>
      </c>
      <c r="Y312">
        <v>0</v>
      </c>
      <c r="Z312">
        <v>344</v>
      </c>
      <c r="AA312" t="s">
        <v>116</v>
      </c>
      <c r="AB312">
        <v>1</v>
      </c>
      <c r="AI312">
        <v>1</v>
      </c>
      <c r="AJ312">
        <v>0</v>
      </c>
      <c r="AK312">
        <v>0</v>
      </c>
      <c r="AL312">
        <v>101</v>
      </c>
    </row>
    <row r="313" spans="1:38" x14ac:dyDescent="0.25">
      <c r="A313">
        <v>20608997106</v>
      </c>
      <c r="B313" t="s">
        <v>115</v>
      </c>
      <c r="C313">
        <v>202606</v>
      </c>
      <c r="D313" t="s">
        <v>717</v>
      </c>
      <c r="E313" s="99">
        <v>46202</v>
      </c>
      <c r="G313">
        <v>3</v>
      </c>
      <c r="H313" t="s">
        <v>141</v>
      </c>
      <c r="I313">
        <v>3967</v>
      </c>
      <c r="K313" t="s">
        <v>142</v>
      </c>
      <c r="L313" t="s">
        <v>142</v>
      </c>
      <c r="M313" t="s">
        <v>718</v>
      </c>
      <c r="N313">
        <v>0</v>
      </c>
      <c r="O313">
        <v>364.41</v>
      </c>
      <c r="P313">
        <v>0</v>
      </c>
      <c r="Q313">
        <v>65.59</v>
      </c>
      <c r="R313">
        <v>0</v>
      </c>
      <c r="S313">
        <v>0</v>
      </c>
      <c r="T313">
        <v>0</v>
      </c>
      <c r="U313">
        <v>0</v>
      </c>
      <c r="V313">
        <v>0</v>
      </c>
      <c r="W313">
        <v>0</v>
      </c>
      <c r="X313">
        <v>0</v>
      </c>
      <c r="Y313">
        <v>0</v>
      </c>
      <c r="Z313">
        <v>430</v>
      </c>
      <c r="AA313" t="s">
        <v>116</v>
      </c>
      <c r="AB313">
        <v>1</v>
      </c>
      <c r="AI313">
        <v>1</v>
      </c>
      <c r="AJ313">
        <v>0</v>
      </c>
      <c r="AK313">
        <v>0</v>
      </c>
      <c r="AL313">
        <v>101</v>
      </c>
    </row>
    <row r="314" spans="1:38" x14ac:dyDescent="0.25">
      <c r="A314">
        <v>20608997106</v>
      </c>
      <c r="B314" t="s">
        <v>115</v>
      </c>
      <c r="C314">
        <v>202606</v>
      </c>
      <c r="D314" t="s">
        <v>719</v>
      </c>
      <c r="E314" s="99">
        <v>46202</v>
      </c>
      <c r="G314">
        <v>3</v>
      </c>
      <c r="H314" t="s">
        <v>141</v>
      </c>
      <c r="I314">
        <v>3968</v>
      </c>
      <c r="K314" t="s">
        <v>142</v>
      </c>
      <c r="L314" t="s">
        <v>142</v>
      </c>
      <c r="M314" t="s">
        <v>720</v>
      </c>
      <c r="N314">
        <v>0</v>
      </c>
      <c r="O314">
        <v>42.37</v>
      </c>
      <c r="P314">
        <v>0</v>
      </c>
      <c r="Q314">
        <v>7.63</v>
      </c>
      <c r="R314">
        <v>0</v>
      </c>
      <c r="S314">
        <v>0</v>
      </c>
      <c r="T314">
        <v>0</v>
      </c>
      <c r="U314">
        <v>0</v>
      </c>
      <c r="V314">
        <v>0</v>
      </c>
      <c r="W314">
        <v>0</v>
      </c>
      <c r="X314">
        <v>0</v>
      </c>
      <c r="Y314">
        <v>0</v>
      </c>
      <c r="Z314">
        <v>50</v>
      </c>
      <c r="AA314" t="s">
        <v>116</v>
      </c>
      <c r="AB314">
        <v>1</v>
      </c>
      <c r="AI314">
        <v>1</v>
      </c>
      <c r="AJ314">
        <v>0</v>
      </c>
      <c r="AK314">
        <v>0</v>
      </c>
      <c r="AL314">
        <v>101</v>
      </c>
    </row>
    <row r="315" spans="1:38" x14ac:dyDescent="0.25">
      <c r="A315">
        <v>20608997106</v>
      </c>
      <c r="B315" t="s">
        <v>115</v>
      </c>
      <c r="C315">
        <v>202606</v>
      </c>
      <c r="D315" t="s">
        <v>721</v>
      </c>
      <c r="E315" s="99">
        <v>46202</v>
      </c>
      <c r="G315">
        <v>3</v>
      </c>
      <c r="H315" t="s">
        <v>141</v>
      </c>
      <c r="I315">
        <v>3969</v>
      </c>
      <c r="K315" t="s">
        <v>142</v>
      </c>
      <c r="L315" t="s">
        <v>142</v>
      </c>
      <c r="M315" t="s">
        <v>722</v>
      </c>
      <c r="N315">
        <v>0</v>
      </c>
      <c r="O315">
        <v>77.97</v>
      </c>
      <c r="P315">
        <v>0</v>
      </c>
      <c r="Q315">
        <v>14.03</v>
      </c>
      <c r="R315">
        <v>0</v>
      </c>
      <c r="S315">
        <v>0</v>
      </c>
      <c r="T315">
        <v>0</v>
      </c>
      <c r="U315">
        <v>0</v>
      </c>
      <c r="V315">
        <v>0</v>
      </c>
      <c r="W315">
        <v>0</v>
      </c>
      <c r="X315">
        <v>0</v>
      </c>
      <c r="Y315">
        <v>0</v>
      </c>
      <c r="Z315">
        <v>92</v>
      </c>
      <c r="AA315" t="s">
        <v>116</v>
      </c>
      <c r="AB315">
        <v>1</v>
      </c>
      <c r="AI315">
        <v>1</v>
      </c>
      <c r="AJ315">
        <v>0</v>
      </c>
      <c r="AK315">
        <v>0</v>
      </c>
      <c r="AL315">
        <v>101</v>
      </c>
    </row>
    <row r="316" spans="1:38" x14ac:dyDescent="0.25">
      <c r="A316">
        <v>20608997106</v>
      </c>
      <c r="B316" t="s">
        <v>115</v>
      </c>
      <c r="C316">
        <v>202606</v>
      </c>
      <c r="D316" t="s">
        <v>723</v>
      </c>
      <c r="E316" s="99">
        <v>46202</v>
      </c>
      <c r="G316">
        <v>3</v>
      </c>
      <c r="H316" t="s">
        <v>141</v>
      </c>
      <c r="I316">
        <v>3970</v>
      </c>
      <c r="K316" t="s">
        <v>142</v>
      </c>
      <c r="L316" t="s">
        <v>142</v>
      </c>
      <c r="M316" t="s">
        <v>306</v>
      </c>
      <c r="N316">
        <v>0</v>
      </c>
      <c r="O316">
        <v>111.86</v>
      </c>
      <c r="P316">
        <v>0</v>
      </c>
      <c r="Q316">
        <v>20.14</v>
      </c>
      <c r="R316">
        <v>0</v>
      </c>
      <c r="S316">
        <v>0</v>
      </c>
      <c r="T316">
        <v>0</v>
      </c>
      <c r="U316">
        <v>0</v>
      </c>
      <c r="V316">
        <v>0</v>
      </c>
      <c r="W316">
        <v>0</v>
      </c>
      <c r="X316">
        <v>0</v>
      </c>
      <c r="Y316">
        <v>0</v>
      </c>
      <c r="Z316">
        <v>132</v>
      </c>
      <c r="AA316" t="s">
        <v>116</v>
      </c>
      <c r="AB316">
        <v>1</v>
      </c>
      <c r="AI316">
        <v>1</v>
      </c>
      <c r="AJ316">
        <v>0</v>
      </c>
      <c r="AK316">
        <v>0</v>
      </c>
      <c r="AL316">
        <v>101</v>
      </c>
    </row>
    <row r="317" spans="1:38" x14ac:dyDescent="0.25">
      <c r="A317">
        <v>20608997106</v>
      </c>
      <c r="B317" t="s">
        <v>115</v>
      </c>
      <c r="C317">
        <v>202606</v>
      </c>
      <c r="D317" t="s">
        <v>724</v>
      </c>
      <c r="E317" s="99">
        <v>46202</v>
      </c>
      <c r="G317">
        <v>3</v>
      </c>
      <c r="H317" t="s">
        <v>141</v>
      </c>
      <c r="I317">
        <v>3971</v>
      </c>
      <c r="K317" t="s">
        <v>142</v>
      </c>
      <c r="L317" t="s">
        <v>142</v>
      </c>
      <c r="M317" t="s">
        <v>725</v>
      </c>
      <c r="N317">
        <v>0</v>
      </c>
      <c r="O317">
        <v>149.15</v>
      </c>
      <c r="P317">
        <v>0</v>
      </c>
      <c r="Q317">
        <v>26.85</v>
      </c>
      <c r="R317">
        <v>0</v>
      </c>
      <c r="S317">
        <v>0</v>
      </c>
      <c r="T317">
        <v>0</v>
      </c>
      <c r="U317">
        <v>0</v>
      </c>
      <c r="V317">
        <v>0</v>
      </c>
      <c r="W317">
        <v>0</v>
      </c>
      <c r="X317">
        <v>0</v>
      </c>
      <c r="Y317">
        <v>0</v>
      </c>
      <c r="Z317">
        <v>176</v>
      </c>
      <c r="AA317" t="s">
        <v>116</v>
      </c>
      <c r="AB317">
        <v>1</v>
      </c>
      <c r="AI317">
        <v>1</v>
      </c>
      <c r="AJ317">
        <v>0</v>
      </c>
      <c r="AK317">
        <v>0</v>
      </c>
      <c r="AL317">
        <v>101</v>
      </c>
    </row>
    <row r="318" spans="1:38" x14ac:dyDescent="0.25">
      <c r="A318">
        <v>20608997106</v>
      </c>
      <c r="B318" t="s">
        <v>115</v>
      </c>
      <c r="C318">
        <v>202606</v>
      </c>
      <c r="D318" t="s">
        <v>726</v>
      </c>
      <c r="E318" s="99">
        <v>46202</v>
      </c>
      <c r="G318">
        <v>3</v>
      </c>
      <c r="H318" t="s">
        <v>141</v>
      </c>
      <c r="I318">
        <v>3972</v>
      </c>
      <c r="K318" t="s">
        <v>142</v>
      </c>
      <c r="L318" t="s">
        <v>142</v>
      </c>
      <c r="M318" t="s">
        <v>727</v>
      </c>
      <c r="N318">
        <v>0</v>
      </c>
      <c r="O318">
        <v>186.44</v>
      </c>
      <c r="P318">
        <v>0</v>
      </c>
      <c r="Q318">
        <v>33.56</v>
      </c>
      <c r="R318">
        <v>0</v>
      </c>
      <c r="S318">
        <v>0</v>
      </c>
      <c r="T318">
        <v>0</v>
      </c>
      <c r="U318">
        <v>0</v>
      </c>
      <c r="V318">
        <v>0</v>
      </c>
      <c r="W318">
        <v>0</v>
      </c>
      <c r="X318">
        <v>0</v>
      </c>
      <c r="Y318">
        <v>0</v>
      </c>
      <c r="Z318">
        <v>220</v>
      </c>
      <c r="AA318" t="s">
        <v>116</v>
      </c>
      <c r="AB318">
        <v>1</v>
      </c>
      <c r="AI318">
        <v>1</v>
      </c>
      <c r="AJ318">
        <v>0</v>
      </c>
      <c r="AK318">
        <v>0</v>
      </c>
      <c r="AL318">
        <v>101</v>
      </c>
    </row>
    <row r="319" spans="1:38" x14ac:dyDescent="0.25">
      <c r="A319">
        <v>20608997106</v>
      </c>
      <c r="B319" t="s">
        <v>115</v>
      </c>
      <c r="C319">
        <v>202606</v>
      </c>
      <c r="D319" t="s">
        <v>728</v>
      </c>
      <c r="E319" s="99">
        <v>46202</v>
      </c>
      <c r="G319">
        <v>3</v>
      </c>
      <c r="H319" t="s">
        <v>141</v>
      </c>
      <c r="I319">
        <v>3973</v>
      </c>
      <c r="K319" t="s">
        <v>142</v>
      </c>
      <c r="L319" t="s">
        <v>142</v>
      </c>
      <c r="M319" t="s">
        <v>729</v>
      </c>
      <c r="N319">
        <v>0</v>
      </c>
      <c r="O319">
        <v>218.64</v>
      </c>
      <c r="P319">
        <v>0</v>
      </c>
      <c r="Q319">
        <v>39.36</v>
      </c>
      <c r="R319">
        <v>0</v>
      </c>
      <c r="S319">
        <v>0</v>
      </c>
      <c r="T319">
        <v>0</v>
      </c>
      <c r="U319">
        <v>0</v>
      </c>
      <c r="V319">
        <v>0</v>
      </c>
      <c r="W319">
        <v>0</v>
      </c>
      <c r="X319">
        <v>0</v>
      </c>
      <c r="Y319">
        <v>0</v>
      </c>
      <c r="Z319">
        <v>258</v>
      </c>
      <c r="AA319" t="s">
        <v>116</v>
      </c>
      <c r="AB319">
        <v>1</v>
      </c>
      <c r="AI319">
        <v>1</v>
      </c>
      <c r="AJ319">
        <v>0</v>
      </c>
      <c r="AK319">
        <v>0</v>
      </c>
      <c r="AL319">
        <v>101</v>
      </c>
    </row>
    <row r="320" spans="1:38" x14ac:dyDescent="0.25">
      <c r="A320">
        <v>20608997106</v>
      </c>
      <c r="B320" t="s">
        <v>115</v>
      </c>
      <c r="C320">
        <v>202606</v>
      </c>
      <c r="D320" t="s">
        <v>730</v>
      </c>
      <c r="E320" s="99">
        <v>46202</v>
      </c>
      <c r="G320">
        <v>3</v>
      </c>
      <c r="H320" t="s">
        <v>141</v>
      </c>
      <c r="I320">
        <v>3975</v>
      </c>
      <c r="K320" t="s">
        <v>142</v>
      </c>
      <c r="L320" t="s">
        <v>142</v>
      </c>
      <c r="M320" t="s">
        <v>731</v>
      </c>
      <c r="N320">
        <v>0</v>
      </c>
      <c r="O320">
        <v>291.52999999999997</v>
      </c>
      <c r="P320">
        <v>0</v>
      </c>
      <c r="Q320">
        <v>52.47</v>
      </c>
      <c r="R320">
        <v>0</v>
      </c>
      <c r="S320">
        <v>0</v>
      </c>
      <c r="T320">
        <v>0</v>
      </c>
      <c r="U320">
        <v>0</v>
      </c>
      <c r="V320">
        <v>0</v>
      </c>
      <c r="W320">
        <v>0</v>
      </c>
      <c r="X320">
        <v>0</v>
      </c>
      <c r="Y320">
        <v>0</v>
      </c>
      <c r="Z320">
        <v>344</v>
      </c>
      <c r="AA320" t="s">
        <v>116</v>
      </c>
      <c r="AB320">
        <v>1</v>
      </c>
      <c r="AI320">
        <v>1</v>
      </c>
      <c r="AJ320">
        <v>0</v>
      </c>
      <c r="AK320">
        <v>0</v>
      </c>
      <c r="AL320">
        <v>101</v>
      </c>
    </row>
    <row r="321" spans="1:38" x14ac:dyDescent="0.25">
      <c r="A321">
        <v>20608997106</v>
      </c>
      <c r="B321" t="s">
        <v>115</v>
      </c>
      <c r="C321">
        <v>202606</v>
      </c>
      <c r="D321" t="s">
        <v>732</v>
      </c>
      <c r="E321" s="99">
        <v>46202</v>
      </c>
      <c r="G321">
        <v>3</v>
      </c>
      <c r="H321" t="s">
        <v>141</v>
      </c>
      <c r="I321">
        <v>3976</v>
      </c>
      <c r="K321" t="s">
        <v>142</v>
      </c>
      <c r="L321" t="s">
        <v>142</v>
      </c>
      <c r="M321" t="s">
        <v>733</v>
      </c>
      <c r="N321">
        <v>0</v>
      </c>
      <c r="O321">
        <v>327.97</v>
      </c>
      <c r="P321">
        <v>0</v>
      </c>
      <c r="Q321">
        <v>59.03</v>
      </c>
      <c r="R321">
        <v>0</v>
      </c>
      <c r="S321">
        <v>0</v>
      </c>
      <c r="T321">
        <v>0</v>
      </c>
      <c r="U321">
        <v>0</v>
      </c>
      <c r="V321">
        <v>0</v>
      </c>
      <c r="W321">
        <v>0</v>
      </c>
      <c r="X321">
        <v>0</v>
      </c>
      <c r="Y321">
        <v>0</v>
      </c>
      <c r="Z321">
        <v>387</v>
      </c>
      <c r="AA321" t="s">
        <v>116</v>
      </c>
      <c r="AB321">
        <v>1</v>
      </c>
      <c r="AI321">
        <v>1</v>
      </c>
      <c r="AJ321">
        <v>0</v>
      </c>
      <c r="AK321">
        <v>0</v>
      </c>
      <c r="AL321">
        <v>101</v>
      </c>
    </row>
    <row r="322" spans="1:38" x14ac:dyDescent="0.25">
      <c r="A322">
        <v>20608997106</v>
      </c>
      <c r="B322" t="s">
        <v>115</v>
      </c>
      <c r="C322">
        <v>202606</v>
      </c>
      <c r="D322" t="s">
        <v>734</v>
      </c>
      <c r="E322" s="99">
        <v>46202</v>
      </c>
      <c r="G322">
        <v>3</v>
      </c>
      <c r="H322" t="s">
        <v>141</v>
      </c>
      <c r="I322">
        <v>3977</v>
      </c>
      <c r="K322" t="s">
        <v>142</v>
      </c>
      <c r="L322" t="s">
        <v>142</v>
      </c>
      <c r="M322" t="s">
        <v>735</v>
      </c>
      <c r="N322">
        <v>0</v>
      </c>
      <c r="O322">
        <v>364.41</v>
      </c>
      <c r="P322">
        <v>0</v>
      </c>
      <c r="Q322">
        <v>65.59</v>
      </c>
      <c r="R322">
        <v>0</v>
      </c>
      <c r="S322">
        <v>0</v>
      </c>
      <c r="T322">
        <v>0</v>
      </c>
      <c r="U322">
        <v>0</v>
      </c>
      <c r="V322">
        <v>0</v>
      </c>
      <c r="W322">
        <v>0</v>
      </c>
      <c r="X322">
        <v>0</v>
      </c>
      <c r="Y322">
        <v>0</v>
      </c>
      <c r="Z322">
        <v>430</v>
      </c>
      <c r="AA322" t="s">
        <v>116</v>
      </c>
      <c r="AB322">
        <v>1</v>
      </c>
      <c r="AI322">
        <v>1</v>
      </c>
      <c r="AJ322">
        <v>0</v>
      </c>
      <c r="AK322">
        <v>0</v>
      </c>
      <c r="AL322">
        <v>101</v>
      </c>
    </row>
    <row r="323" spans="1:38" x14ac:dyDescent="0.25">
      <c r="A323">
        <v>20608997106</v>
      </c>
      <c r="B323" t="s">
        <v>115</v>
      </c>
      <c r="C323">
        <v>202606</v>
      </c>
      <c r="D323" t="s">
        <v>736</v>
      </c>
      <c r="E323" s="99">
        <v>46202</v>
      </c>
      <c r="G323">
        <v>3</v>
      </c>
      <c r="H323" t="s">
        <v>141</v>
      </c>
      <c r="I323">
        <v>3978</v>
      </c>
      <c r="K323" t="s">
        <v>142</v>
      </c>
      <c r="L323" t="s">
        <v>142</v>
      </c>
      <c r="M323" t="s">
        <v>737</v>
      </c>
      <c r="N323">
        <v>0</v>
      </c>
      <c r="O323">
        <v>42.37</v>
      </c>
      <c r="P323">
        <v>0</v>
      </c>
      <c r="Q323">
        <v>7.63</v>
      </c>
      <c r="R323">
        <v>0</v>
      </c>
      <c r="S323">
        <v>0</v>
      </c>
      <c r="T323">
        <v>0</v>
      </c>
      <c r="U323">
        <v>0</v>
      </c>
      <c r="V323">
        <v>0</v>
      </c>
      <c r="W323">
        <v>0</v>
      </c>
      <c r="X323">
        <v>0</v>
      </c>
      <c r="Y323">
        <v>0</v>
      </c>
      <c r="Z323">
        <v>50</v>
      </c>
      <c r="AA323" t="s">
        <v>116</v>
      </c>
      <c r="AB323">
        <v>1</v>
      </c>
      <c r="AI323">
        <v>1</v>
      </c>
      <c r="AJ323">
        <v>0</v>
      </c>
      <c r="AK323">
        <v>0</v>
      </c>
      <c r="AL323">
        <v>101</v>
      </c>
    </row>
    <row r="324" spans="1:38" x14ac:dyDescent="0.25">
      <c r="A324">
        <v>20608997106</v>
      </c>
      <c r="B324" t="s">
        <v>115</v>
      </c>
      <c r="C324">
        <v>202606</v>
      </c>
      <c r="D324" t="s">
        <v>738</v>
      </c>
      <c r="E324" s="99">
        <v>46202</v>
      </c>
      <c r="G324">
        <v>3</v>
      </c>
      <c r="H324" t="s">
        <v>141</v>
      </c>
      <c r="I324">
        <v>3979</v>
      </c>
      <c r="K324" t="s">
        <v>142</v>
      </c>
      <c r="L324" t="s">
        <v>142</v>
      </c>
      <c r="M324" t="s">
        <v>739</v>
      </c>
      <c r="N324">
        <v>0</v>
      </c>
      <c r="O324">
        <v>76.27</v>
      </c>
      <c r="P324">
        <v>0</v>
      </c>
      <c r="Q324">
        <v>13.73</v>
      </c>
      <c r="R324">
        <v>0</v>
      </c>
      <c r="S324">
        <v>0</v>
      </c>
      <c r="T324">
        <v>0</v>
      </c>
      <c r="U324">
        <v>0</v>
      </c>
      <c r="V324">
        <v>0</v>
      </c>
      <c r="W324">
        <v>0</v>
      </c>
      <c r="X324">
        <v>0</v>
      </c>
      <c r="Y324">
        <v>0</v>
      </c>
      <c r="Z324">
        <v>90</v>
      </c>
      <c r="AA324" t="s">
        <v>116</v>
      </c>
      <c r="AB324">
        <v>1</v>
      </c>
      <c r="AI324">
        <v>1</v>
      </c>
      <c r="AJ324">
        <v>0</v>
      </c>
      <c r="AK324">
        <v>0</v>
      </c>
      <c r="AL324">
        <v>101</v>
      </c>
    </row>
    <row r="325" spans="1:38" x14ac:dyDescent="0.25">
      <c r="A325">
        <v>20608997106</v>
      </c>
      <c r="B325" t="s">
        <v>115</v>
      </c>
      <c r="C325">
        <v>202606</v>
      </c>
      <c r="D325" t="s">
        <v>740</v>
      </c>
      <c r="E325" s="99">
        <v>46202</v>
      </c>
      <c r="G325">
        <v>3</v>
      </c>
      <c r="H325" t="s">
        <v>141</v>
      </c>
      <c r="I325">
        <v>3980</v>
      </c>
      <c r="K325" t="s">
        <v>142</v>
      </c>
      <c r="L325" t="s">
        <v>142</v>
      </c>
      <c r="M325" t="s">
        <v>741</v>
      </c>
      <c r="N325">
        <v>0</v>
      </c>
      <c r="O325">
        <v>114.41</v>
      </c>
      <c r="P325">
        <v>0</v>
      </c>
      <c r="Q325">
        <v>20.59</v>
      </c>
      <c r="R325">
        <v>0</v>
      </c>
      <c r="S325">
        <v>0</v>
      </c>
      <c r="T325">
        <v>0</v>
      </c>
      <c r="U325">
        <v>0</v>
      </c>
      <c r="V325">
        <v>0</v>
      </c>
      <c r="W325">
        <v>0</v>
      </c>
      <c r="X325">
        <v>0</v>
      </c>
      <c r="Y325">
        <v>0</v>
      </c>
      <c r="Z325">
        <v>135</v>
      </c>
      <c r="AA325" t="s">
        <v>116</v>
      </c>
      <c r="AB325">
        <v>1</v>
      </c>
      <c r="AI325">
        <v>1</v>
      </c>
      <c r="AJ325">
        <v>0</v>
      </c>
      <c r="AK325">
        <v>0</v>
      </c>
      <c r="AL325">
        <v>101</v>
      </c>
    </row>
    <row r="326" spans="1:38" x14ac:dyDescent="0.25">
      <c r="A326">
        <v>20608997106</v>
      </c>
      <c r="B326" t="s">
        <v>115</v>
      </c>
      <c r="C326">
        <v>202606</v>
      </c>
      <c r="D326" t="s">
        <v>742</v>
      </c>
      <c r="E326" s="99">
        <v>46202</v>
      </c>
      <c r="G326">
        <v>3</v>
      </c>
      <c r="H326" t="s">
        <v>141</v>
      </c>
      <c r="I326">
        <v>3981</v>
      </c>
      <c r="K326" t="s">
        <v>142</v>
      </c>
      <c r="L326" t="s">
        <v>142</v>
      </c>
      <c r="M326" t="s">
        <v>743</v>
      </c>
      <c r="N326">
        <v>0</v>
      </c>
      <c r="O326">
        <v>166.1</v>
      </c>
      <c r="P326">
        <v>0</v>
      </c>
      <c r="Q326">
        <v>29.9</v>
      </c>
      <c r="R326">
        <v>0</v>
      </c>
      <c r="S326">
        <v>0</v>
      </c>
      <c r="T326">
        <v>0</v>
      </c>
      <c r="U326">
        <v>0</v>
      </c>
      <c r="V326">
        <v>0</v>
      </c>
      <c r="W326">
        <v>0</v>
      </c>
      <c r="X326">
        <v>0</v>
      </c>
      <c r="Y326">
        <v>0</v>
      </c>
      <c r="Z326">
        <v>196</v>
      </c>
      <c r="AA326" t="s">
        <v>116</v>
      </c>
      <c r="AB326">
        <v>1</v>
      </c>
      <c r="AI326">
        <v>1</v>
      </c>
      <c r="AJ326">
        <v>0</v>
      </c>
      <c r="AK326">
        <v>0</v>
      </c>
      <c r="AL326">
        <v>101</v>
      </c>
    </row>
    <row r="327" spans="1:38" x14ac:dyDescent="0.25">
      <c r="A327">
        <v>20608997106</v>
      </c>
      <c r="B327" t="s">
        <v>115</v>
      </c>
      <c r="C327">
        <v>202606</v>
      </c>
      <c r="D327" t="s">
        <v>744</v>
      </c>
      <c r="E327" s="99">
        <v>46202</v>
      </c>
      <c r="G327">
        <v>3</v>
      </c>
      <c r="H327" t="s">
        <v>141</v>
      </c>
      <c r="I327">
        <v>3982</v>
      </c>
      <c r="K327" t="s">
        <v>142</v>
      </c>
      <c r="L327" t="s">
        <v>142</v>
      </c>
      <c r="M327" t="s">
        <v>745</v>
      </c>
      <c r="N327">
        <v>0</v>
      </c>
      <c r="O327">
        <v>190.68</v>
      </c>
      <c r="P327">
        <v>0</v>
      </c>
      <c r="Q327">
        <v>34.32</v>
      </c>
      <c r="R327">
        <v>0</v>
      </c>
      <c r="S327">
        <v>0</v>
      </c>
      <c r="T327">
        <v>0</v>
      </c>
      <c r="U327">
        <v>0</v>
      </c>
      <c r="V327">
        <v>0</v>
      </c>
      <c r="W327">
        <v>0</v>
      </c>
      <c r="X327">
        <v>0</v>
      </c>
      <c r="Y327">
        <v>0</v>
      </c>
      <c r="Z327">
        <v>225</v>
      </c>
      <c r="AA327" t="s">
        <v>116</v>
      </c>
      <c r="AB327">
        <v>1</v>
      </c>
      <c r="AI327">
        <v>1</v>
      </c>
      <c r="AJ327">
        <v>0</v>
      </c>
      <c r="AK327">
        <v>0</v>
      </c>
      <c r="AL327">
        <v>101</v>
      </c>
    </row>
    <row r="328" spans="1:38" x14ac:dyDescent="0.25">
      <c r="A328">
        <v>20608997106</v>
      </c>
      <c r="B328" t="s">
        <v>115</v>
      </c>
      <c r="C328">
        <v>202606</v>
      </c>
      <c r="D328" t="s">
        <v>746</v>
      </c>
      <c r="E328" s="99">
        <v>46202</v>
      </c>
      <c r="G328">
        <v>3</v>
      </c>
      <c r="H328" t="s">
        <v>141</v>
      </c>
      <c r="I328">
        <v>3983</v>
      </c>
      <c r="K328" t="s">
        <v>142</v>
      </c>
      <c r="L328" t="s">
        <v>142</v>
      </c>
      <c r="M328" t="s">
        <v>747</v>
      </c>
      <c r="N328">
        <v>0</v>
      </c>
      <c r="O328">
        <v>223.73</v>
      </c>
      <c r="P328">
        <v>0</v>
      </c>
      <c r="Q328">
        <v>40.270000000000003</v>
      </c>
      <c r="R328">
        <v>0</v>
      </c>
      <c r="S328">
        <v>0</v>
      </c>
      <c r="T328">
        <v>0</v>
      </c>
      <c r="U328">
        <v>0</v>
      </c>
      <c r="V328">
        <v>0</v>
      </c>
      <c r="W328">
        <v>0</v>
      </c>
      <c r="X328">
        <v>0</v>
      </c>
      <c r="Y328">
        <v>0</v>
      </c>
      <c r="Z328">
        <v>264</v>
      </c>
      <c r="AA328" t="s">
        <v>116</v>
      </c>
      <c r="AB328">
        <v>1</v>
      </c>
      <c r="AI328">
        <v>1</v>
      </c>
      <c r="AJ328">
        <v>0</v>
      </c>
      <c r="AK328">
        <v>0</v>
      </c>
      <c r="AL328">
        <v>101</v>
      </c>
    </row>
    <row r="329" spans="1:38" x14ac:dyDescent="0.25">
      <c r="A329">
        <v>20608997106</v>
      </c>
      <c r="B329" t="s">
        <v>115</v>
      </c>
      <c r="C329">
        <v>202606</v>
      </c>
      <c r="D329" t="s">
        <v>748</v>
      </c>
      <c r="E329" s="99">
        <v>46202</v>
      </c>
      <c r="G329">
        <v>3</v>
      </c>
      <c r="H329" t="s">
        <v>141</v>
      </c>
      <c r="I329">
        <v>3984</v>
      </c>
      <c r="K329" t="s">
        <v>142</v>
      </c>
      <c r="L329" t="s">
        <v>142</v>
      </c>
      <c r="M329" t="s">
        <v>749</v>
      </c>
      <c r="N329">
        <v>0</v>
      </c>
      <c r="O329">
        <v>255.08</v>
      </c>
      <c r="P329">
        <v>0</v>
      </c>
      <c r="Q329">
        <v>45.92</v>
      </c>
      <c r="R329">
        <v>0</v>
      </c>
      <c r="S329">
        <v>0</v>
      </c>
      <c r="T329">
        <v>0</v>
      </c>
      <c r="U329">
        <v>0</v>
      </c>
      <c r="V329">
        <v>0</v>
      </c>
      <c r="W329">
        <v>0</v>
      </c>
      <c r="X329">
        <v>0</v>
      </c>
      <c r="Y329">
        <v>0</v>
      </c>
      <c r="Z329">
        <v>301</v>
      </c>
      <c r="AA329" t="s">
        <v>116</v>
      </c>
      <c r="AB329">
        <v>1</v>
      </c>
      <c r="AI329">
        <v>1</v>
      </c>
      <c r="AJ329">
        <v>0</v>
      </c>
      <c r="AK329">
        <v>0</v>
      </c>
      <c r="AL329">
        <v>101</v>
      </c>
    </row>
    <row r="330" spans="1:38" x14ac:dyDescent="0.25">
      <c r="A330">
        <v>20608997106</v>
      </c>
      <c r="B330" t="s">
        <v>115</v>
      </c>
      <c r="C330">
        <v>202606</v>
      </c>
      <c r="D330" t="s">
        <v>750</v>
      </c>
      <c r="E330" s="99">
        <v>46202</v>
      </c>
      <c r="G330">
        <v>3</v>
      </c>
      <c r="H330" t="s">
        <v>141</v>
      </c>
      <c r="I330">
        <v>3985</v>
      </c>
      <c r="K330" t="s">
        <v>142</v>
      </c>
      <c r="L330" t="s">
        <v>142</v>
      </c>
      <c r="M330" t="s">
        <v>751</v>
      </c>
      <c r="N330">
        <v>0</v>
      </c>
      <c r="O330">
        <v>291.52999999999997</v>
      </c>
      <c r="P330">
        <v>0</v>
      </c>
      <c r="Q330">
        <v>52.47</v>
      </c>
      <c r="R330">
        <v>0</v>
      </c>
      <c r="S330">
        <v>0</v>
      </c>
      <c r="T330">
        <v>0</v>
      </c>
      <c r="U330">
        <v>0</v>
      </c>
      <c r="V330">
        <v>0</v>
      </c>
      <c r="W330">
        <v>0</v>
      </c>
      <c r="X330">
        <v>0</v>
      </c>
      <c r="Y330">
        <v>0</v>
      </c>
      <c r="Z330">
        <v>344</v>
      </c>
      <c r="AA330" t="s">
        <v>116</v>
      </c>
      <c r="AB330">
        <v>1</v>
      </c>
      <c r="AI330">
        <v>1</v>
      </c>
      <c r="AJ330">
        <v>0</v>
      </c>
      <c r="AK330">
        <v>0</v>
      </c>
      <c r="AL330">
        <v>101</v>
      </c>
    </row>
    <row r="331" spans="1:38" x14ac:dyDescent="0.25">
      <c r="A331">
        <v>20608997106</v>
      </c>
      <c r="B331" t="s">
        <v>115</v>
      </c>
      <c r="C331">
        <v>202606</v>
      </c>
      <c r="D331" t="s">
        <v>752</v>
      </c>
      <c r="E331" s="99">
        <v>46202</v>
      </c>
      <c r="G331">
        <v>3</v>
      </c>
      <c r="H331" t="s">
        <v>141</v>
      </c>
      <c r="I331">
        <v>3986</v>
      </c>
      <c r="K331" t="s">
        <v>142</v>
      </c>
      <c r="L331" t="s">
        <v>142</v>
      </c>
      <c r="M331" t="s">
        <v>753</v>
      </c>
      <c r="N331">
        <v>0</v>
      </c>
      <c r="O331">
        <v>327.97</v>
      </c>
      <c r="P331">
        <v>0</v>
      </c>
      <c r="Q331">
        <v>59.03</v>
      </c>
      <c r="R331">
        <v>0</v>
      </c>
      <c r="S331">
        <v>0</v>
      </c>
      <c r="T331">
        <v>0</v>
      </c>
      <c r="U331">
        <v>0</v>
      </c>
      <c r="V331">
        <v>0</v>
      </c>
      <c r="W331">
        <v>0</v>
      </c>
      <c r="X331">
        <v>0</v>
      </c>
      <c r="Y331">
        <v>0</v>
      </c>
      <c r="Z331">
        <v>387</v>
      </c>
      <c r="AA331" t="s">
        <v>116</v>
      </c>
      <c r="AB331">
        <v>1</v>
      </c>
      <c r="AI331">
        <v>1</v>
      </c>
      <c r="AJ331">
        <v>0</v>
      </c>
      <c r="AK331">
        <v>0</v>
      </c>
      <c r="AL331">
        <v>101</v>
      </c>
    </row>
    <row r="332" spans="1:38" x14ac:dyDescent="0.25">
      <c r="A332">
        <v>20608997106</v>
      </c>
      <c r="B332" t="s">
        <v>115</v>
      </c>
      <c r="C332">
        <v>202606</v>
      </c>
      <c r="D332" t="s">
        <v>754</v>
      </c>
      <c r="E332" s="99">
        <v>46202</v>
      </c>
      <c r="G332">
        <v>3</v>
      </c>
      <c r="H332" t="s">
        <v>141</v>
      </c>
      <c r="I332">
        <v>3987</v>
      </c>
      <c r="K332" t="s">
        <v>142</v>
      </c>
      <c r="L332" t="s">
        <v>142</v>
      </c>
      <c r="M332" t="s">
        <v>755</v>
      </c>
      <c r="N332">
        <v>0</v>
      </c>
      <c r="O332">
        <v>364.41</v>
      </c>
      <c r="P332">
        <v>0</v>
      </c>
      <c r="Q332">
        <v>65.59</v>
      </c>
      <c r="R332">
        <v>0</v>
      </c>
      <c r="S332">
        <v>0</v>
      </c>
      <c r="T332">
        <v>0</v>
      </c>
      <c r="U332">
        <v>0</v>
      </c>
      <c r="V332">
        <v>0</v>
      </c>
      <c r="W332">
        <v>0</v>
      </c>
      <c r="X332">
        <v>0</v>
      </c>
      <c r="Y332">
        <v>0</v>
      </c>
      <c r="Z332">
        <v>430</v>
      </c>
      <c r="AA332" t="s">
        <v>116</v>
      </c>
      <c r="AB332">
        <v>1</v>
      </c>
      <c r="AI332">
        <v>1</v>
      </c>
      <c r="AJ332">
        <v>0</v>
      </c>
      <c r="AK332">
        <v>0</v>
      </c>
      <c r="AL332">
        <v>101</v>
      </c>
    </row>
    <row r="333" spans="1:38" x14ac:dyDescent="0.25">
      <c r="A333">
        <v>20608997106</v>
      </c>
      <c r="B333" t="s">
        <v>115</v>
      </c>
      <c r="C333">
        <v>202606</v>
      </c>
      <c r="D333" t="s">
        <v>756</v>
      </c>
      <c r="E333" s="99">
        <v>46203</v>
      </c>
      <c r="G333">
        <v>3</v>
      </c>
      <c r="H333" t="s">
        <v>141</v>
      </c>
      <c r="I333">
        <v>3974</v>
      </c>
      <c r="K333">
        <v>1</v>
      </c>
      <c r="L333">
        <v>41372681</v>
      </c>
      <c r="M333" t="s">
        <v>238</v>
      </c>
      <c r="N333">
        <v>0</v>
      </c>
      <c r="O333">
        <v>255.08</v>
      </c>
      <c r="P333">
        <v>0</v>
      </c>
      <c r="Q333">
        <v>45.92</v>
      </c>
      <c r="R333">
        <v>0</v>
      </c>
      <c r="S333">
        <v>0</v>
      </c>
      <c r="T333">
        <v>0</v>
      </c>
      <c r="U333">
        <v>0</v>
      </c>
      <c r="V333">
        <v>0</v>
      </c>
      <c r="W333">
        <v>0</v>
      </c>
      <c r="X333">
        <v>0</v>
      </c>
      <c r="Y333">
        <v>0</v>
      </c>
      <c r="Z333">
        <v>301</v>
      </c>
      <c r="AA333" t="s">
        <v>116</v>
      </c>
      <c r="AB333">
        <v>1</v>
      </c>
      <c r="AI333">
        <v>1</v>
      </c>
      <c r="AJ333">
        <v>0</v>
      </c>
      <c r="AK333">
        <v>0</v>
      </c>
      <c r="AL333">
        <v>101</v>
      </c>
    </row>
    <row r="334" spans="1:38" x14ac:dyDescent="0.25">
      <c r="A334">
        <v>20608997106</v>
      </c>
      <c r="B334" t="s">
        <v>115</v>
      </c>
      <c r="C334">
        <v>202606</v>
      </c>
      <c r="D334" t="s">
        <v>757</v>
      </c>
      <c r="E334" s="99">
        <v>46203</v>
      </c>
      <c r="G334">
        <v>3</v>
      </c>
      <c r="H334" t="s">
        <v>141</v>
      </c>
      <c r="I334">
        <v>3988</v>
      </c>
      <c r="K334" t="s">
        <v>142</v>
      </c>
      <c r="L334" t="s">
        <v>142</v>
      </c>
      <c r="M334" t="s">
        <v>758</v>
      </c>
      <c r="N334">
        <v>0</v>
      </c>
      <c r="O334">
        <v>42.37</v>
      </c>
      <c r="P334">
        <v>0</v>
      </c>
      <c r="Q334">
        <v>7.63</v>
      </c>
      <c r="R334">
        <v>0</v>
      </c>
      <c r="S334">
        <v>0</v>
      </c>
      <c r="T334">
        <v>0</v>
      </c>
      <c r="U334">
        <v>0</v>
      </c>
      <c r="V334">
        <v>0</v>
      </c>
      <c r="W334">
        <v>0</v>
      </c>
      <c r="X334">
        <v>0</v>
      </c>
      <c r="Y334">
        <v>0</v>
      </c>
      <c r="Z334">
        <v>50</v>
      </c>
      <c r="AA334" t="s">
        <v>116</v>
      </c>
      <c r="AB334">
        <v>1</v>
      </c>
      <c r="AI334">
        <v>1</v>
      </c>
      <c r="AJ334">
        <v>0</v>
      </c>
      <c r="AK334">
        <v>0</v>
      </c>
      <c r="AL334">
        <v>101</v>
      </c>
    </row>
    <row r="335" spans="1:38" x14ac:dyDescent="0.25">
      <c r="A335">
        <v>20608997106</v>
      </c>
      <c r="B335" t="s">
        <v>115</v>
      </c>
      <c r="C335">
        <v>202606</v>
      </c>
      <c r="D335" t="s">
        <v>759</v>
      </c>
      <c r="E335" s="99">
        <v>46203</v>
      </c>
      <c r="G335">
        <v>3</v>
      </c>
      <c r="H335" t="s">
        <v>141</v>
      </c>
      <c r="I335">
        <v>3989</v>
      </c>
      <c r="K335" t="s">
        <v>142</v>
      </c>
      <c r="L335" t="s">
        <v>142</v>
      </c>
      <c r="M335" t="s">
        <v>760</v>
      </c>
      <c r="N335">
        <v>0</v>
      </c>
      <c r="O335">
        <v>79.66</v>
      </c>
      <c r="P335">
        <v>0</v>
      </c>
      <c r="Q335">
        <v>14.34</v>
      </c>
      <c r="R335">
        <v>0</v>
      </c>
      <c r="S335">
        <v>0</v>
      </c>
      <c r="T335">
        <v>0</v>
      </c>
      <c r="U335">
        <v>0</v>
      </c>
      <c r="V335">
        <v>0</v>
      </c>
      <c r="W335">
        <v>0</v>
      </c>
      <c r="X335">
        <v>0</v>
      </c>
      <c r="Y335">
        <v>0</v>
      </c>
      <c r="Z335">
        <v>94</v>
      </c>
      <c r="AA335" t="s">
        <v>116</v>
      </c>
      <c r="AB335">
        <v>1</v>
      </c>
      <c r="AI335">
        <v>1</v>
      </c>
      <c r="AJ335">
        <v>0</v>
      </c>
      <c r="AK335">
        <v>0</v>
      </c>
      <c r="AL335">
        <v>101</v>
      </c>
    </row>
    <row r="336" spans="1:38" x14ac:dyDescent="0.25">
      <c r="A336">
        <v>20608997106</v>
      </c>
      <c r="B336" t="s">
        <v>115</v>
      </c>
      <c r="C336">
        <v>202606</v>
      </c>
      <c r="D336" t="s">
        <v>761</v>
      </c>
      <c r="E336" s="99">
        <v>46203</v>
      </c>
      <c r="G336">
        <v>3</v>
      </c>
      <c r="H336" t="s">
        <v>141</v>
      </c>
      <c r="I336">
        <v>3990</v>
      </c>
      <c r="K336" t="s">
        <v>142</v>
      </c>
      <c r="L336" t="s">
        <v>142</v>
      </c>
      <c r="M336" t="s">
        <v>216</v>
      </c>
      <c r="N336">
        <v>0</v>
      </c>
      <c r="O336">
        <v>119.49</v>
      </c>
      <c r="P336">
        <v>0</v>
      </c>
      <c r="Q336">
        <v>21.51</v>
      </c>
      <c r="R336">
        <v>0</v>
      </c>
      <c r="S336">
        <v>0</v>
      </c>
      <c r="T336">
        <v>0</v>
      </c>
      <c r="U336">
        <v>0</v>
      </c>
      <c r="V336">
        <v>0</v>
      </c>
      <c r="W336">
        <v>0</v>
      </c>
      <c r="X336">
        <v>0</v>
      </c>
      <c r="Y336">
        <v>0</v>
      </c>
      <c r="Z336">
        <v>141</v>
      </c>
      <c r="AA336" t="s">
        <v>116</v>
      </c>
      <c r="AB336">
        <v>1</v>
      </c>
      <c r="AI336">
        <v>1</v>
      </c>
      <c r="AJ336">
        <v>0</v>
      </c>
      <c r="AK336">
        <v>0</v>
      </c>
      <c r="AL336">
        <v>101</v>
      </c>
    </row>
    <row r="337" spans="1:38" x14ac:dyDescent="0.25">
      <c r="A337">
        <v>20608997106</v>
      </c>
      <c r="B337" t="s">
        <v>115</v>
      </c>
      <c r="C337">
        <v>202606</v>
      </c>
      <c r="D337" t="s">
        <v>762</v>
      </c>
      <c r="E337" s="99">
        <v>46203</v>
      </c>
      <c r="G337">
        <v>3</v>
      </c>
      <c r="H337" t="s">
        <v>141</v>
      </c>
      <c r="I337">
        <v>3991</v>
      </c>
      <c r="K337" t="s">
        <v>142</v>
      </c>
      <c r="L337" t="s">
        <v>142</v>
      </c>
      <c r="M337" t="s">
        <v>763</v>
      </c>
      <c r="N337">
        <v>0</v>
      </c>
      <c r="O337">
        <v>149.15</v>
      </c>
      <c r="P337">
        <v>0</v>
      </c>
      <c r="Q337">
        <v>26.85</v>
      </c>
      <c r="R337">
        <v>0</v>
      </c>
      <c r="S337">
        <v>0</v>
      </c>
      <c r="T337">
        <v>0</v>
      </c>
      <c r="U337">
        <v>0</v>
      </c>
      <c r="V337">
        <v>0</v>
      </c>
      <c r="W337">
        <v>0</v>
      </c>
      <c r="X337">
        <v>0</v>
      </c>
      <c r="Y337">
        <v>0</v>
      </c>
      <c r="Z337">
        <v>176</v>
      </c>
      <c r="AA337" t="s">
        <v>116</v>
      </c>
      <c r="AB337">
        <v>1</v>
      </c>
      <c r="AI337">
        <v>1</v>
      </c>
      <c r="AJ337">
        <v>0</v>
      </c>
      <c r="AK337">
        <v>0</v>
      </c>
      <c r="AL337">
        <v>101</v>
      </c>
    </row>
    <row r="338" spans="1:38" x14ac:dyDescent="0.25">
      <c r="A338">
        <v>20608997106</v>
      </c>
      <c r="B338" t="s">
        <v>115</v>
      </c>
      <c r="C338">
        <v>202606</v>
      </c>
      <c r="D338" t="s">
        <v>764</v>
      </c>
      <c r="E338" s="99">
        <v>46203</v>
      </c>
      <c r="G338">
        <v>3</v>
      </c>
      <c r="H338" t="s">
        <v>141</v>
      </c>
      <c r="I338">
        <v>3992</v>
      </c>
      <c r="K338" t="s">
        <v>142</v>
      </c>
      <c r="L338" t="s">
        <v>142</v>
      </c>
      <c r="M338" t="s">
        <v>302</v>
      </c>
      <c r="N338">
        <v>0</v>
      </c>
      <c r="O338">
        <v>186.44</v>
      </c>
      <c r="P338">
        <v>0</v>
      </c>
      <c r="Q338">
        <v>33.56</v>
      </c>
      <c r="R338">
        <v>0</v>
      </c>
      <c r="S338">
        <v>0</v>
      </c>
      <c r="T338">
        <v>0</v>
      </c>
      <c r="U338">
        <v>0</v>
      </c>
      <c r="V338">
        <v>0</v>
      </c>
      <c r="W338">
        <v>0</v>
      </c>
      <c r="X338">
        <v>0</v>
      </c>
      <c r="Y338">
        <v>0</v>
      </c>
      <c r="Z338">
        <v>220</v>
      </c>
      <c r="AA338" t="s">
        <v>116</v>
      </c>
      <c r="AB338">
        <v>1</v>
      </c>
      <c r="AI338">
        <v>1</v>
      </c>
      <c r="AJ338">
        <v>0</v>
      </c>
      <c r="AK338">
        <v>0</v>
      </c>
      <c r="AL338">
        <v>101</v>
      </c>
    </row>
    <row r="339" spans="1:38" x14ac:dyDescent="0.25">
      <c r="A339">
        <v>20608997106</v>
      </c>
      <c r="B339" t="s">
        <v>115</v>
      </c>
      <c r="C339">
        <v>202606</v>
      </c>
      <c r="D339" t="s">
        <v>765</v>
      </c>
      <c r="E339" s="99">
        <v>46203</v>
      </c>
      <c r="G339">
        <v>3</v>
      </c>
      <c r="H339" t="s">
        <v>141</v>
      </c>
      <c r="I339">
        <v>3993</v>
      </c>
      <c r="K339" t="s">
        <v>142</v>
      </c>
      <c r="L339" t="s">
        <v>142</v>
      </c>
      <c r="M339" t="s">
        <v>766</v>
      </c>
      <c r="N339">
        <v>0</v>
      </c>
      <c r="O339">
        <v>223.73</v>
      </c>
      <c r="P339">
        <v>0</v>
      </c>
      <c r="Q339">
        <v>40.270000000000003</v>
      </c>
      <c r="R339">
        <v>0</v>
      </c>
      <c r="S339">
        <v>0</v>
      </c>
      <c r="T339">
        <v>0</v>
      </c>
      <c r="U339">
        <v>0</v>
      </c>
      <c r="V339">
        <v>0</v>
      </c>
      <c r="W339">
        <v>0</v>
      </c>
      <c r="X339">
        <v>0</v>
      </c>
      <c r="Y339">
        <v>0</v>
      </c>
      <c r="Z339">
        <v>264</v>
      </c>
      <c r="AA339" t="s">
        <v>116</v>
      </c>
      <c r="AB339">
        <v>1</v>
      </c>
      <c r="AI339">
        <v>1</v>
      </c>
      <c r="AJ339">
        <v>0</v>
      </c>
      <c r="AK339">
        <v>0</v>
      </c>
      <c r="AL339">
        <v>101</v>
      </c>
    </row>
    <row r="340" spans="1:38" x14ac:dyDescent="0.25">
      <c r="A340">
        <v>20608997106</v>
      </c>
      <c r="B340" t="s">
        <v>115</v>
      </c>
      <c r="C340">
        <v>202606</v>
      </c>
      <c r="D340" t="s">
        <v>767</v>
      </c>
      <c r="E340" s="99">
        <v>46203</v>
      </c>
      <c r="G340">
        <v>3</v>
      </c>
      <c r="H340" t="s">
        <v>141</v>
      </c>
      <c r="I340">
        <v>3994</v>
      </c>
      <c r="K340" t="s">
        <v>142</v>
      </c>
      <c r="L340" t="s">
        <v>142</v>
      </c>
      <c r="M340" t="s">
        <v>768</v>
      </c>
      <c r="N340">
        <v>0</v>
      </c>
      <c r="O340">
        <v>261.02</v>
      </c>
      <c r="P340">
        <v>0</v>
      </c>
      <c r="Q340">
        <v>46.98</v>
      </c>
      <c r="R340">
        <v>0</v>
      </c>
      <c r="S340">
        <v>0</v>
      </c>
      <c r="T340">
        <v>0</v>
      </c>
      <c r="U340">
        <v>0</v>
      </c>
      <c r="V340">
        <v>0</v>
      </c>
      <c r="W340">
        <v>0</v>
      </c>
      <c r="X340">
        <v>0</v>
      </c>
      <c r="Y340">
        <v>0</v>
      </c>
      <c r="Z340">
        <v>308</v>
      </c>
      <c r="AA340" t="s">
        <v>116</v>
      </c>
      <c r="AB340">
        <v>1</v>
      </c>
      <c r="AI340">
        <v>1</v>
      </c>
      <c r="AJ340">
        <v>0</v>
      </c>
      <c r="AK340">
        <v>0</v>
      </c>
      <c r="AL340">
        <v>101</v>
      </c>
    </row>
    <row r="341" spans="1:38" x14ac:dyDescent="0.25">
      <c r="A341">
        <v>20608997106</v>
      </c>
      <c r="B341" t="s">
        <v>115</v>
      </c>
      <c r="C341">
        <v>202606</v>
      </c>
      <c r="D341" t="s">
        <v>769</v>
      </c>
      <c r="E341" s="99">
        <v>46203</v>
      </c>
      <c r="G341">
        <v>3</v>
      </c>
      <c r="H341" t="s">
        <v>141</v>
      </c>
      <c r="I341">
        <v>3995</v>
      </c>
      <c r="K341" t="s">
        <v>142</v>
      </c>
      <c r="L341" t="s">
        <v>142</v>
      </c>
      <c r="M341" t="s">
        <v>770</v>
      </c>
      <c r="N341">
        <v>0</v>
      </c>
      <c r="O341">
        <v>298.31</v>
      </c>
      <c r="P341">
        <v>0</v>
      </c>
      <c r="Q341">
        <v>53.69</v>
      </c>
      <c r="R341">
        <v>0</v>
      </c>
      <c r="S341">
        <v>0</v>
      </c>
      <c r="T341">
        <v>0</v>
      </c>
      <c r="U341">
        <v>0</v>
      </c>
      <c r="V341">
        <v>0</v>
      </c>
      <c r="W341">
        <v>0</v>
      </c>
      <c r="X341">
        <v>0</v>
      </c>
      <c r="Y341">
        <v>0</v>
      </c>
      <c r="Z341">
        <v>352</v>
      </c>
      <c r="AA341" t="s">
        <v>116</v>
      </c>
      <c r="AB341">
        <v>1</v>
      </c>
      <c r="AI341">
        <v>1</v>
      </c>
      <c r="AJ341">
        <v>0</v>
      </c>
      <c r="AK341">
        <v>0</v>
      </c>
      <c r="AL341">
        <v>101</v>
      </c>
    </row>
    <row r="342" spans="1:38" x14ac:dyDescent="0.25">
      <c r="A342">
        <v>20608997106</v>
      </c>
      <c r="B342" t="s">
        <v>115</v>
      </c>
      <c r="C342">
        <v>202606</v>
      </c>
      <c r="D342" t="s">
        <v>771</v>
      </c>
      <c r="E342" s="99">
        <v>46203</v>
      </c>
      <c r="G342">
        <v>3</v>
      </c>
      <c r="H342" t="s">
        <v>141</v>
      </c>
      <c r="I342">
        <v>3996</v>
      </c>
      <c r="K342" t="s">
        <v>142</v>
      </c>
      <c r="L342" t="s">
        <v>142</v>
      </c>
      <c r="M342" t="s">
        <v>772</v>
      </c>
      <c r="N342">
        <v>0</v>
      </c>
      <c r="O342">
        <v>335.59</v>
      </c>
      <c r="P342">
        <v>0</v>
      </c>
      <c r="Q342">
        <v>60.41</v>
      </c>
      <c r="R342">
        <v>0</v>
      </c>
      <c r="S342">
        <v>0</v>
      </c>
      <c r="T342">
        <v>0</v>
      </c>
      <c r="U342">
        <v>0</v>
      </c>
      <c r="V342">
        <v>0</v>
      </c>
      <c r="W342">
        <v>0</v>
      </c>
      <c r="X342">
        <v>0</v>
      </c>
      <c r="Y342">
        <v>0</v>
      </c>
      <c r="Z342">
        <v>396</v>
      </c>
      <c r="AA342" t="s">
        <v>116</v>
      </c>
      <c r="AB342">
        <v>1</v>
      </c>
      <c r="AI342">
        <v>1</v>
      </c>
      <c r="AJ342">
        <v>0</v>
      </c>
      <c r="AK342">
        <v>0</v>
      </c>
      <c r="AL342">
        <v>101</v>
      </c>
    </row>
    <row r="343" spans="1:38" x14ac:dyDescent="0.25">
      <c r="A343">
        <v>20608997106</v>
      </c>
      <c r="B343" t="s">
        <v>115</v>
      </c>
      <c r="C343">
        <v>202606</v>
      </c>
      <c r="D343" t="s">
        <v>773</v>
      </c>
      <c r="E343" s="99">
        <v>46203</v>
      </c>
      <c r="G343">
        <v>3</v>
      </c>
      <c r="H343" t="s">
        <v>141</v>
      </c>
      <c r="I343">
        <v>3997</v>
      </c>
      <c r="K343" t="s">
        <v>142</v>
      </c>
      <c r="L343" t="s">
        <v>142</v>
      </c>
      <c r="M343" t="s">
        <v>774</v>
      </c>
      <c r="N343">
        <v>0</v>
      </c>
      <c r="O343">
        <v>372.88</v>
      </c>
      <c r="P343">
        <v>0</v>
      </c>
      <c r="Q343">
        <v>67.12</v>
      </c>
      <c r="R343">
        <v>0</v>
      </c>
      <c r="S343">
        <v>0</v>
      </c>
      <c r="T343">
        <v>0</v>
      </c>
      <c r="U343">
        <v>0</v>
      </c>
      <c r="V343">
        <v>0</v>
      </c>
      <c r="W343">
        <v>0</v>
      </c>
      <c r="X343">
        <v>0</v>
      </c>
      <c r="Y343">
        <v>0</v>
      </c>
      <c r="Z343">
        <v>440</v>
      </c>
      <c r="AA343" t="s">
        <v>116</v>
      </c>
      <c r="AB343">
        <v>1</v>
      </c>
      <c r="AI343">
        <v>1</v>
      </c>
      <c r="AJ343">
        <v>0</v>
      </c>
      <c r="AK343">
        <v>0</v>
      </c>
      <c r="AL343">
        <v>101</v>
      </c>
    </row>
    <row r="344" spans="1:38" x14ac:dyDescent="0.25">
      <c r="A344">
        <v>20608997106</v>
      </c>
      <c r="B344" t="s">
        <v>115</v>
      </c>
      <c r="C344">
        <v>202606</v>
      </c>
      <c r="D344" t="s">
        <v>775</v>
      </c>
      <c r="E344" s="99">
        <v>46203</v>
      </c>
      <c r="G344">
        <v>3</v>
      </c>
      <c r="H344" t="s">
        <v>141</v>
      </c>
      <c r="I344">
        <v>3998</v>
      </c>
      <c r="K344" t="s">
        <v>142</v>
      </c>
      <c r="L344" t="s">
        <v>142</v>
      </c>
      <c r="M344" t="s">
        <v>776</v>
      </c>
      <c r="N344">
        <v>0</v>
      </c>
      <c r="O344">
        <v>400.85</v>
      </c>
      <c r="P344">
        <v>0</v>
      </c>
      <c r="Q344">
        <v>72.150000000000006</v>
      </c>
      <c r="R344">
        <v>0</v>
      </c>
      <c r="S344">
        <v>0</v>
      </c>
      <c r="T344">
        <v>0</v>
      </c>
      <c r="U344">
        <v>0</v>
      </c>
      <c r="V344">
        <v>0</v>
      </c>
      <c r="W344">
        <v>0</v>
      </c>
      <c r="X344">
        <v>0</v>
      </c>
      <c r="Y344">
        <v>0</v>
      </c>
      <c r="Z344">
        <v>473</v>
      </c>
      <c r="AA344" t="s">
        <v>116</v>
      </c>
      <c r="AB344">
        <v>1</v>
      </c>
      <c r="AI344">
        <v>1</v>
      </c>
      <c r="AJ344">
        <v>0</v>
      </c>
      <c r="AK344">
        <v>0</v>
      </c>
      <c r="AL344">
        <v>101</v>
      </c>
    </row>
    <row r="345" spans="1:38" x14ac:dyDescent="0.25">
      <c r="A345">
        <v>20608997106</v>
      </c>
      <c r="B345" t="s">
        <v>115</v>
      </c>
      <c r="C345">
        <v>202606</v>
      </c>
      <c r="D345" t="s">
        <v>777</v>
      </c>
      <c r="E345" s="99">
        <v>46203</v>
      </c>
      <c r="G345">
        <v>3</v>
      </c>
      <c r="H345" t="s">
        <v>141</v>
      </c>
      <c r="I345">
        <v>3999</v>
      </c>
      <c r="K345" t="s">
        <v>142</v>
      </c>
      <c r="L345" t="s">
        <v>142</v>
      </c>
      <c r="M345" t="s">
        <v>186</v>
      </c>
      <c r="N345">
        <v>0</v>
      </c>
      <c r="O345">
        <v>42.37</v>
      </c>
      <c r="P345">
        <v>0</v>
      </c>
      <c r="Q345">
        <v>7.63</v>
      </c>
      <c r="R345">
        <v>0</v>
      </c>
      <c r="S345">
        <v>0</v>
      </c>
      <c r="T345">
        <v>0</v>
      </c>
      <c r="U345">
        <v>0</v>
      </c>
      <c r="V345">
        <v>0</v>
      </c>
      <c r="W345">
        <v>0</v>
      </c>
      <c r="X345">
        <v>0</v>
      </c>
      <c r="Y345">
        <v>0</v>
      </c>
      <c r="Z345">
        <v>50</v>
      </c>
      <c r="AA345" t="s">
        <v>116</v>
      </c>
      <c r="AB345">
        <v>1</v>
      </c>
      <c r="AI345">
        <v>1</v>
      </c>
      <c r="AJ345">
        <v>0</v>
      </c>
      <c r="AK345">
        <v>0</v>
      </c>
      <c r="AL345">
        <v>101</v>
      </c>
    </row>
    <row r="346" spans="1:38" x14ac:dyDescent="0.25">
      <c r="A346">
        <v>20608997106</v>
      </c>
      <c r="B346" t="s">
        <v>115</v>
      </c>
      <c r="C346">
        <v>202606</v>
      </c>
      <c r="D346" t="s">
        <v>778</v>
      </c>
      <c r="E346" s="99">
        <v>46203</v>
      </c>
      <c r="G346">
        <v>3</v>
      </c>
      <c r="H346" t="s">
        <v>141</v>
      </c>
      <c r="I346">
        <v>4000</v>
      </c>
      <c r="K346" t="s">
        <v>142</v>
      </c>
      <c r="L346" t="s">
        <v>142</v>
      </c>
      <c r="M346" t="s">
        <v>779</v>
      </c>
      <c r="N346">
        <v>0</v>
      </c>
      <c r="O346">
        <v>79.66</v>
      </c>
      <c r="P346">
        <v>0</v>
      </c>
      <c r="Q346">
        <v>14.34</v>
      </c>
      <c r="R346">
        <v>0</v>
      </c>
      <c r="S346">
        <v>0</v>
      </c>
      <c r="T346">
        <v>0</v>
      </c>
      <c r="U346">
        <v>0</v>
      </c>
      <c r="V346">
        <v>0</v>
      </c>
      <c r="W346">
        <v>0</v>
      </c>
      <c r="X346">
        <v>0</v>
      </c>
      <c r="Y346">
        <v>0</v>
      </c>
      <c r="Z346">
        <v>94</v>
      </c>
      <c r="AA346" t="s">
        <v>116</v>
      </c>
      <c r="AB346">
        <v>1</v>
      </c>
      <c r="AI346">
        <v>1</v>
      </c>
      <c r="AJ346">
        <v>0</v>
      </c>
      <c r="AK346">
        <v>0</v>
      </c>
      <c r="AL346">
        <v>101</v>
      </c>
    </row>
    <row r="347" spans="1:38" x14ac:dyDescent="0.25">
      <c r="A347">
        <v>20608997106</v>
      </c>
      <c r="B347" t="s">
        <v>115</v>
      </c>
      <c r="C347">
        <v>202606</v>
      </c>
      <c r="D347" t="s">
        <v>780</v>
      </c>
      <c r="E347" s="99">
        <v>46203</v>
      </c>
      <c r="G347">
        <v>3</v>
      </c>
      <c r="H347" t="s">
        <v>141</v>
      </c>
      <c r="I347">
        <v>4001</v>
      </c>
      <c r="K347" t="s">
        <v>142</v>
      </c>
      <c r="L347" t="s">
        <v>142</v>
      </c>
      <c r="M347" t="s">
        <v>781</v>
      </c>
      <c r="N347">
        <v>0</v>
      </c>
      <c r="O347">
        <v>114.41</v>
      </c>
      <c r="P347">
        <v>0</v>
      </c>
      <c r="Q347">
        <v>20.59</v>
      </c>
      <c r="R347">
        <v>0</v>
      </c>
      <c r="S347">
        <v>0</v>
      </c>
      <c r="T347">
        <v>0</v>
      </c>
      <c r="U347">
        <v>0</v>
      </c>
      <c r="V347">
        <v>0</v>
      </c>
      <c r="W347">
        <v>0</v>
      </c>
      <c r="X347">
        <v>0</v>
      </c>
      <c r="Y347">
        <v>0</v>
      </c>
      <c r="Z347">
        <v>135</v>
      </c>
      <c r="AA347" t="s">
        <v>116</v>
      </c>
      <c r="AB347">
        <v>1</v>
      </c>
      <c r="AI347">
        <v>1</v>
      </c>
      <c r="AJ347">
        <v>0</v>
      </c>
      <c r="AK347">
        <v>0</v>
      </c>
      <c r="AL347">
        <v>101</v>
      </c>
    </row>
    <row r="348" spans="1:38" x14ac:dyDescent="0.25">
      <c r="A348">
        <v>20608997106</v>
      </c>
      <c r="B348" t="s">
        <v>115</v>
      </c>
      <c r="C348">
        <v>202606</v>
      </c>
      <c r="D348" t="s">
        <v>782</v>
      </c>
      <c r="E348" s="99">
        <v>46203</v>
      </c>
      <c r="G348">
        <v>3</v>
      </c>
      <c r="H348" t="s">
        <v>141</v>
      </c>
      <c r="I348">
        <v>4002</v>
      </c>
      <c r="K348" t="s">
        <v>142</v>
      </c>
      <c r="L348" t="s">
        <v>142</v>
      </c>
      <c r="M348" t="s">
        <v>783</v>
      </c>
      <c r="N348">
        <v>0</v>
      </c>
      <c r="O348">
        <v>42.37</v>
      </c>
      <c r="P348">
        <v>0</v>
      </c>
      <c r="Q348">
        <v>7.63</v>
      </c>
      <c r="R348">
        <v>0</v>
      </c>
      <c r="S348">
        <v>0</v>
      </c>
      <c r="T348">
        <v>0</v>
      </c>
      <c r="U348">
        <v>0</v>
      </c>
      <c r="V348">
        <v>0</v>
      </c>
      <c r="W348">
        <v>0</v>
      </c>
      <c r="X348">
        <v>0</v>
      </c>
      <c r="Y348">
        <v>0</v>
      </c>
      <c r="Z348">
        <v>50</v>
      </c>
      <c r="AA348" t="s">
        <v>116</v>
      </c>
      <c r="AB348">
        <v>1</v>
      </c>
      <c r="AI348">
        <v>1</v>
      </c>
      <c r="AJ348">
        <v>0</v>
      </c>
      <c r="AK348">
        <v>0</v>
      </c>
      <c r="AL348">
        <v>101</v>
      </c>
    </row>
    <row r="349" spans="1:38" x14ac:dyDescent="0.25">
      <c r="A349">
        <v>20608997106</v>
      </c>
      <c r="B349" t="s">
        <v>115</v>
      </c>
      <c r="C349">
        <v>202606</v>
      </c>
      <c r="D349" t="s">
        <v>784</v>
      </c>
      <c r="E349" s="99">
        <v>46203</v>
      </c>
      <c r="G349">
        <v>3</v>
      </c>
      <c r="H349" t="s">
        <v>141</v>
      </c>
      <c r="I349">
        <v>4003</v>
      </c>
      <c r="K349" t="s">
        <v>142</v>
      </c>
      <c r="L349" t="s">
        <v>142</v>
      </c>
      <c r="M349" t="s">
        <v>785</v>
      </c>
      <c r="N349">
        <v>0</v>
      </c>
      <c r="O349">
        <v>298.31</v>
      </c>
      <c r="P349">
        <v>0</v>
      </c>
      <c r="Q349">
        <v>53.69</v>
      </c>
      <c r="R349">
        <v>0</v>
      </c>
      <c r="S349">
        <v>0</v>
      </c>
      <c r="T349">
        <v>0</v>
      </c>
      <c r="U349">
        <v>0</v>
      </c>
      <c r="V349">
        <v>0</v>
      </c>
      <c r="W349">
        <v>0</v>
      </c>
      <c r="X349">
        <v>0</v>
      </c>
      <c r="Y349">
        <v>0</v>
      </c>
      <c r="Z349">
        <v>352</v>
      </c>
      <c r="AA349" t="s">
        <v>116</v>
      </c>
      <c r="AB349">
        <v>1</v>
      </c>
      <c r="AI349">
        <v>1</v>
      </c>
      <c r="AJ349">
        <v>0</v>
      </c>
      <c r="AK349">
        <v>0</v>
      </c>
      <c r="AL349">
        <v>101</v>
      </c>
    </row>
    <row r="350" spans="1:38" x14ac:dyDescent="0.25">
      <c r="A350">
        <v>20608997106</v>
      </c>
      <c r="B350" t="s">
        <v>115</v>
      </c>
      <c r="C350">
        <v>202606</v>
      </c>
      <c r="D350" t="s">
        <v>786</v>
      </c>
      <c r="E350" s="99">
        <v>46203</v>
      </c>
      <c r="G350">
        <v>3</v>
      </c>
      <c r="H350" t="s">
        <v>141</v>
      </c>
      <c r="I350">
        <v>4004</v>
      </c>
      <c r="K350" t="s">
        <v>142</v>
      </c>
      <c r="L350" t="s">
        <v>142</v>
      </c>
      <c r="M350" t="s">
        <v>208</v>
      </c>
      <c r="N350">
        <v>0</v>
      </c>
      <c r="O350">
        <v>261.02</v>
      </c>
      <c r="P350">
        <v>0</v>
      </c>
      <c r="Q350">
        <v>46.98</v>
      </c>
      <c r="R350">
        <v>0</v>
      </c>
      <c r="S350">
        <v>0</v>
      </c>
      <c r="T350">
        <v>0</v>
      </c>
      <c r="U350">
        <v>0</v>
      </c>
      <c r="V350">
        <v>0</v>
      </c>
      <c r="W350">
        <v>0</v>
      </c>
      <c r="X350">
        <v>0</v>
      </c>
      <c r="Y350">
        <v>0</v>
      </c>
      <c r="Z350">
        <v>308</v>
      </c>
      <c r="AA350" t="s">
        <v>116</v>
      </c>
      <c r="AB350">
        <v>1</v>
      </c>
      <c r="AI350">
        <v>1</v>
      </c>
      <c r="AJ350">
        <v>0</v>
      </c>
      <c r="AK350">
        <v>0</v>
      </c>
      <c r="AL350">
        <v>101</v>
      </c>
    </row>
    <row r="351" spans="1:38" x14ac:dyDescent="0.25">
      <c r="A351">
        <v>20608997106</v>
      </c>
      <c r="B351" t="s">
        <v>115</v>
      </c>
      <c r="C351">
        <v>202606</v>
      </c>
      <c r="D351" t="s">
        <v>787</v>
      </c>
      <c r="E351" s="99">
        <v>46203</v>
      </c>
      <c r="G351">
        <v>3</v>
      </c>
      <c r="H351" t="s">
        <v>141</v>
      </c>
      <c r="I351">
        <v>4005</v>
      </c>
      <c r="K351" t="s">
        <v>142</v>
      </c>
      <c r="L351" t="s">
        <v>142</v>
      </c>
      <c r="M351" t="s">
        <v>788</v>
      </c>
      <c r="N351">
        <v>0</v>
      </c>
      <c r="O351">
        <v>335.59</v>
      </c>
      <c r="P351">
        <v>0</v>
      </c>
      <c r="Q351">
        <v>60.41</v>
      </c>
      <c r="R351">
        <v>0</v>
      </c>
      <c r="S351">
        <v>0</v>
      </c>
      <c r="T351">
        <v>0</v>
      </c>
      <c r="U351">
        <v>0</v>
      </c>
      <c r="V351">
        <v>0</v>
      </c>
      <c r="W351">
        <v>0</v>
      </c>
      <c r="X351">
        <v>0</v>
      </c>
      <c r="Y351">
        <v>0</v>
      </c>
      <c r="Z351">
        <v>396</v>
      </c>
      <c r="AA351" t="s">
        <v>116</v>
      </c>
      <c r="AB351">
        <v>1</v>
      </c>
      <c r="AI351">
        <v>1</v>
      </c>
      <c r="AJ351">
        <v>0</v>
      </c>
      <c r="AK351">
        <v>0</v>
      </c>
      <c r="AL351">
        <v>101</v>
      </c>
    </row>
    <row r="352" spans="1:38" x14ac:dyDescent="0.25">
      <c r="A352">
        <v>20608997106</v>
      </c>
      <c r="B352" t="s">
        <v>115</v>
      </c>
      <c r="C352">
        <v>202606</v>
      </c>
      <c r="D352" t="s">
        <v>789</v>
      </c>
      <c r="E352" s="99">
        <v>46203</v>
      </c>
      <c r="G352">
        <v>3</v>
      </c>
      <c r="H352" t="s">
        <v>141</v>
      </c>
      <c r="I352">
        <v>4006</v>
      </c>
      <c r="K352" t="s">
        <v>142</v>
      </c>
      <c r="L352" t="s">
        <v>142</v>
      </c>
      <c r="M352" t="s">
        <v>790</v>
      </c>
      <c r="N352">
        <v>0</v>
      </c>
      <c r="O352">
        <v>223.73</v>
      </c>
      <c r="P352">
        <v>0</v>
      </c>
      <c r="Q352">
        <v>40.270000000000003</v>
      </c>
      <c r="R352">
        <v>0</v>
      </c>
      <c r="S352">
        <v>0</v>
      </c>
      <c r="T352">
        <v>0</v>
      </c>
      <c r="U352">
        <v>0</v>
      </c>
      <c r="V352">
        <v>0</v>
      </c>
      <c r="W352">
        <v>0</v>
      </c>
      <c r="X352">
        <v>0</v>
      </c>
      <c r="Y352">
        <v>0</v>
      </c>
      <c r="Z352">
        <v>264</v>
      </c>
      <c r="AA352" t="s">
        <v>116</v>
      </c>
      <c r="AB352">
        <v>1</v>
      </c>
      <c r="AI352">
        <v>1</v>
      </c>
      <c r="AJ352">
        <v>0</v>
      </c>
      <c r="AK352">
        <v>0</v>
      </c>
      <c r="AL352">
        <v>101</v>
      </c>
    </row>
    <row r="353" spans="1:38" x14ac:dyDescent="0.25">
      <c r="A353">
        <v>20608997106</v>
      </c>
      <c r="B353" t="s">
        <v>115</v>
      </c>
      <c r="C353">
        <v>202606</v>
      </c>
      <c r="D353" t="s">
        <v>791</v>
      </c>
      <c r="E353" s="99">
        <v>46203</v>
      </c>
      <c r="G353">
        <v>3</v>
      </c>
      <c r="H353" t="s">
        <v>141</v>
      </c>
      <c r="I353">
        <v>4007</v>
      </c>
      <c r="K353" t="s">
        <v>142</v>
      </c>
      <c r="L353" t="s">
        <v>142</v>
      </c>
      <c r="M353" t="s">
        <v>792</v>
      </c>
      <c r="N353">
        <v>0</v>
      </c>
      <c r="O353">
        <v>42.37</v>
      </c>
      <c r="P353">
        <v>0</v>
      </c>
      <c r="Q353">
        <v>7.63</v>
      </c>
      <c r="R353">
        <v>0</v>
      </c>
      <c r="S353">
        <v>0</v>
      </c>
      <c r="T353">
        <v>0</v>
      </c>
      <c r="U353">
        <v>0</v>
      </c>
      <c r="V353">
        <v>0</v>
      </c>
      <c r="W353">
        <v>0</v>
      </c>
      <c r="X353">
        <v>0</v>
      </c>
      <c r="Y353">
        <v>0</v>
      </c>
      <c r="Z353">
        <v>50</v>
      </c>
      <c r="AA353" t="s">
        <v>116</v>
      </c>
      <c r="AB353">
        <v>1</v>
      </c>
      <c r="AI353">
        <v>1</v>
      </c>
      <c r="AJ353">
        <v>0</v>
      </c>
      <c r="AK353">
        <v>0</v>
      </c>
      <c r="AL353">
        <v>101</v>
      </c>
    </row>
    <row r="354" spans="1:38" x14ac:dyDescent="0.25">
      <c r="A354">
        <v>20608997106</v>
      </c>
      <c r="B354" t="s">
        <v>115</v>
      </c>
      <c r="C354">
        <v>202606</v>
      </c>
      <c r="D354" t="s">
        <v>793</v>
      </c>
      <c r="E354" s="99">
        <v>46203</v>
      </c>
      <c r="G354">
        <v>3</v>
      </c>
      <c r="H354" t="s">
        <v>141</v>
      </c>
      <c r="I354">
        <v>4008</v>
      </c>
      <c r="K354" t="s">
        <v>142</v>
      </c>
      <c r="L354" t="s">
        <v>142</v>
      </c>
      <c r="M354" t="s">
        <v>794</v>
      </c>
      <c r="N354">
        <v>0</v>
      </c>
      <c r="O354">
        <v>79.66</v>
      </c>
      <c r="P354">
        <v>0</v>
      </c>
      <c r="Q354">
        <v>14.34</v>
      </c>
      <c r="R354">
        <v>0</v>
      </c>
      <c r="S354">
        <v>0</v>
      </c>
      <c r="T354">
        <v>0</v>
      </c>
      <c r="U354">
        <v>0</v>
      </c>
      <c r="V354">
        <v>0</v>
      </c>
      <c r="W354">
        <v>0</v>
      </c>
      <c r="X354">
        <v>0</v>
      </c>
      <c r="Y354">
        <v>0</v>
      </c>
      <c r="Z354">
        <v>94</v>
      </c>
      <c r="AA354" t="s">
        <v>116</v>
      </c>
      <c r="AB354">
        <v>1</v>
      </c>
      <c r="AI354">
        <v>1</v>
      </c>
      <c r="AJ354">
        <v>0</v>
      </c>
      <c r="AK354">
        <v>0</v>
      </c>
      <c r="AL354">
        <v>101</v>
      </c>
    </row>
    <row r="355" spans="1:38" x14ac:dyDescent="0.25">
      <c r="A355">
        <v>20608997106</v>
      </c>
      <c r="B355" t="s">
        <v>115</v>
      </c>
      <c r="C355">
        <v>202606</v>
      </c>
      <c r="D355" t="s">
        <v>795</v>
      </c>
      <c r="E355" s="99">
        <v>46203</v>
      </c>
      <c r="G355">
        <v>3</v>
      </c>
      <c r="H355" t="s">
        <v>141</v>
      </c>
      <c r="I355">
        <v>4009</v>
      </c>
      <c r="K355" t="s">
        <v>142</v>
      </c>
      <c r="L355" t="s">
        <v>142</v>
      </c>
      <c r="M355" t="s">
        <v>796</v>
      </c>
      <c r="N355">
        <v>0</v>
      </c>
      <c r="O355">
        <v>119.49</v>
      </c>
      <c r="P355">
        <v>0</v>
      </c>
      <c r="Q355">
        <v>21.51</v>
      </c>
      <c r="R355">
        <v>0</v>
      </c>
      <c r="S355">
        <v>0</v>
      </c>
      <c r="T355">
        <v>0</v>
      </c>
      <c r="U355">
        <v>0</v>
      </c>
      <c r="V355">
        <v>0</v>
      </c>
      <c r="W355">
        <v>0</v>
      </c>
      <c r="X355">
        <v>0</v>
      </c>
      <c r="Y355">
        <v>0</v>
      </c>
      <c r="Z355">
        <v>141</v>
      </c>
      <c r="AA355" t="s">
        <v>116</v>
      </c>
      <c r="AB355">
        <v>1</v>
      </c>
      <c r="AI355">
        <v>1</v>
      </c>
      <c r="AJ355">
        <v>0</v>
      </c>
      <c r="AK355">
        <v>0</v>
      </c>
      <c r="AL355">
        <v>101</v>
      </c>
    </row>
    <row r="356" spans="1:38" x14ac:dyDescent="0.25">
      <c r="A356">
        <v>20608997106</v>
      </c>
      <c r="B356" t="s">
        <v>115</v>
      </c>
      <c r="C356">
        <v>202606</v>
      </c>
      <c r="D356" t="s">
        <v>797</v>
      </c>
      <c r="E356" s="99">
        <v>46203</v>
      </c>
      <c r="G356">
        <v>3</v>
      </c>
      <c r="H356" t="s">
        <v>141</v>
      </c>
      <c r="I356">
        <v>4010</v>
      </c>
      <c r="K356" t="s">
        <v>142</v>
      </c>
      <c r="L356" t="s">
        <v>142</v>
      </c>
      <c r="M356" t="s">
        <v>798</v>
      </c>
      <c r="N356">
        <v>0</v>
      </c>
      <c r="O356">
        <v>152.54</v>
      </c>
      <c r="P356">
        <v>0</v>
      </c>
      <c r="Q356">
        <v>27.46</v>
      </c>
      <c r="R356">
        <v>0</v>
      </c>
      <c r="S356">
        <v>0</v>
      </c>
      <c r="T356">
        <v>0</v>
      </c>
      <c r="U356">
        <v>0</v>
      </c>
      <c r="V356">
        <v>0</v>
      </c>
      <c r="W356">
        <v>0</v>
      </c>
      <c r="X356">
        <v>0</v>
      </c>
      <c r="Y356">
        <v>0</v>
      </c>
      <c r="Z356">
        <v>180</v>
      </c>
      <c r="AA356" t="s">
        <v>116</v>
      </c>
      <c r="AB356">
        <v>1</v>
      </c>
      <c r="AI356">
        <v>1</v>
      </c>
      <c r="AJ356">
        <v>0</v>
      </c>
      <c r="AK356">
        <v>0</v>
      </c>
      <c r="AL356">
        <v>101</v>
      </c>
    </row>
    <row r="357" spans="1:38" x14ac:dyDescent="0.25">
      <c r="A357">
        <v>20608997106</v>
      </c>
      <c r="B357" t="s">
        <v>115</v>
      </c>
      <c r="C357">
        <v>202606</v>
      </c>
      <c r="D357" t="s">
        <v>799</v>
      </c>
      <c r="E357" s="99">
        <v>46203</v>
      </c>
      <c r="G357">
        <v>3</v>
      </c>
      <c r="H357" t="s">
        <v>141</v>
      </c>
      <c r="I357">
        <v>4011</v>
      </c>
      <c r="K357" t="s">
        <v>142</v>
      </c>
      <c r="L357" t="s">
        <v>142</v>
      </c>
      <c r="M357" t="s">
        <v>800</v>
      </c>
      <c r="N357">
        <v>0</v>
      </c>
      <c r="O357">
        <v>186.44</v>
      </c>
      <c r="P357">
        <v>0</v>
      </c>
      <c r="Q357">
        <v>33.56</v>
      </c>
      <c r="R357">
        <v>0</v>
      </c>
      <c r="S357">
        <v>0</v>
      </c>
      <c r="T357">
        <v>0</v>
      </c>
      <c r="U357">
        <v>0</v>
      </c>
      <c r="V357">
        <v>0</v>
      </c>
      <c r="W357">
        <v>0</v>
      </c>
      <c r="X357">
        <v>0</v>
      </c>
      <c r="Y357">
        <v>0</v>
      </c>
      <c r="Z357">
        <v>220</v>
      </c>
      <c r="AA357" t="s">
        <v>116</v>
      </c>
      <c r="AB357">
        <v>1</v>
      </c>
      <c r="AI357">
        <v>1</v>
      </c>
      <c r="AJ357">
        <v>0</v>
      </c>
      <c r="AK357">
        <v>0</v>
      </c>
      <c r="AL357">
        <v>101</v>
      </c>
    </row>
    <row r="358" spans="1:38" x14ac:dyDescent="0.25">
      <c r="A358">
        <v>20608997106</v>
      </c>
      <c r="B358" t="s">
        <v>115</v>
      </c>
      <c r="C358">
        <v>202606</v>
      </c>
      <c r="D358" t="s">
        <v>801</v>
      </c>
      <c r="E358" s="99">
        <v>46203</v>
      </c>
      <c r="G358">
        <v>3</v>
      </c>
      <c r="H358" t="s">
        <v>141</v>
      </c>
      <c r="I358">
        <v>4012</v>
      </c>
      <c r="K358" t="s">
        <v>142</v>
      </c>
      <c r="L358" t="s">
        <v>142</v>
      </c>
      <c r="M358" t="s">
        <v>802</v>
      </c>
      <c r="N358">
        <v>0</v>
      </c>
      <c r="O358">
        <v>223.73</v>
      </c>
      <c r="P358">
        <v>0</v>
      </c>
      <c r="Q358">
        <v>40.270000000000003</v>
      </c>
      <c r="R358">
        <v>0</v>
      </c>
      <c r="S358">
        <v>0</v>
      </c>
      <c r="T358">
        <v>0</v>
      </c>
      <c r="U358">
        <v>0</v>
      </c>
      <c r="V358">
        <v>0</v>
      </c>
      <c r="W358">
        <v>0</v>
      </c>
      <c r="X358">
        <v>0</v>
      </c>
      <c r="Y358">
        <v>0</v>
      </c>
      <c r="Z358">
        <v>264</v>
      </c>
      <c r="AA358" t="s">
        <v>116</v>
      </c>
      <c r="AB358">
        <v>1</v>
      </c>
      <c r="AI358">
        <v>1</v>
      </c>
      <c r="AJ358">
        <v>0</v>
      </c>
      <c r="AK358">
        <v>0</v>
      </c>
      <c r="AL358">
        <v>101</v>
      </c>
    </row>
    <row r="359" spans="1:38" x14ac:dyDescent="0.25">
      <c r="A359">
        <v>20608997106</v>
      </c>
      <c r="B359" t="s">
        <v>115</v>
      </c>
      <c r="C359">
        <v>202606</v>
      </c>
      <c r="D359" t="s">
        <v>803</v>
      </c>
      <c r="E359" s="99">
        <v>46203</v>
      </c>
      <c r="G359">
        <v>3</v>
      </c>
      <c r="H359" t="s">
        <v>141</v>
      </c>
      <c r="I359">
        <v>4013</v>
      </c>
      <c r="K359" t="s">
        <v>142</v>
      </c>
      <c r="L359" t="s">
        <v>142</v>
      </c>
      <c r="M359" t="s">
        <v>804</v>
      </c>
      <c r="N359">
        <v>0</v>
      </c>
      <c r="O359">
        <v>261.02</v>
      </c>
      <c r="P359">
        <v>0</v>
      </c>
      <c r="Q359">
        <v>46.98</v>
      </c>
      <c r="R359">
        <v>0</v>
      </c>
      <c r="S359">
        <v>0</v>
      </c>
      <c r="T359">
        <v>0</v>
      </c>
      <c r="U359">
        <v>0</v>
      </c>
      <c r="V359">
        <v>0</v>
      </c>
      <c r="W359">
        <v>0</v>
      </c>
      <c r="X359">
        <v>0</v>
      </c>
      <c r="Y359">
        <v>0</v>
      </c>
      <c r="Z359">
        <v>308</v>
      </c>
      <c r="AA359" t="s">
        <v>116</v>
      </c>
      <c r="AB359">
        <v>1</v>
      </c>
      <c r="AI359">
        <v>1</v>
      </c>
      <c r="AJ359">
        <v>0</v>
      </c>
      <c r="AK359">
        <v>0</v>
      </c>
      <c r="AL359">
        <v>101</v>
      </c>
    </row>
    <row r="360" spans="1:38" x14ac:dyDescent="0.25">
      <c r="A360">
        <v>20608997106</v>
      </c>
      <c r="B360" t="s">
        <v>115</v>
      </c>
      <c r="C360">
        <v>202606</v>
      </c>
      <c r="D360" t="s">
        <v>805</v>
      </c>
      <c r="E360" s="99">
        <v>46203</v>
      </c>
      <c r="G360">
        <v>3</v>
      </c>
      <c r="H360" t="s">
        <v>141</v>
      </c>
      <c r="I360">
        <v>4014</v>
      </c>
      <c r="K360" t="s">
        <v>142</v>
      </c>
      <c r="L360" t="s">
        <v>142</v>
      </c>
      <c r="M360" t="s">
        <v>806</v>
      </c>
      <c r="N360">
        <v>0</v>
      </c>
      <c r="O360">
        <v>298.31</v>
      </c>
      <c r="P360">
        <v>0</v>
      </c>
      <c r="Q360">
        <v>53.69</v>
      </c>
      <c r="R360">
        <v>0</v>
      </c>
      <c r="S360">
        <v>0</v>
      </c>
      <c r="T360">
        <v>0</v>
      </c>
      <c r="U360">
        <v>0</v>
      </c>
      <c r="V360">
        <v>0</v>
      </c>
      <c r="W360">
        <v>0</v>
      </c>
      <c r="X360">
        <v>0</v>
      </c>
      <c r="Y360">
        <v>0</v>
      </c>
      <c r="Z360">
        <v>352</v>
      </c>
      <c r="AA360" t="s">
        <v>116</v>
      </c>
      <c r="AB360">
        <v>1</v>
      </c>
      <c r="AI360">
        <v>1</v>
      </c>
      <c r="AJ360">
        <v>0</v>
      </c>
      <c r="AK360">
        <v>0</v>
      </c>
      <c r="AL360">
        <v>101</v>
      </c>
    </row>
    <row r="361" spans="1:38" x14ac:dyDescent="0.25">
      <c r="A361">
        <v>20608997106</v>
      </c>
      <c r="B361" t="s">
        <v>115</v>
      </c>
      <c r="C361">
        <v>202606</v>
      </c>
      <c r="D361" t="s">
        <v>807</v>
      </c>
      <c r="E361" s="99">
        <v>46203</v>
      </c>
      <c r="G361">
        <v>3</v>
      </c>
      <c r="H361" t="s">
        <v>141</v>
      </c>
      <c r="I361">
        <v>4016</v>
      </c>
      <c r="K361" t="s">
        <v>142</v>
      </c>
      <c r="L361" t="s">
        <v>142</v>
      </c>
      <c r="M361" t="s">
        <v>808</v>
      </c>
      <c r="N361">
        <v>0</v>
      </c>
      <c r="O361">
        <v>364.41</v>
      </c>
      <c r="P361">
        <v>0</v>
      </c>
      <c r="Q361">
        <v>65.59</v>
      </c>
      <c r="R361">
        <v>0</v>
      </c>
      <c r="S361">
        <v>0</v>
      </c>
      <c r="T361">
        <v>0</v>
      </c>
      <c r="U361">
        <v>0</v>
      </c>
      <c r="V361">
        <v>0</v>
      </c>
      <c r="W361">
        <v>0</v>
      </c>
      <c r="X361">
        <v>0</v>
      </c>
      <c r="Y361">
        <v>0</v>
      </c>
      <c r="Z361">
        <v>430</v>
      </c>
      <c r="AA361" t="s">
        <v>116</v>
      </c>
      <c r="AB361">
        <v>1</v>
      </c>
      <c r="AI361">
        <v>1</v>
      </c>
      <c r="AJ361">
        <v>0</v>
      </c>
      <c r="AK361">
        <v>0</v>
      </c>
      <c r="AL361">
        <v>101</v>
      </c>
    </row>
    <row r="362" spans="1:38" x14ac:dyDescent="0.25">
      <c r="A362">
        <v>20608997106</v>
      </c>
      <c r="B362" t="s">
        <v>115</v>
      </c>
      <c r="C362">
        <v>202606</v>
      </c>
      <c r="D362" t="s">
        <v>809</v>
      </c>
      <c r="E362" s="99">
        <v>46203</v>
      </c>
      <c r="G362">
        <v>3</v>
      </c>
      <c r="H362" t="s">
        <v>141</v>
      </c>
      <c r="I362">
        <v>4018</v>
      </c>
      <c r="K362" t="s">
        <v>142</v>
      </c>
      <c r="L362" t="s">
        <v>142</v>
      </c>
      <c r="M362" t="s">
        <v>810</v>
      </c>
      <c r="N362">
        <v>0</v>
      </c>
      <c r="O362">
        <v>84.75</v>
      </c>
      <c r="P362">
        <v>0</v>
      </c>
      <c r="Q362">
        <v>15.25</v>
      </c>
      <c r="R362">
        <v>0</v>
      </c>
      <c r="S362">
        <v>0</v>
      </c>
      <c r="T362">
        <v>0</v>
      </c>
      <c r="U362">
        <v>0</v>
      </c>
      <c r="V362">
        <v>0</v>
      </c>
      <c r="W362">
        <v>0</v>
      </c>
      <c r="X362">
        <v>0</v>
      </c>
      <c r="Y362">
        <v>0</v>
      </c>
      <c r="Z362">
        <v>100</v>
      </c>
      <c r="AA362" t="s">
        <v>116</v>
      </c>
      <c r="AB362">
        <v>1</v>
      </c>
      <c r="AI362">
        <v>1</v>
      </c>
      <c r="AJ362">
        <v>0</v>
      </c>
      <c r="AK362">
        <v>0</v>
      </c>
      <c r="AL362">
        <v>101</v>
      </c>
    </row>
    <row r="363" spans="1:38" x14ac:dyDescent="0.25">
      <c r="A363">
        <v>20608997106</v>
      </c>
      <c r="B363" t="s">
        <v>115</v>
      </c>
      <c r="C363">
        <v>202606</v>
      </c>
      <c r="D363" t="s">
        <v>811</v>
      </c>
      <c r="E363" s="99">
        <v>46203</v>
      </c>
      <c r="G363">
        <v>3</v>
      </c>
      <c r="H363" t="s">
        <v>141</v>
      </c>
      <c r="I363">
        <v>4020</v>
      </c>
      <c r="K363" t="s">
        <v>142</v>
      </c>
      <c r="L363" t="s">
        <v>142</v>
      </c>
      <c r="M363" t="s">
        <v>812</v>
      </c>
      <c r="N363">
        <v>0</v>
      </c>
      <c r="O363">
        <v>400.85</v>
      </c>
      <c r="P363">
        <v>0</v>
      </c>
      <c r="Q363">
        <v>72.150000000000006</v>
      </c>
      <c r="R363">
        <v>0</v>
      </c>
      <c r="S363">
        <v>0</v>
      </c>
      <c r="T363">
        <v>0</v>
      </c>
      <c r="U363">
        <v>0</v>
      </c>
      <c r="V363">
        <v>0</v>
      </c>
      <c r="W363">
        <v>0</v>
      </c>
      <c r="X363">
        <v>0</v>
      </c>
      <c r="Y363">
        <v>0</v>
      </c>
      <c r="Z363">
        <v>473</v>
      </c>
      <c r="AA363" t="s">
        <v>116</v>
      </c>
      <c r="AB363">
        <v>1</v>
      </c>
      <c r="AI363">
        <v>1</v>
      </c>
      <c r="AJ363">
        <v>0</v>
      </c>
      <c r="AK363">
        <v>0</v>
      </c>
      <c r="AL363">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BC5B-5F58-4BF1-B965-813F6AB59A7B}">
  <dimension ref="A1:F368"/>
  <sheetViews>
    <sheetView topLeftCell="A364" workbookViewId="0">
      <selection activeCell="D369" sqref="D369"/>
    </sheetView>
  </sheetViews>
  <sheetFormatPr baseColWidth="10" defaultRowHeight="15" x14ac:dyDescent="0.25"/>
  <sheetData>
    <row r="1" spans="1:5" ht="21" x14ac:dyDescent="0.25">
      <c r="A1" s="159" t="s">
        <v>945</v>
      </c>
      <c r="C1" s="160" t="s">
        <v>946</v>
      </c>
      <c r="D1" s="161">
        <v>430</v>
      </c>
      <c r="E1" s="162">
        <v>46203</v>
      </c>
    </row>
    <row r="2" spans="1:5" ht="21" x14ac:dyDescent="0.25">
      <c r="A2" s="163" t="s">
        <v>947</v>
      </c>
      <c r="C2" s="153" t="s">
        <v>948</v>
      </c>
      <c r="D2" s="156">
        <v>258</v>
      </c>
      <c r="E2" s="158">
        <v>46203</v>
      </c>
    </row>
    <row r="3" spans="1:5" ht="21" x14ac:dyDescent="0.25">
      <c r="A3" s="163" t="s">
        <v>949</v>
      </c>
      <c r="C3" s="153" t="s">
        <v>812</v>
      </c>
      <c r="D3" s="156">
        <v>473</v>
      </c>
      <c r="E3" s="158">
        <v>46203</v>
      </c>
    </row>
    <row r="4" spans="1:5" ht="21" x14ac:dyDescent="0.25">
      <c r="A4" s="163" t="s">
        <v>950</v>
      </c>
      <c r="C4" s="153" t="s">
        <v>951</v>
      </c>
      <c r="D4" s="156">
        <v>396</v>
      </c>
      <c r="E4" s="158">
        <v>46203</v>
      </c>
    </row>
    <row r="5" spans="1:5" ht="21" x14ac:dyDescent="0.25">
      <c r="A5" s="163" t="s">
        <v>952</v>
      </c>
      <c r="C5" s="153" t="s">
        <v>953</v>
      </c>
      <c r="D5" s="156">
        <v>100</v>
      </c>
      <c r="E5" s="158">
        <v>46203</v>
      </c>
    </row>
    <row r="6" spans="1:5" ht="21" x14ac:dyDescent="0.25">
      <c r="A6" s="163" t="s">
        <v>954</v>
      </c>
      <c r="C6" s="153" t="s">
        <v>955</v>
      </c>
      <c r="D6" s="156">
        <v>50</v>
      </c>
      <c r="E6" s="158">
        <v>46203</v>
      </c>
    </row>
    <row r="7" spans="1:5" ht="21" x14ac:dyDescent="0.25">
      <c r="A7" s="163" t="s">
        <v>956</v>
      </c>
      <c r="C7" s="153" t="s">
        <v>808</v>
      </c>
      <c r="D7" s="156">
        <v>430</v>
      </c>
      <c r="E7" s="158">
        <v>46203</v>
      </c>
    </row>
    <row r="8" spans="1:5" ht="31.5" x14ac:dyDescent="0.25">
      <c r="A8" s="163" t="s">
        <v>957</v>
      </c>
      <c r="C8" s="153" t="s">
        <v>958</v>
      </c>
      <c r="D8" s="156">
        <v>396</v>
      </c>
      <c r="E8" s="158">
        <v>46203</v>
      </c>
    </row>
    <row r="9" spans="1:5" ht="21" x14ac:dyDescent="0.25">
      <c r="A9" s="163" t="s">
        <v>959</v>
      </c>
      <c r="C9" s="153" t="s">
        <v>806</v>
      </c>
      <c r="D9" s="156">
        <v>352</v>
      </c>
      <c r="E9" s="158">
        <v>46203</v>
      </c>
    </row>
    <row r="10" spans="1:5" ht="21" x14ac:dyDescent="0.25">
      <c r="A10" s="163" t="s">
        <v>960</v>
      </c>
      <c r="C10" s="153" t="s">
        <v>804</v>
      </c>
      <c r="D10" s="156">
        <v>308</v>
      </c>
      <c r="E10" s="158">
        <v>46203</v>
      </c>
    </row>
    <row r="11" spans="1:5" ht="21" x14ac:dyDescent="0.25">
      <c r="A11" s="163" t="s">
        <v>961</v>
      </c>
      <c r="C11" s="153" t="s">
        <v>802</v>
      </c>
      <c r="D11" s="156">
        <v>264</v>
      </c>
      <c r="E11" s="158">
        <v>46203</v>
      </c>
    </row>
    <row r="12" spans="1:5" ht="21" x14ac:dyDescent="0.25">
      <c r="A12" s="163" t="s">
        <v>962</v>
      </c>
      <c r="C12" s="153" t="s">
        <v>800</v>
      </c>
      <c r="D12" s="156">
        <v>220</v>
      </c>
      <c r="E12" s="158">
        <v>46203</v>
      </c>
    </row>
    <row r="13" spans="1:5" ht="21" x14ac:dyDescent="0.25">
      <c r="A13" s="163" t="s">
        <v>963</v>
      </c>
      <c r="C13" s="153" t="s">
        <v>798</v>
      </c>
      <c r="D13" s="156">
        <v>180</v>
      </c>
      <c r="E13" s="158">
        <v>46203</v>
      </c>
    </row>
    <row r="14" spans="1:5" ht="21" x14ac:dyDescent="0.25">
      <c r="A14" s="163" t="s">
        <v>964</v>
      </c>
      <c r="C14" s="153" t="s">
        <v>796</v>
      </c>
      <c r="D14" s="156">
        <v>141</v>
      </c>
      <c r="E14" s="158">
        <v>46203</v>
      </c>
    </row>
    <row r="15" spans="1:5" ht="21" x14ac:dyDescent="0.25">
      <c r="A15" s="163" t="s">
        <v>965</v>
      </c>
      <c r="C15" s="153" t="s">
        <v>794</v>
      </c>
      <c r="D15" s="156">
        <v>94</v>
      </c>
      <c r="E15" s="158">
        <v>46203</v>
      </c>
    </row>
    <row r="16" spans="1:5" ht="21" x14ac:dyDescent="0.25">
      <c r="A16" s="163" t="s">
        <v>966</v>
      </c>
      <c r="C16" s="153" t="s">
        <v>792</v>
      </c>
      <c r="D16" s="156">
        <v>50</v>
      </c>
      <c r="E16" s="158">
        <v>46203</v>
      </c>
    </row>
    <row r="17" spans="1:5" ht="21" x14ac:dyDescent="0.25">
      <c r="A17" s="163" t="s">
        <v>967</v>
      </c>
      <c r="C17" s="153" t="s">
        <v>790</v>
      </c>
      <c r="D17" s="156">
        <v>264</v>
      </c>
      <c r="E17" s="158">
        <v>46203</v>
      </c>
    </row>
    <row r="18" spans="1:5" ht="21" x14ac:dyDescent="0.25">
      <c r="A18" s="163" t="s">
        <v>968</v>
      </c>
      <c r="C18" s="153" t="s">
        <v>788</v>
      </c>
      <c r="D18" s="156">
        <v>396</v>
      </c>
      <c r="E18" s="158">
        <v>46203</v>
      </c>
    </row>
    <row r="19" spans="1:5" ht="21" x14ac:dyDescent="0.25">
      <c r="A19" s="163" t="s">
        <v>969</v>
      </c>
      <c r="C19" s="153" t="s">
        <v>208</v>
      </c>
      <c r="D19" s="156">
        <v>308</v>
      </c>
      <c r="E19" s="158">
        <v>46203</v>
      </c>
    </row>
    <row r="20" spans="1:5" ht="21" x14ac:dyDescent="0.25">
      <c r="A20" s="163" t="s">
        <v>970</v>
      </c>
      <c r="C20" s="153" t="s">
        <v>785</v>
      </c>
      <c r="D20" s="156">
        <v>352</v>
      </c>
      <c r="E20" s="158">
        <v>46203</v>
      </c>
    </row>
    <row r="21" spans="1:5" ht="21" x14ac:dyDescent="0.25">
      <c r="A21" s="163" t="s">
        <v>971</v>
      </c>
      <c r="C21" s="153" t="s">
        <v>783</v>
      </c>
      <c r="D21" s="156">
        <v>50</v>
      </c>
      <c r="E21" s="158">
        <v>46203</v>
      </c>
    </row>
    <row r="22" spans="1:5" ht="31.5" x14ac:dyDescent="0.25">
      <c r="A22" s="163" t="s">
        <v>972</v>
      </c>
      <c r="C22" s="153" t="s">
        <v>781</v>
      </c>
      <c r="D22" s="156">
        <v>135</v>
      </c>
      <c r="E22" s="158">
        <v>46203</v>
      </c>
    </row>
    <row r="23" spans="1:5" ht="21" x14ac:dyDescent="0.25">
      <c r="A23" s="163" t="s">
        <v>973</v>
      </c>
      <c r="C23" s="153" t="s">
        <v>779</v>
      </c>
      <c r="D23" s="156">
        <v>94</v>
      </c>
      <c r="E23" s="158">
        <v>46203</v>
      </c>
    </row>
    <row r="24" spans="1:5" ht="21" x14ac:dyDescent="0.25">
      <c r="A24" s="163" t="s">
        <v>974</v>
      </c>
      <c r="C24" s="153" t="s">
        <v>186</v>
      </c>
      <c r="D24" s="156">
        <v>50</v>
      </c>
      <c r="E24" s="158">
        <v>46203</v>
      </c>
    </row>
    <row r="25" spans="1:5" ht="21" x14ac:dyDescent="0.25">
      <c r="A25" s="163" t="s">
        <v>975</v>
      </c>
      <c r="C25" s="153" t="s">
        <v>776</v>
      </c>
      <c r="D25" s="156">
        <v>473</v>
      </c>
      <c r="E25" s="158">
        <v>46203</v>
      </c>
    </row>
    <row r="26" spans="1:5" ht="31.5" x14ac:dyDescent="0.25">
      <c r="A26" s="163" t="s">
        <v>976</v>
      </c>
      <c r="C26" s="153" t="s">
        <v>774</v>
      </c>
      <c r="D26" s="156">
        <v>440</v>
      </c>
      <c r="E26" s="158">
        <v>46203</v>
      </c>
    </row>
    <row r="27" spans="1:5" ht="31.5" x14ac:dyDescent="0.25">
      <c r="A27" s="163" t="s">
        <v>977</v>
      </c>
      <c r="C27" s="153" t="s">
        <v>772</v>
      </c>
      <c r="D27" s="156">
        <v>396</v>
      </c>
      <c r="E27" s="158">
        <v>46203</v>
      </c>
    </row>
    <row r="28" spans="1:5" ht="31.5" x14ac:dyDescent="0.25">
      <c r="A28" s="163" t="s">
        <v>978</v>
      </c>
      <c r="C28" s="153" t="s">
        <v>770</v>
      </c>
      <c r="D28" s="156">
        <v>352</v>
      </c>
      <c r="E28" s="158">
        <v>46203</v>
      </c>
    </row>
    <row r="29" spans="1:5" ht="21" x14ac:dyDescent="0.25">
      <c r="A29" s="163" t="s">
        <v>979</v>
      </c>
      <c r="C29" s="153" t="s">
        <v>768</v>
      </c>
      <c r="D29" s="156">
        <v>308</v>
      </c>
      <c r="E29" s="158">
        <v>46203</v>
      </c>
    </row>
    <row r="30" spans="1:5" ht="21" x14ac:dyDescent="0.25">
      <c r="A30" s="163" t="s">
        <v>980</v>
      </c>
      <c r="C30" s="153" t="s">
        <v>766</v>
      </c>
      <c r="D30" s="156">
        <v>264</v>
      </c>
      <c r="E30" s="158">
        <v>46203</v>
      </c>
    </row>
    <row r="31" spans="1:5" ht="21" x14ac:dyDescent="0.25">
      <c r="A31" s="163" t="s">
        <v>981</v>
      </c>
      <c r="C31" s="153" t="s">
        <v>982</v>
      </c>
      <c r="D31" s="156">
        <v>220</v>
      </c>
      <c r="E31" s="158">
        <v>46203</v>
      </c>
    </row>
    <row r="32" spans="1:5" ht="21" x14ac:dyDescent="0.25">
      <c r="A32" s="163" t="s">
        <v>983</v>
      </c>
      <c r="C32" s="153" t="s">
        <v>763</v>
      </c>
      <c r="D32" s="156">
        <v>176</v>
      </c>
      <c r="E32" s="158">
        <v>46203</v>
      </c>
    </row>
    <row r="33" spans="1:5" ht="31.5" x14ac:dyDescent="0.25">
      <c r="A33" s="163" t="s">
        <v>984</v>
      </c>
      <c r="C33" s="153" t="s">
        <v>216</v>
      </c>
      <c r="D33" s="156">
        <v>141</v>
      </c>
      <c r="E33" s="158">
        <v>46203</v>
      </c>
    </row>
    <row r="34" spans="1:5" ht="21" x14ac:dyDescent="0.25">
      <c r="A34" s="163" t="s">
        <v>985</v>
      </c>
      <c r="C34" s="153" t="s">
        <v>760</v>
      </c>
      <c r="D34" s="156">
        <v>94</v>
      </c>
      <c r="E34" s="158">
        <v>46203</v>
      </c>
    </row>
    <row r="35" spans="1:5" ht="21" x14ac:dyDescent="0.25">
      <c r="A35" s="163" t="s">
        <v>986</v>
      </c>
      <c r="C35" s="153" t="s">
        <v>758</v>
      </c>
      <c r="D35" s="156">
        <v>50</v>
      </c>
      <c r="E35" s="158">
        <v>46203</v>
      </c>
    </row>
    <row r="36" spans="1:5" ht="21" x14ac:dyDescent="0.25">
      <c r="A36" s="163" t="s">
        <v>987</v>
      </c>
      <c r="C36" s="153" t="s">
        <v>755</v>
      </c>
      <c r="D36" s="156">
        <v>430</v>
      </c>
      <c r="E36" s="158">
        <v>46202</v>
      </c>
    </row>
    <row r="37" spans="1:5" ht="31.5" x14ac:dyDescent="0.25">
      <c r="A37" s="163" t="s">
        <v>988</v>
      </c>
      <c r="C37" s="153" t="s">
        <v>753</v>
      </c>
      <c r="D37" s="156">
        <v>387</v>
      </c>
      <c r="E37" s="158">
        <v>46202</v>
      </c>
    </row>
    <row r="38" spans="1:5" ht="31.5" x14ac:dyDescent="0.25">
      <c r="A38" s="163" t="s">
        <v>989</v>
      </c>
      <c r="C38" s="153" t="s">
        <v>990</v>
      </c>
      <c r="D38" s="156">
        <v>344</v>
      </c>
      <c r="E38" s="158">
        <v>46202</v>
      </c>
    </row>
    <row r="39" spans="1:5" ht="21" x14ac:dyDescent="0.25">
      <c r="A39" s="163" t="s">
        <v>991</v>
      </c>
      <c r="C39" s="153" t="s">
        <v>749</v>
      </c>
      <c r="D39" s="156">
        <v>301</v>
      </c>
      <c r="E39" s="158">
        <v>46202</v>
      </c>
    </row>
    <row r="40" spans="1:5" ht="31.5" x14ac:dyDescent="0.25">
      <c r="A40" s="163" t="s">
        <v>992</v>
      </c>
      <c r="C40" s="153" t="s">
        <v>747</v>
      </c>
      <c r="D40" s="156">
        <v>264</v>
      </c>
      <c r="E40" s="158">
        <v>46202</v>
      </c>
    </row>
    <row r="41" spans="1:5" ht="21" x14ac:dyDescent="0.25">
      <c r="A41" s="163" t="s">
        <v>993</v>
      </c>
      <c r="C41" s="153" t="s">
        <v>745</v>
      </c>
      <c r="D41" s="156">
        <v>225</v>
      </c>
      <c r="E41" s="158">
        <v>46202</v>
      </c>
    </row>
    <row r="42" spans="1:5" ht="21" x14ac:dyDescent="0.25">
      <c r="A42" s="163" t="s">
        <v>994</v>
      </c>
      <c r="C42" s="153" t="s">
        <v>743</v>
      </c>
      <c r="D42" s="156">
        <v>196</v>
      </c>
      <c r="E42" s="158">
        <v>46202</v>
      </c>
    </row>
    <row r="43" spans="1:5" ht="21" x14ac:dyDescent="0.25">
      <c r="A43" s="163" t="s">
        <v>995</v>
      </c>
      <c r="C43" s="153" t="s">
        <v>996</v>
      </c>
      <c r="D43" s="156">
        <v>135</v>
      </c>
      <c r="E43" s="158">
        <v>46202</v>
      </c>
    </row>
    <row r="44" spans="1:5" ht="21" x14ac:dyDescent="0.25">
      <c r="A44" s="163" t="s">
        <v>997</v>
      </c>
      <c r="C44" s="153" t="s">
        <v>739</v>
      </c>
      <c r="D44" s="156">
        <v>90</v>
      </c>
      <c r="E44" s="158">
        <v>46202</v>
      </c>
    </row>
    <row r="45" spans="1:5" ht="21" x14ac:dyDescent="0.25">
      <c r="A45" s="163" t="s">
        <v>998</v>
      </c>
      <c r="C45" s="153" t="s">
        <v>737</v>
      </c>
      <c r="D45" s="156">
        <v>50</v>
      </c>
      <c r="E45" s="158">
        <v>46202</v>
      </c>
    </row>
    <row r="46" spans="1:5" ht="31.5" x14ac:dyDescent="0.25">
      <c r="A46" s="163" t="s">
        <v>999</v>
      </c>
      <c r="C46" s="153" t="s">
        <v>735</v>
      </c>
      <c r="D46" s="156">
        <v>430</v>
      </c>
      <c r="E46" s="158">
        <v>46202</v>
      </c>
    </row>
    <row r="47" spans="1:5" ht="21" x14ac:dyDescent="0.25">
      <c r="A47" s="163" t="s">
        <v>1000</v>
      </c>
      <c r="C47" s="153" t="s">
        <v>733</v>
      </c>
      <c r="D47" s="156">
        <v>387</v>
      </c>
      <c r="E47" s="158">
        <v>46202</v>
      </c>
    </row>
    <row r="48" spans="1:5" ht="31.5" x14ac:dyDescent="0.25">
      <c r="A48" s="163" t="s">
        <v>1001</v>
      </c>
      <c r="C48" s="153" t="s">
        <v>731</v>
      </c>
      <c r="D48" s="156">
        <v>344</v>
      </c>
      <c r="E48" s="158">
        <v>46202</v>
      </c>
    </row>
    <row r="49" spans="1:5" ht="42" x14ac:dyDescent="0.25">
      <c r="A49" s="163" t="s">
        <v>1002</v>
      </c>
      <c r="C49" s="153" t="s">
        <v>1003</v>
      </c>
      <c r="D49" s="156">
        <v>301</v>
      </c>
      <c r="E49" s="158">
        <v>46203</v>
      </c>
    </row>
    <row r="50" spans="1:5" ht="21" x14ac:dyDescent="0.25">
      <c r="A50" s="163" t="s">
        <v>1004</v>
      </c>
      <c r="C50" s="153" t="s">
        <v>729</v>
      </c>
      <c r="D50" s="156">
        <v>258</v>
      </c>
      <c r="E50" s="158">
        <v>46202</v>
      </c>
    </row>
    <row r="51" spans="1:5" ht="21" x14ac:dyDescent="0.25">
      <c r="A51" s="163" t="s">
        <v>1005</v>
      </c>
      <c r="C51" s="153" t="s">
        <v>727</v>
      </c>
      <c r="D51" s="156">
        <v>220</v>
      </c>
      <c r="E51" s="158">
        <v>46202</v>
      </c>
    </row>
    <row r="52" spans="1:5" ht="21" x14ac:dyDescent="0.25">
      <c r="A52" s="163" t="s">
        <v>1006</v>
      </c>
      <c r="C52" s="153" t="s">
        <v>725</v>
      </c>
      <c r="D52" s="156">
        <v>176</v>
      </c>
      <c r="E52" s="158">
        <v>46202</v>
      </c>
    </row>
    <row r="53" spans="1:5" ht="21" x14ac:dyDescent="0.25">
      <c r="A53" s="163" t="s">
        <v>1007</v>
      </c>
      <c r="C53" s="153" t="s">
        <v>306</v>
      </c>
      <c r="D53" s="156">
        <v>132</v>
      </c>
      <c r="E53" s="158">
        <v>46202</v>
      </c>
    </row>
    <row r="54" spans="1:5" ht="31.5" x14ac:dyDescent="0.25">
      <c r="A54" s="163" t="s">
        <v>1008</v>
      </c>
      <c r="C54" s="153" t="s">
        <v>722</v>
      </c>
      <c r="D54" s="156">
        <v>92</v>
      </c>
      <c r="E54" s="158">
        <v>46202</v>
      </c>
    </row>
    <row r="55" spans="1:5" ht="21" x14ac:dyDescent="0.25">
      <c r="A55" s="163" t="s">
        <v>1009</v>
      </c>
      <c r="C55" s="153" t="s">
        <v>720</v>
      </c>
      <c r="D55" s="156">
        <v>50</v>
      </c>
      <c r="E55" s="158">
        <v>46202</v>
      </c>
    </row>
    <row r="56" spans="1:5" ht="21" x14ac:dyDescent="0.25">
      <c r="A56" s="163" t="s">
        <v>1010</v>
      </c>
      <c r="C56" s="153" t="s">
        <v>718</v>
      </c>
      <c r="D56" s="156">
        <v>430</v>
      </c>
      <c r="E56" s="158">
        <v>46202</v>
      </c>
    </row>
    <row r="57" spans="1:5" ht="21" x14ac:dyDescent="0.25">
      <c r="A57" s="163" t="s">
        <v>1011</v>
      </c>
      <c r="C57" s="153" t="s">
        <v>716</v>
      </c>
      <c r="D57" s="156">
        <v>344</v>
      </c>
      <c r="E57" s="158">
        <v>46202</v>
      </c>
    </row>
    <row r="58" spans="1:5" ht="21" x14ac:dyDescent="0.25">
      <c r="A58" s="163" t="s">
        <v>1012</v>
      </c>
      <c r="C58" s="153" t="s">
        <v>712</v>
      </c>
      <c r="D58" s="156">
        <v>301</v>
      </c>
      <c r="E58" s="158">
        <v>46202</v>
      </c>
    </row>
    <row r="59" spans="1:5" ht="21" x14ac:dyDescent="0.25">
      <c r="A59" s="163" t="s">
        <v>1013</v>
      </c>
      <c r="C59" s="153" t="s">
        <v>710</v>
      </c>
      <c r="D59" s="156">
        <v>264</v>
      </c>
      <c r="E59" s="158">
        <v>46202</v>
      </c>
    </row>
    <row r="60" spans="1:5" ht="21" x14ac:dyDescent="0.25">
      <c r="A60" s="163" t="s">
        <v>1014</v>
      </c>
      <c r="C60" s="153" t="s">
        <v>714</v>
      </c>
      <c r="D60" s="156">
        <v>225</v>
      </c>
      <c r="E60" s="158">
        <v>46202</v>
      </c>
    </row>
    <row r="61" spans="1:5" ht="21" x14ac:dyDescent="0.25">
      <c r="A61" s="163" t="s">
        <v>1015</v>
      </c>
      <c r="C61" s="153" t="s">
        <v>708</v>
      </c>
      <c r="D61" s="156">
        <v>176</v>
      </c>
      <c r="E61" s="158">
        <v>46202</v>
      </c>
    </row>
    <row r="62" spans="1:5" ht="21" x14ac:dyDescent="0.25">
      <c r="A62" s="163" t="s">
        <v>1016</v>
      </c>
      <c r="C62" s="153" t="s">
        <v>706</v>
      </c>
      <c r="D62" s="156">
        <v>138</v>
      </c>
      <c r="E62" s="158">
        <v>46202</v>
      </c>
    </row>
    <row r="63" spans="1:5" ht="31.5" x14ac:dyDescent="0.25">
      <c r="A63" s="163" t="s">
        <v>1017</v>
      </c>
      <c r="C63" s="153" t="s">
        <v>704</v>
      </c>
      <c r="D63" s="156">
        <v>96</v>
      </c>
      <c r="E63" s="158">
        <v>46202</v>
      </c>
    </row>
    <row r="64" spans="1:5" ht="21" x14ac:dyDescent="0.25">
      <c r="A64" s="163" t="s">
        <v>1018</v>
      </c>
      <c r="C64" s="153" t="s">
        <v>1019</v>
      </c>
      <c r="D64" s="156">
        <v>51</v>
      </c>
      <c r="E64" s="158">
        <v>46202</v>
      </c>
    </row>
    <row r="65" spans="1:5" ht="21" x14ac:dyDescent="0.25">
      <c r="A65" s="163" t="s">
        <v>1020</v>
      </c>
      <c r="C65" s="153" t="s">
        <v>700</v>
      </c>
      <c r="D65" s="156">
        <v>220</v>
      </c>
      <c r="E65" s="158">
        <v>46202</v>
      </c>
    </row>
    <row r="66" spans="1:5" ht="21" x14ac:dyDescent="0.25">
      <c r="A66" s="163" t="s">
        <v>1021</v>
      </c>
      <c r="C66" s="153" t="s">
        <v>698</v>
      </c>
      <c r="D66" s="156">
        <v>264</v>
      </c>
      <c r="E66" s="158">
        <v>46202</v>
      </c>
    </row>
    <row r="67" spans="1:5" ht="31.5" x14ac:dyDescent="0.25">
      <c r="A67" s="163" t="s">
        <v>1022</v>
      </c>
      <c r="C67" s="153" t="s">
        <v>696</v>
      </c>
      <c r="D67" s="156">
        <v>301</v>
      </c>
      <c r="E67" s="158">
        <v>46202</v>
      </c>
    </row>
    <row r="68" spans="1:5" ht="21" x14ac:dyDescent="0.25">
      <c r="A68" s="163" t="s">
        <v>1023</v>
      </c>
      <c r="C68" s="153" t="s">
        <v>694</v>
      </c>
      <c r="D68" s="156">
        <v>184</v>
      </c>
      <c r="E68" s="158">
        <v>46202</v>
      </c>
    </row>
    <row r="69" spans="1:5" ht="21" x14ac:dyDescent="0.25">
      <c r="A69" s="163" t="s">
        <v>1024</v>
      </c>
      <c r="C69" s="153" t="s">
        <v>692</v>
      </c>
      <c r="D69" s="156">
        <v>602</v>
      </c>
      <c r="E69" s="158">
        <v>46202</v>
      </c>
    </row>
    <row r="70" spans="1:5" ht="21" x14ac:dyDescent="0.25">
      <c r="A70" s="163" t="s">
        <v>1025</v>
      </c>
      <c r="C70" s="153" t="s">
        <v>690</v>
      </c>
      <c r="D70" s="156">
        <v>141</v>
      </c>
      <c r="E70" s="158">
        <v>46202</v>
      </c>
    </row>
    <row r="71" spans="1:5" ht="21" x14ac:dyDescent="0.25">
      <c r="A71" s="163" t="s">
        <v>1026</v>
      </c>
      <c r="C71" s="153" t="s">
        <v>688</v>
      </c>
      <c r="D71" s="156">
        <v>430</v>
      </c>
      <c r="E71" s="158">
        <v>46202</v>
      </c>
    </row>
    <row r="72" spans="1:5" ht="21" x14ac:dyDescent="0.25">
      <c r="A72" s="163" t="s">
        <v>1027</v>
      </c>
      <c r="C72" s="153" t="s">
        <v>686</v>
      </c>
      <c r="D72" s="156">
        <v>308</v>
      </c>
      <c r="E72" s="158">
        <v>46202</v>
      </c>
    </row>
    <row r="73" spans="1:5" ht="31.5" x14ac:dyDescent="0.25">
      <c r="A73" s="163" t="s">
        <v>1028</v>
      </c>
      <c r="C73" s="153" t="s">
        <v>684</v>
      </c>
      <c r="D73" s="156">
        <v>352</v>
      </c>
      <c r="E73" s="158">
        <v>46202</v>
      </c>
    </row>
    <row r="74" spans="1:5" ht="31.5" x14ac:dyDescent="0.25">
      <c r="A74" s="163" t="s">
        <v>1029</v>
      </c>
      <c r="C74" s="153" t="s">
        <v>682</v>
      </c>
      <c r="D74" s="156">
        <v>220</v>
      </c>
      <c r="E74" s="158">
        <v>46202</v>
      </c>
    </row>
    <row r="75" spans="1:5" ht="31.5" x14ac:dyDescent="0.25">
      <c r="A75" s="163" t="s">
        <v>1030</v>
      </c>
      <c r="C75" s="153" t="s">
        <v>680</v>
      </c>
      <c r="D75" s="156">
        <v>264</v>
      </c>
      <c r="E75" s="158">
        <v>46202</v>
      </c>
    </row>
    <row r="76" spans="1:5" ht="21" x14ac:dyDescent="0.25">
      <c r="A76" s="163" t="s">
        <v>1031</v>
      </c>
      <c r="C76" s="153" t="s">
        <v>678</v>
      </c>
      <c r="D76" s="156">
        <v>180</v>
      </c>
      <c r="E76" s="158">
        <v>46202</v>
      </c>
    </row>
    <row r="77" spans="1:5" ht="31.5" x14ac:dyDescent="0.25">
      <c r="A77" s="163" t="s">
        <v>1032</v>
      </c>
      <c r="C77" s="153" t="s">
        <v>676</v>
      </c>
      <c r="D77" s="156">
        <v>430</v>
      </c>
      <c r="E77" s="158">
        <v>46202</v>
      </c>
    </row>
    <row r="78" spans="1:5" ht="21" x14ac:dyDescent="0.25">
      <c r="A78" s="163" t="s">
        <v>1033</v>
      </c>
      <c r="C78" s="153" t="s">
        <v>674</v>
      </c>
      <c r="D78" s="156">
        <v>225</v>
      </c>
      <c r="E78" s="158">
        <v>46202</v>
      </c>
    </row>
    <row r="79" spans="1:5" ht="42" x14ac:dyDescent="0.25">
      <c r="A79" s="163" t="s">
        <v>1034</v>
      </c>
      <c r="C79" s="153" t="s">
        <v>1035</v>
      </c>
      <c r="D79" s="156">
        <v>50</v>
      </c>
      <c r="E79" s="158">
        <v>46202</v>
      </c>
    </row>
    <row r="80" spans="1:5" ht="42" x14ac:dyDescent="0.25">
      <c r="A80" s="163" t="s">
        <v>1036</v>
      </c>
      <c r="C80" s="153" t="s">
        <v>1037</v>
      </c>
      <c r="D80" s="156">
        <v>92</v>
      </c>
      <c r="E80" s="158">
        <v>46202</v>
      </c>
    </row>
    <row r="81" spans="1:5" ht="42" x14ac:dyDescent="0.25">
      <c r="A81" s="163" t="s">
        <v>1038</v>
      </c>
      <c r="C81" s="153" t="s">
        <v>1039</v>
      </c>
      <c r="D81" s="156">
        <v>50</v>
      </c>
      <c r="E81" s="158">
        <v>46202</v>
      </c>
    </row>
    <row r="82" spans="1:5" ht="52.5" x14ac:dyDescent="0.25">
      <c r="A82" s="163" t="s">
        <v>1040</v>
      </c>
      <c r="C82" s="153" t="s">
        <v>1041</v>
      </c>
      <c r="D82" s="156">
        <v>184</v>
      </c>
      <c r="E82" s="158">
        <v>46202</v>
      </c>
    </row>
    <row r="83" spans="1:5" ht="42" x14ac:dyDescent="0.25">
      <c r="A83" s="163" t="s">
        <v>1042</v>
      </c>
      <c r="C83" s="153" t="s">
        <v>1043</v>
      </c>
      <c r="D83" s="156">
        <v>96</v>
      </c>
      <c r="E83" s="158">
        <v>46202</v>
      </c>
    </row>
    <row r="84" spans="1:5" ht="42" x14ac:dyDescent="0.25">
      <c r="A84" s="163" t="s">
        <v>1044</v>
      </c>
      <c r="C84" s="153" t="s">
        <v>1045</v>
      </c>
      <c r="D84" s="156">
        <v>49</v>
      </c>
      <c r="E84" s="158">
        <v>46202</v>
      </c>
    </row>
    <row r="85" spans="1:5" ht="42" x14ac:dyDescent="0.25">
      <c r="A85" s="163" t="s">
        <v>1046</v>
      </c>
      <c r="C85" s="153" t="s">
        <v>1047</v>
      </c>
      <c r="D85" s="156">
        <v>264</v>
      </c>
      <c r="E85" s="158">
        <v>46202</v>
      </c>
    </row>
    <row r="86" spans="1:5" ht="52.5" x14ac:dyDescent="0.25">
      <c r="A86" s="163" t="s">
        <v>1048</v>
      </c>
      <c r="C86" s="153" t="s">
        <v>1049</v>
      </c>
      <c r="D86" s="156">
        <v>153</v>
      </c>
      <c r="E86" s="158">
        <v>46202</v>
      </c>
    </row>
    <row r="87" spans="1:5" ht="42" x14ac:dyDescent="0.25">
      <c r="A87" s="163" t="s">
        <v>1050</v>
      </c>
      <c r="C87" s="153" t="s">
        <v>1051</v>
      </c>
      <c r="D87" s="156">
        <v>96</v>
      </c>
      <c r="E87" s="158">
        <v>46202</v>
      </c>
    </row>
    <row r="88" spans="1:5" ht="42" x14ac:dyDescent="0.25">
      <c r="A88" s="163" t="s">
        <v>1052</v>
      </c>
      <c r="C88" s="153" t="s">
        <v>1053</v>
      </c>
      <c r="D88" s="156">
        <v>50</v>
      </c>
      <c r="E88" s="158">
        <v>46202</v>
      </c>
    </row>
    <row r="89" spans="1:5" ht="42" x14ac:dyDescent="0.25">
      <c r="A89" s="163" t="s">
        <v>1054</v>
      </c>
      <c r="C89" s="153" t="s">
        <v>1055</v>
      </c>
      <c r="D89" s="156">
        <v>264</v>
      </c>
      <c r="E89" s="158">
        <v>46202</v>
      </c>
    </row>
    <row r="90" spans="1:5" ht="42" x14ac:dyDescent="0.25">
      <c r="A90" s="163" t="s">
        <v>1056</v>
      </c>
      <c r="C90" s="153" t="s">
        <v>1057</v>
      </c>
      <c r="D90" s="156">
        <v>135</v>
      </c>
      <c r="E90" s="158">
        <v>46202</v>
      </c>
    </row>
    <row r="91" spans="1:5" ht="42" x14ac:dyDescent="0.25">
      <c r="A91" s="163" t="s">
        <v>1058</v>
      </c>
      <c r="C91" s="153" t="s">
        <v>1059</v>
      </c>
      <c r="D91" s="156">
        <v>96</v>
      </c>
      <c r="E91" s="158">
        <v>46202</v>
      </c>
    </row>
    <row r="92" spans="1:5" ht="42" x14ac:dyDescent="0.25">
      <c r="A92" s="163" t="s">
        <v>1060</v>
      </c>
      <c r="C92" s="153" t="s">
        <v>1061</v>
      </c>
      <c r="D92" s="156">
        <v>51</v>
      </c>
      <c r="E92" s="158">
        <v>46202</v>
      </c>
    </row>
    <row r="93" spans="1:5" ht="42" x14ac:dyDescent="0.25">
      <c r="A93" s="163" t="s">
        <v>1062</v>
      </c>
      <c r="C93" s="153" t="s">
        <v>1063</v>
      </c>
      <c r="D93" s="156">
        <v>138</v>
      </c>
      <c r="E93" s="158">
        <v>46202</v>
      </c>
    </row>
    <row r="94" spans="1:5" ht="42" x14ac:dyDescent="0.25">
      <c r="A94" s="163" t="s">
        <v>1064</v>
      </c>
      <c r="C94" s="153" t="s">
        <v>1065</v>
      </c>
      <c r="D94" s="156">
        <v>96</v>
      </c>
      <c r="E94" s="158">
        <v>46202</v>
      </c>
    </row>
    <row r="95" spans="1:5" ht="31.5" x14ac:dyDescent="0.25">
      <c r="A95" s="163" t="s">
        <v>1066</v>
      </c>
      <c r="C95" s="153" t="s">
        <v>1067</v>
      </c>
      <c r="D95" s="156">
        <v>100</v>
      </c>
      <c r="E95" s="158">
        <v>46202</v>
      </c>
    </row>
    <row r="96" spans="1:5" ht="42" x14ac:dyDescent="0.25">
      <c r="A96" s="163" t="s">
        <v>1068</v>
      </c>
      <c r="C96" s="153" t="s">
        <v>1069</v>
      </c>
      <c r="D96" s="156">
        <v>50</v>
      </c>
      <c r="E96" s="158">
        <v>46202</v>
      </c>
    </row>
    <row r="97" spans="1:5" ht="31.5" x14ac:dyDescent="0.25">
      <c r="A97" s="163" t="s">
        <v>1070</v>
      </c>
      <c r="C97" s="153" t="s">
        <v>1067</v>
      </c>
      <c r="D97" s="156">
        <v>144</v>
      </c>
      <c r="E97" s="158">
        <v>46202</v>
      </c>
    </row>
    <row r="98" spans="1:5" ht="42" x14ac:dyDescent="0.25">
      <c r="A98" s="163" t="s">
        <v>1071</v>
      </c>
      <c r="C98" s="153" t="s">
        <v>1072</v>
      </c>
      <c r="D98" s="156">
        <v>51</v>
      </c>
      <c r="E98" s="158">
        <v>46202</v>
      </c>
    </row>
    <row r="99" spans="1:5" ht="42" x14ac:dyDescent="0.25">
      <c r="A99" s="163" t="s">
        <v>1073</v>
      </c>
      <c r="C99" s="153" t="s">
        <v>1074</v>
      </c>
      <c r="D99" s="156">
        <v>220</v>
      </c>
      <c r="E99" s="158">
        <v>46202</v>
      </c>
    </row>
    <row r="100" spans="1:5" ht="42" x14ac:dyDescent="0.25">
      <c r="A100" s="163" t="s">
        <v>1075</v>
      </c>
      <c r="C100" s="153" t="s">
        <v>1076</v>
      </c>
      <c r="D100" s="156">
        <v>90</v>
      </c>
      <c r="E100" s="158">
        <v>46202</v>
      </c>
    </row>
    <row r="101" spans="1:5" ht="42" x14ac:dyDescent="0.25">
      <c r="A101" s="163" t="s">
        <v>1077</v>
      </c>
      <c r="C101" s="153" t="s">
        <v>1078</v>
      </c>
      <c r="D101" s="156">
        <v>50</v>
      </c>
      <c r="E101" s="158">
        <v>46202</v>
      </c>
    </row>
    <row r="102" spans="1:5" ht="42" x14ac:dyDescent="0.25">
      <c r="A102" s="163" t="s">
        <v>1079</v>
      </c>
      <c r="C102" s="153" t="s">
        <v>1080</v>
      </c>
      <c r="D102" s="156">
        <v>270</v>
      </c>
      <c r="E102" s="158">
        <v>46202</v>
      </c>
    </row>
    <row r="103" spans="1:5" ht="42" x14ac:dyDescent="0.25">
      <c r="A103" s="163" t="s">
        <v>1081</v>
      </c>
      <c r="C103" s="153" t="s">
        <v>1082</v>
      </c>
      <c r="D103" s="156">
        <v>138</v>
      </c>
      <c r="E103" s="158">
        <v>46202</v>
      </c>
    </row>
    <row r="104" spans="1:5" ht="52.5" x14ac:dyDescent="0.25">
      <c r="A104" s="163" t="s">
        <v>1083</v>
      </c>
      <c r="C104" s="153" t="s">
        <v>1084</v>
      </c>
      <c r="D104" s="156">
        <v>96</v>
      </c>
      <c r="E104" s="158">
        <v>46202</v>
      </c>
    </row>
    <row r="105" spans="1:5" ht="42" x14ac:dyDescent="0.25">
      <c r="A105" s="163" t="s">
        <v>1085</v>
      </c>
      <c r="C105" s="153" t="s">
        <v>1086</v>
      </c>
      <c r="D105" s="156">
        <v>50</v>
      </c>
      <c r="E105" s="158">
        <v>46202</v>
      </c>
    </row>
    <row r="106" spans="1:5" ht="42" x14ac:dyDescent="0.25">
      <c r="A106" s="163" t="s">
        <v>1087</v>
      </c>
      <c r="C106" s="153" t="s">
        <v>1088</v>
      </c>
      <c r="D106" s="156">
        <v>138</v>
      </c>
      <c r="E106" s="158">
        <v>46202</v>
      </c>
    </row>
    <row r="107" spans="1:5" ht="42" x14ac:dyDescent="0.25">
      <c r="A107" s="163" t="s">
        <v>1089</v>
      </c>
      <c r="C107" s="153" t="s">
        <v>1090</v>
      </c>
      <c r="D107" s="156">
        <v>141</v>
      </c>
      <c r="E107" s="158">
        <v>46202</v>
      </c>
    </row>
    <row r="108" spans="1:5" ht="52.5" x14ac:dyDescent="0.25">
      <c r="A108" s="163" t="s">
        <v>1091</v>
      </c>
      <c r="C108" s="153" t="s">
        <v>1092</v>
      </c>
      <c r="D108" s="156">
        <v>96</v>
      </c>
      <c r="E108" s="158">
        <v>46202</v>
      </c>
    </row>
    <row r="109" spans="1:5" ht="52.5" x14ac:dyDescent="0.25">
      <c r="A109" s="163" t="s">
        <v>1093</v>
      </c>
      <c r="C109" s="153" t="s">
        <v>1092</v>
      </c>
      <c r="D109" s="156">
        <v>50</v>
      </c>
      <c r="E109" s="158">
        <v>46202</v>
      </c>
    </row>
    <row r="110" spans="1:5" ht="42" x14ac:dyDescent="0.25">
      <c r="A110" s="163" t="s">
        <v>1094</v>
      </c>
      <c r="C110" s="153" t="s">
        <v>1095</v>
      </c>
      <c r="D110" s="156">
        <v>135</v>
      </c>
      <c r="E110" s="158">
        <v>46202</v>
      </c>
    </row>
    <row r="111" spans="1:5" ht="42" x14ac:dyDescent="0.25">
      <c r="A111" s="163" t="s">
        <v>1096</v>
      </c>
      <c r="C111" s="153" t="s">
        <v>1097</v>
      </c>
      <c r="D111" s="156">
        <v>96</v>
      </c>
      <c r="E111" s="158">
        <v>46202</v>
      </c>
    </row>
    <row r="112" spans="1:5" ht="42" x14ac:dyDescent="0.25">
      <c r="A112" s="163" t="s">
        <v>1098</v>
      </c>
      <c r="C112" s="153" t="s">
        <v>1097</v>
      </c>
      <c r="D112" s="156">
        <v>50</v>
      </c>
      <c r="E112" s="158">
        <v>46202</v>
      </c>
    </row>
    <row r="113" spans="1:5" ht="42" x14ac:dyDescent="0.25">
      <c r="A113" s="163" t="s">
        <v>1099</v>
      </c>
      <c r="C113" s="153" t="s">
        <v>1097</v>
      </c>
      <c r="D113" s="156">
        <v>430</v>
      </c>
      <c r="E113" s="158">
        <v>46201</v>
      </c>
    </row>
    <row r="114" spans="1:5" ht="42" x14ac:dyDescent="0.25">
      <c r="A114" s="163" t="s">
        <v>1100</v>
      </c>
      <c r="C114" s="153" t="s">
        <v>1101</v>
      </c>
      <c r="D114" s="156">
        <v>220</v>
      </c>
      <c r="E114" s="158">
        <v>46201</v>
      </c>
    </row>
    <row r="115" spans="1:5" ht="42" x14ac:dyDescent="0.25">
      <c r="A115" s="163" t="s">
        <v>1102</v>
      </c>
      <c r="C115" s="153" t="s">
        <v>1103</v>
      </c>
      <c r="D115" s="156">
        <v>96</v>
      </c>
      <c r="E115" s="158">
        <v>46202</v>
      </c>
    </row>
    <row r="116" spans="1:5" ht="52.5" x14ac:dyDescent="0.25">
      <c r="A116" s="163" t="s">
        <v>1104</v>
      </c>
      <c r="C116" s="153" t="s">
        <v>1105</v>
      </c>
      <c r="D116" s="156">
        <v>50</v>
      </c>
      <c r="E116" s="158">
        <v>46201</v>
      </c>
    </row>
    <row r="117" spans="1:5" ht="42" x14ac:dyDescent="0.25">
      <c r="A117" s="163" t="s">
        <v>1106</v>
      </c>
      <c r="C117" s="153" t="s">
        <v>1107</v>
      </c>
      <c r="D117" s="156">
        <v>176</v>
      </c>
      <c r="E117" s="158">
        <v>46201</v>
      </c>
    </row>
    <row r="118" spans="1:5" ht="42" x14ac:dyDescent="0.25">
      <c r="A118" s="163" t="s">
        <v>1108</v>
      </c>
      <c r="C118" s="153" t="s">
        <v>1107</v>
      </c>
      <c r="D118" s="156">
        <v>94</v>
      </c>
      <c r="E118" s="158">
        <v>46201</v>
      </c>
    </row>
    <row r="119" spans="1:5" ht="42" x14ac:dyDescent="0.25">
      <c r="A119" s="163" t="s">
        <v>1109</v>
      </c>
      <c r="C119" s="153" t="s">
        <v>1107</v>
      </c>
      <c r="D119" s="156">
        <v>50</v>
      </c>
      <c r="E119" s="158">
        <v>46201</v>
      </c>
    </row>
    <row r="120" spans="1:5" ht="42" x14ac:dyDescent="0.25">
      <c r="A120" s="163" t="s">
        <v>1110</v>
      </c>
      <c r="C120" s="153" t="s">
        <v>1078</v>
      </c>
      <c r="D120" s="156">
        <v>264</v>
      </c>
      <c r="E120" s="158">
        <v>46201</v>
      </c>
    </row>
    <row r="121" spans="1:5" ht="52.5" x14ac:dyDescent="0.25">
      <c r="A121" s="163" t="s">
        <v>1111</v>
      </c>
      <c r="C121" s="153" t="s">
        <v>1112</v>
      </c>
      <c r="D121" s="156">
        <v>132</v>
      </c>
      <c r="E121" s="158">
        <v>46201</v>
      </c>
    </row>
    <row r="122" spans="1:5" ht="42" x14ac:dyDescent="0.25">
      <c r="A122" s="163" t="s">
        <v>1113</v>
      </c>
      <c r="C122" s="153" t="s">
        <v>1114</v>
      </c>
      <c r="D122" s="156">
        <v>96</v>
      </c>
      <c r="E122" s="158">
        <v>46201</v>
      </c>
    </row>
    <row r="123" spans="1:5" ht="42" x14ac:dyDescent="0.25">
      <c r="A123" s="163" t="s">
        <v>1115</v>
      </c>
      <c r="C123" s="153" t="s">
        <v>1051</v>
      </c>
      <c r="D123" s="156">
        <v>50</v>
      </c>
      <c r="E123" s="158">
        <v>46201</v>
      </c>
    </row>
    <row r="124" spans="1:5" ht="52.5" x14ac:dyDescent="0.25">
      <c r="A124" s="163" t="s">
        <v>1116</v>
      </c>
      <c r="C124" s="153" t="s">
        <v>1112</v>
      </c>
      <c r="D124" s="156">
        <v>220</v>
      </c>
      <c r="E124" s="158">
        <v>46201</v>
      </c>
    </row>
    <row r="125" spans="1:5" ht="42" x14ac:dyDescent="0.25">
      <c r="A125" s="163" t="s">
        <v>1117</v>
      </c>
      <c r="C125" s="153" t="s">
        <v>1047</v>
      </c>
      <c r="D125" s="156">
        <v>132</v>
      </c>
      <c r="E125" s="158">
        <v>46201</v>
      </c>
    </row>
    <row r="126" spans="1:5" ht="42" x14ac:dyDescent="0.25">
      <c r="A126" s="163" t="s">
        <v>1118</v>
      </c>
      <c r="C126" s="153" t="s">
        <v>1119</v>
      </c>
      <c r="D126" s="156">
        <v>94</v>
      </c>
      <c r="E126" s="158">
        <v>46201</v>
      </c>
    </row>
    <row r="127" spans="1:5" ht="52.5" x14ac:dyDescent="0.25">
      <c r="A127" s="163" t="s">
        <v>1120</v>
      </c>
      <c r="C127" s="153" t="s">
        <v>1121</v>
      </c>
      <c r="D127" s="156">
        <v>50</v>
      </c>
      <c r="E127" s="158">
        <v>46201</v>
      </c>
    </row>
    <row r="128" spans="1:5" ht="42" x14ac:dyDescent="0.25">
      <c r="A128" s="163" t="s">
        <v>1122</v>
      </c>
      <c r="C128" s="153" t="s">
        <v>1123</v>
      </c>
      <c r="D128" s="156">
        <v>50</v>
      </c>
      <c r="E128" s="158">
        <v>46201</v>
      </c>
    </row>
    <row r="129" spans="1:5" ht="31.5" x14ac:dyDescent="0.25">
      <c r="A129" s="163" t="s">
        <v>1124</v>
      </c>
      <c r="C129" s="153" t="s">
        <v>1125</v>
      </c>
      <c r="D129" s="156">
        <v>264</v>
      </c>
      <c r="E129" s="158">
        <v>46201</v>
      </c>
    </row>
    <row r="130" spans="1:5" ht="42" x14ac:dyDescent="0.25">
      <c r="A130" s="163" t="s">
        <v>1126</v>
      </c>
      <c r="C130" s="153" t="s">
        <v>1123</v>
      </c>
      <c r="D130" s="156">
        <v>96</v>
      </c>
      <c r="E130" s="158">
        <v>46201</v>
      </c>
    </row>
    <row r="131" spans="1:5" ht="52.5" x14ac:dyDescent="0.25">
      <c r="A131" s="163" t="s">
        <v>1127</v>
      </c>
      <c r="C131" s="153" t="s">
        <v>1128</v>
      </c>
      <c r="D131" s="156">
        <v>50</v>
      </c>
      <c r="E131" s="158">
        <v>46201</v>
      </c>
    </row>
    <row r="132" spans="1:5" ht="42" x14ac:dyDescent="0.25">
      <c r="A132" s="163" t="s">
        <v>1129</v>
      </c>
      <c r="C132" s="153" t="s">
        <v>1130</v>
      </c>
      <c r="D132" s="156">
        <v>96</v>
      </c>
      <c r="E132" s="158">
        <v>46201</v>
      </c>
    </row>
    <row r="133" spans="1:5" ht="31.5" x14ac:dyDescent="0.25">
      <c r="A133" s="163" t="s">
        <v>1131</v>
      </c>
      <c r="C133" s="153" t="s">
        <v>1132</v>
      </c>
      <c r="D133" s="156">
        <v>50</v>
      </c>
      <c r="E133" s="158">
        <v>46201</v>
      </c>
    </row>
    <row r="134" spans="1:5" ht="42" x14ac:dyDescent="0.25">
      <c r="A134" s="163" t="s">
        <v>1133</v>
      </c>
      <c r="C134" s="153" t="s">
        <v>1134</v>
      </c>
      <c r="D134" s="156">
        <v>138</v>
      </c>
      <c r="E134" s="158">
        <v>46201</v>
      </c>
    </row>
    <row r="135" spans="1:5" ht="42" x14ac:dyDescent="0.25">
      <c r="A135" s="163" t="s">
        <v>1135</v>
      </c>
      <c r="C135" s="153" t="s">
        <v>1136</v>
      </c>
      <c r="D135" s="156">
        <v>96</v>
      </c>
      <c r="E135" s="158">
        <v>46201</v>
      </c>
    </row>
    <row r="136" spans="1:5" ht="42" x14ac:dyDescent="0.25">
      <c r="A136" s="163" t="s">
        <v>1137</v>
      </c>
      <c r="C136" s="153" t="s">
        <v>1138</v>
      </c>
      <c r="D136" s="156">
        <v>50</v>
      </c>
      <c r="E136" s="158">
        <v>46201</v>
      </c>
    </row>
    <row r="137" spans="1:5" ht="42" x14ac:dyDescent="0.25">
      <c r="A137" s="163" t="s">
        <v>1139</v>
      </c>
      <c r="C137" s="153" t="s">
        <v>1140</v>
      </c>
      <c r="D137" s="156">
        <v>94</v>
      </c>
      <c r="E137" s="158">
        <v>46200</v>
      </c>
    </row>
    <row r="138" spans="1:5" ht="42" x14ac:dyDescent="0.25">
      <c r="A138" s="163" t="s">
        <v>1141</v>
      </c>
      <c r="C138" s="153" t="s">
        <v>1136</v>
      </c>
      <c r="D138" s="156">
        <v>184</v>
      </c>
      <c r="E138" s="158">
        <v>46200</v>
      </c>
    </row>
    <row r="139" spans="1:5" ht="42" x14ac:dyDescent="0.25">
      <c r="A139" s="163" t="s">
        <v>1142</v>
      </c>
      <c r="C139" s="153" t="s">
        <v>1045</v>
      </c>
      <c r="D139" s="156">
        <v>50</v>
      </c>
      <c r="E139" s="158">
        <v>46200</v>
      </c>
    </row>
    <row r="140" spans="1:5" ht="42" x14ac:dyDescent="0.25">
      <c r="A140" s="163" t="s">
        <v>1143</v>
      </c>
      <c r="C140" s="153" t="s">
        <v>1045</v>
      </c>
      <c r="D140" s="156">
        <v>141</v>
      </c>
      <c r="E140" s="158">
        <v>46200</v>
      </c>
    </row>
    <row r="141" spans="1:5" ht="42" x14ac:dyDescent="0.25">
      <c r="A141" s="163" t="s">
        <v>1144</v>
      </c>
      <c r="C141" s="153" t="s">
        <v>1145</v>
      </c>
      <c r="D141" s="156">
        <v>96</v>
      </c>
      <c r="E141" s="158">
        <v>46200</v>
      </c>
    </row>
    <row r="142" spans="1:5" ht="42" x14ac:dyDescent="0.25">
      <c r="A142" s="163" t="s">
        <v>1146</v>
      </c>
      <c r="C142" s="153" t="s">
        <v>1147</v>
      </c>
      <c r="D142" s="156">
        <v>50</v>
      </c>
      <c r="E142" s="158">
        <v>46200</v>
      </c>
    </row>
    <row r="143" spans="1:5" ht="42" x14ac:dyDescent="0.25">
      <c r="A143" s="163" t="s">
        <v>1148</v>
      </c>
      <c r="C143" s="153" t="s">
        <v>1047</v>
      </c>
      <c r="D143" s="156">
        <v>220</v>
      </c>
      <c r="E143" s="158">
        <v>46200</v>
      </c>
    </row>
    <row r="144" spans="1:5" ht="52.5" x14ac:dyDescent="0.25">
      <c r="A144" s="163" t="s">
        <v>1149</v>
      </c>
      <c r="C144" s="153" t="s">
        <v>1049</v>
      </c>
      <c r="D144" s="156">
        <v>100</v>
      </c>
      <c r="E144" s="158">
        <v>46200</v>
      </c>
    </row>
    <row r="145" spans="1:5" ht="42" x14ac:dyDescent="0.25">
      <c r="A145" s="163" t="s">
        <v>1150</v>
      </c>
      <c r="C145" s="153" t="s">
        <v>1053</v>
      </c>
      <c r="D145" s="156">
        <v>50</v>
      </c>
      <c r="E145" s="158">
        <v>46200</v>
      </c>
    </row>
    <row r="146" spans="1:5" ht="42" x14ac:dyDescent="0.25">
      <c r="A146" s="163" t="s">
        <v>1151</v>
      </c>
      <c r="C146" s="153" t="s">
        <v>1051</v>
      </c>
      <c r="D146" s="156">
        <v>138</v>
      </c>
      <c r="E146" s="158">
        <v>46200</v>
      </c>
    </row>
    <row r="147" spans="1:5" ht="52.5" x14ac:dyDescent="0.25">
      <c r="A147" s="163" t="s">
        <v>1152</v>
      </c>
      <c r="C147" s="153" t="s">
        <v>1153</v>
      </c>
      <c r="D147" s="156">
        <v>96</v>
      </c>
      <c r="E147" s="158">
        <v>46200</v>
      </c>
    </row>
    <row r="148" spans="1:5" ht="52.5" x14ac:dyDescent="0.25">
      <c r="A148" s="163" t="s">
        <v>1154</v>
      </c>
      <c r="C148" s="153" t="s">
        <v>1155</v>
      </c>
      <c r="D148" s="156">
        <v>51</v>
      </c>
      <c r="E148" s="158">
        <v>46200</v>
      </c>
    </row>
    <row r="149" spans="1:5" ht="42" x14ac:dyDescent="0.25">
      <c r="A149" s="163" t="s">
        <v>1156</v>
      </c>
      <c r="C149" s="153" t="s">
        <v>1157</v>
      </c>
      <c r="D149" s="156">
        <v>98</v>
      </c>
      <c r="E149" s="158">
        <v>46200</v>
      </c>
    </row>
    <row r="150" spans="1:5" ht="42" x14ac:dyDescent="0.25">
      <c r="A150" s="163" t="s">
        <v>1158</v>
      </c>
      <c r="C150" s="153" t="s">
        <v>1159</v>
      </c>
      <c r="D150" s="156">
        <v>50</v>
      </c>
      <c r="E150" s="158">
        <v>46200</v>
      </c>
    </row>
    <row r="151" spans="1:5" ht="31.5" x14ac:dyDescent="0.25">
      <c r="A151" s="163" t="s">
        <v>1160</v>
      </c>
      <c r="C151" s="153" t="s">
        <v>1161</v>
      </c>
      <c r="D151" s="156">
        <v>141</v>
      </c>
      <c r="E151" s="158">
        <v>46200</v>
      </c>
    </row>
    <row r="152" spans="1:5" ht="42" x14ac:dyDescent="0.25">
      <c r="A152" s="163" t="s">
        <v>1162</v>
      </c>
      <c r="C152" s="153" t="s">
        <v>1163</v>
      </c>
      <c r="D152" s="156">
        <v>51</v>
      </c>
      <c r="E152" s="158">
        <v>46200</v>
      </c>
    </row>
    <row r="153" spans="1:5" ht="42" x14ac:dyDescent="0.25">
      <c r="A153" s="163" t="s">
        <v>1164</v>
      </c>
      <c r="C153" s="153" t="s">
        <v>1165</v>
      </c>
      <c r="D153" s="156">
        <v>50</v>
      </c>
      <c r="E153" s="158">
        <v>46200</v>
      </c>
    </row>
    <row r="154" spans="1:5" ht="42" x14ac:dyDescent="0.25">
      <c r="A154" s="163" t="s">
        <v>1166</v>
      </c>
      <c r="C154" s="153" t="s">
        <v>1167</v>
      </c>
      <c r="D154" s="156">
        <v>96</v>
      </c>
      <c r="E154" s="158">
        <v>46200</v>
      </c>
    </row>
    <row r="155" spans="1:5" ht="42" x14ac:dyDescent="0.25">
      <c r="A155" s="163" t="s">
        <v>1168</v>
      </c>
      <c r="C155" s="153" t="s">
        <v>1169</v>
      </c>
      <c r="D155" s="156">
        <v>50</v>
      </c>
      <c r="E155" s="158">
        <v>46200</v>
      </c>
    </row>
    <row r="156" spans="1:5" ht="42" x14ac:dyDescent="0.25">
      <c r="A156" s="163" t="s">
        <v>1170</v>
      </c>
      <c r="C156" s="153" t="s">
        <v>1171</v>
      </c>
      <c r="D156" s="156">
        <v>141</v>
      </c>
      <c r="E156" s="158">
        <v>46200</v>
      </c>
    </row>
    <row r="157" spans="1:5" ht="42" x14ac:dyDescent="0.25">
      <c r="A157" s="163" t="s">
        <v>1172</v>
      </c>
      <c r="C157" s="153" t="s">
        <v>1167</v>
      </c>
      <c r="D157" s="156">
        <v>50</v>
      </c>
      <c r="E157" s="158">
        <v>46200</v>
      </c>
    </row>
    <row r="158" spans="1:5" ht="42" x14ac:dyDescent="0.25">
      <c r="A158" s="163" t="s">
        <v>1173</v>
      </c>
      <c r="C158" s="153" t="s">
        <v>1174</v>
      </c>
      <c r="D158" s="156">
        <v>94</v>
      </c>
      <c r="E158" s="158">
        <v>46200</v>
      </c>
    </row>
    <row r="159" spans="1:5" ht="42" x14ac:dyDescent="0.25">
      <c r="A159" s="163" t="s">
        <v>1175</v>
      </c>
      <c r="C159" s="153" t="s">
        <v>1176</v>
      </c>
      <c r="D159" s="156">
        <v>50</v>
      </c>
      <c r="E159" s="158">
        <v>46200</v>
      </c>
    </row>
    <row r="160" spans="1:5" ht="31.5" x14ac:dyDescent="0.25">
      <c r="A160" s="163" t="s">
        <v>1177</v>
      </c>
      <c r="C160" s="153" t="s">
        <v>1178</v>
      </c>
      <c r="D160" s="156">
        <v>135</v>
      </c>
      <c r="E160" s="158">
        <v>46200</v>
      </c>
    </row>
    <row r="161" spans="1:5" ht="42" x14ac:dyDescent="0.25">
      <c r="A161" s="163" t="s">
        <v>1179</v>
      </c>
      <c r="C161" s="153" t="s">
        <v>1180</v>
      </c>
      <c r="D161" s="156">
        <v>96</v>
      </c>
      <c r="E161" s="158">
        <v>46200</v>
      </c>
    </row>
    <row r="162" spans="1:5" ht="31.5" x14ac:dyDescent="0.25">
      <c r="A162" s="163" t="s">
        <v>1181</v>
      </c>
      <c r="C162" s="153" t="s">
        <v>1182</v>
      </c>
      <c r="D162" s="156">
        <v>50</v>
      </c>
      <c r="E162" s="158">
        <v>46200</v>
      </c>
    </row>
    <row r="163" spans="1:5" ht="42" x14ac:dyDescent="0.25">
      <c r="A163" s="163" t="s">
        <v>1183</v>
      </c>
      <c r="C163" s="153" t="s">
        <v>1184</v>
      </c>
      <c r="D163" s="156">
        <v>50</v>
      </c>
      <c r="E163" s="158">
        <v>46200</v>
      </c>
    </row>
    <row r="164" spans="1:5" ht="52.5" x14ac:dyDescent="0.25">
      <c r="A164" s="163" t="s">
        <v>1185</v>
      </c>
      <c r="C164" s="153" t="s">
        <v>1186</v>
      </c>
      <c r="D164" s="156">
        <v>135</v>
      </c>
      <c r="E164" s="158">
        <v>46200</v>
      </c>
    </row>
    <row r="165" spans="1:5" ht="42" x14ac:dyDescent="0.25">
      <c r="A165" s="163" t="s">
        <v>1187</v>
      </c>
      <c r="C165" s="153" t="s">
        <v>1188</v>
      </c>
      <c r="D165" s="156">
        <v>96</v>
      </c>
      <c r="E165" s="158">
        <v>46200</v>
      </c>
    </row>
    <row r="166" spans="1:5" ht="42" x14ac:dyDescent="0.25">
      <c r="A166" s="163" t="s">
        <v>1189</v>
      </c>
      <c r="C166" s="153" t="s">
        <v>1190</v>
      </c>
      <c r="D166" s="156">
        <v>50</v>
      </c>
      <c r="E166" s="158">
        <v>46200</v>
      </c>
    </row>
    <row r="167" spans="1:5" ht="42" x14ac:dyDescent="0.25">
      <c r="A167" s="163" t="s">
        <v>1191</v>
      </c>
      <c r="C167" s="153" t="s">
        <v>1192</v>
      </c>
      <c r="D167" s="156">
        <v>138</v>
      </c>
      <c r="E167" s="158">
        <v>46200</v>
      </c>
    </row>
    <row r="168" spans="1:5" ht="42" x14ac:dyDescent="0.25">
      <c r="A168" s="163" t="s">
        <v>1193</v>
      </c>
      <c r="C168" s="153" t="s">
        <v>1194</v>
      </c>
      <c r="D168" s="156">
        <v>94</v>
      </c>
      <c r="E168" s="158">
        <v>46200</v>
      </c>
    </row>
    <row r="169" spans="1:5" ht="42" x14ac:dyDescent="0.25">
      <c r="A169" s="163" t="s">
        <v>1195</v>
      </c>
      <c r="C169" s="153" t="s">
        <v>1196</v>
      </c>
      <c r="D169" s="156">
        <v>51</v>
      </c>
      <c r="E169" s="158">
        <v>46200</v>
      </c>
    </row>
    <row r="170" spans="1:5" ht="21" x14ac:dyDescent="0.25">
      <c r="A170" s="163" t="s">
        <v>1197</v>
      </c>
      <c r="C170" s="153" t="s">
        <v>502</v>
      </c>
      <c r="D170" s="156">
        <v>98</v>
      </c>
      <c r="E170" s="158">
        <v>46199</v>
      </c>
    </row>
    <row r="171" spans="1:5" ht="31.5" x14ac:dyDescent="0.25">
      <c r="A171" s="163" t="s">
        <v>1198</v>
      </c>
      <c r="C171" s="153" t="s">
        <v>1199</v>
      </c>
      <c r="D171" s="156">
        <v>141</v>
      </c>
      <c r="E171" s="158">
        <v>46199</v>
      </c>
    </row>
    <row r="172" spans="1:5" ht="31.5" x14ac:dyDescent="0.25">
      <c r="A172" s="163" t="s">
        <v>1200</v>
      </c>
      <c r="C172" s="153" t="s">
        <v>1201</v>
      </c>
      <c r="D172" s="156">
        <v>100</v>
      </c>
      <c r="E172" s="158">
        <v>46199</v>
      </c>
    </row>
    <row r="173" spans="1:5" ht="42" x14ac:dyDescent="0.25">
      <c r="A173" s="163" t="s">
        <v>1202</v>
      </c>
      <c r="C173" s="153" t="s">
        <v>1203</v>
      </c>
      <c r="D173" s="156">
        <v>430</v>
      </c>
      <c r="E173" s="158">
        <v>46199</v>
      </c>
    </row>
    <row r="174" spans="1:5" ht="42" x14ac:dyDescent="0.25">
      <c r="A174" s="163" t="s">
        <v>1204</v>
      </c>
      <c r="C174" s="153" t="s">
        <v>1205</v>
      </c>
      <c r="D174" s="156">
        <v>50</v>
      </c>
      <c r="E174" s="158">
        <v>46199</v>
      </c>
    </row>
    <row r="175" spans="1:5" ht="42" x14ac:dyDescent="0.25">
      <c r="A175" s="163" t="s">
        <v>1206</v>
      </c>
      <c r="C175" s="153" t="s">
        <v>1207</v>
      </c>
      <c r="D175" s="156">
        <v>225</v>
      </c>
      <c r="E175" s="158">
        <v>46199</v>
      </c>
    </row>
    <row r="176" spans="1:5" ht="31.5" x14ac:dyDescent="0.25">
      <c r="A176" s="163" t="s">
        <v>1208</v>
      </c>
      <c r="C176" s="153" t="s">
        <v>1209</v>
      </c>
      <c r="D176" s="156">
        <v>50</v>
      </c>
      <c r="E176" s="158">
        <v>46199</v>
      </c>
    </row>
    <row r="177" spans="1:5" ht="42" x14ac:dyDescent="0.25">
      <c r="A177" s="163" t="s">
        <v>1210</v>
      </c>
      <c r="C177" s="153" t="s">
        <v>1211</v>
      </c>
      <c r="D177" s="156">
        <v>94</v>
      </c>
      <c r="E177" s="158">
        <v>46199</v>
      </c>
    </row>
    <row r="178" spans="1:5" ht="31.5" x14ac:dyDescent="0.25">
      <c r="A178" s="163" t="s">
        <v>1212</v>
      </c>
      <c r="C178" s="153" t="s">
        <v>1213</v>
      </c>
      <c r="D178" s="156">
        <v>180</v>
      </c>
      <c r="E178" s="158">
        <v>46199</v>
      </c>
    </row>
    <row r="179" spans="1:5" ht="42" x14ac:dyDescent="0.25">
      <c r="A179" s="163" t="s">
        <v>1214</v>
      </c>
      <c r="C179" s="153" t="s">
        <v>1215</v>
      </c>
      <c r="D179" s="156">
        <v>50</v>
      </c>
      <c r="E179" s="158">
        <v>46199</v>
      </c>
    </row>
    <row r="180" spans="1:5" ht="31.5" x14ac:dyDescent="0.25">
      <c r="A180" s="163" t="s">
        <v>1216</v>
      </c>
      <c r="C180" s="153" t="s">
        <v>1217</v>
      </c>
      <c r="D180" s="156">
        <v>141</v>
      </c>
      <c r="E180" s="158">
        <v>46199</v>
      </c>
    </row>
    <row r="181" spans="1:5" ht="31.5" x14ac:dyDescent="0.25">
      <c r="A181" s="163" t="s">
        <v>1218</v>
      </c>
      <c r="C181" s="153" t="s">
        <v>1219</v>
      </c>
      <c r="D181" s="156">
        <v>220</v>
      </c>
      <c r="E181" s="158">
        <v>46199</v>
      </c>
    </row>
    <row r="182" spans="1:5" ht="42" x14ac:dyDescent="0.25">
      <c r="A182" s="163" t="s">
        <v>1220</v>
      </c>
      <c r="C182" s="153" t="s">
        <v>1221</v>
      </c>
      <c r="D182" s="156">
        <v>50</v>
      </c>
      <c r="E182" s="158">
        <v>46199</v>
      </c>
    </row>
    <row r="183" spans="1:5" ht="42" x14ac:dyDescent="0.25">
      <c r="A183" s="163" t="s">
        <v>1222</v>
      </c>
      <c r="C183" s="153" t="s">
        <v>1223</v>
      </c>
      <c r="D183" s="156">
        <v>98</v>
      </c>
      <c r="E183" s="158">
        <v>46199</v>
      </c>
    </row>
    <row r="184" spans="1:5" ht="42" x14ac:dyDescent="0.25">
      <c r="A184" s="163" t="s">
        <v>1224</v>
      </c>
      <c r="C184" s="153" t="s">
        <v>1225</v>
      </c>
      <c r="D184" s="156">
        <v>94</v>
      </c>
      <c r="E184" s="158">
        <v>46199</v>
      </c>
    </row>
    <row r="185" spans="1:5" ht="42" x14ac:dyDescent="0.25">
      <c r="A185" s="163" t="s">
        <v>1226</v>
      </c>
      <c r="C185" s="153" t="s">
        <v>1227</v>
      </c>
      <c r="D185" s="156">
        <v>49</v>
      </c>
      <c r="E185" s="158">
        <v>46201</v>
      </c>
    </row>
    <row r="186" spans="1:5" ht="42" x14ac:dyDescent="0.25">
      <c r="A186" s="163" t="s">
        <v>1228</v>
      </c>
      <c r="C186" s="153" t="s">
        <v>1229</v>
      </c>
      <c r="D186" s="156">
        <v>220</v>
      </c>
      <c r="E186" s="158">
        <v>46199</v>
      </c>
    </row>
    <row r="187" spans="1:5" ht="42" x14ac:dyDescent="0.25">
      <c r="A187" s="163" t="s">
        <v>1230</v>
      </c>
      <c r="C187" s="153" t="s">
        <v>1231</v>
      </c>
      <c r="D187" s="156">
        <v>138</v>
      </c>
      <c r="E187" s="158">
        <v>46199</v>
      </c>
    </row>
    <row r="188" spans="1:5" ht="52.5" x14ac:dyDescent="0.25">
      <c r="A188" s="163" t="s">
        <v>1232</v>
      </c>
      <c r="C188" s="153" t="s">
        <v>1233</v>
      </c>
      <c r="D188" s="156">
        <v>96</v>
      </c>
      <c r="E188" s="158">
        <v>46199</v>
      </c>
    </row>
    <row r="189" spans="1:5" ht="42" x14ac:dyDescent="0.25">
      <c r="A189" s="163" t="s">
        <v>1234</v>
      </c>
      <c r="C189" s="153" t="s">
        <v>1221</v>
      </c>
      <c r="D189" s="156">
        <v>50</v>
      </c>
      <c r="E189" s="158">
        <v>46199</v>
      </c>
    </row>
    <row r="190" spans="1:5" ht="42" x14ac:dyDescent="0.25">
      <c r="A190" s="163" t="s">
        <v>1235</v>
      </c>
      <c r="C190" s="153" t="s">
        <v>1236</v>
      </c>
      <c r="D190" s="156">
        <v>51</v>
      </c>
      <c r="E190" s="158">
        <v>46199</v>
      </c>
    </row>
    <row r="191" spans="1:5" ht="21" x14ac:dyDescent="0.25">
      <c r="A191" s="163" t="s">
        <v>1237</v>
      </c>
      <c r="C191" s="153" t="s">
        <v>463</v>
      </c>
      <c r="D191" s="156">
        <v>51</v>
      </c>
      <c r="E191" s="158">
        <v>46199</v>
      </c>
    </row>
    <row r="192" spans="1:5" ht="31.5" x14ac:dyDescent="0.25">
      <c r="A192" s="163" t="s">
        <v>1238</v>
      </c>
      <c r="C192" s="153" t="s">
        <v>461</v>
      </c>
      <c r="D192" s="156">
        <v>138</v>
      </c>
      <c r="E192" s="158">
        <v>46199</v>
      </c>
    </row>
    <row r="193" spans="1:5" ht="21" x14ac:dyDescent="0.25">
      <c r="A193" s="163" t="s">
        <v>1239</v>
      </c>
      <c r="C193" s="153" t="s">
        <v>143</v>
      </c>
      <c r="D193" s="156">
        <v>45</v>
      </c>
      <c r="E193" s="158">
        <v>46199</v>
      </c>
    </row>
    <row r="194" spans="1:5" ht="31.5" x14ac:dyDescent="0.25">
      <c r="A194" s="163" t="s">
        <v>1240</v>
      </c>
      <c r="C194" s="153" t="s">
        <v>458</v>
      </c>
      <c r="D194" s="156">
        <v>96</v>
      </c>
      <c r="E194" s="158">
        <v>46199</v>
      </c>
    </row>
    <row r="195" spans="1:5" ht="21" x14ac:dyDescent="0.25">
      <c r="A195" s="163" t="s">
        <v>1241</v>
      </c>
      <c r="C195" s="153" t="s">
        <v>456</v>
      </c>
      <c r="D195" s="156">
        <v>51</v>
      </c>
      <c r="E195" s="158">
        <v>46199</v>
      </c>
    </row>
    <row r="196" spans="1:5" ht="21" x14ac:dyDescent="0.25">
      <c r="A196" s="163" t="s">
        <v>1242</v>
      </c>
      <c r="C196" s="153" t="s">
        <v>308</v>
      </c>
      <c r="D196" s="156">
        <v>311</v>
      </c>
      <c r="E196" s="158">
        <v>46198</v>
      </c>
    </row>
    <row r="197" spans="1:5" ht="21" x14ac:dyDescent="0.25">
      <c r="A197" s="163" t="s">
        <v>1243</v>
      </c>
      <c r="C197" s="153" t="s">
        <v>451</v>
      </c>
      <c r="D197" s="156">
        <v>94</v>
      </c>
      <c r="E197" s="158">
        <v>46198</v>
      </c>
    </row>
    <row r="198" spans="1:5" ht="21" x14ac:dyDescent="0.25">
      <c r="A198" s="163" t="s">
        <v>1244</v>
      </c>
      <c r="C198" s="153" t="s">
        <v>393</v>
      </c>
      <c r="D198" s="156">
        <v>51</v>
      </c>
      <c r="E198" s="158">
        <v>46198</v>
      </c>
    </row>
    <row r="199" spans="1:5" ht="21" x14ac:dyDescent="0.25">
      <c r="A199" s="163" t="s">
        <v>1245</v>
      </c>
      <c r="C199" s="153" t="s">
        <v>448</v>
      </c>
      <c r="D199" s="156">
        <v>645</v>
      </c>
      <c r="E199" s="158">
        <v>46198</v>
      </c>
    </row>
    <row r="200" spans="1:5" ht="21" x14ac:dyDescent="0.25">
      <c r="A200" s="163" t="s">
        <v>1246</v>
      </c>
      <c r="C200" s="153" t="s">
        <v>446</v>
      </c>
      <c r="D200" s="156">
        <v>132</v>
      </c>
      <c r="E200" s="158">
        <v>46198</v>
      </c>
    </row>
    <row r="201" spans="1:5" ht="21" x14ac:dyDescent="0.25">
      <c r="A201" s="163" t="s">
        <v>1247</v>
      </c>
      <c r="C201" s="153" t="s">
        <v>444</v>
      </c>
      <c r="D201" s="156">
        <v>96</v>
      </c>
      <c r="E201" s="158">
        <v>46198</v>
      </c>
    </row>
    <row r="202" spans="1:5" ht="21" x14ac:dyDescent="0.25">
      <c r="A202" s="163" t="s">
        <v>1248</v>
      </c>
      <c r="C202" s="153" t="s">
        <v>442</v>
      </c>
      <c r="D202" s="156">
        <v>51</v>
      </c>
      <c r="E202" s="158">
        <v>46198</v>
      </c>
    </row>
    <row r="203" spans="1:5" ht="31.5" x14ac:dyDescent="0.25">
      <c r="A203" s="163" t="s">
        <v>1249</v>
      </c>
      <c r="C203" s="153" t="s">
        <v>344</v>
      </c>
      <c r="D203" s="156">
        <v>516</v>
      </c>
      <c r="E203" s="158">
        <v>46198</v>
      </c>
    </row>
    <row r="204" spans="1:5" ht="21" x14ac:dyDescent="0.25">
      <c r="A204" s="163" t="s">
        <v>1250</v>
      </c>
      <c r="C204" s="153" t="s">
        <v>439</v>
      </c>
      <c r="D204" s="156">
        <v>94</v>
      </c>
      <c r="E204" s="158">
        <v>46198</v>
      </c>
    </row>
    <row r="205" spans="1:5" ht="21" x14ac:dyDescent="0.25">
      <c r="A205" s="163" t="s">
        <v>1251</v>
      </c>
      <c r="C205" s="153" t="s">
        <v>437</v>
      </c>
      <c r="D205" s="156">
        <v>50</v>
      </c>
      <c r="E205" s="158">
        <v>46198</v>
      </c>
    </row>
    <row r="206" spans="1:5" ht="21" x14ac:dyDescent="0.25">
      <c r="A206" s="163" t="s">
        <v>1252</v>
      </c>
      <c r="C206" s="153" t="s">
        <v>293</v>
      </c>
      <c r="D206" s="156">
        <v>430</v>
      </c>
      <c r="E206" s="158">
        <v>46198</v>
      </c>
    </row>
    <row r="207" spans="1:5" ht="21" x14ac:dyDescent="0.25">
      <c r="A207" s="163" t="s">
        <v>1253</v>
      </c>
      <c r="C207" s="153" t="s">
        <v>1254</v>
      </c>
      <c r="D207" s="156">
        <v>51</v>
      </c>
      <c r="E207" s="158">
        <v>46198</v>
      </c>
    </row>
    <row r="208" spans="1:5" ht="21" x14ac:dyDescent="0.25">
      <c r="A208" s="163" t="s">
        <v>1255</v>
      </c>
      <c r="C208" s="153" t="s">
        <v>432</v>
      </c>
      <c r="D208" s="156">
        <v>220</v>
      </c>
      <c r="E208" s="158">
        <v>46198</v>
      </c>
    </row>
    <row r="209" spans="1:5" ht="31.5" x14ac:dyDescent="0.25">
      <c r="A209" s="163" t="s">
        <v>1256</v>
      </c>
      <c r="C209" s="153" t="s">
        <v>430</v>
      </c>
      <c r="D209" s="156">
        <v>141</v>
      </c>
      <c r="E209" s="158">
        <v>46198</v>
      </c>
    </row>
    <row r="210" spans="1:5" ht="21" x14ac:dyDescent="0.25">
      <c r="A210" s="163" t="s">
        <v>1257</v>
      </c>
      <c r="C210" s="153" t="s">
        <v>428</v>
      </c>
      <c r="D210" s="156">
        <v>96</v>
      </c>
      <c r="E210" s="158">
        <v>46198</v>
      </c>
    </row>
    <row r="211" spans="1:5" ht="21" x14ac:dyDescent="0.25">
      <c r="A211" s="163" t="s">
        <v>1258</v>
      </c>
      <c r="C211" s="153" t="s">
        <v>378</v>
      </c>
      <c r="D211" s="156">
        <v>50</v>
      </c>
      <c r="E211" s="158">
        <v>46198</v>
      </c>
    </row>
    <row r="212" spans="1:5" ht="21" x14ac:dyDescent="0.25">
      <c r="A212" s="163" t="s">
        <v>1259</v>
      </c>
      <c r="C212" s="153" t="s">
        <v>423</v>
      </c>
      <c r="D212" s="156">
        <v>396</v>
      </c>
      <c r="E212" s="158">
        <v>46197</v>
      </c>
    </row>
    <row r="213" spans="1:5" ht="21" x14ac:dyDescent="0.25">
      <c r="A213" s="163" t="s">
        <v>1260</v>
      </c>
      <c r="C213" s="153" t="s">
        <v>421</v>
      </c>
      <c r="D213" s="156">
        <v>50</v>
      </c>
      <c r="E213" s="158">
        <v>46197</v>
      </c>
    </row>
    <row r="214" spans="1:5" ht="21" x14ac:dyDescent="0.25">
      <c r="A214" s="163" t="s">
        <v>1261</v>
      </c>
      <c r="C214" s="153" t="s">
        <v>419</v>
      </c>
      <c r="D214" s="156">
        <v>135</v>
      </c>
      <c r="E214" s="158">
        <v>46197</v>
      </c>
    </row>
    <row r="215" spans="1:5" ht="21" x14ac:dyDescent="0.25">
      <c r="A215" s="163" t="s">
        <v>1262</v>
      </c>
      <c r="C215" s="153" t="s">
        <v>417</v>
      </c>
      <c r="D215" s="156">
        <v>96</v>
      </c>
      <c r="E215" s="158">
        <v>46197</v>
      </c>
    </row>
    <row r="216" spans="1:5" ht="21" x14ac:dyDescent="0.25">
      <c r="A216" s="163" t="s">
        <v>1263</v>
      </c>
      <c r="C216" s="153" t="s">
        <v>208</v>
      </c>
      <c r="D216" s="156">
        <v>50</v>
      </c>
      <c r="E216" s="158">
        <v>46197</v>
      </c>
    </row>
    <row r="217" spans="1:5" ht="31.5" x14ac:dyDescent="0.25">
      <c r="A217" s="163" t="s">
        <v>1264</v>
      </c>
      <c r="C217" s="153" t="s">
        <v>414</v>
      </c>
      <c r="D217" s="156">
        <v>135</v>
      </c>
      <c r="E217" s="158">
        <v>46197</v>
      </c>
    </row>
    <row r="218" spans="1:5" ht="21" x14ac:dyDescent="0.25">
      <c r="A218" s="163" t="s">
        <v>1265</v>
      </c>
      <c r="C218" s="153" t="s">
        <v>412</v>
      </c>
      <c r="D218" s="156">
        <v>94</v>
      </c>
      <c r="E218" s="158">
        <v>46197</v>
      </c>
    </row>
    <row r="219" spans="1:5" ht="21" x14ac:dyDescent="0.25">
      <c r="A219" s="163" t="s">
        <v>1266</v>
      </c>
      <c r="C219" s="153" t="s">
        <v>454</v>
      </c>
      <c r="D219" s="156">
        <v>51</v>
      </c>
      <c r="E219" s="158">
        <v>46199</v>
      </c>
    </row>
    <row r="220" spans="1:5" ht="31.5" x14ac:dyDescent="0.25">
      <c r="A220" s="163" t="s">
        <v>1267</v>
      </c>
      <c r="C220" s="153" t="s">
        <v>410</v>
      </c>
      <c r="D220" s="156">
        <v>100</v>
      </c>
      <c r="E220" s="158">
        <v>46197</v>
      </c>
    </row>
    <row r="221" spans="1:5" ht="21" x14ac:dyDescent="0.25">
      <c r="A221" s="163" t="s">
        <v>1268</v>
      </c>
      <c r="C221" s="153" t="s">
        <v>408</v>
      </c>
      <c r="D221" s="156">
        <v>50</v>
      </c>
      <c r="E221" s="158">
        <v>46197</v>
      </c>
    </row>
    <row r="222" spans="1:5" ht="21" x14ac:dyDescent="0.25">
      <c r="A222" s="163" t="s">
        <v>1269</v>
      </c>
      <c r="C222" s="153" t="s">
        <v>406</v>
      </c>
      <c r="D222" s="156">
        <v>138</v>
      </c>
      <c r="E222" s="158">
        <v>46197</v>
      </c>
    </row>
    <row r="223" spans="1:5" ht="21" x14ac:dyDescent="0.25">
      <c r="A223" s="163" t="s">
        <v>1270</v>
      </c>
      <c r="C223" s="153" t="s">
        <v>1271</v>
      </c>
      <c r="D223" s="156">
        <v>94</v>
      </c>
      <c r="E223" s="158">
        <v>46197</v>
      </c>
    </row>
    <row r="224" spans="1:5" ht="21" x14ac:dyDescent="0.25">
      <c r="A224" s="163" t="s">
        <v>1272</v>
      </c>
      <c r="C224" s="153" t="s">
        <v>143</v>
      </c>
      <c r="D224" s="156">
        <v>51</v>
      </c>
      <c r="E224" s="158">
        <v>46197</v>
      </c>
    </row>
    <row r="225" spans="1:5" ht="21" x14ac:dyDescent="0.25">
      <c r="A225" s="163" t="s">
        <v>1273</v>
      </c>
      <c r="C225" s="153" t="s">
        <v>401</v>
      </c>
      <c r="D225" s="156">
        <v>430</v>
      </c>
      <c r="E225" s="158">
        <v>46197</v>
      </c>
    </row>
    <row r="226" spans="1:5" ht="42" x14ac:dyDescent="0.25">
      <c r="A226" s="163" t="s">
        <v>1274</v>
      </c>
      <c r="C226" s="153" t="s">
        <v>1275</v>
      </c>
      <c r="D226" s="156">
        <v>50</v>
      </c>
      <c r="E226" s="158">
        <v>46197</v>
      </c>
    </row>
    <row r="227" spans="1:5" ht="21" x14ac:dyDescent="0.25">
      <c r="A227" s="163" t="s">
        <v>1276</v>
      </c>
      <c r="C227" s="153" t="s">
        <v>397</v>
      </c>
      <c r="D227" s="156">
        <v>220</v>
      </c>
      <c r="E227" s="158">
        <v>46197</v>
      </c>
    </row>
    <row r="228" spans="1:5" ht="21" x14ac:dyDescent="0.25">
      <c r="A228" s="163" t="s">
        <v>1277</v>
      </c>
      <c r="C228" s="153" t="s">
        <v>395</v>
      </c>
      <c r="D228" s="156">
        <v>50</v>
      </c>
      <c r="E228" s="158">
        <v>46197</v>
      </c>
    </row>
    <row r="229" spans="1:5" ht="21" x14ac:dyDescent="0.25">
      <c r="A229" s="163" t="s">
        <v>1278</v>
      </c>
      <c r="C229" s="153" t="s">
        <v>393</v>
      </c>
      <c r="D229" s="156">
        <v>96</v>
      </c>
      <c r="E229" s="158">
        <v>46197</v>
      </c>
    </row>
    <row r="230" spans="1:5" ht="21" x14ac:dyDescent="0.25">
      <c r="A230" s="163" t="s">
        <v>1279</v>
      </c>
      <c r="C230" s="153" t="s">
        <v>391</v>
      </c>
      <c r="D230" s="156">
        <v>51</v>
      </c>
      <c r="E230" s="158">
        <v>46197</v>
      </c>
    </row>
    <row r="231" spans="1:5" ht="42" x14ac:dyDescent="0.25">
      <c r="A231" s="163" t="s">
        <v>1280</v>
      </c>
      <c r="C231" s="153" t="s">
        <v>1003</v>
      </c>
      <c r="D231" s="156">
        <v>50</v>
      </c>
      <c r="E231" s="158">
        <v>46197</v>
      </c>
    </row>
    <row r="232" spans="1:5" ht="21" x14ac:dyDescent="0.25">
      <c r="A232" s="163" t="s">
        <v>1281</v>
      </c>
      <c r="C232" s="153" t="s">
        <v>388</v>
      </c>
      <c r="D232" s="156">
        <v>135</v>
      </c>
      <c r="E232" s="158">
        <v>46197</v>
      </c>
    </row>
    <row r="233" spans="1:5" ht="21" x14ac:dyDescent="0.25">
      <c r="A233" s="163" t="s">
        <v>1282</v>
      </c>
      <c r="C233" s="153" t="s">
        <v>386</v>
      </c>
      <c r="D233" s="156">
        <v>94</v>
      </c>
      <c r="E233" s="158">
        <v>46197</v>
      </c>
    </row>
    <row r="234" spans="1:5" ht="21" x14ac:dyDescent="0.25">
      <c r="A234" s="163" t="s">
        <v>1283</v>
      </c>
      <c r="C234" s="153" t="s">
        <v>384</v>
      </c>
      <c r="D234" s="156">
        <v>51</v>
      </c>
      <c r="E234" s="158">
        <v>46197</v>
      </c>
    </row>
    <row r="235" spans="1:5" ht="21" x14ac:dyDescent="0.25">
      <c r="A235" s="163" t="s">
        <v>1284</v>
      </c>
      <c r="C235" s="153" t="s">
        <v>380</v>
      </c>
      <c r="D235" s="156">
        <v>90</v>
      </c>
      <c r="E235" s="158">
        <v>46196</v>
      </c>
    </row>
    <row r="236" spans="1:5" ht="21" x14ac:dyDescent="0.25">
      <c r="A236" s="163" t="s">
        <v>1285</v>
      </c>
      <c r="C236" s="153" t="s">
        <v>378</v>
      </c>
      <c r="D236" s="156">
        <v>51</v>
      </c>
      <c r="E236" s="158">
        <v>46196</v>
      </c>
    </row>
    <row r="237" spans="1:5" ht="21" x14ac:dyDescent="0.25">
      <c r="A237" s="163" t="s">
        <v>1286</v>
      </c>
      <c r="C237" s="153" t="s">
        <v>376</v>
      </c>
      <c r="D237" s="156">
        <v>96</v>
      </c>
      <c r="E237" s="158">
        <v>46196</v>
      </c>
    </row>
    <row r="238" spans="1:5" ht="31.5" x14ac:dyDescent="0.25">
      <c r="A238" s="163" t="s">
        <v>1287</v>
      </c>
      <c r="C238" s="153" t="s">
        <v>374</v>
      </c>
      <c r="D238" s="156">
        <v>50</v>
      </c>
      <c r="E238" s="158">
        <v>46196</v>
      </c>
    </row>
    <row r="239" spans="1:5" ht="21" x14ac:dyDescent="0.25">
      <c r="A239" s="163" t="s">
        <v>1288</v>
      </c>
      <c r="C239" s="153" t="s">
        <v>372</v>
      </c>
      <c r="D239" s="156">
        <v>94</v>
      </c>
      <c r="E239" s="158">
        <v>46196</v>
      </c>
    </row>
    <row r="240" spans="1:5" ht="21" x14ac:dyDescent="0.25">
      <c r="A240" s="163" t="s">
        <v>1289</v>
      </c>
      <c r="C240" s="153" t="s">
        <v>370</v>
      </c>
      <c r="D240" s="156">
        <v>138</v>
      </c>
      <c r="E240" s="158">
        <v>46196</v>
      </c>
    </row>
    <row r="241" spans="1:5" ht="21" x14ac:dyDescent="0.25">
      <c r="A241" s="163" t="s">
        <v>1290</v>
      </c>
      <c r="C241" s="153" t="s">
        <v>368</v>
      </c>
      <c r="D241" s="156">
        <v>50</v>
      </c>
      <c r="E241" s="158">
        <v>46196</v>
      </c>
    </row>
    <row r="242" spans="1:5" ht="21" x14ac:dyDescent="0.25">
      <c r="A242" s="163" t="s">
        <v>1291</v>
      </c>
      <c r="C242" s="153" t="s">
        <v>366</v>
      </c>
      <c r="D242" s="156">
        <v>92</v>
      </c>
      <c r="E242" s="158">
        <v>46196</v>
      </c>
    </row>
    <row r="243" spans="1:5" ht="21" x14ac:dyDescent="0.25">
      <c r="A243" s="163" t="s">
        <v>1292</v>
      </c>
      <c r="C243" s="153" t="s">
        <v>364</v>
      </c>
      <c r="D243" s="156">
        <v>50</v>
      </c>
      <c r="E243" s="158">
        <v>46196</v>
      </c>
    </row>
    <row r="244" spans="1:5" ht="21" x14ac:dyDescent="0.25">
      <c r="A244" s="163" t="s">
        <v>1293</v>
      </c>
      <c r="C244" s="153" t="s">
        <v>362</v>
      </c>
      <c r="D244" s="156">
        <v>92</v>
      </c>
      <c r="E244" s="158">
        <v>46196</v>
      </c>
    </row>
    <row r="245" spans="1:5" ht="21" x14ac:dyDescent="0.25">
      <c r="A245" s="163" t="s">
        <v>1294</v>
      </c>
      <c r="C245" s="153" t="s">
        <v>360</v>
      </c>
      <c r="D245" s="156">
        <v>51</v>
      </c>
      <c r="E245" s="158">
        <v>46196</v>
      </c>
    </row>
    <row r="246" spans="1:5" ht="21" x14ac:dyDescent="0.25">
      <c r="A246" s="163" t="s">
        <v>1295</v>
      </c>
      <c r="C246" s="153" t="s">
        <v>358</v>
      </c>
      <c r="D246" s="156">
        <v>141</v>
      </c>
      <c r="E246" s="158">
        <v>46196</v>
      </c>
    </row>
    <row r="247" spans="1:5" ht="31.5" x14ac:dyDescent="0.25">
      <c r="A247" s="163" t="s">
        <v>1296</v>
      </c>
      <c r="C247" s="153" t="s">
        <v>356</v>
      </c>
      <c r="D247" s="156">
        <v>50</v>
      </c>
      <c r="E247" s="158">
        <v>46196</v>
      </c>
    </row>
    <row r="248" spans="1:5" ht="21" x14ac:dyDescent="0.25">
      <c r="A248" s="163" t="s">
        <v>1297</v>
      </c>
      <c r="C248" s="153" t="s">
        <v>425</v>
      </c>
      <c r="D248" s="156">
        <v>88</v>
      </c>
      <c r="E248" s="158">
        <v>46198</v>
      </c>
    </row>
    <row r="249" spans="1:5" ht="31.5" x14ac:dyDescent="0.25">
      <c r="A249" s="163" t="s">
        <v>1298</v>
      </c>
      <c r="C249" s="153" t="s">
        <v>354</v>
      </c>
      <c r="D249" s="156">
        <v>51</v>
      </c>
      <c r="E249" s="158">
        <v>46196</v>
      </c>
    </row>
    <row r="250" spans="1:5" ht="21" x14ac:dyDescent="0.25">
      <c r="A250" s="163" t="s">
        <v>1299</v>
      </c>
      <c r="C250" s="153" t="s">
        <v>352</v>
      </c>
      <c r="D250" s="156">
        <v>50</v>
      </c>
      <c r="E250" s="158">
        <v>46196</v>
      </c>
    </row>
    <row r="251" spans="1:5" ht="21" x14ac:dyDescent="0.25">
      <c r="A251" s="163" t="s">
        <v>1300</v>
      </c>
      <c r="C251" s="153" t="s">
        <v>350</v>
      </c>
      <c r="D251" s="156">
        <v>135</v>
      </c>
      <c r="E251" s="158">
        <v>46196</v>
      </c>
    </row>
    <row r="252" spans="1:5" ht="31.5" x14ac:dyDescent="0.25">
      <c r="A252" s="163" t="s">
        <v>1301</v>
      </c>
      <c r="C252" s="153" t="s">
        <v>348</v>
      </c>
      <c r="D252" s="156">
        <v>96</v>
      </c>
      <c r="E252" s="158">
        <v>46196</v>
      </c>
    </row>
    <row r="253" spans="1:5" ht="21" x14ac:dyDescent="0.25">
      <c r="A253" s="163" t="s">
        <v>1302</v>
      </c>
      <c r="C253" s="153" t="s">
        <v>346</v>
      </c>
      <c r="D253" s="156">
        <v>50</v>
      </c>
      <c r="E253" s="158">
        <v>46196</v>
      </c>
    </row>
    <row r="254" spans="1:5" ht="31.5" x14ac:dyDescent="0.25">
      <c r="A254" s="163" t="s">
        <v>1303</v>
      </c>
      <c r="C254" s="153" t="s">
        <v>344</v>
      </c>
      <c r="D254" s="156">
        <v>50</v>
      </c>
      <c r="E254" s="158">
        <v>46196</v>
      </c>
    </row>
    <row r="255" spans="1:5" ht="21" x14ac:dyDescent="0.25">
      <c r="A255" s="163" t="s">
        <v>1304</v>
      </c>
      <c r="C255" s="153" t="s">
        <v>342</v>
      </c>
      <c r="D255" s="156">
        <v>135</v>
      </c>
      <c r="E255" s="158">
        <v>46196</v>
      </c>
    </row>
    <row r="256" spans="1:5" ht="21" x14ac:dyDescent="0.25">
      <c r="A256" s="163" t="s">
        <v>1305</v>
      </c>
      <c r="C256" s="153" t="s">
        <v>340</v>
      </c>
      <c r="D256" s="156">
        <v>50</v>
      </c>
      <c r="E256" s="158">
        <v>46196</v>
      </c>
    </row>
    <row r="257" spans="1:5" ht="21" x14ac:dyDescent="0.25">
      <c r="A257" s="163" t="s">
        <v>1306</v>
      </c>
      <c r="C257" s="153" t="s">
        <v>338</v>
      </c>
      <c r="D257" s="156">
        <v>94</v>
      </c>
      <c r="E257" s="158">
        <v>46196</v>
      </c>
    </row>
    <row r="258" spans="1:5" ht="21" x14ac:dyDescent="0.25">
      <c r="A258" s="163" t="s">
        <v>1307</v>
      </c>
      <c r="C258" s="153" t="s">
        <v>336</v>
      </c>
      <c r="D258" s="156">
        <v>51</v>
      </c>
      <c r="E258" s="158">
        <v>46196</v>
      </c>
    </row>
    <row r="259" spans="1:5" x14ac:dyDescent="0.25">
      <c r="A259" s="163" t="s">
        <v>1308</v>
      </c>
      <c r="C259" s="153">
        <v>42315406</v>
      </c>
      <c r="D259" s="156">
        <v>50</v>
      </c>
      <c r="E259" s="158">
        <v>46196</v>
      </c>
    </row>
    <row r="260" spans="1:5" ht="42" x14ac:dyDescent="0.25">
      <c r="A260" s="163" t="s">
        <v>1309</v>
      </c>
      <c r="C260" s="153" t="s">
        <v>1310</v>
      </c>
      <c r="D260" s="156">
        <v>135</v>
      </c>
      <c r="E260" s="158">
        <v>46196</v>
      </c>
    </row>
    <row r="261" spans="1:5" ht="42" x14ac:dyDescent="0.25">
      <c r="A261" s="163" t="s">
        <v>1311</v>
      </c>
      <c r="C261" s="153" t="s">
        <v>1312</v>
      </c>
      <c r="D261" s="156">
        <v>96</v>
      </c>
      <c r="E261" s="158">
        <v>46196</v>
      </c>
    </row>
    <row r="262" spans="1:5" ht="42" x14ac:dyDescent="0.25">
      <c r="A262" s="163" t="s">
        <v>1313</v>
      </c>
      <c r="C262" s="153" t="s">
        <v>1314</v>
      </c>
      <c r="D262" s="156">
        <v>51</v>
      </c>
      <c r="E262" s="158">
        <v>46196</v>
      </c>
    </row>
    <row r="263" spans="1:5" ht="42" x14ac:dyDescent="0.25">
      <c r="A263" s="163" t="s">
        <v>1315</v>
      </c>
      <c r="C263" s="153" t="s">
        <v>1314</v>
      </c>
      <c r="D263" s="156">
        <v>50</v>
      </c>
      <c r="E263" s="158">
        <v>46195</v>
      </c>
    </row>
    <row r="264" spans="1:5" ht="42" x14ac:dyDescent="0.25">
      <c r="A264" s="163" t="s">
        <v>1316</v>
      </c>
      <c r="C264" s="153" t="s">
        <v>1317</v>
      </c>
      <c r="D264" s="156">
        <v>95.29</v>
      </c>
      <c r="E264" s="158">
        <v>46195</v>
      </c>
    </row>
    <row r="265" spans="1:5" ht="42" x14ac:dyDescent="0.25">
      <c r="A265" s="163" t="s">
        <v>1318</v>
      </c>
      <c r="C265" s="153" t="s">
        <v>1319</v>
      </c>
      <c r="D265" s="156">
        <v>50</v>
      </c>
      <c r="E265" s="158">
        <v>46195</v>
      </c>
    </row>
    <row r="266" spans="1:5" ht="42" x14ac:dyDescent="0.25">
      <c r="A266" s="163" t="s">
        <v>1320</v>
      </c>
      <c r="C266" s="153" t="s">
        <v>1321</v>
      </c>
      <c r="D266" s="156">
        <v>132</v>
      </c>
      <c r="E266" s="158">
        <v>46195</v>
      </c>
    </row>
    <row r="267" spans="1:5" ht="52.5" x14ac:dyDescent="0.25">
      <c r="A267" s="163" t="s">
        <v>1322</v>
      </c>
      <c r="C267" s="153" t="s">
        <v>1323</v>
      </c>
      <c r="D267" s="156">
        <v>98</v>
      </c>
      <c r="E267" s="158">
        <v>46195</v>
      </c>
    </row>
    <row r="268" spans="1:5" ht="42" x14ac:dyDescent="0.25">
      <c r="A268" s="163" t="s">
        <v>1324</v>
      </c>
      <c r="C268" s="153" t="s">
        <v>1325</v>
      </c>
      <c r="D268" s="156">
        <v>50</v>
      </c>
      <c r="E268" s="158">
        <v>46195</v>
      </c>
    </row>
    <row r="269" spans="1:5" ht="42" x14ac:dyDescent="0.25">
      <c r="A269" s="163" t="s">
        <v>1326</v>
      </c>
      <c r="C269" s="153" t="s">
        <v>1327</v>
      </c>
      <c r="D269" s="156">
        <v>135</v>
      </c>
      <c r="E269" s="158">
        <v>46195</v>
      </c>
    </row>
    <row r="270" spans="1:5" ht="52.5" x14ac:dyDescent="0.25">
      <c r="A270" s="163" t="s">
        <v>1328</v>
      </c>
      <c r="C270" s="153" t="s">
        <v>1329</v>
      </c>
      <c r="D270" s="156">
        <v>94</v>
      </c>
      <c r="E270" s="158">
        <v>46195</v>
      </c>
    </row>
    <row r="271" spans="1:5" ht="42" x14ac:dyDescent="0.25">
      <c r="A271" s="163" t="s">
        <v>1330</v>
      </c>
      <c r="C271" s="153" t="s">
        <v>1331</v>
      </c>
      <c r="D271" s="156">
        <v>51</v>
      </c>
      <c r="E271" s="158">
        <v>46195</v>
      </c>
    </row>
    <row r="272" spans="1:5" ht="21" x14ac:dyDescent="0.25">
      <c r="A272" s="163" t="s">
        <v>1332</v>
      </c>
      <c r="C272" s="153" t="s">
        <v>310</v>
      </c>
      <c r="D272" s="156">
        <v>95.29</v>
      </c>
      <c r="E272" s="158">
        <v>46195</v>
      </c>
    </row>
    <row r="273" spans="1:5" ht="21" x14ac:dyDescent="0.25">
      <c r="A273" s="163" t="s">
        <v>1333</v>
      </c>
      <c r="C273" s="153" t="s">
        <v>308</v>
      </c>
      <c r="D273" s="156">
        <v>135</v>
      </c>
      <c r="E273" s="158">
        <v>46195</v>
      </c>
    </row>
    <row r="274" spans="1:5" ht="21" x14ac:dyDescent="0.25">
      <c r="A274" s="163" t="s">
        <v>1334</v>
      </c>
      <c r="C274" s="153" t="s">
        <v>306</v>
      </c>
      <c r="D274" s="156">
        <v>50</v>
      </c>
      <c r="E274" s="158">
        <v>46195</v>
      </c>
    </row>
    <row r="275" spans="1:5" ht="42" x14ac:dyDescent="0.25">
      <c r="A275" s="163" t="s">
        <v>1335</v>
      </c>
      <c r="C275" s="153" t="s">
        <v>1336</v>
      </c>
      <c r="D275" s="156">
        <v>92</v>
      </c>
      <c r="E275" s="158">
        <v>46195</v>
      </c>
    </row>
    <row r="276" spans="1:5" ht="21" x14ac:dyDescent="0.25">
      <c r="A276" s="163" t="s">
        <v>1337</v>
      </c>
      <c r="C276" s="153" t="s">
        <v>982</v>
      </c>
      <c r="D276" s="156">
        <v>51</v>
      </c>
      <c r="E276" s="158">
        <v>46195</v>
      </c>
    </row>
    <row r="277" spans="1:5" ht="42" x14ac:dyDescent="0.25">
      <c r="A277" s="163" t="s">
        <v>1338</v>
      </c>
      <c r="C277" s="153" t="s">
        <v>1159</v>
      </c>
      <c r="D277" s="156">
        <v>220</v>
      </c>
      <c r="E277" s="158">
        <v>46195</v>
      </c>
    </row>
    <row r="278" spans="1:5" ht="52.5" x14ac:dyDescent="0.25">
      <c r="A278" s="163" t="s">
        <v>1339</v>
      </c>
      <c r="C278" s="153" t="s">
        <v>1340</v>
      </c>
      <c r="D278" s="156">
        <v>100</v>
      </c>
      <c r="E278" s="158">
        <v>46195</v>
      </c>
    </row>
    <row r="279" spans="1:5" ht="42" x14ac:dyDescent="0.25">
      <c r="A279" s="163" t="s">
        <v>1341</v>
      </c>
      <c r="C279" s="153" t="s">
        <v>1342</v>
      </c>
      <c r="D279" s="156">
        <v>50</v>
      </c>
      <c r="E279" s="158">
        <v>46195</v>
      </c>
    </row>
    <row r="280" spans="1:5" ht="42" x14ac:dyDescent="0.25">
      <c r="A280" s="163" t="s">
        <v>1343</v>
      </c>
      <c r="C280" s="153" t="s">
        <v>1165</v>
      </c>
      <c r="D280" s="156">
        <v>138</v>
      </c>
      <c r="E280" s="158">
        <v>46195</v>
      </c>
    </row>
    <row r="281" spans="1:5" ht="21" x14ac:dyDescent="0.25">
      <c r="A281" s="163" t="s">
        <v>1344</v>
      </c>
      <c r="C281" s="153" t="s">
        <v>293</v>
      </c>
      <c r="D281" s="156">
        <v>94</v>
      </c>
      <c r="E281" s="158">
        <v>46195</v>
      </c>
    </row>
    <row r="282" spans="1:5" ht="42" x14ac:dyDescent="0.25">
      <c r="A282" s="163" t="s">
        <v>1345</v>
      </c>
      <c r="C282" s="153" t="s">
        <v>1346</v>
      </c>
      <c r="D282" s="156">
        <v>51</v>
      </c>
      <c r="E282" s="158">
        <v>46195</v>
      </c>
    </row>
    <row r="283" spans="1:5" ht="21" x14ac:dyDescent="0.25">
      <c r="A283" s="163" t="s">
        <v>1347</v>
      </c>
      <c r="C283" s="153" t="s">
        <v>289</v>
      </c>
      <c r="D283" s="156">
        <v>132</v>
      </c>
      <c r="E283" s="158">
        <v>46194</v>
      </c>
    </row>
    <row r="284" spans="1:5" x14ac:dyDescent="0.25">
      <c r="A284" s="163" t="s">
        <v>1348</v>
      </c>
      <c r="C284" s="153">
        <v>19975629</v>
      </c>
      <c r="D284" s="156">
        <v>94</v>
      </c>
      <c r="E284" s="158">
        <v>46194</v>
      </c>
    </row>
    <row r="285" spans="1:5" ht="31.5" x14ac:dyDescent="0.25">
      <c r="A285" s="163" t="s">
        <v>1349</v>
      </c>
      <c r="C285" s="153" t="s">
        <v>1067</v>
      </c>
      <c r="D285" s="156">
        <v>51</v>
      </c>
      <c r="E285" s="158">
        <v>46194</v>
      </c>
    </row>
    <row r="286" spans="1:5" ht="42" x14ac:dyDescent="0.25">
      <c r="A286" s="163" t="s">
        <v>1350</v>
      </c>
      <c r="C286" s="153" t="s">
        <v>1003</v>
      </c>
      <c r="D286" s="156">
        <v>430</v>
      </c>
      <c r="E286" s="158">
        <v>46194</v>
      </c>
    </row>
    <row r="287" spans="1:5" ht="21" x14ac:dyDescent="0.25">
      <c r="A287" s="163" t="s">
        <v>1351</v>
      </c>
      <c r="C287" s="153" t="s">
        <v>283</v>
      </c>
      <c r="D287" s="156">
        <v>50</v>
      </c>
      <c r="E287" s="158">
        <v>46194</v>
      </c>
    </row>
    <row r="288" spans="1:5" ht="21" x14ac:dyDescent="0.25">
      <c r="A288" s="163" t="s">
        <v>1352</v>
      </c>
      <c r="C288" s="153" t="s">
        <v>281</v>
      </c>
      <c r="D288" s="156">
        <v>50</v>
      </c>
      <c r="E288" s="158">
        <v>46194</v>
      </c>
    </row>
    <row r="289" spans="1:5" ht="21" x14ac:dyDescent="0.25">
      <c r="A289" s="163" t="s">
        <v>1353</v>
      </c>
      <c r="C289" s="153" t="s">
        <v>279</v>
      </c>
      <c r="D289" s="156">
        <v>135</v>
      </c>
      <c r="E289" s="158">
        <v>46194</v>
      </c>
    </row>
    <row r="290" spans="1:5" ht="21" x14ac:dyDescent="0.25">
      <c r="A290" s="163" t="s">
        <v>1354</v>
      </c>
      <c r="C290" s="153" t="s">
        <v>277</v>
      </c>
      <c r="D290" s="156">
        <v>94</v>
      </c>
      <c r="E290" s="158">
        <v>46194</v>
      </c>
    </row>
    <row r="291" spans="1:5" ht="21" x14ac:dyDescent="0.25">
      <c r="A291" s="163" t="s">
        <v>1355</v>
      </c>
      <c r="C291" s="153" t="s">
        <v>275</v>
      </c>
      <c r="D291" s="156">
        <v>50</v>
      </c>
      <c r="E291" s="158">
        <v>46194</v>
      </c>
    </row>
    <row r="292" spans="1:5" ht="21" x14ac:dyDescent="0.25">
      <c r="A292" s="163" t="s">
        <v>1356</v>
      </c>
      <c r="C292" s="153" t="s">
        <v>273</v>
      </c>
      <c r="D292" s="156">
        <v>215</v>
      </c>
      <c r="E292" s="158">
        <v>46194</v>
      </c>
    </row>
    <row r="293" spans="1:5" ht="21" x14ac:dyDescent="0.25">
      <c r="A293" s="163" t="s">
        <v>1357</v>
      </c>
      <c r="C293" s="153" t="s">
        <v>1358</v>
      </c>
      <c r="D293" s="156">
        <v>51</v>
      </c>
      <c r="E293" s="158">
        <v>46194</v>
      </c>
    </row>
    <row r="294" spans="1:5" ht="21" x14ac:dyDescent="0.25">
      <c r="A294" s="163" t="s">
        <v>1359</v>
      </c>
      <c r="C294" s="153" t="s">
        <v>269</v>
      </c>
      <c r="D294" s="156">
        <v>176</v>
      </c>
      <c r="E294" s="158">
        <v>46194</v>
      </c>
    </row>
    <row r="295" spans="1:5" ht="21" x14ac:dyDescent="0.25">
      <c r="A295" s="163" t="s">
        <v>1360</v>
      </c>
      <c r="C295" s="153" t="s">
        <v>267</v>
      </c>
      <c r="D295" s="156">
        <v>50</v>
      </c>
      <c r="E295" s="158">
        <v>46194</v>
      </c>
    </row>
    <row r="296" spans="1:5" ht="21" x14ac:dyDescent="0.25">
      <c r="A296" s="163" t="s">
        <v>1361</v>
      </c>
      <c r="C296" s="153" t="s">
        <v>265</v>
      </c>
      <c r="D296" s="156">
        <v>90</v>
      </c>
      <c r="E296" s="158">
        <v>46194</v>
      </c>
    </row>
    <row r="297" spans="1:5" ht="21" x14ac:dyDescent="0.25">
      <c r="A297" s="163" t="s">
        <v>1362</v>
      </c>
      <c r="C297" s="153" t="s">
        <v>263</v>
      </c>
      <c r="D297" s="156">
        <v>94</v>
      </c>
      <c r="E297" s="158">
        <v>46194</v>
      </c>
    </row>
    <row r="298" spans="1:5" ht="21" x14ac:dyDescent="0.25">
      <c r="A298" s="163" t="s">
        <v>1363</v>
      </c>
      <c r="C298" s="153" t="s">
        <v>261</v>
      </c>
      <c r="D298" s="156">
        <v>51</v>
      </c>
      <c r="E298" s="158">
        <v>46194</v>
      </c>
    </row>
    <row r="299" spans="1:5" ht="31.5" x14ac:dyDescent="0.25">
      <c r="A299" s="163" t="s">
        <v>1364</v>
      </c>
      <c r="C299" s="153" t="s">
        <v>242</v>
      </c>
      <c r="D299" s="156">
        <v>215</v>
      </c>
      <c r="E299" s="158">
        <v>46194</v>
      </c>
    </row>
    <row r="300" spans="1:5" ht="21" x14ac:dyDescent="0.25">
      <c r="A300" s="163" t="s">
        <v>1365</v>
      </c>
      <c r="C300" s="153" t="s">
        <v>258</v>
      </c>
      <c r="D300" s="156">
        <v>144</v>
      </c>
      <c r="E300" s="158">
        <v>46194</v>
      </c>
    </row>
    <row r="301" spans="1:5" ht="21" x14ac:dyDescent="0.25">
      <c r="A301" s="163" t="s">
        <v>1366</v>
      </c>
      <c r="C301" s="153" t="s">
        <v>256</v>
      </c>
      <c r="D301" s="156">
        <v>98</v>
      </c>
      <c r="E301" s="158">
        <v>46194</v>
      </c>
    </row>
    <row r="302" spans="1:5" ht="21" x14ac:dyDescent="0.25">
      <c r="A302" s="163" t="s">
        <v>1367</v>
      </c>
      <c r="C302" s="153" t="s">
        <v>254</v>
      </c>
      <c r="D302" s="156">
        <v>51</v>
      </c>
      <c r="E302" s="158">
        <v>46194</v>
      </c>
    </row>
    <row r="303" spans="1:5" ht="21" x14ac:dyDescent="0.25">
      <c r="A303" s="163" t="s">
        <v>1368</v>
      </c>
      <c r="C303" s="153" t="s">
        <v>252</v>
      </c>
      <c r="D303" s="156">
        <v>132</v>
      </c>
      <c r="E303" s="158">
        <v>46193</v>
      </c>
    </row>
    <row r="304" spans="1:5" ht="31.5" x14ac:dyDescent="0.25">
      <c r="A304" s="163" t="s">
        <v>1369</v>
      </c>
      <c r="C304" s="153" t="s">
        <v>250</v>
      </c>
      <c r="D304" s="156">
        <v>180</v>
      </c>
      <c r="E304" s="158">
        <v>46193</v>
      </c>
    </row>
    <row r="305" spans="1:5" ht="31.5" x14ac:dyDescent="0.25">
      <c r="A305" s="163" t="s">
        <v>1370</v>
      </c>
      <c r="C305" s="153" t="s">
        <v>248</v>
      </c>
      <c r="D305" s="156">
        <v>92</v>
      </c>
      <c r="E305" s="158">
        <v>46193</v>
      </c>
    </row>
    <row r="306" spans="1:5" ht="21" x14ac:dyDescent="0.25">
      <c r="A306" s="163" t="s">
        <v>1371</v>
      </c>
      <c r="C306" s="153" t="s">
        <v>246</v>
      </c>
      <c r="D306" s="156">
        <v>132</v>
      </c>
      <c r="E306" s="158">
        <v>46193</v>
      </c>
    </row>
    <row r="307" spans="1:5" ht="21" x14ac:dyDescent="0.25">
      <c r="A307" s="163" t="s">
        <v>1372</v>
      </c>
      <c r="C307" s="153" t="s">
        <v>244</v>
      </c>
      <c r="D307" s="156">
        <v>50</v>
      </c>
      <c r="E307" s="158">
        <v>46193</v>
      </c>
    </row>
    <row r="308" spans="1:5" ht="31.5" x14ac:dyDescent="0.25">
      <c r="A308" s="163" t="s">
        <v>1373</v>
      </c>
      <c r="C308" s="153" t="s">
        <v>242</v>
      </c>
      <c r="D308" s="156">
        <v>94</v>
      </c>
      <c r="E308" s="158">
        <v>46193</v>
      </c>
    </row>
    <row r="309" spans="1:5" ht="31.5" x14ac:dyDescent="0.25">
      <c r="A309" s="163" t="s">
        <v>1374</v>
      </c>
      <c r="C309" s="153" t="s">
        <v>240</v>
      </c>
      <c r="D309" s="156">
        <v>220</v>
      </c>
      <c r="E309" s="158">
        <v>46193</v>
      </c>
    </row>
    <row r="310" spans="1:5" ht="42" x14ac:dyDescent="0.25">
      <c r="A310" s="163" t="s">
        <v>1375</v>
      </c>
      <c r="C310" s="153" t="s">
        <v>1003</v>
      </c>
      <c r="D310" s="156">
        <v>50</v>
      </c>
      <c r="E310" s="158">
        <v>46193</v>
      </c>
    </row>
    <row r="311" spans="1:5" ht="21" x14ac:dyDescent="0.25">
      <c r="A311" s="163" t="s">
        <v>1376</v>
      </c>
      <c r="C311" s="153" t="s">
        <v>236</v>
      </c>
      <c r="D311" s="156">
        <v>141</v>
      </c>
      <c r="E311" s="158">
        <v>46193</v>
      </c>
    </row>
    <row r="312" spans="1:5" ht="21" x14ac:dyDescent="0.25">
      <c r="A312" s="163" t="s">
        <v>1377</v>
      </c>
      <c r="C312" s="153" t="s">
        <v>234</v>
      </c>
      <c r="D312" s="156">
        <v>51</v>
      </c>
      <c r="E312" s="158">
        <v>46193</v>
      </c>
    </row>
    <row r="313" spans="1:5" ht="42" x14ac:dyDescent="0.25">
      <c r="A313" s="163" t="s">
        <v>1378</v>
      </c>
      <c r="C313" s="153" t="s">
        <v>1379</v>
      </c>
      <c r="D313" s="156">
        <v>92</v>
      </c>
      <c r="E313" s="158">
        <v>46193</v>
      </c>
    </row>
    <row r="314" spans="1:5" ht="31.5" x14ac:dyDescent="0.25">
      <c r="A314" s="163" t="s">
        <v>1380</v>
      </c>
      <c r="C314" s="153" t="s">
        <v>230</v>
      </c>
      <c r="D314" s="156">
        <v>51</v>
      </c>
      <c r="E314" s="158">
        <v>46193</v>
      </c>
    </row>
    <row r="315" spans="1:5" ht="42" x14ac:dyDescent="0.25">
      <c r="A315" s="163" t="s">
        <v>1381</v>
      </c>
      <c r="C315" s="153" t="s">
        <v>1382</v>
      </c>
      <c r="D315" s="156">
        <v>135</v>
      </c>
      <c r="E315" s="158">
        <v>46193</v>
      </c>
    </row>
    <row r="316" spans="1:5" ht="42" x14ac:dyDescent="0.25">
      <c r="A316" s="163" t="s">
        <v>1383</v>
      </c>
      <c r="C316" s="153" t="s">
        <v>1384</v>
      </c>
      <c r="D316" s="156">
        <v>88</v>
      </c>
      <c r="E316" s="158">
        <v>46193</v>
      </c>
    </row>
    <row r="317" spans="1:5" ht="42" x14ac:dyDescent="0.25">
      <c r="A317" s="163" t="s">
        <v>1385</v>
      </c>
      <c r="C317" s="153" t="s">
        <v>1386</v>
      </c>
      <c r="D317" s="156">
        <v>43</v>
      </c>
      <c r="E317" s="158">
        <v>46193</v>
      </c>
    </row>
    <row r="318" spans="1:5" ht="31.5" x14ac:dyDescent="0.25">
      <c r="A318" s="163" t="s">
        <v>1387</v>
      </c>
      <c r="C318" s="153" t="s">
        <v>222</v>
      </c>
      <c r="D318" s="156">
        <v>50</v>
      </c>
      <c r="E318" s="158">
        <v>46190</v>
      </c>
    </row>
    <row r="319" spans="1:5" ht="21" x14ac:dyDescent="0.25">
      <c r="A319" s="163" t="s">
        <v>1388</v>
      </c>
      <c r="C319" s="153" t="s">
        <v>220</v>
      </c>
      <c r="D319" s="156">
        <v>135</v>
      </c>
      <c r="E319" s="158">
        <v>46190</v>
      </c>
    </row>
    <row r="320" spans="1:5" ht="21" x14ac:dyDescent="0.25">
      <c r="A320" s="163" t="s">
        <v>1389</v>
      </c>
      <c r="C320" s="153" t="s">
        <v>218</v>
      </c>
      <c r="D320" s="156">
        <v>96</v>
      </c>
      <c r="E320" s="158">
        <v>46190</v>
      </c>
    </row>
    <row r="321" spans="1:5" ht="31.5" x14ac:dyDescent="0.25">
      <c r="A321" s="163" t="s">
        <v>1390</v>
      </c>
      <c r="C321" s="153" t="s">
        <v>216</v>
      </c>
      <c r="D321" s="156">
        <v>51</v>
      </c>
      <c r="E321" s="158">
        <v>46190</v>
      </c>
    </row>
    <row r="322" spans="1:5" ht="21" x14ac:dyDescent="0.25">
      <c r="A322" s="163" t="s">
        <v>1391</v>
      </c>
      <c r="C322" s="153" t="s">
        <v>214</v>
      </c>
      <c r="D322" s="156">
        <v>220</v>
      </c>
      <c r="E322" s="158">
        <v>46190</v>
      </c>
    </row>
    <row r="323" spans="1:5" ht="31.5" x14ac:dyDescent="0.25">
      <c r="A323" s="163" t="s">
        <v>1392</v>
      </c>
      <c r="C323" s="153" t="s">
        <v>212</v>
      </c>
      <c r="D323" s="156">
        <v>50</v>
      </c>
      <c r="E323" s="158">
        <v>46190</v>
      </c>
    </row>
    <row r="324" spans="1:5" ht="21" x14ac:dyDescent="0.25">
      <c r="A324" s="163" t="s">
        <v>1393</v>
      </c>
      <c r="C324" s="153" t="s">
        <v>210</v>
      </c>
      <c r="D324" s="156">
        <v>135</v>
      </c>
      <c r="E324" s="158">
        <v>46190</v>
      </c>
    </row>
    <row r="325" spans="1:5" ht="21" x14ac:dyDescent="0.25">
      <c r="A325" s="163" t="s">
        <v>1394</v>
      </c>
      <c r="C325" s="153" t="s">
        <v>208</v>
      </c>
      <c r="D325" s="156">
        <v>96</v>
      </c>
      <c r="E325" s="158">
        <v>46190</v>
      </c>
    </row>
    <row r="326" spans="1:5" ht="21" x14ac:dyDescent="0.25">
      <c r="A326" s="163" t="s">
        <v>1395</v>
      </c>
      <c r="C326" s="153" t="s">
        <v>206</v>
      </c>
      <c r="D326" s="156">
        <v>51</v>
      </c>
      <c r="E326" s="158">
        <v>46190</v>
      </c>
    </row>
    <row r="327" spans="1:5" ht="31.5" x14ac:dyDescent="0.25">
      <c r="A327" s="163" t="s">
        <v>1396</v>
      </c>
      <c r="C327" s="153" t="s">
        <v>204</v>
      </c>
      <c r="D327" s="156">
        <v>172</v>
      </c>
      <c r="E327" s="158">
        <v>46190</v>
      </c>
    </row>
    <row r="328" spans="1:5" ht="31.5" x14ac:dyDescent="0.25">
      <c r="A328" s="163" t="s">
        <v>1397</v>
      </c>
      <c r="C328" s="153" t="s">
        <v>202</v>
      </c>
      <c r="D328" s="156">
        <v>135</v>
      </c>
      <c r="E328" s="158">
        <v>46190</v>
      </c>
    </row>
    <row r="329" spans="1:5" ht="21" x14ac:dyDescent="0.25">
      <c r="A329" s="163" t="s">
        <v>1398</v>
      </c>
      <c r="C329" s="153" t="s">
        <v>200</v>
      </c>
      <c r="D329" s="156">
        <v>98</v>
      </c>
      <c r="E329" s="158">
        <v>46190</v>
      </c>
    </row>
    <row r="330" spans="1:5" ht="21" x14ac:dyDescent="0.25">
      <c r="A330" s="163" t="s">
        <v>1399</v>
      </c>
      <c r="C330" s="153" t="s">
        <v>198</v>
      </c>
      <c r="D330" s="156">
        <v>51</v>
      </c>
      <c r="E330" s="158">
        <v>46190</v>
      </c>
    </row>
    <row r="331" spans="1:5" ht="21" x14ac:dyDescent="0.25">
      <c r="A331" s="163" t="s">
        <v>1400</v>
      </c>
      <c r="C331" s="153" t="s">
        <v>196</v>
      </c>
      <c r="D331" s="156">
        <v>94</v>
      </c>
      <c r="E331" s="158">
        <v>46190</v>
      </c>
    </row>
    <row r="332" spans="1:5" ht="21" x14ac:dyDescent="0.25">
      <c r="A332" s="163" t="s">
        <v>1401</v>
      </c>
      <c r="C332" s="153" t="s">
        <v>194</v>
      </c>
      <c r="D332" s="156">
        <v>180</v>
      </c>
      <c r="E332" s="158">
        <v>46190</v>
      </c>
    </row>
    <row r="333" spans="1:5" ht="31.5" x14ac:dyDescent="0.25">
      <c r="A333" s="163" t="s">
        <v>1402</v>
      </c>
      <c r="C333" s="153" t="s">
        <v>192</v>
      </c>
      <c r="D333" s="156">
        <v>51</v>
      </c>
      <c r="E333" s="158">
        <v>46190</v>
      </c>
    </row>
    <row r="334" spans="1:5" ht="21" x14ac:dyDescent="0.25">
      <c r="A334" s="163" t="s">
        <v>1403</v>
      </c>
      <c r="C334" s="153" t="s">
        <v>190</v>
      </c>
      <c r="D334" s="156">
        <v>220</v>
      </c>
      <c r="E334" s="158">
        <v>46190</v>
      </c>
    </row>
    <row r="335" spans="1:5" ht="21" x14ac:dyDescent="0.25">
      <c r="A335" s="163" t="s">
        <v>1404</v>
      </c>
      <c r="C335" s="153" t="s">
        <v>1405</v>
      </c>
      <c r="D335" s="156">
        <v>50</v>
      </c>
      <c r="E335" s="158">
        <v>46190</v>
      </c>
    </row>
    <row r="336" spans="1:5" ht="21" x14ac:dyDescent="0.25">
      <c r="A336" s="163" t="s">
        <v>1406</v>
      </c>
      <c r="C336" s="153" t="s">
        <v>186</v>
      </c>
      <c r="D336" s="156">
        <v>135</v>
      </c>
      <c r="E336" s="158">
        <v>46190</v>
      </c>
    </row>
    <row r="337" spans="1:5" ht="31.5" x14ac:dyDescent="0.25">
      <c r="A337" s="163" t="s">
        <v>1407</v>
      </c>
      <c r="C337" s="153" t="s">
        <v>184</v>
      </c>
      <c r="D337" s="156">
        <v>94</v>
      </c>
      <c r="E337" s="158">
        <v>46190</v>
      </c>
    </row>
    <row r="338" spans="1:5" ht="21" x14ac:dyDescent="0.25">
      <c r="A338" s="163" t="s">
        <v>1408</v>
      </c>
      <c r="C338" s="153" t="s">
        <v>182</v>
      </c>
      <c r="D338" s="156">
        <v>51</v>
      </c>
      <c r="E338" s="158">
        <v>46190</v>
      </c>
    </row>
    <row r="339" spans="1:5" ht="31.5" x14ac:dyDescent="0.25">
      <c r="A339" s="163" t="s">
        <v>1409</v>
      </c>
      <c r="C339" s="153" t="s">
        <v>179</v>
      </c>
      <c r="D339" s="156">
        <v>96</v>
      </c>
      <c r="E339" s="158">
        <v>46189</v>
      </c>
    </row>
    <row r="340" spans="1:5" ht="21" x14ac:dyDescent="0.25">
      <c r="A340" s="163" t="s">
        <v>1410</v>
      </c>
      <c r="C340" s="153" t="s">
        <v>177</v>
      </c>
      <c r="D340" s="156">
        <v>51</v>
      </c>
      <c r="E340" s="158">
        <v>46189</v>
      </c>
    </row>
    <row r="341" spans="1:5" ht="21" x14ac:dyDescent="0.25">
      <c r="A341" s="163" t="s">
        <v>1411</v>
      </c>
      <c r="C341" s="153" t="s">
        <v>175</v>
      </c>
      <c r="D341" s="156">
        <v>50</v>
      </c>
      <c r="E341" s="158">
        <v>46189</v>
      </c>
    </row>
    <row r="342" spans="1:5" x14ac:dyDescent="0.25">
      <c r="A342" s="163" t="s">
        <v>1412</v>
      </c>
      <c r="C342" s="153">
        <v>41372681</v>
      </c>
      <c r="D342" s="156">
        <v>430</v>
      </c>
      <c r="E342" s="158">
        <v>46189</v>
      </c>
    </row>
    <row r="343" spans="1:5" ht="21" x14ac:dyDescent="0.25">
      <c r="A343" s="163" t="s">
        <v>1413</v>
      </c>
      <c r="C343" s="153" t="s">
        <v>172</v>
      </c>
      <c r="D343" s="156">
        <v>92</v>
      </c>
      <c r="E343" s="158">
        <v>46189</v>
      </c>
    </row>
    <row r="344" spans="1:5" ht="21" x14ac:dyDescent="0.25">
      <c r="A344" s="163" t="s">
        <v>1414</v>
      </c>
      <c r="C344" s="153" t="s">
        <v>170</v>
      </c>
      <c r="D344" s="156">
        <v>50</v>
      </c>
      <c r="E344" s="158">
        <v>46189</v>
      </c>
    </row>
    <row r="345" spans="1:5" ht="31.5" x14ac:dyDescent="0.25">
      <c r="A345" s="163" t="s">
        <v>1415</v>
      </c>
      <c r="C345" s="153" t="s">
        <v>168</v>
      </c>
      <c r="D345" s="156">
        <v>135</v>
      </c>
      <c r="E345" s="158">
        <v>46189</v>
      </c>
    </row>
    <row r="346" spans="1:5" ht="21" x14ac:dyDescent="0.25">
      <c r="A346" s="163" t="s">
        <v>1416</v>
      </c>
      <c r="C346" s="153" t="s">
        <v>166</v>
      </c>
      <c r="D346" s="156">
        <v>90</v>
      </c>
      <c r="E346" s="158">
        <v>46189</v>
      </c>
    </row>
    <row r="347" spans="1:5" ht="21" x14ac:dyDescent="0.25">
      <c r="A347" s="163" t="s">
        <v>1417</v>
      </c>
      <c r="C347" s="153" t="s">
        <v>164</v>
      </c>
      <c r="D347" s="156">
        <v>51</v>
      </c>
      <c r="E347" s="158">
        <v>46189</v>
      </c>
    </row>
    <row r="348" spans="1:5" ht="21" x14ac:dyDescent="0.25">
      <c r="A348" s="163" t="s">
        <v>1418</v>
      </c>
      <c r="C348" s="153" t="s">
        <v>143</v>
      </c>
      <c r="D348" s="156">
        <v>52</v>
      </c>
      <c r="E348" s="158">
        <v>46190</v>
      </c>
    </row>
    <row r="349" spans="1:5" ht="21" x14ac:dyDescent="0.25">
      <c r="A349" s="163" t="s">
        <v>1419</v>
      </c>
      <c r="C349" s="153" t="s">
        <v>143</v>
      </c>
      <c r="D349" s="156">
        <v>96</v>
      </c>
      <c r="E349" s="158">
        <v>46174</v>
      </c>
    </row>
    <row r="350" spans="1:5" ht="21" x14ac:dyDescent="0.25">
      <c r="A350" s="163" t="s">
        <v>1420</v>
      </c>
      <c r="C350" s="153" t="s">
        <v>156</v>
      </c>
      <c r="D350" s="156">
        <v>440</v>
      </c>
      <c r="E350" s="158">
        <v>46174</v>
      </c>
    </row>
    <row r="351" spans="1:5" ht="21" x14ac:dyDescent="0.25">
      <c r="A351" s="163" t="s">
        <v>1421</v>
      </c>
      <c r="C351" s="153" t="s">
        <v>143</v>
      </c>
      <c r="D351" s="156">
        <v>50</v>
      </c>
      <c r="E351" s="158">
        <v>46174</v>
      </c>
    </row>
    <row r="352" spans="1:5" ht="21" x14ac:dyDescent="0.25">
      <c r="A352" s="163" t="s">
        <v>1422</v>
      </c>
      <c r="C352" s="153" t="s">
        <v>143</v>
      </c>
      <c r="D352" s="156">
        <v>96</v>
      </c>
      <c r="E352" s="158">
        <v>46174</v>
      </c>
    </row>
    <row r="353" spans="1:6" ht="21" x14ac:dyDescent="0.25">
      <c r="A353" s="163" t="s">
        <v>1423</v>
      </c>
      <c r="C353" s="153" t="s">
        <v>152</v>
      </c>
      <c r="D353" s="156">
        <v>50</v>
      </c>
      <c r="E353" s="158">
        <v>46174</v>
      </c>
    </row>
    <row r="354" spans="1:6" ht="21" x14ac:dyDescent="0.25">
      <c r="A354" s="163" t="s">
        <v>1424</v>
      </c>
      <c r="C354" s="153" t="s">
        <v>150</v>
      </c>
      <c r="D354" s="156">
        <v>50</v>
      </c>
      <c r="E354" s="158">
        <v>46174</v>
      </c>
    </row>
    <row r="355" spans="1:6" ht="42" x14ac:dyDescent="0.25">
      <c r="A355" s="163" t="s">
        <v>1425</v>
      </c>
      <c r="C355" s="153" t="s">
        <v>1426</v>
      </c>
      <c r="D355" s="156">
        <v>138</v>
      </c>
      <c r="E355" s="158">
        <v>46174</v>
      </c>
    </row>
    <row r="356" spans="1:6" ht="21" x14ac:dyDescent="0.25">
      <c r="A356" s="163" t="s">
        <v>1427</v>
      </c>
      <c r="C356" s="153" t="s">
        <v>143</v>
      </c>
      <c r="D356" s="156">
        <v>98</v>
      </c>
      <c r="E356" s="158">
        <v>46174</v>
      </c>
    </row>
    <row r="357" spans="1:6" ht="52.5" x14ac:dyDescent="0.25">
      <c r="A357" s="163" t="s">
        <v>1428</v>
      </c>
      <c r="C357" s="153" t="s">
        <v>1340</v>
      </c>
      <c r="D357" s="156">
        <v>51</v>
      </c>
      <c r="E357" s="158">
        <v>46174</v>
      </c>
    </row>
    <row r="358" spans="1:6" ht="21.75" thickBot="1" x14ac:dyDescent="0.3">
      <c r="A358" s="164" t="s">
        <v>1429</v>
      </c>
      <c r="C358" s="165" t="s">
        <v>143</v>
      </c>
      <c r="D358" s="166">
        <v>52</v>
      </c>
      <c r="E358" s="167">
        <v>46174</v>
      </c>
    </row>
    <row r="359" spans="1:6" ht="60" x14ac:dyDescent="0.25">
      <c r="A359" s="168" t="s">
        <v>1430</v>
      </c>
      <c r="C359" s="169" t="s">
        <v>1431</v>
      </c>
      <c r="D359" s="170">
        <v>138</v>
      </c>
      <c r="E359" s="171">
        <v>46202</v>
      </c>
      <c r="F359" s="172"/>
    </row>
    <row r="360" spans="1:6" ht="105" x14ac:dyDescent="0.25">
      <c r="A360" s="173" t="s">
        <v>1432</v>
      </c>
      <c r="C360" s="152" t="s">
        <v>1433</v>
      </c>
      <c r="D360" s="155">
        <v>420</v>
      </c>
      <c r="E360" s="157">
        <v>46200</v>
      </c>
      <c r="F360" s="174"/>
    </row>
    <row r="361" spans="1:6" ht="75" x14ac:dyDescent="0.25">
      <c r="A361" s="173" t="s">
        <v>1434</v>
      </c>
      <c r="C361" s="152" t="s">
        <v>1435</v>
      </c>
      <c r="D361" s="155">
        <v>1260</v>
      </c>
      <c r="E361" s="157">
        <v>46202</v>
      </c>
      <c r="F361" s="174"/>
    </row>
    <row r="362" spans="1:6" ht="75" x14ac:dyDescent="0.25">
      <c r="A362" s="173" t="s">
        <v>1436</v>
      </c>
      <c r="C362" s="152" t="s">
        <v>1435</v>
      </c>
      <c r="D362" s="155">
        <v>1260</v>
      </c>
      <c r="E362" s="157">
        <v>46201</v>
      </c>
      <c r="F362" s="174"/>
    </row>
    <row r="363" spans="1:6" ht="75" x14ac:dyDescent="0.25">
      <c r="A363" s="173" t="s">
        <v>1437</v>
      </c>
      <c r="C363" s="152" t="s">
        <v>1435</v>
      </c>
      <c r="D363" s="155">
        <v>1260</v>
      </c>
      <c r="E363" s="157">
        <v>46201</v>
      </c>
      <c r="F363" s="174"/>
    </row>
    <row r="364" spans="1:6" ht="75" x14ac:dyDescent="0.25">
      <c r="A364" s="173" t="s">
        <v>1438</v>
      </c>
      <c r="C364" s="152" t="s">
        <v>1439</v>
      </c>
      <c r="D364" s="155">
        <v>52</v>
      </c>
      <c r="E364" s="157">
        <v>46197</v>
      </c>
      <c r="F364" s="174"/>
    </row>
    <row r="365" spans="1:6" ht="60" x14ac:dyDescent="0.25">
      <c r="A365" s="173" t="s">
        <v>1440</v>
      </c>
      <c r="C365" s="152" t="s">
        <v>1431</v>
      </c>
      <c r="D365" s="155">
        <v>184</v>
      </c>
      <c r="E365" s="157">
        <v>46187</v>
      </c>
      <c r="F365" s="174"/>
    </row>
    <row r="366" spans="1:6" ht="180.75" thickBot="1" x14ac:dyDescent="0.3">
      <c r="A366" s="175" t="s">
        <v>1441</v>
      </c>
      <c r="C366" s="176" t="s">
        <v>1442</v>
      </c>
      <c r="D366" s="177">
        <v>52</v>
      </c>
      <c r="E366" s="178">
        <v>46177</v>
      </c>
      <c r="F366" s="179"/>
    </row>
    <row r="367" spans="1:6" ht="75.75" thickBot="1" x14ac:dyDescent="0.3">
      <c r="A367" s="180" t="s">
        <v>1443</v>
      </c>
      <c r="B367" s="181" t="s">
        <v>1437</v>
      </c>
      <c r="C367" s="181" t="s">
        <v>1435</v>
      </c>
      <c r="D367" s="182">
        <v>-1260</v>
      </c>
      <c r="E367" s="183">
        <v>46202</v>
      </c>
      <c r="F367" s="184"/>
    </row>
    <row r="368" spans="1:6" x14ac:dyDescent="0.25">
      <c r="D368" s="154">
        <f>SUM(D1:D367)</f>
        <v>54002.58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FORMATO_VENTAS</vt:lpstr>
      <vt:lpstr>FORMATO_ COMPRAS </vt:lpstr>
      <vt:lpstr>Hoja2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dc:creator>
  <cp:lastModifiedBy>USUARIO</cp:lastModifiedBy>
  <cp:lastPrinted>2018-01-10T17:36:51Z</cp:lastPrinted>
  <dcterms:created xsi:type="dcterms:W3CDTF">2017-02-16T15:33:09Z</dcterms:created>
  <dcterms:modified xsi:type="dcterms:W3CDTF">2026-08-26T20:31:38Z</dcterms:modified>
</cp:coreProperties>
</file>