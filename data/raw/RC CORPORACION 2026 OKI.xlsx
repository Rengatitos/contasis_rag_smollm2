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Iga\Documents\RUTH\5. CORPORACION ARAUCO\2026\CONTABILIDAD\07. Julio 2026\"/>
    </mc:Choice>
  </mc:AlternateContent>
  <xr:revisionPtr revIDLastSave="0" documentId="13_ncr:1_{DAA60C8A-3585-48B6-9273-C04E35FEB4FE}" xr6:coauthVersionLast="47" xr6:coauthVersionMax="47" xr10:uidLastSave="{00000000-0000-0000-0000-000000000000}"/>
  <bookViews>
    <workbookView xWindow="-120" yWindow="-120" windowWidth="20730" windowHeight="11160" tabRatio="842" activeTab="6" xr2:uid="{00000000-000D-0000-FFFF-FFFF00000000}"/>
  </bookViews>
  <sheets>
    <sheet name="ENERO" sheetId="75" r:id="rId1"/>
    <sheet name="FEBRERO" sheetId="105" r:id="rId2"/>
    <sheet name="MARZO" sheetId="106" r:id="rId3"/>
    <sheet name="ABRIL" sheetId="107" r:id="rId4"/>
    <sheet name="MAYO" sheetId="110" r:id="rId5"/>
    <sheet name="JUNIO" sheetId="111" r:id="rId6"/>
    <sheet name="JULIO" sheetId="113" r:id="rId7"/>
    <sheet name="AGOSTO" sheetId="114" r:id="rId8"/>
    <sheet name="ENTIDAD" sheetId="3" r:id="rId9"/>
    <sheet name="PLAN CONTABLE" sheetId="112" r:id="rId10"/>
    <sheet name="PCGE" sheetId="18" r:id="rId11"/>
    <sheet name="Hoja1" sheetId="108" r:id="rId12"/>
  </sheets>
  <externalReferences>
    <externalReference r:id="rId13"/>
  </externalReferences>
  <definedNames>
    <definedName name="_xlnm._FilterDatabase" localSheetId="3" hidden="1">ABRIL!$A$2:$AW$177</definedName>
    <definedName name="_xlnm._FilterDatabase" localSheetId="7" hidden="1">AGOSTO!$A$3:$AW$186</definedName>
    <definedName name="_xlnm._FilterDatabase" localSheetId="0" hidden="1">ENERO!$A$3:$AW$79</definedName>
    <definedName name="_xlnm._FilterDatabase" localSheetId="8" hidden="1">ENTIDAD!$B$1:$C$1</definedName>
    <definedName name="_xlnm._FilterDatabase" localSheetId="1" hidden="1">FEBRERO!$A$3:$AW$274</definedName>
    <definedName name="_xlnm._FilterDatabase" localSheetId="6" hidden="1">JULIO!$A$3:$AW$162</definedName>
    <definedName name="_xlnm._FilterDatabase" localSheetId="5" hidden="1">JUNIO!$A$3:$AW$188</definedName>
    <definedName name="_xlnm._FilterDatabase" localSheetId="2" hidden="1">MARZO!$A$3:$AW$159</definedName>
    <definedName name="_xlnm._FilterDatabase" localSheetId="4" hidden="1">MAYO!$A$3:$AW$197</definedName>
    <definedName name="_xlnm._FilterDatabase" localSheetId="10" hidden="1">PCGE!$B$1:$C$23</definedName>
    <definedName name="_xlnm._FilterDatabase" localSheetId="9" hidden="1">'PLAN CONTABLE'!$B$4:$K$2887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08" l="1"/>
  <c r="S6" i="114" l="1"/>
  <c r="R186" i="114" l="1"/>
  <c r="Q186" i="114"/>
  <c r="P186" i="114"/>
  <c r="M186" i="114"/>
  <c r="L186" i="114"/>
  <c r="K186" i="114"/>
  <c r="J186" i="114"/>
  <c r="N185" i="114"/>
  <c r="O185" i="114" s="1"/>
  <c r="I185" i="114"/>
  <c r="N184" i="114"/>
  <c r="O184" i="114" s="1"/>
  <c r="I184" i="114"/>
  <c r="N183" i="114"/>
  <c r="O183" i="114" s="1"/>
  <c r="I183" i="114"/>
  <c r="N182" i="114"/>
  <c r="O182" i="114" s="1"/>
  <c r="I182" i="114"/>
  <c r="N181" i="114"/>
  <c r="O181" i="114" s="1"/>
  <c r="I181" i="114"/>
  <c r="N180" i="114"/>
  <c r="O180" i="114" s="1"/>
  <c r="I180" i="114"/>
  <c r="N179" i="114"/>
  <c r="O179" i="114" s="1"/>
  <c r="I179" i="114"/>
  <c r="N178" i="114"/>
  <c r="O178" i="114" s="1"/>
  <c r="I178" i="114"/>
  <c r="N177" i="114"/>
  <c r="O177" i="114" s="1"/>
  <c r="I177" i="114"/>
  <c r="N176" i="114"/>
  <c r="O176" i="114" s="1"/>
  <c r="I176" i="114"/>
  <c r="N175" i="114"/>
  <c r="O175" i="114" s="1"/>
  <c r="I175" i="114"/>
  <c r="N174" i="114"/>
  <c r="O174" i="114" s="1"/>
  <c r="I174" i="114"/>
  <c r="N173" i="114"/>
  <c r="O173" i="114" s="1"/>
  <c r="I173" i="114"/>
  <c r="N172" i="114"/>
  <c r="O172" i="114" s="1"/>
  <c r="I172" i="114"/>
  <c r="N171" i="114"/>
  <c r="O171" i="114" s="1"/>
  <c r="I171" i="114"/>
  <c r="N170" i="114"/>
  <c r="O170" i="114" s="1"/>
  <c r="I170" i="114"/>
  <c r="N169" i="114"/>
  <c r="O169" i="114" s="1"/>
  <c r="I169" i="114"/>
  <c r="N168" i="114"/>
  <c r="O168" i="114" s="1"/>
  <c r="I168" i="114"/>
  <c r="N167" i="114"/>
  <c r="O167" i="114" s="1"/>
  <c r="I167" i="114"/>
  <c r="N166" i="114"/>
  <c r="O166" i="114" s="1"/>
  <c r="I166" i="114"/>
  <c r="N165" i="114"/>
  <c r="O165" i="114" s="1"/>
  <c r="I165" i="114"/>
  <c r="N164" i="114"/>
  <c r="O164" i="114" s="1"/>
  <c r="I164" i="114"/>
  <c r="N163" i="114"/>
  <c r="O163" i="114" s="1"/>
  <c r="I163" i="114"/>
  <c r="N162" i="114"/>
  <c r="O162" i="114" s="1"/>
  <c r="I162" i="114"/>
  <c r="N161" i="114"/>
  <c r="O161" i="114" s="1"/>
  <c r="I161" i="114"/>
  <c r="N160" i="114"/>
  <c r="O160" i="114" s="1"/>
  <c r="I160" i="114"/>
  <c r="N159" i="114"/>
  <c r="O159" i="114" s="1"/>
  <c r="I159" i="114"/>
  <c r="N158" i="114"/>
  <c r="O158" i="114" s="1"/>
  <c r="I158" i="114"/>
  <c r="N157" i="114"/>
  <c r="O157" i="114" s="1"/>
  <c r="I157" i="114"/>
  <c r="N156" i="114"/>
  <c r="O156" i="114" s="1"/>
  <c r="I156" i="114"/>
  <c r="N155" i="114"/>
  <c r="O155" i="114" s="1"/>
  <c r="I155" i="114"/>
  <c r="N154" i="114"/>
  <c r="O154" i="114" s="1"/>
  <c r="I154" i="114"/>
  <c r="N153" i="114"/>
  <c r="O153" i="114" s="1"/>
  <c r="I153" i="114"/>
  <c r="N152" i="114"/>
  <c r="O152" i="114" s="1"/>
  <c r="I152" i="114"/>
  <c r="N151" i="114"/>
  <c r="O151" i="114" s="1"/>
  <c r="I151" i="114"/>
  <c r="N150" i="114"/>
  <c r="O150" i="114" s="1"/>
  <c r="I150" i="114"/>
  <c r="N149" i="114"/>
  <c r="O149" i="114" s="1"/>
  <c r="I149" i="114"/>
  <c r="N148" i="114"/>
  <c r="O148" i="114" s="1"/>
  <c r="I148" i="114"/>
  <c r="N147" i="114"/>
  <c r="O147" i="114" s="1"/>
  <c r="I147" i="114"/>
  <c r="N146" i="114"/>
  <c r="O146" i="114" s="1"/>
  <c r="I146" i="114"/>
  <c r="N145" i="114"/>
  <c r="O145" i="114" s="1"/>
  <c r="I145" i="114"/>
  <c r="N144" i="114"/>
  <c r="O144" i="114" s="1"/>
  <c r="I144" i="114"/>
  <c r="O143" i="114"/>
  <c r="N143" i="114"/>
  <c r="I143" i="114"/>
  <c r="N142" i="114"/>
  <c r="O142" i="114" s="1"/>
  <c r="I142" i="114"/>
  <c r="N141" i="114"/>
  <c r="O141" i="114" s="1"/>
  <c r="I141" i="114"/>
  <c r="N140" i="114"/>
  <c r="O140" i="114" s="1"/>
  <c r="I140" i="114"/>
  <c r="N139" i="114"/>
  <c r="O139" i="114" s="1"/>
  <c r="I139" i="114"/>
  <c r="N138" i="114"/>
  <c r="O138" i="114" s="1"/>
  <c r="I138" i="114"/>
  <c r="N137" i="114"/>
  <c r="O137" i="114" s="1"/>
  <c r="I137" i="114"/>
  <c r="N136" i="114"/>
  <c r="O136" i="114" s="1"/>
  <c r="I136" i="114"/>
  <c r="N135" i="114"/>
  <c r="O135" i="114" s="1"/>
  <c r="I135" i="114"/>
  <c r="N134" i="114"/>
  <c r="O134" i="114" s="1"/>
  <c r="I134" i="114"/>
  <c r="N133" i="114"/>
  <c r="O133" i="114" s="1"/>
  <c r="I133" i="114"/>
  <c r="N132" i="114"/>
  <c r="O132" i="114" s="1"/>
  <c r="I132" i="114"/>
  <c r="N131" i="114"/>
  <c r="O131" i="114" s="1"/>
  <c r="I131" i="114"/>
  <c r="N130" i="114"/>
  <c r="O130" i="114" s="1"/>
  <c r="I130" i="114"/>
  <c r="N129" i="114"/>
  <c r="O129" i="114" s="1"/>
  <c r="I129" i="114"/>
  <c r="N128" i="114"/>
  <c r="O128" i="114" s="1"/>
  <c r="I128" i="114"/>
  <c r="N127" i="114"/>
  <c r="O127" i="114" s="1"/>
  <c r="I127" i="114"/>
  <c r="N126" i="114"/>
  <c r="O126" i="114" s="1"/>
  <c r="I126" i="114"/>
  <c r="N125" i="114"/>
  <c r="O125" i="114" s="1"/>
  <c r="I125" i="114"/>
  <c r="O124" i="114"/>
  <c r="I124" i="114"/>
  <c r="O123" i="114"/>
  <c r="I123" i="114"/>
  <c r="O122" i="114"/>
  <c r="I122" i="114"/>
  <c r="N121" i="114"/>
  <c r="O121" i="114" s="1"/>
  <c r="I121" i="114"/>
  <c r="N120" i="114"/>
  <c r="O120" i="114" s="1"/>
  <c r="I120" i="114"/>
  <c r="O119" i="114"/>
  <c r="I119" i="114"/>
  <c r="N118" i="114"/>
  <c r="O118" i="114" s="1"/>
  <c r="I118" i="114"/>
  <c r="N117" i="114"/>
  <c r="O117" i="114" s="1"/>
  <c r="I117" i="114"/>
  <c r="N116" i="114"/>
  <c r="O116" i="114" s="1"/>
  <c r="I116" i="114"/>
  <c r="N115" i="114"/>
  <c r="O115" i="114" s="1"/>
  <c r="I115" i="114"/>
  <c r="N114" i="114"/>
  <c r="O114" i="114" s="1"/>
  <c r="I114" i="114"/>
  <c r="N113" i="114"/>
  <c r="O113" i="114" s="1"/>
  <c r="I113" i="114"/>
  <c r="N112" i="114"/>
  <c r="O112" i="114" s="1"/>
  <c r="I112" i="114"/>
  <c r="O111" i="114"/>
  <c r="I111" i="114"/>
  <c r="O110" i="114"/>
  <c r="I110" i="114"/>
  <c r="N109" i="114"/>
  <c r="O109" i="114" s="1"/>
  <c r="I109" i="114"/>
  <c r="N108" i="114"/>
  <c r="O108" i="114" s="1"/>
  <c r="I108" i="114"/>
  <c r="N107" i="114"/>
  <c r="O107" i="114" s="1"/>
  <c r="I107" i="114"/>
  <c r="N106" i="114"/>
  <c r="O106" i="114" s="1"/>
  <c r="I106" i="114"/>
  <c r="N105" i="114"/>
  <c r="O105" i="114" s="1"/>
  <c r="I105" i="114"/>
  <c r="O104" i="114"/>
  <c r="I104" i="114"/>
  <c r="N103" i="114"/>
  <c r="O103" i="114" s="1"/>
  <c r="I103" i="114"/>
  <c r="N102" i="114"/>
  <c r="O102" i="114" s="1"/>
  <c r="I102" i="114"/>
  <c r="N101" i="114"/>
  <c r="O101" i="114" s="1"/>
  <c r="I101" i="114"/>
  <c r="N100" i="114"/>
  <c r="O100" i="114" s="1"/>
  <c r="I100" i="114"/>
  <c r="N99" i="114"/>
  <c r="O99" i="114" s="1"/>
  <c r="I99" i="114"/>
  <c r="N98" i="114"/>
  <c r="O98" i="114" s="1"/>
  <c r="I98" i="114"/>
  <c r="N97" i="114"/>
  <c r="O97" i="114" s="1"/>
  <c r="I97" i="114"/>
  <c r="N96" i="114"/>
  <c r="O96" i="114" s="1"/>
  <c r="I96" i="114"/>
  <c r="N95" i="114"/>
  <c r="O95" i="114" s="1"/>
  <c r="I95" i="114"/>
  <c r="N94" i="114"/>
  <c r="O94" i="114" s="1"/>
  <c r="I94" i="114"/>
  <c r="N93" i="114"/>
  <c r="O93" i="114" s="1"/>
  <c r="I93" i="114"/>
  <c r="N92" i="114"/>
  <c r="O92" i="114" s="1"/>
  <c r="I92" i="114"/>
  <c r="N91" i="114"/>
  <c r="O91" i="114" s="1"/>
  <c r="I91" i="114"/>
  <c r="N90" i="114"/>
  <c r="O90" i="114" s="1"/>
  <c r="I90" i="114"/>
  <c r="N89" i="114"/>
  <c r="O89" i="114" s="1"/>
  <c r="I89" i="114"/>
  <c r="N88" i="114"/>
  <c r="O88" i="114" s="1"/>
  <c r="I88" i="114"/>
  <c r="N87" i="114"/>
  <c r="O87" i="114" s="1"/>
  <c r="I87" i="114"/>
  <c r="N86" i="114"/>
  <c r="O86" i="114" s="1"/>
  <c r="I86" i="114"/>
  <c r="N85" i="114"/>
  <c r="O85" i="114" s="1"/>
  <c r="I85" i="114"/>
  <c r="N84" i="114"/>
  <c r="O84" i="114" s="1"/>
  <c r="I84" i="114"/>
  <c r="N83" i="114"/>
  <c r="O83" i="114" s="1"/>
  <c r="I83" i="114"/>
  <c r="N82" i="114"/>
  <c r="O82" i="114" s="1"/>
  <c r="I82" i="114"/>
  <c r="N81" i="114"/>
  <c r="O81" i="114" s="1"/>
  <c r="I81" i="114"/>
  <c r="N80" i="114"/>
  <c r="O80" i="114" s="1"/>
  <c r="I80" i="114"/>
  <c r="N79" i="114"/>
  <c r="O79" i="114" s="1"/>
  <c r="I79" i="114"/>
  <c r="N78" i="114"/>
  <c r="O78" i="114" s="1"/>
  <c r="I78" i="114"/>
  <c r="N77" i="114"/>
  <c r="O77" i="114" s="1"/>
  <c r="I77" i="114"/>
  <c r="N76" i="114"/>
  <c r="O76" i="114" s="1"/>
  <c r="I76" i="114"/>
  <c r="N75" i="114"/>
  <c r="O75" i="114" s="1"/>
  <c r="I75" i="114"/>
  <c r="N74" i="114"/>
  <c r="O74" i="114" s="1"/>
  <c r="I74" i="114"/>
  <c r="N73" i="114"/>
  <c r="O73" i="114" s="1"/>
  <c r="I73" i="114"/>
  <c r="N72" i="114"/>
  <c r="O72" i="114" s="1"/>
  <c r="I72" i="114"/>
  <c r="N71" i="114"/>
  <c r="O71" i="114" s="1"/>
  <c r="I71" i="114"/>
  <c r="N70" i="114"/>
  <c r="O70" i="114" s="1"/>
  <c r="I70" i="114"/>
  <c r="N69" i="114"/>
  <c r="O69" i="114" s="1"/>
  <c r="I69" i="114"/>
  <c r="N68" i="114"/>
  <c r="O68" i="114" s="1"/>
  <c r="I68" i="114"/>
  <c r="N67" i="114"/>
  <c r="O67" i="114" s="1"/>
  <c r="I67" i="114"/>
  <c r="N66" i="114"/>
  <c r="O66" i="114" s="1"/>
  <c r="I66" i="114"/>
  <c r="N65" i="114"/>
  <c r="O65" i="114" s="1"/>
  <c r="I65" i="114"/>
  <c r="N64" i="114"/>
  <c r="O64" i="114" s="1"/>
  <c r="I64" i="114"/>
  <c r="N63" i="114"/>
  <c r="O63" i="114" s="1"/>
  <c r="I63" i="114"/>
  <c r="N62" i="114"/>
  <c r="O62" i="114" s="1"/>
  <c r="I62" i="114"/>
  <c r="N61" i="114"/>
  <c r="O61" i="114" s="1"/>
  <c r="I61" i="114"/>
  <c r="N60" i="114"/>
  <c r="O60" i="114" s="1"/>
  <c r="I60" i="114"/>
  <c r="O59" i="114"/>
  <c r="I59" i="114"/>
  <c r="N58" i="114"/>
  <c r="O58" i="114" s="1"/>
  <c r="I58" i="114"/>
  <c r="N57" i="114"/>
  <c r="O57" i="114" s="1"/>
  <c r="I57" i="114"/>
  <c r="N56" i="114"/>
  <c r="O56" i="114" s="1"/>
  <c r="I56" i="114"/>
  <c r="N55" i="114"/>
  <c r="O55" i="114" s="1"/>
  <c r="I55" i="114"/>
  <c r="N54" i="114"/>
  <c r="O54" i="114" s="1"/>
  <c r="I54" i="114"/>
  <c r="N53" i="114"/>
  <c r="O53" i="114" s="1"/>
  <c r="I53" i="114"/>
  <c r="N52" i="114"/>
  <c r="O52" i="114" s="1"/>
  <c r="I52" i="114"/>
  <c r="N51" i="114"/>
  <c r="O51" i="114" s="1"/>
  <c r="I51" i="114"/>
  <c r="N50" i="114"/>
  <c r="O50" i="114" s="1"/>
  <c r="I50" i="114"/>
  <c r="N49" i="114"/>
  <c r="O49" i="114" s="1"/>
  <c r="I49" i="114"/>
  <c r="N48" i="114"/>
  <c r="O48" i="114" s="1"/>
  <c r="I48" i="114"/>
  <c r="N47" i="114"/>
  <c r="O47" i="114" s="1"/>
  <c r="I47" i="114"/>
  <c r="N46" i="114"/>
  <c r="O46" i="114" s="1"/>
  <c r="I46" i="114"/>
  <c r="N45" i="114"/>
  <c r="O45" i="114" s="1"/>
  <c r="I45" i="114"/>
  <c r="N44" i="114"/>
  <c r="O44" i="114" s="1"/>
  <c r="I44" i="114"/>
  <c r="N43" i="114"/>
  <c r="O43" i="114" s="1"/>
  <c r="I43" i="114"/>
  <c r="N42" i="114"/>
  <c r="O42" i="114" s="1"/>
  <c r="I42" i="114"/>
  <c r="N41" i="114"/>
  <c r="O41" i="114" s="1"/>
  <c r="I41" i="114"/>
  <c r="N40" i="114"/>
  <c r="O40" i="114" s="1"/>
  <c r="I40" i="114"/>
  <c r="N39" i="114"/>
  <c r="O39" i="114" s="1"/>
  <c r="I39" i="114"/>
  <c r="N38" i="114"/>
  <c r="O38" i="114" s="1"/>
  <c r="I38" i="114"/>
  <c r="N37" i="114"/>
  <c r="O37" i="114" s="1"/>
  <c r="I37" i="114"/>
  <c r="N36" i="114"/>
  <c r="O36" i="114" s="1"/>
  <c r="I36" i="114"/>
  <c r="N35" i="114"/>
  <c r="O35" i="114" s="1"/>
  <c r="I35" i="114"/>
  <c r="N34" i="114"/>
  <c r="O34" i="114" s="1"/>
  <c r="I34" i="114"/>
  <c r="N33" i="114"/>
  <c r="O33" i="114" s="1"/>
  <c r="I33" i="114"/>
  <c r="N32" i="114"/>
  <c r="O32" i="114" s="1"/>
  <c r="I32" i="114"/>
  <c r="N31" i="114"/>
  <c r="O31" i="114" s="1"/>
  <c r="I31" i="114"/>
  <c r="N30" i="114"/>
  <c r="O30" i="114" s="1"/>
  <c r="I30" i="114"/>
  <c r="N29" i="114"/>
  <c r="O29" i="114" s="1"/>
  <c r="I29" i="114"/>
  <c r="N28" i="114"/>
  <c r="O28" i="114" s="1"/>
  <c r="I28" i="114"/>
  <c r="O27" i="114"/>
  <c r="N27" i="114"/>
  <c r="I27" i="114"/>
  <c r="N26" i="114"/>
  <c r="O26" i="114" s="1"/>
  <c r="I26" i="114"/>
  <c r="N25" i="114"/>
  <c r="O25" i="114" s="1"/>
  <c r="I25" i="114"/>
  <c r="N24" i="114"/>
  <c r="O24" i="114" s="1"/>
  <c r="I24" i="114"/>
  <c r="N23" i="114"/>
  <c r="O23" i="114" s="1"/>
  <c r="I23" i="114"/>
  <c r="N22" i="114"/>
  <c r="O22" i="114" s="1"/>
  <c r="I22" i="114"/>
  <c r="N21" i="114"/>
  <c r="O21" i="114" s="1"/>
  <c r="I21" i="114"/>
  <c r="N20" i="114"/>
  <c r="O20" i="114" s="1"/>
  <c r="I20" i="114"/>
  <c r="N19" i="114"/>
  <c r="O19" i="114" s="1"/>
  <c r="I19" i="114"/>
  <c r="N18" i="114"/>
  <c r="O18" i="114" s="1"/>
  <c r="I18" i="114"/>
  <c r="N17" i="114"/>
  <c r="O17" i="114" s="1"/>
  <c r="I17" i="114"/>
  <c r="S186" i="114"/>
  <c r="I16" i="114"/>
  <c r="N15" i="114"/>
  <c r="O15" i="114" s="1"/>
  <c r="I15" i="114"/>
  <c r="N14" i="114"/>
  <c r="O14" i="114" s="1"/>
  <c r="I14" i="114"/>
  <c r="N13" i="114"/>
  <c r="O13" i="114" s="1"/>
  <c r="I13" i="114"/>
  <c r="N12" i="114"/>
  <c r="O12" i="114" s="1"/>
  <c r="I12" i="114"/>
  <c r="N11" i="114"/>
  <c r="O11" i="114" s="1"/>
  <c r="I11" i="114"/>
  <c r="N10" i="114"/>
  <c r="O10" i="114" s="1"/>
  <c r="I10" i="114"/>
  <c r="O9" i="114"/>
  <c r="I9" i="114"/>
  <c r="O8" i="114"/>
  <c r="I8" i="114"/>
  <c r="N5" i="114"/>
  <c r="O5" i="114" s="1"/>
  <c r="I5" i="114"/>
  <c r="O7" i="114"/>
  <c r="I7" i="114"/>
  <c r="N6" i="114"/>
  <c r="O6" i="114" s="1"/>
  <c r="I6" i="114"/>
  <c r="N4" i="114"/>
  <c r="O4" i="114" s="1"/>
  <c r="I4" i="114"/>
  <c r="N16" i="114" l="1"/>
  <c r="O16" i="114" s="1"/>
  <c r="O186" i="114" s="1"/>
  <c r="S136" i="113"/>
  <c r="S135" i="113"/>
  <c r="N186" i="114" l="1"/>
  <c r="H2" i="108"/>
  <c r="S134" i="113"/>
  <c r="I138" i="113" l="1"/>
  <c r="I139" i="113"/>
  <c r="I106" i="113"/>
  <c r="I140" i="113"/>
  <c r="I141" i="113"/>
  <c r="I142" i="113"/>
  <c r="I143" i="113"/>
  <c r="I132" i="113"/>
  <c r="I128" i="113"/>
  <c r="I129" i="113"/>
  <c r="I144" i="113"/>
  <c r="I145" i="113"/>
  <c r="I146" i="113"/>
  <c r="I147" i="113"/>
  <c r="I148" i="113"/>
  <c r="I149" i="113"/>
  <c r="I150" i="113"/>
  <c r="I151" i="113"/>
  <c r="I152" i="113"/>
  <c r="I153" i="113"/>
  <c r="I154" i="113"/>
  <c r="I155" i="113"/>
  <c r="I156" i="113"/>
  <c r="I157" i="113"/>
  <c r="I158" i="113"/>
  <c r="I159" i="113"/>
  <c r="I160" i="113"/>
  <c r="I161" i="113"/>
  <c r="I54" i="113"/>
  <c r="I111" i="113"/>
  <c r="I118" i="113"/>
  <c r="I133" i="113"/>
  <c r="I134" i="113"/>
  <c r="I135" i="113"/>
  <c r="I136" i="113"/>
  <c r="I137" i="113"/>
  <c r="I131" i="113"/>
  <c r="S177" i="107" l="1"/>
  <c r="R177" i="107"/>
  <c r="Q177" i="107"/>
  <c r="P177" i="107"/>
  <c r="O177" i="107"/>
  <c r="N177" i="107"/>
  <c r="I86" i="106"/>
  <c r="N131" i="113"/>
  <c r="O131" i="113" s="1"/>
  <c r="I126" i="113"/>
  <c r="I127" i="113"/>
  <c r="I130" i="113"/>
  <c r="S130" i="113" l="1"/>
  <c r="S127" i="113"/>
  <c r="R162" i="113" l="1"/>
  <c r="P162" i="113"/>
  <c r="S123" i="113"/>
  <c r="S114" i="113" l="1"/>
  <c r="N114" i="113" s="1"/>
  <c r="O114" i="113" s="1"/>
  <c r="I79" i="113" l="1"/>
  <c r="I78" i="113"/>
  <c r="I77" i="113"/>
  <c r="I76" i="113"/>
  <c r="I75" i="113"/>
  <c r="I74" i="113"/>
  <c r="I73" i="113"/>
  <c r="I69" i="113"/>
  <c r="I80" i="113"/>
  <c r="I81" i="113"/>
  <c r="I82" i="113"/>
  <c r="I83" i="113"/>
  <c r="I84" i="113"/>
  <c r="I85" i="113"/>
  <c r="I86" i="113"/>
  <c r="I87" i="113"/>
  <c r="I88" i="113"/>
  <c r="I89" i="113"/>
  <c r="I90" i="113"/>
  <c r="S108" i="113" l="1"/>
  <c r="S107" i="113" l="1"/>
  <c r="I91" i="113" l="1"/>
  <c r="I92" i="113"/>
  <c r="I93" i="113"/>
  <c r="I94" i="113"/>
  <c r="I95" i="113"/>
  <c r="I96" i="113"/>
  <c r="I97" i="113"/>
  <c r="I98" i="113"/>
  <c r="I114" i="113"/>
  <c r="I115" i="113"/>
  <c r="I116" i="113"/>
  <c r="I117" i="113"/>
  <c r="I66" i="113"/>
  <c r="I119" i="113"/>
  <c r="I120" i="113"/>
  <c r="I4" i="113"/>
  <c r="I122" i="113"/>
  <c r="I121" i="113"/>
  <c r="I123" i="113"/>
  <c r="I124" i="113"/>
  <c r="I125" i="113"/>
  <c r="I104" i="113"/>
  <c r="I107" i="113"/>
  <c r="I108" i="113"/>
  <c r="I109" i="113"/>
  <c r="I110" i="113"/>
  <c r="I105" i="113"/>
  <c r="I112" i="113"/>
  <c r="I113" i="113"/>
  <c r="I103" i="113"/>
  <c r="S101" i="113" l="1"/>
  <c r="S72" i="113"/>
  <c r="I100" i="113"/>
  <c r="I68" i="113" l="1"/>
  <c r="I70" i="113"/>
  <c r="I65" i="113"/>
  <c r="I71" i="113"/>
  <c r="I72" i="113"/>
  <c r="I101" i="113"/>
  <c r="I99" i="113"/>
  <c r="S68" i="113" l="1"/>
  <c r="S67" i="113"/>
  <c r="S64" i="113"/>
  <c r="S63" i="113"/>
  <c r="S53" i="113" l="1"/>
  <c r="S23" i="113"/>
  <c r="S22" i="113"/>
  <c r="I17" i="113" l="1"/>
  <c r="S16" i="113"/>
  <c r="S21" i="113"/>
  <c r="N54" i="113" l="1"/>
  <c r="O54" i="113" s="1"/>
  <c r="N12" i="113"/>
  <c r="O12" i="113" s="1"/>
  <c r="N129" i="113"/>
  <c r="O129" i="113" s="1"/>
  <c r="N128" i="113"/>
  <c r="O128" i="113" s="1"/>
  <c r="N132" i="113"/>
  <c r="O132" i="113" s="1"/>
  <c r="N143" i="113"/>
  <c r="O143" i="113" s="1"/>
  <c r="N106" i="113"/>
  <c r="O106" i="113" s="1"/>
  <c r="N139" i="113"/>
  <c r="O139" i="113" s="1"/>
  <c r="N138" i="113"/>
  <c r="O138" i="113" s="1"/>
  <c r="N137" i="113"/>
  <c r="O137" i="113" s="1"/>
  <c r="N136" i="113"/>
  <c r="O136" i="113" s="1"/>
  <c r="N135" i="113"/>
  <c r="O135" i="113" s="1"/>
  <c r="N134" i="113"/>
  <c r="O134" i="113" s="1"/>
  <c r="N133" i="113"/>
  <c r="O133" i="113" s="1"/>
  <c r="N118" i="113"/>
  <c r="O118" i="113" s="1"/>
  <c r="N111" i="113"/>
  <c r="O111" i="113" s="1"/>
  <c r="N130" i="113"/>
  <c r="O130" i="113" s="1"/>
  <c r="N127" i="113"/>
  <c r="O127" i="113" s="1"/>
  <c r="N123" i="113"/>
  <c r="O123" i="113" s="1"/>
  <c r="O121" i="113"/>
  <c r="N122" i="113"/>
  <c r="O122" i="113" s="1"/>
  <c r="N4" i="113"/>
  <c r="O4" i="113" s="1"/>
  <c r="N120" i="113"/>
  <c r="O120" i="113" s="1"/>
  <c r="N119" i="113"/>
  <c r="O119" i="113" s="1"/>
  <c r="N66" i="113"/>
  <c r="N117" i="113"/>
  <c r="O117" i="113" s="1"/>
  <c r="N116" i="113"/>
  <c r="O116" i="113" s="1"/>
  <c r="N115" i="113"/>
  <c r="O115" i="113" s="1"/>
  <c r="N69" i="113"/>
  <c r="O69" i="113" s="1"/>
  <c r="N110" i="113"/>
  <c r="O110" i="113" s="1"/>
  <c r="N109" i="113"/>
  <c r="O109" i="113" s="1"/>
  <c r="N108" i="113"/>
  <c r="O108" i="113" s="1"/>
  <c r="N107" i="113"/>
  <c r="O107" i="113" s="1"/>
  <c r="N104" i="113"/>
  <c r="O104" i="113" s="1"/>
  <c r="N103" i="113"/>
  <c r="O103" i="113" s="1"/>
  <c r="N102" i="113"/>
  <c r="O102" i="113" s="1"/>
  <c r="N101" i="113"/>
  <c r="O101" i="113" s="1"/>
  <c r="N72" i="113"/>
  <c r="O72" i="113" s="1"/>
  <c r="N71" i="113"/>
  <c r="O71" i="113" s="1"/>
  <c r="N65" i="113"/>
  <c r="O65" i="113" s="1"/>
  <c r="N70" i="113"/>
  <c r="O70" i="113" s="1"/>
  <c r="N100" i="113"/>
  <c r="O100" i="113" s="1"/>
  <c r="N99" i="113"/>
  <c r="O99" i="113" s="1"/>
  <c r="N68" i="113"/>
  <c r="O68" i="113" s="1"/>
  <c r="N67" i="113"/>
  <c r="O67" i="113" s="1"/>
  <c r="N64" i="113"/>
  <c r="O64" i="113" s="1"/>
  <c r="N63" i="113"/>
  <c r="O63" i="113" s="1"/>
  <c r="N62" i="113"/>
  <c r="O62" i="113" s="1"/>
  <c r="N61" i="113"/>
  <c r="O61" i="113" s="1"/>
  <c r="N59" i="113"/>
  <c r="O59" i="113" s="1"/>
  <c r="N58" i="113"/>
  <c r="O58" i="113" s="1"/>
  <c r="N57" i="113"/>
  <c r="O57" i="113" s="1"/>
  <c r="N56" i="113"/>
  <c r="O56" i="113" s="1"/>
  <c r="N55" i="113"/>
  <c r="O55" i="113" s="1"/>
  <c r="N24" i="113"/>
  <c r="O24" i="113" s="1"/>
  <c r="N53" i="113"/>
  <c r="O53" i="113" s="1"/>
  <c r="N23" i="113"/>
  <c r="O23" i="113" s="1"/>
  <c r="N22" i="113"/>
  <c r="O22" i="113" s="1"/>
  <c r="N7" i="113"/>
  <c r="O7" i="113" s="1"/>
  <c r="N6" i="113"/>
  <c r="O6" i="113" s="1"/>
  <c r="N5" i="113"/>
  <c r="O5" i="113" s="1"/>
  <c r="N10" i="113"/>
  <c r="O10" i="113" s="1"/>
  <c r="N9" i="113"/>
  <c r="O9" i="113" s="1"/>
  <c r="N8" i="113"/>
  <c r="O8" i="113" s="1"/>
  <c r="N17" i="113"/>
  <c r="O17" i="113" s="1"/>
  <c r="N15" i="113"/>
  <c r="O15" i="113" s="1"/>
  <c r="N14" i="113"/>
  <c r="O14" i="113" s="1"/>
  <c r="N16" i="113"/>
  <c r="O16" i="113" s="1"/>
  <c r="N21" i="113"/>
  <c r="O21" i="113" s="1"/>
  <c r="N20" i="113"/>
  <c r="O20" i="113" s="1"/>
  <c r="N19" i="113"/>
  <c r="O19" i="113" s="1"/>
  <c r="N18" i="113"/>
  <c r="O18" i="113" s="1"/>
  <c r="N13" i="113"/>
  <c r="O13" i="113" s="1"/>
  <c r="Q162" i="113"/>
  <c r="M162" i="113"/>
  <c r="L162" i="113"/>
  <c r="K162" i="113"/>
  <c r="J162" i="113"/>
  <c r="I12" i="113"/>
  <c r="I102" i="113"/>
  <c r="I67" i="113"/>
  <c r="I64" i="113"/>
  <c r="I63" i="113"/>
  <c r="I62" i="113"/>
  <c r="I61" i="113"/>
  <c r="S162" i="113"/>
  <c r="I60" i="113"/>
  <c r="I59" i="113"/>
  <c r="I58" i="113"/>
  <c r="I57" i="113"/>
  <c r="I56" i="113"/>
  <c r="I55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53" i="113"/>
  <c r="I23" i="113"/>
  <c r="I22" i="113"/>
  <c r="I7" i="113"/>
  <c r="I6" i="113"/>
  <c r="I5" i="113"/>
  <c r="I10" i="113"/>
  <c r="I9" i="113"/>
  <c r="I8" i="113"/>
  <c r="I15" i="113"/>
  <c r="I14" i="113"/>
  <c r="I16" i="113"/>
  <c r="I21" i="113"/>
  <c r="I20" i="113"/>
  <c r="I19" i="113"/>
  <c r="I18" i="113"/>
  <c r="I13" i="113"/>
  <c r="N11" i="113"/>
  <c r="O11" i="113" s="1"/>
  <c r="I11" i="113"/>
  <c r="O66" i="113" l="1"/>
  <c r="O162" i="113" s="1"/>
  <c r="N162" i="113"/>
  <c r="N186" i="111"/>
  <c r="O186" i="111" s="1"/>
  <c r="I186" i="111"/>
  <c r="S83" i="111" l="1"/>
  <c r="O16" i="111" l="1"/>
  <c r="O17" i="111"/>
  <c r="O18" i="111"/>
  <c r="O19" i="111"/>
  <c r="O20" i="111"/>
  <c r="O21" i="111"/>
  <c r="O22" i="111"/>
  <c r="O23" i="111"/>
  <c r="O24" i="111"/>
  <c r="O25" i="111"/>
  <c r="O26" i="111"/>
  <c r="O27" i="111"/>
  <c r="O28" i="111"/>
  <c r="O29" i="111"/>
  <c r="O30" i="111"/>
  <c r="O31" i="111"/>
  <c r="O32" i="111"/>
  <c r="O33" i="111"/>
  <c r="O34" i="111"/>
  <c r="O35" i="111"/>
  <c r="O36" i="111"/>
  <c r="O37" i="111"/>
  <c r="O38" i="111"/>
  <c r="O39" i="111"/>
  <c r="O40" i="111"/>
  <c r="O41" i="111"/>
  <c r="O42" i="111"/>
  <c r="O43" i="111"/>
  <c r="O44" i="111"/>
  <c r="O49" i="111"/>
  <c r="O50" i="111"/>
  <c r="O51" i="111"/>
  <c r="O87" i="111"/>
  <c r="O88" i="111"/>
  <c r="O89" i="111"/>
  <c r="O90" i="111"/>
  <c r="O91" i="111"/>
  <c r="O92" i="111"/>
  <c r="O93" i="111"/>
  <c r="O94" i="111"/>
  <c r="O95" i="111"/>
  <c r="O96" i="111"/>
  <c r="O97" i="111"/>
  <c r="O98" i="111"/>
  <c r="O99" i="111"/>
  <c r="O100" i="111"/>
  <c r="O101" i="111"/>
  <c r="O102" i="111"/>
  <c r="O103" i="111"/>
  <c r="O104" i="111"/>
  <c r="O105" i="111"/>
  <c r="O106" i="111"/>
  <c r="O107" i="111"/>
  <c r="O108" i="111"/>
  <c r="O109" i="111"/>
  <c r="O110" i="111"/>
  <c r="O111" i="111"/>
  <c r="O112" i="111"/>
  <c r="O113" i="111"/>
  <c r="O114" i="111"/>
  <c r="O115" i="111"/>
  <c r="O116" i="111"/>
  <c r="O128" i="111"/>
  <c r="O129" i="111"/>
  <c r="O130" i="111"/>
  <c r="O131" i="111"/>
  <c r="O132" i="111"/>
  <c r="O133" i="111"/>
  <c r="O134" i="111"/>
  <c r="O135" i="111"/>
  <c r="O136" i="111"/>
  <c r="O137" i="111"/>
  <c r="O138" i="111"/>
  <c r="O139" i="111"/>
  <c r="O140" i="111"/>
  <c r="O141" i="111"/>
  <c r="O142" i="111"/>
  <c r="O143" i="111"/>
  <c r="O144" i="111"/>
  <c r="N185" i="111" l="1"/>
  <c r="O185" i="111" s="1"/>
  <c r="O183" i="111"/>
  <c r="I183" i="111"/>
  <c r="N54" i="111"/>
  <c r="O54" i="111" s="1"/>
  <c r="I54" i="111"/>
  <c r="N169" i="111"/>
  <c r="O169" i="111" s="1"/>
  <c r="I169" i="111"/>
  <c r="N168" i="111"/>
  <c r="O168" i="111" s="1"/>
  <c r="I168" i="111"/>
  <c r="I70" i="111"/>
  <c r="I160" i="111"/>
  <c r="I182" i="111"/>
  <c r="I181" i="111"/>
  <c r="S180" i="111" l="1"/>
  <c r="S182" i="111"/>
  <c r="J2" i="108"/>
  <c r="O176" i="111"/>
  <c r="I176" i="111"/>
  <c r="O175" i="111"/>
  <c r="I175" i="111"/>
  <c r="O174" i="111"/>
  <c r="I174" i="111"/>
  <c r="S167" i="111" l="1"/>
  <c r="S166" i="111"/>
  <c r="S165" i="111"/>
  <c r="S170" i="111"/>
  <c r="S177" i="111"/>
  <c r="S162" i="111" l="1"/>
  <c r="S155" i="111"/>
  <c r="S153" i="111" l="1"/>
  <c r="S152" i="111"/>
  <c r="S151" i="111"/>
  <c r="S150" i="111"/>
  <c r="S149" i="111"/>
  <c r="O149" i="111"/>
  <c r="O148" i="111"/>
  <c r="I147" i="111"/>
  <c r="I126" i="111" l="1"/>
  <c r="S124" i="111" l="1"/>
  <c r="S121" i="111" l="1"/>
  <c r="S120" i="111"/>
  <c r="S119" i="111"/>
  <c r="S117" i="111" l="1"/>
  <c r="I194" i="110" l="1"/>
  <c r="N194" i="110"/>
  <c r="O194" i="110" s="1"/>
  <c r="I195" i="110"/>
  <c r="N195" i="110"/>
  <c r="O195" i="110" s="1"/>
  <c r="I196" i="110"/>
  <c r="N196" i="110"/>
  <c r="O196" i="110" s="1"/>
  <c r="S58" i="111" l="1"/>
  <c r="S69" i="111"/>
  <c r="S72" i="111"/>
  <c r="S68" i="111"/>
  <c r="S62" i="111"/>
  <c r="I71" i="111"/>
  <c r="N4" i="111" l="1"/>
  <c r="O4" i="111" s="1"/>
  <c r="N57" i="111"/>
  <c r="O57" i="111" s="1"/>
  <c r="R188" i="111" l="1"/>
  <c r="Q188" i="111"/>
  <c r="P188" i="111"/>
  <c r="M188" i="111"/>
  <c r="L188" i="111"/>
  <c r="K188" i="111"/>
  <c r="J188" i="111"/>
  <c r="N187" i="111"/>
  <c r="O187" i="111" s="1"/>
  <c r="I187" i="111"/>
  <c r="O184" i="111"/>
  <c r="I184" i="111"/>
  <c r="N161" i="111"/>
  <c r="O161" i="111" s="1"/>
  <c r="I161" i="111"/>
  <c r="N160" i="111"/>
  <c r="O160" i="111" s="1"/>
  <c r="N70" i="111"/>
  <c r="O70" i="111" s="1"/>
  <c r="N182" i="111"/>
  <c r="O182" i="111" s="1"/>
  <c r="N181" i="111"/>
  <c r="O181" i="111" s="1"/>
  <c r="N180" i="111"/>
  <c r="O180" i="111" s="1"/>
  <c r="I180" i="111"/>
  <c r="O173" i="111"/>
  <c r="I173" i="111"/>
  <c r="N179" i="111"/>
  <c r="O179" i="111" s="1"/>
  <c r="I179" i="111"/>
  <c r="O178" i="111"/>
  <c r="I178" i="111"/>
  <c r="N172" i="111"/>
  <c r="O172" i="111" s="1"/>
  <c r="I172" i="111"/>
  <c r="N171" i="111"/>
  <c r="O171" i="111" s="1"/>
  <c r="I171" i="111"/>
  <c r="N167" i="111"/>
  <c r="O167" i="111" s="1"/>
  <c r="I167" i="111"/>
  <c r="N166" i="111"/>
  <c r="O166" i="111" s="1"/>
  <c r="I166" i="111"/>
  <c r="N165" i="111"/>
  <c r="O165" i="111" s="1"/>
  <c r="I165" i="111"/>
  <c r="N170" i="111"/>
  <c r="O170" i="111" s="1"/>
  <c r="I170" i="111"/>
  <c r="N177" i="111"/>
  <c r="O177" i="111" s="1"/>
  <c r="I177" i="111"/>
  <c r="N164" i="111"/>
  <c r="O164" i="111" s="1"/>
  <c r="I164" i="111"/>
  <c r="N163" i="111"/>
  <c r="O163" i="111" s="1"/>
  <c r="I163" i="111"/>
  <c r="O159" i="111"/>
  <c r="I159" i="111"/>
  <c r="I144" i="111"/>
  <c r="I143" i="111"/>
  <c r="I142" i="111"/>
  <c r="I141" i="111"/>
  <c r="I140" i="111"/>
  <c r="I139" i="111"/>
  <c r="I138" i="111"/>
  <c r="I137" i="111"/>
  <c r="I136" i="111"/>
  <c r="I135" i="111"/>
  <c r="I134" i="111"/>
  <c r="I133" i="111"/>
  <c r="I132" i="111"/>
  <c r="I131" i="111"/>
  <c r="I130" i="111"/>
  <c r="I129" i="111"/>
  <c r="I128" i="111"/>
  <c r="O127" i="111"/>
  <c r="I127" i="111"/>
  <c r="O158" i="111"/>
  <c r="I158" i="111"/>
  <c r="N157" i="111"/>
  <c r="O157" i="111" s="1"/>
  <c r="I157" i="111"/>
  <c r="N145" i="111"/>
  <c r="O145" i="111" s="1"/>
  <c r="I145" i="111"/>
  <c r="N146" i="111"/>
  <c r="O146" i="111" s="1"/>
  <c r="I146" i="111"/>
  <c r="N156" i="111"/>
  <c r="O156" i="111" s="1"/>
  <c r="I156" i="111"/>
  <c r="N162" i="111"/>
  <c r="O162" i="111" s="1"/>
  <c r="I162" i="111"/>
  <c r="N155" i="111"/>
  <c r="O155" i="111" s="1"/>
  <c r="I155" i="111"/>
  <c r="N154" i="111"/>
  <c r="O154" i="111" s="1"/>
  <c r="I154" i="111"/>
  <c r="N153" i="111"/>
  <c r="O153" i="111" s="1"/>
  <c r="I153" i="111"/>
  <c r="N152" i="111"/>
  <c r="O152" i="111" s="1"/>
  <c r="I152" i="111"/>
  <c r="N151" i="111"/>
  <c r="O151" i="111" s="1"/>
  <c r="I151" i="111"/>
  <c r="N150" i="111"/>
  <c r="O150" i="111" s="1"/>
  <c r="I150" i="111"/>
  <c r="I149" i="111"/>
  <c r="I148" i="111"/>
  <c r="N147" i="111"/>
  <c r="O147" i="111" s="1"/>
  <c r="N126" i="111"/>
  <c r="O126" i="111" s="1"/>
  <c r="N125" i="111"/>
  <c r="O125" i="111" s="1"/>
  <c r="I125" i="111"/>
  <c r="N124" i="111"/>
  <c r="O124" i="111" s="1"/>
  <c r="I124" i="111"/>
  <c r="N123" i="111"/>
  <c r="O123" i="111" s="1"/>
  <c r="I123" i="111"/>
  <c r="N122" i="111"/>
  <c r="O122" i="111" s="1"/>
  <c r="I122" i="111"/>
  <c r="N121" i="111"/>
  <c r="O121" i="111" s="1"/>
  <c r="I121" i="111"/>
  <c r="N120" i="111"/>
  <c r="O120" i="111" s="1"/>
  <c r="I120" i="111"/>
  <c r="N119" i="111"/>
  <c r="O119" i="111" s="1"/>
  <c r="I119" i="111"/>
  <c r="N118" i="111"/>
  <c r="O118" i="111" s="1"/>
  <c r="I118" i="111"/>
  <c r="N78" i="111"/>
  <c r="O78" i="111" s="1"/>
  <c r="I78" i="111"/>
  <c r="N85" i="111"/>
  <c r="O85" i="111" s="1"/>
  <c r="I85" i="111"/>
  <c r="N56" i="111"/>
  <c r="O56" i="111" s="1"/>
  <c r="I56" i="111"/>
  <c r="N84" i="111"/>
  <c r="O84" i="111" s="1"/>
  <c r="I84" i="111"/>
  <c r="N83" i="111"/>
  <c r="O83" i="111" s="1"/>
  <c r="I83" i="111"/>
  <c r="N117" i="111"/>
  <c r="O117" i="111" s="1"/>
  <c r="I117" i="111"/>
  <c r="N10" i="111"/>
  <c r="O10" i="111" s="1"/>
  <c r="I10" i="111"/>
  <c r="N47" i="111"/>
  <c r="O47" i="111" s="1"/>
  <c r="I47" i="111"/>
  <c r="N82" i="111"/>
  <c r="O82" i="111" s="1"/>
  <c r="I82" i="111"/>
  <c r="I116" i="111"/>
  <c r="I115" i="111"/>
  <c r="I114" i="111"/>
  <c r="I113" i="111"/>
  <c r="I112" i="111"/>
  <c r="I111" i="111"/>
  <c r="I110" i="111"/>
  <c r="I109" i="111"/>
  <c r="I108" i="111"/>
  <c r="I107" i="111"/>
  <c r="I106" i="111"/>
  <c r="I105" i="111"/>
  <c r="I104" i="111"/>
  <c r="I103" i="111"/>
  <c r="I102" i="111"/>
  <c r="I101" i="111"/>
  <c r="I100" i="111"/>
  <c r="I99" i="111"/>
  <c r="I98" i="111"/>
  <c r="I97" i="111"/>
  <c r="I96" i="111"/>
  <c r="I95" i="111"/>
  <c r="I94" i="111"/>
  <c r="I93" i="111"/>
  <c r="I92" i="111"/>
  <c r="I91" i="111"/>
  <c r="I90" i="111"/>
  <c r="I89" i="111"/>
  <c r="I88" i="111"/>
  <c r="I87" i="111"/>
  <c r="O86" i="111"/>
  <c r="I86" i="111"/>
  <c r="N81" i="111"/>
  <c r="O81" i="111" s="1"/>
  <c r="I81" i="111"/>
  <c r="N73" i="111"/>
  <c r="O73" i="111" s="1"/>
  <c r="I73" i="111"/>
  <c r="O77" i="111"/>
  <c r="I77" i="111"/>
  <c r="O76" i="111"/>
  <c r="I76" i="111"/>
  <c r="O75" i="111"/>
  <c r="I75" i="111"/>
  <c r="N55" i="111"/>
  <c r="O55" i="111" s="1"/>
  <c r="I55" i="111"/>
  <c r="N80" i="111"/>
  <c r="O80" i="111" s="1"/>
  <c r="I80" i="111"/>
  <c r="N79" i="111"/>
  <c r="O79" i="111" s="1"/>
  <c r="I79" i="111"/>
  <c r="N67" i="111"/>
  <c r="O67" i="111" s="1"/>
  <c r="I67" i="111"/>
  <c r="N61" i="111"/>
  <c r="O61" i="111" s="1"/>
  <c r="I61" i="111"/>
  <c r="N53" i="111"/>
  <c r="O53" i="111" s="1"/>
  <c r="I53" i="111"/>
  <c r="N46" i="111"/>
  <c r="O46" i="111" s="1"/>
  <c r="I46" i="111"/>
  <c r="N60" i="111"/>
  <c r="O60" i="111" s="1"/>
  <c r="I60" i="111"/>
  <c r="N59" i="111"/>
  <c r="O59" i="111" s="1"/>
  <c r="I59" i="111"/>
  <c r="N52" i="111"/>
  <c r="O52" i="111" s="1"/>
  <c r="I52" i="111"/>
  <c r="N66" i="111"/>
  <c r="O66" i="111" s="1"/>
  <c r="I66" i="111"/>
  <c r="N58" i="111"/>
  <c r="O58" i="111" s="1"/>
  <c r="I58" i="111"/>
  <c r="N65" i="111"/>
  <c r="O65" i="111" s="1"/>
  <c r="I65" i="111"/>
  <c r="N69" i="111"/>
  <c r="O69" i="111" s="1"/>
  <c r="I69" i="111"/>
  <c r="O72" i="111"/>
  <c r="I72" i="111"/>
  <c r="N68" i="111"/>
  <c r="O68" i="111" s="1"/>
  <c r="I68" i="111"/>
  <c r="N64" i="111"/>
  <c r="O64" i="111" s="1"/>
  <c r="I64" i="111"/>
  <c r="N63" i="111"/>
  <c r="O63" i="111" s="1"/>
  <c r="I63" i="111"/>
  <c r="N62" i="111"/>
  <c r="O62" i="111" s="1"/>
  <c r="I62" i="111"/>
  <c r="N45" i="111"/>
  <c r="O45" i="111" s="1"/>
  <c r="I45" i="111"/>
  <c r="O71" i="111"/>
  <c r="N74" i="111"/>
  <c r="O74" i="111" s="1"/>
  <c r="I74" i="111"/>
  <c r="N9" i="111"/>
  <c r="O9" i="111" s="1"/>
  <c r="I9" i="111"/>
  <c r="N8" i="111"/>
  <c r="O8" i="111" s="1"/>
  <c r="I8" i="111"/>
  <c r="N7" i="111"/>
  <c r="O7" i="111" s="1"/>
  <c r="I7" i="111"/>
  <c r="O6" i="111"/>
  <c r="I6" i="111"/>
  <c r="N5" i="111"/>
  <c r="O5" i="111" s="1"/>
  <c r="I5" i="111"/>
  <c r="I4" i="111"/>
  <c r="S188" i="111"/>
  <c r="I57" i="111"/>
  <c r="I51" i="111"/>
  <c r="I50" i="111"/>
  <c r="I49" i="111"/>
  <c r="O48" i="111"/>
  <c r="I48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O15" i="111"/>
  <c r="I15" i="111"/>
  <c r="O14" i="111"/>
  <c r="I14" i="111"/>
  <c r="N13" i="111"/>
  <c r="O13" i="111" s="1"/>
  <c r="I13" i="111"/>
  <c r="N12" i="111"/>
  <c r="O12" i="111" s="1"/>
  <c r="I12" i="111"/>
  <c r="N11" i="111"/>
  <c r="O11" i="111" s="1"/>
  <c r="I11" i="111"/>
  <c r="I193" i="110"/>
  <c r="I9" i="110"/>
  <c r="I7" i="110"/>
  <c r="I189" i="110"/>
  <c r="I188" i="110"/>
  <c r="I57" i="110"/>
  <c r="I107" i="110"/>
  <c r="I124" i="110"/>
  <c r="I12" i="110"/>
  <c r="I192" i="110"/>
  <c r="O188" i="111" l="1"/>
  <c r="N188" i="111"/>
  <c r="S190" i="110"/>
  <c r="S186" i="110"/>
  <c r="B54" i="110" l="1"/>
  <c r="B181" i="110"/>
  <c r="B180" i="110"/>
  <c r="B178" i="110"/>
  <c r="B177" i="110"/>
  <c r="B175" i="110"/>
  <c r="B174" i="110"/>
  <c r="B173" i="110"/>
  <c r="B172" i="110"/>
  <c r="B171" i="110"/>
  <c r="B170" i="110"/>
  <c r="B169" i="110"/>
  <c r="B168" i="110"/>
  <c r="B167" i="110"/>
  <c r="B166" i="110"/>
  <c r="B165" i="110"/>
  <c r="B164" i="110"/>
  <c r="B163" i="110"/>
  <c r="B162" i="110"/>
  <c r="B161" i="110"/>
  <c r="B160" i="110"/>
  <c r="B159" i="110"/>
  <c r="B158" i="110"/>
  <c r="B157" i="110"/>
  <c r="B156" i="110"/>
  <c r="B155" i="110"/>
  <c r="B154" i="110"/>
  <c r="B153" i="110"/>
  <c r="B152" i="110"/>
  <c r="B151" i="110"/>
  <c r="B150" i="110"/>
  <c r="B149" i="110"/>
  <c r="B148" i="110"/>
  <c r="B147" i="110"/>
  <c r="B146" i="110"/>
  <c r="B145" i="110"/>
  <c r="B144" i="110"/>
  <c r="B143" i="110"/>
  <c r="B142" i="110"/>
  <c r="B141" i="110"/>
  <c r="B140" i="110"/>
  <c r="B139" i="110"/>
  <c r="B138" i="110"/>
  <c r="B137" i="110"/>
  <c r="B136" i="110"/>
  <c r="B135" i="110"/>
  <c r="B134" i="110"/>
  <c r="B133" i="110"/>
  <c r="B132" i="110"/>
  <c r="B131" i="110"/>
  <c r="B130" i="110"/>
  <c r="B129" i="110"/>
  <c r="B128" i="110"/>
  <c r="B127" i="110"/>
  <c r="B121" i="110"/>
  <c r="B120" i="110"/>
  <c r="B119" i="110"/>
  <c r="B118" i="110"/>
  <c r="B117" i="110"/>
  <c r="B116" i="110"/>
  <c r="B115" i="110"/>
  <c r="B114" i="110"/>
  <c r="B113" i="110"/>
  <c r="B111" i="110"/>
  <c r="B110" i="110"/>
  <c r="B109" i="110"/>
  <c r="B108" i="110"/>
  <c r="B106" i="110"/>
  <c r="B105" i="110"/>
  <c r="B103" i="110"/>
  <c r="B102" i="110"/>
  <c r="B98" i="110"/>
  <c r="B97" i="110"/>
  <c r="B96" i="110"/>
  <c r="B95" i="110"/>
  <c r="B94" i="110"/>
  <c r="B92" i="110"/>
  <c r="B90" i="110"/>
  <c r="B89" i="110"/>
  <c r="B88" i="110"/>
  <c r="B87" i="110"/>
  <c r="B86" i="110"/>
  <c r="B85" i="110"/>
  <c r="B84" i="110"/>
  <c r="B83" i="110"/>
  <c r="B82" i="110"/>
  <c r="B81" i="110"/>
  <c r="B80" i="110"/>
  <c r="B79" i="110"/>
  <c r="B78" i="110"/>
  <c r="B77" i="110"/>
  <c r="B76" i="110"/>
  <c r="B75" i="110"/>
  <c r="B74" i="110"/>
  <c r="B73" i="110"/>
  <c r="B72" i="110"/>
  <c r="B71" i="110"/>
  <c r="B70" i="110"/>
  <c r="B69" i="110"/>
  <c r="B68" i="110"/>
  <c r="B67" i="110"/>
  <c r="B66" i="110"/>
  <c r="B65" i="110"/>
  <c r="B64" i="110"/>
  <c r="B63" i="110"/>
  <c r="B62" i="110"/>
  <c r="B61" i="110"/>
  <c r="B60" i="110"/>
  <c r="B56" i="110"/>
  <c r="B53" i="110"/>
  <c r="B50" i="110"/>
  <c r="B49" i="110"/>
  <c r="B48" i="110"/>
  <c r="B47" i="110"/>
  <c r="B46" i="110"/>
  <c r="B44" i="110"/>
  <c r="B43" i="110"/>
  <c r="B42" i="110"/>
  <c r="B41" i="110"/>
  <c r="B40" i="110"/>
  <c r="B39" i="110"/>
  <c r="S181" i="110" l="1"/>
  <c r="S180" i="110"/>
  <c r="I46" i="110" l="1"/>
  <c r="S178" i="110" l="1"/>
  <c r="S173" i="110" l="1"/>
  <c r="S175" i="110"/>
  <c r="S174" i="110"/>
  <c r="I170" i="110" l="1"/>
  <c r="S172" i="110"/>
  <c r="S169" i="110" l="1"/>
  <c r="S168" i="110"/>
  <c r="S167" i="110"/>
  <c r="S130" i="110" l="1"/>
  <c r="S129" i="110"/>
  <c r="S128" i="110"/>
  <c r="S127" i="110"/>
  <c r="S119" i="110"/>
  <c r="R197" i="110" l="1"/>
  <c r="Q197" i="110"/>
  <c r="P197" i="110"/>
  <c r="M197" i="110"/>
  <c r="L197" i="110"/>
  <c r="K197" i="110"/>
  <c r="J197" i="110"/>
  <c r="N193" i="110"/>
  <c r="O193" i="110" s="1"/>
  <c r="N9" i="110"/>
  <c r="O9" i="110" s="1"/>
  <c r="N7" i="110"/>
  <c r="O7" i="110" s="1"/>
  <c r="N189" i="110"/>
  <c r="O189" i="110" s="1"/>
  <c r="N188" i="110"/>
  <c r="O188" i="110" s="1"/>
  <c r="N57" i="110"/>
  <c r="O57" i="110" s="1"/>
  <c r="N107" i="110"/>
  <c r="O107" i="110" s="1"/>
  <c r="N124" i="110"/>
  <c r="O124" i="110" s="1"/>
  <c r="N12" i="110"/>
  <c r="O12" i="110" s="1"/>
  <c r="N192" i="110"/>
  <c r="O192" i="110" s="1"/>
  <c r="N191" i="110"/>
  <c r="O191" i="110" s="1"/>
  <c r="I191" i="110"/>
  <c r="N187" i="110"/>
  <c r="O187" i="110" s="1"/>
  <c r="I187" i="110"/>
  <c r="N190" i="110"/>
  <c r="O190" i="110" s="1"/>
  <c r="I190" i="110"/>
  <c r="N186" i="110"/>
  <c r="O186" i="110" s="1"/>
  <c r="I186" i="110"/>
  <c r="O185" i="110"/>
  <c r="I185" i="110"/>
  <c r="O184" i="110"/>
  <c r="I184" i="110"/>
  <c r="N183" i="110"/>
  <c r="O183" i="110" s="1"/>
  <c r="I183" i="110"/>
  <c r="N182" i="110"/>
  <c r="O182" i="110" s="1"/>
  <c r="I182" i="110"/>
  <c r="N181" i="110"/>
  <c r="O181" i="110" s="1"/>
  <c r="I181" i="110"/>
  <c r="N180" i="110"/>
  <c r="O180" i="110" s="1"/>
  <c r="I180" i="110"/>
  <c r="N50" i="110"/>
  <c r="O50" i="110" s="1"/>
  <c r="I50" i="110"/>
  <c r="N118" i="110"/>
  <c r="O118" i="110" s="1"/>
  <c r="I118" i="110"/>
  <c r="N92" i="110"/>
  <c r="O92" i="110" s="1"/>
  <c r="I92" i="110"/>
  <c r="N49" i="110"/>
  <c r="O49" i="110" s="1"/>
  <c r="I49" i="110"/>
  <c r="N46" i="110"/>
  <c r="O46" i="110" s="1"/>
  <c r="N179" i="110"/>
  <c r="O179" i="110" s="1"/>
  <c r="I179" i="110"/>
  <c r="N178" i="110"/>
  <c r="O178" i="110" s="1"/>
  <c r="I178" i="110"/>
  <c r="N177" i="110"/>
  <c r="O177" i="110" s="1"/>
  <c r="I177" i="110"/>
  <c r="N176" i="110"/>
  <c r="O176" i="110" s="1"/>
  <c r="I176" i="110"/>
  <c r="N173" i="110"/>
  <c r="O173" i="110" s="1"/>
  <c r="I173" i="110"/>
  <c r="N175" i="110"/>
  <c r="O175" i="110" s="1"/>
  <c r="I175" i="110"/>
  <c r="N174" i="110"/>
  <c r="O174" i="110" s="1"/>
  <c r="I174" i="110"/>
  <c r="N43" i="110"/>
  <c r="O43" i="110" s="1"/>
  <c r="I43" i="110"/>
  <c r="N122" i="110"/>
  <c r="O122" i="110" s="1"/>
  <c r="I122" i="110"/>
  <c r="N56" i="110"/>
  <c r="O56" i="110" s="1"/>
  <c r="I56" i="110"/>
  <c r="O171" i="110"/>
  <c r="I171" i="110"/>
  <c r="O170" i="110"/>
  <c r="N106" i="110"/>
  <c r="O106" i="110" s="1"/>
  <c r="I106" i="110"/>
  <c r="N166" i="110"/>
  <c r="O166" i="110" s="1"/>
  <c r="I166" i="110"/>
  <c r="N165" i="110"/>
  <c r="O165" i="110" s="1"/>
  <c r="I165" i="110"/>
  <c r="N164" i="110"/>
  <c r="O164" i="110" s="1"/>
  <c r="I164" i="110"/>
  <c r="N163" i="110"/>
  <c r="O163" i="110" s="1"/>
  <c r="I163" i="110"/>
  <c r="N162" i="110"/>
  <c r="O162" i="110" s="1"/>
  <c r="I162" i="110"/>
  <c r="N161" i="110"/>
  <c r="O161" i="110" s="1"/>
  <c r="I161" i="110"/>
  <c r="N160" i="110"/>
  <c r="O160" i="110" s="1"/>
  <c r="I160" i="110"/>
  <c r="N159" i="110"/>
  <c r="O159" i="110" s="1"/>
  <c r="I159" i="110"/>
  <c r="N158" i="110"/>
  <c r="O158" i="110" s="1"/>
  <c r="I158" i="110"/>
  <c r="N157" i="110"/>
  <c r="O157" i="110" s="1"/>
  <c r="I157" i="110"/>
  <c r="N156" i="110"/>
  <c r="O156" i="110" s="1"/>
  <c r="I156" i="110"/>
  <c r="N155" i="110"/>
  <c r="O155" i="110" s="1"/>
  <c r="I155" i="110"/>
  <c r="N154" i="110"/>
  <c r="O154" i="110" s="1"/>
  <c r="I154" i="110"/>
  <c r="N153" i="110"/>
  <c r="O153" i="110" s="1"/>
  <c r="I153" i="110"/>
  <c r="N152" i="110"/>
  <c r="O152" i="110" s="1"/>
  <c r="I152" i="110"/>
  <c r="N151" i="110"/>
  <c r="O151" i="110" s="1"/>
  <c r="I151" i="110"/>
  <c r="N150" i="110"/>
  <c r="O150" i="110" s="1"/>
  <c r="I150" i="110"/>
  <c r="N149" i="110"/>
  <c r="O149" i="110" s="1"/>
  <c r="I149" i="110"/>
  <c r="N148" i="110"/>
  <c r="O148" i="110" s="1"/>
  <c r="I148" i="110"/>
  <c r="N147" i="110"/>
  <c r="O147" i="110" s="1"/>
  <c r="I147" i="110"/>
  <c r="N146" i="110"/>
  <c r="O146" i="110" s="1"/>
  <c r="I146" i="110"/>
  <c r="N145" i="110"/>
  <c r="O145" i="110" s="1"/>
  <c r="I145" i="110"/>
  <c r="N144" i="110"/>
  <c r="O144" i="110" s="1"/>
  <c r="I144" i="110"/>
  <c r="N143" i="110"/>
  <c r="O143" i="110" s="1"/>
  <c r="I143" i="110"/>
  <c r="N142" i="110"/>
  <c r="O142" i="110" s="1"/>
  <c r="I142" i="110"/>
  <c r="N141" i="110"/>
  <c r="O141" i="110" s="1"/>
  <c r="I141" i="110"/>
  <c r="N140" i="110"/>
  <c r="O140" i="110" s="1"/>
  <c r="I140" i="110"/>
  <c r="N139" i="110"/>
  <c r="O139" i="110" s="1"/>
  <c r="I139" i="110"/>
  <c r="N138" i="110"/>
  <c r="O138" i="110" s="1"/>
  <c r="I138" i="110"/>
  <c r="N137" i="110"/>
  <c r="O137" i="110" s="1"/>
  <c r="I137" i="110"/>
  <c r="N136" i="110"/>
  <c r="O136" i="110" s="1"/>
  <c r="I136" i="110"/>
  <c r="N135" i="110"/>
  <c r="O135" i="110" s="1"/>
  <c r="I135" i="110"/>
  <c r="N134" i="110"/>
  <c r="O134" i="110" s="1"/>
  <c r="I134" i="110"/>
  <c r="N133" i="110"/>
  <c r="O133" i="110" s="1"/>
  <c r="I133" i="110"/>
  <c r="N132" i="110"/>
  <c r="O132" i="110" s="1"/>
  <c r="I132" i="110"/>
  <c r="N131" i="110"/>
  <c r="O131" i="110" s="1"/>
  <c r="I131" i="110"/>
  <c r="N4" i="110"/>
  <c r="O4" i="110" s="1"/>
  <c r="I4" i="110"/>
  <c r="N172" i="110"/>
  <c r="O172" i="110" s="1"/>
  <c r="I172" i="110"/>
  <c r="N169" i="110"/>
  <c r="O169" i="110" s="1"/>
  <c r="I169" i="110"/>
  <c r="N168" i="110"/>
  <c r="O168" i="110" s="1"/>
  <c r="I168" i="110"/>
  <c r="N167" i="110"/>
  <c r="O167" i="110" s="1"/>
  <c r="I167" i="110"/>
  <c r="N114" i="110"/>
  <c r="O114" i="110" s="1"/>
  <c r="I114" i="110"/>
  <c r="N113" i="110"/>
  <c r="O113" i="110" s="1"/>
  <c r="I113" i="110"/>
  <c r="N130" i="110"/>
  <c r="O130" i="110" s="1"/>
  <c r="I130" i="110"/>
  <c r="N129" i="110"/>
  <c r="O129" i="110" s="1"/>
  <c r="I129" i="110"/>
  <c r="N128" i="110"/>
  <c r="O128" i="110" s="1"/>
  <c r="I128" i="110"/>
  <c r="N127" i="110"/>
  <c r="O127" i="110" s="1"/>
  <c r="I127" i="110"/>
  <c r="N126" i="110"/>
  <c r="O126" i="110" s="1"/>
  <c r="I126" i="110"/>
  <c r="N125" i="110"/>
  <c r="O125" i="110" s="1"/>
  <c r="I125" i="110"/>
  <c r="N117" i="110"/>
  <c r="O117" i="110" s="1"/>
  <c r="I117" i="110"/>
  <c r="N123" i="110"/>
  <c r="O123" i="110" s="1"/>
  <c r="I123" i="110"/>
  <c r="N121" i="110"/>
  <c r="O121" i="110" s="1"/>
  <c r="I121" i="110"/>
  <c r="N120" i="110"/>
  <c r="O120" i="110" s="1"/>
  <c r="I120" i="110"/>
  <c r="N116" i="110"/>
  <c r="O116" i="110" s="1"/>
  <c r="I116" i="110"/>
  <c r="N115" i="110"/>
  <c r="O115" i="110" s="1"/>
  <c r="I115" i="110"/>
  <c r="N119" i="110"/>
  <c r="O119" i="110" s="1"/>
  <c r="I119" i="110"/>
  <c r="O110" i="110"/>
  <c r="I110" i="110"/>
  <c r="O109" i="110"/>
  <c r="I109" i="110"/>
  <c r="N112" i="110"/>
  <c r="O112" i="110" s="1"/>
  <c r="I112" i="110"/>
  <c r="N111" i="110"/>
  <c r="O111" i="110" s="1"/>
  <c r="I111" i="110"/>
  <c r="N105" i="110"/>
  <c r="O105" i="110" s="1"/>
  <c r="I105" i="110"/>
  <c r="N42" i="110"/>
  <c r="O42" i="110" s="1"/>
  <c r="I42" i="110"/>
  <c r="N104" i="110"/>
  <c r="O104" i="110" s="1"/>
  <c r="I104" i="110"/>
  <c r="N99" i="110"/>
  <c r="O99" i="110" s="1"/>
  <c r="I99" i="110"/>
  <c r="S103" i="110"/>
  <c r="N103" i="110" s="1"/>
  <c r="O103" i="110" s="1"/>
  <c r="I103" i="110"/>
  <c r="S102" i="110"/>
  <c r="N102" i="110" s="1"/>
  <c r="O102" i="110" s="1"/>
  <c r="I102" i="110"/>
  <c r="S98" i="110"/>
  <c r="N98" i="110" s="1"/>
  <c r="O98" i="110" s="1"/>
  <c r="I98" i="110"/>
  <c r="N55" i="110"/>
  <c r="O55" i="110" s="1"/>
  <c r="I55" i="110"/>
  <c r="N48" i="110"/>
  <c r="O48" i="110" s="1"/>
  <c r="I48" i="110"/>
  <c r="N101" i="110"/>
  <c r="O101" i="110" s="1"/>
  <c r="I101" i="110"/>
  <c r="S108" i="110"/>
  <c r="N108" i="110" s="1"/>
  <c r="O108" i="110" s="1"/>
  <c r="I108" i="110"/>
  <c r="N100" i="110"/>
  <c r="O100" i="110" s="1"/>
  <c r="I100" i="110"/>
  <c r="N86" i="110"/>
  <c r="O86" i="110" s="1"/>
  <c r="I86" i="110"/>
  <c r="N85" i="110"/>
  <c r="O85" i="110" s="1"/>
  <c r="I85" i="110"/>
  <c r="N84" i="110"/>
  <c r="O84" i="110" s="1"/>
  <c r="I84" i="110"/>
  <c r="N83" i="110"/>
  <c r="O83" i="110" s="1"/>
  <c r="I83" i="110"/>
  <c r="N82" i="110"/>
  <c r="O82" i="110" s="1"/>
  <c r="I82" i="110"/>
  <c r="N81" i="110"/>
  <c r="O81" i="110" s="1"/>
  <c r="I81" i="110"/>
  <c r="N80" i="110"/>
  <c r="O80" i="110" s="1"/>
  <c r="I80" i="110"/>
  <c r="N79" i="110"/>
  <c r="O79" i="110" s="1"/>
  <c r="I79" i="110"/>
  <c r="N78" i="110"/>
  <c r="O78" i="110" s="1"/>
  <c r="I78" i="110"/>
  <c r="N77" i="110"/>
  <c r="O77" i="110" s="1"/>
  <c r="I77" i="110"/>
  <c r="N76" i="110"/>
  <c r="O76" i="110" s="1"/>
  <c r="I76" i="110"/>
  <c r="N75" i="110"/>
  <c r="O75" i="110" s="1"/>
  <c r="I75" i="110"/>
  <c r="N74" i="110"/>
  <c r="O74" i="110" s="1"/>
  <c r="I74" i="110"/>
  <c r="N73" i="110"/>
  <c r="O73" i="110" s="1"/>
  <c r="I73" i="110"/>
  <c r="N72" i="110"/>
  <c r="O72" i="110" s="1"/>
  <c r="I72" i="110"/>
  <c r="N71" i="110"/>
  <c r="O71" i="110" s="1"/>
  <c r="I71" i="110"/>
  <c r="N70" i="110"/>
  <c r="O70" i="110" s="1"/>
  <c r="I70" i="110"/>
  <c r="N69" i="110"/>
  <c r="O69" i="110" s="1"/>
  <c r="I69" i="110"/>
  <c r="N68" i="110"/>
  <c r="O68" i="110" s="1"/>
  <c r="I68" i="110"/>
  <c r="N67" i="110"/>
  <c r="O67" i="110" s="1"/>
  <c r="I67" i="110"/>
  <c r="N66" i="110"/>
  <c r="O66" i="110" s="1"/>
  <c r="I66" i="110"/>
  <c r="N65" i="110"/>
  <c r="O65" i="110" s="1"/>
  <c r="I65" i="110"/>
  <c r="N64" i="110"/>
  <c r="O64" i="110" s="1"/>
  <c r="I64" i="110"/>
  <c r="N63" i="110"/>
  <c r="O63" i="110" s="1"/>
  <c r="I63" i="110"/>
  <c r="N62" i="110"/>
  <c r="O62" i="110" s="1"/>
  <c r="I62" i="110"/>
  <c r="N54" i="110"/>
  <c r="O54" i="110" s="1"/>
  <c r="I54" i="110"/>
  <c r="N91" i="110"/>
  <c r="O91" i="110" s="1"/>
  <c r="I91" i="110"/>
  <c r="N45" i="110"/>
  <c r="O45" i="110" s="1"/>
  <c r="I45" i="110"/>
  <c r="S61" i="110"/>
  <c r="N61" i="110" s="1"/>
  <c r="O61" i="110" s="1"/>
  <c r="I61" i="110"/>
  <c r="N53" i="110"/>
  <c r="O53" i="110" s="1"/>
  <c r="I53" i="110"/>
  <c r="S60" i="110"/>
  <c r="N60" i="110" s="1"/>
  <c r="O60" i="110" s="1"/>
  <c r="I60" i="110"/>
  <c r="S90" i="110"/>
  <c r="N90" i="110" s="1"/>
  <c r="O90" i="110" s="1"/>
  <c r="I90" i="110"/>
  <c r="S89" i="110"/>
  <c r="N89" i="110" s="1"/>
  <c r="O89" i="110" s="1"/>
  <c r="I89" i="110"/>
  <c r="S97" i="110"/>
  <c r="N97" i="110" s="1"/>
  <c r="O97" i="110" s="1"/>
  <c r="I97" i="110"/>
  <c r="S96" i="110"/>
  <c r="N96" i="110" s="1"/>
  <c r="O96" i="110" s="1"/>
  <c r="I96" i="110"/>
  <c r="S95" i="110"/>
  <c r="N95" i="110" s="1"/>
  <c r="O95" i="110" s="1"/>
  <c r="I95" i="110"/>
  <c r="S94" i="110"/>
  <c r="N94" i="110" s="1"/>
  <c r="O94" i="110" s="1"/>
  <c r="I94" i="110"/>
  <c r="N88" i="110"/>
  <c r="O88" i="110" s="1"/>
  <c r="I88" i="110"/>
  <c r="N11" i="110"/>
  <c r="O11" i="110" s="1"/>
  <c r="I11" i="110"/>
  <c r="N6" i="110"/>
  <c r="O6" i="110" s="1"/>
  <c r="I6" i="110"/>
  <c r="N5" i="110"/>
  <c r="O5" i="110" s="1"/>
  <c r="I5" i="110"/>
  <c r="N8" i="110"/>
  <c r="O8" i="110" s="1"/>
  <c r="I8" i="110"/>
  <c r="N93" i="110"/>
  <c r="O93" i="110" s="1"/>
  <c r="I93" i="110"/>
  <c r="N59" i="110"/>
  <c r="O59" i="110" s="1"/>
  <c r="I59" i="110"/>
  <c r="N87" i="110"/>
  <c r="O87" i="110" s="1"/>
  <c r="I87" i="110"/>
  <c r="AD58" i="110"/>
  <c r="B58" i="110" s="1"/>
  <c r="S58" i="110"/>
  <c r="O58" i="110"/>
  <c r="I58" i="110"/>
  <c r="O41" i="110"/>
  <c r="I41" i="110"/>
  <c r="AD52" i="110"/>
  <c r="B52" i="110" s="1"/>
  <c r="S52" i="110"/>
  <c r="O52" i="110"/>
  <c r="I52" i="110"/>
  <c r="N51" i="110"/>
  <c r="O51" i="110" s="1"/>
  <c r="I51" i="110"/>
  <c r="O47" i="110"/>
  <c r="I47" i="110"/>
  <c r="S44" i="110"/>
  <c r="N44" i="110" s="1"/>
  <c r="O44" i="110" s="1"/>
  <c r="I44" i="110"/>
  <c r="N40" i="110"/>
  <c r="O40" i="110" s="1"/>
  <c r="I40" i="110"/>
  <c r="N39" i="110"/>
  <c r="O39" i="110" s="1"/>
  <c r="I39" i="110"/>
  <c r="AD38" i="110"/>
  <c r="B38" i="110" s="1"/>
  <c r="N38" i="110"/>
  <c r="O38" i="110" s="1"/>
  <c r="I38" i="110"/>
  <c r="AD37" i="110"/>
  <c r="B37" i="110" s="1"/>
  <c r="N37" i="110"/>
  <c r="O37" i="110" s="1"/>
  <c r="I37" i="110"/>
  <c r="AD36" i="110"/>
  <c r="B36" i="110" s="1"/>
  <c r="N36" i="110"/>
  <c r="O36" i="110" s="1"/>
  <c r="I36" i="110"/>
  <c r="AD35" i="110"/>
  <c r="B35" i="110" s="1"/>
  <c r="N35" i="110"/>
  <c r="O35" i="110" s="1"/>
  <c r="I35" i="110"/>
  <c r="AD34" i="110"/>
  <c r="B34" i="110" s="1"/>
  <c r="N34" i="110"/>
  <c r="O34" i="110" s="1"/>
  <c r="I34" i="110"/>
  <c r="AD33" i="110"/>
  <c r="B33" i="110" s="1"/>
  <c r="N33" i="110"/>
  <c r="O33" i="110" s="1"/>
  <c r="I33" i="110"/>
  <c r="AD32" i="110"/>
  <c r="B32" i="110" s="1"/>
  <c r="N32" i="110"/>
  <c r="O32" i="110" s="1"/>
  <c r="I32" i="110"/>
  <c r="AD31" i="110"/>
  <c r="B31" i="110" s="1"/>
  <c r="N31" i="110"/>
  <c r="O31" i="110" s="1"/>
  <c r="I31" i="110"/>
  <c r="AD30" i="110"/>
  <c r="B30" i="110" s="1"/>
  <c r="N30" i="110"/>
  <c r="O30" i="110" s="1"/>
  <c r="I30" i="110"/>
  <c r="AD29" i="110"/>
  <c r="B29" i="110" s="1"/>
  <c r="N29" i="110"/>
  <c r="O29" i="110" s="1"/>
  <c r="I29" i="110"/>
  <c r="AD28" i="110"/>
  <c r="B28" i="110" s="1"/>
  <c r="N28" i="110"/>
  <c r="O28" i="110" s="1"/>
  <c r="I28" i="110"/>
  <c r="AD27" i="110"/>
  <c r="B27" i="110" s="1"/>
  <c r="N27" i="110"/>
  <c r="O27" i="110" s="1"/>
  <c r="I27" i="110"/>
  <c r="AD26" i="110"/>
  <c r="B26" i="110" s="1"/>
  <c r="N26" i="110"/>
  <c r="O26" i="110" s="1"/>
  <c r="I26" i="110"/>
  <c r="AD25" i="110"/>
  <c r="B25" i="110" s="1"/>
  <c r="N25" i="110"/>
  <c r="O25" i="110" s="1"/>
  <c r="I25" i="110"/>
  <c r="AD24" i="110"/>
  <c r="B24" i="110" s="1"/>
  <c r="N24" i="110"/>
  <c r="O24" i="110" s="1"/>
  <c r="I24" i="110"/>
  <c r="AD23" i="110"/>
  <c r="B23" i="110" s="1"/>
  <c r="N23" i="110"/>
  <c r="O23" i="110" s="1"/>
  <c r="I23" i="110"/>
  <c r="AD22" i="110"/>
  <c r="B22" i="110" s="1"/>
  <c r="N22" i="110"/>
  <c r="O22" i="110" s="1"/>
  <c r="I22" i="110"/>
  <c r="AD21" i="110"/>
  <c r="B21" i="110" s="1"/>
  <c r="N21" i="110"/>
  <c r="O21" i="110" s="1"/>
  <c r="I21" i="110"/>
  <c r="AD20" i="110"/>
  <c r="B20" i="110" s="1"/>
  <c r="N20" i="110"/>
  <c r="O20" i="110" s="1"/>
  <c r="I20" i="110"/>
  <c r="AD19" i="110"/>
  <c r="B19" i="110" s="1"/>
  <c r="N19" i="110"/>
  <c r="O19" i="110" s="1"/>
  <c r="I19" i="110"/>
  <c r="AD18" i="110"/>
  <c r="B18" i="110" s="1"/>
  <c r="N18" i="110"/>
  <c r="O18" i="110" s="1"/>
  <c r="I18" i="110"/>
  <c r="AD17" i="110"/>
  <c r="B17" i="110" s="1"/>
  <c r="N17" i="110"/>
  <c r="O17" i="110" s="1"/>
  <c r="I17" i="110"/>
  <c r="AD16" i="110"/>
  <c r="B16" i="110" s="1"/>
  <c r="N16" i="110"/>
  <c r="O16" i="110" s="1"/>
  <c r="I16" i="110"/>
  <c r="AD15" i="110"/>
  <c r="B15" i="110" s="1"/>
  <c r="N15" i="110"/>
  <c r="O15" i="110" s="1"/>
  <c r="I15" i="110"/>
  <c r="AD14" i="110"/>
  <c r="B14" i="110" s="1"/>
  <c r="N14" i="110"/>
  <c r="O14" i="110" s="1"/>
  <c r="I14" i="110"/>
  <c r="AD13" i="110"/>
  <c r="B13" i="110" s="1"/>
  <c r="N13" i="110"/>
  <c r="O13" i="110" s="1"/>
  <c r="I13" i="110"/>
  <c r="N10" i="110"/>
  <c r="I10" i="110"/>
  <c r="S197" i="110" l="1"/>
  <c r="N197" i="110"/>
  <c r="O10" i="110"/>
  <c r="O197" i="110" s="1"/>
  <c r="N157" i="106" l="1"/>
  <c r="O157" i="106" s="1"/>
  <c r="I157" i="106"/>
  <c r="N156" i="106" l="1"/>
  <c r="O156" i="106" s="1"/>
  <c r="I156" i="106"/>
  <c r="N9" i="106" l="1"/>
  <c r="O9" i="106" s="1"/>
  <c r="I9" i="106"/>
  <c r="N5" i="106"/>
  <c r="O5" i="106" s="1"/>
  <c r="I5" i="106"/>
  <c r="S134" i="106" l="1"/>
  <c r="S129" i="106" l="1"/>
  <c r="N129" i="106" s="1"/>
  <c r="S147" i="106"/>
  <c r="N147" i="106" s="1"/>
  <c r="O147" i="106" s="1"/>
  <c r="S146" i="106"/>
  <c r="N146" i="106" s="1"/>
  <c r="O146" i="106" s="1"/>
  <c r="S154" i="106"/>
  <c r="N154" i="106" s="1"/>
  <c r="O154" i="106" s="1"/>
  <c r="S70" i="106"/>
  <c r="N70" i="106" s="1"/>
  <c r="O70" i="106" s="1"/>
  <c r="N12" i="106"/>
  <c r="O12" i="106" s="1"/>
  <c r="N148" i="106"/>
  <c r="O148" i="106" s="1"/>
  <c r="N15" i="106"/>
  <c r="O15" i="106" s="1"/>
  <c r="N13" i="106"/>
  <c r="O13" i="106" s="1"/>
  <c r="N126" i="106"/>
  <c r="O126" i="106" s="1"/>
  <c r="N16" i="106"/>
  <c r="O16" i="106" s="1"/>
  <c r="N78" i="106"/>
  <c r="O78" i="106" s="1"/>
  <c r="S139" i="106"/>
  <c r="S145" i="106"/>
  <c r="S144" i="106"/>
  <c r="S153" i="106"/>
  <c r="S143" i="106"/>
  <c r="O93" i="106" l="1"/>
  <c r="O94" i="106"/>
  <c r="O95" i="106"/>
  <c r="O96" i="106"/>
  <c r="O97" i="106"/>
  <c r="O98" i="106"/>
  <c r="O99" i="106"/>
  <c r="O100" i="106"/>
  <c r="O101" i="106"/>
  <c r="O102" i="106"/>
  <c r="O103" i="106"/>
  <c r="O104" i="106"/>
  <c r="O105" i="106"/>
  <c r="O106" i="106"/>
  <c r="O107" i="106"/>
  <c r="O108" i="106"/>
  <c r="O109" i="106"/>
  <c r="O110" i="106"/>
  <c r="O111" i="106"/>
  <c r="O112" i="106"/>
  <c r="S124" i="106"/>
  <c r="I18" i="106" l="1"/>
  <c r="O18" i="106"/>
  <c r="I19" i="106"/>
  <c r="O19" i="106"/>
  <c r="I20" i="106"/>
  <c r="O20" i="106"/>
  <c r="I21" i="106"/>
  <c r="O21" i="106"/>
  <c r="I22" i="106"/>
  <c r="O22" i="106"/>
  <c r="I23" i="106"/>
  <c r="O23" i="106"/>
  <c r="I24" i="106"/>
  <c r="O24" i="106"/>
  <c r="I25" i="106"/>
  <c r="O25" i="106"/>
  <c r="I26" i="106"/>
  <c r="O26" i="106"/>
  <c r="I27" i="106"/>
  <c r="O27" i="106"/>
  <c r="I28" i="106"/>
  <c r="O28" i="106"/>
  <c r="I29" i="106"/>
  <c r="O29" i="106"/>
  <c r="I30" i="106"/>
  <c r="O30" i="106"/>
  <c r="I31" i="106"/>
  <c r="O31" i="106"/>
  <c r="I32" i="106"/>
  <c r="O32" i="106"/>
  <c r="I33" i="106"/>
  <c r="O33" i="106"/>
  <c r="I34" i="106"/>
  <c r="O34" i="106"/>
  <c r="I35" i="106"/>
  <c r="O35" i="106"/>
  <c r="I36" i="106"/>
  <c r="O36" i="106"/>
  <c r="I37" i="106"/>
  <c r="O37" i="106"/>
  <c r="O62" i="106"/>
  <c r="O63" i="106"/>
  <c r="O64" i="106"/>
  <c r="O65" i="106"/>
  <c r="O66" i="106"/>
  <c r="O50" i="106"/>
  <c r="O51" i="106"/>
  <c r="O52" i="106"/>
  <c r="O53" i="106"/>
  <c r="O54" i="106"/>
  <c r="O55" i="106"/>
  <c r="O56" i="106"/>
  <c r="O57" i="106"/>
  <c r="O58" i="106"/>
  <c r="O59" i="106"/>
  <c r="O60" i="106"/>
  <c r="O61" i="106"/>
  <c r="O44" i="106"/>
  <c r="O45" i="106"/>
  <c r="O46" i="106"/>
  <c r="O47" i="106"/>
  <c r="O48" i="106"/>
  <c r="O49" i="106"/>
  <c r="O43" i="106"/>
  <c r="S121" i="106"/>
  <c r="S120" i="106"/>
  <c r="S119" i="106"/>
  <c r="S118" i="106"/>
  <c r="S90" i="106"/>
  <c r="S89" i="106"/>
  <c r="S76" i="106" l="1"/>
  <c r="S75" i="106"/>
  <c r="S85" i="106"/>
  <c r="S40" i="106"/>
  <c r="R159" i="106" l="1"/>
  <c r="Q159" i="106"/>
  <c r="P159" i="106"/>
  <c r="M159" i="106"/>
  <c r="L159" i="106"/>
  <c r="K159" i="106"/>
  <c r="J159" i="106"/>
  <c r="N158" i="106"/>
  <c r="O158" i="106" s="1"/>
  <c r="I158" i="106"/>
  <c r="N134" i="106"/>
  <c r="O134" i="106" s="1"/>
  <c r="I134" i="106"/>
  <c r="N133" i="106"/>
  <c r="O133" i="106" s="1"/>
  <c r="I133" i="106"/>
  <c r="N132" i="106"/>
  <c r="O132" i="106" s="1"/>
  <c r="I132" i="106"/>
  <c r="N131" i="106"/>
  <c r="O131" i="106" s="1"/>
  <c r="I131" i="106"/>
  <c r="N71" i="106"/>
  <c r="O71" i="106" s="1"/>
  <c r="I71" i="106"/>
  <c r="N130" i="106"/>
  <c r="O130" i="106" s="1"/>
  <c r="I130" i="106"/>
  <c r="N127" i="106"/>
  <c r="O127" i="106" s="1"/>
  <c r="I127" i="106"/>
  <c r="N39" i="106"/>
  <c r="O39" i="106" s="1"/>
  <c r="I39" i="106"/>
  <c r="O155" i="106"/>
  <c r="I155" i="106"/>
  <c r="O17" i="106"/>
  <c r="I17" i="106"/>
  <c r="I16" i="106"/>
  <c r="I126" i="106"/>
  <c r="I13" i="106"/>
  <c r="I15" i="106"/>
  <c r="I148" i="106"/>
  <c r="I12" i="106"/>
  <c r="I147" i="106"/>
  <c r="I146" i="106"/>
  <c r="I154" i="106"/>
  <c r="I70" i="106"/>
  <c r="O129" i="106"/>
  <c r="I129" i="106"/>
  <c r="O139" i="106"/>
  <c r="I139" i="106"/>
  <c r="O145" i="106"/>
  <c r="I145" i="106"/>
  <c r="O144" i="106"/>
  <c r="I144" i="106"/>
  <c r="O153" i="106"/>
  <c r="I153" i="106"/>
  <c r="O143" i="106"/>
  <c r="I143" i="106"/>
  <c r="O87" i="106"/>
  <c r="I87" i="106"/>
  <c r="O142" i="106"/>
  <c r="I142" i="106"/>
  <c r="O141" i="106"/>
  <c r="I141" i="106"/>
  <c r="O128" i="106"/>
  <c r="I128" i="106"/>
  <c r="O138" i="106"/>
  <c r="I138" i="106"/>
  <c r="O137" i="106"/>
  <c r="I137" i="106"/>
  <c r="O140" i="106"/>
  <c r="I140" i="106"/>
  <c r="O117" i="106"/>
  <c r="I117" i="106"/>
  <c r="I152" i="106"/>
  <c r="N151" i="106"/>
  <c r="O151" i="106" s="1"/>
  <c r="I151" i="106"/>
  <c r="O150" i="106"/>
  <c r="I150" i="106"/>
  <c r="O125" i="106"/>
  <c r="I125" i="106"/>
  <c r="I112" i="106"/>
  <c r="I111" i="106"/>
  <c r="I110" i="106"/>
  <c r="I109" i="106"/>
  <c r="I108" i="106"/>
  <c r="I107" i="106"/>
  <c r="I106" i="106"/>
  <c r="I105" i="106"/>
  <c r="I104" i="106"/>
  <c r="I103" i="106"/>
  <c r="I102" i="106"/>
  <c r="I101" i="106"/>
  <c r="I100" i="106"/>
  <c r="I99" i="106"/>
  <c r="I98" i="106"/>
  <c r="I97" i="106"/>
  <c r="I96" i="106"/>
  <c r="I95" i="106"/>
  <c r="I94" i="106"/>
  <c r="I93" i="106"/>
  <c r="O92" i="106"/>
  <c r="I92" i="106"/>
  <c r="O91" i="106"/>
  <c r="I91" i="106"/>
  <c r="O124" i="106"/>
  <c r="I124" i="106"/>
  <c r="O136" i="106"/>
  <c r="I136" i="106"/>
  <c r="O135" i="106"/>
  <c r="I135" i="106"/>
  <c r="O114" i="106"/>
  <c r="I114" i="106"/>
  <c r="O123" i="106"/>
  <c r="I123" i="106"/>
  <c r="O8" i="106"/>
  <c r="I8" i="106"/>
  <c r="O7" i="106"/>
  <c r="I7" i="106"/>
  <c r="O6" i="106"/>
  <c r="I6" i="106"/>
  <c r="O4" i="106"/>
  <c r="I4" i="106"/>
  <c r="O149" i="106"/>
  <c r="I149" i="106"/>
  <c r="O116" i="106"/>
  <c r="I116" i="106"/>
  <c r="O67" i="106"/>
  <c r="I67" i="106"/>
  <c r="I66" i="106"/>
  <c r="I65" i="106"/>
  <c r="I64" i="106"/>
  <c r="I63" i="106"/>
  <c r="I62" i="106"/>
  <c r="I61" i="106"/>
  <c r="I60" i="106"/>
  <c r="I59" i="106"/>
  <c r="I58" i="106"/>
  <c r="I57" i="106"/>
  <c r="I56" i="106"/>
  <c r="I55" i="106"/>
  <c r="I54" i="106"/>
  <c r="I53" i="106"/>
  <c r="I52" i="106"/>
  <c r="I51" i="106"/>
  <c r="I50" i="106"/>
  <c r="I49" i="106"/>
  <c r="I48" i="106"/>
  <c r="I47" i="106"/>
  <c r="I46" i="106"/>
  <c r="I45" i="106"/>
  <c r="I44" i="106"/>
  <c r="I43" i="106"/>
  <c r="O42" i="106"/>
  <c r="I42" i="106"/>
  <c r="O74" i="106"/>
  <c r="I74" i="106"/>
  <c r="O73" i="106"/>
  <c r="I73" i="106"/>
  <c r="N122" i="106"/>
  <c r="O122" i="106" s="1"/>
  <c r="I122" i="106"/>
  <c r="N121" i="106"/>
  <c r="O121" i="106" s="1"/>
  <c r="I121" i="106"/>
  <c r="N120" i="106"/>
  <c r="O120" i="106" s="1"/>
  <c r="I120" i="106"/>
  <c r="N119" i="106"/>
  <c r="O119" i="106" s="1"/>
  <c r="I119" i="106"/>
  <c r="N118" i="106"/>
  <c r="O118" i="106" s="1"/>
  <c r="I118" i="106"/>
  <c r="N90" i="106"/>
  <c r="O90" i="106" s="1"/>
  <c r="I90" i="106"/>
  <c r="N89" i="106"/>
  <c r="O89" i="106" s="1"/>
  <c r="I89" i="106"/>
  <c r="N86" i="106"/>
  <c r="O86" i="106" s="1"/>
  <c r="N76" i="106"/>
  <c r="O76" i="106" s="1"/>
  <c r="I76" i="106"/>
  <c r="N75" i="106"/>
  <c r="O75" i="106" s="1"/>
  <c r="I75" i="106"/>
  <c r="N85" i="106"/>
  <c r="O85" i="106" s="1"/>
  <c r="I85" i="106"/>
  <c r="I78" i="106"/>
  <c r="N84" i="106"/>
  <c r="O84" i="106" s="1"/>
  <c r="I84" i="106"/>
  <c r="N88" i="106"/>
  <c r="O88" i="106" s="1"/>
  <c r="I88" i="106"/>
  <c r="N82" i="106"/>
  <c r="O82" i="106" s="1"/>
  <c r="I82" i="106"/>
  <c r="N72" i="106"/>
  <c r="O72" i="106" s="1"/>
  <c r="I72" i="106"/>
  <c r="N83" i="106"/>
  <c r="O83" i="106" s="1"/>
  <c r="I83" i="106"/>
  <c r="N113" i="106"/>
  <c r="O113" i="106" s="1"/>
  <c r="I113" i="106"/>
  <c r="N115" i="106"/>
  <c r="O115" i="106" s="1"/>
  <c r="I115" i="106"/>
  <c r="S159" i="106"/>
  <c r="I81" i="106"/>
  <c r="N14" i="106"/>
  <c r="O14" i="106" s="1"/>
  <c r="I14" i="106"/>
  <c r="N40" i="106"/>
  <c r="O40" i="106" s="1"/>
  <c r="I40" i="106"/>
  <c r="N38" i="106"/>
  <c r="O38" i="106" s="1"/>
  <c r="I38" i="106"/>
  <c r="N41" i="106"/>
  <c r="O41" i="106" s="1"/>
  <c r="I41" i="106"/>
  <c r="N69" i="106"/>
  <c r="O69" i="106" s="1"/>
  <c r="I69" i="106"/>
  <c r="N68" i="106"/>
  <c r="O68" i="106" s="1"/>
  <c r="I68" i="106"/>
  <c r="N80" i="106"/>
  <c r="O80" i="106" s="1"/>
  <c r="I80" i="106"/>
  <c r="N77" i="106"/>
  <c r="O77" i="106" s="1"/>
  <c r="I77" i="106"/>
  <c r="N79" i="106"/>
  <c r="O79" i="106" s="1"/>
  <c r="I79" i="106"/>
  <c r="N11" i="106"/>
  <c r="O11" i="106" s="1"/>
  <c r="I11" i="106"/>
  <c r="N10" i="106"/>
  <c r="O10" i="106" s="1"/>
  <c r="I10" i="106"/>
  <c r="N81" i="106" l="1"/>
  <c r="O81" i="106" s="1"/>
  <c r="O159" i="106" s="1"/>
  <c r="N6" i="105"/>
  <c r="O6" i="105" s="1"/>
  <c r="I6" i="105"/>
  <c r="N159" i="106" l="1"/>
  <c r="N8" i="105"/>
  <c r="O8" i="105" s="1"/>
  <c r="I8" i="105"/>
  <c r="N7" i="105"/>
  <c r="O7" i="105" s="1"/>
  <c r="I7" i="105"/>
  <c r="N5" i="105"/>
  <c r="O5" i="105" s="1"/>
  <c r="I5" i="105"/>
  <c r="N4" i="105"/>
  <c r="O4" i="105" s="1"/>
  <c r="I4" i="105"/>
  <c r="N11" i="105"/>
  <c r="O11" i="105" s="1"/>
  <c r="I11" i="105"/>
  <c r="O271" i="105" l="1"/>
  <c r="I271" i="105"/>
  <c r="N259" i="105"/>
  <c r="O259" i="105" s="1"/>
  <c r="I259" i="105"/>
  <c r="N258" i="105"/>
  <c r="O258" i="105" s="1"/>
  <c r="I258" i="105"/>
  <c r="N257" i="105"/>
  <c r="O257" i="105" s="1"/>
  <c r="I257" i="105"/>
  <c r="N256" i="105"/>
  <c r="O256" i="105" s="1"/>
  <c r="I256" i="105"/>
  <c r="N249" i="105"/>
  <c r="O249" i="105" s="1"/>
  <c r="I249" i="105"/>
  <c r="N56" i="105"/>
  <c r="O56" i="105" s="1"/>
  <c r="I56" i="105"/>
  <c r="N192" i="105"/>
  <c r="O192" i="105" s="1"/>
  <c r="I192" i="105"/>
  <c r="N272" i="105"/>
  <c r="O272" i="105" s="1"/>
  <c r="I272" i="105"/>
  <c r="N14" i="105"/>
  <c r="O14" i="105" s="1"/>
  <c r="I14" i="105"/>
  <c r="N260" i="105"/>
  <c r="O260" i="105" s="1"/>
  <c r="I260" i="105"/>
  <c r="N18" i="105"/>
  <c r="O18" i="105" s="1"/>
  <c r="I18" i="105"/>
  <c r="N10" i="105"/>
  <c r="O10" i="105" s="1"/>
  <c r="I10" i="105"/>
  <c r="I36" i="105" l="1"/>
  <c r="O36" i="105"/>
  <c r="I37" i="105"/>
  <c r="O37" i="105"/>
  <c r="I38" i="105"/>
  <c r="O38" i="105"/>
  <c r="I39" i="105"/>
  <c r="O39" i="105"/>
  <c r="I40" i="105"/>
  <c r="O40" i="105"/>
  <c r="I41" i="105"/>
  <c r="O41" i="105"/>
  <c r="I42" i="105"/>
  <c r="O42" i="105"/>
  <c r="I43" i="105"/>
  <c r="O43" i="105"/>
  <c r="I44" i="105"/>
  <c r="O44" i="105"/>
  <c r="I45" i="105"/>
  <c r="O45" i="105"/>
  <c r="I46" i="105"/>
  <c r="O46" i="105"/>
  <c r="I47" i="105"/>
  <c r="O47" i="105"/>
  <c r="I48" i="105"/>
  <c r="O48" i="105"/>
  <c r="I49" i="105"/>
  <c r="O49" i="105"/>
  <c r="I50" i="105"/>
  <c r="O50" i="105"/>
  <c r="I51" i="105"/>
  <c r="O51" i="105"/>
  <c r="I52" i="105"/>
  <c r="O52" i="105"/>
  <c r="I53" i="105"/>
  <c r="O53" i="105"/>
  <c r="I54" i="105"/>
  <c r="O54" i="105"/>
  <c r="I55" i="105"/>
  <c r="O55" i="105"/>
  <c r="I172" i="105"/>
  <c r="O172" i="105"/>
  <c r="I173" i="105"/>
  <c r="O173" i="105"/>
  <c r="I174" i="105"/>
  <c r="O174" i="105"/>
  <c r="I175" i="105"/>
  <c r="O175" i="105"/>
  <c r="I176" i="105"/>
  <c r="O176" i="105"/>
  <c r="I177" i="105"/>
  <c r="O177" i="105"/>
  <c r="I178" i="105"/>
  <c r="O178" i="105"/>
  <c r="I179" i="105"/>
  <c r="O179" i="105"/>
  <c r="I180" i="105"/>
  <c r="O180" i="105"/>
  <c r="I181" i="105"/>
  <c r="O181" i="105"/>
  <c r="I182" i="105"/>
  <c r="O182" i="105"/>
  <c r="I183" i="105"/>
  <c r="O183" i="105"/>
  <c r="I184" i="105"/>
  <c r="O184" i="105"/>
  <c r="I185" i="105"/>
  <c r="O185" i="105"/>
  <c r="I186" i="105"/>
  <c r="O186" i="105"/>
  <c r="I187" i="105"/>
  <c r="O187" i="105"/>
  <c r="I188" i="105"/>
  <c r="O188" i="105"/>
  <c r="I189" i="105"/>
  <c r="O189" i="105"/>
  <c r="I190" i="105"/>
  <c r="O190" i="105"/>
  <c r="I191" i="105"/>
  <c r="O191" i="105"/>
  <c r="I162" i="105"/>
  <c r="O162" i="105"/>
  <c r="I163" i="105"/>
  <c r="O163" i="105"/>
  <c r="I164" i="105"/>
  <c r="O164" i="105"/>
  <c r="I165" i="105"/>
  <c r="O165" i="105"/>
  <c r="I166" i="105"/>
  <c r="O166" i="105"/>
  <c r="I167" i="105"/>
  <c r="O167" i="105"/>
  <c r="I168" i="105"/>
  <c r="O168" i="105"/>
  <c r="I169" i="105"/>
  <c r="O169" i="105"/>
  <c r="I170" i="105"/>
  <c r="O170" i="105"/>
  <c r="I171" i="105"/>
  <c r="O171" i="105"/>
  <c r="I152" i="105"/>
  <c r="O152" i="105"/>
  <c r="I153" i="105"/>
  <c r="O153" i="105"/>
  <c r="I154" i="105"/>
  <c r="O154" i="105"/>
  <c r="I155" i="105"/>
  <c r="O155" i="105"/>
  <c r="I156" i="105"/>
  <c r="O156" i="105"/>
  <c r="I157" i="105"/>
  <c r="O157" i="105"/>
  <c r="I158" i="105"/>
  <c r="O158" i="105"/>
  <c r="I159" i="105"/>
  <c r="O159" i="105"/>
  <c r="I160" i="105"/>
  <c r="O160" i="105"/>
  <c r="I161" i="105"/>
  <c r="O161" i="105"/>
  <c r="I139" i="105"/>
  <c r="O139" i="105"/>
  <c r="I140" i="105"/>
  <c r="O140" i="105"/>
  <c r="I141" i="105"/>
  <c r="O141" i="105"/>
  <c r="I142" i="105"/>
  <c r="O142" i="105"/>
  <c r="I143" i="105"/>
  <c r="O143" i="105"/>
  <c r="I144" i="105"/>
  <c r="O144" i="105"/>
  <c r="I145" i="105"/>
  <c r="O145" i="105"/>
  <c r="I146" i="105"/>
  <c r="O146" i="105"/>
  <c r="I147" i="105"/>
  <c r="O147" i="105"/>
  <c r="I148" i="105"/>
  <c r="O148" i="105"/>
  <c r="I149" i="105"/>
  <c r="O149" i="105"/>
  <c r="I150" i="105"/>
  <c r="O150" i="105"/>
  <c r="I151" i="105"/>
  <c r="O151" i="105"/>
  <c r="I122" i="105"/>
  <c r="O122" i="105"/>
  <c r="I123" i="105"/>
  <c r="O123" i="105"/>
  <c r="I124" i="105"/>
  <c r="O124" i="105"/>
  <c r="I125" i="105"/>
  <c r="O125" i="105"/>
  <c r="I126" i="105"/>
  <c r="O126" i="105"/>
  <c r="I127" i="105"/>
  <c r="O127" i="105"/>
  <c r="I128" i="105"/>
  <c r="O128" i="105"/>
  <c r="I129" i="105"/>
  <c r="O129" i="105"/>
  <c r="I130" i="105"/>
  <c r="O130" i="105"/>
  <c r="I131" i="105"/>
  <c r="O131" i="105"/>
  <c r="I132" i="105"/>
  <c r="O132" i="105"/>
  <c r="I133" i="105"/>
  <c r="O133" i="105"/>
  <c r="I134" i="105"/>
  <c r="O134" i="105"/>
  <c r="I135" i="105"/>
  <c r="O135" i="105"/>
  <c r="I136" i="105"/>
  <c r="O136" i="105"/>
  <c r="I137" i="105"/>
  <c r="O137" i="105"/>
  <c r="I138" i="105"/>
  <c r="O138" i="105"/>
  <c r="N28" i="105"/>
  <c r="O28" i="105" s="1"/>
  <c r="N9" i="105"/>
  <c r="O9" i="105" s="1"/>
  <c r="P274" i="105"/>
  <c r="Q274" i="105"/>
  <c r="R274" i="105"/>
  <c r="O121" i="105"/>
  <c r="I121" i="105"/>
  <c r="O120" i="105"/>
  <c r="I120" i="105"/>
  <c r="O119" i="105"/>
  <c r="I119" i="105"/>
  <c r="S255" i="105" l="1"/>
  <c r="H22" i="3"/>
  <c r="S254" i="105"/>
  <c r="F22" i="3"/>
  <c r="S253" i="105"/>
  <c r="S270" i="105" l="1"/>
  <c r="N270" i="105" s="1"/>
  <c r="O270" i="105" s="1"/>
  <c r="S269" i="105"/>
  <c r="N269" i="105" s="1"/>
  <c r="O269" i="105" s="1"/>
  <c r="S252" i="105"/>
  <c r="N252" i="105" s="1"/>
  <c r="O252" i="105" s="1"/>
  <c r="N255" i="105"/>
  <c r="O255" i="105" s="1"/>
  <c r="I255" i="105"/>
  <c r="N254" i="105"/>
  <c r="O254" i="105" s="1"/>
  <c r="I254" i="105"/>
  <c r="N253" i="105"/>
  <c r="O253" i="105" s="1"/>
  <c r="I253" i="105"/>
  <c r="I270" i="105"/>
  <c r="I269" i="105"/>
  <c r="I252" i="105"/>
  <c r="S248" i="105"/>
  <c r="N248" i="105" s="1"/>
  <c r="O248" i="105" s="1"/>
  <c r="S247" i="105"/>
  <c r="N247" i="105" s="1"/>
  <c r="O247" i="105" s="1"/>
  <c r="S251" i="105"/>
  <c r="N251" i="105" s="1"/>
  <c r="O251" i="105" s="1"/>
  <c r="S239" i="105"/>
  <c r="N239" i="105" s="1"/>
  <c r="O239" i="105" s="1"/>
  <c r="S238" i="105"/>
  <c r="N238" i="105" s="1"/>
  <c r="O238" i="105" s="1"/>
  <c r="S241" i="105"/>
  <c r="N241" i="105" s="1"/>
  <c r="O241" i="105" s="1"/>
  <c r="S268" i="105"/>
  <c r="N268" i="105" s="1"/>
  <c r="O268" i="105" s="1"/>
  <c r="S232" i="105"/>
  <c r="N232" i="105" s="1"/>
  <c r="O232" i="105" s="1"/>
  <c r="S35" i="105"/>
  <c r="N35" i="105" s="1"/>
  <c r="O35" i="105" s="1"/>
  <c r="S194" i="105"/>
  <c r="N194" i="105" s="1"/>
  <c r="O194" i="105" s="1"/>
  <c r="S231" i="105"/>
  <c r="N231" i="105" s="1"/>
  <c r="O231" i="105" s="1"/>
  <c r="S230" i="105"/>
  <c r="N230" i="105" s="1"/>
  <c r="O230" i="105" s="1"/>
  <c r="S229" i="105"/>
  <c r="N229" i="105" s="1"/>
  <c r="O229" i="105" s="1"/>
  <c r="S228" i="105"/>
  <c r="N228" i="105" s="1"/>
  <c r="O228" i="105" s="1"/>
  <c r="I232" i="105"/>
  <c r="I35" i="105"/>
  <c r="I194" i="105"/>
  <c r="I231" i="105"/>
  <c r="I230" i="105"/>
  <c r="I229" i="105"/>
  <c r="I228" i="105"/>
  <c r="I248" i="105"/>
  <c r="I247" i="105"/>
  <c r="I251" i="105"/>
  <c r="I239" i="105"/>
  <c r="I238" i="105"/>
  <c r="I241" i="105"/>
  <c r="I268" i="105"/>
  <c r="S227" i="105"/>
  <c r="S267" i="105"/>
  <c r="S266" i="105"/>
  <c r="S265" i="105"/>
  <c r="S240" i="105"/>
  <c r="N267" i="105" l="1"/>
  <c r="O267" i="105" s="1"/>
  <c r="I267" i="105"/>
  <c r="N266" i="105"/>
  <c r="O266" i="105" s="1"/>
  <c r="I266" i="105"/>
  <c r="N265" i="105"/>
  <c r="O265" i="105" s="1"/>
  <c r="I265" i="105"/>
  <c r="N240" i="105"/>
  <c r="O240" i="105" s="1"/>
  <c r="I240" i="105"/>
  <c r="N273" i="105"/>
  <c r="O273" i="105" s="1"/>
  <c r="I273" i="105"/>
  <c r="N24" i="105"/>
  <c r="O24" i="105" s="1"/>
  <c r="I24" i="105"/>
  <c r="N23" i="105"/>
  <c r="O23" i="105" s="1"/>
  <c r="I23" i="105"/>
  <c r="N13" i="105"/>
  <c r="O13" i="105" s="1"/>
  <c r="I13" i="105"/>
  <c r="S16" i="105"/>
  <c r="N16" i="105" s="1"/>
  <c r="O16" i="105" s="1"/>
  <c r="N22" i="105"/>
  <c r="O22" i="105" s="1"/>
  <c r="I22" i="105"/>
  <c r="N21" i="105"/>
  <c r="O21" i="105" s="1"/>
  <c r="I21" i="105"/>
  <c r="I16" i="105"/>
  <c r="N20" i="105"/>
  <c r="O20" i="105" s="1"/>
  <c r="I20" i="105"/>
  <c r="N227" i="105"/>
  <c r="O227" i="105" s="1"/>
  <c r="I227" i="105"/>
  <c r="N12" i="105"/>
  <c r="O12" i="105" s="1"/>
  <c r="I12" i="105"/>
  <c r="N17" i="105"/>
  <c r="O17" i="105" s="1"/>
  <c r="I17" i="105"/>
  <c r="N30" i="105"/>
  <c r="O30" i="105" s="1"/>
  <c r="I30" i="105"/>
  <c r="N29" i="105"/>
  <c r="O29" i="105" s="1"/>
  <c r="I29" i="105"/>
  <c r="N34" i="105"/>
  <c r="O34" i="105" s="1"/>
  <c r="I34" i="105"/>
  <c r="N33" i="105"/>
  <c r="O33" i="105" s="1"/>
  <c r="I33" i="105"/>
  <c r="N32" i="105"/>
  <c r="O32" i="105" s="1"/>
  <c r="I32" i="105"/>
  <c r="N27" i="105"/>
  <c r="O27" i="105" s="1"/>
  <c r="I27" i="105"/>
  <c r="N19" i="105"/>
  <c r="O19" i="105" s="1"/>
  <c r="I19" i="105"/>
  <c r="N26" i="105"/>
  <c r="O26" i="105" s="1"/>
  <c r="I26" i="105"/>
  <c r="N25" i="105"/>
  <c r="O25" i="105" s="1"/>
  <c r="I25" i="105"/>
  <c r="N31" i="105"/>
  <c r="O31" i="105" s="1"/>
  <c r="I31" i="105"/>
  <c r="O101" i="105"/>
  <c r="O102" i="105"/>
  <c r="O103" i="105"/>
  <c r="O104" i="105"/>
  <c r="O105" i="105"/>
  <c r="O106" i="105"/>
  <c r="O107" i="105"/>
  <c r="O108" i="105"/>
  <c r="O109" i="105"/>
  <c r="O110" i="105"/>
  <c r="O111" i="105"/>
  <c r="O112" i="105"/>
  <c r="O113" i="105"/>
  <c r="O114" i="105"/>
  <c r="O115" i="105"/>
  <c r="O116" i="105"/>
  <c r="O100" i="105"/>
  <c r="O99" i="105"/>
  <c r="O98" i="105"/>
  <c r="O97" i="105"/>
  <c r="I111" i="105"/>
  <c r="I110" i="105"/>
  <c r="I109" i="105"/>
  <c r="I108" i="105"/>
  <c r="I107" i="105"/>
  <c r="I116" i="105"/>
  <c r="I115" i="105"/>
  <c r="I114" i="105"/>
  <c r="I113" i="105"/>
  <c r="I112" i="105"/>
  <c r="N118" i="105"/>
  <c r="O118" i="105" s="1"/>
  <c r="I118" i="105"/>
  <c r="N193" i="105"/>
  <c r="O193" i="105" s="1"/>
  <c r="I193" i="105"/>
  <c r="N226" i="105"/>
  <c r="O226" i="105" s="1"/>
  <c r="I226" i="105"/>
  <c r="N117" i="105"/>
  <c r="O117" i="105" s="1"/>
  <c r="I117" i="105"/>
  <c r="S274" i="105" l="1"/>
  <c r="O84" i="105"/>
  <c r="O85" i="105"/>
  <c r="O86" i="105"/>
  <c r="O87" i="105"/>
  <c r="O88" i="105"/>
  <c r="O89" i="105"/>
  <c r="I57" i="105"/>
  <c r="O57" i="105"/>
  <c r="I58" i="105"/>
  <c r="O58" i="105"/>
  <c r="I59" i="105"/>
  <c r="O59" i="105"/>
  <c r="I60" i="105"/>
  <c r="O60" i="105"/>
  <c r="I61" i="105"/>
  <c r="O61" i="105"/>
  <c r="I62" i="105"/>
  <c r="O62" i="105"/>
  <c r="I63" i="105"/>
  <c r="O63" i="105"/>
  <c r="I64" i="105"/>
  <c r="O64" i="105"/>
  <c r="I65" i="105"/>
  <c r="O65" i="105"/>
  <c r="I66" i="105"/>
  <c r="O66" i="105"/>
  <c r="I67" i="105"/>
  <c r="O67" i="105"/>
  <c r="I68" i="105"/>
  <c r="O68" i="105"/>
  <c r="I69" i="105"/>
  <c r="O69" i="105"/>
  <c r="I70" i="105"/>
  <c r="O70" i="105"/>
  <c r="I71" i="105"/>
  <c r="O71" i="105"/>
  <c r="I72" i="105"/>
  <c r="O72" i="105"/>
  <c r="I73" i="105"/>
  <c r="O73" i="105"/>
  <c r="I74" i="105"/>
  <c r="O74" i="105"/>
  <c r="I75" i="105"/>
  <c r="O75" i="105"/>
  <c r="I76" i="105"/>
  <c r="O76" i="105"/>
  <c r="O197" i="105" l="1"/>
  <c r="O198" i="105"/>
  <c r="O199" i="105"/>
  <c r="O200" i="105"/>
  <c r="O201" i="105"/>
  <c r="O202" i="105"/>
  <c r="O203" i="105"/>
  <c r="O204" i="105"/>
  <c r="O205" i="105"/>
  <c r="O206" i="105"/>
  <c r="O207" i="105"/>
  <c r="O208" i="105"/>
  <c r="O209" i="105"/>
  <c r="O210" i="105"/>
  <c r="O211" i="105"/>
  <c r="O212" i="105"/>
  <c r="O213" i="105"/>
  <c r="O214" i="105"/>
  <c r="O215" i="105"/>
  <c r="O216" i="105"/>
  <c r="O217" i="105"/>
  <c r="O218" i="105"/>
  <c r="O219" i="105"/>
  <c r="O220" i="105"/>
  <c r="O221" i="105"/>
  <c r="O222" i="105"/>
  <c r="O196" i="105"/>
  <c r="N77" i="75" l="1"/>
  <c r="O77" i="75" s="1"/>
  <c r="I77" i="75"/>
  <c r="N4" i="75" l="1"/>
  <c r="O4" i="75" s="1"/>
  <c r="I4" i="75"/>
  <c r="N5" i="75"/>
  <c r="O5" i="75" s="1"/>
  <c r="I5" i="75"/>
  <c r="E409" i="3" l="1"/>
  <c r="N78" i="75"/>
  <c r="N66" i="75"/>
  <c r="N33" i="75"/>
  <c r="N12" i="75"/>
  <c r="N75" i="75"/>
  <c r="N13" i="75"/>
  <c r="S67" i="75"/>
  <c r="N67" i="75" s="1"/>
  <c r="N23" i="75"/>
  <c r="N24" i="75"/>
  <c r="N41" i="75"/>
  <c r="N76" i="75"/>
  <c r="S70" i="75" l="1"/>
  <c r="S72" i="75"/>
  <c r="S71" i="75"/>
  <c r="S64" i="75"/>
  <c r="N58" i="75"/>
  <c r="O58" i="75" s="1"/>
  <c r="N59" i="75"/>
  <c r="O59" i="75" s="1"/>
  <c r="N68" i="75"/>
  <c r="O68" i="75" s="1"/>
  <c r="O60" i="75"/>
  <c r="O65" i="75"/>
  <c r="O71" i="75"/>
  <c r="O64" i="75"/>
  <c r="O69" i="75"/>
  <c r="S63" i="75"/>
  <c r="N63" i="75" s="1"/>
  <c r="O63" i="75" s="1"/>
  <c r="S62" i="75"/>
  <c r="N62" i="75" s="1"/>
  <c r="O62" i="75" s="1"/>
  <c r="S61" i="75"/>
  <c r="N61" i="75" s="1"/>
  <c r="O61" i="75" s="1"/>
  <c r="S57" i="75"/>
  <c r="N57" i="75" s="1"/>
  <c r="O57" i="75" s="1"/>
  <c r="S53" i="75" l="1"/>
  <c r="N53" i="75" s="1"/>
  <c r="O53" i="75" s="1"/>
  <c r="S52" i="75"/>
  <c r="N52" i="75" s="1"/>
  <c r="O52" i="75" s="1"/>
  <c r="S51" i="75"/>
  <c r="N51" i="75" s="1"/>
  <c r="O51" i="75" s="1"/>
  <c r="S56" i="75"/>
  <c r="N56" i="75" s="1"/>
  <c r="O56" i="75" s="1"/>
  <c r="S55" i="75"/>
  <c r="N55" i="75" s="1"/>
  <c r="O55" i="75" s="1"/>
  <c r="S54" i="75"/>
  <c r="S21" i="75" l="1"/>
  <c r="S32" i="75"/>
  <c r="S11" i="75"/>
  <c r="M274" i="105" l="1"/>
  <c r="L274" i="105"/>
  <c r="K274" i="105"/>
  <c r="J274" i="105"/>
  <c r="I9" i="105"/>
  <c r="I28" i="105"/>
  <c r="I106" i="105"/>
  <c r="I105" i="105"/>
  <c r="I104" i="105"/>
  <c r="I103" i="105"/>
  <c r="I102" i="105"/>
  <c r="I101" i="105"/>
  <c r="I100" i="105"/>
  <c r="I99" i="105"/>
  <c r="I98" i="105"/>
  <c r="I97" i="105"/>
  <c r="N236" i="105"/>
  <c r="O236" i="105" s="1"/>
  <c r="I236" i="105"/>
  <c r="N225" i="105"/>
  <c r="O225" i="105" s="1"/>
  <c r="I225" i="105"/>
  <c r="N235" i="105"/>
  <c r="O235" i="105" s="1"/>
  <c r="I235" i="105"/>
  <c r="N234" i="105"/>
  <c r="O234" i="105" s="1"/>
  <c r="I234" i="105"/>
  <c r="N233" i="105"/>
  <c r="O233" i="105" s="1"/>
  <c r="I233" i="105"/>
  <c r="N15" i="105"/>
  <c r="O15" i="105" s="1"/>
  <c r="I15" i="105"/>
  <c r="N224" i="105"/>
  <c r="O224" i="105" s="1"/>
  <c r="I224" i="105"/>
  <c r="N223" i="105"/>
  <c r="O223" i="105" s="1"/>
  <c r="I223" i="105"/>
  <c r="O237" i="105"/>
  <c r="I237" i="105"/>
  <c r="N243" i="105"/>
  <c r="I243" i="105"/>
  <c r="N246" i="105"/>
  <c r="O246" i="105" s="1"/>
  <c r="I246" i="105"/>
  <c r="O245" i="105"/>
  <c r="I245" i="105"/>
  <c r="O244" i="105"/>
  <c r="I244" i="105"/>
  <c r="N264" i="105"/>
  <c r="O264" i="105" s="1"/>
  <c r="I264" i="105"/>
  <c r="N263" i="105"/>
  <c r="O263" i="105" s="1"/>
  <c r="I263" i="105"/>
  <c r="N250" i="105"/>
  <c r="O250" i="105" s="1"/>
  <c r="I250" i="105"/>
  <c r="O242" i="105"/>
  <c r="I242" i="105"/>
  <c r="O262" i="105"/>
  <c r="I262" i="105"/>
  <c r="O261" i="105"/>
  <c r="I261" i="105"/>
  <c r="O96" i="105"/>
  <c r="I96" i="105"/>
  <c r="O95" i="105"/>
  <c r="I95" i="105"/>
  <c r="O94" i="105"/>
  <c r="I94" i="105"/>
  <c r="O93" i="105"/>
  <c r="I93" i="105"/>
  <c r="O92" i="105"/>
  <c r="I92" i="105"/>
  <c r="O91" i="105"/>
  <c r="I91" i="105"/>
  <c r="O90" i="105"/>
  <c r="I90" i="105"/>
  <c r="I89" i="105"/>
  <c r="I88" i="105"/>
  <c r="I87" i="105"/>
  <c r="I86" i="105"/>
  <c r="I85" i="105"/>
  <c r="I84" i="105"/>
  <c r="O83" i="105"/>
  <c r="I83" i="105"/>
  <c r="O82" i="105"/>
  <c r="I82" i="105"/>
  <c r="O81" i="105"/>
  <c r="I81" i="105"/>
  <c r="O80" i="105"/>
  <c r="I80" i="105"/>
  <c r="O79" i="105"/>
  <c r="I79" i="105"/>
  <c r="O78" i="105"/>
  <c r="I78" i="105"/>
  <c r="O77" i="105"/>
  <c r="I77" i="105"/>
  <c r="I222" i="105"/>
  <c r="I221" i="105"/>
  <c r="I220" i="105"/>
  <c r="I219" i="105"/>
  <c r="I218" i="105"/>
  <c r="I217" i="105"/>
  <c r="I216" i="105"/>
  <c r="I215" i="105"/>
  <c r="I214" i="105"/>
  <c r="I213" i="105"/>
  <c r="I212" i="105"/>
  <c r="I211" i="105"/>
  <c r="I210" i="105"/>
  <c r="I209" i="105"/>
  <c r="I208" i="105"/>
  <c r="I207" i="105"/>
  <c r="I206" i="105"/>
  <c r="I205" i="105"/>
  <c r="I204" i="105"/>
  <c r="I203" i="105"/>
  <c r="I202" i="105"/>
  <c r="I201" i="105"/>
  <c r="I200" i="105"/>
  <c r="I199" i="105"/>
  <c r="I198" i="105"/>
  <c r="I197" i="105"/>
  <c r="I196" i="105"/>
  <c r="I195" i="105"/>
  <c r="O243" i="105" l="1"/>
  <c r="N274" i="105"/>
  <c r="O195" i="105"/>
  <c r="O274" i="105" l="1"/>
  <c r="N34" i="75"/>
  <c r="N35" i="75"/>
  <c r="N42" i="75"/>
  <c r="N45" i="75"/>
  <c r="N43" i="75"/>
  <c r="N40" i="75"/>
  <c r="N44" i="75"/>
  <c r="N30" i="75"/>
  <c r="N28" i="75"/>
  <c r="N36" i="75"/>
  <c r="N37" i="75"/>
  <c r="N31" i="75"/>
  <c r="N29" i="75"/>
  <c r="N18" i="75"/>
  <c r="N25" i="75"/>
  <c r="N20" i="75"/>
  <c r="N26" i="75"/>
  <c r="N27" i="75"/>
  <c r="N14" i="75"/>
  <c r="N15" i="75"/>
  <c r="N16" i="75"/>
  <c r="N19" i="75" l="1"/>
  <c r="O19" i="75" s="1"/>
  <c r="I19" i="75"/>
  <c r="N21" i="75"/>
  <c r="O21" i="75" s="1"/>
  <c r="I21" i="75"/>
  <c r="N32" i="75" l="1"/>
  <c r="O32" i="75" s="1"/>
  <c r="I32" i="75"/>
  <c r="N11" i="75"/>
  <c r="O11" i="75" s="1"/>
  <c r="I11" i="75"/>
  <c r="N17" i="75"/>
  <c r="O17" i="75" s="1"/>
  <c r="I17" i="75"/>
  <c r="I57" i="75"/>
  <c r="O16" i="75"/>
  <c r="I16" i="75"/>
  <c r="O14" i="75"/>
  <c r="I14" i="75"/>
  <c r="O27" i="75"/>
  <c r="I27" i="75"/>
  <c r="O26" i="75"/>
  <c r="I26" i="75"/>
  <c r="O20" i="75"/>
  <c r="I20" i="75"/>
  <c r="O37" i="75"/>
  <c r="I37" i="75"/>
  <c r="O36" i="75"/>
  <c r="I36" i="75"/>
  <c r="O28" i="75"/>
  <c r="I28" i="75"/>
  <c r="O30" i="75"/>
  <c r="I30" i="75"/>
  <c r="O44" i="75"/>
  <c r="I44" i="75"/>
  <c r="O40" i="75"/>
  <c r="I40" i="75"/>
  <c r="O43" i="75"/>
  <c r="I43" i="75"/>
  <c r="O45" i="75"/>
  <c r="I45" i="75"/>
  <c r="O25" i="75" l="1"/>
  <c r="I25" i="75"/>
  <c r="O18" i="75"/>
  <c r="I18" i="75"/>
  <c r="O29" i="75"/>
  <c r="I29" i="75"/>
  <c r="O31" i="75"/>
  <c r="I31" i="75"/>
  <c r="O42" i="75"/>
  <c r="I42" i="75"/>
  <c r="O35" i="75"/>
  <c r="I35" i="75"/>
  <c r="O34" i="75"/>
  <c r="I34" i="75"/>
  <c r="I55" i="75" l="1"/>
  <c r="N54" i="75"/>
  <c r="O54" i="75" s="1"/>
  <c r="I54" i="75"/>
  <c r="I68" i="75"/>
  <c r="N7" i="75" l="1"/>
  <c r="O7" i="75" s="1"/>
  <c r="I7" i="75"/>
  <c r="O15" i="75"/>
  <c r="I15" i="75"/>
  <c r="N22" i="75"/>
  <c r="O22" i="75" s="1"/>
  <c r="I22" i="75"/>
  <c r="N10" i="75" l="1"/>
  <c r="O10" i="75" s="1"/>
  <c r="I10" i="75"/>
  <c r="N9" i="75"/>
  <c r="O9" i="75" s="1"/>
  <c r="I9" i="75"/>
  <c r="N49" i="75"/>
  <c r="O49" i="75" s="1"/>
  <c r="I49" i="75"/>
  <c r="N50" i="75" l="1"/>
  <c r="O50" i="75" s="1"/>
  <c r="N48" i="75"/>
  <c r="O48" i="75" s="1"/>
  <c r="N39" i="75"/>
  <c r="O39" i="75" s="1"/>
  <c r="S79" i="75" l="1"/>
  <c r="R79" i="75"/>
  <c r="Q79" i="75"/>
  <c r="P79" i="75"/>
  <c r="M79" i="75"/>
  <c r="L79" i="75"/>
  <c r="K79" i="75"/>
  <c r="J79" i="75"/>
  <c r="N74" i="75"/>
  <c r="O74" i="75" s="1"/>
  <c r="I74" i="75"/>
  <c r="O78" i="75"/>
  <c r="I78" i="75"/>
  <c r="O67" i="75"/>
  <c r="I67" i="75"/>
  <c r="O13" i="75"/>
  <c r="I13" i="75"/>
  <c r="O75" i="75"/>
  <c r="I75" i="75"/>
  <c r="O12" i="75"/>
  <c r="I12" i="75"/>
  <c r="O33" i="75"/>
  <c r="I33" i="75"/>
  <c r="O66" i="75"/>
  <c r="I66" i="75"/>
  <c r="O76" i="75"/>
  <c r="I76" i="75"/>
  <c r="O41" i="75"/>
  <c r="I41" i="75"/>
  <c r="O24" i="75"/>
  <c r="I24" i="75"/>
  <c r="I71" i="75"/>
  <c r="I65" i="75"/>
  <c r="I60" i="75"/>
  <c r="I69" i="75"/>
  <c r="I64" i="75"/>
  <c r="I63" i="75"/>
  <c r="I62" i="75"/>
  <c r="I61" i="75"/>
  <c r="I53" i="75"/>
  <c r="I52" i="75"/>
  <c r="I39" i="75"/>
  <c r="I48" i="75"/>
  <c r="I50" i="75"/>
  <c r="N47" i="75"/>
  <c r="O47" i="75" s="1"/>
  <c r="I47" i="75"/>
  <c r="N6" i="75"/>
  <c r="I6" i="75"/>
  <c r="N38" i="75"/>
  <c r="O38" i="75" s="1"/>
  <c r="I38" i="75"/>
  <c r="N46" i="75"/>
  <c r="O46" i="75" s="1"/>
  <c r="I46" i="75"/>
  <c r="I56" i="75"/>
  <c r="I59" i="75"/>
  <c r="I58" i="75"/>
  <c r="I51" i="75"/>
  <c r="N8" i="75"/>
  <c r="O8" i="75" s="1"/>
  <c r="I8" i="75"/>
  <c r="O23" i="75"/>
  <c r="I23" i="75"/>
  <c r="N70" i="75"/>
  <c r="O70" i="75" s="1"/>
  <c r="I70" i="75"/>
  <c r="N72" i="75"/>
  <c r="O72" i="75" s="1"/>
  <c r="I72" i="75"/>
  <c r="N73" i="75"/>
  <c r="O73" i="75" s="1"/>
  <c r="I73" i="75"/>
  <c r="N79" i="75" l="1"/>
  <c r="O6" i="75"/>
  <c r="O79" i="7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3BA78AB3-AF52-4AB3-B3A1-0EDB73E3C0AE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7EE87BFD-9EBE-41BC-8BDD-493B40B97B19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E0359916-E7DF-423B-B2CB-FD3CB33BC53C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4C7CF097-E9A4-4D3C-9DEC-BFBD9BA878BB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7B0F8048-47C3-4E61-876F-321DBA20F2E2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3B170A71-FC43-47C2-BD29-7A27B58E3804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850B26C7-EE99-4A28-ABFF-25DD361067D9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E8AFE5C5-D575-4B03-B245-6D28B70B9398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0289C500-B974-43F0-8AE9-FCA89EFA1310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E83D2574-0C3B-45E1-AF3B-C5DCA2032E7E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4E8C3EAE-D7AD-4DF1-B972-A86DBFBCA280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AABF40E5-7485-47E4-8DBD-6FE314460BC1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FRUNATURE</author>
  </authors>
  <commentList>
    <comment ref="AE1" authorId="0" shapeId="0" xr:uid="{71E4514B-EB75-4D6E-B93F-4679B2F294AE}">
      <text>
        <r>
          <rPr>
            <b/>
            <sz val="9"/>
            <color indexed="81"/>
            <rFont val="Tahoma"/>
            <family val="2"/>
          </rPr>
          <t>CONTASIS:
Contado (CON)
Crédito (CRE)</t>
        </r>
      </text>
    </comment>
    <comment ref="AK1" authorId="0" shapeId="0" xr:uid="{92B74E30-F740-46BF-9915-03B76B8041BE}">
      <text>
        <r>
          <rPr>
            <b/>
            <sz val="9"/>
            <color indexed="81"/>
            <rFont val="Tahoma"/>
            <family val="2"/>
          </rPr>
          <t>CONTASIS:
Regimen Especial
1   DETRACCION
2   PERCEPCION
3   RETENCION</t>
        </r>
      </text>
    </comment>
    <comment ref="AL1" authorId="0" shapeId="0" xr:uid="{29283569-0E7B-4DD8-991A-1B6D69E910D2}">
      <text>
        <r>
          <rPr>
            <b/>
            <sz val="9"/>
            <color indexed="81"/>
            <rFont val="Tahoma"/>
            <family val="2"/>
          </rPr>
          <t>CONTASIS:
Porcentaje regimen especial</t>
        </r>
      </text>
    </comment>
    <comment ref="AM1" authorId="0" shapeId="0" xr:uid="{C8C9DEBB-4780-4206-8FD9-36B8C78F716B}">
      <text>
        <r>
          <rPr>
            <b/>
            <sz val="9"/>
            <color indexed="81"/>
            <rFont val="Tahoma"/>
            <family val="2"/>
          </rPr>
          <t>CONTASIS:
Importe regimen especial</t>
        </r>
      </text>
    </comment>
    <comment ref="AN1" authorId="0" shapeId="0" xr:uid="{90847BE0-FFBE-4877-AB18-405EEC2B8286}">
      <text>
        <r>
          <rPr>
            <b/>
            <sz val="9"/>
            <color indexed="81"/>
            <rFont val="Tahoma"/>
            <family val="2"/>
          </rPr>
          <t>CONTASIS:
Serie documento regimen especial</t>
        </r>
      </text>
    </comment>
    <comment ref="AO1" authorId="0" shapeId="0" xr:uid="{C0906350-E7AA-4C51-BBE0-C400AD3B399B}">
      <text>
        <r>
          <rPr>
            <b/>
            <sz val="9"/>
            <color indexed="81"/>
            <rFont val="Tahoma"/>
            <family val="2"/>
          </rPr>
          <t>CONTASIS:
Número documento regimen especial</t>
        </r>
      </text>
    </comment>
  </commentList>
</comments>
</file>

<file path=xl/sharedStrings.xml><?xml version="1.0" encoding="utf-8"?>
<sst xmlns="http://schemas.openxmlformats.org/spreadsheetml/2006/main" count="33375" uniqueCount="6547">
  <si>
    <t>FECHA DE EMISION DEL COMPROBANTE DE PAGO O DOCUMENTO</t>
  </si>
  <si>
    <t>FECHA DE VENCIMIENTO O FECHA DE PAGO</t>
  </si>
  <si>
    <t>COMPROBANTE DE PAGO O DOCUMENTO</t>
  </si>
  <si>
    <t>TIPO</t>
  </si>
  <si>
    <t>SERIE/CODIGO ADUANA</t>
  </si>
  <si>
    <t>AÑO EMISION DUA O DSI</t>
  </si>
  <si>
    <t>N° COMPROBANTE PAGO</t>
  </si>
  <si>
    <t>INFORMACION PROVEEDOR</t>
  </si>
  <si>
    <t>DOCUMENTO IDENTIDAD</t>
  </si>
  <si>
    <t>NUMERO</t>
  </si>
  <si>
    <t>APELLIDOS Y NOMBRES, DENOMINACION O RAZON SOCIAL</t>
  </si>
  <si>
    <t>ADQUISICIONES GRAVADAS DESTINADAS A OPERACIONES GRAVADAS Y/O EXPORTACION</t>
  </si>
  <si>
    <t>BASE IMPONIBLE</t>
  </si>
  <si>
    <t>IGV</t>
  </si>
  <si>
    <t>ADQUISICIONES GRAVADAS DESTINADAS A OPERACIONES GRAVADAS Y/O DE EXPORTACION Y A OPERACIONES NO GRAVADAS</t>
  </si>
  <si>
    <t>ADQUISICIONES GRAVADAS DESTINADAS A OPERACIONES NO GRAVADAS</t>
  </si>
  <si>
    <t>VALOR DE LAS ADQUISICIONES NO GRAVADAS</t>
  </si>
  <si>
    <t>ISC</t>
  </si>
  <si>
    <t>OTROS TRIBUTOS Y CARGOS</t>
  </si>
  <si>
    <t>IMPORTE TOTAL</t>
  </si>
  <si>
    <t>N° COMPROBANTE DE PAGO EMITIDO POR SUJETO NO DOMICILIADO</t>
  </si>
  <si>
    <t>CONSTANCIA DE DEPOSITO DE DETRACCION</t>
  </si>
  <si>
    <t>FECHA EMISION</t>
  </si>
  <si>
    <t>TIPO DE CAMBIO</t>
  </si>
  <si>
    <t>REFERENCIA DEL COMPROBANTE DE PAGO O DOCUMENTO ORIGINAL QUE SE MODIFICA</t>
  </si>
  <si>
    <t>FECHA</t>
  </si>
  <si>
    <t>SERIE</t>
  </si>
  <si>
    <t>N° COMPROBANTE PAGO O DOCUMENTO</t>
  </si>
  <si>
    <t>MONEDA</t>
  </si>
  <si>
    <t>EQUIVALENTE EN DOLARES AMERICANOS</t>
  </si>
  <si>
    <t>FECHA VENCIMIENTO</t>
  </si>
  <si>
    <t>CONDICION CONTADO/CREDITO</t>
  </si>
  <si>
    <t>CUENTA CONTABLE BASE IMPONIBLE</t>
  </si>
  <si>
    <t>CUENTA CONTABLE OTROS TRIBUTOS Y CARGOS</t>
  </si>
  <si>
    <t>CUENTA CONTABLE TOTAL</t>
  </si>
  <si>
    <t>CODIGO CENTRO DE COSTOS</t>
  </si>
  <si>
    <t>CODIGO CENTRO DE COSTOS 2</t>
  </si>
  <si>
    <t>REGIMEN ESPECIAL</t>
  </si>
  <si>
    <t>PORCENTAJE REGIMEN ESPECIAL</t>
  </si>
  <si>
    <t>IMPORTE REGIMEN ESPECIAL</t>
  </si>
  <si>
    <t>SERIE DOCUMENTO REGIMEN ESPECIAL</t>
  </si>
  <si>
    <t>NUMERO DOCUMENTO REGIMEN ESPECIAL</t>
  </si>
  <si>
    <t>FECHA DOCUMENTO REGIMEN ESPECIAL</t>
  </si>
  <si>
    <t>CODIGO PRESUPUESTO</t>
  </si>
  <si>
    <t>PORCENTAJE I.G.V.</t>
  </si>
  <si>
    <t>GLOSA</t>
  </si>
  <si>
    <t>CONDICIÓN DE PERCEPCIÓN</t>
  </si>
  <si>
    <t>IMPORTE RÉGIMEN ESPECIAL</t>
  </si>
  <si>
    <t>CLASIFICACIÓN DE BIENES Y SERVICIOS ADQUIRIDOS</t>
  </si>
  <si>
    <t>01</t>
  </si>
  <si>
    <t>6</t>
  </si>
  <si>
    <t>ESTUDIO ORTIZ, MARCELO &amp; ASOCIADOS S.R.L.</t>
  </si>
  <si>
    <t>HONDA SELVA DEL PERU S.A.</t>
  </si>
  <si>
    <t>HONDA DEL PERU S.A</t>
  </si>
  <si>
    <t>ASOCIACION AUTOMOTRIZ DEL PERU</t>
  </si>
  <si>
    <t>PALACIOS,GAMARRA,WILBER,IGNACIO</t>
  </si>
  <si>
    <t>COORPORACION TURISMO SHIMA E.I.R.L.</t>
  </si>
  <si>
    <t>ROJAS,TOVAR,KARINA,GIOVANNA</t>
  </si>
  <si>
    <t>MAYTA,MADUEÑO,WILFREDO</t>
  </si>
  <si>
    <t>ALMONACIN TRANSPORTES SAC</t>
  </si>
  <si>
    <t>ESTACION DE SERVICIOS GASOCENTRO MISABEL E.I.R.L.</t>
  </si>
  <si>
    <t>ELECTROCENTRO S.A.</t>
  </si>
  <si>
    <t>ENT.PREST.SERV.SANEAM.SELVA CENTRAL S.A</t>
  </si>
  <si>
    <t>EXPRESO TURISMO AGUILAS DE ATALAYA S.A.C.</t>
  </si>
  <si>
    <t>CORPORACION TURISMO MONTAÑA E.I.R.L.</t>
  </si>
  <si>
    <t>SERVICENTRO LAS ORQUIDEAS E.I.R.L.</t>
  </si>
  <si>
    <t>EXPRESO RALLY E.I.R.L.</t>
  </si>
  <si>
    <t>20486549328 </t>
  </si>
  <si>
    <t>SANTISIMA TRINIDAD E.I.R.L.</t>
  </si>
  <si>
    <t>ZONA REGISTRAL NRO. VIII - SEDE HUANCAYO</t>
  </si>
  <si>
    <t>AUTOMOTRIZ SAN GABRIEL SRLTDA.</t>
  </si>
  <si>
    <t>MAYTA,MADUEÑO,SAUL,JESUS</t>
  </si>
  <si>
    <t>EGOAVIL,TORRES,EDITH,GINA</t>
  </si>
  <si>
    <t>PARIONA,LANASCA,FIDEL</t>
  </si>
  <si>
    <t>LAUREANO,LAURA,RAYDA,JULIA</t>
  </si>
  <si>
    <t>ROMO,HUAYLLANI,GIOVANNA</t>
  </si>
  <si>
    <t>TRANSELI MULTISERVIS E.I.R.L.</t>
  </si>
  <si>
    <t>GMR IMPORT SAC</t>
  </si>
  <si>
    <t>VICMAR AUTOMOTRIZ SRL</t>
  </si>
  <si>
    <t>CODISSER VRAEM E.I.R.L.</t>
  </si>
  <si>
    <t>EQUIFAX PERU S.A.</t>
  </si>
  <si>
    <t>PERU TIRE EIRL</t>
  </si>
  <si>
    <t>ASOCIACION JUNTA ADMINISTRADORA DE AGUA POTABLE MAZAMARI</t>
  </si>
  <si>
    <t>PARAISO SOCIEDAD ANONIMA CERRADA</t>
  </si>
  <si>
    <t>SERVI TOURS EXPRESS S.A.</t>
  </si>
  <si>
    <t>CHAMORRO,CRUZ,HILDA,MERCEDES</t>
  </si>
  <si>
    <t>NEYRA,FELIX,MONICA,PATRICIA</t>
  </si>
  <si>
    <t>ALVARADO,APUMAYTA,CARLOS,MICHEL</t>
  </si>
  <si>
    <t>ARAUCO,CASTILLO,ROGER,EDILBERTO</t>
  </si>
  <si>
    <t>BARTOLO,CRISANTE,WILMER,ANCELMO</t>
  </si>
  <si>
    <t>ARAUCO,CASTILLO,PEPE,OSCAR</t>
  </si>
  <si>
    <t>BALCON,SALINAS,EDGAR</t>
  </si>
  <si>
    <t>TOSCANO,LLANCARI,JHON,ANTONIO</t>
  </si>
  <si>
    <t>PARIONA,LANASCA,JOSE,LUIS</t>
  </si>
  <si>
    <t>MUCHA,RODRIGUEZ,FLAVIA,IRIS</t>
  </si>
  <si>
    <t>SUAREZ,PEREZ,ROBINSON,FAUSTO</t>
  </si>
  <si>
    <t>SURTIDORES SAN MIGUEL E.I.R.L.</t>
  </si>
  <si>
    <t>PETRO GAS TORRES E.I.R.L.</t>
  </si>
  <si>
    <t>ASTO,SALVATIERRA,JOSUE,RAFAEL</t>
  </si>
  <si>
    <t>INVERSIONES IRWIN E.I.R.L.</t>
  </si>
  <si>
    <t>BRITZ E.I.R.L.</t>
  </si>
  <si>
    <t>ESMERALDAYEC-VRE E.I.R.L.</t>
  </si>
  <si>
    <t>EMPRESA DE TRANSPORTES TURISMO Y SERVICIOS MULTIPLES SHIMA E.I.R.L.</t>
  </si>
  <si>
    <t>COMPUTEK INGENIEROS E.I.R.L.</t>
  </si>
  <si>
    <t>20146674403</t>
  </si>
  <si>
    <t>MUNICIPALIDAD PROVINCIAL SATIPO</t>
  </si>
  <si>
    <t>CAINICELA,TABRAJ,NILO,JHONNY</t>
  </si>
  <si>
    <t>TORPOCO,MAYTA,HECTOR,ALFONSO</t>
  </si>
  <si>
    <t>VASQUEZ,LIMAYLLA,HERMENEGILDO,CESAR</t>
  </si>
  <si>
    <t>CENTRO COMERCIAL PICHANAQUI S.R.L.</t>
  </si>
  <si>
    <t>REPUESTOS Y SERVICIOS ARAUCO E.I.R.L.</t>
  </si>
  <si>
    <t>CRECER SEGUROS S.A.</t>
  </si>
  <si>
    <t>TICSE,PALACIOS,VILMA,ALICIA</t>
  </si>
  <si>
    <t>MULTISERVICIOS SEÑOR DE LOS MILAGROS S.C.R.L.</t>
  </si>
  <si>
    <t>CONDE,VELAZQUE,CIRILO</t>
  </si>
  <si>
    <t>RAMOS,RASHUAMAN,JOSETH,RODOLFO</t>
  </si>
  <si>
    <t>FABIAN,VELASCO,JEAN,CRISTHIAN</t>
  </si>
  <si>
    <t>CONSORCIO GMR IMPORT S.A.C.</t>
  </si>
  <si>
    <t>ESPINOZA,ARROYO,DANIEL,MOISES</t>
  </si>
  <si>
    <t>EMP.DE AUTOMOVILES SANTA ROSA SERVIS S.A.</t>
  </si>
  <si>
    <t>ZEGARRA,MONTALVO,MIRIAM,JUANA</t>
  </si>
  <si>
    <t>AYLLON,PACHAS,DOMINGO,CLEMENTE</t>
  </si>
  <si>
    <t>QUIÑONEZ,HINOSTROZA,VICTOR,TEODORO</t>
  </si>
  <si>
    <t>JUAREZ,TORRES,BETZABE,SALINOVA</t>
  </si>
  <si>
    <t>EVANGELISTA,VELIZ,SYNTIA</t>
  </si>
  <si>
    <t>P &amp; F ARTEFACTOS S.R.L.</t>
  </si>
  <si>
    <t>HUAMAN,RONCAL,MIRIAM</t>
  </si>
  <si>
    <t> ZEA,SILVA,VLADIMIR</t>
  </si>
  <si>
    <t>TELEFONICA DEL PERU S.A.A</t>
  </si>
  <si>
    <t>MORALES,CHUCHON,ELMER,CAROL</t>
  </si>
  <si>
    <t>CRUZADA,HUACAYCHUCO,INOCENCIO,MAURICIO</t>
  </si>
  <si>
    <t>SERVICENTROS PLAZA SAC</t>
  </si>
  <si>
    <t>EMPRESA DE TRANSPORTES PROFAMSE SRL.</t>
  </si>
  <si>
    <t>MENDOZA,LLIHUA,ZONIA</t>
  </si>
  <si>
    <t>QUISPE,ARIAS,VICTOR,HUGO</t>
  </si>
  <si>
    <t>MOVIL BUS S.A.C</t>
  </si>
  <si>
    <t>BARRETO EXPRESS S.A.C.</t>
  </si>
  <si>
    <t>QUISPE,QUISPE,ARTURO</t>
  </si>
  <si>
    <t>ARAUCO,VARILLAS,PEDRO</t>
  </si>
  <si>
    <t>HUAMAN,FERNANDEZ,CELSA</t>
  </si>
  <si>
    <t>BENDEZU,MUÑOZ,JOAQUIN</t>
  </si>
  <si>
    <t>MAPFRE PERU COMPAÑIA DE SEGUROS Y REASEGUROS S.A.</t>
  </si>
  <si>
    <t>ESTACION DE SERVICIOS GEMELOS GRIFO AD S.R.L.</t>
  </si>
  <si>
    <t>NEGOCIOS &amp; CONSTRUCCIONES CANDY E.I.R.L.</t>
  </si>
  <si>
    <t>CCASANI,ROJAS,ROOSEMARY</t>
  </si>
  <si>
    <t>REPRESENTACIONES PILLACA E.I.R.L.</t>
  </si>
  <si>
    <t>MUCHA,HERRERA,DENISSE,PILAR</t>
  </si>
  <si>
    <t>REPRESENTACIONES Y SERVICIOS GENERALES LIMA S.R.L.</t>
  </si>
  <si>
    <t>LIMZ CORPORATION E.I.R.L.</t>
  </si>
  <si>
    <t>PALACIOS,GAMARRA,ANA,JECENIA</t>
  </si>
  <si>
    <t>PAEZ,ECHEVARRIA,ANGEL,GREGORIO</t>
  </si>
  <si>
    <t>BERNARDO,LAUREANO,MARIA,PILAR</t>
  </si>
  <si>
    <t>TRANSPORTE PIONERO SATIPO S.A.C.</t>
  </si>
  <si>
    <t>CAMARENA,BORQUEZ,ADELAIDA</t>
  </si>
  <si>
    <t>EMPRESA DE TRANSPORTES SEÑOR DE LA LIBERTAD S.A.C.</t>
  </si>
  <si>
    <t>CAMARA DE COMERCIO E INDUSTRIAS SATIPO</t>
  </si>
  <si>
    <t>MAPFRE PERU VIDA COMPAÑIA DE SEGUROS Y REASEGUROS</t>
  </si>
  <si>
    <t>ARAUCO CONDE SOLUCIONES INMOBILIARIAS S.A.C.</t>
  </si>
  <si>
    <t>ANDINA PERUANA DE TELECOMUNICACIONES E.I.R.L.</t>
  </si>
  <si>
    <t>AEROM INVERSIONES NEGOCIOS SERVICIOS E.I.R.L.</t>
  </si>
  <si>
    <t>IMPORTADORA DE REPUESTOS LA ROCA E.I.R.L.</t>
  </si>
  <si>
    <t>R C R RULEX CONTRATISTAS GENERALES E.I.R.L.</t>
  </si>
  <si>
    <t>SERVICORP MULTISERVICIOS &amp; SYSTEM E.I.R.L.</t>
  </si>
  <si>
    <t>CORPORACION GRAFICA PRINTEC S.A.C.</t>
  </si>
  <si>
    <t>EMPRESA DE TRANSPORTES TURISMO MURUHUAY S.R.L.</t>
  </si>
  <si>
    <t>EMPRESA DE TRANSPORTES EXPRESO LOBATO S.A.C.</t>
  </si>
  <si>
    <t>INVERSIONES EDWSOL S.A.C.</t>
  </si>
  <si>
    <t>SUAREZ,CARDENAS,DE,BARRERO,FORTUNATA,PATRICIA</t>
  </si>
  <si>
    <t>MORALES,HUERTA,TOLOMEO</t>
  </si>
  <si>
    <t>QUISPE,NAVARRO,JAIME</t>
  </si>
  <si>
    <t>EMP RADIODIFUS SAN JUAN DE MAZAMARI EIRL</t>
  </si>
  <si>
    <t>CASTAÑEDA BALTAZAR JOSE MIGUEL</t>
  </si>
  <si>
    <t>POLLOS A LA LEÑA WILLYS CHICKEN'S EMPRESA INDIVIDUAL DE RESPONSABILIDAD LIMITADA</t>
  </si>
  <si>
    <t>FIERROS INDUSTRIALES CARHUAS E.I.R.L.</t>
  </si>
  <si>
    <t>SANCHEZ,AMIQUERO,KATTY</t>
  </si>
  <si>
    <t>CASTRO,MESCUA,YUDY,MERY</t>
  </si>
  <si>
    <t>CENTRO DE TECNOLOGÍA Y CRÉDITO DEL PERÚ E.I.R.L.</t>
  </si>
  <si>
    <t>CENTENO,ESCOBAR,MAIDA</t>
  </si>
  <si>
    <t>PROVEEDOR DE ALIMENTOS EN GENERAL S.A.C.</t>
  </si>
  <si>
    <t>HUINCHO,BALTAZAR,RICHARD,JOSE</t>
  </si>
  <si>
    <t>ARCA,ROJAS,KEVIN,PAUL</t>
  </si>
  <si>
    <t>CONTABILIDAD AUDITORIA, SISTEMAS, INNOVACION Y CONOCIMIENTO SOCIEDAD ANONIMA</t>
  </si>
  <si>
    <t>EMP TRANS TURISMO APOSTOL SAN PEDRO EIRL</t>
  </si>
  <si>
    <t>SALVADOR,RODRIGUEZ,MONICA</t>
  </si>
  <si>
    <t>LAPA,VALENZUELA,YINA,LUCY</t>
  </si>
  <si>
    <t>SANTOS,ANDIA,EDGAR,JOEL</t>
  </si>
  <si>
    <t>CORREO</t>
  </si>
  <si>
    <t>POR LA COMPRA DE ARTICULOS DE LIMPIEZA</t>
  </si>
  <si>
    <t>MANTENIMIENTO DE PROPIEDAD PLANTA Y EQUIPO</t>
  </si>
  <si>
    <t>OTROS SERVICIOS PRESTADOS POR TERCEROS</t>
  </si>
  <si>
    <t>POR SERVICIO DE TRANSPORTE DE PASAJEROS</t>
  </si>
  <si>
    <t>POR SERVICIO DE TRANSPORTE DE CARGA</t>
  </si>
  <si>
    <t>SEGURO</t>
  </si>
  <si>
    <t>TELEFONO</t>
  </si>
  <si>
    <t>OTROS SERVICIOS DE ASESORIA</t>
  </si>
  <si>
    <t>POR SERVICIO DE NOTARIA</t>
  </si>
  <si>
    <t>MANTENIMIENTO DE INTANGIBLES</t>
  </si>
  <si>
    <t>POR DERECHO DE EMISION DE PLACA DE RODAJE</t>
  </si>
  <si>
    <t>OTROS SUMINISTROS</t>
  </si>
  <si>
    <t>POR SERVICIO DE ENERGIA ELECTRICA</t>
  </si>
  <si>
    <t>POR SERVICIO DE AGUA POTABLE</t>
  </si>
  <si>
    <t>EXISTENCIAS POR RECIBIR</t>
  </si>
  <si>
    <t>POR SERVICIO DE ASESORIA CONTABLE</t>
  </si>
  <si>
    <t>6352095</t>
  </si>
  <si>
    <t>POR SERVICIO DE ALQUILER DE LOCAL</t>
  </si>
  <si>
    <t>TOSCANO,CORDOVA,ANTONIO</t>
  </si>
  <si>
    <t>MARTINEZ,TORRES,EUCEBIA,MARTINA</t>
  </si>
  <si>
    <t>ROJAS,FIERRO,NELBA,NORA</t>
  </si>
  <si>
    <t>DE LA CRUZ,LAUREANO,ELIAS,ESTEBAN</t>
  </si>
  <si>
    <t>TV CABLE</t>
  </si>
  <si>
    <t>SULLCA,MAMANI,MAURO</t>
  </si>
  <si>
    <t>PETRO GAS SELVA CENTRAL LOS ANDES S.A.C.</t>
  </si>
  <si>
    <t>CONDOR,MEJIA,MARIA,AMPARO DE DIOS</t>
  </si>
  <si>
    <t>VANLUDI E.I.R.L.</t>
  </si>
  <si>
    <t>GRUPO FERRETERO RODRIGUEZ E.I.R.L.</t>
  </si>
  <si>
    <t>SATALAYA,OCHOA,GREYS,MARNITH</t>
  </si>
  <si>
    <t>INTERNET</t>
  </si>
  <si>
    <t>ESSLUREN S.A.C.</t>
  </si>
  <si>
    <t>ALBIS S.A.C.</t>
  </si>
  <si>
    <t>BRAVO,MALDONADO,DAVID,CIRILO</t>
  </si>
  <si>
    <t>CARPIO,MERINO,HERNAN</t>
  </si>
  <si>
    <t>SERVICIO DE TRANSPORTE DE MERCADERIAS</t>
  </si>
  <si>
    <t>IMPORTADORA MMASH S.A.C.</t>
  </si>
  <si>
    <t>EMPRESA GRAFICA LA PLUMA DE ORO E.I.R.L.</t>
  </si>
  <si>
    <t>S</t>
  </si>
  <si>
    <t>4212</t>
  </si>
  <si>
    <t>REPUESTOS &amp; SERVICIOS JL EIRL</t>
  </si>
  <si>
    <t>CORPORACION ARAUCO SOCIEDAD COMERCIAL DE RESPONSABILIDAD LIMITADA - CORPORACION ARAUCO S.R.L.</t>
  </si>
  <si>
    <t>CASCOS FORRADOS PERICO S.A.C</t>
  </si>
  <si>
    <t>INVERSIONES ESTRELLA RADIANTE EMPRESA INDIVIDUAL DE RESPONSABILIDAD LIMITADA - INVERSIONES ESTRELLA</t>
  </si>
  <si>
    <t>DELICIAS DEL ORIENTE E.I.R.L.</t>
  </si>
  <si>
    <t>IA CONTACTORS S.A.C.</t>
  </si>
  <si>
    <t>JIMENEZ,ALMONACID,YERALDO,EDWIN</t>
  </si>
  <si>
    <t>BRAVO,MALDONADO,JHON,ELMER</t>
  </si>
  <si>
    <t>IMPLEMENTACIÓN SANITARIA Y SANEAMIENTO AMBIENTAL INTEGRAL S.A.</t>
  </si>
  <si>
    <t>MANDUJANO,SOLANO,JOSE,ELIAS</t>
  </si>
  <si>
    <t>PROTESAFE S.A.C.</t>
  </si>
  <si>
    <t>CISNEROS,SALAZAR,LIZZIE,LENKA</t>
  </si>
  <si>
    <t>EMPRESA DE TRANSPORTES Y TURISMO RARAZ S.A.C.</t>
  </si>
  <si>
    <t>HUACAYO,CONDE,ELIAS</t>
  </si>
  <si>
    <t>RODRIGUEZ,OLIVARES,ALFREDO,ANTONIO</t>
  </si>
  <si>
    <t>J&amp;J RENATO E.I.R.L.</t>
  </si>
  <si>
    <t>CITV REVISIONES TECNICAS VTA S.A.C</t>
  </si>
  <si>
    <t>VASQUEZ,ALANYA,ALEKSANDER,JOSEPH</t>
  </si>
  <si>
    <t>SANGAMOTORS E.I.R.L.</t>
  </si>
  <si>
    <t>NEGOCIACIONES NAELA E.I.R.L.</t>
  </si>
  <si>
    <t>EXIMPORT DISTRIBUIDORES DEL PERU S.A.</t>
  </si>
  <si>
    <t>ESGASMAR E.I.R.L.</t>
  </si>
  <si>
    <t>INVERSIONES E INDUSTRIAS MIRFER S.A.C.</t>
  </si>
  <si>
    <t>CALDERON,FERNANDEZ,SARA,JUDITH</t>
  </si>
  <si>
    <t>MIRANDA,AGUIRRE,JESUS,DENNIS</t>
  </si>
  <si>
    <t>SHALOM EMPRESARIAL S.A.C.</t>
  </si>
  <si>
    <t>MITMA,HUANQUIS,NOEMI,SILVIA</t>
  </si>
  <si>
    <t>RODRIGUEZ,TAYPE,MARIBEL,DIONISIA</t>
  </si>
  <si>
    <t>PORRAS,URETA,JUSSELY,JULISSA</t>
  </si>
  <si>
    <t>M&amp;A IMPORT MERCHANDISING S.A.C.</t>
  </si>
  <si>
    <t>FERNANDEZ,HERRERA,WENDY,LESLIE</t>
  </si>
  <si>
    <t>VILLAZANA,ROJAS,OSCAR</t>
  </si>
  <si>
    <t>VASQUEZ,VASQUEZ,OFELIA,VICENTA</t>
  </si>
  <si>
    <t>BANCO BBVA PERU</t>
  </si>
  <si>
    <t>MAKIFRIO S.A.C.</t>
  </si>
  <si>
    <t>FERRETERIA E INVERSIONES SAN PEDRO E.I.R.L.</t>
  </si>
  <si>
    <t>CON</t>
  </si>
  <si>
    <t>CONTRERAS VICTORIO IDA ISABEL</t>
  </si>
  <si>
    <t>J&amp;H CASA LINDA E.I.R.L.</t>
  </si>
  <si>
    <t>MERCADO,LLANCO,MAYCKOL,WILLIAMS</t>
  </si>
  <si>
    <t>SANCHEZ,FERRUA,KARINA,SOLEDAD</t>
  </si>
  <si>
    <t>VIC TECHNOLOGY SERVICE S.A.C.</t>
  </si>
  <si>
    <t>ELIAS,SOLIS,VICTOR,ANDRES</t>
  </si>
  <si>
    <t>CORPORACIÓN FERNANDO´S E.I.R.L.</t>
  </si>
  <si>
    <t>SAN PEDRO CARGO S.A.C.</t>
  </si>
  <si>
    <t>MENDOZA OSCCO ALFONSO</t>
  </si>
  <si>
    <t> AREQUIPA EXPRESO MARVISUR EIRL</t>
  </si>
  <si>
    <t>LANDEO FLORES FLOR DE MARIA</t>
  </si>
  <si>
    <t>LLANCO MARTINEZ JHON ALEX</t>
  </si>
  <si>
    <t>VIDRIERIA SELVA E.I.R.L.</t>
  </si>
  <si>
    <t>MOYA SAMANIEGO JHENSIS KAN</t>
  </si>
  <si>
    <t>FULL INFOTECH E.I.R.L.</t>
  </si>
  <si>
    <t>CONTRERAS RUEDA PEDRO</t>
  </si>
  <si>
    <t>ZEA SILVA VLADIMIR</t>
  </si>
  <si>
    <t>VILA TORRES NILSON WILLIAM</t>
  </si>
  <si>
    <t> CONSTRUCTORA Y CONSULTORA ARAUCO FLORES SAC</t>
  </si>
  <si>
    <t>GRUPO EMPRESARIAL E INVERSIONES NAVARRO SOCIEDAD ANONIMA CERRADA</t>
  </si>
  <si>
    <t>CPB SERVICIOS MULTIPLES SOCIEDAD ANONIMA CERRADA</t>
  </si>
  <si>
    <t>PETROLNASCA S.R.L.</t>
  </si>
  <si>
    <t>SURTIDORES &amp; INVERSIONES JUNIOR'S E.I.R.L.</t>
  </si>
  <si>
    <t>CARDENAS TAIPE NOEMI DEYSI</t>
  </si>
  <si>
    <t>CORPORACION &amp; INVERSIONES AGROECOLOGIA MUNDO VERDE E.I.R.L.</t>
  </si>
  <si>
    <t>LA POSITIVA SEGUROS Y REASEGUROS S.A.A.</t>
  </si>
  <si>
    <t>SERVICENTRO ORTEGA E.I.R.L.</t>
  </si>
  <si>
    <t>MENDOZA TORRES JANETH GIOVANNA</t>
  </si>
  <si>
    <t>LUDO 360 S.A.C.</t>
  </si>
  <si>
    <t>00E001</t>
  </si>
  <si>
    <t>ZEGARRA AZAÑERO JORGE KEY</t>
  </si>
  <si>
    <t>00F001</t>
  </si>
  <si>
    <t xml:space="preserve">INFORMATICA Y GRAFICA EMPRESA INDIVIDUAL DE RESPONSABILIDAD LIMITADA - INFOGRAFIC E.I.R.L.          </t>
  </si>
  <si>
    <t>TODO TECNOLOGIA SINOTRACK E.I.R.L.</t>
  </si>
  <si>
    <t>BLI INTERNATIONAL EMPRESA INDIVIDUAL DE RESPONSABILIDAD LIMITADA</t>
  </si>
  <si>
    <t>CLUB CELL TELECOMUNICACIONES E.I.R.L.</t>
  </si>
  <si>
    <t>00F003</t>
  </si>
  <si>
    <t>07</t>
  </si>
  <si>
    <t>00F005</t>
  </si>
  <si>
    <t> "NEGOCIOS &amp; SERVICIOS DE COMIDA RAPIDA SHADDAY EMPRESA INDIVIDUAL DE RESPONSABILIDAD LIMITADA"</t>
  </si>
  <si>
    <t>TRABOT S.A.C.</t>
  </si>
  <si>
    <t>20568720271 </t>
  </si>
  <si>
    <t> EMPRESA DE TRANSPORTES Y TURISMO SELVA CENTRAL CHUCO E.I.R.L.</t>
  </si>
  <si>
    <t>BONIEVE HUAMAN DINA MARCELA</t>
  </si>
  <si>
    <t>EMP CONCESIONARIA DE ELECT DE UCAYALI SA</t>
  </si>
  <si>
    <t>00F341</t>
  </si>
  <si>
    <t>CHEXPRESS EMPRESARIAL S.A.C.</t>
  </si>
  <si>
    <t> VELASQUEZ VICENTE LIZ YANETH</t>
  </si>
  <si>
    <t>TORRES SOLORZANO YURI WILLEAM</t>
  </si>
  <si>
    <t>DOUZE SIGNAL SOLUTIONS S.A.C.</t>
  </si>
  <si>
    <t>REPRESENTACIONES ANTOJITOS S.A.C.</t>
  </si>
  <si>
    <t>EMPRESA DE TRANSPORTES TURISMO HUARIBAMBA S.R.L.</t>
  </si>
  <si>
    <t>20568801432 </t>
  </si>
  <si>
    <t>QUISPE UNOYSONCCO HAZAEL</t>
  </si>
  <si>
    <t>ESTEBAN BARZOLA ROSMERY CINTIA</t>
  </si>
  <si>
    <t>HUAMANI LOPEZ BRYAN MIGUEL</t>
  </si>
  <si>
    <t>10457685365 </t>
  </si>
  <si>
    <t>ASOCIACION DE TRANSPORTISTAS SOL DEL VRAEM - PANGOA</t>
  </si>
  <si>
    <t>CRISPIN ISIDRO ALEJANDRINA MARGARITA</t>
  </si>
  <si>
    <t>MUNICIPALIDAD PROVINCIAL DE ATALAYA</t>
  </si>
  <si>
    <t>HOMECENTERS PERUANOS S.A.</t>
  </si>
  <si>
    <t>GUHASA DISTRIBUCIONES Y REPRESENTACIONES S.A.C.</t>
  </si>
  <si>
    <t>TRANSPORTES MOLINA PERU S.A.C</t>
  </si>
  <si>
    <t>EMPRESA DE TRANSPORTES SORCAR SOCIEDAD COMERCIAL DE RESPONSABILIDAD LIMITADA</t>
  </si>
  <si>
    <t>ATOC ORTEGA ISAAC MICHAEL</t>
  </si>
  <si>
    <t>HINOSTROZA FLORES ALVARO JOSELITO</t>
  </si>
  <si>
    <t>ENCALADA YAHUANA FLOR TEABER</t>
  </si>
  <si>
    <t>ELYON CORPORACION DC &amp; L S.A.C.</t>
  </si>
  <si>
    <t>20512002090 </t>
  </si>
  <si>
    <t>MIFARMA S.A.C.</t>
  </si>
  <si>
    <t>20486785307 </t>
  </si>
  <si>
    <t>ESTACION DE SERVICIOS CHRISMAR EIRL.</t>
  </si>
  <si>
    <t>INDUSTRIAS METALICAS METAL PARTS PERU E.I.R.L.</t>
  </si>
  <si>
    <t>ALANIA PEREZ CYNTHIA MERCEDES</t>
  </si>
  <si>
    <t>GASOCENTRO LLACTA SOCIEDAD ANONIMA CERRADA - GASOCENTRO LLACTA S.A.C</t>
  </si>
  <si>
    <t>MULTISERVICIOS COMPANY SELVA SOCIEDAD ANÓNIMA CERRADA</t>
  </si>
  <si>
    <t>COBERTORES PERU S.A.C.</t>
  </si>
  <si>
    <t>ANDIA ARAUJO DINA AMELIA</t>
  </si>
  <si>
    <t>ENRIQUE ROMERO CAROL YULY</t>
  </si>
  <si>
    <t>GASOCENTRO SATIPO EMPRESA INDIVIDUAL DE RESPONSABILIDAD LIMITADA</t>
  </si>
  <si>
    <t>OLARTE DE LOPEZ JULIA</t>
  </si>
  <si>
    <t>MARAVI EXPRESS S.A.C.</t>
  </si>
  <si>
    <t>TURISMO PERLA EXPRESS E.I.R.L.</t>
  </si>
  <si>
    <t>T S J MOTOR´S RACING HUANUCO EIRL</t>
  </si>
  <si>
    <t>EGOAVIL CAMACUARI PABLO JULIAN</t>
  </si>
  <si>
    <t>10209775480 </t>
  </si>
  <si>
    <t>AMERICA MOVIL PERU S.A.C.</t>
  </si>
  <si>
    <t>20467534026 </t>
  </si>
  <si>
    <t>EMPRESA DE TRANSPORTES EXPRESO SELVA E.I.R.L.</t>
  </si>
  <si>
    <t>REVISION TECNICA VEHICULAR – ROCA FUERTE SAC</t>
  </si>
  <si>
    <t>IMPORTACIONES MACURI E.I.R.L.</t>
  </si>
  <si>
    <t>BANCO DE CREDITO DEL PERU</t>
  </si>
  <si>
    <t>CORTEZ ALOMIA LUIS ENRIQUE</t>
  </si>
  <si>
    <t>TITANIC REPRESENTACIONES Y SERVICIOS S.R.L.</t>
  </si>
  <si>
    <t>CARHUAMACA VILLAVICENCIO VICTOR</t>
  </si>
  <si>
    <t>INVERSIONES MIRANRROS EMPRESA INDIVIDUAL DE RESPONSABILIDAD LIMITADA</t>
  </si>
  <si>
    <t>FIVCO MAQUINAS &amp; HERRAMIENTAS SOCIEDAD ANONIMA CERRADA</t>
  </si>
  <si>
    <t>MENDIZABAL LIZARBE JOHANN ALEXANDER</t>
  </si>
  <si>
    <t>FERRECOLOR ECONOMICO S.A.C.</t>
  </si>
  <si>
    <t>EL ANCLA RESORT S.A.C.</t>
  </si>
  <si>
    <t>ESTACION DE SERVICIOS Y GASOCENTRO ANGULO S.A.C.</t>
  </si>
  <si>
    <t>IMPORTADORA DISTRIBUIDORA MABEL ANDREA SOCIEDAD ANONIMA CERRADA</t>
  </si>
  <si>
    <t> RM CARGO1 E.I.R.L.</t>
  </si>
  <si>
    <t>UNCHUPAICO LAUREANO DEISY LUZ</t>
  </si>
  <si>
    <t>CORPORACION PIRKA S.A.C.</t>
  </si>
  <si>
    <t>COMPAñIA PERUANA DE MEDIOS DE PAGO S.A.C</t>
  </si>
  <si>
    <t>CORAL FLORES IVAN MARTIN</t>
  </si>
  <si>
    <t> INVERSIONES INGA &amp; VICTORIO E.I.R.L.</t>
  </si>
  <si>
    <t>CRUZ CONTRERAS ALFREDO</t>
  </si>
  <si>
    <t>EL PADRINAZO'S S.R.L.</t>
  </si>
  <si>
    <t>EMPRESA SERV TURISTICOS HUANCAMAYU EIRL</t>
  </si>
  <si>
    <t>20230072311 </t>
  </si>
  <si>
    <t>GRUPO CARDENAS MEDRANO S.A.C.</t>
  </si>
  <si>
    <t>20611541466 </t>
  </si>
  <si>
    <t>DISTRIBUIDORA MAYTA E.I.R.L.</t>
  </si>
  <si>
    <t>CMAC - HUANCAYO S.A.</t>
  </si>
  <si>
    <t>CIA DE SERVICIOS CONEXOS EXPRESSNET SAC</t>
  </si>
  <si>
    <t>PACIFICO COMPAÑIA DE SEGUROS Y REASEGUROS</t>
  </si>
  <si>
    <t>ECHEGARAY VERA SHEYLA GERALDINE</t>
  </si>
  <si>
    <t>10468373047 </t>
  </si>
  <si>
    <t>D</t>
  </si>
  <si>
    <t>AGANCO EMPRESA INDIVIDUAL DE RESPONSABILIDAD LIMITADA</t>
  </si>
  <si>
    <t>COESTI S.A.</t>
  </si>
  <si>
    <t>REPSOL COMERCIAL SAC</t>
  </si>
  <si>
    <t> L &amp; E SAN FRANCISCO SOCIEDAD DE RESPONSABILIDAD LIMITADA</t>
  </si>
  <si>
    <t>14</t>
  </si>
  <si>
    <t>00F017</t>
  </si>
  <si>
    <t>CENTENO GUTIERREZ ALEXANDER</t>
  </si>
  <si>
    <t>LEANDRO VASQUEZ VDA DE LAZO YOLANDA MAURICIA</t>
  </si>
  <si>
    <t>TIENDAS DEL MEJORAMIENTO DEL HOGAR S.A.</t>
  </si>
  <si>
    <t>TRANSPORTES ERATUR S.A.C.</t>
  </si>
  <si>
    <t>ASIA POWER TOOLS IMPORT S.A.C.</t>
  </si>
  <si>
    <t>EMPRESA DE TRANSPORTES UNION SOCIEDAD COMERCIAL DE RESPONSABILIDAD LIMITADA</t>
  </si>
  <si>
    <t>IMPORTADORA JR S.A.C.</t>
  </si>
  <si>
    <t>INVERSIONES SILVA HUAMAN ELEVADORES S.A.C. - INSHE S.A.C.</t>
  </si>
  <si>
    <t>SERVICENTRO CRISNEYA EMPRESA INDIVIDUAL DE RESPONSABILIDAD LIMITADA</t>
  </si>
  <si>
    <t>INVERSIONES PETROLUZ S.A.C</t>
  </si>
  <si>
    <t>EMPRESA DE TRANSPORTES EXPRESO HUARIBAMBA SOCIEDAD ANONIMA CERRADA - ETE HUARIBAMBA S.A.C.</t>
  </si>
  <si>
    <t>20487213897 </t>
  </si>
  <si>
    <t>CARRION CARRERA LUCIO ARTURO</t>
  </si>
  <si>
    <t>10199309825 </t>
  </si>
  <si>
    <t>PATIÑO PAREDES VICTOR</t>
  </si>
  <si>
    <t>ROJAS FLORES ELISEO MAXIMO</t>
  </si>
  <si>
    <t>OSPINA FERRETERA S.R.L.</t>
  </si>
  <si>
    <t>CORPORACION CARELI EMPRESA INDIVIDUAL DE RESPONSABILIDAD LIMITADA - CORPORACION CARELI E.I.R.L.</t>
  </si>
  <si>
    <t>TRANSPORTES MAGDITA S.R.L.</t>
  </si>
  <si>
    <t>00FC03</t>
  </si>
  <si>
    <t>CORPORACION AZAMI R.H. S.A.C.</t>
  </si>
  <si>
    <t>CORPORACION UNIVERSAL M&amp;F SOCIEDAD ANONIMA CERRADA</t>
  </si>
  <si>
    <t>LUJAN BUENDIA OSWALD MICAEL</t>
  </si>
  <si>
    <t>10460368788 </t>
  </si>
  <si>
    <t> GONZALES CHINCHILLA ROBERT JOHN</t>
  </si>
  <si>
    <t>LAZOS TV JUNIN SOCIEDAD ANONIMA CERRADA</t>
  </si>
  <si>
    <t>10444633099 </t>
  </si>
  <si>
    <t>CORDOVA ROJAS FELIPE JAVIER</t>
  </si>
  <si>
    <t>MAURICIO CENTENO KARINA KETTY</t>
  </si>
  <si>
    <t>PAEZ ECHEVARRIA ANGEL GREGORIO</t>
  </si>
  <si>
    <t>CAPCHA MENESES SHEYLA SHERLY</t>
  </si>
  <si>
    <t>DISTRIBUIDORA TODO AL POR MAYOR NISSI EMPRESA INDIVIDUAL DE RESPONSABILIDAD LIMITADA</t>
  </si>
  <si>
    <t>HUAMAN ICHACCAYA DIOMEDES</t>
  </si>
  <si>
    <t>SUAREZ REYNOSO HAROL SEBASTIAN</t>
  </si>
  <si>
    <t>MOTO A E.I.R.L.</t>
  </si>
  <si>
    <t>CANALES AQUINO DENNYS MIGUEL</t>
  </si>
  <si>
    <t>ESPINOZA ORTIZ PEDRO LUIS</t>
  </si>
  <si>
    <t>20573848161 </t>
  </si>
  <si>
    <t>PETRO GAS TORRES EMPRESA INDIVIDUAL DE RESPONSABILIDAD LIMITADA</t>
  </si>
  <si>
    <t>GOBIERNO REGIONAL DE HUANCAVELICA</t>
  </si>
  <si>
    <t>GALARZA LEON JUAN CARLOS</t>
  </si>
  <si>
    <t> TINSA S.A.C.</t>
  </si>
  <si>
    <t>GRIFO RACING E.I.R.L.</t>
  </si>
  <si>
    <t>CMAC PIURA S.A.C.</t>
  </si>
  <si>
    <t>CORPORACION ALEGRIA E HIJOS SOCIEDAD ANONIMA CERRADA</t>
  </si>
  <si>
    <t>INTERNACIONAL CESPEDES S.A.C.</t>
  </si>
  <si>
    <t>CONSTRUCTORA FERROTEK HUANUCO N &amp; A E.I.R.L.</t>
  </si>
  <si>
    <t>QUINTANA REYNOSO SUSAN ANGELA</t>
  </si>
  <si>
    <t>AURIS RODRIGUEZ DIANA</t>
  </si>
  <si>
    <t>00F028</t>
  </si>
  <si>
    <t>00FE01</t>
  </si>
  <si>
    <t>00FN01</t>
  </si>
  <si>
    <t>00FI01</t>
  </si>
  <si>
    <t>SISTEMA ECOLÓGICO INTEGRAL DE TECNOLOGÍAS E INFORMÁTICA SOCIEDAD ANONIMA CERRADA - ECO SITI S.A.C.</t>
  </si>
  <si>
    <t>00FF08</t>
  </si>
  <si>
    <t>GRUPO SUKKIE E.I.R.L.</t>
  </si>
  <si>
    <t>ACOSTA INTERNACIONAL EMPRESA INDIVIDUAL DE RESPONSABILIDAD LIMITADA</t>
  </si>
  <si>
    <t>EXPRESO J&amp;F SOCIEDAD COMERCIAL DE RESPONSABILIDAD LIMITADA</t>
  </si>
  <si>
    <t>EMPRESA TRANSPORTES SELVA EXPRESS S.A.</t>
  </si>
  <si>
    <t>EMPRESA DE TRANSPORTES TURISMO JOELITO SOCIEDAD ANONIMA CERRADA</t>
  </si>
  <si>
    <t>AUTOMOVIL SATIPO TOURS S.A.C.</t>
  </si>
  <si>
    <t>00F002</t>
  </si>
  <si>
    <t>MULTISERVICIOS CHINO ALAN S.A.C.</t>
  </si>
  <si>
    <t>CAMPOS ESPIRITU MARIA DEL CARMEN</t>
  </si>
  <si>
    <t>GREAV EMPRESA INDIVIDUAL DE RESPONSABILIDAD LIMITADA</t>
  </si>
  <si>
    <t>EMPRESA DE TRANSPORTE Y SERVICIO MULTIPLE BELTRAN E.I.R.L. - TRANSERBEL E.I.R.L.</t>
  </si>
  <si>
    <t>00FC04</t>
  </si>
  <si>
    <t>UNTIVEROS SOLDEVILLA MIGUEL COLIN</t>
  </si>
  <si>
    <t>MAYTA GOMEZ JUAN MESIAS</t>
  </si>
  <si>
    <t>VARGAS CHAVEZ AMALIA DEL PILAR</t>
  </si>
  <si>
    <t>CALDERON FERNANDEZ DILMER RICHARD</t>
  </si>
  <si>
    <t>EXPRESO INTERNACIONAL TURISMO CENTRAL S.A.</t>
  </si>
  <si>
    <t>SERVICIOS CONTABLES Y AUDITORIA INTERNA S.A.</t>
  </si>
  <si>
    <t>GRUPO BASUALDO SOCIEDAD ANONIMA CERRADA</t>
  </si>
  <si>
    <t>ECOLIFE FUSION S.A.C.</t>
  </si>
  <si>
    <t>CRE</t>
  </si>
  <si>
    <t>DINERS CLUB PERU S A</t>
  </si>
  <si>
    <t>EMPRESA DE TRANSPORTES EXPRESO SANTA ANA S.A.</t>
  </si>
  <si>
    <t>PETRO MAX J.A.C. E.I.R.L.</t>
  </si>
  <si>
    <t>GAS VIVA EMPRESA INDIVIDUAL DE RESPONSABILIDAD LIMITADA</t>
  </si>
  <si>
    <t>EE.SS. TORRES EMPRESA INDIVIDUAL DE RESPONSABILIDAD LIMITADA</t>
  </si>
  <si>
    <t>20613928830 </t>
  </si>
  <si>
    <t>GRUPO RODRIGUEZ ALARCON SOCIEDAD COMERCIAL DE RESPONSABILIDAD LIMITADA- GRUPO ROAL S.R.L.</t>
  </si>
  <si>
    <t>ROSALES CAMAC JEFFREY SAMIR</t>
  </si>
  <si>
    <t>CANO EGOAVIL LISETH ESTEFANI</t>
  </si>
  <si>
    <t>SEDANO PISCONTE ARNIE JOSE</t>
  </si>
  <si>
    <t>MACAVILCA BUSTINZA RICARDINA CORAL</t>
  </si>
  <si>
    <t>MADUEÑO HUAMAN LILI CLISSELY</t>
  </si>
  <si>
    <t>ALMA FOOD S.A.C.</t>
  </si>
  <si>
    <t>EMPRESA DE TRANSPORTES ECO TURISTICO SA</t>
  </si>
  <si>
    <t>MESSENGER WORLD E.I.R.L</t>
  </si>
  <si>
    <t>CENTRO DE INSPECCION TECNICA VEHICULAR – PERU LIDER SOCIEDAD ANÓNIMA CERRADA</t>
  </si>
  <si>
    <t>CORPORACION HERMANOS G Y E E.I.R.L.</t>
  </si>
  <si>
    <t>CERDA HIDALGO YESENIA DUSKA</t>
  </si>
  <si>
    <t>VISUAL´S MERCHANDISING S.A.C.</t>
  </si>
  <si>
    <t>00FV13</t>
  </si>
  <si>
    <t>656009501</t>
  </si>
  <si>
    <t xml:space="preserve">POR LA COMPRA DE COMBUSTIBLE </t>
  </si>
  <si>
    <t>656009401</t>
  </si>
  <si>
    <t>6599094</t>
  </si>
  <si>
    <t xml:space="preserve">SOPORTE TECNICO </t>
  </si>
  <si>
    <t>ACTUALIZACION DEL MODULO DE CREDITOS</t>
  </si>
  <si>
    <t xml:space="preserve">6250095 </t>
  </si>
  <si>
    <t>POR LA COMPRA DE AGUA MESA</t>
  </si>
  <si>
    <t>6391094</t>
  </si>
  <si>
    <t>POR LA COMISION BANCARIA</t>
  </si>
  <si>
    <t>656009506</t>
  </si>
  <si>
    <t>POR LA IMPRESIÓN DE DE FORMATOS</t>
  </si>
  <si>
    <t>LETREROS CON LUCES LED</t>
  </si>
  <si>
    <t xml:space="preserve">6371095   </t>
  </si>
  <si>
    <t>POR EL SERVICIO DE PUBLICIDAD</t>
  </si>
  <si>
    <t>6011020</t>
  </si>
  <si>
    <t>POR LA COMPRA DE PARABRIZAS</t>
  </si>
  <si>
    <t>6314095</t>
  </si>
  <si>
    <t>POR CONSUMO DE ALIMENTOS</t>
  </si>
  <si>
    <t>6031025</t>
  </si>
  <si>
    <t>POR LA COMPRA DE CASCOS</t>
  </si>
  <si>
    <t>6311195</t>
  </si>
  <si>
    <t>POR EL SERVICIO DE TRANSPORTE</t>
  </si>
  <si>
    <t>6344095</t>
  </si>
  <si>
    <t>POR LA COMPRA DE CERAMICA</t>
  </si>
  <si>
    <t>POR EL SERVICIO DE LLAMADAS</t>
  </si>
  <si>
    <t>6329095</t>
  </si>
  <si>
    <t>1413</t>
  </si>
  <si>
    <t>POR EL SERVICIO DE LEGALIZACION</t>
  </si>
  <si>
    <t>656009502</t>
  </si>
  <si>
    <t>POR EL SERVICIO DE TRANSPORTE DE PASAJERO</t>
  </si>
  <si>
    <t>POR LA COMPRA DE PEGAMENTO EXTRAFUERTE</t>
  </si>
  <si>
    <t>6560095</t>
  </si>
  <si>
    <t>PINTURA SPRAY</t>
  </si>
  <si>
    <t>LETRERO LUMINISO</t>
  </si>
  <si>
    <t>656009503</t>
  </si>
  <si>
    <t>ALMOHADILLA DE HUELLA DACTILAR</t>
  </si>
  <si>
    <t>POR LA COMPRA DE ARTICULOS DE ESCRITORIO</t>
  </si>
  <si>
    <t>LIMPIADOR DE MOTOR</t>
  </si>
  <si>
    <t xml:space="preserve">631509401 </t>
  </si>
  <si>
    <t>LAVADO Y ENGRASE</t>
  </si>
  <si>
    <t>TOMACORRIENTE</t>
  </si>
  <si>
    <t>POR LA COMPRA DE HERRAMIENTAS</t>
  </si>
  <si>
    <t>POR LA COMPRA DE REPUESTOS</t>
  </si>
  <si>
    <t>6560094</t>
  </si>
  <si>
    <t>POR LA COMPRA DE PINTURA SPRAY</t>
  </si>
  <si>
    <t>6011021</t>
  </si>
  <si>
    <t>7311</t>
  </si>
  <si>
    <t>CUMPLIMIENTO DE CUOTA DE VENTAS</t>
  </si>
  <si>
    <t>BONO RECONOCIMIENTO</t>
  </si>
  <si>
    <t>30/02/2026</t>
  </si>
  <si>
    <t>29/02/2026</t>
  </si>
  <si>
    <t>00F011</t>
  </si>
  <si>
    <t>F011</t>
  </si>
  <si>
    <t>4319</t>
  </si>
  <si>
    <t>E001</t>
  </si>
  <si>
    <t>182</t>
  </si>
  <si>
    <t>00F010</t>
  </si>
  <si>
    <t>00FC01</t>
  </si>
  <si>
    <t>00FB25</t>
  </si>
  <si>
    <t>00F072</t>
  </si>
  <si>
    <t>ANULACION DE LA OPERACIÓN</t>
  </si>
  <si>
    <t>CANDADO DE BRONCE</t>
  </si>
  <si>
    <t>JEBE DE TAPABARRA DE CHASIS</t>
  </si>
  <si>
    <t>6599095</t>
  </si>
  <si>
    <t>POR EL SERVICIO DE COBRANZA BLANCA</t>
  </si>
  <si>
    <t>POR EL SERVICIO DE ARRENDAMIENTO</t>
  </si>
  <si>
    <t>F005</t>
  </si>
  <si>
    <t>13340</t>
  </si>
  <si>
    <t>15898</t>
  </si>
  <si>
    <t>76063</t>
  </si>
  <si>
    <t>00S898</t>
  </si>
  <si>
    <t>000060</t>
  </si>
  <si>
    <t>6361095</t>
  </si>
  <si>
    <t>POR EL SERVICIO DE ENERGIA ELECTRICA</t>
  </si>
  <si>
    <t>6363095</t>
  </si>
  <si>
    <t>POR EL SERVICIO DE AGUA POTABLE</t>
  </si>
  <si>
    <t>00FN11</t>
  </si>
  <si>
    <t>DONACION POR APOYO Y EFICIENTE ATENCION AL CLIENTE</t>
  </si>
  <si>
    <t>6591094</t>
  </si>
  <si>
    <t xml:space="preserve">POR DERECHO DE EMISION DE PLACA DE RODAJE </t>
  </si>
  <si>
    <t>00F008</t>
  </si>
  <si>
    <t>00F020</t>
  </si>
  <si>
    <t>00F155</t>
  </si>
  <si>
    <t>TAIPE AYLLON EMILY MARGORY</t>
  </si>
  <si>
    <t>CONSORCIOS Y SERVICIOS GENERALES SALOME SOCIEDAD ANONIMA CERRADA</t>
  </si>
  <si>
    <t>00FB42</t>
  </si>
  <si>
    <t>00F006</t>
  </si>
  <si>
    <t>00FF01</t>
  </si>
  <si>
    <t>ALICATE PRESION CAIMAN</t>
  </si>
  <si>
    <t>6323094</t>
  </si>
  <si>
    <t>SERVICIO CONTABLE</t>
  </si>
  <si>
    <t>POR LA COMPRA DE THINNER</t>
  </si>
  <si>
    <t>POR LA COMPRA DE CORRECTOR</t>
  </si>
  <si>
    <t>POR LA COMPRA DE TUBO GALVANIZADO</t>
  </si>
  <si>
    <t>POR LA COMPRA DE ARTICULOS DE FERRETERIA</t>
  </si>
  <si>
    <t>POR LA COMPRA DE BATERIA</t>
  </si>
  <si>
    <t>POR LA COMPRA DE TINTA DE IMPRESORA</t>
  </si>
  <si>
    <t>POR LA COMPRA DE JEBE</t>
  </si>
  <si>
    <t>POR LA COMPRA DE VINIFAN</t>
  </si>
  <si>
    <t>POR LA COMPRA DE LIMPIAVIDRIOS</t>
  </si>
  <si>
    <t>BOYA DE BRONCE</t>
  </si>
  <si>
    <t>DADO HEXAGONAL</t>
  </si>
  <si>
    <t>00FV14</t>
  </si>
  <si>
    <t>00FB26</t>
  </si>
  <si>
    <t>CAFE EL POLO S.A.C.</t>
  </si>
  <si>
    <t>602</t>
  </si>
  <si>
    <t>OPERACIÓN POR EXCESO</t>
  </si>
  <si>
    <t>POR CONSUMO</t>
  </si>
  <si>
    <t>00SB01</t>
  </si>
  <si>
    <t>POR EL SERVICIO DE INTERNET</t>
  </si>
  <si>
    <t xml:space="preserve">6599095   </t>
  </si>
  <si>
    <t>656009504</t>
  </si>
  <si>
    <t xml:space="preserve">6314094  </t>
  </si>
  <si>
    <t xml:space="preserve">6599094 </t>
  </si>
  <si>
    <t>6250095</t>
  </si>
  <si>
    <t xml:space="preserve">656009504 </t>
  </si>
  <si>
    <t xml:space="preserve">6343095 </t>
  </si>
  <si>
    <t xml:space="preserve">656009503 </t>
  </si>
  <si>
    <t xml:space="preserve">656009506 </t>
  </si>
  <si>
    <t xml:space="preserve">6329094   </t>
  </si>
  <si>
    <t>POR EL SERVICIO DE ARRENDAMIENTO LOCAL JR. IRAZOLA FEBRERO 2026</t>
  </si>
  <si>
    <t>POR EL SERVICIO DE ARRENDAMIENTO LOCAL JR. 1 DE NOV. FEBRERO 2026</t>
  </si>
  <si>
    <t>POR EL SERVICIO DE ARRENDAMIENTO LOCAL JR. 1 DE NOVIEMBRE ENERO 2026</t>
  </si>
  <si>
    <t>00FFF1</t>
  </si>
  <si>
    <t>GRUPO VTA S.A.C.</t>
  </si>
  <si>
    <t>PEREZ MARTICORENA LEO DAN</t>
  </si>
  <si>
    <t>00FV19</t>
  </si>
  <si>
    <t>SERVICIOS MULTIPLES NINA E.I.R.L.</t>
  </si>
  <si>
    <t>00F809</t>
  </si>
  <si>
    <t>6343095</t>
  </si>
  <si>
    <t>MANTENIMIENTO DE MOTOS VENDIDAS - GARANTIA</t>
  </si>
  <si>
    <t>CINTA DE EMBALAJE</t>
  </si>
  <si>
    <t>6343094</t>
  </si>
  <si>
    <t>REVISION TECNICA</t>
  </si>
  <si>
    <t>6360095</t>
  </si>
  <si>
    <t>LLAVE MIXTA</t>
  </si>
  <si>
    <t>POR LA IMPRESIÓN DE FOTOCHECK</t>
  </si>
  <si>
    <t>BATERIA</t>
  </si>
  <si>
    <t>CUTER</t>
  </si>
  <si>
    <t>00S060</t>
  </si>
  <si>
    <t>POR LA IMPRESIÓN DE VOLANTES</t>
  </si>
  <si>
    <t>POR LA COMPRA DE ABRILLANTADOR</t>
  </si>
  <si>
    <t>POR LA COMPRA DE UTILES DE ESCRITORIO</t>
  </si>
  <si>
    <t>00FF02</t>
  </si>
  <si>
    <t> TELLO LIMACHE JUANA</t>
  </si>
  <si>
    <t>POR LA COMPRA DE GALONES PINTURA</t>
  </si>
  <si>
    <t>EMPRESA RADIODIFUSION NUEVA SENAL EIRLTD</t>
  </si>
  <si>
    <t xml:space="preserve">DIFUSION </t>
  </si>
  <si>
    <t>POR EL SERVICIO DE ARRENDAMIENTO LOCAL JR. 1 DE NOVIEMBRE MARZO 2026</t>
  </si>
  <si>
    <t>POR EL SERVICIO DE ARRENDAMIENTO LOCAL JR. 1 DE NOVIEMBRE FEBRERO 2026</t>
  </si>
  <si>
    <t>POR EL SERVICIO DE ARRENDAMIENTO LOCAL JR. IRAZOLA MARZO 2026</t>
  </si>
  <si>
    <t>ANULACION DE OPERACIÓN</t>
  </si>
  <si>
    <t>00FV12</t>
  </si>
  <si>
    <t>CORPORACION TOSCANO TECNOLOGY PERÚ SOCIEDAD ANONIMA CERRADA</t>
  </si>
  <si>
    <t>INVERSIONES TACZA CONTRATISTAS GENERALES SOCIEDAD ANONIMA CERRADA</t>
  </si>
  <si>
    <t>00FF11</t>
  </si>
  <si>
    <t>20487251985 </t>
  </si>
  <si>
    <t>EMPRESA DE TRANSPORTES TROPICAL TOURS SCRL</t>
  </si>
  <si>
    <t>00SB02</t>
  </si>
  <si>
    <t> ORTIZ BORQUEZ WILSON WILIAM</t>
  </si>
  <si>
    <t>CTA CONTABLE</t>
  </si>
  <si>
    <t>DESCRIPCION</t>
  </si>
  <si>
    <t>BROASTER SATIPO EMPRESA INDIVIDUAL DE RESP. LTDA</t>
  </si>
  <si>
    <t xml:space="preserve">                                                                                                                         </t>
  </si>
  <si>
    <t>SERVICIO DE TELEFONICA</t>
  </si>
  <si>
    <t>SERVICIO DE AGUA</t>
  </si>
  <si>
    <t>SELLO DE MADERA</t>
  </si>
  <si>
    <t>SERVICIO DE INTERNET Y TELEFONIA</t>
  </si>
  <si>
    <t>SWITCH UNIVERSAL C/BASE P/TIMON 3C NG YANGZU D003022</t>
  </si>
  <si>
    <t>PORTA FUSIBLE , FUSIBLE</t>
  </si>
  <si>
    <t>POR COMISION DE TELECREDITO</t>
  </si>
  <si>
    <t>POR MANTENIMIENTO,OPER.EXCESO,APORTE Y ESTADO</t>
  </si>
  <si>
    <t>AGUA DE MESA POR 20 LITROS</t>
  </si>
  <si>
    <t>ARTICULOS DE ESCRITORIO</t>
  </si>
  <si>
    <t>FORMATEO E INSTA. DE WINDOWS SERVER,LICENCIA WINDOWS,ANTIVIRUS NOD 32</t>
  </si>
  <si>
    <t>PAGO PORTES,PAGO CARGO COMISION</t>
  </si>
  <si>
    <t>PAGO,APORTE,CARGO COMISION,EXCESO OPERA.ON LINE TRNF FDOS</t>
  </si>
  <si>
    <t>LIMPIA CARBURADOR VISTONY</t>
  </si>
  <si>
    <t>SERVICIO DE ENERGIA ELECTRICA</t>
  </si>
  <si>
    <t>TINTA EPSON</t>
  </si>
  <si>
    <t>CERTIFICACION DE FIRMAS</t>
  </si>
  <si>
    <t>PAGO COMISION, GASTOS DE APORTES</t>
  </si>
  <si>
    <t>PAGO DE SERVICIO DE TELEFONIA</t>
  </si>
  <si>
    <t>ARTICULOS DE LIMPIEZA</t>
  </si>
  <si>
    <t>SERVICIO DE TRANSPORTE DE PASAJERO</t>
  </si>
  <si>
    <t>PAGO COMISION</t>
  </si>
  <si>
    <t>TERMINAL HEMBRA Y MACHO,PERNO,TUERCA</t>
  </si>
  <si>
    <t>CINTA AISLANTE NEGRO</t>
  </si>
  <si>
    <t>IMPRESIÓN DE FORMATO 1+1 COPIA</t>
  </si>
  <si>
    <t>PERNO, TUERCA</t>
  </si>
  <si>
    <t>GIGANTOGRAFIAS</t>
  </si>
  <si>
    <t>SISTEMA CONTABLE FINANCIERO,MIGRACION AL TERMINAL</t>
  </si>
  <si>
    <t>CALIBRADOR GAUGE TRUPER</t>
  </si>
  <si>
    <t>LEGALIZACION DE LIBRO INVENT.Y BALAN. ACTIVOS FIJOS,INVENT.</t>
  </si>
  <si>
    <t>LIQUIDO DE FRENO</t>
  </si>
  <si>
    <t>HOJA COLOR AMARILLO- OFICINA</t>
  </si>
  <si>
    <t>SERVICIO MECANICO, BOMBIN DE EMBRAGUE</t>
  </si>
  <si>
    <t>BOMBIN DE EMBRAGUE</t>
  </si>
  <si>
    <t>CUCHILLO CARTONERO</t>
  </si>
  <si>
    <t>IMPRESORA EPSON L3250,CABLE,LICENC.INST.RED</t>
  </si>
  <si>
    <t>CABLE VULCANIZADO 2*14  CENTELSA</t>
  </si>
  <si>
    <t>POR SERVICIO DE TRANSPORTE DE PASAJERO</t>
  </si>
  <si>
    <t>POR SERVI.DE LINEA, SERVICIO DE COBRANZA Y ENTREGA</t>
  </si>
  <si>
    <t>POR PAGO DE COMISION Y MANTENIMIENTO</t>
  </si>
  <si>
    <t>COMPRA MAUSE , PAD PMOUSE</t>
  </si>
  <si>
    <t>00FB27</t>
  </si>
  <si>
    <t>POR COMISION Y MANTENIMIENTO</t>
  </si>
  <si>
    <t>MANTENIMIENTO, PAGO POR EXCESO , APORT.XESTADO</t>
  </si>
  <si>
    <t>MANTENIMIENTO</t>
  </si>
  <si>
    <t>6364095</t>
  </si>
  <si>
    <t>04893713</t>
  </si>
  <si>
    <t>JEBE TAPABARRO</t>
  </si>
  <si>
    <t>ALQUILER DE ALMACEN COMERCIAL JR.1RO DE NOVIEMBRE PERIODO ABRIL 2026</t>
  </si>
  <si>
    <t>ALQUILER LOCAL COMERCIAL JR.FCO.IRAZOLA 377 PERIODO ABRIL 2026</t>
  </si>
  <si>
    <t xml:space="preserve">656009507 </t>
  </si>
  <si>
    <t xml:space="preserve">33691 </t>
  </si>
  <si>
    <t>656009507</t>
  </si>
  <si>
    <t xml:space="preserve">6322094 </t>
  </si>
  <si>
    <t xml:space="preserve">656009404 </t>
  </si>
  <si>
    <t xml:space="preserve">632909503 </t>
  </si>
  <si>
    <t>PARABRIZA ESCHIZO TRIANGULO</t>
  </si>
  <si>
    <t>20615095142 </t>
  </si>
  <si>
    <t>02</t>
  </si>
  <si>
    <t xml:space="preserve">VIATICOS </t>
  </si>
  <si>
    <t>POZIT, GOMA</t>
  </si>
  <si>
    <t>PORTES. COMISIONES</t>
  </si>
  <si>
    <t>COMBUSTIBLE</t>
  </si>
  <si>
    <t xml:space="preserve">PLANCHADO Y RETOQUE DE TOLVA </t>
  </si>
  <si>
    <t>AGUA DE MESA</t>
  </si>
  <si>
    <t>COMISION , PORTES</t>
  </si>
  <si>
    <t>CERTIFICADO DE FIRMAS</t>
  </si>
  <si>
    <t>COMISION DEPOSITO</t>
  </si>
  <si>
    <t>CERTIFICADOS DE FIRMAS</t>
  </si>
  <si>
    <t>LEGALIZACION DE FIRMAS</t>
  </si>
  <si>
    <t>SERVICIO DE AGUA Y DESAGUIE</t>
  </si>
  <si>
    <t>PLUMON INDELEBLE</t>
  </si>
  <si>
    <t>00FQ07</t>
  </si>
  <si>
    <t>LAVADO Y ENGRASE CAMIONETA PLACA B9Q-769</t>
  </si>
  <si>
    <t>MEMBRESIA QCLQUI</t>
  </si>
  <si>
    <t>PAGO DE COMISION</t>
  </si>
  <si>
    <t>CUMPLIMIENTO DE CUOTAS DE VENTAS</t>
  </si>
  <si>
    <t>DISCO DURO ,SOLIDO HIKSEN SATA 256 GB,FORMATEO</t>
  </si>
  <si>
    <t>SORPORTE MENSUAL ABRIL 2026</t>
  </si>
  <si>
    <t>20432405525 </t>
  </si>
  <si>
    <t>PROCESOS DE MEDIOS DE PAGO S.A.</t>
  </si>
  <si>
    <t>00FC05</t>
  </si>
  <si>
    <t>COMISION</t>
  </si>
  <si>
    <t>LAPTOP 14"INTEL CORE 3.4GB 128GB</t>
  </si>
  <si>
    <t>A CTA ACTUALIZACION DE MODULOS DE SISTEMA CRED Y COBR.</t>
  </si>
  <si>
    <t>COMISION DE OPERACIÓN</t>
  </si>
  <si>
    <t>DADO EXAGONAL TUBULAR ENC 12 X 11MM</t>
  </si>
  <si>
    <t>CONSUMO</t>
  </si>
  <si>
    <t xml:space="preserve">6250095   </t>
  </si>
  <si>
    <t>PAGO GASTOS POR APORTE</t>
  </si>
  <si>
    <t xml:space="preserve">6341094  </t>
  </si>
  <si>
    <t xml:space="preserve">6341094   </t>
  </si>
  <si>
    <t xml:space="preserve">63421090  </t>
  </si>
  <si>
    <t xml:space="preserve">6591094   </t>
  </si>
  <si>
    <t>00f001</t>
  </si>
  <si>
    <t>COMPAÑIA INCUBADORA DE SOLUCIONES MOVILES S.A. - CISMO S.A.</t>
  </si>
  <si>
    <t>00FD01</t>
  </si>
  <si>
    <t>COMISIONES Y COSTOS</t>
  </si>
  <si>
    <t>31/06/2026</t>
  </si>
  <si>
    <t>MANTE.POS-PERIODO 2026/4</t>
  </si>
  <si>
    <t>ALQUILER DE ALMACEN COMERCIAL UBIC.1RONOV</t>
  </si>
  <si>
    <t>ALQUILER LOCAL UBIC.JR.FCO.IRAZOLA 377</t>
  </si>
  <si>
    <t>PINTURA SPRAY NEGRO BRILLANTE</t>
  </si>
  <si>
    <t>PAGO POR INTERES, PAGO POR APORTES</t>
  </si>
  <si>
    <t xml:space="preserve">COMISIONES , MANTENIMIENTO </t>
  </si>
  <si>
    <t>0S898</t>
  </si>
  <si>
    <t>005060</t>
  </si>
  <si>
    <t>SERVICIO TELEFONICO</t>
  </si>
  <si>
    <t>FLUIDO ELECTRICO 1RO DE NOVIEMBRE 341</t>
  </si>
  <si>
    <t>FLUIDO ELECTRICO JR.LOS INCAS 385</t>
  </si>
  <si>
    <t>FLUIDO ELECTRICO JR.FCO.IRAZOLA 377</t>
  </si>
  <si>
    <t>CONSUMO DE AGUA Y DESAGUE JR. 1RO DE NOVIEMBRE</t>
  </si>
  <si>
    <t>CONSUMO DE AGUA Y DESAGUE JR.FCO IRAZOLA 377</t>
  </si>
  <si>
    <t>COMBUSTIBLE PLACA 3769-XW</t>
  </si>
  <si>
    <t xml:space="preserve">SERVICIO CONTABLE </t>
  </si>
  <si>
    <t>PAGO PORTES , CARGO COMISION</t>
  </si>
  <si>
    <t>PAGO PORTES ,EXCESO ON LINE,COMISION</t>
  </si>
  <si>
    <t>00FV16</t>
  </si>
  <si>
    <t>PAGO MANTENIMIENTO,OPER.EXC,PORTE X ESTADO</t>
  </si>
  <si>
    <t>COMISION TELECREDITO</t>
  </si>
  <si>
    <t>CINTA AISLANTE GRANDE 3M</t>
  </si>
  <si>
    <t>CASCOS FORRADOS PARA MOTOS, ADICIONALES</t>
  </si>
  <si>
    <t>UN BULTO SERVICIO DE REPARTO</t>
  </si>
  <si>
    <t>DONACION POR APOYO Y EFICIENTE ATENCION AL CLIENTE-052026</t>
  </si>
  <si>
    <t>LIBRO DE RECLAMACIONES</t>
  </si>
  <si>
    <t>00F424</t>
  </si>
  <si>
    <t>ENVIO 03 CAJAS CON DOCUMENTOS</t>
  </si>
  <si>
    <t>SOPORTE TECNICO 052026</t>
  </si>
  <si>
    <t>02 FILF, USO ADMINISTRATIVO</t>
  </si>
  <si>
    <t>PLAN DE CUENTAS</t>
  </si>
  <si>
    <t>CUENTA</t>
  </si>
  <si>
    <t>C.BAL</t>
  </si>
  <si>
    <t>A.DEBE</t>
  </si>
  <si>
    <t>A.HABER</t>
  </si>
  <si>
    <t>ANALISIS</t>
  </si>
  <si>
    <t>CENTRO DE COSTOS</t>
  </si>
  <si>
    <t xml:space="preserve">01        </t>
  </si>
  <si>
    <t xml:space="preserve">BIENES Y VALORES ENTREGADOS                                                                         </t>
  </si>
  <si>
    <t xml:space="preserve">    </t>
  </si>
  <si>
    <t xml:space="preserve">          </t>
  </si>
  <si>
    <t>Orden</t>
  </si>
  <si>
    <t xml:space="preserve">011       </t>
  </si>
  <si>
    <t xml:space="preserve">BIENES EN PRÉSTAMO, CUSTODIA Y NO CAPITALIZABLES                                                    </t>
  </si>
  <si>
    <t xml:space="preserve">0111      </t>
  </si>
  <si>
    <t xml:space="preserve">BIENES EN PRESTAMO - Entregados                                                                     </t>
  </si>
  <si>
    <t>Documentos</t>
  </si>
  <si>
    <t>Sin centro de Costos</t>
  </si>
  <si>
    <t xml:space="preserve">0112      </t>
  </si>
  <si>
    <t xml:space="preserve">BIENES EN CUSTODIA - Entregados                                                                     </t>
  </si>
  <si>
    <t xml:space="preserve">012       </t>
  </si>
  <si>
    <t xml:space="preserve">VALORES Y BIENES ENTREGADOS EN GARANTIA                                                             </t>
  </si>
  <si>
    <t xml:space="preserve">0121      </t>
  </si>
  <si>
    <t xml:space="preserve">CARTAS FIANZA - Entregados en garantía                                                              </t>
  </si>
  <si>
    <t xml:space="preserve">0122      </t>
  </si>
  <si>
    <t xml:space="preserve">CUENTAS POR COBRAR - Entregados en garantía                                                         </t>
  </si>
  <si>
    <t xml:space="preserve">0123      </t>
  </si>
  <si>
    <t xml:space="preserve">EXISTENCIAS - Entregados en garantía                                                                </t>
  </si>
  <si>
    <t xml:space="preserve">0124      </t>
  </si>
  <si>
    <t xml:space="preserve">INVERSION MOBILIARIA - Entregados en garantía                                                       </t>
  </si>
  <si>
    <t xml:space="preserve">0125      </t>
  </si>
  <si>
    <t xml:space="preserve">INVERSION INMOBILIARIA - Entregados en garantía                                                     </t>
  </si>
  <si>
    <t xml:space="preserve">0126      </t>
  </si>
  <si>
    <t xml:space="preserve">INMUEBLES, MAQUINARIA Y EQUIPO - Entregados en garantía                                             </t>
  </si>
  <si>
    <t xml:space="preserve">0127      </t>
  </si>
  <si>
    <t xml:space="preserve">INTANGIBLES - Entregados en garantía                                                                </t>
  </si>
  <si>
    <t xml:space="preserve">0128      </t>
  </si>
  <si>
    <t xml:space="preserve">ACTIVOS BIOLOGICOS - Entregados en garantía                                                         </t>
  </si>
  <si>
    <t xml:space="preserve">013       </t>
  </si>
  <si>
    <t xml:space="preserve">ACTIVOS REALIZABLES ENTREGADOS EN CONSIGNACIÓN                                                      </t>
  </si>
  <si>
    <t>Activo</t>
  </si>
  <si>
    <t xml:space="preserve">0131      </t>
  </si>
  <si>
    <t xml:space="preserve">02        </t>
  </si>
  <si>
    <t xml:space="preserve">DERECHOS SOBRE INSTRUMENTOS FINANCIEROS                                                             </t>
  </si>
  <si>
    <t xml:space="preserve">021       </t>
  </si>
  <si>
    <t xml:space="preserve">PRIMARIOS - Derechos Sobre Instrumentos Financieros                                                 </t>
  </si>
  <si>
    <t xml:space="preserve">0211      </t>
  </si>
  <si>
    <t xml:space="preserve">INVERSIONES MANTENIDAS PARA LA NEGOCIACIÓN - Primarios - Derechos Sobre Instrumentos Financieros    </t>
  </si>
  <si>
    <t xml:space="preserve">0212      </t>
  </si>
  <si>
    <t xml:space="preserve">INVERSIONES DISPONIBLES PARA LA VENTA - Primarios - Derechos Sobre Instrumentos Financieros         </t>
  </si>
  <si>
    <t xml:space="preserve">0213      </t>
  </si>
  <si>
    <t>INVERSIONES A SER MANTENIDAS HASTA EL VENCIMIENTO - Primarios - Derechos Sobre Instrumentos Financie</t>
  </si>
  <si>
    <t xml:space="preserve">022       </t>
  </si>
  <si>
    <t xml:space="preserve">DERIVADOS - Derechos Sobre Instrumentos Financieros                                                 </t>
  </si>
  <si>
    <t xml:space="preserve">0221      </t>
  </si>
  <si>
    <t xml:space="preserve">CONTRATOS A FUTURO - Derivados - Derechos Sobre Instrumentos Financieros                            </t>
  </si>
  <si>
    <t xml:space="preserve">0222      </t>
  </si>
  <si>
    <t xml:space="preserve">CONTRATOS A TÉRMINO (FORWARD) - Derivados - Derechos Sobre Instrumentos Financieros                 </t>
  </si>
  <si>
    <t xml:space="preserve">0223      </t>
  </si>
  <si>
    <t xml:space="preserve">PERMUTAS FINANCIERAS (SWAP) - Derivados - Derechos Sobre Instrumentos Financieros                   </t>
  </si>
  <si>
    <t xml:space="preserve">0224      </t>
  </si>
  <si>
    <t xml:space="preserve">CONTRATOS DE OPCIÓN - Derivados - Derechos Sobre Instrumentos Financieros                           </t>
  </si>
  <si>
    <t xml:space="preserve">023       </t>
  </si>
  <si>
    <t xml:space="preserve">PERMUTAS FINANCIERAS (SWAP) - Derechos Sobre Instrumentos Financieros                               </t>
  </si>
  <si>
    <t xml:space="preserve">03        </t>
  </si>
  <si>
    <t xml:space="preserve">OTRAS CUENTAS DE ORDEN DEUDORAS                                                                     </t>
  </si>
  <si>
    <t xml:space="preserve">031       </t>
  </si>
  <si>
    <t xml:space="preserve">CONTRATOS APROBADOS - Otras Cuentas de Orden Deudoras                                               </t>
  </si>
  <si>
    <t xml:space="preserve">0311      </t>
  </si>
  <si>
    <t xml:space="preserve">CONTRATOS EN EJECUCION - Aprobados - Otras Cuentas de Orden Deudoras                                </t>
  </si>
  <si>
    <t xml:space="preserve">0312      </t>
  </si>
  <si>
    <t xml:space="preserve">CONTRATOS EN TRAMITE - Aprobados - Otras Cuentas de Orden Deudoras                                  </t>
  </si>
  <si>
    <t xml:space="preserve">032       </t>
  </si>
  <si>
    <t xml:space="preserve">BIENES DADOS DE BAJA - Otras Cuentas de Orden Deudoras                                              </t>
  </si>
  <si>
    <t xml:space="preserve">0321      </t>
  </si>
  <si>
    <t xml:space="preserve">SUMINISTROS - Dados de Baja - Otras Cuentas de Orden Deudoras                                       </t>
  </si>
  <si>
    <t xml:space="preserve">0322      </t>
  </si>
  <si>
    <t xml:space="preserve">INMUEBLES, MAQUINARIA Y EQUIPO - Dados de Baja - Otras Cuentas de Orden Deudoras                    </t>
  </si>
  <si>
    <t xml:space="preserve">039       </t>
  </si>
  <si>
    <t xml:space="preserve">DIVERSAS - Otras Cuentas de Orden Deudoras                                                          </t>
  </si>
  <si>
    <t xml:space="preserve">0391      </t>
  </si>
  <si>
    <t xml:space="preserve">04        </t>
  </si>
  <si>
    <t xml:space="preserve">CONTRAPARTIDAS CUENTAS DE ORDEN DEUDORAS                                                            </t>
  </si>
  <si>
    <t xml:space="preserve">041       </t>
  </si>
  <si>
    <t xml:space="preserve">0411      </t>
  </si>
  <si>
    <t>Ninguno</t>
  </si>
  <si>
    <t xml:space="preserve">06        </t>
  </si>
  <si>
    <t xml:space="preserve">BIENES Y VALORES RECIBIDOS                                                                          </t>
  </si>
  <si>
    <t xml:space="preserve">061       </t>
  </si>
  <si>
    <t xml:space="preserve">BIENES RECIBIDOS EN PRESTAMO Y CUSTODIA                                                             </t>
  </si>
  <si>
    <t xml:space="preserve">0611      </t>
  </si>
  <si>
    <t xml:space="preserve">BIENES RECIBIDOS EN PRESTAMO                                                                        </t>
  </si>
  <si>
    <t xml:space="preserve">0612      </t>
  </si>
  <si>
    <t xml:space="preserve">BIENES RECIBIDOS EN CUSTODIA                                                                        </t>
  </si>
  <si>
    <t xml:space="preserve">062       </t>
  </si>
  <si>
    <t xml:space="preserve">VALORES Y BIENES RECIBIDOS EN GARANTIA                                                              </t>
  </si>
  <si>
    <t xml:space="preserve">0621      </t>
  </si>
  <si>
    <t xml:space="preserve">CARTAS FIANZA - Recibidos en Garantía                                                               </t>
  </si>
  <si>
    <t xml:space="preserve">0622      </t>
  </si>
  <si>
    <t xml:space="preserve">CUENTAS POR COBRAR - Recibidos en Garantía                                                          </t>
  </si>
  <si>
    <t xml:space="preserve">0623      </t>
  </si>
  <si>
    <t xml:space="preserve">EXISTENCIAS - Recibidos en Garantía                                                                 </t>
  </si>
  <si>
    <t xml:space="preserve">0624      </t>
  </si>
  <si>
    <t xml:space="preserve">INVERSION MOBILIARIA - Recibidos en Garantía                                                        </t>
  </si>
  <si>
    <t xml:space="preserve">0625      </t>
  </si>
  <si>
    <t xml:space="preserve">INVERSION INMOBILIARIA - Recibidos en Garantía                                                      </t>
  </si>
  <si>
    <t xml:space="preserve">0626      </t>
  </si>
  <si>
    <t xml:space="preserve">INMUEBLES, MAQUINARIA Y EQUIPO - Recibidos en Garantía                                              </t>
  </si>
  <si>
    <t xml:space="preserve">0627      </t>
  </si>
  <si>
    <t xml:space="preserve">INTANGIBLES - Recibidos en Garantía                                                                 </t>
  </si>
  <si>
    <t xml:space="preserve">0628      </t>
  </si>
  <si>
    <t xml:space="preserve">ACTIVOS BIOLOGICOS - Recibidos en Garantía                                                          </t>
  </si>
  <si>
    <t xml:space="preserve">063       </t>
  </si>
  <si>
    <t xml:space="preserve">ACTIVOS REALIZABLES RECIBIDOS EN CONSIGNACIÓN                                                       </t>
  </si>
  <si>
    <t xml:space="preserve">0631      </t>
  </si>
  <si>
    <t xml:space="preserve">07        </t>
  </si>
  <si>
    <t xml:space="preserve">COMPROMISOS SOBRE INSTRUMENTOS FINANCIEROS                                                          </t>
  </si>
  <si>
    <t xml:space="preserve">071       </t>
  </si>
  <si>
    <t xml:space="preserve">PRIMARIOS - Compromisos Sobre Instrumentos Financieros                                              </t>
  </si>
  <si>
    <t xml:space="preserve">0711      </t>
  </si>
  <si>
    <t xml:space="preserve">INVERSIONES MANTENIDAS PARA LA NEGOCIACIÓN - Primarios - Compromisos Sobre Instrumentos Financieros </t>
  </si>
  <si>
    <t xml:space="preserve">0712      </t>
  </si>
  <si>
    <t xml:space="preserve">INVERSIONES DISPONIBLES PARA LA VENTA - Primarios - Compromisos Sobre Instrumentos Financieros      </t>
  </si>
  <si>
    <t xml:space="preserve">0713      </t>
  </si>
  <si>
    <t>INVERSIONES A SER MANTENIDAS HASTA EL VENCIMIENTO - Primarios - Compromisos Sobre Instrumentos Finan</t>
  </si>
  <si>
    <t xml:space="preserve">072       </t>
  </si>
  <si>
    <t xml:space="preserve">DERIVADOS - Compromisos Sobre Instrumentos Financieros                                              </t>
  </si>
  <si>
    <t xml:space="preserve">0721      </t>
  </si>
  <si>
    <t xml:space="preserve">CONTRATOS A FUTURO - Derivados - Compromisos Sobre Instrumentos Financieros                         </t>
  </si>
  <si>
    <t xml:space="preserve">0722      </t>
  </si>
  <si>
    <t xml:space="preserve">CONTRATOS A TÉRMINO (FORWARD) - Derivados - Compromisos Sobre Instrumentos Financieros              </t>
  </si>
  <si>
    <t xml:space="preserve">0723      </t>
  </si>
  <si>
    <t xml:space="preserve">PERMUTAS FINANCIERAS (SWAP) - Derivados - Compromisos Sobre Instrumentos Financieros                </t>
  </si>
  <si>
    <t xml:space="preserve">0724      </t>
  </si>
  <si>
    <t xml:space="preserve">CONTRATOS DE OPCIÓN - Derivados - Compromisos Sobre Instrumentos Financieros                        </t>
  </si>
  <si>
    <t xml:space="preserve">08        </t>
  </si>
  <si>
    <t xml:space="preserve">OTRAS CUENTAS DE ORDEN ACREEDORAS                                                                   </t>
  </si>
  <si>
    <t xml:space="preserve">089       </t>
  </si>
  <si>
    <t xml:space="preserve">DIVERSAS - Otras Cuentas De Orden Acreedoras                                                        </t>
  </si>
  <si>
    <t xml:space="preserve">0891      </t>
  </si>
  <si>
    <t xml:space="preserve">09        </t>
  </si>
  <si>
    <t xml:space="preserve">CONTRAPARTIDA DE CUENTAS DE ORDEN ACREEDORAS                                                        </t>
  </si>
  <si>
    <t xml:space="preserve">091       </t>
  </si>
  <si>
    <t xml:space="preserve">0911      </t>
  </si>
  <si>
    <t xml:space="preserve">10        </t>
  </si>
  <si>
    <t xml:space="preserve">EFECTIVO Y EQUIVALENTES DE EFECTIVO                                                                 </t>
  </si>
  <si>
    <t xml:space="preserve">101       </t>
  </si>
  <si>
    <t xml:space="preserve">CAJA                                                                                                </t>
  </si>
  <si>
    <t xml:space="preserve">1011      </t>
  </si>
  <si>
    <t xml:space="preserve">CAJA MN                                                                                             </t>
  </si>
  <si>
    <t>A105</t>
  </si>
  <si>
    <t>Bancos/Detalle</t>
  </si>
  <si>
    <t xml:space="preserve">1012      </t>
  </si>
  <si>
    <t xml:space="preserve">CAJA ME                                                                                             </t>
  </si>
  <si>
    <t xml:space="preserve">102       </t>
  </si>
  <si>
    <t xml:space="preserve">FONDOS FIJOS                                                                                        </t>
  </si>
  <si>
    <t xml:space="preserve">1021      </t>
  </si>
  <si>
    <t xml:space="preserve">FONDOS FIJOS MN                                                                                     </t>
  </si>
  <si>
    <t xml:space="preserve">1022      </t>
  </si>
  <si>
    <t xml:space="preserve">FONDOS FIJOS ME                                                                                     </t>
  </si>
  <si>
    <t xml:space="preserve">103       </t>
  </si>
  <si>
    <t xml:space="preserve">EFECTIVO Y CHEQUES EN TRANSITO                                                                      </t>
  </si>
  <si>
    <t xml:space="preserve">1031      </t>
  </si>
  <si>
    <t xml:space="preserve">EFECTIVO EN TRANSITO                                                                                </t>
  </si>
  <si>
    <t xml:space="preserve">10311     </t>
  </si>
  <si>
    <t xml:space="preserve">EFECTIVO EN TRANSITO MN                                                                             </t>
  </si>
  <si>
    <t xml:space="preserve">10312     </t>
  </si>
  <si>
    <t xml:space="preserve">EFECTIVO EN TRANSITO ME                                                                             </t>
  </si>
  <si>
    <t xml:space="preserve">1032      </t>
  </si>
  <si>
    <t xml:space="preserve">CHEQUES EN TRANSITO                                                                                 </t>
  </si>
  <si>
    <t xml:space="preserve">10321     </t>
  </si>
  <si>
    <t xml:space="preserve">CHEQUES EN TRANSITO MN                                                                              </t>
  </si>
  <si>
    <t xml:space="preserve">10322     </t>
  </si>
  <si>
    <t xml:space="preserve">CHEQUES EN TRANSITO ME                                                                              </t>
  </si>
  <si>
    <t xml:space="preserve">104       </t>
  </si>
  <si>
    <t xml:space="preserve">CUENTAS CORRIENTES EN INSTITUCIONES FINANCIERAS                                                     </t>
  </si>
  <si>
    <t xml:space="preserve">1041      </t>
  </si>
  <si>
    <t xml:space="preserve">CUENTAS CORRIENTES OPERATIVAS                                                                       </t>
  </si>
  <si>
    <t xml:space="preserve">104101    </t>
  </si>
  <si>
    <t xml:space="preserve">CUENTA CORRIENTE MONEDA NACIONAL                                                                    </t>
  </si>
  <si>
    <t xml:space="preserve">104102    </t>
  </si>
  <si>
    <t xml:space="preserve">CUENTA CORRIENTE MONEDA EXTRANJERA                                                                  </t>
  </si>
  <si>
    <t xml:space="preserve">1042      </t>
  </si>
  <si>
    <t xml:space="preserve">CUENTAS CORRIENTES PARA FINES ESPECIFICOS                                                           </t>
  </si>
  <si>
    <t xml:space="preserve">104201    </t>
  </si>
  <si>
    <t xml:space="preserve">CUENTA CORRIENTE - Para fines específicos                                                           </t>
  </si>
  <si>
    <t xml:space="preserve">105       </t>
  </si>
  <si>
    <t xml:space="preserve">OTROS EQUIVALENTES DE EFECTIVO                                                                      </t>
  </si>
  <si>
    <t xml:space="preserve">1051      </t>
  </si>
  <si>
    <t xml:space="preserve">106       </t>
  </si>
  <si>
    <t xml:space="preserve">DEPOSITOS EN INSTITUCIONES FINANCIERAS                                                              </t>
  </si>
  <si>
    <t xml:space="preserve">1061      </t>
  </si>
  <si>
    <t xml:space="preserve">DEPOSITOS DE AHORRO - En Instituciones Financieras                                                  </t>
  </si>
  <si>
    <t xml:space="preserve">1062      </t>
  </si>
  <si>
    <t xml:space="preserve">DEPOSITOS A PLAZO - En Instituciones Financieras                                                    </t>
  </si>
  <si>
    <t xml:space="preserve">107       </t>
  </si>
  <si>
    <t xml:space="preserve">FONDOS SUJETOS A RESTRICCION                                                                        </t>
  </si>
  <si>
    <t xml:space="preserve">1071      </t>
  </si>
  <si>
    <t xml:space="preserve">FONDOS EN GARANTIA                                                                                  </t>
  </si>
  <si>
    <t>A120</t>
  </si>
  <si>
    <t xml:space="preserve">1072      </t>
  </si>
  <si>
    <t xml:space="preserve">FONDOS RETENIDOS POR MANDATO DE LA AUTORIDAD                                                        </t>
  </si>
  <si>
    <t xml:space="preserve">1073      </t>
  </si>
  <si>
    <t xml:space="preserve">OTROS FONDOS SUJETOS A RESTRICCIONH                                                                 </t>
  </si>
  <si>
    <t xml:space="preserve">11        </t>
  </si>
  <si>
    <t xml:space="preserve">INVERSIONES FINANCIERAS                                                                             </t>
  </si>
  <si>
    <t xml:space="preserve">111       </t>
  </si>
  <si>
    <t xml:space="preserve">INVERSIONES MANTENIDAS PARA NEGOCIACION                                                             </t>
  </si>
  <si>
    <t xml:space="preserve">1111      </t>
  </si>
  <si>
    <t xml:space="preserve">VALORES EMITIDOS O GARANTIZADOS POR EL ESTADO  - Para Negociación                                   </t>
  </si>
  <si>
    <t xml:space="preserve">11111     </t>
  </si>
  <si>
    <t xml:space="preserve">COSTO - Valores Emitidos o Garantizados por el  Estado - Para Negociación                           </t>
  </si>
  <si>
    <t>A106</t>
  </si>
  <si>
    <t xml:space="preserve">11112     </t>
  </si>
  <si>
    <t xml:space="preserve">VALOR RAZONABLE  - Valores Emitidos o Garantizados por el  Estado - Para Negociación                </t>
  </si>
  <si>
    <t xml:space="preserve">1112      </t>
  </si>
  <si>
    <t xml:space="preserve">VALORES EMITIDOS POR EL SISTEMA FINANCIERO - Para Negociación                                       </t>
  </si>
  <si>
    <t xml:space="preserve">11121     </t>
  </si>
  <si>
    <t xml:space="preserve">COSTO - Valores Emitidos por el  Sistema Financiero - Para Negociación                              </t>
  </si>
  <si>
    <t xml:space="preserve">11122     </t>
  </si>
  <si>
    <t xml:space="preserve">VALOR RAZONABLE - Valores Emitidos por el  Sistema Financiero - Para Negociación                    </t>
  </si>
  <si>
    <t xml:space="preserve">1113      </t>
  </si>
  <si>
    <t xml:space="preserve">VALORES EMITIDOS POR ENTIDADES - Para Negociación                                                   </t>
  </si>
  <si>
    <t xml:space="preserve">11131     </t>
  </si>
  <si>
    <t xml:space="preserve">COSTO - Valores Emitidos por Entidades - Para Negociación                                           </t>
  </si>
  <si>
    <t xml:space="preserve">11132     </t>
  </si>
  <si>
    <t xml:space="preserve">VALOR RAZONABLE - Valores Emitidos por Entidades - Para Negociación                                 </t>
  </si>
  <si>
    <t xml:space="preserve">1114      </t>
  </si>
  <si>
    <t xml:space="preserve">OTROS TITULOS REPRESENTATIVOS DE DEUDA - Para Negociación                                           </t>
  </si>
  <si>
    <t xml:space="preserve">11141     </t>
  </si>
  <si>
    <t xml:space="preserve">COSTO - Otros Titulos Representativos de Deuda - Para Negociación                                   </t>
  </si>
  <si>
    <t xml:space="preserve">11142     </t>
  </si>
  <si>
    <t xml:space="preserve">VALOR RAZONABLE - Otros Titulos Representativos de Deuda - Para Negociación                         </t>
  </si>
  <si>
    <t xml:space="preserve">1115      </t>
  </si>
  <si>
    <t xml:space="preserve">PARTICIPACIONES EN ENTIDADES - Para Negociación                                                     </t>
  </si>
  <si>
    <t xml:space="preserve">11151     </t>
  </si>
  <si>
    <t xml:space="preserve">COSTO - Participaciones en Entidades - Para Negociación                                             </t>
  </si>
  <si>
    <t xml:space="preserve">11152     </t>
  </si>
  <si>
    <t xml:space="preserve">VALOR RAZONABLE- Participaciones en Entidades - Para Negociación                                    </t>
  </si>
  <si>
    <t xml:space="preserve">112       </t>
  </si>
  <si>
    <t xml:space="preserve">OTRAS INVERSIONES FINANCIERAS                                                                       </t>
  </si>
  <si>
    <t xml:space="preserve">1121      </t>
  </si>
  <si>
    <t xml:space="preserve">11211     </t>
  </si>
  <si>
    <t xml:space="preserve">COSTO - Otras Inversiones Financieras                                                               </t>
  </si>
  <si>
    <t xml:space="preserve">11212     </t>
  </si>
  <si>
    <t xml:space="preserve">VALOR RAZONABLE - Otras Inversiones Financieras                                                     </t>
  </si>
  <si>
    <t xml:space="preserve">113       </t>
  </si>
  <si>
    <t xml:space="preserve">ACTIVOS FINANCIEROS - ACUERDO DE COMPRA                                                             </t>
  </si>
  <si>
    <t xml:space="preserve">1131      </t>
  </si>
  <si>
    <t xml:space="preserve">INVERSIONES MANTENIDAS PARA NEGOCIACION - ACUERDO DE COMPRA                                         </t>
  </si>
  <si>
    <t xml:space="preserve">11311     </t>
  </si>
  <si>
    <t xml:space="preserve">COSTO - Inversiones Mantenidas para Negociación - Acuerdo de Compra                                 </t>
  </si>
  <si>
    <t xml:space="preserve">11312     </t>
  </si>
  <si>
    <t xml:space="preserve">VALOR RAZONABLE - Inversiones Mantenidas para Negociación - Acuerdo de Compra                       </t>
  </si>
  <si>
    <t xml:space="preserve">1132      </t>
  </si>
  <si>
    <t xml:space="preserve">OTRAS INVERSIONES FINANCIERAS - ACUERDO DE COMPRA                                                   </t>
  </si>
  <si>
    <t xml:space="preserve">11321     </t>
  </si>
  <si>
    <t xml:space="preserve">COSTO - Otras Inversiones Financieras - Acuerdo de Comprae                                          </t>
  </si>
  <si>
    <t xml:space="preserve">11322     </t>
  </si>
  <si>
    <t xml:space="preserve">VALOR RAZONABLE - Otras Inversiones Financieras - Acuerdo de Compra                                 </t>
  </si>
  <si>
    <t xml:space="preserve">12        </t>
  </si>
  <si>
    <t xml:space="preserve">CUENTAS POR COBRAR COMERCIALES - TERCEROS                                                           </t>
  </si>
  <si>
    <t xml:space="preserve">121       </t>
  </si>
  <si>
    <t xml:space="preserve">FACTURAS,BOLETAS Y OTROS COMPROBANTES POR COBRAR - Terceros                                         </t>
  </si>
  <si>
    <t xml:space="preserve">1211      </t>
  </si>
  <si>
    <t xml:space="preserve">NO EMITIDAS - Facturas, Boletas y Otros Comprobantes Por Cobrar - Terceros                          </t>
  </si>
  <si>
    <t>A110</t>
  </si>
  <si>
    <t xml:space="preserve">1212      </t>
  </si>
  <si>
    <t xml:space="preserve">EMITIDAS EN CARTERA - Facturas, Boletas y Otros Comprobantes Por Cobrar - Terceros                  </t>
  </si>
  <si>
    <t xml:space="preserve">1213      </t>
  </si>
  <si>
    <t xml:space="preserve">EN COBRANZA - Facturas, Boletas y Otros Comprobantes Por Cobrar - Terceros                          </t>
  </si>
  <si>
    <t xml:space="preserve">1214      </t>
  </si>
  <si>
    <t xml:space="preserve">EN DESCUENTO - Facturas, Boletas y Otros Comprobantes Por Cobrar - Terceros                         </t>
  </si>
  <si>
    <t xml:space="preserve">122       </t>
  </si>
  <si>
    <t xml:space="preserve">ANTICIPOS DE CLIENTES  - Terceros                                                                   </t>
  </si>
  <si>
    <t xml:space="preserve">1221      </t>
  </si>
  <si>
    <t xml:space="preserve">ANTICIPOS DE CLIENTES - Terceros                                                                    </t>
  </si>
  <si>
    <t xml:space="preserve">123       </t>
  </si>
  <si>
    <t xml:space="preserve">LETRAS POR COBRAR - Terceros                                                                        </t>
  </si>
  <si>
    <t xml:space="preserve">1232      </t>
  </si>
  <si>
    <t xml:space="preserve">EN CARTERA - Letras por Cobrar Comerciales - Terceros                                               </t>
  </si>
  <si>
    <t xml:space="preserve">1233      </t>
  </si>
  <si>
    <t xml:space="preserve">EN COBRANZA - Letras por Cobrar Comerciales - Terceros                                              </t>
  </si>
  <si>
    <t xml:space="preserve">1234      </t>
  </si>
  <si>
    <t xml:space="preserve">EN DESCUENTO - Letras por Cobrar Comerciales - Terceros                                             </t>
  </si>
  <si>
    <t xml:space="preserve">13        </t>
  </si>
  <si>
    <t xml:space="preserve">CUENTAS POR COBRAR COMERCIALES - RELACIONADAS                                                       </t>
  </si>
  <si>
    <t xml:space="preserve">131       </t>
  </si>
  <si>
    <t xml:space="preserve">FACTURAS,BOLETAS Y OTROS COMPROBANTES POR COBRAR - Relacionadas                                     </t>
  </si>
  <si>
    <t xml:space="preserve">1311      </t>
  </si>
  <si>
    <t xml:space="preserve">NO EMITIDAS - Facturas, Boletas y Otros Comprobantes Por Cobrar - Relacionadas                      </t>
  </si>
  <si>
    <t>A111</t>
  </si>
  <si>
    <t xml:space="preserve">1312      </t>
  </si>
  <si>
    <t xml:space="preserve">EMITIDAS EN CARTERA - Facturas, Boletas y Otros Comprobantes Por Cobrar - Relacionadas              </t>
  </si>
  <si>
    <t xml:space="preserve">1313      </t>
  </si>
  <si>
    <t xml:space="preserve">EN COBRANZA - Facturas, Boletas y Otros Comprobantes Por Cobrar - Relacionadas                      </t>
  </si>
  <si>
    <t xml:space="preserve">1314      </t>
  </si>
  <si>
    <t xml:space="preserve">EN DESCUENTO - Facturas, Boletas y Otros Comprobantes Por Cobrar - Relacionadas                     </t>
  </si>
  <si>
    <t xml:space="preserve">132       </t>
  </si>
  <si>
    <t xml:space="preserve">ANTICIPOS RECIBIDOS                                                                                 </t>
  </si>
  <si>
    <t xml:space="preserve">1321      </t>
  </si>
  <si>
    <t xml:space="preserve">ANTICIPOS RECIBIDOS - Relacionadas                                                                  </t>
  </si>
  <si>
    <t xml:space="preserve">133       </t>
  </si>
  <si>
    <t xml:space="preserve">LETRAS POR COBRAR                                                                                   </t>
  </si>
  <si>
    <t xml:space="preserve">1331      </t>
  </si>
  <si>
    <t xml:space="preserve">EN CARTERA - Letras Por Cobrar - Relacionadas                                                       </t>
  </si>
  <si>
    <t xml:space="preserve">1332      </t>
  </si>
  <si>
    <t xml:space="preserve">EN COBRANZA  - Letras Por Cobrar - Relacionadas                                                     </t>
  </si>
  <si>
    <t xml:space="preserve">1333      </t>
  </si>
  <si>
    <t xml:space="preserve">EN DESCUENTO  - Letras Por Cobrar - Relacionadas                                                    </t>
  </si>
  <si>
    <t xml:space="preserve">14        </t>
  </si>
  <si>
    <t xml:space="preserve">CUENTAS POR COBRAR AL PERSONAL, A LOS ACCIONISTAS (SOCIOS), DIRECTORES                              </t>
  </si>
  <si>
    <t xml:space="preserve">141       </t>
  </si>
  <si>
    <t xml:space="preserve">PERSONAL - Cuentas por Cobrar                                                                       </t>
  </si>
  <si>
    <t xml:space="preserve">1411      </t>
  </si>
  <si>
    <t xml:space="preserve">PRESTAMOS - Personal  - Cuentas por Cobrar                                                          </t>
  </si>
  <si>
    <t>A115</t>
  </si>
  <si>
    <t xml:space="preserve">1412      </t>
  </si>
  <si>
    <t xml:space="preserve">ADELANTO DE REMUNERACIONES - Personal  - Cuentas por Cobrar                                         </t>
  </si>
  <si>
    <t xml:space="preserve">1413      </t>
  </si>
  <si>
    <t xml:space="preserve">ENTREGAS A RENDIR CUENTA - Personal  - Cuentas por Cobrar                                           </t>
  </si>
  <si>
    <t xml:space="preserve">1419      </t>
  </si>
  <si>
    <t xml:space="preserve">OTRAS CUENTAS POR COBRAR AL PERSONAL                                                                </t>
  </si>
  <si>
    <t xml:space="preserve">142       </t>
  </si>
  <si>
    <t xml:space="preserve">ACCIONISTAS (O SOCIOS) - Cuentas por Cobrar                                                         </t>
  </si>
  <si>
    <t xml:space="preserve">1421      </t>
  </si>
  <si>
    <t xml:space="preserve">SUSCRIPCIONES POR COBRAR A SOCIOS O ACCIONISTAS   - Cuentas por Cobrara                             </t>
  </si>
  <si>
    <t xml:space="preserve">1422      </t>
  </si>
  <si>
    <t xml:space="preserve">PRESTAMOS - Accionistas (o socios) - Cuentas por Cobrar                                             </t>
  </si>
  <si>
    <t xml:space="preserve">143       </t>
  </si>
  <si>
    <t xml:space="preserve">DIRECTORES - Cuentas por Cobrar                                                                     </t>
  </si>
  <si>
    <t xml:space="preserve">1431      </t>
  </si>
  <si>
    <t xml:space="preserve">PRESTAMOS - Directores - Cuentas por Cobrar                                                         </t>
  </si>
  <si>
    <t xml:space="preserve">1432      </t>
  </si>
  <si>
    <t xml:space="preserve">ADELANTO DE DIETAS - Directores - Cuentas por Cobrar                                                </t>
  </si>
  <si>
    <t xml:space="preserve">1433      </t>
  </si>
  <si>
    <t xml:space="preserve">ENTREGAS A RENDIR CUENTA - Directores - Cuentas por Cobrar                                          </t>
  </si>
  <si>
    <t xml:space="preserve">149       </t>
  </si>
  <si>
    <t xml:space="preserve">DIVERSAS - Cuentas por Cobrar                                                                       </t>
  </si>
  <si>
    <t xml:space="preserve">1491      </t>
  </si>
  <si>
    <t xml:space="preserve">16        </t>
  </si>
  <si>
    <t xml:space="preserve">CUENTAS POR COBRAR DIVERSAS - TERCEROS                                                              </t>
  </si>
  <si>
    <t xml:space="preserve">161       </t>
  </si>
  <si>
    <t xml:space="preserve">PRESTAMOS - Cuentas Por Cobrar Diversas - Terceros                                                  </t>
  </si>
  <si>
    <t xml:space="preserve">1611      </t>
  </si>
  <si>
    <t xml:space="preserve">CON GARANTIA - Préstamos - Cuentas Por Cobrar Diversas - Terceros                                   </t>
  </si>
  <si>
    <t xml:space="preserve">1612      </t>
  </si>
  <si>
    <t xml:space="preserve">SIN GARANTIA - Préstamos - Cuentas Por Cobrar Diversas - Terceros                                   </t>
  </si>
  <si>
    <t xml:space="preserve">162       </t>
  </si>
  <si>
    <t xml:space="preserve">RECLAMACIONES A TERCEROS - Cuentas Por Cobrar Diversas - Terceros                                   </t>
  </si>
  <si>
    <t xml:space="preserve">1621      </t>
  </si>
  <si>
    <t xml:space="preserve">COMPAÑIAS ASEGURADORAS - Cuentas Por Cobrar Diversas - Reclamaciones - Terceros                     </t>
  </si>
  <si>
    <t xml:space="preserve">1622      </t>
  </si>
  <si>
    <t xml:space="preserve">TRANSPORTADORAS -Cuentas Por Cobrar Diversas - Reclamaciones - Terceros                             </t>
  </si>
  <si>
    <t xml:space="preserve">1623      </t>
  </si>
  <si>
    <t xml:space="preserve">SERVICIOS PUBLICOS - Cuentas Por Cobrar Diversas - Reclamaciones - Terceros                         </t>
  </si>
  <si>
    <t xml:space="preserve">1624      </t>
  </si>
  <si>
    <t xml:space="preserve">TRIBUTOS - Cuentas Por Cobrar Diversas - Reclamaciones - Terceros                                   </t>
  </si>
  <si>
    <t xml:space="preserve">1629      </t>
  </si>
  <si>
    <t xml:space="preserve">OTRAS - Cuentas Por Cobrar Diversas - Reclamaciones - Terceros                                      </t>
  </si>
  <si>
    <t xml:space="preserve">163       </t>
  </si>
  <si>
    <t xml:space="preserve">INTERESES, REGALIAS Y DIVIDENDOS - Cuentas Por Cobrar Diversas - Terceros                           </t>
  </si>
  <si>
    <t xml:space="preserve">1631      </t>
  </si>
  <si>
    <t xml:space="preserve">INTERESES - Cuentas Por Cobrar Diversas - Terceros                                                  </t>
  </si>
  <si>
    <t xml:space="preserve">1632      </t>
  </si>
  <si>
    <t xml:space="preserve">REGALIAS  - Cuentas Por Cobrar Diversas - Terceros                                                  </t>
  </si>
  <si>
    <t xml:space="preserve">1633      </t>
  </si>
  <si>
    <t xml:space="preserve">DIVIDENDOS - Cuentas Por Cobrar Diversas - Terceros                                                 </t>
  </si>
  <si>
    <t xml:space="preserve">164       </t>
  </si>
  <si>
    <t xml:space="preserve">DEPOSITOS OTORGADOS EN GARANTIA - Cuentas Por Cobrar Diversas - Terceros                            </t>
  </si>
  <si>
    <t xml:space="preserve">1641      </t>
  </si>
  <si>
    <t xml:space="preserve">PRÉSTAMOS DE INSTITUCIONES  FINANCIERAS - Depósitos Otorgados en Garantía - Terceros                </t>
  </si>
  <si>
    <t xml:space="preserve">1642      </t>
  </si>
  <si>
    <t xml:space="preserve">PRÉSTAMOS DE INSTITUCIONES NO FINANCIERAS - Depósitos Otorgados en Garantía - Terceros              </t>
  </si>
  <si>
    <t xml:space="preserve">1643      </t>
  </si>
  <si>
    <t xml:space="preserve">DEPOSITOS EN GARANTIA POR ALQUILERES - Depósitos Otorgados en Garantía - Terceros                   </t>
  </si>
  <si>
    <t xml:space="preserve">1649      </t>
  </si>
  <si>
    <t xml:space="preserve">OTROS DEPOSITOS EN GARANTIA - Terceros                                                              </t>
  </si>
  <si>
    <t xml:space="preserve">165       </t>
  </si>
  <si>
    <t xml:space="preserve">VENTA DE ACTIVO INMOVILIZADO  - Cuentas Por Cobrar Diversas - Terceros                              </t>
  </si>
  <si>
    <t xml:space="preserve">1651      </t>
  </si>
  <si>
    <t xml:space="preserve">INVERSION MOBILIARIA - Venta De Activos Inmovilizados- Terceros                                     </t>
  </si>
  <si>
    <t xml:space="preserve">1652      </t>
  </si>
  <si>
    <t xml:space="preserve">PROPIEDADES DE INVERSION - Venta de Activo Inmovilizado - Terceros                                  </t>
  </si>
  <si>
    <t xml:space="preserve">1653      </t>
  </si>
  <si>
    <t xml:space="preserve">PROPIEDAD, PLANTA Y EQUIPO - Venta de Activo Inmovilizado - Terceros                                </t>
  </si>
  <si>
    <t xml:space="preserve">1654      </t>
  </si>
  <si>
    <t xml:space="preserve">INTANGIBLES - Venta de Activo Inmovilizado - Terceros                                               </t>
  </si>
  <si>
    <t xml:space="preserve">1655      </t>
  </si>
  <si>
    <t xml:space="preserve">ACTIVOS BIOLOGICOS - Venta de Activo Inmovilizado - Terceros                                        </t>
  </si>
  <si>
    <t xml:space="preserve">1659      </t>
  </si>
  <si>
    <t xml:space="preserve">OTROS ACTIVOS INMOVILIZADOS - Venta de Activo Inmovilizado - Terceros                               </t>
  </si>
  <si>
    <t xml:space="preserve">166       </t>
  </si>
  <si>
    <t xml:space="preserve">ACTIVOS POR INSTRUMENTOS FINANCIEROS - Cuentas Por Cobrar Diversas - Terceros                       </t>
  </si>
  <si>
    <t xml:space="preserve">1661      </t>
  </si>
  <si>
    <t xml:space="preserve">INSTRUMENTOS FINANCIEROS PRIMARIOS   - Cuentas Por Cobrar Diversas - Terceros                       </t>
  </si>
  <si>
    <t xml:space="preserve">16611     </t>
  </si>
  <si>
    <t xml:space="preserve">COSTO - Instrumentos Financieros Primarios - Cuentas Por Cobrar Diversas - Terceros                 </t>
  </si>
  <si>
    <t xml:space="preserve">16612     </t>
  </si>
  <si>
    <t xml:space="preserve">VALOR RAZONABLE - Instrumentos Financieros Primarios - Cuentas Por Cobrar Diversas - Terceros       </t>
  </si>
  <si>
    <t xml:space="preserve">1662      </t>
  </si>
  <si>
    <t xml:space="preserve">INSTRUMENTOS FINANCIEROS DERIVADOS  - Cuentas Por Cobrar Diversas - Terceros                        </t>
  </si>
  <si>
    <t xml:space="preserve">16621     </t>
  </si>
  <si>
    <t xml:space="preserve">COSTO - Instrumentos Financieros Derivados - Cuentas Por Cobrar Diversas - Terceros                 </t>
  </si>
  <si>
    <t xml:space="preserve">16622     </t>
  </si>
  <si>
    <t xml:space="preserve">VALOR RAZONABLE - Instrumentos Financieros Derivados  - Cuentas Por Cobrar Diversas - Terceros      </t>
  </si>
  <si>
    <t xml:space="preserve">167       </t>
  </si>
  <si>
    <t xml:space="preserve">TRIBUTOS POR ACREDITAR  - Cuentas Por Cobrar Diversas - Terceros                                    </t>
  </si>
  <si>
    <t xml:space="preserve">1671      </t>
  </si>
  <si>
    <t xml:space="preserve">PAGOS A CUENTA DEL IMPUESTO A LA RENTA  - Cuentas Por Cobrar Diversas - Terceros                    </t>
  </si>
  <si>
    <t xml:space="preserve">1672      </t>
  </si>
  <si>
    <t xml:space="preserve">PAGOS A CUENTA DE ITAN  - Cuentas Por Cobrar Diversas - Tercerosn                                   </t>
  </si>
  <si>
    <t xml:space="preserve">1673      </t>
  </si>
  <si>
    <t xml:space="preserve">IGV POR ACREDITAR EN COMPRAS  - Cuentas Por Cobrar Diversas - Terceros                              </t>
  </si>
  <si>
    <t xml:space="preserve">1674      </t>
  </si>
  <si>
    <t xml:space="preserve">IGV POR ACREDITAR NO DOMICILIADOS  - Cuentas Por Cobrar Diversas - Terceros                         </t>
  </si>
  <si>
    <t xml:space="preserve">1675      </t>
  </si>
  <si>
    <t xml:space="preserve">OBRAS POR IMPUESTOS  - Cuentas Por Cobrar Diversas - Terceros                                       </t>
  </si>
  <si>
    <t xml:space="preserve">169       </t>
  </si>
  <si>
    <t xml:space="preserve">OTRAS CUENTAS POR COBRAR DIVERSAS - Terceros                                                        </t>
  </si>
  <si>
    <t xml:space="preserve">1691      </t>
  </si>
  <si>
    <t xml:space="preserve">ENTREGAS A RENDIR CUENTA A TERCEROS - Otras cuentas por Cobrar Diversas - Terceros                  </t>
  </si>
  <si>
    <t xml:space="preserve">1699      </t>
  </si>
  <si>
    <t xml:space="preserve">17        </t>
  </si>
  <si>
    <t xml:space="preserve">CUENTAS POR COBRAR DIVERSAS - RELACIONADAS                                                          </t>
  </si>
  <si>
    <t xml:space="preserve">171       </t>
  </si>
  <si>
    <t xml:space="preserve">PRESTAMOS - Cuentas por Cobrar Diversas - Relacionadas                                              </t>
  </si>
  <si>
    <t xml:space="preserve">1711      </t>
  </si>
  <si>
    <t xml:space="preserve">CON GARANTIA - Préstamos - Cuentas por Cobrar Diversas - Relacionadas                               </t>
  </si>
  <si>
    <t>A121</t>
  </si>
  <si>
    <t xml:space="preserve">1712      </t>
  </si>
  <si>
    <t xml:space="preserve">SIN GARANTIA - Préstamos  - Cuentas por Cobrar Diversas - Relacionadas                              </t>
  </si>
  <si>
    <t xml:space="preserve">173       </t>
  </si>
  <si>
    <t xml:space="preserve">INTERESES, REGALIAS Y DIVIDENDOS  - Cuentas por Cobrar Diversas - Relacionadas                      </t>
  </si>
  <si>
    <t xml:space="preserve">1731      </t>
  </si>
  <si>
    <t xml:space="preserve">INTERESES - Cuentas por Cobrar Diversas - Relacionadas                                              </t>
  </si>
  <si>
    <t xml:space="preserve">1732      </t>
  </si>
  <si>
    <t xml:space="preserve">REGALIAS  - Cuentas por Cobrar Diversas - Relacionadas                                              </t>
  </si>
  <si>
    <t xml:space="preserve">1733      </t>
  </si>
  <si>
    <t xml:space="preserve">DIVIDENDOS  - Cuentas por Cobrar Diversas - Relacionadas                                            </t>
  </si>
  <si>
    <t xml:space="preserve">174       </t>
  </si>
  <si>
    <t xml:space="preserve">DEPOSITOS OTORGADOS EN GARANTIA   - Cuentas por Cobrar Diversas - Relacionadas                      </t>
  </si>
  <si>
    <t xml:space="preserve">1741      </t>
  </si>
  <si>
    <t>PRESTAMOS DE INSTIT FINANCIERAS - Depositos Otorgados Garantia - Cuentas Cobrar Diversas - Relaciona</t>
  </si>
  <si>
    <t xml:space="preserve">1742      </t>
  </si>
  <si>
    <t>PRESTAMOS DE INSTIT NO FINANCIERAS - Depositos Otorgados Garantia - Por Cobrar Diversas - Relacionad</t>
  </si>
  <si>
    <t xml:space="preserve">1743      </t>
  </si>
  <si>
    <t xml:space="preserve">DEPÓSITOS EN GARANTÍA POR ALQUILERES - Cuentas por Cobrar Diversas - Relacionadas                   </t>
  </si>
  <si>
    <t xml:space="preserve">1749      </t>
  </si>
  <si>
    <t xml:space="preserve">OTROS DEPÓSITOS EN GARANTÍA - Cuentas por Cobrar Diversas - Relacionadas                            </t>
  </si>
  <si>
    <t xml:space="preserve">175       </t>
  </si>
  <si>
    <t xml:space="preserve">VENTA DE ACTIVO INMOVILIZADO - Cuentas por Cobrar Diversas - Relacionadas                           </t>
  </si>
  <si>
    <t xml:space="preserve">1751      </t>
  </si>
  <si>
    <t xml:space="preserve">INVERSION MOBILIARIA - Venta de Activo Inmovilizado - Relacionadas                                  </t>
  </si>
  <si>
    <t xml:space="preserve">1752      </t>
  </si>
  <si>
    <t xml:space="preserve">PROPIEDADES DE INVERSIÓN - Venta de Activo Inmovilizado - Relacionadas                              </t>
  </si>
  <si>
    <t xml:space="preserve">1753      </t>
  </si>
  <si>
    <t xml:space="preserve">PROPIEDAD, PLANTA Y EQUIPO - Venta de Activo Inmovilizado - Relacionadas                            </t>
  </si>
  <si>
    <t xml:space="preserve">1754      </t>
  </si>
  <si>
    <t xml:space="preserve">INTANGIBLES - Venta de Activo Inmovilizado - Relacionadas                                           </t>
  </si>
  <si>
    <t xml:space="preserve">1755      </t>
  </si>
  <si>
    <t xml:space="preserve">ACTIVOS BIOLOGICOS - Venta de Activo Inmovilizado - Relacionadas                                    </t>
  </si>
  <si>
    <t xml:space="preserve">1759      </t>
  </si>
  <si>
    <t xml:space="preserve">OTROS ACTIVOS INMOVILIZADOS - Venta - Relacionadas                                                  </t>
  </si>
  <si>
    <t xml:space="preserve">176       </t>
  </si>
  <si>
    <t xml:space="preserve">ACTIVOS POR INSTRUMENTOS FINANCIEROS   - Cuentas por Cobrar Diversas - Relacionadas                 </t>
  </si>
  <si>
    <t xml:space="preserve">1761      </t>
  </si>
  <si>
    <t xml:space="preserve">INSTRUMENTOS FINANCIEROS PRIMARIOS   - Cuentas por Cobrar Diversas - Relacionadas                   </t>
  </si>
  <si>
    <t xml:space="preserve">17611     </t>
  </si>
  <si>
    <t xml:space="preserve">COSTO - Instrumentos Financieros Primarios - Cuentas por Cobrar Diversas - Relacionadas             </t>
  </si>
  <si>
    <t xml:space="preserve">17612     </t>
  </si>
  <si>
    <t xml:space="preserve">VALOR RAZONABLE - Instrumentos Financieros Primarios - Cuentas por Cobrar Diversas - Relacionadas   </t>
  </si>
  <si>
    <t xml:space="preserve">1762      </t>
  </si>
  <si>
    <t xml:space="preserve">INSTRUMENTOS FINANCIEROS DERIVADOS   - Cuentas por Cobrar Diversas - Relacionadas                   </t>
  </si>
  <si>
    <t xml:space="preserve">17621     </t>
  </si>
  <si>
    <t xml:space="preserve">COSTO - Instrumentos Financieros Derivados - Cuentas por Cobrar Diversas - Relacionadas             </t>
  </si>
  <si>
    <t xml:space="preserve">17622     </t>
  </si>
  <si>
    <t xml:space="preserve">VALOR RAZONABLE - Instrumentos Financieros Derivados - Cuentas por Cobrar Diversas - Relacionadas   </t>
  </si>
  <si>
    <t xml:space="preserve">179       </t>
  </si>
  <si>
    <t xml:space="preserve">OTRAS CUENTAS POR COBRAR DIVERSAS - Relacionadas                                                    </t>
  </si>
  <si>
    <t xml:space="preserve">1791      </t>
  </si>
  <si>
    <t xml:space="preserve">18        </t>
  </si>
  <si>
    <t xml:space="preserve">SERVICIOS Y OTROS CONTRATOS POR ANTICIPADO                                                          </t>
  </si>
  <si>
    <t xml:space="preserve">181       </t>
  </si>
  <si>
    <t xml:space="preserve">COSTOS FINANCIEROS - Por Anticipado                                                                 </t>
  </si>
  <si>
    <t xml:space="preserve">1811      </t>
  </si>
  <si>
    <t>A122</t>
  </si>
  <si>
    <t xml:space="preserve">182       </t>
  </si>
  <si>
    <t xml:space="preserve">SEGUROS - Por Anticipado                                                                            </t>
  </si>
  <si>
    <t xml:space="preserve">1821      </t>
  </si>
  <si>
    <t xml:space="preserve">SEGUROS - Contratados por Anticipado                                                                </t>
  </si>
  <si>
    <t xml:space="preserve">183       </t>
  </si>
  <si>
    <t xml:space="preserve">ALQUILERES - Por Anticipado                                                                         </t>
  </si>
  <si>
    <t xml:space="preserve">1831      </t>
  </si>
  <si>
    <t xml:space="preserve">ALQUILERES - Contratados por Anticipado                                                             </t>
  </si>
  <si>
    <t xml:space="preserve">184       </t>
  </si>
  <si>
    <t xml:space="preserve">PRIMAS PAGADAS POR OPCIONES - Por Anticipado                                                        </t>
  </si>
  <si>
    <t xml:space="preserve">1841      </t>
  </si>
  <si>
    <t xml:space="preserve">185       </t>
  </si>
  <si>
    <t xml:space="preserve">MANTENIMIENTO DE ACTIVOS INMOVILIZADOS - Por Anticipado                                             </t>
  </si>
  <si>
    <t xml:space="preserve">1851      </t>
  </si>
  <si>
    <t xml:space="preserve">MANTENIMIENTO DE ACTIVOS INMOVILIZADOS - Contratados por Anticipado                                 </t>
  </si>
  <si>
    <t xml:space="preserve">189       </t>
  </si>
  <si>
    <t xml:space="preserve">OTROS GASTOS CONTRATADOS POR ANTICIPADO                                                             </t>
  </si>
  <si>
    <t xml:space="preserve">1891      </t>
  </si>
  <si>
    <t xml:space="preserve">19        </t>
  </si>
  <si>
    <t xml:space="preserve">ESTIMACIÓN DE CUENTAS DE COBRANZA DUDOSA                                                            </t>
  </si>
  <si>
    <t xml:space="preserve">191       </t>
  </si>
  <si>
    <t xml:space="preserve">CUENTAS POR COBRAR COMERCIALES-TERCEROS  - Cobranza Dudosa                                          </t>
  </si>
  <si>
    <t xml:space="preserve">1911      </t>
  </si>
  <si>
    <t xml:space="preserve">FACTURAS,BOLETAS Y OTROS COMPROBANTES POR COBRAR - Terceros - Cobranza Dudosa                       </t>
  </si>
  <si>
    <t>A123</t>
  </si>
  <si>
    <t xml:space="preserve">1913      </t>
  </si>
  <si>
    <t xml:space="preserve">LETRAS POR COBRAR - Terceros - Cobranza Dudosa                                                      </t>
  </si>
  <si>
    <t xml:space="preserve">192       </t>
  </si>
  <si>
    <t xml:space="preserve">CUENTAS POR COBRAR COMERCIALES - RELACIONADAS  - Cobranza Dudosa                                    </t>
  </si>
  <si>
    <t xml:space="preserve">1921      </t>
  </si>
  <si>
    <t xml:space="preserve">FACTURAS,BOLETAS Y OTROS COMPROBANTES POR COBRAR - Relacionadas - Cobranza Dudosa                   </t>
  </si>
  <si>
    <t xml:space="preserve">1923      </t>
  </si>
  <si>
    <t xml:space="preserve">LETRAS POR COBRAR  - Relacionadas - Cobranza Dudosa                                                 </t>
  </si>
  <si>
    <t xml:space="preserve">193       </t>
  </si>
  <si>
    <t xml:space="preserve">CUENTAS POR COBRAR PERSONAL, ACCIONISTAS (SOCIOS), DIRECTORES - Cobranza Dudosa                     </t>
  </si>
  <si>
    <t xml:space="preserve">1931      </t>
  </si>
  <si>
    <t xml:space="preserve">PERSONAL - Cuentas en Cobranza Dudosa                                                               </t>
  </si>
  <si>
    <t xml:space="preserve">1932      </t>
  </si>
  <si>
    <t xml:space="preserve">ACCIONISTAS (SOCIOS) - Cuentas en Cobranza Dudosa                                                   </t>
  </si>
  <si>
    <t xml:space="preserve">1933      </t>
  </si>
  <si>
    <t xml:space="preserve">DIRECTORES - Cuentas en Cobranza Dudosa                                                             </t>
  </si>
  <si>
    <t xml:space="preserve">1939      </t>
  </si>
  <si>
    <t xml:space="preserve">DIVERSAS - Cuentas en Cobranza Dudosa                                                               </t>
  </si>
  <si>
    <t xml:space="preserve">194       </t>
  </si>
  <si>
    <t xml:space="preserve">CUENTAS POR COBRAR DIVERSAS - TERCEROS  - Cobranza Dudosa                                           </t>
  </si>
  <si>
    <t xml:space="preserve">1941      </t>
  </si>
  <si>
    <t xml:space="preserve">PRESTAMOS - Terceros - Cobranza Dudosa                                                              </t>
  </si>
  <si>
    <t xml:space="preserve">1942      </t>
  </si>
  <si>
    <t xml:space="preserve">RECLAMACIONES A TERCEROS - Cobranza Dudosa                                                          </t>
  </si>
  <si>
    <t xml:space="preserve">1943      </t>
  </si>
  <si>
    <t xml:space="preserve">INTERESES,REGALIAS Y DIVIDENDOS - Terceros - Cobranza Dudosa                                        </t>
  </si>
  <si>
    <t xml:space="preserve">1944      </t>
  </si>
  <si>
    <t xml:space="preserve">DEPOSITOS OTORGADOS EN GARANTIA - Terceros - Cobranza Dudosa                                        </t>
  </si>
  <si>
    <t xml:space="preserve">1945      </t>
  </si>
  <si>
    <t xml:space="preserve">VENTA DE ACTIVOS INMOVILIZADOS - Terceros - Cobranza Dudosa                                         </t>
  </si>
  <si>
    <t xml:space="preserve">1946      </t>
  </si>
  <si>
    <t xml:space="preserve">ACTIVOS POR INSTRUMENTOS FINANCIEROS- Terceros - Cobranza Dudosa                                    </t>
  </si>
  <si>
    <t xml:space="preserve">1949      </t>
  </si>
  <si>
    <t xml:space="preserve">OTRAS CUENTAS POR COBRAR DIVERSAS - Terceros - Cobranza Dudosa                                      </t>
  </si>
  <si>
    <t xml:space="preserve">195       </t>
  </si>
  <si>
    <t xml:space="preserve">CUENTAS POR COBRAR DIVERSAS - RELACIONADAS  - Cobranza Dudosa                                       </t>
  </si>
  <si>
    <t xml:space="preserve">1951      </t>
  </si>
  <si>
    <t xml:space="preserve">PRESTAMOS - Relacionadas - Cobranza Dudosa                                                          </t>
  </si>
  <si>
    <t xml:space="preserve">1953      </t>
  </si>
  <si>
    <t xml:space="preserve">INTERESES, REGALIAS Y DIVIDENDOS - Relacionadas - Cobranza Dudosa                                   </t>
  </si>
  <si>
    <t xml:space="preserve">1954      </t>
  </si>
  <si>
    <t xml:space="preserve">DEPOSITOS OTORGADOS EN GARANTIA - Relacionadas - Cobranza Dudosa                                    </t>
  </si>
  <si>
    <t xml:space="preserve">1955      </t>
  </si>
  <si>
    <t xml:space="preserve">VENTA DE ACTIVOS INMOVILIZADOS - Relacionadas - Cobranza Dudosa                                     </t>
  </si>
  <si>
    <t xml:space="preserve">1956      </t>
  </si>
  <si>
    <t xml:space="preserve">ACTIVOS POR INSTRUMENTOS FINANCIEROS - Relacionadas - Cobranza Dudosa                               </t>
  </si>
  <si>
    <t xml:space="preserve">1958      </t>
  </si>
  <si>
    <t xml:space="preserve">OTRAS CUENTAS POR COBRAR DIVERSAS - Relacionadas - Cobranza Dudosa                                  </t>
  </si>
  <si>
    <t xml:space="preserve">20        </t>
  </si>
  <si>
    <t xml:space="preserve">MERCADERIAS                                                                                         </t>
  </si>
  <si>
    <t xml:space="preserve">201       </t>
  </si>
  <si>
    <t xml:space="preserve">2011      </t>
  </si>
  <si>
    <t xml:space="preserve">20111     </t>
  </si>
  <si>
    <t xml:space="preserve">COSTO - Mercaderias                                                                                 </t>
  </si>
  <si>
    <t>A124</t>
  </si>
  <si>
    <t xml:space="preserve">20114     </t>
  </si>
  <si>
    <t xml:space="preserve">VALOR RAZONABLE - Mercaderias                                                                       </t>
  </si>
  <si>
    <t xml:space="preserve">21        </t>
  </si>
  <si>
    <t xml:space="preserve">PRODUCTOS TERMINADOS                                                                                </t>
  </si>
  <si>
    <t xml:space="preserve">211       </t>
  </si>
  <si>
    <t xml:space="preserve">2111      </t>
  </si>
  <si>
    <t xml:space="preserve">21111     </t>
  </si>
  <si>
    <t xml:space="preserve">COSTO - Productos Terminados                                                                        </t>
  </si>
  <si>
    <t>A125</t>
  </si>
  <si>
    <t xml:space="preserve">21113     </t>
  </si>
  <si>
    <t xml:space="preserve">COSTO DE FINANCIACION - Productos Terminados                                                        </t>
  </si>
  <si>
    <t xml:space="preserve">21114     </t>
  </si>
  <si>
    <t xml:space="preserve">VALOR RAZONABLE - Productos Terminados                                                              </t>
  </si>
  <si>
    <t xml:space="preserve">215       </t>
  </si>
  <si>
    <t xml:space="preserve">INVENTARIO DE SERVICIOS TERMINADOS                                                                  </t>
  </si>
  <si>
    <t xml:space="preserve">2151      </t>
  </si>
  <si>
    <t xml:space="preserve">SERVICIOS TERMINADOS                                                                                </t>
  </si>
  <si>
    <t xml:space="preserve">21511     </t>
  </si>
  <si>
    <t xml:space="preserve">COSTO - Servicios Terminados                                                                        </t>
  </si>
  <si>
    <t xml:space="preserve">22        </t>
  </si>
  <si>
    <t xml:space="preserve">SUB - PRODUCTOS, DESECHOS Y DESPERDICIOS                                                            </t>
  </si>
  <si>
    <t xml:space="preserve">221       </t>
  </si>
  <si>
    <t xml:space="preserve">SUB PRODUCTOS                                                                                       </t>
  </si>
  <si>
    <t xml:space="preserve">2211      </t>
  </si>
  <si>
    <t>A130</t>
  </si>
  <si>
    <t xml:space="preserve">222       </t>
  </si>
  <si>
    <t xml:space="preserve">DESECHOS Y DESPERDICIOS                                                                             </t>
  </si>
  <si>
    <t xml:space="preserve">2221      </t>
  </si>
  <si>
    <t xml:space="preserve">DESECHOS Y DEPERDICIOS                                                                              </t>
  </si>
  <si>
    <t xml:space="preserve">23        </t>
  </si>
  <si>
    <t xml:space="preserve">PRODUCTOS EN PROCESO                                                                                </t>
  </si>
  <si>
    <t xml:space="preserve">231       </t>
  </si>
  <si>
    <t xml:space="preserve">2311      </t>
  </si>
  <si>
    <t xml:space="preserve">23111     </t>
  </si>
  <si>
    <t xml:space="preserve">COSTO - Productos en Proceso                                                                        </t>
  </si>
  <si>
    <t>A135</t>
  </si>
  <si>
    <t xml:space="preserve">23113     </t>
  </si>
  <si>
    <t xml:space="preserve">COSTO DE FINANCIACION - Productos en Proceso                                                        </t>
  </si>
  <si>
    <t xml:space="preserve">235       </t>
  </si>
  <si>
    <t xml:space="preserve">INVENTARIO DE SERVICIOS EN PROCESO                                                                  </t>
  </si>
  <si>
    <t xml:space="preserve">2351      </t>
  </si>
  <si>
    <t xml:space="preserve">SERVICIOS EN PROCESO                                                                                </t>
  </si>
  <si>
    <t xml:space="preserve">23511     </t>
  </si>
  <si>
    <t xml:space="preserve">COSTO - Servicios en Proceso                                                                        </t>
  </si>
  <si>
    <t xml:space="preserve">24        </t>
  </si>
  <si>
    <t xml:space="preserve">MATERIAS PRIMAS                                                                                     </t>
  </si>
  <si>
    <t xml:space="preserve">241       </t>
  </si>
  <si>
    <t xml:space="preserve">2411      </t>
  </si>
  <si>
    <t xml:space="preserve">24111     </t>
  </si>
  <si>
    <t xml:space="preserve">COSTO - Materias Primas                                                                             </t>
  </si>
  <si>
    <t>A140</t>
  </si>
  <si>
    <t xml:space="preserve">24114     </t>
  </si>
  <si>
    <t xml:space="preserve">VALOR RAZONABLE - Materias Primas                                                                   </t>
  </si>
  <si>
    <t xml:space="preserve">25        </t>
  </si>
  <si>
    <t xml:space="preserve">MATERIALES AUXILIARES,  SUMINISTROS Y REPUESTOS                                                     </t>
  </si>
  <si>
    <t xml:space="preserve">251       </t>
  </si>
  <si>
    <t xml:space="preserve">MATERIALES AUXILIARES                                                                               </t>
  </si>
  <si>
    <t xml:space="preserve">2511      </t>
  </si>
  <si>
    <t>A142</t>
  </si>
  <si>
    <t xml:space="preserve">252       </t>
  </si>
  <si>
    <t xml:space="preserve">SUMINISTROS                                                                                         </t>
  </si>
  <si>
    <t xml:space="preserve">2521      </t>
  </si>
  <si>
    <t xml:space="preserve">COMBUSTIBLES - Suministros                                                                          </t>
  </si>
  <si>
    <t xml:space="preserve">2522      </t>
  </si>
  <si>
    <t xml:space="preserve">LUBRICANTES - Suministros                                                                           </t>
  </si>
  <si>
    <t xml:space="preserve">2523      </t>
  </si>
  <si>
    <t xml:space="preserve">ENERGIA - Suministros                                                                               </t>
  </si>
  <si>
    <t xml:space="preserve">2524      </t>
  </si>
  <si>
    <t xml:space="preserve">OTROS SUMINISTROS                                                                                   </t>
  </si>
  <si>
    <t xml:space="preserve">253       </t>
  </si>
  <si>
    <t xml:space="preserve">REPUESTOS                                                                                           </t>
  </si>
  <si>
    <t xml:space="preserve">2531      </t>
  </si>
  <si>
    <t xml:space="preserve">REPUESTOS - Materiales Auxiliares                                                                   </t>
  </si>
  <si>
    <t xml:space="preserve">26        </t>
  </si>
  <si>
    <t xml:space="preserve">ENVASES Y EMBALAJES                                                                                 </t>
  </si>
  <si>
    <t xml:space="preserve">261       </t>
  </si>
  <si>
    <t xml:space="preserve">ENVASES                                                                                             </t>
  </si>
  <si>
    <t xml:space="preserve">2611      </t>
  </si>
  <si>
    <t>A145</t>
  </si>
  <si>
    <t xml:space="preserve">262       </t>
  </si>
  <si>
    <t xml:space="preserve">EMBALAJES                                                                                           </t>
  </si>
  <si>
    <t xml:space="preserve">2621      </t>
  </si>
  <si>
    <t xml:space="preserve">27        </t>
  </si>
  <si>
    <t xml:space="preserve">ACTIVOS NO CORRIENTES MANTENIDOS PARA LA VENTA                                                      </t>
  </si>
  <si>
    <t xml:space="preserve">271       </t>
  </si>
  <si>
    <t xml:space="preserve">PROPIEDADES DE INVERSION - Activos No Corrientes Mantenidos Para La Venta                           </t>
  </si>
  <si>
    <t xml:space="preserve">2711      </t>
  </si>
  <si>
    <t xml:space="preserve">TERRENOS - Propiedades de Inversión - Mantenidos para la Venta                                      </t>
  </si>
  <si>
    <t xml:space="preserve">27111     </t>
  </si>
  <si>
    <t xml:space="preserve">COSTO - Terrenos -  Propiedades de Inversión - Mantenidos para la Venta                             </t>
  </si>
  <si>
    <t>A153</t>
  </si>
  <si>
    <t xml:space="preserve">27112     </t>
  </si>
  <si>
    <t xml:space="preserve">REVALUACIÓN - Terrenos -  Propiedades de Inversión - Mantenidos para la Venta                       </t>
  </si>
  <si>
    <t xml:space="preserve">27114     </t>
  </si>
  <si>
    <t xml:space="preserve">VALOR RAZONABLE - Terrenos -  Propiedades de Inversión - Mantenidos para la Venta                   </t>
  </si>
  <si>
    <t xml:space="preserve">2712      </t>
  </si>
  <si>
    <t xml:space="preserve">EDIFICACIONES -  Propiedades de Inversión - Mantenidos para la Venta                                </t>
  </si>
  <si>
    <t xml:space="preserve">27121     </t>
  </si>
  <si>
    <t xml:space="preserve">COSTO - Edificaciones -  Propiedades de Inversión - Mantenidos para la Venta                        </t>
  </si>
  <si>
    <t xml:space="preserve">27122     </t>
  </si>
  <si>
    <t xml:space="preserve">REVALUACIÓN - Edificaciones -  Propiedades de Inversión - Mantenidos para la Venta                  </t>
  </si>
  <si>
    <t xml:space="preserve">27123     </t>
  </si>
  <si>
    <t xml:space="preserve">COSTO DE FINANCIACIÓN - Edificaciones -  Propiedades de Inversión - Mantenidos para la Venta        </t>
  </si>
  <si>
    <t xml:space="preserve">27124     </t>
  </si>
  <si>
    <t xml:space="preserve">VALOR RAZONABLE - Edificaciones -  Propiedades de Inversión - Mantenidos para la Venta              </t>
  </si>
  <si>
    <t xml:space="preserve">272       </t>
  </si>
  <si>
    <t xml:space="preserve">PROPIEDAD, PLANTA Y EQUIPO - Activos No Corrientes Mantenidos Para La Venta                         </t>
  </si>
  <si>
    <t xml:space="preserve">2720      </t>
  </si>
  <si>
    <t xml:space="preserve">PLANTA PRODUCTORA EN PRODUCCIÓN - Propiedad, Planta y Equipo  -  Mantenidos para la Venta           </t>
  </si>
  <si>
    <t xml:space="preserve">27201     </t>
  </si>
  <si>
    <t xml:space="preserve">COSTO - Planta Productora en Producción - Propiedad, Planta y Equipo  -  Mantenidos para la Venta   </t>
  </si>
  <si>
    <t xml:space="preserve">27202     </t>
  </si>
  <si>
    <t>REVALUACIÓN - Planta Productora en Producción - Propiedad, Planta y Equipo  -  Mantenidos para la Ve</t>
  </si>
  <si>
    <t xml:space="preserve">27203     </t>
  </si>
  <si>
    <t xml:space="preserve">COSTO DE FINANCIACIÓN - Planta Productora en Producción - Propiedad, Planta y Equipo  -  Mantenidos </t>
  </si>
  <si>
    <t xml:space="preserve">27204     </t>
  </si>
  <si>
    <t>VALOR RAZONABLE - Planta Productora en Producción - Propiedad, Planta y Equipo  -  Mantenidos para l</t>
  </si>
  <si>
    <t xml:space="preserve">2721      </t>
  </si>
  <si>
    <t xml:space="preserve">PLANTA PRODUCTORA EN DESARROLLO - Propiedad, Planta y Equipo - Mantenidos Para La Venta             </t>
  </si>
  <si>
    <t xml:space="preserve">27211     </t>
  </si>
  <si>
    <t xml:space="preserve">COSTO - Planta Productora en Desarrollo - Propiedad, Planta y Equipo - Mantenidos Para La Venta     </t>
  </si>
  <si>
    <t xml:space="preserve">27212     </t>
  </si>
  <si>
    <t>REVALUACIÓN - Planta Productora en Desarrollo - Propiedad, Planta y Equipo - Mantenidos Para La Vent</t>
  </si>
  <si>
    <t xml:space="preserve">27213     </t>
  </si>
  <si>
    <t>COSTO DE FINANCIACIÓN- Planta Productora en Desarrollo - Propiedad, Planta y Equipo - Mantenidos Par</t>
  </si>
  <si>
    <t xml:space="preserve">27214     </t>
  </si>
  <si>
    <t xml:space="preserve">VALOR RAZONABLE - Planta Productora en Desarrollo - Propiedad, Planta y Equipo - Mantenidos Para La </t>
  </si>
  <si>
    <t xml:space="preserve">2722      </t>
  </si>
  <si>
    <t xml:space="preserve">TERRENOS - Propiedad, Planta y Equipo - Mantenidos Para La Venta                                    </t>
  </si>
  <si>
    <t xml:space="preserve">27221     </t>
  </si>
  <si>
    <t xml:space="preserve">COSTO -Terrenos - Propiedad, Planta y Equipo - Mantenidos Para La Venta                             </t>
  </si>
  <si>
    <t xml:space="preserve">27222     </t>
  </si>
  <si>
    <t xml:space="preserve">REVALUACIÓN -Terrenos - Propiedad, Planta y Equipo - Mantenidos Para La Venta                       </t>
  </si>
  <si>
    <t xml:space="preserve">2723      </t>
  </si>
  <si>
    <t xml:space="preserve">EDIFICACIONES - Propiedad, Planta y Equipo - Mantenidos Para La Venta                               </t>
  </si>
  <si>
    <t xml:space="preserve">27231     </t>
  </si>
  <si>
    <t xml:space="preserve">COSTO - Edificaciones - Propiedad, Planta y Equipo - Mantenidos Para La Venta                       </t>
  </si>
  <si>
    <t xml:space="preserve">27232     </t>
  </si>
  <si>
    <t xml:space="preserve">REVALUACIÓN - Edificaciones - Propiedad, Planta y Equipo - Mantenidos Para La Venta                 </t>
  </si>
  <si>
    <t xml:space="preserve">27233     </t>
  </si>
  <si>
    <t xml:space="preserve">COSTO DE FINANCIACIÓN - Edificaciones - Propiedad, Planta y Equipo - Mantenidos Para La Venta       </t>
  </si>
  <si>
    <t xml:space="preserve">2724      </t>
  </si>
  <si>
    <t xml:space="preserve">MAQUINARIAS Y EQUIPOS DE EXPLOTACIÓN - Propiedad, Planta y Equipo - Mantenidos Para La Venta        </t>
  </si>
  <si>
    <t xml:space="preserve">27241     </t>
  </si>
  <si>
    <t xml:space="preserve">COSTO - Maquinaria y Equipos de Explotación - Propiedad, Planta y Equipo - Mantenidos Para La Venta </t>
  </si>
  <si>
    <t xml:space="preserve">27242     </t>
  </si>
  <si>
    <t xml:space="preserve">REVALUACIÓN - Maquinaria y Equipos de Explotación - Propiedad, Planta y Equipo - Mantenidos Para La </t>
  </si>
  <si>
    <t xml:space="preserve">27243     </t>
  </si>
  <si>
    <t>COSTO DE FINANCIACIÓN - Maquinaria y Equipos de Explotación - Propiedad, Planta y Equipo - Mantenido</t>
  </si>
  <si>
    <t xml:space="preserve">2725      </t>
  </si>
  <si>
    <t xml:space="preserve">UNIDADES DE TRANSPORTE - Propiedad, Planta y Equipo - Mantenidos Para La Venta                      </t>
  </si>
  <si>
    <t xml:space="preserve">27251     </t>
  </si>
  <si>
    <t xml:space="preserve">COSTO - Unidades de Transporte - Propiedad, Planta y Equipo - Mantenidos Para La Venta              </t>
  </si>
  <si>
    <t xml:space="preserve">27252     </t>
  </si>
  <si>
    <t xml:space="preserve">REVALUACIÓN - Unidades de Transporte - Propiedad, Planta y Equipo - Mantenidos Para La Venta        </t>
  </si>
  <si>
    <t xml:space="preserve">2726      </t>
  </si>
  <si>
    <t xml:space="preserve">MUEBLES Y ENSERES - Propiedad, Planta y Equipo - Mantenidos Para La Venta                           </t>
  </si>
  <si>
    <t xml:space="preserve">27261     </t>
  </si>
  <si>
    <t xml:space="preserve">COSTO - Muebles y Enseres - Propiedad, Planta y Equipo - Mantenidos Para La Venta                   </t>
  </si>
  <si>
    <t xml:space="preserve">27262     </t>
  </si>
  <si>
    <t xml:space="preserve">REVALUACIÓN - Muebles y Enseres - Propiedad, Planta y Equipo - Mantenidos Para La Venta             </t>
  </si>
  <si>
    <t xml:space="preserve">2727      </t>
  </si>
  <si>
    <t xml:space="preserve">EQUIPOS DIVERSOS - Propiedad, Planta y Equipo - Mantenidos Para La Venta                            </t>
  </si>
  <si>
    <t xml:space="preserve">27271     </t>
  </si>
  <si>
    <t xml:space="preserve">COSTO - Equipos Diversos - Propiedad, Planta y Equipo - Mantenidos Para La Venta                    </t>
  </si>
  <si>
    <t xml:space="preserve">27272     </t>
  </si>
  <si>
    <t xml:space="preserve">REVALUACIÓN - Equipos Diversos - Propiedad, Planta y Equipo - Mantenidos Para La Venta              </t>
  </si>
  <si>
    <t xml:space="preserve">2728      </t>
  </si>
  <si>
    <t xml:space="preserve">HERRAMIENTAS Y UNIDADES DE REEMPLAZO - Propiedad, Planta y Equipo - Mantenidos Para La Venta        </t>
  </si>
  <si>
    <t xml:space="preserve">27281     </t>
  </si>
  <si>
    <t>COSTO - Herramientas y Unidades de Reemplazo - Propiedad, Planta y Equipo - Mantenidos Para La Venta</t>
  </si>
  <si>
    <t xml:space="preserve">27282     </t>
  </si>
  <si>
    <t>REVALUACIÓN - Herramientas y Unidades de Reemplazo - Propiedad, Planta y Equipo - Mantenidos Para La</t>
  </si>
  <si>
    <t xml:space="preserve">2729      </t>
  </si>
  <si>
    <t xml:space="preserve">OBRAS EN CURSO - Propiedad, Planta y Equipo - Mantenidos Para La Venta                              </t>
  </si>
  <si>
    <t xml:space="preserve">27291     </t>
  </si>
  <si>
    <t xml:space="preserve">COSTO - Obras en Curso - Propiedad, Planta y Equipo - Mantenidos Para La Venta                      </t>
  </si>
  <si>
    <t xml:space="preserve">27292     </t>
  </si>
  <si>
    <t xml:space="preserve">REVALUACIÓN - Obras en Curso - Propiedad, Planta y Equipo - Mantenidos Para La Venta                </t>
  </si>
  <si>
    <t xml:space="preserve">273       </t>
  </si>
  <si>
    <t xml:space="preserve">INTANGIBLES - Activos No Corrientes Mantenidos Para La Venta                                        </t>
  </si>
  <si>
    <t xml:space="preserve">2731      </t>
  </si>
  <si>
    <t xml:space="preserve">CONCESIONES, LICENCIAS Y DERECHOS - Intangibles - Mantenidos Para La Venta                          </t>
  </si>
  <si>
    <t xml:space="preserve">27311     </t>
  </si>
  <si>
    <t xml:space="preserve">COSTO - Concesiones, Licencias Y Derechos - Intangibles - Mantenidos Para La Venta                  </t>
  </si>
  <si>
    <t xml:space="preserve">27312     </t>
  </si>
  <si>
    <t xml:space="preserve">REVALUACIÓN - Concesiones, Licencias Y Derechos - Intangibles - Mantenidos Para La Venta            </t>
  </si>
  <si>
    <t xml:space="preserve">2732      </t>
  </si>
  <si>
    <t xml:space="preserve">PATENTES Y PROPIEDAD INDUSTRIAL - Intangibles - Mantenidos Para La Venta                            </t>
  </si>
  <si>
    <t xml:space="preserve">27321     </t>
  </si>
  <si>
    <t xml:space="preserve">COSTO - Patentes Y Propiedad Industrial - Intangibles - Mantenidos Para La Venta                    </t>
  </si>
  <si>
    <t xml:space="preserve">27322     </t>
  </si>
  <si>
    <t xml:space="preserve">REVALUACIÓN - Patentes Y Propiedad Industrial - Intangibles - Mantenidos Para La Venta              </t>
  </si>
  <si>
    <t xml:space="preserve">2733      </t>
  </si>
  <si>
    <t xml:space="preserve">PROGRAMAS DE COMPUTADORA (SOFTWARE) - Intangibles - Mantenidos Para La Venta                        </t>
  </si>
  <si>
    <t xml:space="preserve">27331     </t>
  </si>
  <si>
    <t xml:space="preserve">COSTO - Programas de Computadora (SOFTWARE) - Intangibles - Mantenidos Para La Venta                </t>
  </si>
  <si>
    <t xml:space="preserve">27332     </t>
  </si>
  <si>
    <t xml:space="preserve">REVALUACIÓN - Programas de Computadora (SOFTWARE) - Intangibles - Mantenidos Para La Venta          </t>
  </si>
  <si>
    <t xml:space="preserve">2734      </t>
  </si>
  <si>
    <t xml:space="preserve">COSTOS DE EXPLORACIÓN Y DESARROLLO  - Intangibles - Mantenidos Para La Venta                        </t>
  </si>
  <si>
    <t xml:space="preserve">27341     </t>
  </si>
  <si>
    <t xml:space="preserve">COSTO - De Exploración y Desarrollo - Intangibles - Mantenidos Para La Venta                        </t>
  </si>
  <si>
    <t xml:space="preserve">27342     </t>
  </si>
  <si>
    <t xml:space="preserve">REVALUACIÓN - De Exploración y Desarrollo - Intangibles - Mantenidos Para La Venta                  </t>
  </si>
  <si>
    <t xml:space="preserve">2735      </t>
  </si>
  <si>
    <t xml:space="preserve">FORMULAS, DISEÑOS Y PROTOTIPOS - Intangibles - Mantenidos Para La Venta                             </t>
  </si>
  <si>
    <t xml:space="preserve">27351     </t>
  </si>
  <si>
    <t xml:space="preserve">COSTO - Formulas, Diseños Y Prototipos - Intangibles - Mantenidos Para La Venta                     </t>
  </si>
  <si>
    <t xml:space="preserve">27352     </t>
  </si>
  <si>
    <t xml:space="preserve">REVALUACIÓN - Formulas, Diseños Y Prototipos - Intangibles - Mantenidos Para La Venta               </t>
  </si>
  <si>
    <t xml:space="preserve">2739      </t>
  </si>
  <si>
    <t xml:space="preserve">OTROS ACTIVOS INTANGIBLES - Mantenidos Para La Venta                                                </t>
  </si>
  <si>
    <t xml:space="preserve">27391     </t>
  </si>
  <si>
    <t xml:space="preserve">COSTO - Otros Activos Intangibles - Mantenidos Para La Venta                                        </t>
  </si>
  <si>
    <t xml:space="preserve">27392     </t>
  </si>
  <si>
    <t xml:space="preserve">REVALUACIÓN - Otros Activos Intangibles - Mantenidos Para La Venta                                  </t>
  </si>
  <si>
    <t xml:space="preserve">274       </t>
  </si>
  <si>
    <t xml:space="preserve">ACTIVOS BIOLOGICOS  - Activos No Corrientes Mantenidos Para La Venta                                </t>
  </si>
  <si>
    <t xml:space="preserve">2741      </t>
  </si>
  <si>
    <t xml:space="preserve">ACTIVOS BIOLOGICOS EN PRODUCCION - Mantenidos Para La Venta                                         </t>
  </si>
  <si>
    <t xml:space="preserve">27411     </t>
  </si>
  <si>
    <t xml:space="preserve">COSTO - Activos Biologicos En Produccion - Mantenidos Para La Venta                                 </t>
  </si>
  <si>
    <t xml:space="preserve">27413     </t>
  </si>
  <si>
    <t xml:space="preserve">COSTO DE FINANCIACIÓN - Activos Biologicos En Produccion - Mantenidos Para La Venta                 </t>
  </si>
  <si>
    <t xml:space="preserve">27414     </t>
  </si>
  <si>
    <t xml:space="preserve">VALOR RAZONABLE -  Activos Biologicos En Produccion - Mantenidos Para La Venta                      </t>
  </si>
  <si>
    <t xml:space="preserve">2742      </t>
  </si>
  <si>
    <t xml:space="preserve">ACTIVOS BIOLOGICOS EN DESARROLLO - Mantenidos Para La Venta                                         </t>
  </si>
  <si>
    <t xml:space="preserve">27421     </t>
  </si>
  <si>
    <t xml:space="preserve">COSTO - Activos Biologicos En Desarrollo - Mantenidos Para La Venta                                 </t>
  </si>
  <si>
    <t xml:space="preserve">27423     </t>
  </si>
  <si>
    <t xml:space="preserve">COSTO DE FINANCIACIÓN - Activos Biologicos En Desarrollo - Mantenidos Para La Venta                 </t>
  </si>
  <si>
    <t xml:space="preserve">27424     </t>
  </si>
  <si>
    <t xml:space="preserve">VALOR RAZONABLE - Activos Biologicos En Desarrollo - Mantenidos Para La Venta                       </t>
  </si>
  <si>
    <t xml:space="preserve">275       </t>
  </si>
  <si>
    <t xml:space="preserve">DEPRECIACIÓN ACUMULADA - PROPIEDAD DE INVERSIÓN  - Activos No Corrientes Mantenidos Para La Venta   </t>
  </si>
  <si>
    <t xml:space="preserve">2752      </t>
  </si>
  <si>
    <t xml:space="preserve">EDIFICACIONES - Depreciación Acumulada - Propiedad de Inversión                                     </t>
  </si>
  <si>
    <t xml:space="preserve">27521     </t>
  </si>
  <si>
    <t xml:space="preserve">COSTO - Edificaciones -Depreciación Acumulada - Propiedad de Inversión - Mantenidos para la Venta   </t>
  </si>
  <si>
    <t xml:space="preserve">27522     </t>
  </si>
  <si>
    <t>REVALUACIÓN - Edificaciones -Depreciación Acumulada - Propiedad de Inversión - Mantenidos para Venta</t>
  </si>
  <si>
    <t xml:space="preserve">27523     </t>
  </si>
  <si>
    <t>COSTO DE FINANCIACIÓN - Edificaciones -Depreciación Acumulada - Propiedad Inversión - Mantenido Vent</t>
  </si>
  <si>
    <t xml:space="preserve">276       </t>
  </si>
  <si>
    <t xml:space="preserve">DEPRECIACIÓN ACUMULADA - Propiedad Planta Equipo - Activos No Ctes Mantenidos para Venta            </t>
  </si>
  <si>
    <t xml:space="preserve">2760      </t>
  </si>
  <si>
    <t>PLANTA PRODUCTORA EN PRODUCCIÓN - Depreciación Acumulada - Propiedad Planta Equipo - Mantenido Venta</t>
  </si>
  <si>
    <t xml:space="preserve">27601     </t>
  </si>
  <si>
    <t xml:space="preserve">COSTO - Planta Productora en Producción - Deprec Acumul - Propiedad Planta Equipo - Mantenido Venta </t>
  </si>
  <si>
    <t xml:space="preserve">27602     </t>
  </si>
  <si>
    <t xml:space="preserve">REVALUACIÓN- Planta Productora Producción - Deprec Acumul - Propiedad Planta Equipo - Manten Venta  </t>
  </si>
  <si>
    <t xml:space="preserve">27603     </t>
  </si>
  <si>
    <t>COSTO DE FINANCIACIÓN - Planta Productora Producción - Deprec Acumul - Prop Planta Eq - Manten Venta</t>
  </si>
  <si>
    <t xml:space="preserve">27604     </t>
  </si>
  <si>
    <t xml:space="preserve">VALOR RAZONABLE - Planta Productora Producción - Deprec Acumul - Prop Planta Eq - Manten Venta      </t>
  </si>
  <si>
    <t xml:space="preserve">2762      </t>
  </si>
  <si>
    <t xml:space="preserve">EDIFICACIONES - Depreciación Acumulada - Propiedad Planta Equipo - Manten Venta                     </t>
  </si>
  <si>
    <t xml:space="preserve">27621     </t>
  </si>
  <si>
    <t xml:space="preserve">COSTO  - Edificaciones  - Deprec Acumul - Propiedad Planta Equipo - Manten Venta                    </t>
  </si>
  <si>
    <t xml:space="preserve">27622     </t>
  </si>
  <si>
    <t xml:space="preserve">REVALUACIÓN - Edificaciones  - Deprec Acumul - Propiedad Planta Equipo - Manten Venta               </t>
  </si>
  <si>
    <t xml:space="preserve">27623     </t>
  </si>
  <si>
    <t xml:space="preserve">COSTO DE FINANCIACIÓN - Edificaciones  - Deprec Acumul - Propiedad Planta Equipo - Manten Venta     </t>
  </si>
  <si>
    <t xml:space="preserve">2763      </t>
  </si>
  <si>
    <t xml:space="preserve">MAQUINARIA Y EQUIPOS DE EXPLOTACIÓN - Deprec Acumul - Propiedad Planta Equipo - Manten Venta        </t>
  </si>
  <si>
    <t xml:space="preserve">27631     </t>
  </si>
  <si>
    <t>COSTO - Maquinaria Y Equipos De Explotación  - Deprec Acumul - Propiedad Planta Equipo - Manten Vent</t>
  </si>
  <si>
    <t xml:space="preserve">27632     </t>
  </si>
  <si>
    <t>REVALUACIÓN - Maquinaria Equipos  Explotación  - Deprec Acumul - Propiedad Planta Equipo - Manten Ve</t>
  </si>
  <si>
    <t xml:space="preserve">27633     </t>
  </si>
  <si>
    <t xml:space="preserve">COSTO FINANCIACIÓN - Maquinaria Equipo Explotación - Deprec Acumul - Propied Planta Eq - Mant Venta </t>
  </si>
  <si>
    <t xml:space="preserve">2764      </t>
  </si>
  <si>
    <t xml:space="preserve">UNIDADES DE TRANSPORTE - Deprec Acumul - Propiedad Planta Equipo - Manten Venta                     </t>
  </si>
  <si>
    <t xml:space="preserve">27641     </t>
  </si>
  <si>
    <t xml:space="preserve">COSTO - Unidades De Transporte - Deprec Acumul - Propiedad Planta Equipo - Manten Venta             </t>
  </si>
  <si>
    <t xml:space="preserve">27642     </t>
  </si>
  <si>
    <t xml:space="preserve">REVALUACIÓN - Unidades De Transporte - Deprec Acumul - Propiedad Planta Equipo - Manten Venta       </t>
  </si>
  <si>
    <t xml:space="preserve">2765      </t>
  </si>
  <si>
    <t xml:space="preserve">MUEBLES Y ENSERES - Deprec Acumul - Propiedad Planta Equipo - Manten Venta                          </t>
  </si>
  <si>
    <t xml:space="preserve">27651     </t>
  </si>
  <si>
    <t xml:space="preserve">COSTO - Muebles Y Enseres - Deprec Acumul - Propiedad Planta Equipo - Manten Venta                  </t>
  </si>
  <si>
    <t xml:space="preserve">27652     </t>
  </si>
  <si>
    <t xml:space="preserve">REVALUACIÓN - Muebles Y Enseres - Deprec Acumul - Propiedad Planta Equipo - Manten Venta            </t>
  </si>
  <si>
    <t xml:space="preserve">2766      </t>
  </si>
  <si>
    <t xml:space="preserve">EQUIPOS DIVERSOS - Deprec Acumul - Propiedad Planta Equipo - Manten Venta                           </t>
  </si>
  <si>
    <t xml:space="preserve">27661     </t>
  </si>
  <si>
    <t xml:space="preserve">COSTO - Equipos Diversos - Deprec Acumul - Propiedad Planta Equipo - Manten Venta                   </t>
  </si>
  <si>
    <t xml:space="preserve">27662     </t>
  </si>
  <si>
    <t xml:space="preserve">REVALUACIÓN - Equipos Diversos - Deprec Acumul - Propiedad Planta Equipo - Manten Venta             </t>
  </si>
  <si>
    <t xml:space="preserve">2767      </t>
  </si>
  <si>
    <t xml:space="preserve">HERRAMIENTAS Y UNIDADES DE REEMPLAZO - Deprec Acumul - Propiedad Planta Equipo - Manten Venta       </t>
  </si>
  <si>
    <t xml:space="preserve">27671     </t>
  </si>
  <si>
    <t xml:space="preserve">COSTO - Herramientas Unidades De Reemplazo - Deprec Acumul - Propiedad Planta Equipo - Manten Vent  </t>
  </si>
  <si>
    <t xml:space="preserve">27672     </t>
  </si>
  <si>
    <t xml:space="preserve">REVALUACIÓN - Herramientas y Unidades Reemplazo - Deprec Acumul - Propiedad Planta Eq - Mant Venta  </t>
  </si>
  <si>
    <t xml:space="preserve">277       </t>
  </si>
  <si>
    <t xml:space="preserve">AMORTIZACIÓN ACUMULADA - INTANGIBLES - Mantenidos para Venta                                        </t>
  </si>
  <si>
    <t xml:space="preserve">2771      </t>
  </si>
  <si>
    <t xml:space="preserve">CONCESIONES, LICENCIAS Y DERECHOS - Intangibles - Amortización Acumulada - Mantenidos para Venta    </t>
  </si>
  <si>
    <t xml:space="preserve">27711     </t>
  </si>
  <si>
    <t>COSTO - Concesiones, Licencias Y Derechos  - Intangibles - Amortización Acumulada - Mantenidos Venta</t>
  </si>
  <si>
    <t xml:space="preserve">27712     </t>
  </si>
  <si>
    <t xml:space="preserve">REVALUACIÓN  - Concesiones, Licencias Derechos   - Intangibles - Amortización Acumul - Manten Venta </t>
  </si>
  <si>
    <t xml:space="preserve">2772      </t>
  </si>
  <si>
    <t xml:space="preserve">PATENTES Y PROPIEDAD INDUSTRIAL - Intangibles - Amortización Acumulada - Mantenidos para Venta      </t>
  </si>
  <si>
    <t xml:space="preserve">27721     </t>
  </si>
  <si>
    <t xml:space="preserve">COSTO- Patentes Y Propiedad Industrial - Intangibles  - Amortización Acumulada - Mantenidos Venta   </t>
  </si>
  <si>
    <t xml:space="preserve">27722     </t>
  </si>
  <si>
    <t>REVALUACIÓN - Patentes Propiedad Industrial - Intangibles - Amortización Acumulada - Mantenidos Vent</t>
  </si>
  <si>
    <t xml:space="preserve">2773      </t>
  </si>
  <si>
    <t xml:space="preserve">PROGRAMA DE COMPUTADORA (SOFTWARE) - Intangibles - Amortización Acumulada - Mantenidos para Venta   </t>
  </si>
  <si>
    <t xml:space="preserve">27731     </t>
  </si>
  <si>
    <t xml:space="preserve">COSTO- Programa De Computadora (Software) - Intangibles - Amortización Acumulada - Mantenidos Venta </t>
  </si>
  <si>
    <t xml:space="preserve">27732     </t>
  </si>
  <si>
    <t xml:space="preserve">REVALUACIÓN - Programa De Computadora (Software) - Intangible - Amortiz Acumul - Mantenidos Venta   </t>
  </si>
  <si>
    <t xml:space="preserve">2774      </t>
  </si>
  <si>
    <t xml:space="preserve">COSTOS DE EXPLORACIÓN Y DESARROLLO - Intangibles - Amortización Acumulada - Mantenidos para Venta   </t>
  </si>
  <si>
    <t xml:space="preserve">27741     </t>
  </si>
  <si>
    <t>COSTO - Costos De Exploración Y Desarrollo - Intangibles - Amortización Acumulada - Mantenidos Venta</t>
  </si>
  <si>
    <t xml:space="preserve">27742     </t>
  </si>
  <si>
    <t>REVALUACIÓN - Costos Exploración Desarrollo - Intangibles - Amortización Acumulada - Mantenidos Vent</t>
  </si>
  <si>
    <t xml:space="preserve">2775      </t>
  </si>
  <si>
    <t xml:space="preserve">FÓRMULAS, DISEÑOS Y PROTOTIPOS - Intangibles - Amortización Acumulada - Mantenidos para Venta       </t>
  </si>
  <si>
    <t xml:space="preserve">27751     </t>
  </si>
  <si>
    <t xml:space="preserve">COSTO - Fórmulas, Diseños Y Prototipos  - Intangibles - Amortización Acumulada - Mantenidos Venta   </t>
  </si>
  <si>
    <t xml:space="preserve">27752     </t>
  </si>
  <si>
    <t>REVALUACIÓN - Fórmulas, Diseños Y Prototipos  - Intangibles - Amortización Acumulada - Mantenid Vent</t>
  </si>
  <si>
    <t xml:space="preserve">2779      </t>
  </si>
  <si>
    <t xml:space="preserve">OTROS ACTIVOS INTANGIBLES - Amortización Acumulada - Mantenidos para Venta                          </t>
  </si>
  <si>
    <t xml:space="preserve">27791     </t>
  </si>
  <si>
    <t xml:space="preserve">COSTO - Otros Activos Intangibles - Intangibles - Amortización Acumulada - Mantenidos para Venta    </t>
  </si>
  <si>
    <t xml:space="preserve">27792     </t>
  </si>
  <si>
    <t xml:space="preserve">REVALUACIÓN - Otros Activos Intangibles - Intangibles   - Amortización Acumulada - Mantenidos Venta </t>
  </si>
  <si>
    <t xml:space="preserve">278       </t>
  </si>
  <si>
    <t xml:space="preserve">DEPRECIACIÓN ACUMULADA - ACTIVOS BIOLÓGICOS - Depreciación Acumulada - Mantenidos para Venta        </t>
  </si>
  <si>
    <t xml:space="preserve">2781      </t>
  </si>
  <si>
    <t xml:space="preserve">ACTIVOS BIOLOGICOS EN PRODUCCIÓN - Depreciación Acumulada - Mantenidos para Venta                   </t>
  </si>
  <si>
    <t xml:space="preserve">27811     </t>
  </si>
  <si>
    <t xml:space="preserve">COSTO - Activos Biológico en Producción - Depreciación Acumulada - Mantenidos para Venta            </t>
  </si>
  <si>
    <t xml:space="preserve">27813     </t>
  </si>
  <si>
    <t>COSTO DE FINANCIACIÓN - Activos Biologicos En Producción - Depreciación Acumulada - Mantenidos Venta</t>
  </si>
  <si>
    <t xml:space="preserve">2782      </t>
  </si>
  <si>
    <t xml:space="preserve">ACTIVOS BIOLOGICOS EN DESARROLLO - Depreciación Acumulada - Mantenidos para Venta                   </t>
  </si>
  <si>
    <t xml:space="preserve">27821     </t>
  </si>
  <si>
    <t xml:space="preserve">COSTO - Activos Biologicos En Desarrollo - Depreciación Acumulada - Mantenidos para Venta           </t>
  </si>
  <si>
    <t xml:space="preserve">27823     </t>
  </si>
  <si>
    <t>COSTO DE FINANCIACIÓN - Activos Biologicos En Desarrollo - Depreciación Acumulada - Mantenidos Venta</t>
  </si>
  <si>
    <t xml:space="preserve">279       </t>
  </si>
  <si>
    <t xml:space="preserve">DESVALORIZACIÓN ACUMULADA - Mantenidos para Venta                                                   </t>
  </si>
  <si>
    <t xml:space="preserve">2791      </t>
  </si>
  <si>
    <t xml:space="preserve">PROPIEDAD DE INVERSIÓN - Desvalorización Acumulada - Mantenidos para Venta                          </t>
  </si>
  <si>
    <t xml:space="preserve">27910     </t>
  </si>
  <si>
    <t xml:space="preserve">PLANTA PRODUCTORA EN PRODUCCIÓN - Propiedad de Inversión - Desvaloriz Acumulada - Mantenidos Venta  </t>
  </si>
  <si>
    <t xml:space="preserve">27911     </t>
  </si>
  <si>
    <t xml:space="preserve">PLANTA PRODUCTORA EN DESARROLLO - Propiedad de Inversión - Desvaloriz Acumulada - Mantenidos Venta  </t>
  </si>
  <si>
    <t xml:space="preserve">27912     </t>
  </si>
  <si>
    <t xml:space="preserve">TERRENOS - Propiedad de Inversión - Desvalorización Acumulada - Mantenidos para Venta               </t>
  </si>
  <si>
    <t xml:space="preserve">27913     </t>
  </si>
  <si>
    <t xml:space="preserve">EDIFICACIONES - Propiedad de Inversión - Desvalorización Acumulada - Mantenidos para Venta          </t>
  </si>
  <si>
    <t xml:space="preserve">2793      </t>
  </si>
  <si>
    <t xml:space="preserve">PROPIEDAD, PLANTA Y EQUIPO - Desvalorización Acumulada - Mantenidos para Venta                      </t>
  </si>
  <si>
    <t xml:space="preserve">27930     </t>
  </si>
  <si>
    <t>PLANTAS PRODUCTORAS EN PRODUCCIÓN - Propiedad, Planta Equipo - Desvaloriz Acumulada - Mantenid Venta</t>
  </si>
  <si>
    <t xml:space="preserve">27931     </t>
  </si>
  <si>
    <t xml:space="preserve">PLANTA PRODUCTORA EN DESARROLLO - Propiedad, Planta y Equipo - Desvaloriz Acumul - Mantenidos Venta </t>
  </si>
  <si>
    <t xml:space="preserve">27932     </t>
  </si>
  <si>
    <t xml:space="preserve">TERRENOS - Propiedad, Planta y Equipo - Desvalorización Acumulada - Mantenidos para Venta           </t>
  </si>
  <si>
    <t xml:space="preserve">27933     </t>
  </si>
  <si>
    <t xml:space="preserve">EDIFICACIONES - Propiedad, Planta y Equipo - Desvalorización Acumulada - Mantenidos para Venta      </t>
  </si>
  <si>
    <t xml:space="preserve">27934     </t>
  </si>
  <si>
    <t>MAQUINARIA Y EQUIPOS DE EXPLOTACIÓN - Propiedad, Planta Equipo - Desvaloriz Acumul - Mantenidos Vent</t>
  </si>
  <si>
    <t xml:space="preserve">27935     </t>
  </si>
  <si>
    <t xml:space="preserve">UNIDADES DE TRANSPORTE - Propiedad, Planta y Equipo - Desvalorización Acumulada - Mantenidos Venta  </t>
  </si>
  <si>
    <t xml:space="preserve">27936     </t>
  </si>
  <si>
    <t xml:space="preserve">MUEBLES Y ENSERES - Propiedad, Planta y Equipo - Desvalorización Acumulada - Mantenidos para Venta  </t>
  </si>
  <si>
    <t xml:space="preserve">27937     </t>
  </si>
  <si>
    <t xml:space="preserve">EQUIPOS DIVERSOS - Propiedad, Planta y Equipo - Desvalorización Acumulada - Mantenidos para Venta   </t>
  </si>
  <si>
    <t xml:space="preserve">27938     </t>
  </si>
  <si>
    <t>HERRAMIENTAS Y UNIDADES DE REEMPLAZO - Propiedad, Planta y Equipo - Desvaloriz Acumul - Manten Venta</t>
  </si>
  <si>
    <t xml:space="preserve">2794      </t>
  </si>
  <si>
    <t xml:space="preserve">INTANGIBLES  - Desvalorización Acumulada - Mantenidos para Venta                                    </t>
  </si>
  <si>
    <t xml:space="preserve">27941     </t>
  </si>
  <si>
    <t xml:space="preserve">CONCESIONES, LICENCIAS Y OTROS DERECHOS - Intangibles - Desvalorización Acumul - Mantenidos Venta   </t>
  </si>
  <si>
    <t xml:space="preserve">27942     </t>
  </si>
  <si>
    <t xml:space="preserve">PATENTES Y PROPIEDAD INDUSTRIAL - Intangibles - Desvalorización Acumulada - Mantenidos para Venta   </t>
  </si>
  <si>
    <t xml:space="preserve">27943     </t>
  </si>
  <si>
    <t xml:space="preserve">PROGRAMAS DE COMPUTADORA (SOFTWARE) - Intangibles - Desvaloriz Acumul - Mantenidos para Venta       </t>
  </si>
  <si>
    <t xml:space="preserve">27944     </t>
  </si>
  <si>
    <t>COSTOS DE EXPLORACIÓN Y DESARROLLO - Intangibles - Desvalorización Acumulada - Mantenidos para Venta</t>
  </si>
  <si>
    <t xml:space="preserve">27945     </t>
  </si>
  <si>
    <t xml:space="preserve">FÓRMULAS, DISEÑOS Y PROTOTIPOS - Intangibles - Desvalorización Acumulada - Mantenidos para Venta    </t>
  </si>
  <si>
    <t xml:space="preserve">27949     </t>
  </si>
  <si>
    <t xml:space="preserve">OTROS ACTIVOS INTANGIBLES - Intangibles - Desvalorización Acumulada - Mantenidos para Venta         </t>
  </si>
  <si>
    <t xml:space="preserve">2795      </t>
  </si>
  <si>
    <t xml:space="preserve">ACTIVOS BIOLÓGICOS - Desvalorización Acumulada - Mantenidos para Venta                              </t>
  </si>
  <si>
    <t xml:space="preserve">27951     </t>
  </si>
  <si>
    <t xml:space="preserve">ACTIVOS BIOLÓGICOS EN PRODUCCIÓN - Activos Biológicos - Desvaloriz Acumul - Mantenidos para Venta   </t>
  </si>
  <si>
    <t xml:space="preserve">27952     </t>
  </si>
  <si>
    <t xml:space="preserve">ACTIVOS BIOLÓGICOS EN DESARROLLO - Activos Biológicos - Desvaloriz Acumul - Mantenidos para Ventaw  </t>
  </si>
  <si>
    <t xml:space="preserve">28        </t>
  </si>
  <si>
    <t xml:space="preserve">INVENTARIOS POR RECIBIR                                                                             </t>
  </si>
  <si>
    <t xml:space="preserve">281       </t>
  </si>
  <si>
    <t xml:space="preserve">MERCADERIAS - Por Recibir                                                                           </t>
  </si>
  <si>
    <t xml:space="preserve">2811      </t>
  </si>
  <si>
    <t>A151</t>
  </si>
  <si>
    <t xml:space="preserve">284       </t>
  </si>
  <si>
    <t xml:space="preserve">MATERIAS PRIMAS - Por Recibir                                                                       </t>
  </si>
  <si>
    <t xml:space="preserve">2841      </t>
  </si>
  <si>
    <t xml:space="preserve">285       </t>
  </si>
  <si>
    <t xml:space="preserve">MATERIALES AUXILIARES , SUMINISTROS Y REPUESTOS - Por Recibir                                       </t>
  </si>
  <si>
    <t xml:space="preserve">2851      </t>
  </si>
  <si>
    <t xml:space="preserve">MATERIALES AUXILIARES, SUMINISTROS Y REPUESTOS - Por Recibir                                        </t>
  </si>
  <si>
    <t xml:space="preserve">286       </t>
  </si>
  <si>
    <t xml:space="preserve">ENVASES Y EMBALAJES - Por Recibir                                                                   </t>
  </si>
  <si>
    <t xml:space="preserve">2861      </t>
  </si>
  <si>
    <t xml:space="preserve">29        </t>
  </si>
  <si>
    <t xml:space="preserve">DESVALORIZACION DE INVENTARIOS                                                                      </t>
  </si>
  <si>
    <t xml:space="preserve">291       </t>
  </si>
  <si>
    <t xml:space="preserve">MERCADERIAS - Desvalorización                                                                       </t>
  </si>
  <si>
    <t xml:space="preserve">2911      </t>
  </si>
  <si>
    <t xml:space="preserve">29111     </t>
  </si>
  <si>
    <t xml:space="preserve">COSTO - Mercaderias - Desvalorización                                                               </t>
  </si>
  <si>
    <t>A152</t>
  </si>
  <si>
    <t xml:space="preserve">292       </t>
  </si>
  <si>
    <t xml:space="preserve">PRODUCTOS TERMINADOS - Desvalorización                                                              </t>
  </si>
  <si>
    <t xml:space="preserve">2921      </t>
  </si>
  <si>
    <t xml:space="preserve">29211     </t>
  </si>
  <si>
    <t xml:space="preserve">COSTO - Productos Terminados - Desvalorización                                                      </t>
  </si>
  <si>
    <t xml:space="preserve">29213     </t>
  </si>
  <si>
    <t xml:space="preserve">COSTO DE FINANCIACIÓN - Productos Terminados - Desvalorización                                      </t>
  </si>
  <si>
    <t xml:space="preserve">2925      </t>
  </si>
  <si>
    <t xml:space="preserve">INVENTARIO DE SERVICIOS TERMINADOS - Desvalorizacion                                                </t>
  </si>
  <si>
    <t xml:space="preserve">29251     </t>
  </si>
  <si>
    <t xml:space="preserve">COSTO - Inventario de Servicios Terminados - Desvalorización                                        </t>
  </si>
  <si>
    <t xml:space="preserve">293       </t>
  </si>
  <si>
    <t xml:space="preserve">SUB-PRODUCTOS, DESECHOS Y DESPERDICIOS - Desvalorización                                            </t>
  </si>
  <si>
    <t xml:space="preserve">2931      </t>
  </si>
  <si>
    <t xml:space="preserve">SUB - PRODUCTOS - Desvalorizacion                                                                   </t>
  </si>
  <si>
    <t xml:space="preserve">2932      </t>
  </si>
  <si>
    <t xml:space="preserve">DESECHOS Y DESPERDICIOS - Desvalorizacion                                                           </t>
  </si>
  <si>
    <t xml:space="preserve">294       </t>
  </si>
  <si>
    <t xml:space="preserve">PRODUCTOS EN PROCESO - Desvalorización                                                              </t>
  </si>
  <si>
    <t xml:space="preserve">2941      </t>
  </si>
  <si>
    <t xml:space="preserve">PRODUCTOS EN PROCESO - Desvalorizacion                                                              </t>
  </si>
  <si>
    <t xml:space="preserve">29411     </t>
  </si>
  <si>
    <t xml:space="preserve">COSTO - Productos en Proceso - Desvalorizacion                                                      </t>
  </si>
  <si>
    <t xml:space="preserve">29413     </t>
  </si>
  <si>
    <t xml:space="preserve">COSTO DE FINANCIACIÓN- Productos en Proceso - Desvalorizacion                                       </t>
  </si>
  <si>
    <t xml:space="preserve">2945      </t>
  </si>
  <si>
    <t xml:space="preserve">INVENTARIOS DE SERVICIOS EN PROCESO - Desvalorizacion                                               </t>
  </si>
  <si>
    <t xml:space="preserve">29451     </t>
  </si>
  <si>
    <t xml:space="preserve">295       </t>
  </si>
  <si>
    <t xml:space="preserve">MATERIAS PRIMAS - Desvalorización                                                                   </t>
  </si>
  <si>
    <t xml:space="preserve">2951      </t>
  </si>
  <si>
    <t xml:space="preserve">MATERIAS PRIMAS - Desvalorizacion                                                                   </t>
  </si>
  <si>
    <t xml:space="preserve">29511     </t>
  </si>
  <si>
    <t xml:space="preserve">COSTO - Materias Primas - Desvalorizacion                                                           </t>
  </si>
  <si>
    <t xml:space="preserve">296       </t>
  </si>
  <si>
    <t xml:space="preserve">MATERIALES AUXILIARES, SUMINISTROS Y REPUESTOS - Desvalorización                                    </t>
  </si>
  <si>
    <t xml:space="preserve">2961      </t>
  </si>
  <si>
    <t xml:space="preserve">MATERIALES AUXILIARES - Desvalorizacion                                                             </t>
  </si>
  <si>
    <t xml:space="preserve">2962      </t>
  </si>
  <si>
    <t xml:space="preserve">SUMINISTROS - Desvalorizacion                                                                       </t>
  </si>
  <si>
    <t xml:space="preserve">2963      </t>
  </si>
  <si>
    <t xml:space="preserve">REPUESTOS - Desvalorizacion                                                                         </t>
  </si>
  <si>
    <t xml:space="preserve">297       </t>
  </si>
  <si>
    <t xml:space="preserve">ENVASES Y EMBALAJES - Desvalorización                                                               </t>
  </si>
  <si>
    <t xml:space="preserve">2971      </t>
  </si>
  <si>
    <t xml:space="preserve">ENVASES - Desvalorizacion                                                                           </t>
  </si>
  <si>
    <t xml:space="preserve">2972      </t>
  </si>
  <si>
    <t xml:space="preserve">EMBALAJES - Desvalorizacion                                                                         </t>
  </si>
  <si>
    <t xml:space="preserve">298       </t>
  </si>
  <si>
    <t xml:space="preserve">EXISTENCIAS POR RECIBIR - Desvalorización                                                           </t>
  </si>
  <si>
    <t xml:space="preserve">2981      </t>
  </si>
  <si>
    <t xml:space="preserve">MERCADERIAS - Por Recibir - Desvalorizacion                                                         </t>
  </si>
  <si>
    <t xml:space="preserve">2982      </t>
  </si>
  <si>
    <t xml:space="preserve">MATERIAS PRIMAS - Por Recibir - Desvalorizacion                                                     </t>
  </si>
  <si>
    <t xml:space="preserve">2983      </t>
  </si>
  <si>
    <t xml:space="preserve">MATERIALES  AUXILIARES, SUMINISTROS Y REPUESTOS - Por Recibir - Desvalorizacion                     </t>
  </si>
  <si>
    <t xml:space="preserve">2984      </t>
  </si>
  <si>
    <t xml:space="preserve">ENVASES Y EMBALAJES - Por Recibir - Desvalorizacion                                                 </t>
  </si>
  <si>
    <t xml:space="preserve">30        </t>
  </si>
  <si>
    <t xml:space="preserve">INVERSIONES MOBILIARIAS                                                                             </t>
  </si>
  <si>
    <t xml:space="preserve">301       </t>
  </si>
  <si>
    <t xml:space="preserve">INVERSIONES A SER MANTENIDAS HASTA EL VENCIMIENTO                                                   </t>
  </si>
  <si>
    <t xml:space="preserve">3011      </t>
  </si>
  <si>
    <t xml:space="preserve">INSTRUMENTOS FINANCIEROS REPRESENTIVOS DE DEUDA - Mantenidas Hasta el Vencimiento                   </t>
  </si>
  <si>
    <t xml:space="preserve">30111     </t>
  </si>
  <si>
    <t xml:space="preserve">COSTO - Instrumentos Financieros Representativos Deuda - Mantenidas hasta el Vencimiento            </t>
  </si>
  <si>
    <t>A157</t>
  </si>
  <si>
    <t xml:space="preserve">30114     </t>
  </si>
  <si>
    <t xml:space="preserve">VALOR RAZONABLE - Instrumentos Financieros Representativos Deuda - Mantenidas Hasta el Vencimiento  </t>
  </si>
  <si>
    <t xml:space="preserve">302       </t>
  </si>
  <si>
    <t xml:space="preserve">INSTRUMENTOS FINANCIEROS REPRESENTIVOS DE DERECHO PATRIMONIAL                                       </t>
  </si>
  <si>
    <t xml:space="preserve">3021      </t>
  </si>
  <si>
    <t xml:space="preserve">CERTIFICADOS DE SUSCRIPCIÓN PREFERENTE - Representativos de Derecho Patrimonial                     </t>
  </si>
  <si>
    <t xml:space="preserve">3022      </t>
  </si>
  <si>
    <t xml:space="preserve">ACCIONES REPRESENTIVAS DE CAPITAL SOCIAL - COMUNES                                                  </t>
  </si>
  <si>
    <t xml:space="preserve">30221     </t>
  </si>
  <si>
    <t xml:space="preserve">COSTO - Acciones Representativas de Capital Social - Comunes                                        </t>
  </si>
  <si>
    <t xml:space="preserve">30224     </t>
  </si>
  <si>
    <t xml:space="preserve">VALOR RAZONABLE - Acciones Representativas de Capital Social - Comunes                              </t>
  </si>
  <si>
    <t xml:space="preserve">30225     </t>
  </si>
  <si>
    <t xml:space="preserve">PARTICIPACIÓN PATRIMONIAL - Acciones representativas de Capital Social - Comunes                    </t>
  </si>
  <si>
    <t xml:space="preserve">3023      </t>
  </si>
  <si>
    <t xml:space="preserve">ACCIONES REPRESENTATIVAS DE CAPITAL SOCIAL - PREFERENTES                                            </t>
  </si>
  <si>
    <t xml:space="preserve">30231     </t>
  </si>
  <si>
    <t xml:space="preserve">COSTO - Acciones Representativas de Capital Social - Preferentes                                    </t>
  </si>
  <si>
    <t xml:space="preserve">30234     </t>
  </si>
  <si>
    <t xml:space="preserve">VALOR RAZONABLE - Acciones Representativas de Capital Social - Preferentes                          </t>
  </si>
  <si>
    <t xml:space="preserve">30235     </t>
  </si>
  <si>
    <t xml:space="preserve">PARTICIPACIÓN PATRIMONIAL - Acciones Representativas de Capital Social - Preferentes                </t>
  </si>
  <si>
    <t xml:space="preserve">3024      </t>
  </si>
  <si>
    <t xml:space="preserve">ACCIONES DE INVERSIÓN - Representativos de Derecho Patrimonial                                      </t>
  </si>
  <si>
    <t xml:space="preserve">30241     </t>
  </si>
  <si>
    <t xml:space="preserve">COSTO - Acciones de Inversión - Representativos de Derecho Patrimonial                              </t>
  </si>
  <si>
    <t xml:space="preserve">30244     </t>
  </si>
  <si>
    <t xml:space="preserve">VALOR RAZONABLE - Acciones de Inversión - Representativos de Derecho Patrimonial                    </t>
  </si>
  <si>
    <t xml:space="preserve">30245     </t>
  </si>
  <si>
    <t xml:space="preserve">PARTICIPACIÓN PATRIMONIAL - Acciones de Inversión - Representativos de Derecho Patrimonial          </t>
  </si>
  <si>
    <t xml:space="preserve">3028      </t>
  </si>
  <si>
    <t xml:space="preserve">OTROS TITULOS REPRESENTATIVOS DE PATRIMONIO                                                         </t>
  </si>
  <si>
    <t xml:space="preserve">30281     </t>
  </si>
  <si>
    <t xml:space="preserve">COSTO - Otros Títulos Representativos de Patrimonio                                                 </t>
  </si>
  <si>
    <t xml:space="preserve">30284     </t>
  </si>
  <si>
    <t xml:space="preserve">VALOR RAZONABLE - Otros Títulos Representativos de Patrimonio                                       </t>
  </si>
  <si>
    <t xml:space="preserve">30285     </t>
  </si>
  <si>
    <t xml:space="preserve">PARTICIPACIÓN PATRIMONIAL - Otros Títulos Representativos de Patrimonio                             </t>
  </si>
  <si>
    <t xml:space="preserve">303       </t>
  </si>
  <si>
    <t xml:space="preserve">CERTIFICADOS DE PARTICIPACIÓN EN FONDOS - CUOTAS                                                    </t>
  </si>
  <si>
    <t xml:space="preserve">3031      </t>
  </si>
  <si>
    <t xml:space="preserve">FONDOS DE INVERSIÓN                                                                                 </t>
  </si>
  <si>
    <t xml:space="preserve">30311     </t>
  </si>
  <si>
    <t xml:space="preserve">COSTO - Fondos de Inversión - Cuotas                                                                </t>
  </si>
  <si>
    <t xml:space="preserve">30314     </t>
  </si>
  <si>
    <t xml:space="preserve">VALOR RAZONABLE - Fondos de Inversión - Cuotas                                                      </t>
  </si>
  <si>
    <t xml:space="preserve">3032      </t>
  </si>
  <si>
    <t xml:space="preserve">FONDOS MUTUOS                                                                                       </t>
  </si>
  <si>
    <t xml:space="preserve">30321     </t>
  </si>
  <si>
    <t xml:space="preserve">COSTO - Fondos Mutuos - Cuotas                                                                      </t>
  </si>
  <si>
    <t xml:space="preserve">30324     </t>
  </si>
  <si>
    <t xml:space="preserve">VALOR RAZONABLE - Fondos Mutuos - Cuotas                                                            </t>
  </si>
  <si>
    <t xml:space="preserve">304       </t>
  </si>
  <si>
    <t xml:space="preserve">PARTICIPACIÓN EN ACUERDOS CONJUNTOS                                                                 </t>
  </si>
  <si>
    <t xml:space="preserve">3041      </t>
  </si>
  <si>
    <t xml:space="preserve">OPERACIONES CONJUNTAS                                                                               </t>
  </si>
  <si>
    <t xml:space="preserve">30411     </t>
  </si>
  <si>
    <t xml:space="preserve">COSTO - Operaciones Conjuntas                                                                       </t>
  </si>
  <si>
    <t xml:space="preserve">30414     </t>
  </si>
  <si>
    <t xml:space="preserve">VALOR RAZONABLE - Operaciones Conjuntas                                                             </t>
  </si>
  <si>
    <t xml:space="preserve">30415     </t>
  </si>
  <si>
    <t xml:space="preserve">PARTICIPACIÓN PATRIMONIAL - Operaciones Conjuntas                                                   </t>
  </si>
  <si>
    <t xml:space="preserve">3042      </t>
  </si>
  <si>
    <t xml:space="preserve">NEGOCIOS CONJUNTOS                                                                                  </t>
  </si>
  <si>
    <t xml:space="preserve">30421     </t>
  </si>
  <si>
    <t xml:space="preserve">COSTO - Negocios Conjuntos                                                                          </t>
  </si>
  <si>
    <t xml:space="preserve">30424     </t>
  </si>
  <si>
    <t xml:space="preserve">VALOR RAZONABLE - Negocios Conjuntos                                                                </t>
  </si>
  <si>
    <t xml:space="preserve">30425     </t>
  </si>
  <si>
    <t xml:space="preserve">PARTICIPACIÓN PATRIMONIAL -  Negocios Conjuntos                                                     </t>
  </si>
  <si>
    <t xml:space="preserve">308       </t>
  </si>
  <si>
    <t xml:space="preserve">INVERSIONES MOBILIARIAS - ACUERDOS DE COMPRA                                                        </t>
  </si>
  <si>
    <t xml:space="preserve">3081      </t>
  </si>
  <si>
    <t xml:space="preserve">INSTRUMENTOS FINANCIEROS REPRESENTATIVOS DE DEUDA - ACUERDO DE COMPRA                               </t>
  </si>
  <si>
    <t xml:space="preserve">30811     </t>
  </si>
  <si>
    <t xml:space="preserve">COSTO - Instrumentos Financieros Representativos de Deuda- Acuerdo de Compral                       </t>
  </si>
  <si>
    <t xml:space="preserve">30814     </t>
  </si>
  <si>
    <t xml:space="preserve">VALOR RAZONABLE - Instrumentos Financieros Representativos de Deuda- Acuerdo de Compra              </t>
  </si>
  <si>
    <t xml:space="preserve">3082      </t>
  </si>
  <si>
    <t xml:space="preserve">INSTRUMENTOS FINANCIEROS REPRESENTATIVOS DE DERECHO PATRIMONIAL - ACUERDO DE COMPRA                 </t>
  </si>
  <si>
    <t xml:space="preserve">30821     </t>
  </si>
  <si>
    <t xml:space="preserve">COSTO - Instrumentos Financieros Representativos de Derecho Patrimonial- Acuerdo de Compra          </t>
  </si>
  <si>
    <t xml:space="preserve">30824     </t>
  </si>
  <si>
    <t>VALOR RAZONABLE - Instrumentos Financieros Representativos de Derecho Patrimonial- Acuerdo de Compra</t>
  </si>
  <si>
    <t xml:space="preserve">31        </t>
  </si>
  <si>
    <t xml:space="preserve">PROPIEDADES DE INVERSION                                                                            </t>
  </si>
  <si>
    <t xml:space="preserve">311       </t>
  </si>
  <si>
    <t xml:space="preserve">TERRENOS - Propiedades de Inversión                                                                 </t>
  </si>
  <si>
    <t xml:space="preserve">3111      </t>
  </si>
  <si>
    <t xml:space="preserve">URBANOS - Terrenos - Propiedades de Inversión                                                       </t>
  </si>
  <si>
    <t xml:space="preserve">31111     </t>
  </si>
  <si>
    <t xml:space="preserve">COSTO - Terrenos - Urbanos - Propiedades de Inversión                                               </t>
  </si>
  <si>
    <t>A158</t>
  </si>
  <si>
    <t xml:space="preserve">31112     </t>
  </si>
  <si>
    <t xml:space="preserve">REVALUACIÓN - Terrenos - Urbanos - Propiedades de Inversión                                         </t>
  </si>
  <si>
    <t xml:space="preserve">31114     </t>
  </si>
  <si>
    <t xml:space="preserve">VALOR RAZONABLE - Terrenos - Urbanos - Propiedades de Inversión                                     </t>
  </si>
  <si>
    <t xml:space="preserve">3112      </t>
  </si>
  <si>
    <t xml:space="preserve">RURALES - Terrenos - Propiedades de Inversión                                                       </t>
  </si>
  <si>
    <t xml:space="preserve">31121     </t>
  </si>
  <si>
    <t xml:space="preserve">COSTO - Terrenos - Rurales - Propiedades de Inversión                                               </t>
  </si>
  <si>
    <t xml:space="preserve">31122     </t>
  </si>
  <si>
    <t xml:space="preserve">REVALUACIÓN - Terrenos - Rurales - Propiedades de Inversión                                         </t>
  </si>
  <si>
    <t xml:space="preserve">31124     </t>
  </si>
  <si>
    <t xml:space="preserve">VALOR RAZONABLE - Terrenos - Rurales - Propiedades de Inversión                                     </t>
  </si>
  <si>
    <t xml:space="preserve">312       </t>
  </si>
  <si>
    <t xml:space="preserve">EDIFICACIONES                                                                                       </t>
  </si>
  <si>
    <t xml:space="preserve">3121      </t>
  </si>
  <si>
    <t xml:space="preserve">EDIFICACIONES - Propiedades de Inversión                                                            </t>
  </si>
  <si>
    <t xml:space="preserve">31211     </t>
  </si>
  <si>
    <t xml:space="preserve">COSTO - Edificaciones - Propiedades de Inversión                                                    </t>
  </si>
  <si>
    <t xml:space="preserve">31212     </t>
  </si>
  <si>
    <t xml:space="preserve">REVALUACIÓN - Edificaciones - Propiedades de Inversión                                              </t>
  </si>
  <si>
    <t xml:space="preserve">31213     </t>
  </si>
  <si>
    <t xml:space="preserve">COSTO DE FINANCIACIÓN - Edificaciones - Propiedades de Inversión                                    </t>
  </si>
  <si>
    <t xml:space="preserve">31214     </t>
  </si>
  <si>
    <t xml:space="preserve">VALOR RAZONABLE - Edificaciones - Propiedades de Inversión                                          </t>
  </si>
  <si>
    <t xml:space="preserve">313       </t>
  </si>
  <si>
    <t xml:space="preserve">CONSTRUCCIONES EN CURSO                                                                             </t>
  </si>
  <si>
    <t xml:space="preserve">3131      </t>
  </si>
  <si>
    <t xml:space="preserve">31311     </t>
  </si>
  <si>
    <t xml:space="preserve">COSTO - Edificaciones - Construcciones en Curso                                                     </t>
  </si>
  <si>
    <t xml:space="preserve">31312     </t>
  </si>
  <si>
    <t xml:space="preserve">REVALUACIÓN - Edificaciones - Construcciones en Curso                                               </t>
  </si>
  <si>
    <t xml:space="preserve">31313     </t>
  </si>
  <si>
    <t xml:space="preserve">COSTO DE FINANCIACIÓN - Edificaciones - Construcciones en Curso                                     </t>
  </si>
  <si>
    <t xml:space="preserve">31314     </t>
  </si>
  <si>
    <t xml:space="preserve">VALOR RAZONABLE - Edificaciones - Construcciones en Curso                                           </t>
  </si>
  <si>
    <t xml:space="preserve">32        </t>
  </si>
  <si>
    <t xml:space="preserve">ACTIVOS POR DERECHO DE USO                                                                          </t>
  </si>
  <si>
    <t xml:space="preserve">321       </t>
  </si>
  <si>
    <t xml:space="preserve">PROPIEDADES DE INVERSIÓN -  Arrendamiento Financiero                                                </t>
  </si>
  <si>
    <t xml:space="preserve">3211      </t>
  </si>
  <si>
    <t xml:space="preserve">TERRENOS - Propiedad de Inversión  -  Arrendamiento Financiero                                      </t>
  </si>
  <si>
    <t xml:space="preserve">32111     </t>
  </si>
  <si>
    <t xml:space="preserve">COSTO - Terrenos - Propiedad de Inversión  -  Arrendamiento Financiero                              </t>
  </si>
  <si>
    <t>A159</t>
  </si>
  <si>
    <t xml:space="preserve">32112     </t>
  </si>
  <si>
    <t xml:space="preserve">REVALUACIÓN - Terrenos - Propiedad de Inversión  -  Arrendamiento Financiero                        </t>
  </si>
  <si>
    <t xml:space="preserve">32114     </t>
  </si>
  <si>
    <t xml:space="preserve">VALOR RAZONABLE - Terrenos - Propiedad de Inversión  -  Arrendamiento Financiero                    </t>
  </si>
  <si>
    <t xml:space="preserve">3212      </t>
  </si>
  <si>
    <t xml:space="preserve">EDIFICACIONES - Propiedad de Inversión  -  Arrendamiento Financiero                                 </t>
  </si>
  <si>
    <t xml:space="preserve">32121     </t>
  </si>
  <si>
    <t xml:space="preserve">COSTO - Edificaciones - Propiedad de Inversión  -  Arrendamiento Financiero                         </t>
  </si>
  <si>
    <t xml:space="preserve">32122     </t>
  </si>
  <si>
    <t xml:space="preserve">REVALUACIÓN - Edificaciones - Propiedad de Inversión  -  Arrendamiento Financiero                   </t>
  </si>
  <si>
    <t xml:space="preserve">32123     </t>
  </si>
  <si>
    <t xml:space="preserve">COSTO DE FINANCIACIÓN - Edificaciones - Propiedad de Inversión  -  Arrendamiento Financiero         </t>
  </si>
  <si>
    <t xml:space="preserve">32124     </t>
  </si>
  <si>
    <t xml:space="preserve">VALOR RAZONABLE - Edificaciones - Propiedad de Inversión  -  Arrendamiento Financiero               </t>
  </si>
  <si>
    <t xml:space="preserve">322       </t>
  </si>
  <si>
    <t xml:space="preserve">PROPIEDAD, PLANTA Y EQUIPO -  Arrendamiento Financiero                                              </t>
  </si>
  <si>
    <t xml:space="preserve">3220      </t>
  </si>
  <si>
    <t xml:space="preserve">PLANTA PRODUCTORA EN PRODUCCIÓN - Propiedad Planta Equipo - Arrendamiento Financiero                </t>
  </si>
  <si>
    <t xml:space="preserve">32201     </t>
  </si>
  <si>
    <t xml:space="preserve">COSTO - Planta Productora en Producción - Propiedad Planta Equipo - Arrendamiento Financiero        </t>
  </si>
  <si>
    <t xml:space="preserve">32202     </t>
  </si>
  <si>
    <t xml:space="preserve">REVALUACIÓN - Planta Productora en Producción - Propiedad Planta Equipo - Arrendamiento Financiero  </t>
  </si>
  <si>
    <t xml:space="preserve">32203     </t>
  </si>
  <si>
    <t>COSTO DE FINANCIACIÓN - Planta Productora en Producción - Propiedad Planta Equipo - Arrendam Financi</t>
  </si>
  <si>
    <t xml:space="preserve">3221      </t>
  </si>
  <si>
    <t xml:space="preserve">PLANTA PRODUCTORA EN DESARROLLO - Propiedad Planta Equipo - Arrendamiento Financiero                </t>
  </si>
  <si>
    <t xml:space="preserve">32211     </t>
  </si>
  <si>
    <t xml:space="preserve">COSTO - Planta Productora en Desarrollo - Propiedad Planta Equipo - Arrendamiento Financiero        </t>
  </si>
  <si>
    <t xml:space="preserve">32212     </t>
  </si>
  <si>
    <t xml:space="preserve">REVALUACIÓN - Planta Productora en Desarrollo - Propiedad Planta Equipo - Arrendamiento Financiero  </t>
  </si>
  <si>
    <t xml:space="preserve">32213     </t>
  </si>
  <si>
    <t>COSTO DE FINANCIACIÓN - Planta Productora en Desarrollo - Propiedad Planta Equipo - Arrendam Financi</t>
  </si>
  <si>
    <t xml:space="preserve">3222      </t>
  </si>
  <si>
    <t xml:space="preserve">TERRENOS - Propiedad Planta Equipo - Arrendamiento Financiero                                       </t>
  </si>
  <si>
    <t xml:space="preserve">32221     </t>
  </si>
  <si>
    <t xml:space="preserve">COSTO - Terrenos - Propiedad Planta Equipo - Arrendamiento Financiero                               </t>
  </si>
  <si>
    <t xml:space="preserve">32222     </t>
  </si>
  <si>
    <t xml:space="preserve">REVALUACIÓN - Terrenos - Propiedad Planta Equipo - Arrendamiento Financiero                         </t>
  </si>
  <si>
    <t xml:space="preserve">3223      </t>
  </si>
  <si>
    <t xml:space="preserve">EDIFICACIONES - Propiedad Planta Equipo - Arrendamiento Financiero                                  </t>
  </si>
  <si>
    <t xml:space="preserve">32231     </t>
  </si>
  <si>
    <t xml:space="preserve">COSTO - Edificaciones - Propiedad Planta Equipo - Arrendamiento Financiero                          </t>
  </si>
  <si>
    <t xml:space="preserve">32232     </t>
  </si>
  <si>
    <t xml:space="preserve">REVALUACIÓN- Edificaciones - Propiedad Planta Equipo - Arrendamiento Financiero                     </t>
  </si>
  <si>
    <t xml:space="preserve">32233     </t>
  </si>
  <si>
    <t xml:space="preserve">COSTO DE FINANCIACIÓN - Edificaciones - Propiedad Planta Equipo - Arrendamiento Financiero          </t>
  </si>
  <si>
    <t xml:space="preserve">3224      </t>
  </si>
  <si>
    <t xml:space="preserve">MAQUINARIA Y EQUIPO DE EXPLOTACIÓN - Propiedad Planta Equipo - Arrendamiento Financiero             </t>
  </si>
  <si>
    <t xml:space="preserve">32241     </t>
  </si>
  <si>
    <t xml:space="preserve">COSTO - Maquinaria y Equipo de Explotación - Propiedad Planta Equipo - Arrendamiento Financiero     </t>
  </si>
  <si>
    <t xml:space="preserve">32242     </t>
  </si>
  <si>
    <t>REVALUACIÓN - Maquinaria y Equipo de Explotación - Propiedad Planta Equipo - Arrendamiento Financier</t>
  </si>
  <si>
    <t xml:space="preserve">32243     </t>
  </si>
  <si>
    <t>COSTO DE FINANCIACIÓN - Maquinaria y Equipo de Explotación - Propiedad Planta Equipo - Arrendamiento</t>
  </si>
  <si>
    <t xml:space="preserve">3225      </t>
  </si>
  <si>
    <t xml:space="preserve">UNIDADES DE TRANSPORTES - Propiedad Planta Equipo - Arrendamiento Financiero                        </t>
  </si>
  <si>
    <t xml:space="preserve">32251     </t>
  </si>
  <si>
    <t xml:space="preserve">COSTO - Unidades de Transporte - Propiedad Planta Equipo - Arrendamiento Financiero                 </t>
  </si>
  <si>
    <t xml:space="preserve">32252     </t>
  </si>
  <si>
    <t xml:space="preserve">REVALUACIÓN - Unidades de Transporte - Propiedad Planta Equipo - Arrendamiento Financiero           </t>
  </si>
  <si>
    <t xml:space="preserve">3226      </t>
  </si>
  <si>
    <t xml:space="preserve">MUEBLES Y ENSERES - Propiedad Planta Equipo - Arrendamiento Financiero                              </t>
  </si>
  <si>
    <t xml:space="preserve">32261     </t>
  </si>
  <si>
    <t xml:space="preserve">COSTO - Muebles y Enseres - Propiedad Planta Equipo - Arrendamiento Financiero                      </t>
  </si>
  <si>
    <t xml:space="preserve">32262     </t>
  </si>
  <si>
    <t xml:space="preserve">REVALUACIÓN - Muebles y Enseres - Propiedad Planta Equipo - Arrendamiento Financiero                </t>
  </si>
  <si>
    <t xml:space="preserve">3227      </t>
  </si>
  <si>
    <t xml:space="preserve">EQUIPOS DIVERSOS - Propiedad Planta Equipo - Arrendamiento Financiero                               </t>
  </si>
  <si>
    <t xml:space="preserve">32271     </t>
  </si>
  <si>
    <t xml:space="preserve">COSTO - Equipos Diversos - Propiedad Planta Equipo - Arrendamiento Financiero                       </t>
  </si>
  <si>
    <t xml:space="preserve">32272     </t>
  </si>
  <si>
    <t xml:space="preserve">REVALUACIÓN - Equipos Diversos - Propiedad Planta Equipo - Arrendamiento Financiero                 </t>
  </si>
  <si>
    <t xml:space="preserve">3228      </t>
  </si>
  <si>
    <t xml:space="preserve">HERRAMIENTAS Y UNIDADES DE REEMPLAZO - Propiedad Planta Equipo - Arrendamiento Financiero           </t>
  </si>
  <si>
    <t xml:space="preserve">32281     </t>
  </si>
  <si>
    <t xml:space="preserve">COSTO - Herramientas y Unidades de Reemplazo - Propiedad Planta Equipo - Arrendamiento Financiero   </t>
  </si>
  <si>
    <t xml:space="preserve">32282     </t>
  </si>
  <si>
    <t>REVALUACIÓN - Herramientas y Unidades de Reemplazo - Propiedad Planta Equipo - Arrendamiento Financi</t>
  </si>
  <si>
    <t xml:space="preserve">323       </t>
  </si>
  <si>
    <t xml:space="preserve">PROPIEDAD, PLANTA Y EQUIPO - Arrendamiento Operativo                                                </t>
  </si>
  <si>
    <t xml:space="preserve">3230      </t>
  </si>
  <si>
    <t xml:space="preserve">PLANTA PRODUCTORA EN PRODUCCIÓN - Propiedad Planta Equipo - Arrendamiento Operativo                 </t>
  </si>
  <si>
    <t xml:space="preserve">32301     </t>
  </si>
  <si>
    <t xml:space="preserve">COSTO - Planta Productora en Producción - Propiedad Planta Equipo - Arrendamiento Operativo         </t>
  </si>
  <si>
    <t xml:space="preserve">32302     </t>
  </si>
  <si>
    <t xml:space="preserve">REVALUACIÓN - Planta Productora en Producción - Propiedad Planta Equipo - Arrendamiento Operativo   </t>
  </si>
  <si>
    <t xml:space="preserve">3232      </t>
  </si>
  <si>
    <t xml:space="preserve">TERRENOS - Propiedad Planta Equipo - Arrendamiento Operativo                                        </t>
  </si>
  <si>
    <t xml:space="preserve">32321     </t>
  </si>
  <si>
    <t xml:space="preserve">COSTO - Terreno - Propiedad Planta Equipo - Arrendamiento Operativo                                 </t>
  </si>
  <si>
    <t xml:space="preserve">3233      </t>
  </si>
  <si>
    <t xml:space="preserve">EDIFICACIONES - Propiedad Planta Equipo - Arrendamiento Operativo                                   </t>
  </si>
  <si>
    <t xml:space="preserve">32331     </t>
  </si>
  <si>
    <t xml:space="preserve">COSTO - Edificaciones - Propiedad Planta Equipo - Arrendamiento Operativo                           </t>
  </si>
  <si>
    <t xml:space="preserve">32332     </t>
  </si>
  <si>
    <t xml:space="preserve">REVALUACIÓN - Edificaciones - Propiedad Planta Equipo - Arrendamiento Operativo                     </t>
  </si>
  <si>
    <t xml:space="preserve">3234      </t>
  </si>
  <si>
    <t xml:space="preserve">MAQUINARIAS Y EQUIPOS DE EXPLOTACIÓN - Propiedad Planta Equipo - Arrendamiento Operativo            </t>
  </si>
  <si>
    <t xml:space="preserve">32341     </t>
  </si>
  <si>
    <t xml:space="preserve">COSTO - Maquinarias y Equipos de Explotación - Propiedad Planta Equipo - Arrendamiento Operativoa   </t>
  </si>
  <si>
    <t xml:space="preserve">32342     </t>
  </si>
  <si>
    <t>REVALUACIÓN - Maquinarias y Equipos de Explotación - Propiedad Planta Equipo - Arrendamiento Operati</t>
  </si>
  <si>
    <t xml:space="preserve">3235      </t>
  </si>
  <si>
    <t xml:space="preserve">UNIDADES DE TRANSPORTE - Propiedad Planta Equipo - Arrendamiento Operativo                          </t>
  </si>
  <si>
    <t xml:space="preserve">32351     </t>
  </si>
  <si>
    <t xml:space="preserve">COSTO - Unidades de Transporte - Propiedad Planta Equipo - Arrendamiento Operativo                  </t>
  </si>
  <si>
    <t xml:space="preserve">32352     </t>
  </si>
  <si>
    <t xml:space="preserve">REVALUACIÓN - Unidades de Transporte - Propiedad Planta Equipo - Arrendamiento Operativo            </t>
  </si>
  <si>
    <t xml:space="preserve">3236      </t>
  </si>
  <si>
    <t xml:space="preserve">EQUIPOS DIVERSOS  - Propiedad Planta Equipo - Arrendamiento Operativo                               </t>
  </si>
  <si>
    <t xml:space="preserve">32361     </t>
  </si>
  <si>
    <t xml:space="preserve">COSTO - Equipos Diversos- Propiedad Planta Equipo - Arrendamiento Operativo                         </t>
  </si>
  <si>
    <t xml:space="preserve">32362     </t>
  </si>
  <si>
    <t xml:space="preserve">REVALUACIÓN - Equipos Diversos- Propiedad Planta Equipo - Arrendamiento Operativo                   </t>
  </si>
  <si>
    <t xml:space="preserve">33        </t>
  </si>
  <si>
    <t xml:space="preserve">PROPIEDAD, PLANTA Y EQUIPO                                                                          </t>
  </si>
  <si>
    <t xml:space="preserve">330       </t>
  </si>
  <si>
    <t xml:space="preserve">PLANTA PRODUCTORA - Propiedad, Planta y Equipo                                                      </t>
  </si>
  <si>
    <t xml:space="preserve">3301      </t>
  </si>
  <si>
    <t xml:space="preserve">PLANTA PRODUCTORA EN PRODUCCIÓN - Planta Productora - Propiedad, Planta y Equipo                    </t>
  </si>
  <si>
    <t xml:space="preserve">33011     </t>
  </si>
  <si>
    <t xml:space="preserve">COSTO - Planta Productora en Producción - Planta Productora - Propiedad, Planta y Equipo            </t>
  </si>
  <si>
    <t>A160</t>
  </si>
  <si>
    <t xml:space="preserve">33012     </t>
  </si>
  <si>
    <t xml:space="preserve">REVALUACIÓN - Planta Productora en Producción - Planta Productora - Propiedad, Planta y Equipo      </t>
  </si>
  <si>
    <t xml:space="preserve">33013     </t>
  </si>
  <si>
    <t>COSTO DE FINANCIACIÓN - Planta Productora en Producción - Planta Productora - Propiedad, Planta y Eq</t>
  </si>
  <si>
    <t xml:space="preserve">33014     </t>
  </si>
  <si>
    <t xml:space="preserve">VALOR RAZONABLE - Planta Productora en Producción - Planta Productora - Propiedad, Planta y Equipo  </t>
  </si>
  <si>
    <t xml:space="preserve">3302      </t>
  </si>
  <si>
    <t xml:space="preserve">PLANTA PRODUCTORA EN DESARROLLO - Planta Productora - Propiedad, Planta y Equipo                    </t>
  </si>
  <si>
    <t xml:space="preserve">33021     </t>
  </si>
  <si>
    <t xml:space="preserve">COSTO - Planta Productora en Desarrollo - Planta Productora - Propiedad, Planta y Equipo            </t>
  </si>
  <si>
    <t xml:space="preserve">33022     </t>
  </si>
  <si>
    <t xml:space="preserve">REVALUACIÓN - Planta Productora en Desarrollo - Planta Productora - Propiedad, Planta y Equipo      </t>
  </si>
  <si>
    <t xml:space="preserve">33023     </t>
  </si>
  <si>
    <t>COSTO DE FINANCIACIÓN - Planta Productora en Desarrollo - Planta Productora - Propiedad, Planta y Eq</t>
  </si>
  <si>
    <t xml:space="preserve">33024     </t>
  </si>
  <si>
    <t xml:space="preserve">VALOR RAZONABLE - Planta Productora en Desarrollo - Planta Productora - Propiedad, Planta y Equipo  </t>
  </si>
  <si>
    <t xml:space="preserve">331       </t>
  </si>
  <si>
    <t xml:space="preserve">TERRENOS - Propiedad, Planta Y Equipo                                                               </t>
  </si>
  <si>
    <t xml:space="preserve">3311      </t>
  </si>
  <si>
    <t xml:space="preserve">33111     </t>
  </si>
  <si>
    <t xml:space="preserve">COSTO - Terrenos - Propiedad, Planta Y Equipo                                                       </t>
  </si>
  <si>
    <t xml:space="preserve">33112     </t>
  </si>
  <si>
    <t xml:space="preserve">REVALUACION - Terrenos  - Propiedad, Planta Y Equipo                                                </t>
  </si>
  <si>
    <t xml:space="preserve">332       </t>
  </si>
  <si>
    <t xml:space="preserve">EDIFICACIONES - Propiedad, Planta Y Equipo                                                          </t>
  </si>
  <si>
    <t xml:space="preserve">3321      </t>
  </si>
  <si>
    <t xml:space="preserve">EDIFICACIONES  - Propiedad, Planta Y Equipo                                                         </t>
  </si>
  <si>
    <t xml:space="preserve">33211     </t>
  </si>
  <si>
    <t xml:space="preserve">COSTO  - Edificaciones - Propiedad, Planta Y Equipo                                                 </t>
  </si>
  <si>
    <t xml:space="preserve">33212     </t>
  </si>
  <si>
    <t xml:space="preserve">REVALUACION - Edificaciones  - Propiedad, Planta Y Equipo                                           </t>
  </si>
  <si>
    <t xml:space="preserve">33213     </t>
  </si>
  <si>
    <t xml:space="preserve">COSTO DE FINANCIACION - Edificaciones  - Propiedad, Planta y Equipo                                 </t>
  </si>
  <si>
    <t xml:space="preserve">3324      </t>
  </si>
  <si>
    <t xml:space="preserve">INSTALACIONES - Edificaciones - Propiedad, Planta Y Equipo                                          </t>
  </si>
  <si>
    <t xml:space="preserve">33241     </t>
  </si>
  <si>
    <t xml:space="preserve">COSTO  - Instalaciones - Edificaciones - Propiedad, Planta Y Equipo                                 </t>
  </si>
  <si>
    <t xml:space="preserve">33242     </t>
  </si>
  <si>
    <t xml:space="preserve">REVALUACION - Instalaciones - Edificaciones  - Propiedad, Planta Y Equipo                           </t>
  </si>
  <si>
    <t xml:space="preserve">33243     </t>
  </si>
  <si>
    <t xml:space="preserve">COSTO DE FINANCIACION - Instalaciones - Edificaciones  - Propiedad, Planta Y Equipo                 </t>
  </si>
  <si>
    <t xml:space="preserve">3325      </t>
  </si>
  <si>
    <t xml:space="preserve">MEJORAS EN LOCALES ARRENDADOS - Edificaciones - Propiedad, Planta y Equipo                          </t>
  </si>
  <si>
    <t xml:space="preserve">33251     </t>
  </si>
  <si>
    <t xml:space="preserve">COSTO - Mejoras en Locales Arrendados - Edificaciones - Propiedad, Planta y Equipo                  </t>
  </si>
  <si>
    <t xml:space="preserve">33252     </t>
  </si>
  <si>
    <t xml:space="preserve">REVALUACIÓN - Mejoras en Locales Arrendados - Edificaciones - Propiedad, Planta y Equipo            </t>
  </si>
  <si>
    <t xml:space="preserve">33253     </t>
  </si>
  <si>
    <t xml:space="preserve">COSTO DE FINANCIACIÓN - Mejoras en Locales Arrendados - Edificaciones - Propiedad, Planta y Equipo  </t>
  </si>
  <si>
    <t xml:space="preserve">333       </t>
  </si>
  <si>
    <t xml:space="preserve">MAQUINARIAS Y EQUIPOS DE EXPLOTACION - Propiedad, Planta Y Equipo                                   </t>
  </si>
  <si>
    <t xml:space="preserve">3331      </t>
  </si>
  <si>
    <t xml:space="preserve">33311     </t>
  </si>
  <si>
    <t>COSTO DE ADQUISICION O CONSTRUCCION - Maquinarias y Equipos De Explotacion - Propiedad, Planta Y Equ</t>
  </si>
  <si>
    <t xml:space="preserve">33312     </t>
  </si>
  <si>
    <t xml:space="preserve">REVALUACION - Maquinarias y Equipos De Explotacion  - Propiedad, Planta Y Equipo                    </t>
  </si>
  <si>
    <t xml:space="preserve">33313     </t>
  </si>
  <si>
    <t xml:space="preserve">COSTO DE FINANCIACIÓN - MAQUINARIA Y EQUIPO DE EXPLOTACIÓN - Propiedad, Planta Y Equipo             </t>
  </si>
  <si>
    <t xml:space="preserve">334       </t>
  </si>
  <si>
    <t xml:space="preserve">EQUIPO DE TRANSPORTE - Propiedad, Planta Y Equipo                                                   </t>
  </si>
  <si>
    <t xml:space="preserve">3341      </t>
  </si>
  <si>
    <t xml:space="preserve">VEHICULOS MOTORIZADOS - Propiedad, Planta Y Equipo                                                  </t>
  </si>
  <si>
    <t xml:space="preserve">33411     </t>
  </si>
  <si>
    <t xml:space="preserve">COSTO - Vehiculos Motorizados - Propiedad, Planta Y Equipo                                          </t>
  </si>
  <si>
    <t xml:space="preserve">33412     </t>
  </si>
  <si>
    <t xml:space="preserve">REVALUACION - Vehiculos Motorizados  - Propiedad, Planta Y Equipo                                   </t>
  </si>
  <si>
    <t xml:space="preserve">3342      </t>
  </si>
  <si>
    <t xml:space="preserve">VEHICULOS NO MOTORIZADOS - Propiedad, Planta Y Equipoo                                              </t>
  </si>
  <si>
    <t xml:space="preserve">33421     </t>
  </si>
  <si>
    <t xml:space="preserve">COSTO - Vehiculos No Motorizados  - Propiedad, Planta Y Equipo                                      </t>
  </si>
  <si>
    <t xml:space="preserve">33422     </t>
  </si>
  <si>
    <t xml:space="preserve">REVALUACION - Vehiculos No Motorizados  - Propiedad, Planta Y Equipo                                </t>
  </si>
  <si>
    <t xml:space="preserve">335       </t>
  </si>
  <si>
    <t xml:space="preserve">MUEBLES Y ENSERES - Propiedad, Planta Y Equipo                                                      </t>
  </si>
  <si>
    <t xml:space="preserve">3351      </t>
  </si>
  <si>
    <t xml:space="preserve">MUEBLES - Propiedad, Planta Y Equipo                                                                </t>
  </si>
  <si>
    <t xml:space="preserve">33511     </t>
  </si>
  <si>
    <t xml:space="preserve">COSTO - Muebles  - Propiedad, Planta Y Equipo                                                       </t>
  </si>
  <si>
    <t xml:space="preserve">33512     </t>
  </si>
  <si>
    <t xml:space="preserve">REVALUACION - Propiedad, Planta Y Equipo                                                            </t>
  </si>
  <si>
    <t xml:space="preserve">3352      </t>
  </si>
  <si>
    <t xml:space="preserve">ENSERES - Propiedad, Planta Y Equipo                                                                </t>
  </si>
  <si>
    <t xml:space="preserve">33521     </t>
  </si>
  <si>
    <t xml:space="preserve">COSTO - Enseres  - Propiedad, Planta Y Equipo                                                       </t>
  </si>
  <si>
    <t xml:space="preserve">33522     </t>
  </si>
  <si>
    <t xml:space="preserve">REVALUACION - Enseres  - Propiedad, Planta Y Equipo                                                 </t>
  </si>
  <si>
    <t xml:space="preserve">336       </t>
  </si>
  <si>
    <t xml:space="preserve">EQUIPOS DIVERSOS - Propiedad, Planta Y Equipo                                                       </t>
  </si>
  <si>
    <t xml:space="preserve">3361      </t>
  </si>
  <si>
    <t>EQUIPOS PARA PROCESAMIENTO DE INFORMACIÓN ( DE CÓMPUTO) - Equipos Diversos - Propiedad, Planta Y Equ</t>
  </si>
  <si>
    <t xml:space="preserve">33611     </t>
  </si>
  <si>
    <t xml:space="preserve">COSTO - Equipo Para Procesamiento De Informacion (Computo)  - Propiedad, Planta Y Equipo            </t>
  </si>
  <si>
    <t xml:space="preserve">33612     </t>
  </si>
  <si>
    <t xml:space="preserve">REVALUACION - Equipo Para Procesamiento De Informacion (Computo)  - Propiedad, Planta Y Equipo      </t>
  </si>
  <si>
    <t xml:space="preserve">3362      </t>
  </si>
  <si>
    <t xml:space="preserve">EQUIPO DE COMUNICACION - Equipos Diversos - Propiedad, Planta Y Equipo                              </t>
  </si>
  <si>
    <t xml:space="preserve">33621     </t>
  </si>
  <si>
    <t xml:space="preserve">COSTO - Equipo De Comunicacion - Propiedad, Planta Y Equipo                                         </t>
  </si>
  <si>
    <t xml:space="preserve">33622     </t>
  </si>
  <si>
    <t xml:space="preserve">REVALUACION - Equipo De Comunicacion - Propiedad, Planta Y Equipo                                   </t>
  </si>
  <si>
    <t xml:space="preserve">3363      </t>
  </si>
  <si>
    <t xml:space="preserve">EQUIPO DE SEGURIDAD - Equipos Diversos - Propiedad, Planta Y Equipo                                 </t>
  </si>
  <si>
    <t xml:space="preserve">33631     </t>
  </si>
  <si>
    <t xml:space="preserve">COSTO - Equipo De Seguridad - Propiedad, Planta Y Equipo                                            </t>
  </si>
  <si>
    <t xml:space="preserve">33632     </t>
  </si>
  <si>
    <t xml:space="preserve">REVALUACION - Equipo De Seguridad - Propiedad, Planta Y Equipo                                      </t>
  </si>
  <si>
    <t xml:space="preserve">3364      </t>
  </si>
  <si>
    <t xml:space="preserve">EQUIPO DE MEDIO AMBIENTE - Equipos Diversos - Propiedad, Planta y Equipo                            </t>
  </si>
  <si>
    <t xml:space="preserve">33641     </t>
  </si>
  <si>
    <t xml:space="preserve">COSTO - Equipo de Medio Ambiente - Equipos Diversos - Propiedad, Planta y Equipo                    </t>
  </si>
  <si>
    <t xml:space="preserve">33642     </t>
  </si>
  <si>
    <t xml:space="preserve">REVALUACIÓN - Equipo de Medio Ambiente - Equipos Diversos - Propiedad, Planta y Equipo              </t>
  </si>
  <si>
    <t xml:space="preserve">3369      </t>
  </si>
  <si>
    <t xml:space="preserve">OTROS EQUIPOS - Equipos Diversos - Propiedad, Planta y Equipo                                       </t>
  </si>
  <si>
    <t xml:space="preserve">33691     </t>
  </si>
  <si>
    <t xml:space="preserve">COSTO - Otros Equipos - Propiedad, Planta y Equipo                                                  </t>
  </si>
  <si>
    <t xml:space="preserve">33692     </t>
  </si>
  <si>
    <t xml:space="preserve">REVALUACION - Otros Equipos - Propiedad, Planta y Equipo                                            </t>
  </si>
  <si>
    <t xml:space="preserve">337       </t>
  </si>
  <si>
    <t xml:space="preserve">HERRAMIENTAS Y UNIDADES DE REEMPLAZO - Propiedad, Planta y Equipoo                                  </t>
  </si>
  <si>
    <t xml:space="preserve">3371      </t>
  </si>
  <si>
    <t xml:space="preserve">HERRAMIENTAS - Propiedad, Planta y Equipo                                                           </t>
  </si>
  <si>
    <t xml:space="preserve">33711     </t>
  </si>
  <si>
    <t xml:space="preserve">COSTO - Herramientas - Propiedad, Planta y Equipo                                                   </t>
  </si>
  <si>
    <t xml:space="preserve">33712     </t>
  </si>
  <si>
    <t xml:space="preserve">REVALUACION - Herramientas - Propiedad, Planta y Equipo                                             </t>
  </si>
  <si>
    <t xml:space="preserve">3372      </t>
  </si>
  <si>
    <t xml:space="preserve">UNIDADES DE REEMPLAZO - Propiedad, Planta y Equipo                                                  </t>
  </si>
  <si>
    <t xml:space="preserve">33721     </t>
  </si>
  <si>
    <t xml:space="preserve">COSTO - Unidades De Reemplazo - Propiedad, Planta y Equipo                                          </t>
  </si>
  <si>
    <t xml:space="preserve">33722     </t>
  </si>
  <si>
    <t xml:space="preserve">REVALUACION - Unidades De Reemplazo - Propiedad, Planta y Equipo                                    </t>
  </si>
  <si>
    <t xml:space="preserve">338       </t>
  </si>
  <si>
    <t xml:space="preserve">UNIDADES POR RECIBIR - Propiedad, Planta y Equipo                                                   </t>
  </si>
  <si>
    <t xml:space="preserve">3381      </t>
  </si>
  <si>
    <t xml:space="preserve">MAQUINARIAS Y EQUIPOS DE EXPLOTACION - Unidades Por Recibir - Propiedad, Planta y Equipo            </t>
  </si>
  <si>
    <t xml:space="preserve">3382      </t>
  </si>
  <si>
    <t xml:space="preserve">EQUIPO DE TRANSPORTE - Unidades Por Recibir - Propiedad, Planta y Equipo                            </t>
  </si>
  <si>
    <t xml:space="preserve">3383      </t>
  </si>
  <si>
    <t xml:space="preserve">MUEBLES Y ENSERES - Unidades Por Recibir - Propiedad, Planta y Equipo                               </t>
  </si>
  <si>
    <t xml:space="preserve">3386      </t>
  </si>
  <si>
    <t xml:space="preserve">EQUIPOS DIVERSOS - Unidades Por Recibir - Propiedad, Planta y Equipom                               </t>
  </si>
  <si>
    <t xml:space="preserve">3387      </t>
  </si>
  <si>
    <t xml:space="preserve">HERRAMIENTAS Y UNIDADES DE REEMPLAZO - Unidades Por Recibir - Propiedad, Planta y Equipo            </t>
  </si>
  <si>
    <t xml:space="preserve">339       </t>
  </si>
  <si>
    <t xml:space="preserve">OBRAS EN CURSO - Propiedad, Planta y Equipo                                                         </t>
  </si>
  <si>
    <t xml:space="preserve">3391      </t>
  </si>
  <si>
    <t xml:space="preserve">ADECUACIÓN DE TERRENOS - Construcciones y Obras En Curso - Propiedad, Planta y Equipo               </t>
  </si>
  <si>
    <t xml:space="preserve">3392      </t>
  </si>
  <si>
    <t xml:space="preserve">EDIFICACIONES EN CURSO - Obras En Curso - Propiedad, Planta y Equipo                                </t>
  </si>
  <si>
    <t xml:space="preserve">33921     </t>
  </si>
  <si>
    <t xml:space="preserve">COSTO - Edificaciones en Curso - Obras En Curso - Propiedad, Planta y Equipo                        </t>
  </si>
  <si>
    <t xml:space="preserve">33922     </t>
  </si>
  <si>
    <t xml:space="preserve">COSTO DE FINANCIACIÓN - Edificaciones en Curso - Obras En Curso - Propiedad, Planta y Equipo        </t>
  </si>
  <si>
    <t xml:space="preserve">3393      </t>
  </si>
  <si>
    <t xml:space="preserve">MAQUINARIA EN MONTAJE - Obras En Curso - Propiedad, Planta y Equip                                  </t>
  </si>
  <si>
    <t xml:space="preserve">33931     </t>
  </si>
  <si>
    <t xml:space="preserve">COSTO - Maquinaria en Montaje - Obras En Curso - Propiedad, Planta y Equipo                         </t>
  </si>
  <si>
    <t xml:space="preserve">33932     </t>
  </si>
  <si>
    <t xml:space="preserve">COSTO DE FINANCIACIÓN - Maquinaria en Montaje - Obras En Curso - Propiedad, Planta y Equipo         </t>
  </si>
  <si>
    <t xml:space="preserve">34        </t>
  </si>
  <si>
    <t xml:space="preserve">ACTIVOS INTANGIBLES                                                                                 </t>
  </si>
  <si>
    <t xml:space="preserve">341       </t>
  </si>
  <si>
    <t xml:space="preserve">CONCESIONES, LICENCIAS Y OTROS DERECHOS                                                             </t>
  </si>
  <si>
    <t xml:space="preserve">3411      </t>
  </si>
  <si>
    <t xml:space="preserve">CONCESIONES - Activos Intangibles                                                                   </t>
  </si>
  <si>
    <t xml:space="preserve">34111     </t>
  </si>
  <si>
    <t xml:space="preserve">COSTO - Concesiones - Activos Intangibles                                                           </t>
  </si>
  <si>
    <t>A176</t>
  </si>
  <si>
    <t xml:space="preserve">34112     </t>
  </si>
  <si>
    <t xml:space="preserve">REVALUACION - Concesiones - Activos Intangibles                                                     </t>
  </si>
  <si>
    <t xml:space="preserve">3412      </t>
  </si>
  <si>
    <t xml:space="preserve">LICENCIAS - Activos Intangibles                                                                     </t>
  </si>
  <si>
    <t xml:space="preserve">34121     </t>
  </si>
  <si>
    <t xml:space="preserve">COSTO - Licencias - Activos Intangibles                                                             </t>
  </si>
  <si>
    <t xml:space="preserve">34122     </t>
  </si>
  <si>
    <t xml:space="preserve">REVALUACION - Licencias - Activos Intangibles                                                       </t>
  </si>
  <si>
    <t xml:space="preserve">3419      </t>
  </si>
  <si>
    <t xml:space="preserve">OTROS DERECHOS    - Activos Intangibles                                                             </t>
  </si>
  <si>
    <t xml:space="preserve">34191     </t>
  </si>
  <si>
    <t xml:space="preserve">COSTO - Otros Derechos - Activos Intangibles                                                        </t>
  </si>
  <si>
    <t xml:space="preserve">34192     </t>
  </si>
  <si>
    <t xml:space="preserve">REVALUACION - Otros Derechos - Activos Intangibles                                                  </t>
  </si>
  <si>
    <t xml:space="preserve">342       </t>
  </si>
  <si>
    <t xml:space="preserve">PATENTES Y PROPIEDADES INDUSTRIAL - Activos Intangibles                                             </t>
  </si>
  <si>
    <t xml:space="preserve">3421      </t>
  </si>
  <si>
    <t xml:space="preserve">PATENTES - Activos Intangibles                                                                      </t>
  </si>
  <si>
    <t xml:space="preserve">34211     </t>
  </si>
  <si>
    <t xml:space="preserve">COSTO - Patentes - Activos Intangibles                                                              </t>
  </si>
  <si>
    <t xml:space="preserve">34212     </t>
  </si>
  <si>
    <t xml:space="preserve">REVALUACION - Patentes - Activos Intangibles                                                        </t>
  </si>
  <si>
    <t xml:space="preserve">3422      </t>
  </si>
  <si>
    <t xml:space="preserve">MARCAS - Activos Intangibles                                                                        </t>
  </si>
  <si>
    <t xml:space="preserve">34221     </t>
  </si>
  <si>
    <t xml:space="preserve">COSTO - Marcas - Activos Intangibles                                                                </t>
  </si>
  <si>
    <t xml:space="preserve">34222     </t>
  </si>
  <si>
    <t xml:space="preserve">REVALUACION - Marcas - Activos Intangibles                                                          </t>
  </si>
  <si>
    <t xml:space="preserve">343       </t>
  </si>
  <si>
    <t xml:space="preserve">PROGRAMAS DE COMPUTADORA (SOFTWARE) - Activos Intangibles                                           </t>
  </si>
  <si>
    <t xml:space="preserve">3431      </t>
  </si>
  <si>
    <t xml:space="preserve">APLICACIONES INFORMATICAS - Activos Intangibles                                                     </t>
  </si>
  <si>
    <t xml:space="preserve">34311     </t>
  </si>
  <si>
    <t xml:space="preserve">COSTO - Aplicaciones Informaticas - Activos Intangibles                                             </t>
  </si>
  <si>
    <t xml:space="preserve">34312     </t>
  </si>
  <si>
    <t xml:space="preserve">REVALUACION - Aplicaciones Informaticas - Activos Intangibles                                       </t>
  </si>
  <si>
    <t xml:space="preserve">344       </t>
  </si>
  <si>
    <t xml:space="preserve">COSTOS DE EXPLORACION Y DESARROLLO - Activos Intangibles                                            </t>
  </si>
  <si>
    <t xml:space="preserve">3441      </t>
  </si>
  <si>
    <t xml:space="preserve">COSTOS DE EXPLORACION - Activos Intangibles                                                         </t>
  </si>
  <si>
    <t xml:space="preserve">34411     </t>
  </si>
  <si>
    <t xml:space="preserve">COSTO - Costo De Exploracion - Activos Intangibles                                                  </t>
  </si>
  <si>
    <t xml:space="preserve">34412     </t>
  </si>
  <si>
    <t xml:space="preserve">REVALUACIÓN - Costo De Exploración - Activos Intangibles                                            </t>
  </si>
  <si>
    <t xml:space="preserve">34413     </t>
  </si>
  <si>
    <t xml:space="preserve">COSTO DE FINANCIACIÓN - Costo De Exploración - Activos Intangibles                                  </t>
  </si>
  <si>
    <t xml:space="preserve">3442      </t>
  </si>
  <si>
    <t xml:space="preserve">COSTOS DE DESARROLLO - Activos Intangibles                                                          </t>
  </si>
  <si>
    <t xml:space="preserve">34421     </t>
  </si>
  <si>
    <t xml:space="preserve">COSTO - Costo De Desarrollo    - Activos Intangibles                                                </t>
  </si>
  <si>
    <t xml:space="preserve">34422     </t>
  </si>
  <si>
    <t xml:space="preserve">REVALUACIÓN -  Costo De Desarrollo - Activos Intangibles                                            </t>
  </si>
  <si>
    <t xml:space="preserve">34423     </t>
  </si>
  <si>
    <t xml:space="preserve">COSTO DE FINANCIACIÓN - Costo De Desarrollo - Activos Intangibles                                   </t>
  </si>
  <si>
    <t xml:space="preserve">345       </t>
  </si>
  <si>
    <t xml:space="preserve">FORMULAS, DISEÑOS Y PROTOTIPOS - Activos Intangibles                                                </t>
  </si>
  <si>
    <t xml:space="preserve">3451      </t>
  </si>
  <si>
    <t xml:space="preserve">FORMULAS - Activos Intangibles                                                                      </t>
  </si>
  <si>
    <t xml:space="preserve">34511     </t>
  </si>
  <si>
    <t xml:space="preserve">COSTO - Fórmulas - Activos Intangibles                                                              </t>
  </si>
  <si>
    <t xml:space="preserve">34512     </t>
  </si>
  <si>
    <t xml:space="preserve">REVALUACION - Fórmulas - Activos Intangibles                                                        </t>
  </si>
  <si>
    <t xml:space="preserve">3452      </t>
  </si>
  <si>
    <t xml:space="preserve">DISEÑOS Y PROTOTIPOS  - Activos Intangibles                                                         </t>
  </si>
  <si>
    <t xml:space="preserve">34521     </t>
  </si>
  <si>
    <t xml:space="preserve">COSTO - Diseños y Prototipos - Activos Intangibles                                                  </t>
  </si>
  <si>
    <t xml:space="preserve">34522     </t>
  </si>
  <si>
    <t xml:space="preserve">REVALUACION - Diseños y Prototipos - Activos Intangibles                                            </t>
  </si>
  <si>
    <t xml:space="preserve">347       </t>
  </si>
  <si>
    <t xml:space="preserve">PLUSVALIA MERCANTIL - Activos Intangibles                                                           </t>
  </si>
  <si>
    <t xml:space="preserve">3471      </t>
  </si>
  <si>
    <t xml:space="preserve">349       </t>
  </si>
  <si>
    <t xml:space="preserve">OTROS ACTIVOS INTANGIBLES                                                                           </t>
  </si>
  <si>
    <t xml:space="preserve">3491      </t>
  </si>
  <si>
    <t xml:space="preserve">34911     </t>
  </si>
  <si>
    <t xml:space="preserve">COSTO - Otros Activos Intangibles                                                                   </t>
  </si>
  <si>
    <t xml:space="preserve">34912     </t>
  </si>
  <si>
    <t xml:space="preserve">REVALUACIÓN - Otros Activos Intangibles                                                             </t>
  </si>
  <si>
    <t xml:space="preserve">35        </t>
  </si>
  <si>
    <t xml:space="preserve">ACTIVOS BIOLOGICOS                                                                                  </t>
  </si>
  <si>
    <t xml:space="preserve">351       </t>
  </si>
  <si>
    <t xml:space="preserve">ACTIVOS BIOLOGICOS EN PRODUCCION                                                                    </t>
  </si>
  <si>
    <t xml:space="preserve">3511      </t>
  </si>
  <si>
    <t xml:space="preserve">DE ORIGEN ANIMAL                                                                                    </t>
  </si>
  <si>
    <t xml:space="preserve">35111     </t>
  </si>
  <si>
    <t xml:space="preserve">COSTO - Activos Biológicos De Origen Animal En Produccion                                           </t>
  </si>
  <si>
    <t>A177</t>
  </si>
  <si>
    <t xml:space="preserve">35113     </t>
  </si>
  <si>
    <t xml:space="preserve">COSTO  DE FINANCIACIÓN - Activos Biológicos De Origen Animal En Produccion                          </t>
  </si>
  <si>
    <t xml:space="preserve">35114     </t>
  </si>
  <si>
    <t xml:space="preserve">VALOR RAZONABLE - Activos Biológicos De Origen Animal En Producción                                 </t>
  </si>
  <si>
    <t xml:space="preserve">3512      </t>
  </si>
  <si>
    <t xml:space="preserve">DE ORIGEN VEGETAL                                                                                   </t>
  </si>
  <si>
    <t xml:space="preserve">35121     </t>
  </si>
  <si>
    <t xml:space="preserve">COSTO - Activos Biológicos De Origen Vegetal En Produccion                                          </t>
  </si>
  <si>
    <t xml:space="preserve">35123     </t>
  </si>
  <si>
    <t xml:space="preserve">COSTO DE FINANCIACIÓN - Activos Biológicos De Origen Vegetal En Produccion                          </t>
  </si>
  <si>
    <t xml:space="preserve">35124     </t>
  </si>
  <si>
    <t xml:space="preserve">VALOR RAZONABLE - Activos Biológicos De Origen Vegetal En Produccion                                </t>
  </si>
  <si>
    <t xml:space="preserve">352       </t>
  </si>
  <si>
    <t xml:space="preserve">ACTIVOS BIOLOGICOS EN DESARROLLO                                                                    </t>
  </si>
  <si>
    <t xml:space="preserve">3521      </t>
  </si>
  <si>
    <t xml:space="preserve">35211     </t>
  </si>
  <si>
    <t xml:space="preserve">COSTO - Activos Biológicos De Origen Animal En Desarrollo                                           </t>
  </si>
  <si>
    <t xml:space="preserve">35213     </t>
  </si>
  <si>
    <t xml:space="preserve">COSTO DE FINANCIACIÓN - Activos Biológicos De Origen Animal En Desarrollo                           </t>
  </si>
  <si>
    <t xml:space="preserve">35214     </t>
  </si>
  <si>
    <t xml:space="preserve">VALOR RAZONABLE - Activos Biológicos De Origen Animal En Desarrollo                                 </t>
  </si>
  <si>
    <t xml:space="preserve">3522      </t>
  </si>
  <si>
    <t xml:space="preserve">35221     </t>
  </si>
  <si>
    <t xml:space="preserve">COSTO - Activos Biológicos De Origen Vegetal En Desarrollo                                          </t>
  </si>
  <si>
    <t xml:space="preserve">35223     </t>
  </si>
  <si>
    <t xml:space="preserve">COSTO DE FINANCIACIÓN - Activos Biológicos De Origen Vegetal En Desarrolloa                         </t>
  </si>
  <si>
    <t xml:space="preserve">35224     </t>
  </si>
  <si>
    <t xml:space="preserve">VALOR RAZONABLE - Activos Biológicos De Origen Vegetal En Desarrollo                                </t>
  </si>
  <si>
    <t xml:space="preserve">36        </t>
  </si>
  <si>
    <t xml:space="preserve">DESVALORIZACION DE ACTIVOS INMOVILIZADOS                                                            </t>
  </si>
  <si>
    <t xml:space="preserve">361       </t>
  </si>
  <si>
    <t xml:space="preserve">DESVALORIZACION DE PROPIEDAD DE INVERSIÓN                                                           </t>
  </si>
  <si>
    <t xml:space="preserve">3611      </t>
  </si>
  <si>
    <t xml:space="preserve">TERRENOS - Propiedad de Inversión - Desvalorizacion                                                 </t>
  </si>
  <si>
    <t xml:space="preserve">36111     </t>
  </si>
  <si>
    <t xml:space="preserve">COSTO - Terrenos - Propiedad de Inversión - Desvalorización                                         </t>
  </si>
  <si>
    <t>A179</t>
  </si>
  <si>
    <t xml:space="preserve">36112     </t>
  </si>
  <si>
    <t xml:space="preserve">REVALUACIÓN - Terrenos - Propiedad de Inversión - Desvalorización                                   </t>
  </si>
  <si>
    <t xml:space="preserve">3612      </t>
  </si>
  <si>
    <t xml:space="preserve">EDIFICACIONES - Propiedad de Inversión - Desvalorización                                            </t>
  </si>
  <si>
    <t xml:space="preserve">36121     </t>
  </si>
  <si>
    <t xml:space="preserve">COSTO - Edificaciones - Propiedad de Inversión - Desvalorización                                    </t>
  </si>
  <si>
    <t xml:space="preserve">36122     </t>
  </si>
  <si>
    <t xml:space="preserve">REVALUACIÓN - Edificaciones - Propiedad de Inversión - Desvalorización                              </t>
  </si>
  <si>
    <t xml:space="preserve">36123     </t>
  </si>
  <si>
    <t xml:space="preserve">COSTO DE FINANCIACIÓN  - Edificaciones - Propiedad de Inversión - Desvalorización                   </t>
  </si>
  <si>
    <t xml:space="preserve">3613      </t>
  </si>
  <si>
    <t xml:space="preserve">CONSTRUCCIONES EN CURSO - EDIFICACIONES - Propiedad de Inversión - Desvalorización                  </t>
  </si>
  <si>
    <t xml:space="preserve">36131     </t>
  </si>
  <si>
    <t xml:space="preserve">COSTO - Construcciones en Curso -Edificaciones - Propiedad de Inversión - Desvalorización           </t>
  </si>
  <si>
    <t xml:space="preserve">36132     </t>
  </si>
  <si>
    <t xml:space="preserve">REVALUACIÓN - Construcciones en Curso -Edificaciones - Propiedad de Inversión - Desvalorización     </t>
  </si>
  <si>
    <t xml:space="preserve">36133     </t>
  </si>
  <si>
    <t>COSTO DE FINANCIACIÓN- Construcciones en Curso -Edificaciones - Propiedad de Inversión - Desvaloriza</t>
  </si>
  <si>
    <t xml:space="preserve">362       </t>
  </si>
  <si>
    <t xml:space="preserve">DESVALORIZACION DE PROPIEDADES DE INVERSIÓN - ARRENDAMIENTO FINANCIERO                              </t>
  </si>
  <si>
    <t xml:space="preserve">3621      </t>
  </si>
  <si>
    <t xml:space="preserve">TERRENOS - Desvalorización de Propiedades de Inversión  - Arrendamiento Financiero                  </t>
  </si>
  <si>
    <t xml:space="preserve">36211     </t>
  </si>
  <si>
    <t xml:space="preserve">COSTO - Terrenos - Desvalorización de Propiedades de Inversión  - Arrendamiento Financiero          </t>
  </si>
  <si>
    <t xml:space="preserve">36212     </t>
  </si>
  <si>
    <t xml:space="preserve">REVALUACIÓN - Terrenos - Desvalorización de Propiedades de Inversión  - Arrendamiento Financiero    </t>
  </si>
  <si>
    <t xml:space="preserve">3622      </t>
  </si>
  <si>
    <t xml:space="preserve">EDIFICACIONES - Desvalorización de Propiedades de Inversión  - Arrendamiento Financiero             </t>
  </si>
  <si>
    <t xml:space="preserve">36221     </t>
  </si>
  <si>
    <t xml:space="preserve">COSTO - Edificaciones - Desvalorización de Propiedades de Inversión - Arrendamiento Financiero      </t>
  </si>
  <si>
    <t xml:space="preserve">36222     </t>
  </si>
  <si>
    <t xml:space="preserve">REVALUACION - Edificaciones - Desvalorización de Propiedades de Inversión - Arrendamiento Fi        </t>
  </si>
  <si>
    <t xml:space="preserve">36223     </t>
  </si>
  <si>
    <t>COSTO DE FINANCIACIÓN - Edificaciones - Desvalorización Propiedades de Inversión - Arrend Financiero</t>
  </si>
  <si>
    <t xml:space="preserve">363       </t>
  </si>
  <si>
    <t xml:space="preserve">DESVALORIZACION DE PROPIEDAD, PLANTA Y EQUIPO - Arrendamiento Financiero                            </t>
  </si>
  <si>
    <t xml:space="preserve">3631      </t>
  </si>
  <si>
    <t xml:space="preserve">TERRENOS - Propiedad, Planta y Equipo - Desvalorización - Arrendamiento Financiero                  </t>
  </si>
  <si>
    <t xml:space="preserve">36311     </t>
  </si>
  <si>
    <t xml:space="preserve">COSTO- Terrenos  - Propiedad, Planta y Equipo - Desvalorización - Arrendamiento Financiero          </t>
  </si>
  <si>
    <t xml:space="preserve">36312     </t>
  </si>
  <si>
    <t xml:space="preserve">REVALUACIÓN - Terrenos  - Propiedad, Planta y Equipo - Desvalorización - Arrendamiento Financiero   </t>
  </si>
  <si>
    <t xml:space="preserve">3632      </t>
  </si>
  <si>
    <t xml:space="preserve">EDIFICACIONES - Propiedad, Planta y Equipo - Desvalorización - Arrendamiento Financiero             </t>
  </si>
  <si>
    <t xml:space="preserve">36321     </t>
  </si>
  <si>
    <t xml:space="preserve">COSTO - Edificaciones - Propiedad, Planta y Equipo - Desvalorización - Arrendamiento Financiero     </t>
  </si>
  <si>
    <t xml:space="preserve">36322     </t>
  </si>
  <si>
    <t>REVALUACIÓN - Edificaciones - Propiedad, Planta y Equipo - Desvalorización - Arrendamiento Financier</t>
  </si>
  <si>
    <t xml:space="preserve">36323     </t>
  </si>
  <si>
    <t>COSTO DE FINANCIACIÓN  - Edificaciones - Propiedad, Planta y Equipo - Desvaloriz - Arrendamiento Fin</t>
  </si>
  <si>
    <t xml:space="preserve">3633      </t>
  </si>
  <si>
    <t>MAQUINARIAS Y EQUIPOS DE EXPLOTACION - Propiedad, Planta y Equipo -  Desvaloriz - Arrendamiento Fina</t>
  </si>
  <si>
    <t xml:space="preserve">36331     </t>
  </si>
  <si>
    <t>COSTO -  Maquinaria y Equipo de Explotación - Propiedad, Planta Equipo - Desvaloriz - Arrendam Finan</t>
  </si>
  <si>
    <t xml:space="preserve">36332     </t>
  </si>
  <si>
    <t>REVALUACIÓN  -  Maquinaria Equipo de Explotación - Propiedad, Planta y Equipo - Desvaloriz - Arrenda</t>
  </si>
  <si>
    <t xml:space="preserve">36333     </t>
  </si>
  <si>
    <t>COSTO DE FINANCIACIÓN -   Maquinaria y Eq de Explot - Propiedad, Planta y Eq - Desvaloriz - Arrendam</t>
  </si>
  <si>
    <t xml:space="preserve">3634      </t>
  </si>
  <si>
    <t xml:space="preserve">UNIDADES  DE TRANSPORTE - Propiedad, Planta y Equipo - Desvaloriz - Arrendamiento Financiero        </t>
  </si>
  <si>
    <t xml:space="preserve">36341     </t>
  </si>
  <si>
    <t xml:space="preserve">COSTO - Unidades de Transporte - Propiedad, Planta y Equipo - Desvaloriz - Arrendamiento Financiero </t>
  </si>
  <si>
    <t xml:space="preserve">36342     </t>
  </si>
  <si>
    <t>REVALUACIÓN  - Unidades de Transporte - Propiedad, Planta y Equipo - Desvaloriz - Arrendamiento Fina</t>
  </si>
  <si>
    <t xml:space="preserve">3635      </t>
  </si>
  <si>
    <t xml:space="preserve">MUEBLES Y ENSERES - Propiedad, Planta y Equipo - Desvalorización - Arrendamiento Financiero         </t>
  </si>
  <si>
    <t xml:space="preserve">36351     </t>
  </si>
  <si>
    <t>COSTO - Muebles y Enseres -  Propiedad, Planta y Equipo - Desvalorización - Arrendamiento Financiero</t>
  </si>
  <si>
    <t xml:space="preserve">36352     </t>
  </si>
  <si>
    <t>REVALUACIÓN  - Muebles y Enseres -  Propiedad, Planta y Equipo - Desvaloriz - Arrendamiento Financie</t>
  </si>
  <si>
    <t xml:space="preserve">3636      </t>
  </si>
  <si>
    <t xml:space="preserve">EQUIPOS DIVERSOS -  Propiedad, Planta y Equipo - Desvalorización - Arrendamiento Financiero         </t>
  </si>
  <si>
    <t xml:space="preserve">36361     </t>
  </si>
  <si>
    <t xml:space="preserve">COSTO - Equipos Diversos - Propiedad, Planta y Equipo - Desvalorización - Arrendamiento Financiero  </t>
  </si>
  <si>
    <t xml:space="preserve">36362     </t>
  </si>
  <si>
    <t>REVALUACIÓN - Equipos Diversos - Propiedad, Planta y Equipo - Desvalorización - Arrendamiento Financ</t>
  </si>
  <si>
    <t xml:space="preserve">364       </t>
  </si>
  <si>
    <t xml:space="preserve">DESVALORIZACION DE PROPIEDAD, PLANTA Y EQUIPO                                                       </t>
  </si>
  <si>
    <t xml:space="preserve">3640      </t>
  </si>
  <si>
    <t xml:space="preserve">PLANTA PRODUCTORA EN PRODUCCIÓN - Desvalorización Propiedad Planta Equipo                           </t>
  </si>
  <si>
    <t xml:space="preserve">36401     </t>
  </si>
  <si>
    <t xml:space="preserve">COSTO - Planta Productora en Producción - Desvalorización Propiedad Planta Equipo                   </t>
  </si>
  <si>
    <t xml:space="preserve">36402     </t>
  </si>
  <si>
    <t xml:space="preserve">REVALUACIÓN - Planta Productora en Producción - Desvalorización Propiedad Planta Equipo             </t>
  </si>
  <si>
    <t xml:space="preserve">36403     </t>
  </si>
  <si>
    <t xml:space="preserve">COSTO DE FINANCIACIÓN  - Planta Productora en Producción - Desvalorización Propiedad Planta Equipo  </t>
  </si>
  <si>
    <t xml:space="preserve">36404     </t>
  </si>
  <si>
    <t xml:space="preserve">VALOR RAZONABLE- Planta Productora en Producción - Desvalorización Propiedad Planta Equipo          </t>
  </si>
  <si>
    <t xml:space="preserve">36405     </t>
  </si>
  <si>
    <t xml:space="preserve">COSTO - Planta Productora en Desarrollo - Desvalorización Propiedad Planta Equipo                   </t>
  </si>
  <si>
    <t xml:space="preserve">36406     </t>
  </si>
  <si>
    <t xml:space="preserve">REVALUACIÓN  - Planta Productora en Desarrollo - Desvalorización Propiedad Planta Equipo            </t>
  </si>
  <si>
    <t xml:space="preserve">36407     </t>
  </si>
  <si>
    <t xml:space="preserve">COSTO DE FINANCIACIÓN  - Planta Productora en Desarrollo - Desvalorización Propiedad Planta Equipo  </t>
  </si>
  <si>
    <t xml:space="preserve">36408     </t>
  </si>
  <si>
    <t xml:space="preserve">VALOR RAZONABLE  - Planta Productora en Desarrollo - Desvalorización Propiedad Planta Equipo        </t>
  </si>
  <si>
    <t xml:space="preserve">3641      </t>
  </si>
  <si>
    <t xml:space="preserve">TERRENOS - Desvalorización Propiedad Planta Equipo                                                  </t>
  </si>
  <si>
    <t xml:space="preserve">36411     </t>
  </si>
  <si>
    <t xml:space="preserve">COSTO - Terrenos - Desvalorización Propiedad Planta Equipo                                          </t>
  </si>
  <si>
    <t xml:space="preserve">36412     </t>
  </si>
  <si>
    <t xml:space="preserve">REVALUACIÓN  - Terrenos - Desvalorización Propiedad Planta Equipo                                   </t>
  </si>
  <si>
    <t xml:space="preserve">3642      </t>
  </si>
  <si>
    <t xml:space="preserve">EDIFICACIONES - Desvalorización Propiedad Planta Equipo                                             </t>
  </si>
  <si>
    <t xml:space="preserve">36421     </t>
  </si>
  <si>
    <t xml:space="preserve">EDIFICACIONES - Costo --Desvalorización Propiedad Planta Equipo                                     </t>
  </si>
  <si>
    <t xml:space="preserve">36422     </t>
  </si>
  <si>
    <t xml:space="preserve">EDIFICACIONES - Revaluación - Desvalorización Propiedad Planta Equipo                               </t>
  </si>
  <si>
    <t xml:space="preserve">36423     </t>
  </si>
  <si>
    <t xml:space="preserve">EDIFICACIONES - Costo de Financiación - Desvalorización Propiedad Planta Equipo                     </t>
  </si>
  <si>
    <t xml:space="preserve">36424     </t>
  </si>
  <si>
    <t xml:space="preserve">INSTALACIONES - Costo -Desvalorización Propiedad Planta Equipo                                      </t>
  </si>
  <si>
    <t xml:space="preserve">36425     </t>
  </si>
  <si>
    <t xml:space="preserve">INSTALACIONES - Revaluación - Desvalorización Propiedad Planta Equipo                               </t>
  </si>
  <si>
    <t xml:space="preserve">36426     </t>
  </si>
  <si>
    <t xml:space="preserve">INSTALACIONES - Costo de Financiación - Desvalorización Propiedad Planta Equipo                     </t>
  </si>
  <si>
    <t xml:space="preserve">36427     </t>
  </si>
  <si>
    <t xml:space="preserve">MEJORAS EN LOCALES ARRENDADOS - Costo - Edificaciones - Desvalorización Propiedad Planta Equipo     </t>
  </si>
  <si>
    <t xml:space="preserve">36428     </t>
  </si>
  <si>
    <t>MEJORAS EN LOCALES ARRENDADOS - REVALUACIÓN - Edificaciones - Desvalorización Propiedad Planta Equip</t>
  </si>
  <si>
    <t xml:space="preserve">36429     </t>
  </si>
  <si>
    <t>MEJORAS LOCALES ARRENDADOS - Costo de Financiación  - Edificaciones - Desvalorización Propiedad Plan</t>
  </si>
  <si>
    <t xml:space="preserve">3643      </t>
  </si>
  <si>
    <t xml:space="preserve">MAQUINARIA Y EQUIPO DE EXPLOTACIÓN - Desvalorización Propiedad Planta Equipo                        </t>
  </si>
  <si>
    <t xml:space="preserve">36431     </t>
  </si>
  <si>
    <t xml:space="preserve">COSTO - Maquinaria y Equipo de Explotación - Desvalorización Propiedad Planta Equipo                </t>
  </si>
  <si>
    <t xml:space="preserve">36432     </t>
  </si>
  <si>
    <t xml:space="preserve">REVALUACIÓN - Maquinaria y Equipo de Explotación - Desvalorización Propiedad Planta Equipo          </t>
  </si>
  <si>
    <t xml:space="preserve">36433     </t>
  </si>
  <si>
    <t>COSTO DE FINANCIACIÓN - Maquinaria y Equipo de Explotación - Desvalorización Propiedad Planta Equipo</t>
  </si>
  <si>
    <t xml:space="preserve">3644      </t>
  </si>
  <si>
    <t xml:space="preserve">UNIDADES DE TRANSPORTE -   Desvalorización Propiedad Planta Equipo                                  </t>
  </si>
  <si>
    <t xml:space="preserve">36441     </t>
  </si>
  <si>
    <t xml:space="preserve">COSTO - Unidades de Transporte - Desvalorización Propiedad Planta Equipo                            </t>
  </si>
  <si>
    <t xml:space="preserve">36442     </t>
  </si>
  <si>
    <t xml:space="preserve">REVALUACIÓN  - Unidades de Transporte - Desvalorización Propiedad Planta Equipo                     </t>
  </si>
  <si>
    <t xml:space="preserve">3645      </t>
  </si>
  <si>
    <t xml:space="preserve">MUEBLES Y ENSERES -  Desvalorización Propiedad Planta Equipo                                        </t>
  </si>
  <si>
    <t xml:space="preserve">36451     </t>
  </si>
  <si>
    <t xml:space="preserve">COSTO - Muebles y Enseres - Desvalorización Propiedad Planta Equipo                                 </t>
  </si>
  <si>
    <t xml:space="preserve">36452     </t>
  </si>
  <si>
    <t xml:space="preserve">REVALUACIÓN - Muebles y Enseres - Desvalorización Propiedad Planta Equipo                           </t>
  </si>
  <si>
    <t xml:space="preserve">3646      </t>
  </si>
  <si>
    <t xml:space="preserve">EQUIPOS DIVERSOS - Desvalorización Propiedad Planta Equipo                                          </t>
  </si>
  <si>
    <t xml:space="preserve">36461     </t>
  </si>
  <si>
    <t xml:space="preserve">COSTO - Equipos Diversos - Desvalorización Propiedad Planta Equipo                                  </t>
  </si>
  <si>
    <t xml:space="preserve">36462     </t>
  </si>
  <si>
    <t xml:space="preserve">REVALUACIÓN - Equipos Diversos - Desvalorización Propiedad Planta Equipo                            </t>
  </si>
  <si>
    <t xml:space="preserve">3647      </t>
  </si>
  <si>
    <t xml:space="preserve">HERRAMIENTAS Y UNIDADES DE REEMPLAZO - Desvalorización Propiedad Planta Equipo                      </t>
  </si>
  <si>
    <t xml:space="preserve">36471     </t>
  </si>
  <si>
    <t xml:space="preserve">HERRAMIENTAS DE REEMPLAZO - COSTO - Desvalorización Propiedad Planta Equipo                         </t>
  </si>
  <si>
    <t xml:space="preserve">36472     </t>
  </si>
  <si>
    <t xml:space="preserve">HERRAMIENTAS DE REEMPLAZO - REVALUACION - Desvalorización Propiedad Planta y Equipo                 </t>
  </si>
  <si>
    <t xml:space="preserve">36473     </t>
  </si>
  <si>
    <t xml:space="preserve">UNIDADES DE REEMPLAZO - COSTO - Desvalorización Propiedad Planta Equipo                             </t>
  </si>
  <si>
    <t xml:space="preserve">36474     </t>
  </si>
  <si>
    <t xml:space="preserve">UNIDADES DE REEMPLAZO - REVALUACION - Desvalorización Propiedad Planta Equipo                       </t>
  </si>
  <si>
    <t xml:space="preserve">3649      </t>
  </si>
  <si>
    <t xml:space="preserve">OBRAS EN CURSO - Desvalorización Propiedad Planta Equipo                                            </t>
  </si>
  <si>
    <t xml:space="preserve">36491     </t>
  </si>
  <si>
    <t xml:space="preserve">COSTO - Obras en Curso -  Desvalorización Propiedad Planta Equipo                                   </t>
  </si>
  <si>
    <t xml:space="preserve">36492     </t>
  </si>
  <si>
    <t xml:space="preserve">REVALUACIÓN - Obras en Curso -  Desvalorización Propiedad Planta Equipo                             </t>
  </si>
  <si>
    <t xml:space="preserve">365       </t>
  </si>
  <si>
    <t xml:space="preserve">DESVALORIZACION DE INTANGIBLES                                                                      </t>
  </si>
  <si>
    <t xml:space="preserve">3651      </t>
  </si>
  <si>
    <t xml:space="preserve">CONCESIONES, LICENCIAS Y OTROS DERECHOS - Desvalorización de Intangibles                            </t>
  </si>
  <si>
    <t xml:space="preserve">36511     </t>
  </si>
  <si>
    <t xml:space="preserve">COSTO - Concesiones, Licencias y Otros Derechos - Desvalorización de Intangibles                    </t>
  </si>
  <si>
    <t xml:space="preserve">36512     </t>
  </si>
  <si>
    <t xml:space="preserve">REVALUACIÓN - Concesiones, Licencias y Otros Derechos - Desvalorización de Intangibles              </t>
  </si>
  <si>
    <t xml:space="preserve">3652      </t>
  </si>
  <si>
    <t xml:space="preserve">PATENTES Y PROPIEDAD INDUSTRIAL - Desvalorización de Intangibles                                    </t>
  </si>
  <si>
    <t xml:space="preserve">36521     </t>
  </si>
  <si>
    <t xml:space="preserve">COSTO - Patentes y Propiedad Industrial - Desvalorización de Intangibles                            </t>
  </si>
  <si>
    <t xml:space="preserve">36522     </t>
  </si>
  <si>
    <t xml:space="preserve">REVALUACIÓN - Patentes y Propiedad Industrial - Desvalorización de Intangibles                      </t>
  </si>
  <si>
    <t xml:space="preserve">3653      </t>
  </si>
  <si>
    <t xml:space="preserve">PROGRAMAS DE COMPUTADORAS (software) - Desvalorización de Intangibles                               </t>
  </si>
  <si>
    <t xml:space="preserve">36531     </t>
  </si>
  <si>
    <t xml:space="preserve">COSTO - Programas de Computadoras - Desvalorización de Intangibles                                  </t>
  </si>
  <si>
    <t xml:space="preserve">36532     </t>
  </si>
  <si>
    <t xml:space="preserve">REVALUACIÓN - Programas de Computadoras - Desvalorización de Intangibles                            </t>
  </si>
  <si>
    <t xml:space="preserve">3654      </t>
  </si>
  <si>
    <t xml:space="preserve">COSTOS DE EXPLORACIÓN Y DESARROLLO -  Desvalorización de Intangibles                                </t>
  </si>
  <si>
    <t xml:space="preserve">36541     </t>
  </si>
  <si>
    <t xml:space="preserve">COSTO - Costos de Exploración y Desarrollo - Desvalorización de Intangibles                         </t>
  </si>
  <si>
    <t xml:space="preserve">36542     </t>
  </si>
  <si>
    <t xml:space="preserve">REVALUACIÓN -  Costos de Exploración y Desarrollo - Desvalorización de Intangibles                  </t>
  </si>
  <si>
    <t xml:space="preserve">36543     </t>
  </si>
  <si>
    <t xml:space="preserve">COSTO DE FINANCIACIÓN -  Costos de Exploración y Desarrollo - Desvalorización de Intangibles        </t>
  </si>
  <si>
    <t xml:space="preserve">3655      </t>
  </si>
  <si>
    <t xml:space="preserve">FORMULAS, DISEÑOS Y PROTOTIPOS -  Desvalorización de Intangibles                                    </t>
  </si>
  <si>
    <t xml:space="preserve">36551     </t>
  </si>
  <si>
    <t xml:space="preserve">COSTO - Formulas, Diseños y Prototipos - Desvalorización de Intangibles                             </t>
  </si>
  <si>
    <t xml:space="preserve">36552     </t>
  </si>
  <si>
    <t xml:space="preserve">REVALUACIÓN - Formulas, Diseños y Prototipos - Desvalorización de Intangibles                       </t>
  </si>
  <si>
    <t xml:space="preserve">3657      </t>
  </si>
  <si>
    <t xml:space="preserve">PLUSVALIA MERCANTIL - Desvalorización de Intangibles                                                </t>
  </si>
  <si>
    <t xml:space="preserve">36571     </t>
  </si>
  <si>
    <t xml:space="preserve">3659      </t>
  </si>
  <si>
    <t xml:space="preserve">OTROS ACTIVOS INTANGIBLES - Desvalorización de Intangibles                                          </t>
  </si>
  <si>
    <t xml:space="preserve">36591     </t>
  </si>
  <si>
    <t xml:space="preserve">COSTO - Otros Activos Intangibles - Desvalorización de Intangibles                                  </t>
  </si>
  <si>
    <t xml:space="preserve">36592     </t>
  </si>
  <si>
    <t xml:space="preserve">REVALUACIÓN - Otros Activos Intangibles - Desvalorización de Intangibles                            </t>
  </si>
  <si>
    <t xml:space="preserve">366       </t>
  </si>
  <si>
    <t xml:space="preserve">DESVALORIZACION DE ACTIVOS BIOLOGICOS                                                               </t>
  </si>
  <si>
    <t xml:space="preserve">3661      </t>
  </si>
  <si>
    <t xml:space="preserve">ACTIVOS BIOLOGICOS EN PRODUCCIÓN - Desvalorización de Activos Biológicos                            </t>
  </si>
  <si>
    <t xml:space="preserve">36611     </t>
  </si>
  <si>
    <t xml:space="preserve">COSTO - Activos Biológicos en Producción - Desvalorización de Activos Biológicos                    </t>
  </si>
  <si>
    <t xml:space="preserve">36613     </t>
  </si>
  <si>
    <t xml:space="preserve">COSTO DE FINANCIACIÓN  - Activos Biológicos en Producción - Desvalorización de Activos Biológicos   </t>
  </si>
  <si>
    <t xml:space="preserve">3662      </t>
  </si>
  <si>
    <t xml:space="preserve">ACTIVOS BIOLOGICOS EN DESARROLLO - Desvalorización de Activos Biológicos                            </t>
  </si>
  <si>
    <t xml:space="preserve">36621     </t>
  </si>
  <si>
    <t xml:space="preserve">COSTO -  Activos Biológicos en Desarrollo - Desvalorización de Activos Biológicos                   </t>
  </si>
  <si>
    <t xml:space="preserve">36622     </t>
  </si>
  <si>
    <t xml:space="preserve">COSTO DE FINANCIACIÓN - Activos Biológicos en Desarrollo - Desvalorización de Activos Biológicos    </t>
  </si>
  <si>
    <t xml:space="preserve">367       </t>
  </si>
  <si>
    <t xml:space="preserve">DESVALORIZACIÓN DE INVERSIONES MOBILIARIAS                                                          </t>
  </si>
  <si>
    <t xml:space="preserve">3671      </t>
  </si>
  <si>
    <t xml:space="preserve">INVERSIONES A SER MANTENIDAS HASTA EL VENCIMIENTO - Desvalorización de Inversiones Mobiliarias      </t>
  </si>
  <si>
    <t xml:space="preserve">36711     </t>
  </si>
  <si>
    <t>COSTO - Inversiones a ser mantenidas hasta el Vencimiento  - Desvalorización de Inversiones Mobiliap</t>
  </si>
  <si>
    <t xml:space="preserve">3672      </t>
  </si>
  <si>
    <t>INVERSIONES FINANCIERAS REPRESENTATIVAS DE DERECHO PATRIMONIAL - Desvalorización de Inversiones Mobi</t>
  </si>
  <si>
    <t xml:space="preserve">36721     </t>
  </si>
  <si>
    <t>COSTO - Inversiones Financieras Representativas de Derecho Patrimonial - Desvalorización de Inversio</t>
  </si>
  <si>
    <t xml:space="preserve">3673      </t>
  </si>
  <si>
    <t xml:space="preserve">OTRAS INVERSIONES FINANCIERAS - Desvalorización de Inversiones Mobiliarias                          </t>
  </si>
  <si>
    <t xml:space="preserve">36731     </t>
  </si>
  <si>
    <t xml:space="preserve">COSTO - Otras Inversiones Financieras -Desvalorización de Inversiones Mobiliarias                   </t>
  </si>
  <si>
    <t xml:space="preserve">37        </t>
  </si>
  <si>
    <t xml:space="preserve">ACTIVO DIFERIDO                                                                                     </t>
  </si>
  <si>
    <t xml:space="preserve">371       </t>
  </si>
  <si>
    <t xml:space="preserve">IMPUESTO A LA RENTA DIFERIDO                                                                        </t>
  </si>
  <si>
    <t xml:space="preserve">3711      </t>
  </si>
  <si>
    <t xml:space="preserve">IMPUESTO A LA RENTA DIFERIDO - PATRIMONIO - Activo Diferido                                         </t>
  </si>
  <si>
    <t>A180</t>
  </si>
  <si>
    <t xml:space="preserve">3712      </t>
  </si>
  <si>
    <t xml:space="preserve">IMPUESTO A LA RENTA DIFERIDO - RESULTADOS - Activo Diferido                                         </t>
  </si>
  <si>
    <t xml:space="preserve">372       </t>
  </si>
  <si>
    <t xml:space="preserve">PARTICIPACIONES DE LOS TRABAJADORES DIFERIDAS                                                       </t>
  </si>
  <si>
    <t xml:space="preserve">3721      </t>
  </si>
  <si>
    <t xml:space="preserve">PARTICIPACIONES DE LOS TRABAJADORES DIFERIDAS - PATRIMONIO - Activo Diferido                        </t>
  </si>
  <si>
    <t xml:space="preserve">3722      </t>
  </si>
  <si>
    <t xml:space="preserve">PARTICIPACIONES DE LOS TRABAJADORES DIFERIDAS - RESULTADOS - Activo Diferido                        </t>
  </si>
  <si>
    <t xml:space="preserve">373       </t>
  </si>
  <si>
    <t xml:space="preserve">INTERESES DIFERIDOS                                                                                 </t>
  </si>
  <si>
    <t xml:space="preserve">3731      </t>
  </si>
  <si>
    <t xml:space="preserve">INTERESES NO DEVENGADOS EN TRANSACCIONES CON TERCEROS - Activo Diferido                             </t>
  </si>
  <si>
    <t xml:space="preserve">3732      </t>
  </si>
  <si>
    <t xml:space="preserve">INTERESES NO DEVENGADOS EN MEDICIÓN A VALOR DESCONTADO - Activo Diferido                            </t>
  </si>
  <si>
    <t xml:space="preserve">38        </t>
  </si>
  <si>
    <t xml:space="preserve">OTROS ACTIVOS                                                                                       </t>
  </si>
  <si>
    <t xml:space="preserve">381       </t>
  </si>
  <si>
    <t xml:space="preserve">BIENES DE ARTE Y CULTURA - Otros Activos                                                            </t>
  </si>
  <si>
    <t xml:space="preserve">3811      </t>
  </si>
  <si>
    <t xml:space="preserve">OBRAS DE ARTE - Otros Activos                                                                       </t>
  </si>
  <si>
    <t>A185</t>
  </si>
  <si>
    <t xml:space="preserve">3812      </t>
  </si>
  <si>
    <t xml:space="preserve">BIBLIOTECA - Otros Activos                                                                          </t>
  </si>
  <si>
    <t xml:space="preserve">3813      </t>
  </si>
  <si>
    <t xml:space="preserve">OTROS - Bienes de Arte y Cultura - Activos                                                          </t>
  </si>
  <si>
    <t xml:space="preserve">382       </t>
  </si>
  <si>
    <t xml:space="preserve">DIVERSOS - Otros Activos                                                                            </t>
  </si>
  <si>
    <t xml:space="preserve">3821      </t>
  </si>
  <si>
    <t xml:space="preserve">MONEDAS Y JOYAS - Otros Activos                                                                     </t>
  </si>
  <si>
    <t xml:space="preserve">3822      </t>
  </si>
  <si>
    <t xml:space="preserve">BIENES ENTREGADOS EN COMODATO - Otros Activos                                                       </t>
  </si>
  <si>
    <t xml:space="preserve">3823      </t>
  </si>
  <si>
    <t xml:space="preserve">BIENES RECIBIDOS EN PAGO (ADJUDICADOS Y REALIZABLES) - Otros Activos                                </t>
  </si>
  <si>
    <t xml:space="preserve">3829      </t>
  </si>
  <si>
    <t xml:space="preserve">OTROS - Diversos - Otros Activos                                                                    </t>
  </si>
  <si>
    <t xml:space="preserve">39        </t>
  </si>
  <si>
    <t xml:space="preserve">DEPRECIACIÓN, AMORTIZACIÓN   ACUMULADOS                                                             </t>
  </si>
  <si>
    <t xml:space="preserve">391       </t>
  </si>
  <si>
    <t xml:space="preserve">DEPRECIACION ACUMULADA PROPIEDADES DE INVERSIÓN                                                     </t>
  </si>
  <si>
    <t xml:space="preserve">3911      </t>
  </si>
  <si>
    <t xml:space="preserve">EDIFICACIONES - Depreciación Acumulada Propiedades de Inversión                                     </t>
  </si>
  <si>
    <t xml:space="preserve">39111     </t>
  </si>
  <si>
    <t xml:space="preserve">COSTO - Edificaciones - Depreciación Acumulada Propiedades de Inversión                             </t>
  </si>
  <si>
    <t>A164</t>
  </si>
  <si>
    <t xml:space="preserve">39112     </t>
  </si>
  <si>
    <t xml:space="preserve">REVALUACION - Edificaciones - Depreciación Acumulada Propiedades de Inversión                       </t>
  </si>
  <si>
    <t xml:space="preserve">39113     </t>
  </si>
  <si>
    <t xml:space="preserve">COSTO DE FINANCIACION - Edificaciones - Depreciación Acumulada Propiedades de Inversión             </t>
  </si>
  <si>
    <t xml:space="preserve">392       </t>
  </si>
  <si>
    <t xml:space="preserve">DEPRECIACIÓN ACUMULADA PROPIEDADES DE INVERSIÓN - ARRENDAMIENTO FINANCIERO                          </t>
  </si>
  <si>
    <t xml:space="preserve">3921      </t>
  </si>
  <si>
    <t xml:space="preserve">EDIFICACIONES - Depreciación Acumulada Propiedades de Inversión - Arrendamiento Financiero          </t>
  </si>
  <si>
    <t xml:space="preserve">39211     </t>
  </si>
  <si>
    <t xml:space="preserve">COSTO - Edificaciones - Depreciación Acumulada Propiedades de Inversión - Arrendamiento Financiero  </t>
  </si>
  <si>
    <t xml:space="preserve">39212     </t>
  </si>
  <si>
    <t>REVALUACIÓN - Edificaciones - Depreciación Acumulada Propiedades de Inversión - Arrendamiento Financ</t>
  </si>
  <si>
    <t xml:space="preserve">39213     </t>
  </si>
  <si>
    <t>COSTO FINANCIACIÓN - Edificaciones - Depreciación Acumulada Propiedades de Inversión - Arrendam Fina</t>
  </si>
  <si>
    <t xml:space="preserve">393       </t>
  </si>
  <si>
    <t xml:space="preserve">DEPRECIACIÓN ACUMULADA PROPIEDAD, PLANTA Y EQUIPO - ARRENDAMIENTO FINANCIERO                        </t>
  </si>
  <si>
    <t xml:space="preserve">3932      </t>
  </si>
  <si>
    <t xml:space="preserve">EDIFICACIONES - Depreciación Acumulada Propiedad, Planta y Equipo - Arrendamiento Financiero        </t>
  </si>
  <si>
    <t xml:space="preserve">39321     </t>
  </si>
  <si>
    <t>COSTO - Edificaciones - Depreciación Acumulada Propiedad, Planta y Equipo  - Arrendamiento Financier</t>
  </si>
  <si>
    <t xml:space="preserve">39322     </t>
  </si>
  <si>
    <t>REVALUACIÓN - Edificaciones - Depreciac Acumulada Propiedad, Planta y Equipo  - Arrendamiento Financ</t>
  </si>
  <si>
    <t xml:space="preserve">39323     </t>
  </si>
  <si>
    <t>COSTO DE FINANCIACIÓN - Edificaciones - Depreciac Acumul Propiedad, Planta y Equipo  - Arrend Financ</t>
  </si>
  <si>
    <t xml:space="preserve">3933      </t>
  </si>
  <si>
    <t>MAQUINARIAS Y EQUIPOS DE EXPLOTACIÒN - Depreciación Acumulada Prop Planta Equip - Arrendamiento Fina</t>
  </si>
  <si>
    <t xml:space="preserve">39331     </t>
  </si>
  <si>
    <t>COSTO - Maquinarias y Equipos de Explotación - Deprec Acumul Propiedad, Planta y Eq - Arrend Financi</t>
  </si>
  <si>
    <t xml:space="preserve">39332     </t>
  </si>
  <si>
    <t>REVALUACIÓN - Maquinarias y Equipos de Explotación - Deprec Acumul Prop Planta Eq - Arrendam Financi</t>
  </si>
  <si>
    <t xml:space="preserve">39333     </t>
  </si>
  <si>
    <t>COSTO DE FINANCIACIÓN - Maquinarias y Equipos de Explotación - Deprec Acumul Prop Planta Eq - Arrend</t>
  </si>
  <si>
    <t xml:space="preserve">3934      </t>
  </si>
  <si>
    <t xml:space="preserve">UNIDADES DE TRANSPORTE - Depreciación Acumulada Prop Planta Eq - Arrendamiento Financiero           </t>
  </si>
  <si>
    <t xml:space="preserve">39341     </t>
  </si>
  <si>
    <t>COSTO - Unidades de Transporte -  Depreciación Acumulada Propied Planta Equip- Arrendamiento Financi</t>
  </si>
  <si>
    <t xml:space="preserve">39342     </t>
  </si>
  <si>
    <t xml:space="preserve">REVALUACIÓN - Unidades de Transporte -  Deprec Acumul Prop Planta Equip - Arrendamiento Financiero  </t>
  </si>
  <si>
    <t xml:space="preserve">3935      </t>
  </si>
  <si>
    <t xml:space="preserve">MUEBLES Y ENSERES - Depreciación Acumulada Prop Planta Equipo - Arrendamiento Financiero            </t>
  </si>
  <si>
    <t xml:space="preserve">39351     </t>
  </si>
  <si>
    <t xml:space="preserve">COSTO - Muebles y Enseres -  Deprec Acumul Prop Planta Equipo - Arrendamiento Financiero            </t>
  </si>
  <si>
    <t xml:space="preserve">39352     </t>
  </si>
  <si>
    <t>REVALUACIÓN - Muebles y Enseres -  Depreciación Acumulada Prop Planta Equipo - Arrendamiento Financi</t>
  </si>
  <si>
    <t xml:space="preserve">3936      </t>
  </si>
  <si>
    <t xml:space="preserve">EQUIPOS DIVERSOS - Depreciación Acumulada Propiedad Planta Equipo - Arrendamiento Financiero        </t>
  </si>
  <si>
    <t xml:space="preserve">39361     </t>
  </si>
  <si>
    <t xml:space="preserve">COSTO - Equipos Diversos - Depreciación Acumulada Propiedad Planta Eq - Arrendamiento Financiero    </t>
  </si>
  <si>
    <t xml:space="preserve">39362     </t>
  </si>
  <si>
    <t xml:space="preserve">REVALUACIÓN - Equipos Diversos - Depreciación Acumulada Prop Planta Eq - Arrendamiento Financiero   </t>
  </si>
  <si>
    <t xml:space="preserve">394       </t>
  </si>
  <si>
    <t xml:space="preserve">DEPRECIACIÓN ACUMULADA - Arrendamiento Operativo                                                    </t>
  </si>
  <si>
    <t xml:space="preserve">3941      </t>
  </si>
  <si>
    <t xml:space="preserve">ACTIVOS POR DERECHO DE USO - Arrendamiento Operativo                                                </t>
  </si>
  <si>
    <t xml:space="preserve">39410     </t>
  </si>
  <si>
    <t xml:space="preserve">PLANTAS PRODUCTORAS - Activos por Derecho de Uso - Arrendamiento Operativo                          </t>
  </si>
  <si>
    <t xml:space="preserve">39411     </t>
  </si>
  <si>
    <t xml:space="preserve">TERRENOS  - Activos por Derecho de Uso - Arrendamiento Operativo                                    </t>
  </si>
  <si>
    <t xml:space="preserve">39412     </t>
  </si>
  <si>
    <t xml:space="preserve">EDIFICACIONES  - Activos por Derecho de Uso - Arrendamiento Operativo                               </t>
  </si>
  <si>
    <t xml:space="preserve">39413     </t>
  </si>
  <si>
    <t xml:space="preserve">MAQUINARIAS Y EQUIPOS DE EXPLOTACIÓN  - Activos por Derecho de Uso - Arrendamiento Operativo        </t>
  </si>
  <si>
    <t xml:space="preserve">39414     </t>
  </si>
  <si>
    <t xml:space="preserve">UNIDADES DE TRANSPORTE  - Activos por Derecho de Uso - Arrendamiento Operativo                      </t>
  </si>
  <si>
    <t xml:space="preserve">39415     </t>
  </si>
  <si>
    <t xml:space="preserve">EQUIPOS DIVERSOS  - Activos por Derecho de Uso - Arrendamiento Operativo                            </t>
  </si>
  <si>
    <t xml:space="preserve">395       </t>
  </si>
  <si>
    <t xml:space="preserve">DEPRECIACIÓN ACUMULADA DE PROPIEDAD, PLANTA Y EQUIPO                                                </t>
  </si>
  <si>
    <t xml:space="preserve">3952      </t>
  </si>
  <si>
    <t xml:space="preserve">DEPRECIACIÓN ACUMULADA - COSTO                                                                      </t>
  </si>
  <si>
    <t xml:space="preserve">39520     </t>
  </si>
  <si>
    <t xml:space="preserve">PLANTAS PRODUCTORAS - Depreciación Acumulada - Costo                                                </t>
  </si>
  <si>
    <t xml:space="preserve">39521     </t>
  </si>
  <si>
    <t xml:space="preserve">EDIFICACIONES - Depreciación Acumulada - Costo                                                      </t>
  </si>
  <si>
    <t xml:space="preserve">39522     </t>
  </si>
  <si>
    <t xml:space="preserve">INSTALACIONES - Depreciación Acumulada - Costo                                                      </t>
  </si>
  <si>
    <t xml:space="preserve">39523     </t>
  </si>
  <si>
    <t xml:space="preserve">MEJORAS EN LOCALES ARRENDADOS - Depreciación Acumulada - Costo                                      </t>
  </si>
  <si>
    <t xml:space="preserve">39524     </t>
  </si>
  <si>
    <t xml:space="preserve">MAQUINARIAS Y EQUIPOS DE EXPLOTACIÓN - Depreciación Acumulada - Costo                               </t>
  </si>
  <si>
    <t xml:space="preserve">39525     </t>
  </si>
  <si>
    <t xml:space="preserve">UNIDADES DE TRANSPORTE - Depreciación Acumulada - Costo                                             </t>
  </si>
  <si>
    <t xml:space="preserve">39526     </t>
  </si>
  <si>
    <t xml:space="preserve">MUEBLES Y ENSERES - Depreciación Acumulada - Costo                                                  </t>
  </si>
  <si>
    <t xml:space="preserve">39527     </t>
  </si>
  <si>
    <t xml:space="preserve">EQUIPOS DIVERSOS - Depreciación Acumulada - Costo                                                   </t>
  </si>
  <si>
    <t xml:space="preserve">39528     </t>
  </si>
  <si>
    <t xml:space="preserve">HERRAMIENTAS - Depreciación Acumulada - Costo                                                       </t>
  </si>
  <si>
    <t xml:space="preserve">39529     </t>
  </si>
  <si>
    <t xml:space="preserve">UNIDADES DE REEMPLAZO - Depreciación Acumulada - Costo                                              </t>
  </si>
  <si>
    <t xml:space="preserve">3953      </t>
  </si>
  <si>
    <t xml:space="preserve">DEPRECIACION ACUMULADA - REVALUACION                                                                </t>
  </si>
  <si>
    <t xml:space="preserve">39530     </t>
  </si>
  <si>
    <t xml:space="preserve">PLANTAS PRODUCTORAS - Depreciación Acumulada - Revaluación                                          </t>
  </si>
  <si>
    <t xml:space="preserve">39531     </t>
  </si>
  <si>
    <t xml:space="preserve">EDIFICACIONES  - Depreciación Acumulada - Revaluación                                               </t>
  </si>
  <si>
    <t xml:space="preserve">39532     </t>
  </si>
  <si>
    <t xml:space="preserve">INSTALACIONES  - Depreciación Acumulada - Revaluación                                               </t>
  </si>
  <si>
    <t xml:space="preserve">39533     </t>
  </si>
  <si>
    <t xml:space="preserve">MEJORAS EN LOCALES ARRENDADOS  - Depreciación Acumulada - Revaluación                               </t>
  </si>
  <si>
    <t xml:space="preserve">39534     </t>
  </si>
  <si>
    <t xml:space="preserve">MAQUINARIAS Y EQUIPOS DE EXPLOTACIÓN  - Depreciación Acumulada - Revaluación                        </t>
  </si>
  <si>
    <t xml:space="preserve">39535     </t>
  </si>
  <si>
    <t xml:space="preserve">UNIDADES DE TRANSPORTE  - Depreciación Acumulada - Revaluación                                      </t>
  </si>
  <si>
    <t xml:space="preserve">39536     </t>
  </si>
  <si>
    <t xml:space="preserve">MUEBLES Y ENSERES  - Depreciación Acumulada - Revaluación                                           </t>
  </si>
  <si>
    <t xml:space="preserve">39537     </t>
  </si>
  <si>
    <t xml:space="preserve">EQUIPOS DIVERSOS  - Depreciación Acumulada - Revaluación                                            </t>
  </si>
  <si>
    <t xml:space="preserve">39538     </t>
  </si>
  <si>
    <t xml:space="preserve">HERRAMIENTAS Y UNIDADES DE REEMPLAZO - Depreciación Acumulada - Revaluación                         </t>
  </si>
  <si>
    <t xml:space="preserve">3954      </t>
  </si>
  <si>
    <t xml:space="preserve">DEPRECIACION ACUMULADA - COSTO DE FINANCIACION                                                      </t>
  </si>
  <si>
    <t xml:space="preserve">39540     </t>
  </si>
  <si>
    <t xml:space="preserve">PLANTAS PRODUCTORAS - Depreciación Acumulada - Costo de Financiación                                </t>
  </si>
  <si>
    <t xml:space="preserve">39541     </t>
  </si>
  <si>
    <t xml:space="preserve">EDIFICACIONES - Depreciación Acumulada - Costo de Financiación                                      </t>
  </si>
  <si>
    <t xml:space="preserve">39542     </t>
  </si>
  <si>
    <t xml:space="preserve">MAQUINARIAS Y EQUIPOS DE EXPLOTACIÓN - Depreciación Acumulada - Costo de Financiación               </t>
  </si>
  <si>
    <t xml:space="preserve">3955      </t>
  </si>
  <si>
    <t xml:space="preserve">DEPRECIACION ACUMULADA - VALOR RAZONABLE                                                            </t>
  </si>
  <si>
    <t xml:space="preserve">39550     </t>
  </si>
  <si>
    <t xml:space="preserve">PLANTAS PRODUCTORAS - Depreciación Acumulada - Valor Razonable                                      </t>
  </si>
  <si>
    <t xml:space="preserve">396       </t>
  </si>
  <si>
    <t xml:space="preserve">AMORTIZACIÓN ACUMULADA                                                                              </t>
  </si>
  <si>
    <t xml:space="preserve">3961      </t>
  </si>
  <si>
    <t xml:space="preserve">INTANGIBLES - Costo - Amortización Acumulada                                                        </t>
  </si>
  <si>
    <t xml:space="preserve">39611     </t>
  </si>
  <si>
    <t xml:space="preserve">CONCESIONES, LICENCIAS Y OTROS DERECHOS - Intangibles - Costo - Amortización Acumulada              </t>
  </si>
  <si>
    <t>A178</t>
  </si>
  <si>
    <t xml:space="preserve">39612     </t>
  </si>
  <si>
    <t xml:space="preserve">PATENTES Y PROPIEDAD INDUSTRIAL - Intangibles - Costo - Amortización Acumulada                      </t>
  </si>
  <si>
    <t xml:space="preserve">39613     </t>
  </si>
  <si>
    <t xml:space="preserve">PROGRAMAS DE COMPUTADORA (software) - Intangibles - Costo - Amortización Acumulada                  </t>
  </si>
  <si>
    <t xml:space="preserve">39614     </t>
  </si>
  <si>
    <t xml:space="preserve">COSTOS DE EXPLORACIÓN Y DESARROLLO  - Intangibles - Costo - Amortización Acumulada                  </t>
  </si>
  <si>
    <t xml:space="preserve">39615     </t>
  </si>
  <si>
    <t xml:space="preserve">FORMULAS, DISEÑOS Y PROTOTIPOS  - Intangibles - Costo - Amortización Acumulada                      </t>
  </si>
  <si>
    <t xml:space="preserve">39619     </t>
  </si>
  <si>
    <t xml:space="preserve">OTROS ACTIVOS INTANGIBLES  - Intangibles - Costo - Amortización Acumulada                           </t>
  </si>
  <si>
    <t xml:space="preserve">3962      </t>
  </si>
  <si>
    <t xml:space="preserve">INTANGIBLES - Revaluación - Amortización Acumulada                                                  </t>
  </si>
  <si>
    <t xml:space="preserve">39621     </t>
  </si>
  <si>
    <t xml:space="preserve">CONCESIONES, LICENCIAS Y OTROS DERECHOS - Intangibles - Revaluación - Amortización Acumulada        </t>
  </si>
  <si>
    <t xml:space="preserve">39622     </t>
  </si>
  <si>
    <t xml:space="preserve">PATENTES Y PROPIEDAD INDUSTRIAL - Intangibles - Revaluación - Amortización Acumulada                </t>
  </si>
  <si>
    <t xml:space="preserve">39623     </t>
  </si>
  <si>
    <t xml:space="preserve">PROGRAMAS DE COMPUTADORAS (software) - Intangibles - Revaluación - Amortización Acumulada           </t>
  </si>
  <si>
    <t xml:space="preserve">39624     </t>
  </si>
  <si>
    <t xml:space="preserve">COSTOS DE EXPLORACIÓN Y DESARROLLO - Intangibles - Revaluación - Amortización Acumulada             </t>
  </si>
  <si>
    <t xml:space="preserve">39625     </t>
  </si>
  <si>
    <t xml:space="preserve">FORMULAS, DISEÑOS Y PROTOTIPO - Intangibles - Revaluación - Amortización Acumuladaa                 </t>
  </si>
  <si>
    <t xml:space="preserve">39629     </t>
  </si>
  <si>
    <t xml:space="preserve">OTROS ACTIVOS INTANGIBLES - Intangibles - Revaluación - Amortización Acumulada                      </t>
  </si>
  <si>
    <t xml:space="preserve">3963      </t>
  </si>
  <si>
    <t xml:space="preserve">INTANGIBLES - Costo de Financiación - Amortización Acumulada                                        </t>
  </si>
  <si>
    <t xml:space="preserve">39633     </t>
  </si>
  <si>
    <t xml:space="preserve">PROGRAMAS COMPUTADORA - Intangibles - Costo de Financiación - Amortización Acumulada                </t>
  </si>
  <si>
    <t xml:space="preserve">39634     </t>
  </si>
  <si>
    <t xml:space="preserve">COSTOS DE EXPLORACIÓN - Intangibles - Costo de Financiación - Amortización Acumulada                </t>
  </si>
  <si>
    <t xml:space="preserve">39635     </t>
  </si>
  <si>
    <t xml:space="preserve">COSTOS DE DESARROLLO - Intangibles - Costo de Financiación - Amortización Acumulada                 </t>
  </si>
  <si>
    <t xml:space="preserve">398       </t>
  </si>
  <si>
    <t xml:space="preserve">DEPRECIACIÓN ACUMULADA - Activos Biológicos en Producción                                           </t>
  </si>
  <si>
    <t xml:space="preserve">3981      </t>
  </si>
  <si>
    <t xml:space="preserve">ACTIVOS BIOLOGICOS EN PRODUCCIÓN - Costo - Depreciación Acumulada                                   </t>
  </si>
  <si>
    <t xml:space="preserve">39811     </t>
  </si>
  <si>
    <t xml:space="preserve">ACTIVOS BIOLOGICOS EN PRODUCCIÓN - Costo  - Depreciación Acumulada                                  </t>
  </si>
  <si>
    <t xml:space="preserve">40        </t>
  </si>
  <si>
    <t xml:space="preserve">TRIBUTOS, CONTRAPRESTACIONES Y APORTES AL SISTEMA DE PENSIONES Y DE SALUD POR PAGAR                 </t>
  </si>
  <si>
    <t>Pasivo</t>
  </si>
  <si>
    <t xml:space="preserve">401       </t>
  </si>
  <si>
    <t xml:space="preserve">GOBIERNO CENTRAL                                                                                    </t>
  </si>
  <si>
    <t xml:space="preserve">4011      </t>
  </si>
  <si>
    <t xml:space="preserve">IMPUESTO GENERAL A LAS VENTAS                                                                       </t>
  </si>
  <si>
    <t xml:space="preserve">40111     </t>
  </si>
  <si>
    <t xml:space="preserve">IGV - CUENTA PROPIA - Por Pagar - Gobierno Central                                                  </t>
  </si>
  <si>
    <t xml:space="preserve">401111    </t>
  </si>
  <si>
    <t>P110</t>
  </si>
  <si>
    <t xml:space="preserve">401115    </t>
  </si>
  <si>
    <t xml:space="preserve">IGV - PAGO SUNAT - Gobierno Central                                                                 </t>
  </si>
  <si>
    <t xml:space="preserve">401119    </t>
  </si>
  <si>
    <t xml:space="preserve">IGV - POR REGULARIZAR -  Gobierno Central                                                           </t>
  </si>
  <si>
    <t xml:space="preserve">40112     </t>
  </si>
  <si>
    <t xml:space="preserve">IGV - SERVIC. PRESTADOS POR NO DOMICILIADOS - Por pagar - Gobierno Central                          </t>
  </si>
  <si>
    <t xml:space="preserve">40113     </t>
  </si>
  <si>
    <t xml:space="preserve">IGV - REGIMEN DE PERCEPCIONES - Por pagar - Gobierno Central                                        </t>
  </si>
  <si>
    <t xml:space="preserve">40114     </t>
  </si>
  <si>
    <t xml:space="preserve">IGV - REGIMEN DE RETENCIONES - Por pagar - Gobierno Central                                         </t>
  </si>
  <si>
    <t xml:space="preserve">40115     </t>
  </si>
  <si>
    <t xml:space="preserve">IGV - IMPORTACIONES - Gobierno Centra                                                               </t>
  </si>
  <si>
    <t xml:space="preserve">40116     </t>
  </si>
  <si>
    <t xml:space="preserve">IGV - Destinado a operaciones no gravadas - Gobierno Central                                        </t>
  </si>
  <si>
    <t>Resultado</t>
  </si>
  <si>
    <t xml:space="preserve">40117     </t>
  </si>
  <si>
    <t xml:space="preserve">IGV - DESTINADO A OPERACIONES COMUNES - Gobierno Centra                                             </t>
  </si>
  <si>
    <t xml:space="preserve">4012      </t>
  </si>
  <si>
    <t xml:space="preserve">IMPUESTO SELECTIVO AL CONSUMO - Por pagar - Gobierno Central                                        </t>
  </si>
  <si>
    <t xml:space="preserve">40121     </t>
  </si>
  <si>
    <t xml:space="preserve">4015      </t>
  </si>
  <si>
    <t xml:space="preserve">DERECHOS ADUANEROS                                                                                  </t>
  </si>
  <si>
    <t xml:space="preserve">40151     </t>
  </si>
  <si>
    <t xml:space="preserve">DERECHOS ARANCELARIOS - Tributos por pagar - Gobierno Central                                       </t>
  </si>
  <si>
    <t xml:space="preserve">40152     </t>
  </si>
  <si>
    <t xml:space="preserve">OTROS DERECHOS ARANCELARIOS - Tributos por pagar - Gobierno Central                                 </t>
  </si>
  <si>
    <t xml:space="preserve">4017      </t>
  </si>
  <si>
    <t xml:space="preserve">IMPUESTO A LA RENTA                                                                                 </t>
  </si>
  <si>
    <t xml:space="preserve">40171     </t>
  </si>
  <si>
    <t xml:space="preserve">RENTA TERCERA CATEGORIA - Impuesto por pagar - Gobierno Central                                     </t>
  </si>
  <si>
    <t xml:space="preserve">40172     </t>
  </si>
  <si>
    <t xml:space="preserve">RENTA CUARTA CATEGORIA - Impuesto por pagar   - Gobierno Central                                    </t>
  </si>
  <si>
    <t xml:space="preserve">40173     </t>
  </si>
  <si>
    <t xml:space="preserve">RENTA QUINTA CATEGORIA - Impuesto por pagar - Gobierno Central                                      </t>
  </si>
  <si>
    <t xml:space="preserve">40174     </t>
  </si>
  <si>
    <t xml:space="preserve">RENTA DE NO DOMICILIADOS - Impuesto por pagar  - Gobierno Central                                   </t>
  </si>
  <si>
    <t xml:space="preserve">40175     </t>
  </si>
  <si>
    <t xml:space="preserve">OTRAS RETENCIONES - Impuesto por pagar - Gobierno Central                                           </t>
  </si>
  <si>
    <t xml:space="preserve">4018      </t>
  </si>
  <si>
    <t xml:space="preserve">OTROS IMPUESTOS Y CONTRAPRESTACIONES- Gobierno Central                                              </t>
  </si>
  <si>
    <t xml:space="preserve">40181     </t>
  </si>
  <si>
    <t xml:space="preserve">IMPUESTO A LAS TRANSACCIONES FINANCIERAS - Otros impuestos por pagar - Gobierno Central             </t>
  </si>
  <si>
    <t xml:space="preserve">40182     </t>
  </si>
  <si>
    <t xml:space="preserve">IMP. A LOS JUEGOS DE CASINO Y TRAGAMON. - Otros impuestos por pagar - Gobierno Central              </t>
  </si>
  <si>
    <t xml:space="preserve">40183     </t>
  </si>
  <si>
    <t xml:space="preserve">TASAS POR LA PRESTACION DE SERV. PUBLIC. - Otros impuestos por pagar - Gobierno Central             </t>
  </si>
  <si>
    <t xml:space="preserve">40184     </t>
  </si>
  <si>
    <t xml:space="preserve">REGALIAS - Otros impuestos por pagar - Gobierno Central                                             </t>
  </si>
  <si>
    <t xml:space="preserve">40185     </t>
  </si>
  <si>
    <t xml:space="preserve">IMPUESTO A LOS DIVIDENDOS - Otros impuestos por pagar - Gobierno Central                            </t>
  </si>
  <si>
    <t xml:space="preserve">40186     </t>
  </si>
  <si>
    <t xml:space="preserve">ACTIVO TEMPORAL A LOS ACTIVOS NETOS - Otros impuestos por pagar - Gobierno Central                  </t>
  </si>
  <si>
    <t xml:space="preserve">40189     </t>
  </si>
  <si>
    <t xml:space="preserve">OTROS IMPUESTOS - Otros impuestos por pagar - Gobierno Central                                      </t>
  </si>
  <si>
    <t xml:space="preserve">402       </t>
  </si>
  <si>
    <t xml:space="preserve">CERTIFICADOS TRIBUTARIOS                                                                            </t>
  </si>
  <si>
    <t xml:space="preserve">4021      </t>
  </si>
  <si>
    <t xml:space="preserve">CERTIFICADOS TRIBUTARIOS - Tributos por pagar                                                       </t>
  </si>
  <si>
    <t xml:space="preserve">403       </t>
  </si>
  <si>
    <t xml:space="preserve">INSTITUCIONES PUBLICAS                                                                              </t>
  </si>
  <si>
    <t xml:space="preserve">4031      </t>
  </si>
  <si>
    <t xml:space="preserve">ESSALUD - RPS - Por pagar                                                                           </t>
  </si>
  <si>
    <t xml:space="preserve">4032      </t>
  </si>
  <si>
    <t xml:space="preserve">ONP - SNP - Por pagar                                                                               </t>
  </si>
  <si>
    <t xml:space="preserve">4033      </t>
  </si>
  <si>
    <t xml:space="preserve">CONTRIBUCION AL SENATI - Por pagar                                                                  </t>
  </si>
  <si>
    <t xml:space="preserve">4034      </t>
  </si>
  <si>
    <t xml:space="preserve">CONTRIBUCION AL SENCICO - Por pagar                                                                 </t>
  </si>
  <si>
    <t xml:space="preserve">4039      </t>
  </si>
  <si>
    <t xml:space="preserve">OTRAS INSTITUCIONES - Por pagar                                                                     </t>
  </si>
  <si>
    <t xml:space="preserve">405       </t>
  </si>
  <si>
    <t xml:space="preserve">GOBIERNOS REGIONALES                                                                                </t>
  </si>
  <si>
    <t xml:space="preserve">4051      </t>
  </si>
  <si>
    <t xml:space="preserve">GOBIERNOS REGIONALES - Tributos por pagar                                                           </t>
  </si>
  <si>
    <t xml:space="preserve">406       </t>
  </si>
  <si>
    <t xml:space="preserve">GOBIERNOS LOCALES                                                                                   </t>
  </si>
  <si>
    <t xml:space="preserve">4061      </t>
  </si>
  <si>
    <t xml:space="preserve">IMPUESTOS - Gobiernos Locales                                                                       </t>
  </si>
  <si>
    <t xml:space="preserve">40611     </t>
  </si>
  <si>
    <t xml:space="preserve">IMPUESTO AL PATRIMONIO VEHICULAR - Impuestos de gobiernos locales                                   </t>
  </si>
  <si>
    <t xml:space="preserve">40612     </t>
  </si>
  <si>
    <t xml:space="preserve">IMPUESTO A LAS APUESTAS - Impuestos de gobiernos locales                                            </t>
  </si>
  <si>
    <t xml:space="preserve">40613     </t>
  </si>
  <si>
    <t xml:space="preserve">IMPUESTO A LOS JUEGOS - Impuestos de gobiernos locales                                              </t>
  </si>
  <si>
    <t xml:space="preserve">40614     </t>
  </si>
  <si>
    <t xml:space="preserve">IMPUESTO DE ALCABALA - Impuestos de gobiernos locales                                               </t>
  </si>
  <si>
    <t xml:space="preserve">40615     </t>
  </si>
  <si>
    <t xml:space="preserve">IMPUESTO PREDIAL - Impuestos de gobiernos locales                                                   </t>
  </si>
  <si>
    <t xml:space="preserve">40616     </t>
  </si>
  <si>
    <t xml:space="preserve">IMPUESTO A LOS ESPECTÁCULOS PÚBLICOS NO DEPORTIVOS - Impuestos de gobiernos locales                 </t>
  </si>
  <si>
    <t xml:space="preserve">4062      </t>
  </si>
  <si>
    <t xml:space="preserve">CONTRIBUCIONES - Impuestos de gobiernos locales                                                     </t>
  </si>
  <si>
    <t xml:space="preserve">40621     </t>
  </si>
  <si>
    <t xml:space="preserve">4063      </t>
  </si>
  <si>
    <t xml:space="preserve">TASAS - Gobiernos Locales                                                                           </t>
  </si>
  <si>
    <t xml:space="preserve">40631     </t>
  </si>
  <si>
    <t xml:space="preserve">LICENCIA DE APERTURA DE ESTABLECIMIENTO - Tasas por pagar - Gobiernos Locales                       </t>
  </si>
  <si>
    <t xml:space="preserve">40632     </t>
  </si>
  <si>
    <t xml:space="preserve">TRANSPORTE PUBLICO - Tasas por pagar - Gobiernos Locales                                            </t>
  </si>
  <si>
    <t xml:space="preserve">40633     </t>
  </si>
  <si>
    <t xml:space="preserve">ESTACIONAMIENTO DE VEHICULOS - Tasas por pagar - Gobiernos Locales                                  </t>
  </si>
  <si>
    <t xml:space="preserve">40634     </t>
  </si>
  <si>
    <t xml:space="preserve">SERVICIOS PUBLICOS O ARBITRIOS - Tasas por pagar - Gobiernos Locales                                </t>
  </si>
  <si>
    <t xml:space="preserve">40635     </t>
  </si>
  <si>
    <t xml:space="preserve">SERVICIOS ADMINISTRATIVOS O DERECHOS - Tasas por pagar - Gobiernos Locales                          </t>
  </si>
  <si>
    <t xml:space="preserve">409       </t>
  </si>
  <si>
    <t xml:space="preserve">OTROS COSTOS ADMINISTRATIVOS E INTERESES                                                            </t>
  </si>
  <si>
    <t xml:space="preserve">4091      </t>
  </si>
  <si>
    <t xml:space="preserve">41        </t>
  </si>
  <si>
    <t xml:space="preserve">REMUNERACIONES Y PARTICIPACIONES POR PAGAR                                                          </t>
  </si>
  <si>
    <t xml:space="preserve">411       </t>
  </si>
  <si>
    <t xml:space="preserve">REMUNERACIONES POR PAGAR                                                                            </t>
  </si>
  <si>
    <t xml:space="preserve">4111      </t>
  </si>
  <si>
    <t xml:space="preserve">SUELDOS Y SALARIOS POR PAGAR                                                                        </t>
  </si>
  <si>
    <t>P115</t>
  </si>
  <si>
    <t xml:space="preserve">4112      </t>
  </si>
  <si>
    <t xml:space="preserve">COMISIONES POR PAGAR                                                                                </t>
  </si>
  <si>
    <t xml:space="preserve">4113      </t>
  </si>
  <si>
    <t xml:space="preserve">REMUNERACIONES EN ESPECIE POR PAGAR                                                                 </t>
  </si>
  <si>
    <t xml:space="preserve">4114      </t>
  </si>
  <si>
    <t xml:space="preserve">GRATIFICACIONES POR PAGAR                                                                           </t>
  </si>
  <si>
    <t xml:space="preserve">4115      </t>
  </si>
  <si>
    <t xml:space="preserve">VACACIONES POR PAGAR                                                                                </t>
  </si>
  <si>
    <t xml:space="preserve">413       </t>
  </si>
  <si>
    <t xml:space="preserve">PARTICIPACIONES DE LOS TRABAJADORES POR PAGAR                                                       </t>
  </si>
  <si>
    <t xml:space="preserve">4131      </t>
  </si>
  <si>
    <t xml:space="preserve">415       </t>
  </si>
  <si>
    <t xml:space="preserve">BENEFICIOS SOCIALES DE LOS TRABAJADORES POR PAGAR                                                   </t>
  </si>
  <si>
    <t xml:space="preserve">4151      </t>
  </si>
  <si>
    <t xml:space="preserve">COMPENSACIÓN  POR TIEMPO DE SERVICIOS - Beneficios Sociales De Los Trabajadores Por Pagar           </t>
  </si>
  <si>
    <t xml:space="preserve">4152      </t>
  </si>
  <si>
    <t xml:space="preserve">ADELANTO DE CTS - Beneficios Sociales De Los Trabajadores Por Pagar                                 </t>
  </si>
  <si>
    <t xml:space="preserve">4153      </t>
  </si>
  <si>
    <t xml:space="preserve">PENSIONES Y JUBILACIONES - Beneficios Sociales De Los Trabajadores Por Pagar                        </t>
  </si>
  <si>
    <t xml:space="preserve">417       </t>
  </si>
  <si>
    <t xml:space="preserve">ADMINISTRADORAS DE FONDOS DE PENSIONES                                                              </t>
  </si>
  <si>
    <t xml:space="preserve">4171      </t>
  </si>
  <si>
    <t xml:space="preserve">419       </t>
  </si>
  <si>
    <t xml:space="preserve">OTRAS REMUNERACIONES Y PARTICIONES POR PAGAR                                                        </t>
  </si>
  <si>
    <t xml:space="preserve">4191      </t>
  </si>
  <si>
    <t xml:space="preserve">42        </t>
  </si>
  <si>
    <t xml:space="preserve">CUENTAS POR PAGAR COMERCIALES TERCEROS                                                              </t>
  </si>
  <si>
    <t xml:space="preserve">421       </t>
  </si>
  <si>
    <t xml:space="preserve">FACTURAS, BOLETAS Y OTROS COMPROBANTES POR PAGAR - Terceros                                         </t>
  </si>
  <si>
    <t xml:space="preserve">4211      </t>
  </si>
  <si>
    <t xml:space="preserve">NO EMITIDAS - Facturas, Boletas y otros Comprobantes Por Pagar - Terceros                           </t>
  </si>
  <si>
    <t>P120</t>
  </si>
  <si>
    <t xml:space="preserve">4212      </t>
  </si>
  <si>
    <t xml:space="preserve">EMITIDAS - Facturas, Boletas y Otros Comprobantes Por Pagar - Terceros                              </t>
  </si>
  <si>
    <t xml:space="preserve">422       </t>
  </si>
  <si>
    <t xml:space="preserve">ANTICIPOS OTORGADOS A PROVEEDORES - Terceros                                                        </t>
  </si>
  <si>
    <t xml:space="preserve">4221      </t>
  </si>
  <si>
    <t xml:space="preserve">423       </t>
  </si>
  <si>
    <t xml:space="preserve">LETRAS POR PAGAR - Terceros                                                                         </t>
  </si>
  <si>
    <t xml:space="preserve">4231      </t>
  </si>
  <si>
    <t xml:space="preserve">424       </t>
  </si>
  <si>
    <t xml:space="preserve">HONORARIOS POR PAGAR - Terceros                                                                     </t>
  </si>
  <si>
    <t xml:space="preserve">4241      </t>
  </si>
  <si>
    <t xml:space="preserve">43        </t>
  </si>
  <si>
    <t xml:space="preserve">CUENTAS POR PAGAR COMERCIALES - RELACIONADAS                                                        </t>
  </si>
  <si>
    <t xml:space="preserve">431       </t>
  </si>
  <si>
    <t xml:space="preserve">FACTURAS, BOLETAS Y OTROS COMPROBANTES POR PAGAR - Relacionadas                                     </t>
  </si>
  <si>
    <t xml:space="preserve">4311      </t>
  </si>
  <si>
    <t xml:space="preserve">NO EMITIDAS - Facturas, Boletas y Otros Comprobantes Por Pagar - Relacionadas                       </t>
  </si>
  <si>
    <t>P121</t>
  </si>
  <si>
    <t xml:space="preserve">4312      </t>
  </si>
  <si>
    <t xml:space="preserve">EMITIDAS - Facturas, Boletas y Otros Comprobantes Por Pagar - Relacionadas                          </t>
  </si>
  <si>
    <t xml:space="preserve">432       </t>
  </si>
  <si>
    <t xml:space="preserve">ANTICIPOS OTORGADOS                                                                                 </t>
  </si>
  <si>
    <t xml:space="preserve">4321      </t>
  </si>
  <si>
    <t xml:space="preserve">ANTICIPOS OTORGADOS - Relacionadas                                                                  </t>
  </si>
  <si>
    <t xml:space="preserve">433       </t>
  </si>
  <si>
    <t xml:space="preserve">LETRAS POR PAGAR                                                                                    </t>
  </si>
  <si>
    <t xml:space="preserve">4331      </t>
  </si>
  <si>
    <t xml:space="preserve">LETRAS POR PAGAR - Relacionadas                                                                     </t>
  </si>
  <si>
    <t xml:space="preserve">434       </t>
  </si>
  <si>
    <t xml:space="preserve">HONORARIOS POR PAGAR                                                                                </t>
  </si>
  <si>
    <t xml:space="preserve">4341      </t>
  </si>
  <si>
    <t xml:space="preserve">HONORARIOS POR PAGAR - Relacionadas                                                                 </t>
  </si>
  <si>
    <t xml:space="preserve">44        </t>
  </si>
  <si>
    <t xml:space="preserve">CUENTAS POR PAGAR A  LOS ACCIONISTAS (SOCIOS, PARTÍCIPES) Y DIRECTORES                              </t>
  </si>
  <si>
    <t xml:space="preserve">441       </t>
  </si>
  <si>
    <t xml:space="preserve">ACCIONISTAS (Socios o Partícipes) - Cuentas por Pagar                                               </t>
  </si>
  <si>
    <t xml:space="preserve">4411      </t>
  </si>
  <si>
    <t xml:space="preserve">PRESTAMOS - Cuentas Por Pagar - Accionistas (Socios o Partícipes)                                   </t>
  </si>
  <si>
    <t>P122</t>
  </si>
  <si>
    <t xml:space="preserve">4412      </t>
  </si>
  <si>
    <t xml:space="preserve">DIVIDENDOS - Cuentas Por Pagar - Accionistas (Socios o Partícipes)                                  </t>
  </si>
  <si>
    <t xml:space="preserve">4419      </t>
  </si>
  <si>
    <t xml:space="preserve">OTRAS CUENTAS POR PAGAR - Accionistas (Socios o Partícipes)                                         </t>
  </si>
  <si>
    <t xml:space="preserve">442       </t>
  </si>
  <si>
    <t xml:space="preserve">DIRECTORES - Cuentas por pagar                                                                      </t>
  </si>
  <si>
    <t xml:space="preserve">4421      </t>
  </si>
  <si>
    <t xml:space="preserve">DIETAS - Cuentas Por Pagar - Directores                                                             </t>
  </si>
  <si>
    <t xml:space="preserve">4429      </t>
  </si>
  <si>
    <t xml:space="preserve">OTRAS CUENTAS POR PAGAR - Directores                                                                </t>
  </si>
  <si>
    <t xml:space="preserve">45        </t>
  </si>
  <si>
    <t xml:space="preserve">OBLIGACIONES FINANCIERAS                                                                            </t>
  </si>
  <si>
    <t xml:space="preserve">451       </t>
  </si>
  <si>
    <t xml:space="preserve">PRÉSTAMOS DE INSTITUCIONES FINANCIERAS Y OTRAS ENTIDADES - Obligaciones Financieras                 </t>
  </si>
  <si>
    <t xml:space="preserve">4511      </t>
  </si>
  <si>
    <t xml:space="preserve">INSTITUCIONES FINANCIERAS - Préstamos - Obligaciones Financieras                                    </t>
  </si>
  <si>
    <t>P133</t>
  </si>
  <si>
    <t xml:space="preserve">4512      </t>
  </si>
  <si>
    <t xml:space="preserve">OTRAS ENTIDADES - Préstamos - Obligaciones Financieras                                              </t>
  </si>
  <si>
    <t xml:space="preserve">452       </t>
  </si>
  <si>
    <t xml:space="preserve">CONTRATOS DE ARRENDAMIENTO FINANCIERO - Obligaciones Financieras                                    </t>
  </si>
  <si>
    <t xml:space="preserve">4521      </t>
  </si>
  <si>
    <t xml:space="preserve">CONTRATOS DE ARRENDAMIENTO FINANCIERO  - Obligaciones Financieras                                   </t>
  </si>
  <si>
    <t xml:space="preserve">453       </t>
  </si>
  <si>
    <t xml:space="preserve">OBLIGACIONES EMITIDAS - Obligaciones Financieras                                                    </t>
  </si>
  <si>
    <t xml:space="preserve">4531      </t>
  </si>
  <si>
    <t xml:space="preserve">BONOS EMITIDOS - Obligaciones Emitidas - Obligaciones Financieras                                   </t>
  </si>
  <si>
    <t xml:space="preserve">4532      </t>
  </si>
  <si>
    <t xml:space="preserve">BONOS TITULIZADOS - Obligaciones Emitidas - Obligaciones Financieras                                </t>
  </si>
  <si>
    <t xml:space="preserve">4533      </t>
  </si>
  <si>
    <t xml:space="preserve">PAPELES COMERCIALES - Obligaciones Emitidas - Obligaciones Financieras                              </t>
  </si>
  <si>
    <t xml:space="preserve">4539      </t>
  </si>
  <si>
    <t xml:space="preserve">OTROS OBLIGACIONES - Obligaciones Emitidas - Obligaciones Financieras                               </t>
  </si>
  <si>
    <t xml:space="preserve">454       </t>
  </si>
  <si>
    <t xml:space="preserve">OTROS INSTRUMENTOS FINANCIEROS POR PAGAR - Obligaciones Financieras                                 </t>
  </si>
  <si>
    <t xml:space="preserve">4541      </t>
  </si>
  <si>
    <t xml:space="preserve">LETRAS - Otros Instrumentos Financieros Por Pagar - Obligaciones Financieras                        </t>
  </si>
  <si>
    <t xml:space="preserve">4542      </t>
  </si>
  <si>
    <t xml:space="preserve">PAPELES COMERCIALES - Otros Instrumentos Financieros Por Pagar - Obligaciones Financieras           </t>
  </si>
  <si>
    <t xml:space="preserve">4543      </t>
  </si>
  <si>
    <t xml:space="preserve">BONOS - Otros Instrumentos Financieros Por Pagar - Obligaciones Financieras                         </t>
  </si>
  <si>
    <t xml:space="preserve">4544      </t>
  </si>
  <si>
    <t xml:space="preserve">PAGARES - Otros Instrumentos Financieros Por Pagar - Obligaciones Financieras                       </t>
  </si>
  <si>
    <t xml:space="preserve">4545      </t>
  </si>
  <si>
    <t xml:space="preserve">FACTURAS CONFORMADAS - Otros Instrumentos Financieros Por Pagar - Obligaciones Financieras          </t>
  </si>
  <si>
    <t xml:space="preserve">4549      </t>
  </si>
  <si>
    <t>OTRAS OBLIGACIONES FINANCIERAS - Otros Instrumentos Financieros Por Pagar - Obligaciones Financieras</t>
  </si>
  <si>
    <t xml:space="preserve">455       </t>
  </si>
  <si>
    <t xml:space="preserve">COSTOS DE FINANCIACION POR PAGAR - Obligaciones Financieras                                         </t>
  </si>
  <si>
    <t xml:space="preserve">4551      </t>
  </si>
  <si>
    <t xml:space="preserve">PRESTAMOS DE INSTITUCIONES FINANCIERAS Y OTRAS ENTIDADES - Costo de Financiación                    </t>
  </si>
  <si>
    <t xml:space="preserve">45511     </t>
  </si>
  <si>
    <t xml:space="preserve">INSTITUCIONES FINANCIERAS - Préstamos - Costo De Financiacion Por Pagar  - Obligaciones Financieras </t>
  </si>
  <si>
    <t xml:space="preserve">45512     </t>
  </si>
  <si>
    <t xml:space="preserve">OTRAS ENTIDADES - Préstamos  - Costo De Financiacion Por Pagar - Obligaciones Financieras           </t>
  </si>
  <si>
    <t xml:space="preserve">4552      </t>
  </si>
  <si>
    <t xml:space="preserve">CONTRATOS DE ARRENDAMIENTO FINANCIERO - Préstamos - Costos De Financiacion Por Pagar                </t>
  </si>
  <si>
    <t xml:space="preserve">45521     </t>
  </si>
  <si>
    <t xml:space="preserve">4553      </t>
  </si>
  <si>
    <t xml:space="preserve">45531     </t>
  </si>
  <si>
    <t>BONOS EMITIDOS - Obligaciones Emitidas - Costos De Financiación Por Pagar - Obligaciones Financieras</t>
  </si>
  <si>
    <t xml:space="preserve">45532     </t>
  </si>
  <si>
    <t xml:space="preserve">BONOS TITULIZADOS - Obligaciones Emitidas - Costos De Financiación Por Pagar                        </t>
  </si>
  <si>
    <t xml:space="preserve">45533     </t>
  </si>
  <si>
    <t xml:space="preserve">PAPELES COMERCIALES -Obligaciones Emitidas - Costos De Financiación Por Pagar                       </t>
  </si>
  <si>
    <t xml:space="preserve">45539     </t>
  </si>
  <si>
    <t xml:space="preserve">OTRAS OBLIGACIONES Obligaciones Emitidas - Costos De Financiación Por Pagar                         </t>
  </si>
  <si>
    <t xml:space="preserve">4554      </t>
  </si>
  <si>
    <t xml:space="preserve">OTROS INSTRUMENTOS FINANCIEROS POR PAGAR                                                            </t>
  </si>
  <si>
    <t xml:space="preserve">45541     </t>
  </si>
  <si>
    <t xml:space="preserve">LETRAS - Otros Instrumentos Financieros Por Pagar - Costos De Financiación Por Pagar                </t>
  </si>
  <si>
    <t xml:space="preserve">45542     </t>
  </si>
  <si>
    <t xml:space="preserve">PAPELES COMERCIALES - Otros Instrumentos Financieros Por Pagar - Costos De Financiación Por Pagarj  </t>
  </si>
  <si>
    <t xml:space="preserve">45543     </t>
  </si>
  <si>
    <t xml:space="preserve">BONOS - Otros Instrumentos Financieros Por Pagar - Costos De Financiación Por Pagar                 </t>
  </si>
  <si>
    <t xml:space="preserve">45544     </t>
  </si>
  <si>
    <t xml:space="preserve">PAGARÉS - Otros Instrumentos Financieros Por Pagar - Costos De Financiación Por Pagar               </t>
  </si>
  <si>
    <t xml:space="preserve">45545     </t>
  </si>
  <si>
    <t xml:space="preserve">FACTURAS CONFORMADAS - Otros Instrumentos Financieros Por Pagar - Costos De Financiación Por Pagar  </t>
  </si>
  <si>
    <t xml:space="preserve">45549     </t>
  </si>
  <si>
    <t xml:space="preserve">OTRAS OBLIGACIONES FINANCIERAS - Otros Instrumentos Financieros Por Pagar - Costos De Financiación  </t>
  </si>
  <si>
    <t xml:space="preserve">456       </t>
  </si>
  <si>
    <t xml:space="preserve">PRESTAMOS CON COMPROMISOS DE RECOMPRA                                                               </t>
  </si>
  <si>
    <t xml:space="preserve">4561      </t>
  </si>
  <si>
    <t xml:space="preserve">PRESTAMOS CON COMPROMISOS DE RECOMPRA - Obligaciones Financieras                                    </t>
  </si>
  <si>
    <t xml:space="preserve">46        </t>
  </si>
  <si>
    <t xml:space="preserve">CUENTAS POR PAGAR DIVERSAS - TERCEROS                                                               </t>
  </si>
  <si>
    <t xml:space="preserve">461       </t>
  </si>
  <si>
    <t xml:space="preserve">RECLAMACIONES DE TERCEROS                                                                           </t>
  </si>
  <si>
    <t xml:space="preserve">4611      </t>
  </si>
  <si>
    <t xml:space="preserve">RECLAMACIONES DE TERCEROS - Por Pagar  -Terceros                                                    </t>
  </si>
  <si>
    <t>P128</t>
  </si>
  <si>
    <t xml:space="preserve">464       </t>
  </si>
  <si>
    <t xml:space="preserve">PASIVOS POR INSTRUMENTOS FINANCIEROS                                                                </t>
  </si>
  <si>
    <t xml:space="preserve">4641      </t>
  </si>
  <si>
    <t xml:space="preserve">INSTRUMENTOS FINANCIEROS PRIMARIOS - Por Pagar -Terceros                                            </t>
  </si>
  <si>
    <t xml:space="preserve">46411     </t>
  </si>
  <si>
    <t xml:space="preserve">4642      </t>
  </si>
  <si>
    <t xml:space="preserve">INSTRUMENTOS FINANCIEROS DERIVADOS                                                                  </t>
  </si>
  <si>
    <t xml:space="preserve">46421     </t>
  </si>
  <si>
    <t xml:space="preserve">CARTERA DE NEGOCIACION  - Por Pagar -Terceros                                                       </t>
  </si>
  <si>
    <t xml:space="preserve">46422     </t>
  </si>
  <si>
    <t xml:space="preserve">INSTRUMENTOS DE COBERTURA  - Por Pagar -Terceros                                                    </t>
  </si>
  <si>
    <t xml:space="preserve">465       </t>
  </si>
  <si>
    <t xml:space="preserve">PASIVOS POR COMPRA DE ACTIVOS INMOVILIZADOS                                                         </t>
  </si>
  <si>
    <t xml:space="preserve">4651      </t>
  </si>
  <si>
    <t xml:space="preserve">INVERSIONES MOBILIARIAS - Por Pagar -Terceros                                                       </t>
  </si>
  <si>
    <t xml:space="preserve">4652      </t>
  </si>
  <si>
    <t xml:space="preserve">PROPIEDADES DE INVERSIÓN - Por Pagar -Terceros                                                      </t>
  </si>
  <si>
    <t xml:space="preserve">4653      </t>
  </si>
  <si>
    <t xml:space="preserve">ACTIVOS ADQUIRIDOS EN ARRENDAMIENTO FINANCIERO - Por Pagar -Terceros                                </t>
  </si>
  <si>
    <t xml:space="preserve">4654      </t>
  </si>
  <si>
    <t xml:space="preserve">PROPIEDAD, PLANTA Y EQUIPO - Por Pagar -Terceros                                                    </t>
  </si>
  <si>
    <t xml:space="preserve">4655      </t>
  </si>
  <si>
    <t xml:space="preserve">INTANGIBLES - Por Pagar -Tercerosa                                                                  </t>
  </si>
  <si>
    <t xml:space="preserve">4656      </t>
  </si>
  <si>
    <t xml:space="preserve">ACTIVOS BIOLÓGICOS - Por Pagar -Terceros                                                            </t>
  </si>
  <si>
    <t xml:space="preserve">466       </t>
  </si>
  <si>
    <t xml:space="preserve">PARTICIPACIÓN DE TERCEROS EN ACUERDOS CONJUNTOS                                                     </t>
  </si>
  <si>
    <t xml:space="preserve">4661      </t>
  </si>
  <si>
    <t xml:space="preserve">467       </t>
  </si>
  <si>
    <t xml:space="preserve">DEPOSITOS RECIBIDOS EN GARANTIA                                                                     </t>
  </si>
  <si>
    <t xml:space="preserve">4671      </t>
  </si>
  <si>
    <t xml:space="preserve">DEPOSITOS RECIBIDOS EN GARANTIA -Terceros                                                           </t>
  </si>
  <si>
    <t xml:space="preserve">469       </t>
  </si>
  <si>
    <t xml:space="preserve">OTRAS CUENTAS POR PAGAR DIVERSAS - Terceros                                                         </t>
  </si>
  <si>
    <t xml:space="preserve">4691      </t>
  </si>
  <si>
    <t xml:space="preserve">SUBSIDIOS GUBERNAMENTALES - Cuentas por Pagar Diversas -Terceros                                    </t>
  </si>
  <si>
    <t xml:space="preserve">4692      </t>
  </si>
  <si>
    <t xml:space="preserve">DONACIONES CONDICIONADAS - Cuentas por Pagar Diversas -Terceros                                     </t>
  </si>
  <si>
    <t xml:space="preserve">4699      </t>
  </si>
  <si>
    <t xml:space="preserve">OTRAS CUENTAS POR PAGAR - Cuentas por Pagar Diversas -Terceros                                      </t>
  </si>
  <si>
    <t xml:space="preserve">47        </t>
  </si>
  <si>
    <t xml:space="preserve">CUENTAS POR PAGAR DIVERSAS  - RELACIONADAS                                                          </t>
  </si>
  <si>
    <t xml:space="preserve">471       </t>
  </si>
  <si>
    <t xml:space="preserve">PRESTAMOS - Relacionadas                                                                            </t>
  </si>
  <si>
    <t xml:space="preserve">4711      </t>
  </si>
  <si>
    <t>P129</t>
  </si>
  <si>
    <t xml:space="preserve">472       </t>
  </si>
  <si>
    <t xml:space="preserve">COSTOS DE FINANCIACION - Relacionadas                                                               </t>
  </si>
  <si>
    <t xml:space="preserve">4721      </t>
  </si>
  <si>
    <t xml:space="preserve">473       </t>
  </si>
  <si>
    <t xml:space="preserve">4731      </t>
  </si>
  <si>
    <t xml:space="preserve">474       </t>
  </si>
  <si>
    <t xml:space="preserve">REGALIAS - Relacionadas                                                                             </t>
  </si>
  <si>
    <t xml:space="preserve">4741      </t>
  </si>
  <si>
    <t xml:space="preserve">475       </t>
  </si>
  <si>
    <t xml:space="preserve">DIVIDENDOS - Relacionadas                                                                           </t>
  </si>
  <si>
    <t xml:space="preserve">4751      </t>
  </si>
  <si>
    <t xml:space="preserve">476       </t>
  </si>
  <si>
    <t xml:space="preserve">4761      </t>
  </si>
  <si>
    <t xml:space="preserve">DEPOSITOS RECIBIDOS EN GARANTIAL                                                                    </t>
  </si>
  <si>
    <t xml:space="preserve">477       </t>
  </si>
  <si>
    <t xml:space="preserve">PASIVO POR COMPRA DE ACTIVO INMOVILIZADO  - Relacionadas                                            </t>
  </si>
  <si>
    <t xml:space="preserve">4771      </t>
  </si>
  <si>
    <t xml:space="preserve">INVERSIONES MOBILIARIAS  - Pasivo por compra de activo inmovilizado - Relacionadas                  </t>
  </si>
  <si>
    <t xml:space="preserve">4772      </t>
  </si>
  <si>
    <t xml:space="preserve">INVERSIONES INMOBILIARIAS - Pasivo por compra de activo inmovilizado - Relacionadas                 </t>
  </si>
  <si>
    <t xml:space="preserve">4773      </t>
  </si>
  <si>
    <t xml:space="preserve">ACTIVOS ADQUIRIDOS EN ARRENDAMIENTO FINANCIERO - Relacionadas                                       </t>
  </si>
  <si>
    <t xml:space="preserve">4774      </t>
  </si>
  <si>
    <t xml:space="preserve">PROPIEDAD, PLANTA Y EQUIPO - Relacionadas                                                           </t>
  </si>
  <si>
    <t xml:space="preserve">4775      </t>
  </si>
  <si>
    <t xml:space="preserve">INTANGIBLES  - Relacionadas                                                                         </t>
  </si>
  <si>
    <t xml:space="preserve">4776      </t>
  </si>
  <si>
    <t xml:space="preserve">ACTIVOS BIOLÓGICOS  - Relacionadas                                                                  </t>
  </si>
  <si>
    <t xml:space="preserve">479       </t>
  </si>
  <si>
    <t xml:space="preserve">OTRAS CUENTAS POR PAGAR DIVERSAS                                                                    </t>
  </si>
  <si>
    <t xml:space="preserve">4791      </t>
  </si>
  <si>
    <t xml:space="preserve">OTRAS CUENTAS POR PAGAR DIVERSAS  - Relacionadas                                                    </t>
  </si>
  <si>
    <t xml:space="preserve">48        </t>
  </si>
  <si>
    <t xml:space="preserve">PROVISIONES                                                                                         </t>
  </si>
  <si>
    <t xml:space="preserve">481       </t>
  </si>
  <si>
    <t xml:space="preserve">PROVISION PARA LITIGIOS                                                                             </t>
  </si>
  <si>
    <t xml:space="preserve">4811      </t>
  </si>
  <si>
    <t>P135</t>
  </si>
  <si>
    <t xml:space="preserve">482       </t>
  </si>
  <si>
    <t xml:space="preserve">PROVISIÓN POR DESMANTELAMIENTO, RETIRO O REHABILITACIÓN DEL INMOVILIZADO                            </t>
  </si>
  <si>
    <t xml:space="preserve">4821      </t>
  </si>
  <si>
    <t xml:space="preserve">483       </t>
  </si>
  <si>
    <t xml:space="preserve">PROVISION PARA REESTRUCTURACIONES                                                                   </t>
  </si>
  <si>
    <t xml:space="preserve">4831      </t>
  </si>
  <si>
    <t xml:space="preserve">484       </t>
  </si>
  <si>
    <t xml:space="preserve">PROVISIÓN PARA PROTECCIÓN Y REMEDIACIÓN DEL MEDIO AMBIENTE                                          </t>
  </si>
  <si>
    <t xml:space="preserve">4841      </t>
  </si>
  <si>
    <t xml:space="preserve">485       </t>
  </si>
  <si>
    <t xml:space="preserve">PROVISIÓN PARA GASTOS DE RESPONSABILIDAD SOCIAL                                                     </t>
  </si>
  <si>
    <t xml:space="preserve">4851      </t>
  </si>
  <si>
    <t xml:space="preserve">486       </t>
  </si>
  <si>
    <t xml:space="preserve">PROVISIÓN PARA GARANTIAS                                                                            </t>
  </si>
  <si>
    <t xml:space="preserve">4861      </t>
  </si>
  <si>
    <t xml:space="preserve">487       </t>
  </si>
  <si>
    <t xml:space="preserve">PROVISIÓN DE ACTIVOS POR DERECHO DE USO                                                             </t>
  </si>
  <si>
    <t xml:space="preserve">4871      </t>
  </si>
  <si>
    <t xml:space="preserve">489       </t>
  </si>
  <si>
    <t xml:space="preserve">OTRAS PROVISIONES                                                                                   </t>
  </si>
  <si>
    <t xml:space="preserve">4891      </t>
  </si>
  <si>
    <t xml:space="preserve">49        </t>
  </si>
  <si>
    <t xml:space="preserve">PASIVO DIFERIDO                                                                                     </t>
  </si>
  <si>
    <t xml:space="preserve">491       </t>
  </si>
  <si>
    <t xml:space="preserve">4911      </t>
  </si>
  <si>
    <t xml:space="preserve">IMPUESTO A LA RENTA DIFERIDO - PATRIMONIO - Pasivo Diferido                                         </t>
  </si>
  <si>
    <t>P141</t>
  </si>
  <si>
    <t xml:space="preserve">4912      </t>
  </si>
  <si>
    <t xml:space="preserve">IMPUESTO A LA RENTA DIFERIDO - RESULTADOS - Pasivo Diferido                                         </t>
  </si>
  <si>
    <t xml:space="preserve">492       </t>
  </si>
  <si>
    <t xml:space="preserve">4921      </t>
  </si>
  <si>
    <t xml:space="preserve">PARTICIPACIONES DE LOS TRABAJADORES DIFERIDAS - PATRIMONIO - Pasivo Diferido                        </t>
  </si>
  <si>
    <t xml:space="preserve">4922      </t>
  </si>
  <si>
    <t xml:space="preserve">PARTICIPACIONES DE LOS TRABAJADORES DIFERIDAS - RESULTADOS - Pasivo Diferido                        </t>
  </si>
  <si>
    <t xml:space="preserve">493       </t>
  </si>
  <si>
    <t xml:space="preserve">4931      </t>
  </si>
  <si>
    <t xml:space="preserve">INTERESES NO DEVENGADOS EN TRANSACCIONES CON TERCEROS - Intereses Diferidos - Pasivo Diferido       </t>
  </si>
  <si>
    <t xml:space="preserve">4932      </t>
  </si>
  <si>
    <t xml:space="preserve">INTERESES NO DEVENGADOS EN MEDICIÓN A VALOR DESCONTADO - Intereses Diferidos - Pasivo Diferido      </t>
  </si>
  <si>
    <t xml:space="preserve">494       </t>
  </si>
  <si>
    <t xml:space="preserve">GANANCIA EN VENTA CON ARRENDAMIENTO FINANCIERO PARALELO                                             </t>
  </si>
  <si>
    <t xml:space="preserve">4941      </t>
  </si>
  <si>
    <t xml:space="preserve">GANANCIA EN VENTA CON ARRENDAMIENTO FINANCIERO PARALELO  - Pasivo Diferido                          </t>
  </si>
  <si>
    <t xml:space="preserve">495       </t>
  </si>
  <si>
    <t xml:space="preserve">SUBSIDIOS RECIBIDOS DIFERIDOS                                                                       </t>
  </si>
  <si>
    <t xml:space="preserve">4951      </t>
  </si>
  <si>
    <t xml:space="preserve">SUBSIDIOS RECIBIDOS DIFERIDOS  - Pasivo Diferido                                                    </t>
  </si>
  <si>
    <t xml:space="preserve">496       </t>
  </si>
  <si>
    <t xml:space="preserve">INGRESOS DIFERIDOS                                                                                  </t>
  </si>
  <si>
    <t xml:space="preserve">4961      </t>
  </si>
  <si>
    <t xml:space="preserve">INGRESOS DIFERIDOS  - Pasivo Diferido                                                               </t>
  </si>
  <si>
    <t xml:space="preserve">497       </t>
  </si>
  <si>
    <t xml:space="preserve">COSTOS DIFERIDOS                                                                                    </t>
  </si>
  <si>
    <t xml:space="preserve">4971      </t>
  </si>
  <si>
    <t xml:space="preserve">COSTOS DIFERIDOS  - Pasivo Diferido                                                                 </t>
  </si>
  <si>
    <t xml:space="preserve">50        </t>
  </si>
  <si>
    <t xml:space="preserve">CAPITAL                                                                                             </t>
  </si>
  <si>
    <t xml:space="preserve">501       </t>
  </si>
  <si>
    <t xml:space="preserve">CAPITAL SOCIAL                                                                                      </t>
  </si>
  <si>
    <t xml:space="preserve">5011      </t>
  </si>
  <si>
    <t xml:space="preserve">ACCIONES - Capital Social                                                                           </t>
  </si>
  <si>
    <t>P505</t>
  </si>
  <si>
    <t xml:space="preserve">5012      </t>
  </si>
  <si>
    <t xml:space="preserve">PARTICIPACIONES - Capital Social                                                                    </t>
  </si>
  <si>
    <t xml:space="preserve">502       </t>
  </si>
  <si>
    <t xml:space="preserve">ACCIONES EN TESORERIA                                                                               </t>
  </si>
  <si>
    <t xml:space="preserve">5021      </t>
  </si>
  <si>
    <t xml:space="preserve">51        </t>
  </si>
  <si>
    <t xml:space="preserve">ACCIONES DE INVERSION                                                                               </t>
  </si>
  <si>
    <t xml:space="preserve">511       </t>
  </si>
  <si>
    <t xml:space="preserve">5111      </t>
  </si>
  <si>
    <t>P507</t>
  </si>
  <si>
    <t xml:space="preserve">512       </t>
  </si>
  <si>
    <t xml:space="preserve">ACCIONES DE INVERSION EN TESORERIA                                                                  </t>
  </si>
  <si>
    <t xml:space="preserve">5121      </t>
  </si>
  <si>
    <t xml:space="preserve">52        </t>
  </si>
  <si>
    <t xml:space="preserve">CAPITAL ADICIONAL                                                                                   </t>
  </si>
  <si>
    <t xml:space="preserve">521       </t>
  </si>
  <si>
    <t xml:space="preserve">PRIMAS (DESCUENTO) DE ACCIONES                                                                      </t>
  </si>
  <si>
    <t xml:space="preserve">5211      </t>
  </si>
  <si>
    <t>P510</t>
  </si>
  <si>
    <t xml:space="preserve">522       </t>
  </si>
  <si>
    <t xml:space="preserve">CAPITALIZACIONES EN TRAMITE                                                                         </t>
  </si>
  <si>
    <t xml:space="preserve">5221      </t>
  </si>
  <si>
    <t xml:space="preserve">APORTES - Capitalizaciones en Trámite                                                               </t>
  </si>
  <si>
    <t xml:space="preserve">5222      </t>
  </si>
  <si>
    <t xml:space="preserve">RESERVAS - Capitalizaciones en Trámite                                                              </t>
  </si>
  <si>
    <t xml:space="preserve">5223      </t>
  </si>
  <si>
    <t xml:space="preserve">ACREENCIAS - Capitalizaciones en Trámite                                                            </t>
  </si>
  <si>
    <t xml:space="preserve">5224      </t>
  </si>
  <si>
    <t xml:space="preserve">UTILIDADES - Capitalizaciones en Trámite                                                            </t>
  </si>
  <si>
    <t xml:space="preserve">523       </t>
  </si>
  <si>
    <t xml:space="preserve">REDUCCIONES DE CAPITAL PENDIENTES DE FORMALIZACION                                                  </t>
  </si>
  <si>
    <t xml:space="preserve">5231      </t>
  </si>
  <si>
    <t xml:space="preserve">56        </t>
  </si>
  <si>
    <t xml:space="preserve">RESULTADOS NO REALIZADOS                                                                            </t>
  </si>
  <si>
    <t xml:space="preserve">561       </t>
  </si>
  <si>
    <t xml:space="preserve">DIFERENCIA EN CAMBIO DE INVERSIONES PERMANENTES EN ENTIDADES EXTRANJERAS                            </t>
  </si>
  <si>
    <t xml:space="preserve">5611      </t>
  </si>
  <si>
    <t>P511</t>
  </si>
  <si>
    <t xml:space="preserve">562       </t>
  </si>
  <si>
    <t xml:space="preserve">INSTRUMENTOS FINANCIEROS - COBERTURAS                                                               </t>
  </si>
  <si>
    <t xml:space="preserve">5621      </t>
  </si>
  <si>
    <t xml:space="preserve">563       </t>
  </si>
  <si>
    <t xml:space="preserve">RESULTADOS EN ACTIVOS O PASIVOS FINANCIEROS MANTENIDOS PARA NEGOCIACIÓN                             </t>
  </si>
  <si>
    <t xml:space="preserve">5631      </t>
  </si>
  <si>
    <t xml:space="preserve">GANANCIA - En Activos o Pasivos Financieros Mantenidos para Negociación                             </t>
  </si>
  <si>
    <t xml:space="preserve">5632      </t>
  </si>
  <si>
    <t xml:space="preserve">PERDIDA -  En Activos o Pasivos Financieros Mantenidos para Negociación                             </t>
  </si>
  <si>
    <t xml:space="preserve">564       </t>
  </si>
  <si>
    <t xml:space="preserve">RESULTADO EN OTROS ACTIVOS O PASIVOS POR INVERSIONES FINANCIERAS                                    </t>
  </si>
  <si>
    <t xml:space="preserve">5641      </t>
  </si>
  <si>
    <t xml:space="preserve">GANANCIA - En otros Activos o Pasivos por Inversiones Financieras                                   </t>
  </si>
  <si>
    <t xml:space="preserve">5642      </t>
  </si>
  <si>
    <t xml:space="preserve">PERDIDA - En otros Activos o Pasivos por Inversiones Financieras                                    </t>
  </si>
  <si>
    <t xml:space="preserve">565       </t>
  </si>
  <si>
    <t>RESULT EN ACT O PAS FINANC MANTENIDOS PARA LA NEGOCIACIÓN - COMPRA O VENTA CONVENC FECHA LIQUIDACION</t>
  </si>
  <si>
    <t xml:space="preserve">5651      </t>
  </si>
  <si>
    <t>GANANCIA - En activo o pasivo financiero mant para la venta o compra convencional fecha de liquidaci</t>
  </si>
  <si>
    <t xml:space="preserve">5652      </t>
  </si>
  <si>
    <t xml:space="preserve">PERDIDA - En activo o pasivo financiero mant para la venta o compra convencional fecha de liquidaci </t>
  </si>
  <si>
    <t xml:space="preserve">57        </t>
  </si>
  <si>
    <t xml:space="preserve">EXCEDENTE DE REVALUACION                                                                            </t>
  </si>
  <si>
    <t xml:space="preserve">571       </t>
  </si>
  <si>
    <t xml:space="preserve">5711      </t>
  </si>
  <si>
    <t xml:space="preserve">PROPIEDAD DE INVERSIÓN - Excedente de Revaluación                                                   </t>
  </si>
  <si>
    <t xml:space="preserve">57111     </t>
  </si>
  <si>
    <t xml:space="preserve">ADQUISICIÓN DIRECTA - Propiedades de Inversión - Excedente de Revaluación                           </t>
  </si>
  <si>
    <t>P515</t>
  </si>
  <si>
    <t xml:space="preserve">57112     </t>
  </si>
  <si>
    <t xml:space="preserve">ARRENDAMIENTO FINANCIERO -  Propiedades de Inversión - Excedente de Revaluación                     </t>
  </si>
  <si>
    <t xml:space="preserve">5712      </t>
  </si>
  <si>
    <t xml:space="preserve">PROPIEDAD, PLANTA Y EQUIPO - Excedente de Revaluación                                               </t>
  </si>
  <si>
    <t xml:space="preserve">57121     </t>
  </si>
  <si>
    <t xml:space="preserve">ADQUISICIÓN DIRECTA -  Propiedad, Planta y Equipo - Excedente de Revaluación                        </t>
  </si>
  <si>
    <t xml:space="preserve">57122     </t>
  </si>
  <si>
    <t xml:space="preserve">ARRENDAMIENTO FINANCIERO - Propiedad, Planta y Equipo - Excedente de Revaluación                    </t>
  </si>
  <si>
    <t xml:space="preserve">5713      </t>
  </si>
  <si>
    <t xml:space="preserve">INTANGIBLES - Excedente de Revaluación                                                              </t>
  </si>
  <si>
    <t xml:space="preserve">57131     </t>
  </si>
  <si>
    <t xml:space="preserve">5714      </t>
  </si>
  <si>
    <t xml:space="preserve">ACTIVOS POR DERECHO DE USO - Arrendamiento Operativo - Excedentes de Revaluación                    </t>
  </si>
  <si>
    <t xml:space="preserve">57141     </t>
  </si>
  <si>
    <t xml:space="preserve">572       </t>
  </si>
  <si>
    <t xml:space="preserve">EXCEDENTE DE REVALUACIÓN - ACCIONES LIBERADAS RECIBIDAS                                             </t>
  </si>
  <si>
    <t xml:space="preserve">5721      </t>
  </si>
  <si>
    <t xml:space="preserve">573       </t>
  </si>
  <si>
    <t xml:space="preserve">PARTICIPACIÓN EN EXCEDENTE DE REVALUACIÓN - INVERSIONES EN ENTIDADES RELACIONADAS                   </t>
  </si>
  <si>
    <t xml:space="preserve">5731      </t>
  </si>
  <si>
    <t xml:space="preserve">58        </t>
  </si>
  <si>
    <t xml:space="preserve">RESERVAS                                                                                            </t>
  </si>
  <si>
    <t xml:space="preserve">581       </t>
  </si>
  <si>
    <t xml:space="preserve">REINVERSION - Reservas                                                                              </t>
  </si>
  <si>
    <t xml:space="preserve">5811      </t>
  </si>
  <si>
    <t>P520</t>
  </si>
  <si>
    <t xml:space="preserve">582       </t>
  </si>
  <si>
    <t xml:space="preserve">LEGAL - Reservas                                                                                    </t>
  </si>
  <si>
    <t xml:space="preserve">5821      </t>
  </si>
  <si>
    <t xml:space="preserve">583       </t>
  </si>
  <si>
    <t xml:space="preserve">CONTRACTUALES - Reservas                                                                            </t>
  </si>
  <si>
    <t xml:space="preserve">5831      </t>
  </si>
  <si>
    <t xml:space="preserve">584       </t>
  </si>
  <si>
    <t xml:space="preserve">ESTATUARIAS - Reservas                                                                              </t>
  </si>
  <si>
    <t xml:space="preserve">5841      </t>
  </si>
  <si>
    <t xml:space="preserve">585       </t>
  </si>
  <si>
    <t xml:space="preserve">FACULTATIVAS - Reservas                                                                             </t>
  </si>
  <si>
    <t xml:space="preserve">5851      </t>
  </si>
  <si>
    <t xml:space="preserve">589       </t>
  </si>
  <si>
    <t xml:space="preserve">OTRAS RESERVAS                                                                                      </t>
  </si>
  <si>
    <t xml:space="preserve">5891      </t>
  </si>
  <si>
    <t xml:space="preserve">59        </t>
  </si>
  <si>
    <t xml:space="preserve">RESULTADOS ACUMULADOS                                                                               </t>
  </si>
  <si>
    <t xml:space="preserve">591       </t>
  </si>
  <si>
    <t xml:space="preserve">UTILIDADES NO DISTRIBUIDAS                                                                          </t>
  </si>
  <si>
    <t xml:space="preserve">5911      </t>
  </si>
  <si>
    <t xml:space="preserve">UTILIDADES ACUMULADAS                                                                               </t>
  </si>
  <si>
    <t xml:space="preserve">59111     </t>
  </si>
  <si>
    <t>P530</t>
  </si>
  <si>
    <t xml:space="preserve">59114     </t>
  </si>
  <si>
    <t xml:space="preserve">RESULTADO MENSUAL - Control                                                                         </t>
  </si>
  <si>
    <t>P540</t>
  </si>
  <si>
    <t xml:space="preserve">59118     </t>
  </si>
  <si>
    <t xml:space="preserve">CARGO - Patrimonio - Control                                                                        </t>
  </si>
  <si>
    <t xml:space="preserve">59119     </t>
  </si>
  <si>
    <t xml:space="preserve">ABONO - Patrimonio - Control                                                                        </t>
  </si>
  <si>
    <t xml:space="preserve">5912      </t>
  </si>
  <si>
    <t xml:space="preserve">INGRESOS DE AÑOS ANTERIORES                                                                         </t>
  </si>
  <si>
    <t xml:space="preserve">59121     </t>
  </si>
  <si>
    <t xml:space="preserve">592       </t>
  </si>
  <si>
    <t xml:space="preserve">PERDIDAS ACUMULADAS                                                                                 </t>
  </si>
  <si>
    <t xml:space="preserve">5921      </t>
  </si>
  <si>
    <t>P531</t>
  </si>
  <si>
    <t xml:space="preserve">5922      </t>
  </si>
  <si>
    <t xml:space="preserve">GASTOS DE AÑOS ANTERIORES                                                                           </t>
  </si>
  <si>
    <t xml:space="preserve">60        </t>
  </si>
  <si>
    <t xml:space="preserve">COMPRAS                                                                                             </t>
  </si>
  <si>
    <t>Naturaleza</t>
  </si>
  <si>
    <t xml:space="preserve">601       </t>
  </si>
  <si>
    <t xml:space="preserve">6011      </t>
  </si>
  <si>
    <t xml:space="preserve">6011020   </t>
  </si>
  <si>
    <t xml:space="preserve">MERCADERIAS  - Compras                                                                              </t>
  </si>
  <si>
    <t xml:space="preserve">6111020   </t>
  </si>
  <si>
    <t xml:space="preserve">602       </t>
  </si>
  <si>
    <t xml:space="preserve">6021      </t>
  </si>
  <si>
    <t xml:space="preserve">MATERIAS PRIMAS - Compras                                                                           </t>
  </si>
  <si>
    <t xml:space="preserve">6021024   </t>
  </si>
  <si>
    <t xml:space="preserve">6121024   </t>
  </si>
  <si>
    <t xml:space="preserve">603       </t>
  </si>
  <si>
    <t xml:space="preserve">MATERIALES AUXILIARES,SUMINISTROS Y REPUESTOS                                                       </t>
  </si>
  <si>
    <t xml:space="preserve">6031      </t>
  </si>
  <si>
    <t xml:space="preserve">6031025   </t>
  </si>
  <si>
    <t xml:space="preserve">MATERIALES AUXILIARES - Compras                                                                     </t>
  </si>
  <si>
    <t xml:space="preserve">6131025   </t>
  </si>
  <si>
    <t xml:space="preserve">6032      </t>
  </si>
  <si>
    <t xml:space="preserve">603202521 </t>
  </si>
  <si>
    <t xml:space="preserve">SUMINISTROS COMBUSTIBLES - Compras                                                                  </t>
  </si>
  <si>
    <t xml:space="preserve">6132025   </t>
  </si>
  <si>
    <t xml:space="preserve">603202522 </t>
  </si>
  <si>
    <t xml:space="preserve">SUMINISTROS LUBRICANTES - Compras                                                                   </t>
  </si>
  <si>
    <t xml:space="preserve">603202523 </t>
  </si>
  <si>
    <t xml:space="preserve">SUMINISTROS ENERGIA - Compras                                                                       </t>
  </si>
  <si>
    <t xml:space="preserve">603202524 </t>
  </si>
  <si>
    <t xml:space="preserve">OTROS SUMINISTROS - Compras                                                                         </t>
  </si>
  <si>
    <t xml:space="preserve">6033      </t>
  </si>
  <si>
    <t xml:space="preserve">6033025   </t>
  </si>
  <si>
    <t xml:space="preserve">REPUESTOS - Compras                                                                                 </t>
  </si>
  <si>
    <t xml:space="preserve">6133025   </t>
  </si>
  <si>
    <t xml:space="preserve">604       </t>
  </si>
  <si>
    <t xml:space="preserve">6041      </t>
  </si>
  <si>
    <t xml:space="preserve">6041026   </t>
  </si>
  <si>
    <t xml:space="preserve">ENVASES - Compras                                                                                   </t>
  </si>
  <si>
    <t xml:space="preserve">6141026   </t>
  </si>
  <si>
    <t xml:space="preserve">6042      </t>
  </si>
  <si>
    <t xml:space="preserve">6042026   </t>
  </si>
  <si>
    <t xml:space="preserve">EMBALAJES - Compras                                                                                 </t>
  </si>
  <si>
    <t xml:space="preserve">6142026   </t>
  </si>
  <si>
    <t xml:space="preserve">609       </t>
  </si>
  <si>
    <t xml:space="preserve">COSTOS VINCULADOS CON LAS COMPRAS                                                                   </t>
  </si>
  <si>
    <t xml:space="preserve">6091      </t>
  </si>
  <si>
    <t xml:space="preserve">COSTOS VINCULADOS CON LAS COMPRAS DE MERCADERIAS                                                    </t>
  </si>
  <si>
    <t xml:space="preserve">60911     </t>
  </si>
  <si>
    <t xml:space="preserve">TRANSPORTE  - Costos Vinculados Con las Compras                                                     </t>
  </si>
  <si>
    <t xml:space="preserve">60911201  </t>
  </si>
  <si>
    <t xml:space="preserve">TRANSPORTE - Costos Vinculados Con las Compras  - mercaderia                                        </t>
  </si>
  <si>
    <t xml:space="preserve">60912     </t>
  </si>
  <si>
    <t xml:space="preserve">SEGUROS  - Costos Vinculados Con las Compras                                                        </t>
  </si>
  <si>
    <t xml:space="preserve">60912201  </t>
  </si>
  <si>
    <t xml:space="preserve">SEGUROS - Costos Vinculados Con las Compras  - mercadería                                           </t>
  </si>
  <si>
    <t xml:space="preserve">60913     </t>
  </si>
  <si>
    <t xml:space="preserve">DERECHOS ADUANEROS  - Costos Vinculados Con las Compras                                             </t>
  </si>
  <si>
    <t xml:space="preserve">60913201  </t>
  </si>
  <si>
    <t xml:space="preserve">DERECHOS ADUANEROS - Costos Vinculados Con las Compras  - mercadería                                </t>
  </si>
  <si>
    <t xml:space="preserve">60914     </t>
  </si>
  <si>
    <t xml:space="preserve">COMISIONES  - Costos Vinculados Con las Compras                                                     </t>
  </si>
  <si>
    <t xml:space="preserve">60914201  </t>
  </si>
  <si>
    <t xml:space="preserve">COMISIONES - Costos Vinculados Con las Compras  - mercadería                                        </t>
  </si>
  <si>
    <t xml:space="preserve">60919     </t>
  </si>
  <si>
    <t xml:space="preserve">OTROS COSTOS VINCULADOS CON LAS COMPRAS MERCADERIA - mercaderia                                     </t>
  </si>
  <si>
    <t xml:space="preserve">60919201  </t>
  </si>
  <si>
    <t xml:space="preserve">6092      </t>
  </si>
  <si>
    <t xml:space="preserve">COSTOS VINCULADOS CON LAS COMPRAS DE MATERIAS PRIMAS                                                </t>
  </si>
  <si>
    <t xml:space="preserve">60921     </t>
  </si>
  <si>
    <t xml:space="preserve">TRANSPORTE - Costos Vinculados con las Compras de Materias Primas                                   </t>
  </si>
  <si>
    <t xml:space="preserve">60921241  </t>
  </si>
  <si>
    <t xml:space="preserve">TRANSPORTE - Costos Vinculados con las Compras de Materia Prima                                     </t>
  </si>
  <si>
    <t xml:space="preserve">60922     </t>
  </si>
  <si>
    <t xml:space="preserve">SEGUROS - Costos Vinculados con las Compras de Materias Primas                                      </t>
  </si>
  <si>
    <t xml:space="preserve">60922241  </t>
  </si>
  <si>
    <t xml:space="preserve">SEGUROS - Costos Vinculados con las Compras de Materia Prima                                        </t>
  </si>
  <si>
    <t xml:space="preserve">60923     </t>
  </si>
  <si>
    <t xml:space="preserve">DERECHOS ADUANEROS - Costos Vinculados con las Compras de Materias Primas                           </t>
  </si>
  <si>
    <t xml:space="preserve">60923241  </t>
  </si>
  <si>
    <t xml:space="preserve">DERECHOS ADUANEROS - Costos Vinculados con las Compras de Materia Prima                             </t>
  </si>
  <si>
    <t xml:space="preserve">60924     </t>
  </si>
  <si>
    <t xml:space="preserve">COMISIONES - Costos Vinculados con las Compras de Materias Primas                                   </t>
  </si>
  <si>
    <t xml:space="preserve">60924241  </t>
  </si>
  <si>
    <t xml:space="preserve">COMISIONES - Costos Vinculados con las Compras de Materia Prima                                     </t>
  </si>
  <si>
    <t xml:space="preserve">60925     </t>
  </si>
  <si>
    <t xml:space="preserve">OTROS COSTOS VINCULADOS CON LAS COMPRAS DE  MATERIAS PRIMAS                                         </t>
  </si>
  <si>
    <t xml:space="preserve">60925241  </t>
  </si>
  <si>
    <t xml:space="preserve">6093      </t>
  </si>
  <si>
    <t xml:space="preserve">COSTOS VINCULADOS CON LAS COMPRAS DE MATERIALES, SUMINISTROS Y REPUESTOS                            </t>
  </si>
  <si>
    <t xml:space="preserve">60931     </t>
  </si>
  <si>
    <t xml:space="preserve">TRANSPORTE - Costos Vinculados con las Compras de Materiales, Suministros y Repuestos               </t>
  </si>
  <si>
    <t xml:space="preserve">60931251  </t>
  </si>
  <si>
    <t xml:space="preserve">TRANSPORTE - Costos Vinculados con las Compras de Materiales Auxiliares                             </t>
  </si>
  <si>
    <t xml:space="preserve">609312521 </t>
  </si>
  <si>
    <t xml:space="preserve">TRANSPORTE - Costos Vinculados con las Compras de Suministros - Combustibles                        </t>
  </si>
  <si>
    <t xml:space="preserve">609312522 </t>
  </si>
  <si>
    <t xml:space="preserve">TRANSPORTE - Costos Vinculados con las Compras de Suministros - Lubricantes                         </t>
  </si>
  <si>
    <t xml:space="preserve">609312523 </t>
  </si>
  <si>
    <t xml:space="preserve">TRANSPORTE - Costos Vinculados con las Compras de Suministros - Energía                             </t>
  </si>
  <si>
    <t xml:space="preserve">609312524 </t>
  </si>
  <si>
    <t xml:space="preserve">TRANSPORTE - Costos Vinculados con las Compras de Otros Suministros                                 </t>
  </si>
  <si>
    <t xml:space="preserve">60931253  </t>
  </si>
  <si>
    <t xml:space="preserve">TRANSPORTE - Costos Vinculados con las Compras de Repuestos                                         </t>
  </si>
  <si>
    <t xml:space="preserve">60932     </t>
  </si>
  <si>
    <t xml:space="preserve">SEGUROS  - Costos Vinculados con las Compras de Materiales, Suministros y Repuestos                 </t>
  </si>
  <si>
    <t xml:space="preserve">60932251  </t>
  </si>
  <si>
    <t xml:space="preserve">SEGUROS - Costos Vinculados con las Compras de Materiales Auxiliares                                </t>
  </si>
  <si>
    <t xml:space="preserve">609322521 </t>
  </si>
  <si>
    <t xml:space="preserve">SEGUROS - Costos Vinculados con las Compras de Suministros - Combustibles                           </t>
  </si>
  <si>
    <t xml:space="preserve">609322522 </t>
  </si>
  <si>
    <t xml:space="preserve">SEGUROS - Costos Vinculados con las Compras de Suministros - Lubricantes                            </t>
  </si>
  <si>
    <t xml:space="preserve">609322523 </t>
  </si>
  <si>
    <t xml:space="preserve">SEGUROS - Costos Vinculados con las Compras de Suministros - Energía                                </t>
  </si>
  <si>
    <t xml:space="preserve">609322524 </t>
  </si>
  <si>
    <t xml:space="preserve">SEGUROS - Costos Vinculados con las Compras de Otros Suministros                                    </t>
  </si>
  <si>
    <t xml:space="preserve">60932253  </t>
  </si>
  <si>
    <t xml:space="preserve">SEGUROS - Costos Vinculados con las Compras de Repuestos                                            </t>
  </si>
  <si>
    <t xml:space="preserve">60933     </t>
  </si>
  <si>
    <t xml:space="preserve">DERECHOS ADUANEROS  - Costos Vinculados con las Compras de Materiales, Suministros y Repuestos      </t>
  </si>
  <si>
    <t xml:space="preserve">60933251  </t>
  </si>
  <si>
    <t xml:space="preserve">DERECHOS ADUANEROS - Costos Vinculados con las Compras de Materiales Auxiliares                     </t>
  </si>
  <si>
    <t xml:space="preserve">609332521 </t>
  </si>
  <si>
    <t xml:space="preserve">DERECHOS ADUANEROS - Costos Vinculados con las Compras de Suministros - Combustibles                </t>
  </si>
  <si>
    <t xml:space="preserve">609332522 </t>
  </si>
  <si>
    <t xml:space="preserve">DERECHOS ADUANEROS - Costos Vinculados con las Compras de Suministros - Lubricantes                 </t>
  </si>
  <si>
    <t xml:space="preserve">609332523 </t>
  </si>
  <si>
    <t xml:space="preserve">DERECHOS ADUANEROS - Costos Vinculados con las Compras de Suministros - Energía                     </t>
  </si>
  <si>
    <t xml:space="preserve">609332524 </t>
  </si>
  <si>
    <t xml:space="preserve">DERECHOS ADUANEROS - Costos Vinculados con las Compras de Otros Suministros                         </t>
  </si>
  <si>
    <t xml:space="preserve">60933253  </t>
  </si>
  <si>
    <t xml:space="preserve">DERECHOS ADUANEROS - Costos Vinculados con las Compras de Repuestos                                 </t>
  </si>
  <si>
    <t xml:space="preserve">60934     </t>
  </si>
  <si>
    <t xml:space="preserve">COMISIONES  - Costos Vinculados con las Compras de Materiales, Suministros y Repuestos              </t>
  </si>
  <si>
    <t xml:space="preserve">60934251  </t>
  </si>
  <si>
    <t xml:space="preserve">COMISIONES - Costos Vinculados con las Compras de Materiales Auxiliares                             </t>
  </si>
  <si>
    <t xml:space="preserve">609342521 </t>
  </si>
  <si>
    <t xml:space="preserve">COMISIONES - Costos Vinculados con las Compras de Suministros - Combustibles                        </t>
  </si>
  <si>
    <t xml:space="preserve">609342522 </t>
  </si>
  <si>
    <t xml:space="preserve">COMISIONES - Costos Vinculados con las Compras de Suministros - Lubricantes                         </t>
  </si>
  <si>
    <t xml:space="preserve">609342523 </t>
  </si>
  <si>
    <t xml:space="preserve">COMISIONES - Costos Vinculados con las Compras de Suministros - Energía                             </t>
  </si>
  <si>
    <t xml:space="preserve">609342524 </t>
  </si>
  <si>
    <t xml:space="preserve">COMISIONES - Costos Vinculados con las Compras de Otros Suministros                                 </t>
  </si>
  <si>
    <t xml:space="preserve">60934253  </t>
  </si>
  <si>
    <t xml:space="preserve">COMISIONES  - Costos Vinculados con las Compras de Repuestos                                        </t>
  </si>
  <si>
    <t xml:space="preserve">60935     </t>
  </si>
  <si>
    <t xml:space="preserve">OTROS COSTOS VINCULADOS CON LAS COMPRAS DE MATERIALES, SUMINISTROS Y REPUESTOS                      </t>
  </si>
  <si>
    <t xml:space="preserve">60935251  </t>
  </si>
  <si>
    <t xml:space="preserve">OTROS COSTOS VINCULADOS CON LAS COMPRAS DE MATERIALES AUXILIARES                                    </t>
  </si>
  <si>
    <t xml:space="preserve">609352521 </t>
  </si>
  <si>
    <t xml:space="preserve">OTROS COSTOS VINCULADOS CON LAS COMPRAS DE SUMINISTROS - Combustibles                               </t>
  </si>
  <si>
    <t xml:space="preserve">609352522 </t>
  </si>
  <si>
    <t xml:space="preserve">OTROS COSTOS VINCULADOS CON LAS COMPRAS DE SUMINISTROS - Lubricantes                                </t>
  </si>
  <si>
    <t xml:space="preserve">609352523 </t>
  </si>
  <si>
    <t xml:space="preserve">OTROS COSTOS VINCULADOS CON LAS COMPRAS DE SUMINISTROS - Energía                                    </t>
  </si>
  <si>
    <t xml:space="preserve">609352524 </t>
  </si>
  <si>
    <t xml:space="preserve">OTROS COSTOS VINCULADOS CON LAS COMPRAS DE OTROS SUMINISTROS                                        </t>
  </si>
  <si>
    <t xml:space="preserve">60935253  </t>
  </si>
  <si>
    <t xml:space="preserve">OTROS COSTOS VINCULADOS CON LAS COMPRAS DE REPUESTOS                                                </t>
  </si>
  <si>
    <t xml:space="preserve">6094      </t>
  </si>
  <si>
    <t xml:space="preserve">COSTOS VINCULADOS CON LAS COMPRAS DE ENVASES Y EMBALAJES                                            </t>
  </si>
  <si>
    <t xml:space="preserve">60941     </t>
  </si>
  <si>
    <t xml:space="preserve">TRANSPORTE  - Costos Vinculados Con Las Compras De Envases Y Embalajes                              </t>
  </si>
  <si>
    <t xml:space="preserve">60941261  </t>
  </si>
  <si>
    <t xml:space="preserve">TRANSPORTE - Costos Vinculados Con Las Compras De Envases                                           </t>
  </si>
  <si>
    <t xml:space="preserve">60941262  </t>
  </si>
  <si>
    <t xml:space="preserve">TRANSPORTE - Costos Vinculados Con Las Compras De Embalajes                                         </t>
  </si>
  <si>
    <t xml:space="preserve">60942     </t>
  </si>
  <si>
    <t xml:space="preserve">SEGUROS  - Costos Vinculados Con Las Compras De Envases Y Embalajes                                 </t>
  </si>
  <si>
    <t xml:space="preserve">60942261  </t>
  </si>
  <si>
    <t xml:space="preserve">SEGUROS - Costos Vinculados Con Las Compras De Envases                                              </t>
  </si>
  <si>
    <t xml:space="preserve">60942262  </t>
  </si>
  <si>
    <t xml:space="preserve">SEGUROS - Costos Vinculados Con Las Compras De Embalajes                                            </t>
  </si>
  <si>
    <t xml:space="preserve">60943     </t>
  </si>
  <si>
    <t xml:space="preserve">DERECHOS ADUANEROS   - Costos Vinculados Con Las Compras De Envases Y Embalajes                     </t>
  </si>
  <si>
    <t xml:space="preserve">60943261  </t>
  </si>
  <si>
    <t xml:space="preserve">DERECHOS ADUANEROS - Costos Vinculados Con Las Compras De Envases                                   </t>
  </si>
  <si>
    <t xml:space="preserve">60943262  </t>
  </si>
  <si>
    <t xml:space="preserve">DERECHOS ADUANEROS - Costos Vinculados Con Las Compras De Embalajes                                 </t>
  </si>
  <si>
    <t xml:space="preserve">60944     </t>
  </si>
  <si>
    <t xml:space="preserve">COMISIONES  - Costos Vinculados Con Las Compras De Envases Y Embalajes                              </t>
  </si>
  <si>
    <t xml:space="preserve">60944261  </t>
  </si>
  <si>
    <t xml:space="preserve">COMISIONES - Costos Vinculados Con Las Compras De Envases                                           </t>
  </si>
  <si>
    <t xml:space="preserve">60944262  </t>
  </si>
  <si>
    <t xml:space="preserve">COMISIONES - Costos Vinculados Con Las Compras De Embalajes                                         </t>
  </si>
  <si>
    <t xml:space="preserve">60945     </t>
  </si>
  <si>
    <t xml:space="preserve">OTROS COSTOS VINCULADOS CON LAS COMPRAS DE ENVASES Y EMBALAJES                                      </t>
  </si>
  <si>
    <t xml:space="preserve">60945261  </t>
  </si>
  <si>
    <t xml:space="preserve">OTROS COSTOS VINCULADOS CON LAS COMPRAS DE ENVASES                                                  </t>
  </si>
  <si>
    <t xml:space="preserve">60945262  </t>
  </si>
  <si>
    <t xml:space="preserve">OTROS COSTOS VINCULADOS CON LAS COMPRAS DE EMBALAJES                                                </t>
  </si>
  <si>
    <t xml:space="preserve">61        </t>
  </si>
  <si>
    <t xml:space="preserve">VARIACION DE INVENTARIOS                                                                            </t>
  </si>
  <si>
    <t xml:space="preserve">611       </t>
  </si>
  <si>
    <t xml:space="preserve">MERCADERIAS - Variación de Inventarios                                                              </t>
  </si>
  <si>
    <t xml:space="preserve">MERCADERIAS  - Variación de Inventarios                                                             </t>
  </si>
  <si>
    <t xml:space="preserve">612       </t>
  </si>
  <si>
    <t xml:space="preserve">MATERIAS PRIMAS - Variación de Inventarios                                                          </t>
  </si>
  <si>
    <t xml:space="preserve">6121      </t>
  </si>
  <si>
    <t xml:space="preserve">MATERIAS PRIMAS  - Variación de Inventarios                                                         </t>
  </si>
  <si>
    <t xml:space="preserve">MATERIAS PRIMAS  - INVENTARIO.                                                                      </t>
  </si>
  <si>
    <t xml:space="preserve">6121090   </t>
  </si>
  <si>
    <t xml:space="preserve">CONSUMO DE MATERIA PRIMA - INVENTARIOS - PRODUCCIÓN                                                 </t>
  </si>
  <si>
    <t xml:space="preserve">613       </t>
  </si>
  <si>
    <t xml:space="preserve">MATERIALES AUXILIARES,SUMINISTROS Y REPUESTOS - Variación de Inventarios                            </t>
  </si>
  <si>
    <t xml:space="preserve">6131      </t>
  </si>
  <si>
    <t xml:space="preserve">MATERIALES AUXILIARES - Variación de Inventarios                                                    </t>
  </si>
  <si>
    <t xml:space="preserve">VARIACIÓN MATERIALES AUXILIARES - INV.                                                              </t>
  </si>
  <si>
    <t xml:space="preserve">6131090   </t>
  </si>
  <si>
    <t xml:space="preserve">CONSUMO MATERIALES AUXILIARES - PROD                                                                </t>
  </si>
  <si>
    <t xml:space="preserve">6131093   </t>
  </si>
  <si>
    <t xml:space="preserve">CONSUMO MATERIALES AUXILIARES - CDS.                                                                </t>
  </si>
  <si>
    <t xml:space="preserve">9311      </t>
  </si>
  <si>
    <t xml:space="preserve">7911      </t>
  </si>
  <si>
    <t xml:space="preserve">6131094   </t>
  </si>
  <si>
    <t xml:space="preserve">CONSUMO MATERIALES AUXILIARES - ADM.                                                                </t>
  </si>
  <si>
    <t xml:space="preserve">9411      </t>
  </si>
  <si>
    <t xml:space="preserve">6131095   </t>
  </si>
  <si>
    <t xml:space="preserve">CONSUMO MATERIALES  AUXILIARES -VTAS.                                                               </t>
  </si>
  <si>
    <t xml:space="preserve">9511      </t>
  </si>
  <si>
    <t xml:space="preserve">6132      </t>
  </si>
  <si>
    <t xml:space="preserve">SUMINISTROS - Variación de Inventarios                                                              </t>
  </si>
  <si>
    <t xml:space="preserve">VARIACIÓN DE SUMINISTROS - INV.                                                                     </t>
  </si>
  <si>
    <t xml:space="preserve">6132090   </t>
  </si>
  <si>
    <t xml:space="preserve">CONSUMO DE SUMINISTROS - PROD - DIRECTO.                                                            </t>
  </si>
  <si>
    <t xml:space="preserve">6132091   </t>
  </si>
  <si>
    <t xml:space="preserve">CONSUMO DE SUMINISTROS - PROD - INDIRECTO.                                                          </t>
  </si>
  <si>
    <t xml:space="preserve">6132093   </t>
  </si>
  <si>
    <t xml:space="preserve">CONSUMO DE SUMINISTROS - CDS.                                                                       </t>
  </si>
  <si>
    <t xml:space="preserve">6132094   </t>
  </si>
  <si>
    <t xml:space="preserve">CONSUMO DE SUMINISTROS - ADM.                                                                       </t>
  </si>
  <si>
    <t xml:space="preserve">6132095   </t>
  </si>
  <si>
    <t xml:space="preserve">CONSUMO DE SUMINISTROS -VTAS.                                                                       </t>
  </si>
  <si>
    <t xml:space="preserve">6133      </t>
  </si>
  <si>
    <t xml:space="preserve">REPUESTOS - Variación de Inventarios                                                                </t>
  </si>
  <si>
    <t xml:space="preserve">VARIACIÓN DE REPUESTOS - INV.                                                                       </t>
  </si>
  <si>
    <t xml:space="preserve">6133090   </t>
  </si>
  <si>
    <t xml:space="preserve">CONSUMO DE REPUESTOS - PROD - DIRECTO.                                                              </t>
  </si>
  <si>
    <t xml:space="preserve">6133091   </t>
  </si>
  <si>
    <t xml:space="preserve">CONSUMO DE REPUESTOS - PROD - INDIRECTO.                                                            </t>
  </si>
  <si>
    <t xml:space="preserve">6133093   </t>
  </si>
  <si>
    <t xml:space="preserve">CONSUMO DE REPUESTOS - CDS.                                                                         </t>
  </si>
  <si>
    <t xml:space="preserve">6133094   </t>
  </si>
  <si>
    <t xml:space="preserve">CONSUMO DE REPUESTOS - ADM.                                                                         </t>
  </si>
  <si>
    <t xml:space="preserve">6133095   </t>
  </si>
  <si>
    <t xml:space="preserve">CONSUMO DE REPUESTOS - VTAS.                                                                        </t>
  </si>
  <si>
    <t xml:space="preserve">614       </t>
  </si>
  <si>
    <t xml:space="preserve">ENVASES Y EMBALAJES - Variación de Inventarios                                                      </t>
  </si>
  <si>
    <t xml:space="preserve">6141      </t>
  </si>
  <si>
    <t xml:space="preserve">ENVASES - Variación de Inventarios                                                                  </t>
  </si>
  <si>
    <t xml:space="preserve">VARIACIÓN DE ENVASES - INV.                                                                         </t>
  </si>
  <si>
    <t xml:space="preserve">6141090   </t>
  </si>
  <si>
    <t xml:space="preserve">CONSUMO DE ENVASES - PROD.                                                                          </t>
  </si>
  <si>
    <t xml:space="preserve">6141093   </t>
  </si>
  <si>
    <t xml:space="preserve">CONSUMO DE ENVASES - CDS.                                                                           </t>
  </si>
  <si>
    <t xml:space="preserve">6141094   </t>
  </si>
  <si>
    <t xml:space="preserve">CONSUMO DE ENVASES - ADM.                                                                           </t>
  </si>
  <si>
    <t xml:space="preserve">6141095   </t>
  </si>
  <si>
    <t xml:space="preserve">CONSUMO DE ENVASES - VTAS.                                                                          </t>
  </si>
  <si>
    <t xml:space="preserve">6142      </t>
  </si>
  <si>
    <t xml:space="preserve">EMBALAJES - Variación de Inventarios                                                                </t>
  </si>
  <si>
    <t xml:space="preserve">VARIACIÓN DE EMBALAJES - INV.                                                                       </t>
  </si>
  <si>
    <t xml:space="preserve">6142090   </t>
  </si>
  <si>
    <t xml:space="preserve">CONSUMO DE EMBALAJES - PROD.                                                                        </t>
  </si>
  <si>
    <t xml:space="preserve">9011      </t>
  </si>
  <si>
    <t xml:space="preserve">6142093   </t>
  </si>
  <si>
    <t xml:space="preserve">CONSUMO DE EMBALAJES - CDS.                                                                         </t>
  </si>
  <si>
    <t xml:space="preserve">6142094   </t>
  </si>
  <si>
    <t xml:space="preserve">CONSUMO DE EMBALAJES - ADM.                                                                         </t>
  </si>
  <si>
    <t xml:space="preserve">6142095   </t>
  </si>
  <si>
    <t xml:space="preserve">CONSUMO DE EMBALAJES - VTAS.                                                                        </t>
  </si>
  <si>
    <t xml:space="preserve">62        </t>
  </si>
  <si>
    <t xml:space="preserve">GASTOS DE PERSONAL Y DIRECTORES                                                                     </t>
  </si>
  <si>
    <t xml:space="preserve">621       </t>
  </si>
  <si>
    <t xml:space="preserve">REMUNERACIONES                                                                                      </t>
  </si>
  <si>
    <t xml:space="preserve">6211      </t>
  </si>
  <si>
    <t xml:space="preserve">SUELDOS Y SALARIOS - Remuneraciones  - Gastos de Personal y Directores                              </t>
  </si>
  <si>
    <t xml:space="preserve">6211090   </t>
  </si>
  <si>
    <t xml:space="preserve">SUELDOS Y SALARIOS - PROD - DIRECTO - Remuneraciones  - Gastos de Personal y Directores             </t>
  </si>
  <si>
    <t xml:space="preserve">6211091   </t>
  </si>
  <si>
    <t xml:space="preserve">SUELDOS Y SALARIOS - PROD - INDIRECTO - Remuneraciones  - Gastos de Personal y Directores           </t>
  </si>
  <si>
    <t xml:space="preserve">6211093   </t>
  </si>
  <si>
    <t xml:space="preserve">SUELDOS Y SALARIOS - CDS - Remuneraciones  - Gastos de Personal y Directores                        </t>
  </si>
  <si>
    <t xml:space="preserve">6211094   </t>
  </si>
  <si>
    <t xml:space="preserve">SUELDOS Y SALARIOS - ADM - Remuneraciones  - Gastos de Personal y Directores                        </t>
  </si>
  <si>
    <t xml:space="preserve">6211095   </t>
  </si>
  <si>
    <t xml:space="preserve">SUELDOS Y SALARIOS - VTAS - Remuneraciones  - Gastos de Personal y Directores                       </t>
  </si>
  <si>
    <t xml:space="preserve">6212      </t>
  </si>
  <si>
    <t xml:space="preserve">COMISIONES - Remuneraciones  - Gastos de Personal y Directores                                      </t>
  </si>
  <si>
    <t xml:space="preserve">6212090   </t>
  </si>
  <si>
    <t xml:space="preserve">COMISIONES - PROD - Remuneraciones  - Gastos de Personal y Directores                               </t>
  </si>
  <si>
    <t xml:space="preserve">6212093   </t>
  </si>
  <si>
    <t xml:space="preserve">COMISIONES - CDS - Remuneraciones  - Gastos de Personal y Directores                                </t>
  </si>
  <si>
    <t xml:space="preserve">6212094   </t>
  </si>
  <si>
    <t xml:space="preserve">COMISIONES - ADM - Remuneraciones  - Gastos de Personal y Directores                                </t>
  </si>
  <si>
    <t xml:space="preserve">6212095   </t>
  </si>
  <si>
    <t xml:space="preserve">COMISIONES - VTAS - Remuneraciones  - Gastos de Personal y Directores                               </t>
  </si>
  <si>
    <t xml:space="preserve">6213      </t>
  </si>
  <si>
    <t xml:space="preserve">REMUNERACIONES EN ESPECIE - Remuneraciones  - Gastos de Personal y Directores                       </t>
  </si>
  <si>
    <t xml:space="preserve">6213090   </t>
  </si>
  <si>
    <t xml:space="preserve">REMUNERACIONES EN ESPECIE - PROD - Remuneraciones  - Gastos de Personal y Directores                </t>
  </si>
  <si>
    <t xml:space="preserve">6213093   </t>
  </si>
  <si>
    <t xml:space="preserve">REMUNERACIONES EN ESPECIE - CDS - Remuneraciones  - Gastos de Personal y Directores                 </t>
  </si>
  <si>
    <t xml:space="preserve">6213094   </t>
  </si>
  <si>
    <t xml:space="preserve">REMUNERACIONES EN ESPECIE - ADM - Remuneraciones  - Gastos de Personal y Directores                 </t>
  </si>
  <si>
    <t xml:space="preserve">6213095   </t>
  </si>
  <si>
    <t xml:space="preserve">REMUNERACIONES EN ESPECIE  - VTAS - Remuneraciones  - Gastos de Personal y Directores               </t>
  </si>
  <si>
    <t xml:space="preserve">6214      </t>
  </si>
  <si>
    <t xml:space="preserve">GRATIFICACIONES - Remuneraciones  - Gastos de Personal y Directores                                 </t>
  </si>
  <si>
    <t xml:space="preserve">6214090   </t>
  </si>
  <si>
    <t xml:space="preserve">GRATIFICACIONES - PROD  - Remuneraciones  - Gastos de Personal y Directores                         </t>
  </si>
  <si>
    <t xml:space="preserve">6214091   </t>
  </si>
  <si>
    <t xml:space="preserve">GRATIFICACIONES - PROD INDIRECTAS  - Remuneraciones  - Gastos de Personal y Directores              </t>
  </si>
  <si>
    <t xml:space="preserve">6214093   </t>
  </si>
  <si>
    <t xml:space="preserve">GRATIFICACIONES - CDS - Remuneraciones  - Gastos de Personal y Directores                           </t>
  </si>
  <si>
    <t xml:space="preserve">6214094   </t>
  </si>
  <si>
    <t xml:space="preserve">GRATIFICACIONES - ADM - Remuneraciones  - Gastos de Personal y Directores                           </t>
  </si>
  <si>
    <t xml:space="preserve">6214095   </t>
  </si>
  <si>
    <t xml:space="preserve">GRATIFICACIONES - VTAS - Remuneraciones  - Gastos de Personal y Directores                          </t>
  </si>
  <si>
    <t xml:space="preserve">6215      </t>
  </si>
  <si>
    <t xml:space="preserve">VACACIONES - Remuneraciones  - Gastos de Personal y Directores                                      </t>
  </si>
  <si>
    <t xml:space="preserve">6215090   </t>
  </si>
  <si>
    <t xml:space="preserve">VACACIONES  - PROD - Remuneraciones  - Gastos de Personal y Directores                              </t>
  </si>
  <si>
    <t xml:space="preserve">6215091   </t>
  </si>
  <si>
    <t xml:space="preserve">VACACIONES  - PROD INDIRECTOS - Remuneraciones  - Gastos de Personal y Directores                   </t>
  </si>
  <si>
    <t xml:space="preserve">6215093   </t>
  </si>
  <si>
    <t xml:space="preserve">VACACIONES  - CDS - Remuneraciones  - Gastos de Personal y Directores                               </t>
  </si>
  <si>
    <t xml:space="preserve">6215094   </t>
  </si>
  <si>
    <t xml:space="preserve">VACACIONES  - ADM - Remuneraciones  - Gastos de Personal y Directores                               </t>
  </si>
  <si>
    <t xml:space="preserve">6215095   </t>
  </si>
  <si>
    <t xml:space="preserve">VACACIONES  - VTAS - Remuneraciones  - Gastos de Personal y Directores                              </t>
  </si>
  <si>
    <t xml:space="preserve">622       </t>
  </si>
  <si>
    <t xml:space="preserve">OTRAS REMUNERACIONES - Gastos de Personal y Directores                                              </t>
  </si>
  <si>
    <t xml:space="preserve">6220090   </t>
  </si>
  <si>
    <t xml:space="preserve">OTRAS REMUNERACIONES - PROD - Gastos de Personal y Directores                                       </t>
  </si>
  <si>
    <t xml:space="preserve">6220091   </t>
  </si>
  <si>
    <t xml:space="preserve">OTRAS REMUNERACIONES INDIRECTAS - Gastos de Personal y Directores                                   </t>
  </si>
  <si>
    <t xml:space="preserve">6220093   </t>
  </si>
  <si>
    <t xml:space="preserve">OTRAS REMUNERACIONES - CDS - Gastos de Personal y Directores                                        </t>
  </si>
  <si>
    <t xml:space="preserve">6220094   </t>
  </si>
  <si>
    <t xml:space="preserve">OTRAS REMUNERACIONES - ADM - Gastos de Personal y Directores                                        </t>
  </si>
  <si>
    <t xml:space="preserve">6220095   </t>
  </si>
  <si>
    <t xml:space="preserve">OTRAS REMUNERACIONES - VTAS - Gastos de Personal y Directores                                       </t>
  </si>
  <si>
    <t xml:space="preserve">623       </t>
  </si>
  <si>
    <t xml:space="preserve">INDEMNIZACIONES AL PERSONAL - Gastos de Personal y Directores                                       </t>
  </si>
  <si>
    <t xml:space="preserve">6230090   </t>
  </si>
  <si>
    <t xml:space="preserve">INDEMNIZACIONES AL PERSONAL - PROD - Gastos de Personal y Directores                                </t>
  </si>
  <si>
    <t xml:space="preserve">6230093   </t>
  </si>
  <si>
    <t xml:space="preserve">INDEMNIZACIONES AL PERSONAL - CDS - Gastos de Personal y Directores                                 </t>
  </si>
  <si>
    <t xml:space="preserve">6230094   </t>
  </si>
  <si>
    <t xml:space="preserve">INDEMNIZACIONES AL PERSONAL - ADM - Gastos de Personal y Directores                                 </t>
  </si>
  <si>
    <t xml:space="preserve">6230095   </t>
  </si>
  <si>
    <t xml:space="preserve">INDEMNIZACIONES AL PERSONAL - VTAS - Gastos de Personal y Directores                                </t>
  </si>
  <si>
    <t xml:space="preserve">624       </t>
  </si>
  <si>
    <t xml:space="preserve">CAPACITACION - Gastos de Personal y Directores                                                      </t>
  </si>
  <si>
    <t xml:space="preserve">6240090   </t>
  </si>
  <si>
    <t xml:space="preserve">CAPACITACION  - PROD - Gastos de Personal y Directores                                              </t>
  </si>
  <si>
    <t xml:space="preserve">6240093   </t>
  </si>
  <si>
    <t xml:space="preserve">CAPACITACION  - CDS - Gastos de Personal y Directores                                               </t>
  </si>
  <si>
    <t xml:space="preserve">6240094   </t>
  </si>
  <si>
    <t xml:space="preserve">CAPACITACION  - ADM - Gastos de Personal y Directores                                               </t>
  </si>
  <si>
    <t xml:space="preserve">6240095   </t>
  </si>
  <si>
    <t xml:space="preserve">CAPACITACION  - VTAS - Gastos de Personal y Directores                                              </t>
  </si>
  <si>
    <t xml:space="preserve">625       </t>
  </si>
  <si>
    <t xml:space="preserve">ATENCION AL PERSONAL - Gastos de Personal y Directores                                              </t>
  </si>
  <si>
    <t xml:space="preserve">6250090   </t>
  </si>
  <si>
    <t xml:space="preserve">ATENCION AL PERSONAL  - PROD - Gastos de Personal y Directores                                      </t>
  </si>
  <si>
    <t xml:space="preserve">6250093   </t>
  </si>
  <si>
    <t xml:space="preserve">ATENCION AL PERSONAL   - CDS - Gastos de Personal y Directores                                      </t>
  </si>
  <si>
    <t xml:space="preserve">6250094   </t>
  </si>
  <si>
    <t xml:space="preserve">ATENCION AL PERSONAL   - ADM - Gastos de Personal y Directores                                      </t>
  </si>
  <si>
    <t xml:space="preserve">ATENCION AL PERSONAL   - VTAS - Gastos de Personal y Directores                                     </t>
  </si>
  <si>
    <t xml:space="preserve">627       </t>
  </si>
  <si>
    <t xml:space="preserve">SEGURIDAD, PREVISIÓN SOCIAL Y OTRAS  CONTRIBUCIONES - Gastos de Personal y Directores               </t>
  </si>
  <si>
    <t xml:space="preserve">6271      </t>
  </si>
  <si>
    <t xml:space="preserve">REGIMEN DE PRESTACIONES DE SALUD  - Seguridad y Previsión Social                                    </t>
  </si>
  <si>
    <t xml:space="preserve">6271090   </t>
  </si>
  <si>
    <t xml:space="preserve">REGIMEN DE PRESTACIONES DE SALUD  - PROD - DIRECTO - Seguridad y Previsión Social                   </t>
  </si>
  <si>
    <t xml:space="preserve">6271091   </t>
  </si>
  <si>
    <t xml:space="preserve">REGIMEN DE PRESTACIONES DE SALUD  - PROD - INDIRECTO - Seguridad y Previsión Social                 </t>
  </si>
  <si>
    <t xml:space="preserve">6271093   </t>
  </si>
  <si>
    <t xml:space="preserve">REGIMEN DE PRESTACIONES DE SALUD  - CDS - Seguridad y Previsión Social                              </t>
  </si>
  <si>
    <t xml:space="preserve">6271094   </t>
  </si>
  <si>
    <t xml:space="preserve">REGIMEN DE PRESTACIONES DE SALUD  - ADM - Seguridad y Previsión Social                              </t>
  </si>
  <si>
    <t xml:space="preserve">6271095   </t>
  </si>
  <si>
    <t xml:space="preserve">REGIMEN DE PRESTACIONES DE SALUD  - VTAS - Seguridad y Previsión Social                             </t>
  </si>
  <si>
    <t xml:space="preserve">6272      </t>
  </si>
  <si>
    <t xml:space="preserve">REGIMEN DE PENSIONES  - APORTE DE EMPRESA - Seguridad y Previsión Social                            </t>
  </si>
  <si>
    <t xml:space="preserve">6272090   </t>
  </si>
  <si>
    <t xml:space="preserve">REGIMEN DE PENSIONES - PROD - APORTE DE EMPRESA - Seguridad y Previsión Social                      </t>
  </si>
  <si>
    <t xml:space="preserve">6272093   </t>
  </si>
  <si>
    <t xml:space="preserve">REGIMEN DE PENSIONES - CDS  - APORTE DE EMPRESA -  Seguridad y Previsión Social                     </t>
  </si>
  <si>
    <t xml:space="preserve">6272094   </t>
  </si>
  <si>
    <t xml:space="preserve">REGIMEN DE PENSIONES - ADM - APORTE DE EMPRESA - Seguridad y Previsión Social                       </t>
  </si>
  <si>
    <t xml:space="preserve">6272095   </t>
  </si>
  <si>
    <t xml:space="preserve">REGIMEN DE PENSIONES- VTAS -  APORTE DE EMPRESA - Seguridad y Previsión Social                      </t>
  </si>
  <si>
    <t xml:space="preserve">6273      </t>
  </si>
  <si>
    <t xml:space="preserve">SCTR, ACCIDENTES DE TRABAJO Y ENFERMEDADES PROFESIONALES   - Seguridad y Previsión Social           </t>
  </si>
  <si>
    <t xml:space="preserve">6273090   </t>
  </si>
  <si>
    <t xml:space="preserve">SCTR, ACCIDENTES DE TRABAJO Y ENFERMEDADES PROFESIONALES - PROD - Seguridad y Previsión Social      </t>
  </si>
  <si>
    <t xml:space="preserve">6273093   </t>
  </si>
  <si>
    <t xml:space="preserve">SCTR, ACCIDENTES DE TRABAJO Y ENFERMEDADES PROFESIONALES - CDS - Seguridad y Previsión Social       </t>
  </si>
  <si>
    <t xml:space="preserve">6273094   </t>
  </si>
  <si>
    <t xml:space="preserve">SCTR, ACCIDENTES DE TRABAJO Y ENFERMEDADES PROFESIONALES - ADM - Seguridad y Previsión Social       </t>
  </si>
  <si>
    <t xml:space="preserve">6273095   </t>
  </si>
  <si>
    <t xml:space="preserve">SCTR, ACCIDENTES DE TRABAJO Y ENFERMEDADES PROFESIONALES - VTAS - Seguridad y Previsión Social      </t>
  </si>
  <si>
    <t xml:space="preserve">6274      </t>
  </si>
  <si>
    <t xml:space="preserve">SEGURO DE VIDA  - Seguridad y Previsión Social                                                      </t>
  </si>
  <si>
    <t xml:space="preserve">6274090   </t>
  </si>
  <si>
    <t xml:space="preserve">SEGURO DE VIDA - PROD - Seguridad y Previsión Social                                                </t>
  </si>
  <si>
    <t xml:space="preserve">6274093   </t>
  </si>
  <si>
    <t xml:space="preserve">SEGURO DE VIDA - CDS - Seguridad y Previsión Social                                                 </t>
  </si>
  <si>
    <t xml:space="preserve">6274094   </t>
  </si>
  <si>
    <t xml:space="preserve">SEGURO DE VIDA - ADM - Seguridad y Previsión Social                                                 </t>
  </si>
  <si>
    <t xml:space="preserve">6274095   </t>
  </si>
  <si>
    <t xml:space="preserve">SEGURO DE VIDA - VTAS - Seguridad y Previsión Social                                                </t>
  </si>
  <si>
    <t xml:space="preserve">6275      </t>
  </si>
  <si>
    <t>SEGUROS PARTICULARES DE PRESTACIÓN DE SALUD - EPS Y OTROS PARTICULARES - Seguridad y Previsión Socia</t>
  </si>
  <si>
    <t xml:space="preserve">6275090   </t>
  </si>
  <si>
    <t>SEGUROS PARTICULARES DE PRESTACIÓN DE SALUD - EPS Y OTROS PART - PROD - Seguridad y Previsión social</t>
  </si>
  <si>
    <t xml:space="preserve">6275093   </t>
  </si>
  <si>
    <t>SEGUROS PARTICULARES DE PRESTACIÓN DE SALUD - EPS Y OTROS PART  - CDS - Seguridad y Previsión Social</t>
  </si>
  <si>
    <t xml:space="preserve">6275094   </t>
  </si>
  <si>
    <t>SEGUROS PARTICULARES DE PRESTACIÓN DE SALUD - EPS Y OTROS PART  - ADM - Seguridad y Previsión Social</t>
  </si>
  <si>
    <t xml:space="preserve">6275095   </t>
  </si>
  <si>
    <t>SEGUROS PARTICULARES DE PRESTACIÓN DE SALUD - EPS Y OTROS PART - VTAS - Seguridad y Previsión Social</t>
  </si>
  <si>
    <t xml:space="preserve">6276      </t>
  </si>
  <si>
    <t xml:space="preserve">CAJA DE BENEFICIOS DE SEGURIDAD SOCIAL DEL PESCADOR - Seguridad y Previsión Social                  </t>
  </si>
  <si>
    <t xml:space="preserve">6276090   </t>
  </si>
  <si>
    <t xml:space="preserve">CAJA DE BENEFICIOS DE SEGURIDAD SOCIAL DEL PESCADOR - PROD - Seguridad y Previsión Social           </t>
  </si>
  <si>
    <t xml:space="preserve">6276093   </t>
  </si>
  <si>
    <t xml:space="preserve">CAJA DE BENEFICIOS DE SEGURIDAD SOCIAL DEL PESCADOR  - CDS - Seguridad y Previsión Social           </t>
  </si>
  <si>
    <t xml:space="preserve">6276094   </t>
  </si>
  <si>
    <t xml:space="preserve">CAJA DE BENEFICIOS DE SEGURIDAD SOCIAL DEL PESCADOR  - ADM - Seguridad y Previsión Social           </t>
  </si>
  <si>
    <t xml:space="preserve">6276095   </t>
  </si>
  <si>
    <t xml:space="preserve">CAJA DE BENEFICIOS DE SEGURIDAD SOCIAL DEL PESCADOR  - VTAS - Seguridad y Previsión Social          </t>
  </si>
  <si>
    <t xml:space="preserve">6277      </t>
  </si>
  <si>
    <t xml:space="preserve">CONTRIBUCION AL SENATI - Seguridad y Previsión Social                                               </t>
  </si>
  <si>
    <t xml:space="preserve">6277090   </t>
  </si>
  <si>
    <t xml:space="preserve">CONTRIBUCION AL SENATI - PROD - Seguridad y Previsión Social                                        </t>
  </si>
  <si>
    <t xml:space="preserve">6277093   </t>
  </si>
  <si>
    <t xml:space="preserve">CONTRIBUCION  SENATI - CDS - Seguridad y Previsión Social                                           </t>
  </si>
  <si>
    <t xml:space="preserve">6277094   </t>
  </si>
  <si>
    <t xml:space="preserve">CONTRIBUCION AL SENATI - ADM - Seguridad y Previsión Social                                         </t>
  </si>
  <si>
    <t xml:space="preserve">6277095   </t>
  </si>
  <si>
    <t xml:space="preserve">CONTRIBUCION AL SENATI - VTAS - Seguridad y Previsión Social                                        </t>
  </si>
  <si>
    <t xml:space="preserve">628       </t>
  </si>
  <si>
    <t xml:space="preserve">RETRIBUCIONES AL DIRECTORIO  - Cargas de Personal, Directores                                       </t>
  </si>
  <si>
    <t xml:space="preserve">6281      </t>
  </si>
  <si>
    <t xml:space="preserve">6283094   </t>
  </si>
  <si>
    <t xml:space="preserve">RETRIBUCIONES AL DIRECTORIO - ADM  - Cargas de Personal, Directores                                 </t>
  </si>
  <si>
    <t xml:space="preserve">629       </t>
  </si>
  <si>
    <t xml:space="preserve">BENEFICIOS SOCIALES DE LOS TRABAJADORES                                                             </t>
  </si>
  <si>
    <t xml:space="preserve">6291      </t>
  </si>
  <si>
    <t xml:space="preserve">COMPENSACIÓN POR TIEMPO DE SERVICIOS - Beneficios Social de los Trabajadores                        </t>
  </si>
  <si>
    <t xml:space="preserve">6291090   </t>
  </si>
  <si>
    <t xml:space="preserve">CTS  - PROD - DIRECTO - Beneficios Social de los Trabajadores                                       </t>
  </si>
  <si>
    <t xml:space="preserve">6291091   </t>
  </si>
  <si>
    <t xml:space="preserve">CTS  - PROD - INDIRECTO - Beneficios Social de los Trabajadores                                     </t>
  </si>
  <si>
    <t xml:space="preserve">6291093   </t>
  </si>
  <si>
    <t xml:space="preserve">CTS  - CDS - Beneficios Social de los Trabajadores                                                  </t>
  </si>
  <si>
    <t xml:space="preserve">6291094   </t>
  </si>
  <si>
    <t xml:space="preserve">CTS  - ADM - Beneficios Social de los Trabajadores                                                  </t>
  </si>
  <si>
    <t xml:space="preserve">6291095   </t>
  </si>
  <si>
    <t xml:space="preserve">CTS  - VTAS - Beneficios Social de los Trabajadores                                                 </t>
  </si>
  <si>
    <t xml:space="preserve">6292      </t>
  </si>
  <si>
    <t xml:space="preserve">PENSIONES Y JUBILACIONES - Beneficios Social de los Trabajadores                                    </t>
  </si>
  <si>
    <t xml:space="preserve">6292090   </t>
  </si>
  <si>
    <t xml:space="preserve">PENSIONES Y JUBILACIONES   - PROD - Beneficios Social de los Trabajadores                           </t>
  </si>
  <si>
    <t xml:space="preserve">6292093   </t>
  </si>
  <si>
    <t xml:space="preserve">PENSIONES Y JUBILACIONES   - CDS - Beneficios Social de los Trabajadores                            </t>
  </si>
  <si>
    <t xml:space="preserve">6292094   </t>
  </si>
  <si>
    <t xml:space="preserve">PENSIONES Y JUBILACIONES   - ADM - Beneficios Social de los Trabajadores                            </t>
  </si>
  <si>
    <t xml:space="preserve">6292095   </t>
  </si>
  <si>
    <t xml:space="preserve">PENSIONES Y JUBILACIONES   - VTAS - Beneficios Social de los Trabajadores                           </t>
  </si>
  <si>
    <t xml:space="preserve">6293      </t>
  </si>
  <si>
    <t xml:space="preserve">OTROS BENEFICIOS POST-EMPLEO - Beneficios Social de los Trabajadores                                </t>
  </si>
  <si>
    <t xml:space="preserve">6293090   </t>
  </si>
  <si>
    <t xml:space="preserve">OTROS BENEFICIOS POST-EMPLEO - PROD - Beneficios Social de los Trabajadores                         </t>
  </si>
  <si>
    <t xml:space="preserve">6293093   </t>
  </si>
  <si>
    <t xml:space="preserve">OTROS BENEFICIOS POST-EMPLEO - CDS - Beneficios Social de los Trabajadores                          </t>
  </si>
  <si>
    <t xml:space="preserve">6293094   </t>
  </si>
  <si>
    <t xml:space="preserve">OTROS BENEFICIOS POST-EMPLEO - ADM - Beneficios Social de los Trabajadores                          </t>
  </si>
  <si>
    <t xml:space="preserve">6293095   </t>
  </si>
  <si>
    <t xml:space="preserve">OTROS BENEFICIOS POST-EMPLEO - VTAS - Beneficios Social de los Trabajadores                         </t>
  </si>
  <si>
    <t xml:space="preserve">6294      </t>
  </si>
  <si>
    <t xml:space="preserve">PARTICIPACIÓN EN LAS UTILIDADES - Beneficios Social de los Trabajadores                             </t>
  </si>
  <si>
    <t xml:space="preserve">62941     </t>
  </si>
  <si>
    <t xml:space="preserve">PARTICIPACIÓN CORRIENTE - Beneficios Social de los Trabajadores                                     </t>
  </si>
  <si>
    <t xml:space="preserve">62941090  </t>
  </si>
  <si>
    <t xml:space="preserve">PARTICIPACIÓN CORRIENTE - PROD - Beneficios Social de los Trabajadores                              </t>
  </si>
  <si>
    <t xml:space="preserve">62941093  </t>
  </si>
  <si>
    <t xml:space="preserve">PARTICIPACIÓN CORRIENTE - CDS - Beneficios Social de los Trabajadores                               </t>
  </si>
  <si>
    <t xml:space="preserve">62941094  </t>
  </si>
  <si>
    <t xml:space="preserve">PARTICIPACIÓN CORRIENTE - ADM - Beneficios Social de los Trabajadores                               </t>
  </si>
  <si>
    <t xml:space="preserve">62941095  </t>
  </si>
  <si>
    <t xml:space="preserve">PARTICIPACIÓN CORRIENTE - VTAS - Beneficios Social de los Trabajadores                              </t>
  </si>
  <si>
    <t xml:space="preserve">62942     </t>
  </si>
  <si>
    <t xml:space="preserve">PARTICIPACIÓN DIFERIDA - Beneficios Social de los Trabajadores                                      </t>
  </si>
  <si>
    <t xml:space="preserve">62942090  </t>
  </si>
  <si>
    <t xml:space="preserve">PARTICIPACIÓN DIFERIDA - PROD - Beneficios Social de los Trabajadores                               </t>
  </si>
  <si>
    <t xml:space="preserve">62942093  </t>
  </si>
  <si>
    <t xml:space="preserve">PARTICIPACIÓN DIFERIDA - CDS - Beneficios Social de los Trabajadores                                </t>
  </si>
  <si>
    <t xml:space="preserve">62942094  </t>
  </si>
  <si>
    <t xml:space="preserve">PARTICIPACIÓN DIFERIDA - ADM - Beneficios Social de los Trabajadores                                </t>
  </si>
  <si>
    <t xml:space="preserve">62942095  </t>
  </si>
  <si>
    <t xml:space="preserve">PARTICIPACIÓN DIFERIDA - VTAS - Beneficios Social de los Trabajadores                               </t>
  </si>
  <si>
    <t xml:space="preserve">63        </t>
  </si>
  <si>
    <t xml:space="preserve">GASTOS DE SERVICIOS PRESTADOS POR TERCEROS                                                          </t>
  </si>
  <si>
    <t xml:space="preserve">631       </t>
  </si>
  <si>
    <t xml:space="preserve">TRANSPORTE, CORREOS Y GASTOS DE VIAJE                                                               </t>
  </si>
  <si>
    <t xml:space="preserve">6311      </t>
  </si>
  <si>
    <t xml:space="preserve">TRANSPORTE                                                                                          </t>
  </si>
  <si>
    <t xml:space="preserve">63111     </t>
  </si>
  <si>
    <t xml:space="preserve">DE CARGA - Gastos de Servicios Prestados por Terceros                                               </t>
  </si>
  <si>
    <t xml:space="preserve">6311190   </t>
  </si>
  <si>
    <t xml:space="preserve">TRANSPORTE DE CARGA - PROD - Gastos de Servicios Prestados por Terceros                             </t>
  </si>
  <si>
    <t xml:space="preserve">6311193   </t>
  </si>
  <si>
    <t xml:space="preserve">TRANSPORTE DE CARGA - CDS - Gastos de Servicios Prestados por Terceros                              </t>
  </si>
  <si>
    <t xml:space="preserve">6311194   </t>
  </si>
  <si>
    <t xml:space="preserve">TRANSPORTE DE CARGA - ADM - Gastos de Servicios Prestados por Terceros                              </t>
  </si>
  <si>
    <t xml:space="preserve">6311195   </t>
  </si>
  <si>
    <t xml:space="preserve">TRANSPORTE DE CARGA - VTAS - Gastos de Servicios Prestados por Terceros                             </t>
  </si>
  <si>
    <t xml:space="preserve">63112     </t>
  </si>
  <si>
    <t xml:space="preserve">DE PASAJEROS - Gastos de Servicios Prestados por Terceros                                           </t>
  </si>
  <si>
    <t xml:space="preserve">6311290   </t>
  </si>
  <si>
    <t xml:space="preserve">TRANSPORTE DE PASAJEROS - PROD - Gastos de Servicios Prestados por Terceros                         </t>
  </si>
  <si>
    <t xml:space="preserve">6311293   </t>
  </si>
  <si>
    <t xml:space="preserve">TRANSPORTE DE PASAJEROS - CDS - Gastos de Servicios Prestados por Terceros                          </t>
  </si>
  <si>
    <t xml:space="preserve">6311294   </t>
  </si>
  <si>
    <t xml:space="preserve">TRANSPORTE DE PASAJEROS - ADM - Gastos de Servicios Prestados por Terceros                          </t>
  </si>
  <si>
    <t xml:space="preserve">6311295   </t>
  </si>
  <si>
    <t xml:space="preserve">TRANSPORTE DE PASAJEROS - VTAS - Gastos de Servicios Prestados por Terceros                         </t>
  </si>
  <si>
    <t xml:space="preserve">6312      </t>
  </si>
  <si>
    <t xml:space="preserve">CORREOS - Gastos de Servicios Prestados por Terceros                                                </t>
  </si>
  <si>
    <t xml:space="preserve">6312090   </t>
  </si>
  <si>
    <t xml:space="preserve">CORREOS - PROD - Gastos de Servicios Prestados por Terceros                                         </t>
  </si>
  <si>
    <t xml:space="preserve">6312093   </t>
  </si>
  <si>
    <t xml:space="preserve">CORREOS - CDS - Gastos de Servicios Prestados por Terceros                                          </t>
  </si>
  <si>
    <t xml:space="preserve">6312094   </t>
  </si>
  <si>
    <t xml:space="preserve">CORREOS - ADM - Gastos de Servicios Prestados por Terceros                                          </t>
  </si>
  <si>
    <t xml:space="preserve">6312095   </t>
  </si>
  <si>
    <t xml:space="preserve">CORREOS - VTAS - Gastos de Servicios Prestados por Terceros                                         </t>
  </si>
  <si>
    <t xml:space="preserve">6313      </t>
  </si>
  <si>
    <t xml:space="preserve">ALOJAMIENTO - Gastos de Servicios Prestados por Terceros                                            </t>
  </si>
  <si>
    <t xml:space="preserve">6313090   </t>
  </si>
  <si>
    <t xml:space="preserve">ALOJAMIENTO  - PROD - Gastos de Servicios Prestados por Terceros                                    </t>
  </si>
  <si>
    <t xml:space="preserve">6313093   </t>
  </si>
  <si>
    <t xml:space="preserve">ALOJAMIENTO  - CDS - Gastos de Servicios Prestados por Terceros                                     </t>
  </si>
  <si>
    <t xml:space="preserve">6313094   </t>
  </si>
  <si>
    <t xml:space="preserve">ALOJAMIENTO  - ADM - Gastos de Servicios Prestados por Terceros                                     </t>
  </si>
  <si>
    <t xml:space="preserve">6313095   </t>
  </si>
  <si>
    <t xml:space="preserve">ALOJAMIENTO  - VTAS - Gastos de Servicios Prestados por Terceros                                    </t>
  </si>
  <si>
    <t xml:space="preserve">6314      </t>
  </si>
  <si>
    <t xml:space="preserve">ALIMENTACION - Gastos de Servicios Prestados por Terceros                                           </t>
  </si>
  <si>
    <t xml:space="preserve">6314090   </t>
  </si>
  <si>
    <t xml:space="preserve">ALIMENTACION  - PROD - Gastos de Servicios Prestados por Terceros                                   </t>
  </si>
  <si>
    <t xml:space="preserve">6314093   </t>
  </si>
  <si>
    <t xml:space="preserve">ALIMENTACION  - CDS - Gastos de Servicios Prestados por Terceros                                    </t>
  </si>
  <si>
    <t xml:space="preserve">6314094   </t>
  </si>
  <si>
    <t xml:space="preserve">ALIMENTACION  - ADM - Gastos de Servicios Prestados por Terceros                                    </t>
  </si>
  <si>
    <t xml:space="preserve">6314095   </t>
  </si>
  <si>
    <t xml:space="preserve">ALIMENTACION  - VTAS - Gastos de Servicios Prestados por Terceros                                   </t>
  </si>
  <si>
    <t xml:space="preserve">6315      </t>
  </si>
  <si>
    <t xml:space="preserve">OTROS GASTOS DE VIAJE  - Gastos de Servicios Prestados por Terceros                                 </t>
  </si>
  <si>
    <t xml:space="preserve">6315090   </t>
  </si>
  <si>
    <t xml:space="preserve">OTROS GASTOS DE VIAJE  - PROD - Gastos de Servicios Prestados por Terceros                          </t>
  </si>
  <si>
    <t xml:space="preserve">6315093   </t>
  </si>
  <si>
    <t xml:space="preserve">OTROS GASTOS DE VIAJE  - CDS  - Gastos de Servicios Prestados por Terceros                          </t>
  </si>
  <si>
    <t xml:space="preserve">6315094   </t>
  </si>
  <si>
    <t xml:space="preserve">OTROS GASTOS DE VIAJE  - ADM - Gastos de Servicios Prestados por Terceros                           </t>
  </si>
  <si>
    <t xml:space="preserve">6315095   </t>
  </si>
  <si>
    <t xml:space="preserve">OTROS GASTOS DE VIAJE  - VTAS - Gastos de Servicios Prestados por Terceros                          </t>
  </si>
  <si>
    <t xml:space="preserve">632       </t>
  </si>
  <si>
    <t xml:space="preserve">ASESORIA Y CONSULTORIA  - Gastos de Servicios Prestados por Terceros                                </t>
  </si>
  <si>
    <t xml:space="preserve">6321      </t>
  </si>
  <si>
    <t xml:space="preserve">ADMINISTRATIVA - Asesoría y Consultoría - Gastos de Servicios Prestados por Terceros                </t>
  </si>
  <si>
    <t xml:space="preserve">6321090   </t>
  </si>
  <si>
    <t xml:space="preserve">ADMINISTRATIVA - PROD - Asesoría y Consultoría - Gastos de Servicios Prestados por Terceros         </t>
  </si>
  <si>
    <t xml:space="preserve">6321093   </t>
  </si>
  <si>
    <t xml:space="preserve">ADMINISTRATIVA - CDS - Asesoría y Consultoría - Gastos de Servicios Prestados por Terceros          </t>
  </si>
  <si>
    <t xml:space="preserve">6321094   </t>
  </si>
  <si>
    <t xml:space="preserve">ADMINISTRATIVA - ADM - Asesoría y Consultoría - Gastos de Servicios Prestados por Terceros          </t>
  </si>
  <si>
    <t xml:space="preserve">6321095   </t>
  </si>
  <si>
    <t xml:space="preserve">ADMINISTRATIVA - VTAS - Asesoría y Consultoría - Gastos de Servicios Prestados por Terceros         </t>
  </si>
  <si>
    <t xml:space="preserve">6322      </t>
  </si>
  <si>
    <t xml:space="preserve">LEGAL Y TRIBUTARIA - Asesoría y Consultoría - Gastos de Servicios Prestados por Terceros            </t>
  </si>
  <si>
    <t xml:space="preserve">6322090   </t>
  </si>
  <si>
    <t xml:space="preserve">LEGAL Y TRIBUTARIA - PROD - Asesoría y Consultoría - Gastos de Servicios Prestados por Terceros     </t>
  </si>
  <si>
    <t xml:space="preserve">6322093   </t>
  </si>
  <si>
    <t xml:space="preserve">LEGAL Y TRIBUTARIA - CDS - Asesoría y Consultoría - Gastos de Servicios Prestados por Terceros      </t>
  </si>
  <si>
    <t xml:space="preserve">6322094   </t>
  </si>
  <si>
    <t xml:space="preserve">LEGAL Y TRIBUTARIA - ADM - Asesoría y Consultoría - Gastos de Servicios Prestados por Terceros      </t>
  </si>
  <si>
    <t xml:space="preserve">6322095   </t>
  </si>
  <si>
    <t xml:space="preserve">LEGAL Y TRIBUTARIA - VTAS - Asesoría y Consultoría - Gastos de Servicios Prestados por Terceros     </t>
  </si>
  <si>
    <t xml:space="preserve">6323      </t>
  </si>
  <si>
    <t xml:space="preserve">AUDITORIA Y CONTABLE - Asesoría y Consultoría - Gastos de Servicios Prestados por Terceros          </t>
  </si>
  <si>
    <t xml:space="preserve">6323090   </t>
  </si>
  <si>
    <t xml:space="preserve">AUDITORIA Y CONTABLE - PROD - Asesoría y Consultoría - Gastos de Servicios Prestados por Terceros   </t>
  </si>
  <si>
    <t xml:space="preserve">6323093   </t>
  </si>
  <si>
    <t xml:space="preserve">AUDITORIA Y CONTABLE - CDS - Asesoría y Consultoría - Gastos de Servicios Prestados por Terceros    </t>
  </si>
  <si>
    <t xml:space="preserve">6323094   </t>
  </si>
  <si>
    <t xml:space="preserve">AUDITORIA Y CONTABLE - ADM - Asesoría y Consultoría - Gastos de Servicios Prestados por Terceros    </t>
  </si>
  <si>
    <t xml:space="preserve">6323095   </t>
  </si>
  <si>
    <t xml:space="preserve">AUDITORIA Y CONTABLE - VTAS - Asesoría y Consultoría - Gastos de Servicios Prestados por Terceros   </t>
  </si>
  <si>
    <t xml:space="preserve">6324      </t>
  </si>
  <si>
    <t xml:space="preserve">MERCADOTECNIA - Asesoría y Consultoría - Gastos de Servicios Prestados por Terceros                 </t>
  </si>
  <si>
    <t xml:space="preserve">6324090   </t>
  </si>
  <si>
    <t xml:space="preserve">MERCADOTECNIA  - PROD - Asesoría y Consultoría - Gastos de Servicios Prestados por Terceros         </t>
  </si>
  <si>
    <t xml:space="preserve">6324093   </t>
  </si>
  <si>
    <t xml:space="preserve">MERCADOTECNIA  - CDS - Asesoría y Consultoría - Gastos de Servicios Prestados por Terceros          </t>
  </si>
  <si>
    <t xml:space="preserve">6324094   </t>
  </si>
  <si>
    <t xml:space="preserve">MERCADOTECNIA  - ADM - Asesoría y Consultoría - Gastos de Servicios Prestados por Terceros          </t>
  </si>
  <si>
    <t xml:space="preserve">6324095   </t>
  </si>
  <si>
    <t xml:space="preserve">MERCADOTECNIA  - VTAS - Asesoría y Consultoría - Gastos de Servicios Prestados por Terceros         </t>
  </si>
  <si>
    <t xml:space="preserve">6325      </t>
  </si>
  <si>
    <t xml:space="preserve">MEDIOAMBIENTAL - Asesoría y Consultoría - Gastos de Servicios Prestados por Terceros                </t>
  </si>
  <si>
    <t xml:space="preserve">6325090   </t>
  </si>
  <si>
    <t xml:space="preserve">MEDIOAMBIENTAL - PROD - Asesoría y Consultoría - Gastos de Servicios Prestados por Terceros         </t>
  </si>
  <si>
    <t xml:space="preserve">6325093   </t>
  </si>
  <si>
    <t xml:space="preserve">MEDIOAMBIENTAL - CDS - Asesoría y Consultoría - Gastos de Servicios Prestados por Terceros          </t>
  </si>
  <si>
    <t xml:space="preserve">6325094   </t>
  </si>
  <si>
    <t xml:space="preserve">MEDIOAMBIENTAL - ADM - Asesoría y Consultoría - Gastos de Servicios Prestados por Terceros          </t>
  </si>
  <si>
    <t xml:space="preserve">6325095   </t>
  </si>
  <si>
    <t xml:space="preserve">MEDIOAMBIENTAL - VTAS - Asesoría y Consultoría - Gastos de Servicios Prestados por Terceros         </t>
  </si>
  <si>
    <t xml:space="preserve">6326      </t>
  </si>
  <si>
    <t xml:space="preserve">INVESTIGACION Y DESARROLLO - Asesoría y Consultoría - Gastos de Servicios Prestados por Terceros    </t>
  </si>
  <si>
    <t xml:space="preserve">6326090   </t>
  </si>
  <si>
    <t>INVESTIGACION Y DESARROLLO  - PROD - Asesoría y Consultoría - Gastos de Servicios Prestados por Terc</t>
  </si>
  <si>
    <t xml:space="preserve">6326093   </t>
  </si>
  <si>
    <t>INVESTIGACION Y DESARROLLO  - CDS - Asesoría y Consultoría - Gastos de Servicios Prestados por Terce</t>
  </si>
  <si>
    <t xml:space="preserve">6326094   </t>
  </si>
  <si>
    <t>INVESTIGACION Y DESARROLLO  - ADM - Asesoría y Consultoría - Gastos de Servicios Prestados por Terce</t>
  </si>
  <si>
    <t xml:space="preserve">6326095   </t>
  </si>
  <si>
    <t>INVESTIGACION Y DESARROLLO  - VTAS - Asesoría y Consultoría - Gastos de Servicios Prestados por Terc</t>
  </si>
  <si>
    <t xml:space="preserve">6327      </t>
  </si>
  <si>
    <t xml:space="preserve">PRODUCCION - Asesoría y Consultoría - Gastos de Servicios Prestados por Terceros                    </t>
  </si>
  <si>
    <t xml:space="preserve">6327090   </t>
  </si>
  <si>
    <t xml:space="preserve">PRODUCCION  - PROD - Asesoría y Consultoría - Gastos de Servicios Prestados por Terceros            </t>
  </si>
  <si>
    <t xml:space="preserve">6327093   </t>
  </si>
  <si>
    <t xml:space="preserve">PRODUCCION  - CDS - Asesoría y Consultoría - Gastos de Servicios Prestados por Terceros             </t>
  </si>
  <si>
    <t xml:space="preserve">6327094   </t>
  </si>
  <si>
    <t xml:space="preserve">PRODUCCION  - ADM - Asesoría y Consultoría - Gastos de Servicios Prestados por Terceros             </t>
  </si>
  <si>
    <t xml:space="preserve">6327095   </t>
  </si>
  <si>
    <t xml:space="preserve">PRODUCCION  - VTAS - Asesoría y Consultoría - Gastos de Servicios Prestados por Terceros            </t>
  </si>
  <si>
    <t xml:space="preserve">6329      </t>
  </si>
  <si>
    <t xml:space="preserve">OTROS - Asesoría y Consultoría - Gastos de Servicios Prestados por Terceros                         </t>
  </si>
  <si>
    <t xml:space="preserve">6329090   </t>
  </si>
  <si>
    <t xml:space="preserve">OTROS SERVICIOS - PROD - Asesoría y Consultoría - Gastos de Servicios Prestados por Terceros        </t>
  </si>
  <si>
    <t xml:space="preserve">6329093   </t>
  </si>
  <si>
    <t xml:space="preserve">OTROS SERVICIOS - CDS - Asesoría y Consultoría - Gastos de Servicios Prestados por Terceros         </t>
  </si>
  <si>
    <t xml:space="preserve">OTROS SERVICIOS  - ADM - Asesoría y Consultoría - Gastos de Servicios Prestados por Terceros        </t>
  </si>
  <si>
    <t xml:space="preserve">6329095   </t>
  </si>
  <si>
    <t xml:space="preserve">OTROS SERVICIOS  - VTAS - Asesoría y Consultoría - Gastos de Servicios Prestados por Terceros       </t>
  </si>
  <si>
    <t xml:space="preserve">633       </t>
  </si>
  <si>
    <t xml:space="preserve">PRODUCCION ENCARGADA A TERCEROS - Gastos de Servicios Prestados por Terceros                        </t>
  </si>
  <si>
    <t xml:space="preserve">6330090   </t>
  </si>
  <si>
    <t xml:space="preserve">PRODUCCION ENCARGADA A TERCEROS  - PROD - DIRECTO - Gastos de Servicios Prestados por Terceros      </t>
  </si>
  <si>
    <t xml:space="preserve">6330091   </t>
  </si>
  <si>
    <t xml:space="preserve">PRODUCCION ENCARGADA A TERCEROS  - PROD - INDIRECTO - Gastos de Servicios Prestados por Terceros    </t>
  </si>
  <si>
    <t xml:space="preserve">6330093   </t>
  </si>
  <si>
    <t xml:space="preserve">PRODUCCION ENCARGADA A TERCEROS  - CDS - Gastos de Servicios Prestados por Terceros                 </t>
  </si>
  <si>
    <t xml:space="preserve">6330094   </t>
  </si>
  <si>
    <t xml:space="preserve">PRODUCCION ENCARGADA A TERCEROS  - ADM - Gastos de Servicios Prestados por Terceros                 </t>
  </si>
  <si>
    <t xml:space="preserve">6330095   </t>
  </si>
  <si>
    <t xml:space="preserve">PRODUCCION ENCARGADA A TERCEROS  - VTAS - Gastos de Servicios Prestados por Terceros                </t>
  </si>
  <si>
    <t xml:space="preserve">634       </t>
  </si>
  <si>
    <t xml:space="preserve">MANTENIMIENTO Y REPARACIONES  - Gastos de Servicios Prestados por Terceros                          </t>
  </si>
  <si>
    <t xml:space="preserve">6341      </t>
  </si>
  <si>
    <t xml:space="preserve">PROPIEDAD DE INVERSIÓN - Mantenimiento Y Reparaciones - Gastos de Servicios Prestados por Terceros  </t>
  </si>
  <si>
    <t xml:space="preserve">6341090   </t>
  </si>
  <si>
    <t>PROPIEDAD DE INVERSIÓN - PROD - Mantenimiento Y Reparaciones - Gastos de Servicios Prestados por Ter</t>
  </si>
  <si>
    <t xml:space="preserve">6341093   </t>
  </si>
  <si>
    <t>PROPIEDAD DE INVERSIÓN  - CDS - Mantenimiento Y Reparaciones - Gastos de Servicios Prestados por Ter</t>
  </si>
  <si>
    <t>PROPIEDAD DE INVERSIÓN  - ADM - Mantenimiento Y Reparaciones - Gastos de Servicios Prestados por Ter</t>
  </si>
  <si>
    <t xml:space="preserve">6341095   </t>
  </si>
  <si>
    <t>PROPIEDAD DE INVERSIÓN - VTAS - Mantenimiento Y Reparaciones - Gastos de Servicios Prestados por Ter</t>
  </si>
  <si>
    <t xml:space="preserve">6342      </t>
  </si>
  <si>
    <t xml:space="preserve">ACTIVOS POR DERECHO DE USO - Manten Y Reparac - Gastos de Servicios Prest por Te                    </t>
  </si>
  <si>
    <t xml:space="preserve">63421     </t>
  </si>
  <si>
    <t>FINANCIERO - Activos por Derecho de Uso - Manten Y Reparac - Gastos de Servicios Prestados por Terce</t>
  </si>
  <si>
    <t>FINANCIERO - Activos por Derecho de Uso - PROD - Manten Y Reparac - Gastos de Servicios Prestados po</t>
  </si>
  <si>
    <t xml:space="preserve">63421093  </t>
  </si>
  <si>
    <t xml:space="preserve">FINANCIERO - Activos por Derecho de Uso - CDS - Manten Y Reparac - Gastos de Servicios Prestados po </t>
  </si>
  <si>
    <t xml:space="preserve">63421094  </t>
  </si>
  <si>
    <t xml:space="preserve">FINANCIERO - Activos por Derecho de Uso - ADM - Manten Y Reparac - Gastos de Servicios Prestados po </t>
  </si>
  <si>
    <t xml:space="preserve">63421095  </t>
  </si>
  <si>
    <t>FINANCIERO - Activos por Derecho de Uso - VTAS - Manten Y Reparac - Gastos de Servicios Prestados po</t>
  </si>
  <si>
    <t xml:space="preserve">63422     </t>
  </si>
  <si>
    <t xml:space="preserve">OPERATIVO - Activos por Derecho de Uso - Manten Y Reparac - Gastos de Servicios Prestados por Terce </t>
  </si>
  <si>
    <t xml:space="preserve">63422090  </t>
  </si>
  <si>
    <t xml:space="preserve">OPERATIVO - Activos por Derecho de Uso - PROD - Manten Y Reparac - Gastos de Servicios Prestados po </t>
  </si>
  <si>
    <t xml:space="preserve">63422093  </t>
  </si>
  <si>
    <t xml:space="preserve">OPERATIVO - Activos por Derecho de Uso - CDS - Manten Y Reparac - Gastos de Servicios Prestados po  </t>
  </si>
  <si>
    <t xml:space="preserve">63422094  </t>
  </si>
  <si>
    <t xml:space="preserve">OPERATIVO - Activos por Derecho de Uso - ADM - Manten Y Reparac - Gastos de Servicios Prestados po  </t>
  </si>
  <si>
    <t xml:space="preserve">63422095  </t>
  </si>
  <si>
    <t xml:space="preserve">OPERATIVO - Activos por Derecho de Uso - VTAS - Manten Y Reparac - Gastos de Servicios Prestados po </t>
  </si>
  <si>
    <t xml:space="preserve">6343      </t>
  </si>
  <si>
    <t xml:space="preserve">PROPIEDAD, PLANTA Y EQUIPO - Mantenimiento Y Reparaciones - Gastos de Servicios Prestados por Ter   </t>
  </si>
  <si>
    <t xml:space="preserve">6343090   </t>
  </si>
  <si>
    <t xml:space="preserve">PROPIEDAD, PLANTA Y EQUIPO - PROD - Manten Y Reparac - Gastos de Servicios Prestados por Terceros   </t>
  </si>
  <si>
    <t xml:space="preserve">6343093   </t>
  </si>
  <si>
    <t xml:space="preserve">PROPIEDAD, PLANTA Y EQUIPO - CDS - Manten Y Reparac - Gastos de Servicios Prestados por Terceros    </t>
  </si>
  <si>
    <t xml:space="preserve">6343094   </t>
  </si>
  <si>
    <t xml:space="preserve">PROPIEDAD, PLANTA Y EQUIPO - ADM - Manten Y Reparac - Gastos de Servicios Prestados por Terceros    </t>
  </si>
  <si>
    <t xml:space="preserve">6343095   </t>
  </si>
  <si>
    <t xml:space="preserve">PROPIEDAD, PLANTA Y EQUIPO - VTAS - Manten Y Reparac - Gastos de Servicios Prestados por Terceros   </t>
  </si>
  <si>
    <t xml:space="preserve">6344      </t>
  </si>
  <si>
    <t xml:space="preserve">INTANGIBLES - Mantenimiento Y Reparaciones - Gastos de Servicios Prestados por Terceros             </t>
  </si>
  <si>
    <t xml:space="preserve">6344090   </t>
  </si>
  <si>
    <t xml:space="preserve">INTANGIBLES - PROD - Mantenimiento Y Reparaciones - Gastos de Servicios Prestados por Terceros      </t>
  </si>
  <si>
    <t xml:space="preserve">6344093   </t>
  </si>
  <si>
    <t xml:space="preserve">INTANGIBLES - CDS - Mantenimiento Y Reparaciones - Gastos de Servicios Prestados por Terceros       </t>
  </si>
  <si>
    <t xml:space="preserve">6344094   </t>
  </si>
  <si>
    <t xml:space="preserve">INTANGIBLES - ADM - Mantenimiento Y Reparaciones - Gastos de Servicios Prestados por Terceros       </t>
  </si>
  <si>
    <t xml:space="preserve">6344095   </t>
  </si>
  <si>
    <t xml:space="preserve">INTANGIBLES  - VTAS - Mantenimiento Y Reparaciones - Gastos de Servicios Prestados por Terceros     </t>
  </si>
  <si>
    <t xml:space="preserve">6345      </t>
  </si>
  <si>
    <t xml:space="preserve">ACTIVOS BIOLOGICOS - Mantenimiento Y Reparaciones - Gastos de Servicios Prestados por Terceros      </t>
  </si>
  <si>
    <t xml:space="preserve">6345090   </t>
  </si>
  <si>
    <t>ACTIVOS BIOLOGICOS  - PROD - Mantenimiento Y Reparaciones - Gastos de Servicios Prestados por Tercer</t>
  </si>
  <si>
    <t xml:space="preserve">6345093   </t>
  </si>
  <si>
    <t>ACTIVOS BIOLOGICOS  - CDS - Mantenimiento Y Reparaciones - Gastos de Servicios Prestados por Tercero</t>
  </si>
  <si>
    <t xml:space="preserve">6345094   </t>
  </si>
  <si>
    <t>ACTIVOS BIOLOGICOS  - ADM - Mantenimiento Y Reparaciones - Gastos de Servicios Prestados por Tercero</t>
  </si>
  <si>
    <t xml:space="preserve">6345095   </t>
  </si>
  <si>
    <t>ACTIVOS BIOLOGICOS  - VTAS - Mantenimiento Y Reparaciones - Gastos de Servicios Prestados por Tercer</t>
  </si>
  <si>
    <t xml:space="preserve">635       </t>
  </si>
  <si>
    <t xml:space="preserve">ALQUILERES - Gastos de Servicios Prestados por Terceros                                             </t>
  </si>
  <si>
    <t xml:space="preserve">6351      </t>
  </si>
  <si>
    <t xml:space="preserve">TERRENOS - Alquileres - Gastos de Servicios Prestados por Terceros                                  </t>
  </si>
  <si>
    <t xml:space="preserve">6351090   </t>
  </si>
  <si>
    <t xml:space="preserve">TERRENOS - PROD - Alquileres - Gastos de Servicios Prestados por Terceros                           </t>
  </si>
  <si>
    <t xml:space="preserve">6351093   </t>
  </si>
  <si>
    <t xml:space="preserve">TERRENOS - CDS - Alquileres - Gastos de Servicios Prestados por Terceros                            </t>
  </si>
  <si>
    <t xml:space="preserve">6351094   </t>
  </si>
  <si>
    <t xml:space="preserve">TERRENOS - ADM - Alquileres - Gastos de Servicios Prestados por Terceros                            </t>
  </si>
  <si>
    <t xml:space="preserve">6351095   </t>
  </si>
  <si>
    <t xml:space="preserve">TERRENOS - VTAS - Alquileres - Gastos de Servicios Prestados por Terceros                           </t>
  </si>
  <si>
    <t xml:space="preserve">6352      </t>
  </si>
  <si>
    <t xml:space="preserve">EDIFICACIONES - Alquileres - Gastos de Servicios Prestados por Terceros                             </t>
  </si>
  <si>
    <t xml:space="preserve">6352090   </t>
  </si>
  <si>
    <t xml:space="preserve">EDIFICACIONES - PROD - Alquileres - Gastos de Servicios Prestados por Terceros                      </t>
  </si>
  <si>
    <t xml:space="preserve">6352093   </t>
  </si>
  <si>
    <t xml:space="preserve">EDIFICACIONES - CDS - Alquileres - Gastos de Servicios Prestados por Terceros                       </t>
  </si>
  <si>
    <t xml:space="preserve">6352094   </t>
  </si>
  <si>
    <t xml:space="preserve">EDIFICACIONES - ADM - Alquileres - Gastos de Servicios Prestados por Terceros                       </t>
  </si>
  <si>
    <t xml:space="preserve">6352095   </t>
  </si>
  <si>
    <t xml:space="preserve">EDIFICACIONES - VTAS - Alquileres - Gastos de Servicios Prestados por Terceros                      </t>
  </si>
  <si>
    <t xml:space="preserve">6353      </t>
  </si>
  <si>
    <t xml:space="preserve">MAQUINARIAS Y EQUIPOS DE EXPLOTACION - Alquileres - Gastos de Servicios Prestados por Terceros      </t>
  </si>
  <si>
    <t xml:space="preserve">6353090   </t>
  </si>
  <si>
    <t xml:space="preserve">MAQUINARIAS Y EQUIPOS DE EXPLOTACION  - PROD - DIRECTO - Alquileres - Gastos de Servicios Prestados </t>
  </si>
  <si>
    <t xml:space="preserve">6353091   </t>
  </si>
  <si>
    <t>MAQUINARIAS Y EQUIPOS DE EXPLOTACION  - PROD - INDIRECTO - Alquileres - Gastos de Servicios Prestado</t>
  </si>
  <si>
    <t xml:space="preserve">6353093   </t>
  </si>
  <si>
    <t>MAQUINARIAS Y EQUIPOS DE EXPLOTACION - CDS - Alquileres - Gastos de Servicios Prestados por Terceros</t>
  </si>
  <si>
    <t xml:space="preserve">6354      </t>
  </si>
  <si>
    <t xml:space="preserve">EQUIPO DE TRANSPORTE - Alquileres - Gastos de Servicios Prestados por Terceros                      </t>
  </si>
  <si>
    <t xml:space="preserve">6354090   </t>
  </si>
  <si>
    <t xml:space="preserve">EQUIPO DE TRANSPORTE  - PROD - Alquileres - Gastos de Servicios Prestados por Terceros              </t>
  </si>
  <si>
    <t xml:space="preserve">6354093   </t>
  </si>
  <si>
    <t xml:space="preserve">EQUIPO DE TRANSPORTE  - CDS - Alquileres - Gastos de Servicios Prestados por Terceros               </t>
  </si>
  <si>
    <t xml:space="preserve">6354094   </t>
  </si>
  <si>
    <t xml:space="preserve">EQUIPO DE TRANSPORTE  - ADM - Alquileres - Gastos de Servicios Prestados por Terceros               </t>
  </si>
  <si>
    <t xml:space="preserve">6354095   </t>
  </si>
  <si>
    <t xml:space="preserve">EQUIPO DE TRANSPORTE  - VTAS - Alquileres - Gastos de Servicios Prestados por Terceros              </t>
  </si>
  <si>
    <t xml:space="preserve">6355      </t>
  </si>
  <si>
    <t xml:space="preserve">MUEBLES Y ENSERES - Alquileres - Gastos de Servicios Prestados por Terceros                         </t>
  </si>
  <si>
    <t xml:space="preserve">6355090   </t>
  </si>
  <si>
    <t xml:space="preserve">MUEBLES Y ENSERES - PROD - Alquileres - Gastos de Servicios Prestados por Terceros                  </t>
  </si>
  <si>
    <t xml:space="preserve">6355093   </t>
  </si>
  <si>
    <t xml:space="preserve">MUEBLES Y ENSERES - CDS - Alquileres - Gastos de Servicios Prestados por Terceros                   </t>
  </si>
  <si>
    <t xml:space="preserve">6355094   </t>
  </si>
  <si>
    <t xml:space="preserve">MUEBLES Y ENSERES - ADM - Alquileres - Gastos de Servicios Prestados por Terceros                   </t>
  </si>
  <si>
    <t xml:space="preserve">6355095   </t>
  </si>
  <si>
    <t xml:space="preserve">MUEBLES Y ENSERES - VTAS - Alquileres - Gastos de Servicios Prestados por Terceros                  </t>
  </si>
  <si>
    <t xml:space="preserve">6356      </t>
  </si>
  <si>
    <t xml:space="preserve">EQUIPOS DIVERSOS - Alquileres - Gastos de Servicios Prestados por Terceros                          </t>
  </si>
  <si>
    <t xml:space="preserve">6356090   </t>
  </si>
  <si>
    <t xml:space="preserve">EQUIPOS DIVERSOS - PROD - Alquileres - Gastos de Servicios Prestados por Terceros                   </t>
  </si>
  <si>
    <t xml:space="preserve">6356093   </t>
  </si>
  <si>
    <t xml:space="preserve">EQUIPOS DIVERSOS - CDS - Alquileres - Gastos de Servicios Prestados por Terceros                    </t>
  </si>
  <si>
    <t xml:space="preserve">6356094   </t>
  </si>
  <si>
    <t xml:space="preserve">EQUIPOS DIVERSOS - ADM - Alquileres - Gastos de Servicios Prestados por Terceros                    </t>
  </si>
  <si>
    <t xml:space="preserve">6356095   </t>
  </si>
  <si>
    <t xml:space="preserve">EQUIPOS DIVERSOS - VTAS - Alquileres - Gastos de Servicios Prestados por Terceros                   </t>
  </si>
  <si>
    <t xml:space="preserve">636       </t>
  </si>
  <si>
    <t xml:space="preserve">SERVICIOS BASICOS - Gastos de Servicios Prestados por Terceros                                      </t>
  </si>
  <si>
    <t xml:space="preserve">6361      </t>
  </si>
  <si>
    <t xml:space="preserve">ENERGIA ELECTRICA - Servicios Básicos - Gastos de Servicios Prestados por Terceros                  </t>
  </si>
  <si>
    <t xml:space="preserve">6361090   </t>
  </si>
  <si>
    <t xml:space="preserve">ENERGIA ELECTRICA - PROD - DIRECTO - Servicios Básicos - Gastos de Servicios Prestados por Terceros </t>
  </si>
  <si>
    <t xml:space="preserve">6361091   </t>
  </si>
  <si>
    <t>ENERGIA ELECTRICA - PROD - INDIRECTO - Servicios Básicos - Gastos de Servicios Prestados por Tercero</t>
  </si>
  <si>
    <t xml:space="preserve">6361093   </t>
  </si>
  <si>
    <t xml:space="preserve">ENERGIA ELECTRICA - CDS - Servicios Básicos - Gastos de Servicios Prestados por Terceros            </t>
  </si>
  <si>
    <t xml:space="preserve">6361094   </t>
  </si>
  <si>
    <t xml:space="preserve">ENERGIA ELECTRICA - ADM - Servicios Básicos - Gastos de Servicios Prestados por Terceros            </t>
  </si>
  <si>
    <t xml:space="preserve">6361095   </t>
  </si>
  <si>
    <t xml:space="preserve">ENERGIA ELECTRICA - VTAS - Servicios Básicos - Gastos de Servicios Prestados por Terceros           </t>
  </si>
  <si>
    <t xml:space="preserve">6362      </t>
  </si>
  <si>
    <t xml:space="preserve">GAS - Servicios Básicos - Gastos de Servicios Prestados por Terceros                                </t>
  </si>
  <si>
    <t xml:space="preserve">6362090   </t>
  </si>
  <si>
    <t xml:space="preserve">GAS  - PROD - Servicios Básicos - Gastos de Servicios Prestados por Terceros                        </t>
  </si>
  <si>
    <t xml:space="preserve">6362093   </t>
  </si>
  <si>
    <t xml:space="preserve">GAS  - CDS - Servicios Básicos - Gastos de Servicios Prestados por Terceros                         </t>
  </si>
  <si>
    <t xml:space="preserve">6362094   </t>
  </si>
  <si>
    <t xml:space="preserve">GAS  - ADM - Servicios Básicos - Gastos de Servicios Prestados por Terceros                         </t>
  </si>
  <si>
    <t xml:space="preserve">6362095   </t>
  </si>
  <si>
    <t xml:space="preserve">GAS  - VTAS - Servicios Básicos - Gastos de Servicios Prestados por Terceros                        </t>
  </si>
  <si>
    <t xml:space="preserve">6363      </t>
  </si>
  <si>
    <t xml:space="preserve">AGUA - Servicios Básicos - Gastos de Servicios Prestados por Terceros                               </t>
  </si>
  <si>
    <t xml:space="preserve">6363090   </t>
  </si>
  <si>
    <t xml:space="preserve">AGUA   - PROD - Servicios Básicos - Gastos de Servicios Prestados por Terceros                      </t>
  </si>
  <si>
    <t xml:space="preserve">6363093   </t>
  </si>
  <si>
    <t xml:space="preserve">AGUA  - CDS - Servicios Básicos - Gastos de Servicios Prestados por Terceros                        </t>
  </si>
  <si>
    <t xml:space="preserve">6363094   </t>
  </si>
  <si>
    <t xml:space="preserve">AGUA   - ADM - Servicios Básicos - Gastos de Servicios Prestados por Terceros                       </t>
  </si>
  <si>
    <t xml:space="preserve">6363095   </t>
  </si>
  <si>
    <t xml:space="preserve">AGUA   - VTAS - Servicios Básicos - Gastos de Servicios Prestados por Terceros                      </t>
  </si>
  <si>
    <t xml:space="preserve">6364      </t>
  </si>
  <si>
    <t xml:space="preserve">TELEFONO - Servicios Básicos - Gastos de Servicios Prestados por Terceros                           </t>
  </si>
  <si>
    <t xml:space="preserve">6364090   </t>
  </si>
  <si>
    <t xml:space="preserve">TELEFONO - PROD - Servicios Básicos - Gastos de Servicios Prestados por Terceros                    </t>
  </si>
  <si>
    <t xml:space="preserve">6364093   </t>
  </si>
  <si>
    <t xml:space="preserve">TELEFONO - CDS - Servicios Básicos - Gastos de Servicios Prestados por Terceros                     </t>
  </si>
  <si>
    <t xml:space="preserve">6364094   </t>
  </si>
  <si>
    <t xml:space="preserve">TELEFONO  - ADM - Servicios Básicos - Gastos de Servicios Prestados por Terceros                    </t>
  </si>
  <si>
    <t xml:space="preserve">6364095   </t>
  </si>
  <si>
    <t xml:space="preserve">TELEFONO - VTAS - Servicios Básicos - Gastos de Servicios Prestados por Terceros                    </t>
  </si>
  <si>
    <t xml:space="preserve">6365      </t>
  </si>
  <si>
    <t xml:space="preserve">INTERNET - Servicios Básicos - Gastos de Servicios Prestados por Terceros                           </t>
  </si>
  <si>
    <t xml:space="preserve">6365090   </t>
  </si>
  <si>
    <t xml:space="preserve">INTERNET - PROD - Servicios Básicos - Gastos de Servicios Prestados por Terceros                    </t>
  </si>
  <si>
    <t xml:space="preserve">6365093   </t>
  </si>
  <si>
    <t xml:space="preserve">INTERNET - CDS - Servicios Básicos - Gastos de Servicios Prestados por Terceros                     </t>
  </si>
  <si>
    <t xml:space="preserve">6365094   </t>
  </si>
  <si>
    <t xml:space="preserve">INTERNET  - ADM - Servicios Básicos - Gastos de Servicios Prestados por Terceros                    </t>
  </si>
  <si>
    <t xml:space="preserve">6365095   </t>
  </si>
  <si>
    <t xml:space="preserve">INTERNET - VTAS - Servicios Básicos - Gastos de Servicios Prestados por Terceros                    </t>
  </si>
  <si>
    <t xml:space="preserve">6366      </t>
  </si>
  <si>
    <t xml:space="preserve">RADIO - Servicios Básicos - Gastos de Servicios Prestados por Terceros                              </t>
  </si>
  <si>
    <t xml:space="preserve">6366090   </t>
  </si>
  <si>
    <t xml:space="preserve">RADIO - PROD - Servicios Básicos - Gastos de Servicios Prestados por Terceros                       </t>
  </si>
  <si>
    <t xml:space="preserve">6366093   </t>
  </si>
  <si>
    <t xml:space="preserve">RADIO - CDS - Servicios Básicos - Gastos de Servicios Prestados por Terceros                        </t>
  </si>
  <si>
    <t xml:space="preserve">6366094   </t>
  </si>
  <si>
    <t xml:space="preserve">RADIO  - ADM - Servicios Básicos - Gastos de Servicios Prestados por Terceros                       </t>
  </si>
  <si>
    <t xml:space="preserve">6366095   </t>
  </si>
  <si>
    <t xml:space="preserve">RADIO - VTAS - Servicios Básicos - Gastos de Servicios Prestados por Terceros                       </t>
  </si>
  <si>
    <t xml:space="preserve">6367      </t>
  </si>
  <si>
    <t xml:space="preserve">CABLE - Servicios Básicos - Gastos de Servicios Prestados por Terceros                              </t>
  </si>
  <si>
    <t xml:space="preserve">6367090   </t>
  </si>
  <si>
    <t xml:space="preserve">CABLE - PROD - Servicios Básicos - Gastos de Servicios Prestados por Terceros                       </t>
  </si>
  <si>
    <t xml:space="preserve">6367093   </t>
  </si>
  <si>
    <t xml:space="preserve">CABLE - CDS - Servicios Básicos - Gastos de Servicios Prestados por Terceros                        </t>
  </si>
  <si>
    <t xml:space="preserve">6367094   </t>
  </si>
  <si>
    <t xml:space="preserve">CABLE - ADM - Servicios Básicos - Gastos de Servicios Prestados por Terceros                        </t>
  </si>
  <si>
    <t xml:space="preserve">6367095   </t>
  </si>
  <si>
    <t xml:space="preserve">CABLE - VTAS - Servicios Básicos - Gastos de Servicios Prestados por Terceros                       </t>
  </si>
  <si>
    <t xml:space="preserve">637       </t>
  </si>
  <si>
    <t xml:space="preserve">PUBLICIDAD, PUBLICACIONES, RELACIONES PÚBLICAS - Gastos de Servicios Prestados por Terceros         </t>
  </si>
  <si>
    <t xml:space="preserve">6371      </t>
  </si>
  <si>
    <t xml:space="preserve">PUBLICIDAD - Gastos de Servicios Prestados por Terceros                                             </t>
  </si>
  <si>
    <t xml:space="preserve">6371090   </t>
  </si>
  <si>
    <t xml:space="preserve">PUBLICIDAD - PROD - Gastos de Servicios Prestados por Terceros                                      </t>
  </si>
  <si>
    <t xml:space="preserve">6371093   </t>
  </si>
  <si>
    <t xml:space="preserve">PUBLICIDAD - CDS - Gastos de Servicios Prestados por Terceros                                       </t>
  </si>
  <si>
    <t xml:space="preserve">6371094   </t>
  </si>
  <si>
    <t xml:space="preserve">PUBLICIDAD- ADM - Gastos de Servicios Prestados por Terceros                                        </t>
  </si>
  <si>
    <t xml:space="preserve">PUBLICIDAD - VTAS - Gastos de Servicios Prestados por Terceros                                      </t>
  </si>
  <si>
    <t xml:space="preserve">6372      </t>
  </si>
  <si>
    <t xml:space="preserve">PUBLICACIONES - Gastos de Servicios Prestados por Terceros                                          </t>
  </si>
  <si>
    <t xml:space="preserve">6372090   </t>
  </si>
  <si>
    <t xml:space="preserve">PUBLICACIONES - PROD - Gastos de Servicios Prestados por Terceros                                   </t>
  </si>
  <si>
    <t xml:space="preserve">6372093   </t>
  </si>
  <si>
    <t xml:space="preserve">PUBLICACIONES - CDS - Gastos de Servicios Prestados por Terceros                                    </t>
  </si>
  <si>
    <t xml:space="preserve">6372094   </t>
  </si>
  <si>
    <t xml:space="preserve">PUBLICACIONES - ADM - Gastos de Servicios Prestados por Terceros                                    </t>
  </si>
  <si>
    <t xml:space="preserve">6372095   </t>
  </si>
  <si>
    <t xml:space="preserve">compensaciÓN POR TIEMPO DE SERVICIOS - Beneficios Social de los Trabajadores                        </t>
  </si>
  <si>
    <t xml:space="preserve">6373      </t>
  </si>
  <si>
    <t xml:space="preserve">RELACIONES PUBLICAS - Gastos de Servicios Prestados por Terceros                                    </t>
  </si>
  <si>
    <t xml:space="preserve">6373090   </t>
  </si>
  <si>
    <t xml:space="preserve">RELACIONES PUBLICAS   - PROD - Gastos de Servicios Prestados por Terceros                           </t>
  </si>
  <si>
    <t xml:space="preserve">6373093   </t>
  </si>
  <si>
    <t xml:space="preserve">RELACIONES PUBLICAS   - CDS - Gastos de Servicios Prestados por Terceros                            </t>
  </si>
  <si>
    <t xml:space="preserve">6373094   </t>
  </si>
  <si>
    <t xml:space="preserve">RELACIONES PUBLICAS   - ADM - Gastos de Servicios Prestados por Terceros                            </t>
  </si>
  <si>
    <t xml:space="preserve">6373095   </t>
  </si>
  <si>
    <t xml:space="preserve">RELACIONES PUBLICAS   - VTAS - Gastos de Servicios Prestados por Terceros                           </t>
  </si>
  <si>
    <t xml:space="preserve">638       </t>
  </si>
  <si>
    <t xml:space="preserve">SERVICIOS DE CONTRATISTAS - Gastos de Servicios Prestados por Terceros                              </t>
  </si>
  <si>
    <t xml:space="preserve">6380090   </t>
  </si>
  <si>
    <t xml:space="preserve">SERVICIOS DE CONTRATISTAS - PROD - Gastos de Servicios Prestados por Terceros                       </t>
  </si>
  <si>
    <t xml:space="preserve">6380093   </t>
  </si>
  <si>
    <t xml:space="preserve">SERVICIOS DE CONTRATISTAS - CDS - Gastos de Servicios Prestados por Terceros                        </t>
  </si>
  <si>
    <t xml:space="preserve">6380094   </t>
  </si>
  <si>
    <t xml:space="preserve">SERVICIOS DE CONTRATISTAS - ADM - Gastos de Servicios Prestados por Terceros                        </t>
  </si>
  <si>
    <t xml:space="preserve">6380095   </t>
  </si>
  <si>
    <t xml:space="preserve">SERVICIOS DE CONTRATISTAS - VTAS - Gastos de Servicios Prestados por Terceros                       </t>
  </si>
  <si>
    <t xml:space="preserve">639       </t>
  </si>
  <si>
    <t xml:space="preserve">OTROS SERVICIOS PRESTADOS POR TERCEROS                                                              </t>
  </si>
  <si>
    <t xml:space="preserve">6391      </t>
  </si>
  <si>
    <t xml:space="preserve">GASTOS BANCARIOS  - Otros Servicios Prestados por Terceros                                          </t>
  </si>
  <si>
    <t xml:space="preserve">6391094   </t>
  </si>
  <si>
    <t xml:space="preserve">GASTOS BANCARIOS - ADM - Otros Servicios Prestados por Terceros                                     </t>
  </si>
  <si>
    <t xml:space="preserve">6391095   </t>
  </si>
  <si>
    <t xml:space="preserve">GASTOS BANCARIOS - VTAS - Otros Servicios Prestados por Terceros                                    </t>
  </si>
  <si>
    <t xml:space="preserve">6392      </t>
  </si>
  <si>
    <t xml:space="preserve">GASTOS DE LABORATORIO - Otros Servicios Prestados por Terceros                                      </t>
  </si>
  <si>
    <t xml:space="preserve">6392090   </t>
  </si>
  <si>
    <t xml:space="preserve">GASTOS DE LABORATORIO - PROD - Otros Servicios Prestados por Terceros                               </t>
  </si>
  <si>
    <t xml:space="preserve">6392093   </t>
  </si>
  <si>
    <t xml:space="preserve">GASTOS DE LABORATORIO - CDS - Otros Servicios Prestados por Terceros                                </t>
  </si>
  <si>
    <t xml:space="preserve">64        </t>
  </si>
  <si>
    <t xml:space="preserve">GASTOS POR TRIBUTOS                                                                                 </t>
  </si>
  <si>
    <t xml:space="preserve">641       </t>
  </si>
  <si>
    <t xml:space="preserve">GOBIERNO NACIONAL - Gastos por Tributos                                                             </t>
  </si>
  <si>
    <t xml:space="preserve">6411      </t>
  </si>
  <si>
    <t xml:space="preserve">IMPUESTO GENERAL A LAS VENTAS Y SELECTIVO AL CONSUMO - Gobierno Nacional                            </t>
  </si>
  <si>
    <t xml:space="preserve">6411090   </t>
  </si>
  <si>
    <t>IMPUESTO GENERAL A LAS VENTAS Y SELECTIVO AL CONSUMO   - PROD - Gastos por Tributos  - Gobierno Naci</t>
  </si>
  <si>
    <t xml:space="preserve">6411093   </t>
  </si>
  <si>
    <t>IMPUESTO GENERAL A LAS VENTAS Y SELECTIVO AL CONSUMO   - CDS - Gastos por Tributos  - Gobierno Nacio</t>
  </si>
  <si>
    <t xml:space="preserve">6411094   </t>
  </si>
  <si>
    <t>IMPUESTO GENERAL A LAS VENTAS Y SELECTIVO AL CONSUMO   - ADM - Gastos por Tributos - Gobierno Nacion</t>
  </si>
  <si>
    <t xml:space="preserve">6411095   </t>
  </si>
  <si>
    <t>IMPUESTO GENERAL A LAS VENTAS Y SELECTIVO AL CONSUMO   - VTAS - Gastos por Tributos - Gobierno Nacio</t>
  </si>
  <si>
    <t xml:space="preserve">6412      </t>
  </si>
  <si>
    <t xml:space="preserve">IMPUESTO A LAS TRANSACCIONES FINANCIERAS - Gobierno Nacional                                        </t>
  </si>
  <si>
    <t xml:space="preserve">6412090   </t>
  </si>
  <si>
    <t xml:space="preserve">IMPUESTO A LAS TRANSACCIONES FINANCIERAS - PROD - Gastos por Tributos - Gobierno Nacional           </t>
  </si>
  <si>
    <t xml:space="preserve">6412093   </t>
  </si>
  <si>
    <t xml:space="preserve">IMPUESTO A LAS TRANSACCIONES FINANCIERAS - CDS - Gastos por Tributos - Gobierno Nacional            </t>
  </si>
  <si>
    <t xml:space="preserve">6412094   </t>
  </si>
  <si>
    <t xml:space="preserve">IMPUESTO A LAS TRANSACCIONES FINANCIERAS - ADM - Gastos por Tributos - Gobierno Nacional            </t>
  </si>
  <si>
    <t xml:space="preserve">6412095   </t>
  </si>
  <si>
    <t xml:space="preserve">IMPUESTO A LAS TRANSACCIONES FINANCIERAS - VTAS - Gastos por Tributos - Gobierno Nacional           </t>
  </si>
  <si>
    <t xml:space="preserve">6413      </t>
  </si>
  <si>
    <t xml:space="preserve">IMPUESTO TEMPORAL A LOS ACTIVOS NETOS - Gobierno Nacional                                           </t>
  </si>
  <si>
    <t xml:space="preserve">6413090   </t>
  </si>
  <si>
    <t xml:space="preserve">IMPUESTO TEMPORAL A LOS ACTIVOS NETOS - PROD - Gastos por Tributos - Gobierno Nacional              </t>
  </si>
  <si>
    <t xml:space="preserve">6413093   </t>
  </si>
  <si>
    <t xml:space="preserve">IMPUESTO TEMPORAL A LOS ACTIVOS NETOS - CDS - Gastos por Tributos - Gobierno Nacional               </t>
  </si>
  <si>
    <t xml:space="preserve">6413094   </t>
  </si>
  <si>
    <t xml:space="preserve">IMPUESTO TEMPORAL A LOS ACTIVOS NETOS - ADM - Gastos por Tributos - Gobierno Nacional               </t>
  </si>
  <si>
    <t xml:space="preserve">6413095   </t>
  </si>
  <si>
    <t xml:space="preserve">IMPUESTO TEMPORAL A LOS ACTIVOS NETOS - VTAS - Gastos por Tributos - Gobierno Nacional              </t>
  </si>
  <si>
    <t xml:space="preserve">6414      </t>
  </si>
  <si>
    <t xml:space="preserve">IMPUESTO A LOS JUEGOS DE CASINO Y MAQUINAS TRAGAMONEDAS - Gobierno Nacional                         </t>
  </si>
  <si>
    <t xml:space="preserve">6414090   </t>
  </si>
  <si>
    <t xml:space="preserve">IMPUESTO A LOS JUEGOS DE CASINO Y MAQUINAS TRAGAMONEDAS - PROD - Gastos por Tributos                </t>
  </si>
  <si>
    <t xml:space="preserve">6414093   </t>
  </si>
  <si>
    <t xml:space="preserve">IMPUESTO A LOS JUEGOS DE CASINO Y MAQUINAS TRAGAMONEDAS - CDS - Gastos por Tributos                 </t>
  </si>
  <si>
    <t xml:space="preserve">6414094   </t>
  </si>
  <si>
    <t xml:space="preserve">IMPUESTO A LOS JUEGOS DE CASINO Y MAQUINAS TRAGAMONEDAS - ADM - Gastos por Tributos                 </t>
  </si>
  <si>
    <t xml:space="preserve">6414095   </t>
  </si>
  <si>
    <t xml:space="preserve">IMPUESTO A LOS JUEGOS DE CASINO Y MAQUINAS TRAGAMONEDAS - VTAS - Gastos por Tributos                </t>
  </si>
  <si>
    <t xml:space="preserve">6415      </t>
  </si>
  <si>
    <t xml:space="preserve">REGALIAS MINERAS - Gobierno Nacional                                                                </t>
  </si>
  <si>
    <t xml:space="preserve">6415090   </t>
  </si>
  <si>
    <t xml:space="preserve">REGALIAS MINERAS - PROD - Gastos por Tributos - Gobierno Nacional                                   </t>
  </si>
  <si>
    <t xml:space="preserve">6415093   </t>
  </si>
  <si>
    <t xml:space="preserve">REGALIAS MINERAS - CDS - Gastos por Tributos - Gobierno Nacional                                    </t>
  </si>
  <si>
    <t xml:space="preserve">6415094   </t>
  </si>
  <si>
    <t xml:space="preserve">REGALIAS MINERAS - ADM - Gastos por Tributos - Gobierno Nacional                                    </t>
  </si>
  <si>
    <t xml:space="preserve">6415095   </t>
  </si>
  <si>
    <t xml:space="preserve">REGALIAS MINERAS - VTAS - Gastos por Tributos - Gobierno Nacional                                   </t>
  </si>
  <si>
    <t xml:space="preserve">6416      </t>
  </si>
  <si>
    <t xml:space="preserve">CANONES - Gobierno Nacional                                                                         </t>
  </si>
  <si>
    <t xml:space="preserve">6416090   </t>
  </si>
  <si>
    <t xml:space="preserve">CANONES   - PROD - Gastos por Tributos - Gobierno Nacional                                          </t>
  </si>
  <si>
    <t xml:space="preserve">6416093   </t>
  </si>
  <si>
    <t xml:space="preserve">CANONES   - CDS - Gastos por Tributos - Gobierno Nacional                                           </t>
  </si>
  <si>
    <t xml:space="preserve">6416094   </t>
  </si>
  <si>
    <t xml:space="preserve">CANONES   - ADM - Gastos por Tributos - Gobierno Nacional                                           </t>
  </si>
  <si>
    <t xml:space="preserve">6416095   </t>
  </si>
  <si>
    <t xml:space="preserve">CANONES   - VTAS - Gastos por Tributos - Gobierno Nacional                                          </t>
  </si>
  <si>
    <t xml:space="preserve">6419      </t>
  </si>
  <si>
    <t xml:space="preserve">OTROS GASTOS POR TRIBUTOS                                                                           </t>
  </si>
  <si>
    <t xml:space="preserve">6419090   </t>
  </si>
  <si>
    <t xml:space="preserve">OTROS GASTOS POR TRIBUTOS  - PROD - Gobierno Nacional                                               </t>
  </si>
  <si>
    <t xml:space="preserve">6419093   </t>
  </si>
  <si>
    <t xml:space="preserve">OTROS GASTOS POR TRIBUTOS  - CDS - Gobierno Nacional                                                </t>
  </si>
  <si>
    <t xml:space="preserve">6419094   </t>
  </si>
  <si>
    <t xml:space="preserve">OTROS GASTOS POR TRIBUTOS  - ADM - Gobierno Nacional                                                </t>
  </si>
  <si>
    <t xml:space="preserve">6419095   </t>
  </si>
  <si>
    <t xml:space="preserve">OTROS GASTOS POR TRIBUTOS  - VTAS - Gobierno Nacional                                               </t>
  </si>
  <si>
    <t xml:space="preserve">642       </t>
  </si>
  <si>
    <t xml:space="preserve">GOBIERNO REGIONAL - Gastos por Tributos                                                             </t>
  </si>
  <si>
    <t xml:space="preserve">6421090   </t>
  </si>
  <si>
    <t xml:space="preserve">GOBIERNO REGIONAL - PROD - Gastos por Tributos  - Gobierno Regional                                 </t>
  </si>
  <si>
    <t xml:space="preserve">6421093   </t>
  </si>
  <si>
    <t xml:space="preserve">GOBIERNO REGIONAL - CDS - Gastos por Tributos  - Gobierno Regional                                  </t>
  </si>
  <si>
    <t xml:space="preserve">6421094   </t>
  </si>
  <si>
    <t xml:space="preserve">GOBIERNO REGIONAL - ADM - Gastos por Tributos  - Gobierno Regional                                  </t>
  </si>
  <si>
    <t xml:space="preserve">6421095   </t>
  </si>
  <si>
    <t xml:space="preserve">GOBIERNO REGIONAL - VTAS - Gastos por Tributos - Gobierno Regional                                  </t>
  </si>
  <si>
    <t xml:space="preserve">643       </t>
  </si>
  <si>
    <t xml:space="preserve">GOBIERNO LOCAL - Gastos por Tributos                                                                </t>
  </si>
  <si>
    <t xml:space="preserve">6431      </t>
  </si>
  <si>
    <t xml:space="preserve">IMPUESTO PREDIAL - Gobierno Local                                                                   </t>
  </si>
  <si>
    <t xml:space="preserve">6431090   </t>
  </si>
  <si>
    <t xml:space="preserve">IMPUESTO PREDIAL - PROD - Gastos por Tributos - Gobierno Local                                      </t>
  </si>
  <si>
    <t xml:space="preserve">6431093   </t>
  </si>
  <si>
    <t xml:space="preserve">IMPUESTO PREDIAL - CDS - Gastos por Tributos- Gobierno Local                                        </t>
  </si>
  <si>
    <t xml:space="preserve">6431094   </t>
  </si>
  <si>
    <t xml:space="preserve">IMPUESTO PREDIAL - ADM - Gastos por Tributos - Gobierno Local                                       </t>
  </si>
  <si>
    <t xml:space="preserve">6431095   </t>
  </si>
  <si>
    <t xml:space="preserve">IMPUESTO PREDIAL - VTAS - Gastos por Tributos - Gobierno Local                                      </t>
  </si>
  <si>
    <t xml:space="preserve">6432      </t>
  </si>
  <si>
    <t xml:space="preserve">ARBITRIOS MUNICIPALES Y SEGURIDAD CIUDADANA - Gobierno Local                                        </t>
  </si>
  <si>
    <t xml:space="preserve">6432090   </t>
  </si>
  <si>
    <t xml:space="preserve">ARBITRIOS MUNICIPALES Y SEGURIDAD CIUDADANA  - PROD - Gastos por Tributos - Gobierno Local          </t>
  </si>
  <si>
    <t xml:space="preserve">6432093   </t>
  </si>
  <si>
    <t xml:space="preserve">ARBITRIOS MUNICIPALES Y SEGURIDAD CIUDADANA  - CDS - Gastos por Tributos - Gobierno Local           </t>
  </si>
  <si>
    <t xml:space="preserve">6432094   </t>
  </si>
  <si>
    <t xml:space="preserve">ARBITRIOS MUNICIPALES Y SEGURIDAD CIUDADANA  - ADM - Gastos por Tributos - Gobierno Local           </t>
  </si>
  <si>
    <t xml:space="preserve">6432095   </t>
  </si>
  <si>
    <t xml:space="preserve">ARBITRIOS MUNICIPALES Y SEGURIDAD CIUDADANA  - VTAS - Gastos por Tributos - Gobierno Local          </t>
  </si>
  <si>
    <t xml:space="preserve">6433      </t>
  </si>
  <si>
    <t xml:space="preserve">IMPUESTO AL PATRIMONIO  VEHICULAR - Gobierno Local                                                  </t>
  </si>
  <si>
    <t xml:space="preserve">6433090   </t>
  </si>
  <si>
    <t xml:space="preserve">IMPUESTO AL PATRIMONIO VEHICULAR - PROD - Gastos por Tributos - Gobierno Local                      </t>
  </si>
  <si>
    <t xml:space="preserve">6433093   </t>
  </si>
  <si>
    <t xml:space="preserve">IMPUESTO AL PATRIMONIO VEHICULAR - CDS - Gastos por Tributos - Gobierno Local                       </t>
  </si>
  <si>
    <t xml:space="preserve">6433094   </t>
  </si>
  <si>
    <t xml:space="preserve">IMPUESTO AL PATRIMONIO VEHICULAR - ADM - Gastos por Tributos - Gobierno Local                       </t>
  </si>
  <si>
    <t xml:space="preserve">6433095   </t>
  </si>
  <si>
    <t xml:space="preserve">IMPUESTO AL PATRIMONIO VEHICULAR - VTAS - Gastos por Tributos - Gobierno Local                      </t>
  </si>
  <si>
    <t xml:space="preserve">6434      </t>
  </si>
  <si>
    <t xml:space="preserve">LICENCIA DE FUNCIONAMIENTO     - Gobierno Local                                                     </t>
  </si>
  <si>
    <t xml:space="preserve">6434090   </t>
  </si>
  <si>
    <t xml:space="preserve">LICENCIA DE FUNCIONAMIENTO  - PROD - Gastos por Tributos - Gobierno Local                           </t>
  </si>
  <si>
    <t xml:space="preserve">6434093   </t>
  </si>
  <si>
    <t xml:space="preserve">LICENCIA DE FUNCIONAMIENTO  -CDS - Gastos por Tributos - Gobierno Local                             </t>
  </si>
  <si>
    <t xml:space="preserve">6434094   </t>
  </si>
  <si>
    <t xml:space="preserve">LICENCIA DE FUNCIONAMIENTO  - ADM - Gastos por Tributos - Gobierno Local                            </t>
  </si>
  <si>
    <t xml:space="preserve">6434095   </t>
  </si>
  <si>
    <t xml:space="preserve">LICENCIA DE FUNCIONAMIENTO  - VTAS - Gastos por Tributos - Gobierno Local                           </t>
  </si>
  <si>
    <t xml:space="preserve">6439      </t>
  </si>
  <si>
    <t xml:space="preserve">OTROS - Gobierno Local                                                                              </t>
  </si>
  <si>
    <t xml:space="preserve">6439090   </t>
  </si>
  <si>
    <t xml:space="preserve">OTROS  - PROD - Gastos por Tributos- Gobierno Local                                                 </t>
  </si>
  <si>
    <t xml:space="preserve">6439093   </t>
  </si>
  <si>
    <t xml:space="preserve">OTROS  - CDS  - Gastos por Tributos- Gobierno Local                                                 </t>
  </si>
  <si>
    <t xml:space="preserve">6439094   </t>
  </si>
  <si>
    <t xml:space="preserve">OTROS  - ADM - Gastos por Tributos- Gobierno Local                                                  </t>
  </si>
  <si>
    <t xml:space="preserve">6439095   </t>
  </si>
  <si>
    <t xml:space="preserve">OTROS  - VTAS - Gastos por Tributos- Gobierno Local                                                 </t>
  </si>
  <si>
    <t xml:space="preserve">644       </t>
  </si>
  <si>
    <t xml:space="preserve">6442      </t>
  </si>
  <si>
    <t xml:space="preserve">CONTRIBUCION AL SENCICO  - Otros Gastos por Tributos                                                </t>
  </si>
  <si>
    <t xml:space="preserve">6442090   </t>
  </si>
  <si>
    <t xml:space="preserve">CONTRIBUCION AL SENCICO - PROD - Otros Gastos por Tributos                                          </t>
  </si>
  <si>
    <t xml:space="preserve">6442093   </t>
  </si>
  <si>
    <t xml:space="preserve">CONTRIBUCION AL SENCICO - CDS - Otros Gastos por Tributos                                           </t>
  </si>
  <si>
    <t xml:space="preserve">6442094   </t>
  </si>
  <si>
    <t xml:space="preserve">CONTRIBUCION AL SENCICO - ADM - Otros Gastos por Tributos                                           </t>
  </si>
  <si>
    <t xml:space="preserve">6442095   </t>
  </si>
  <si>
    <t xml:space="preserve">CONTRIBUCION AL SENCICO - VTAS - Otros Gastos por Tributos                                          </t>
  </si>
  <si>
    <t xml:space="preserve">6443      </t>
  </si>
  <si>
    <t xml:space="preserve">OTROS - Gastos por Tributos                                                                         </t>
  </si>
  <si>
    <t xml:space="preserve">6443090   </t>
  </si>
  <si>
    <t xml:space="preserve">OTROS - PROD - Otros Gastos por Tributos                                                            </t>
  </si>
  <si>
    <t xml:space="preserve">6443093   </t>
  </si>
  <si>
    <t xml:space="preserve">OTROS - CDS - Otros Gastos por Tributos                                                             </t>
  </si>
  <si>
    <t xml:space="preserve">6443094   </t>
  </si>
  <si>
    <t xml:space="preserve">OTROS - ADM - Otros Gastos por Tributos                                                             </t>
  </si>
  <si>
    <t xml:space="preserve">6443095   </t>
  </si>
  <si>
    <t xml:space="preserve">OTROS - VTAS - Otros Gastos por Tributos                                                            </t>
  </si>
  <si>
    <t xml:space="preserve">645       </t>
  </si>
  <si>
    <t xml:space="preserve">GASTOS EN DEUDAS TRIBUTARIAS                                                                        </t>
  </si>
  <si>
    <t xml:space="preserve">6451      </t>
  </si>
  <si>
    <t xml:space="preserve">INTERESES  - Gastos en Deudas Tributarias                                                           </t>
  </si>
  <si>
    <t xml:space="preserve">6451090   </t>
  </si>
  <si>
    <t xml:space="preserve">INTERESES - PROD - Gastos en Deudas Tributarias                                                     </t>
  </si>
  <si>
    <t xml:space="preserve">6451093   </t>
  </si>
  <si>
    <t xml:space="preserve">INTERESES - CDS - Gastos en Deudas Tributarias                                                      </t>
  </si>
  <si>
    <t xml:space="preserve">6451094   </t>
  </si>
  <si>
    <t xml:space="preserve">INTERESES - ADM - Gastos en Deudas Tributarias                                                      </t>
  </si>
  <si>
    <t xml:space="preserve">6451095   </t>
  </si>
  <si>
    <t xml:space="preserve">INTERESES - VTAS - Gastos en Deudas Tributarias                                                     </t>
  </si>
  <si>
    <t xml:space="preserve">6452      </t>
  </si>
  <si>
    <t xml:space="preserve">INTERESES - FRACCIONAMIENTO  - Gastos en Deudas Tributarias                                         </t>
  </si>
  <si>
    <t xml:space="preserve">6452090   </t>
  </si>
  <si>
    <t xml:space="preserve">INTERESES - FRACCIONAMIENTO - PROD - Gastos en Deudas Tributarias                                   </t>
  </si>
  <si>
    <t xml:space="preserve">6452093   </t>
  </si>
  <si>
    <t xml:space="preserve">INTERESES - FRACCIONAMIENTO - CDS - Gastos en Deudas Tributarias                                    </t>
  </si>
  <si>
    <t xml:space="preserve">6452094   </t>
  </si>
  <si>
    <t xml:space="preserve">INTERESES - FRACCIONAMIENTO - ADM - Gastos en Deudas Tributarias                                    </t>
  </si>
  <si>
    <t xml:space="preserve">6452095   </t>
  </si>
  <si>
    <t xml:space="preserve">INTERESES - FRACCIONAMIENTO - VTAS - Gastos en Deudas Tributarias                                   </t>
  </si>
  <si>
    <t xml:space="preserve">6453      </t>
  </si>
  <si>
    <t xml:space="preserve">MULTAS  - Gastos en Deudas Tributarias                                                              </t>
  </si>
  <si>
    <t xml:space="preserve">6453090   </t>
  </si>
  <si>
    <t xml:space="preserve">MULTAS - PROD - Gastos en Deudas Tributarias                                                        </t>
  </si>
  <si>
    <t xml:space="preserve">6453093   </t>
  </si>
  <si>
    <t xml:space="preserve">MULTAS - CDS - Gastos en Deudas Tributarias                                                         </t>
  </si>
  <si>
    <t xml:space="preserve">6453094   </t>
  </si>
  <si>
    <t xml:space="preserve">MULTAS - ADM - Gastos en Deudas Tributarias                                                         </t>
  </si>
  <si>
    <t xml:space="preserve">6453095   </t>
  </si>
  <si>
    <t xml:space="preserve">MULTAS - VTAS - Gastos en Deudas Tributarias                                                        </t>
  </si>
  <si>
    <t xml:space="preserve">6454      </t>
  </si>
  <si>
    <t xml:space="preserve">COSTAS Y OTROS   - Gastos en Deudas Tributarias                                                     </t>
  </si>
  <si>
    <t xml:space="preserve">6454090   </t>
  </si>
  <si>
    <t xml:space="preserve">COSTAS Y OTROS - PROD - Gastos en Deudas Tributarias                                                </t>
  </si>
  <si>
    <t xml:space="preserve">6454093   </t>
  </si>
  <si>
    <t xml:space="preserve">COSTAS Y OTROS - CDS - Gastos en Deudas Tributarias                                                 </t>
  </si>
  <si>
    <t xml:space="preserve">6454094   </t>
  </si>
  <si>
    <t xml:space="preserve">COSTAS Y OTROS - ADM - Gastos en Deudas Tributarias                                                 </t>
  </si>
  <si>
    <t xml:space="preserve">6454095   </t>
  </si>
  <si>
    <t xml:space="preserve">COSTAS Y OTROS - VTAS - Gastos en Deudas Tributarias                                                </t>
  </si>
  <si>
    <t xml:space="preserve">65        </t>
  </si>
  <si>
    <t xml:space="preserve">OTROS GASTOS DE GESTION                                                                             </t>
  </si>
  <si>
    <t xml:space="preserve">651       </t>
  </si>
  <si>
    <t xml:space="preserve">SEGUROS  - Otros Gastos de Gestión                                                                  </t>
  </si>
  <si>
    <t xml:space="preserve">6510090   </t>
  </si>
  <si>
    <t xml:space="preserve">SEGUROS - PROD - Otros Gastos de Gestión                                                            </t>
  </si>
  <si>
    <t xml:space="preserve">6510091   </t>
  </si>
  <si>
    <t xml:space="preserve">SEGUROS - PROD INDIRECTA - Otros Gastos de Gestión                                                  </t>
  </si>
  <si>
    <t xml:space="preserve">6510093   </t>
  </si>
  <si>
    <t xml:space="preserve">SEGUROS- CDS - Otros Gastos de Gestión                                                              </t>
  </si>
  <si>
    <t xml:space="preserve">6510094   </t>
  </si>
  <si>
    <t xml:space="preserve">SEGUROS - ADM - Otros Gastos de Gestión                                                             </t>
  </si>
  <si>
    <t xml:space="preserve">6510095   </t>
  </si>
  <si>
    <t xml:space="preserve">SEGUROS - VTAS - Otros Gastos de Gestión                                                            </t>
  </si>
  <si>
    <t xml:space="preserve">652       </t>
  </si>
  <si>
    <t xml:space="preserve">REGALIAS  - Otros Gastos de Gestión                                                                 </t>
  </si>
  <si>
    <t xml:space="preserve">6520090   </t>
  </si>
  <si>
    <t xml:space="preserve">REGALIAS - PROD - Otros Gastos de Gestión                                                           </t>
  </si>
  <si>
    <t xml:space="preserve">6520093   </t>
  </si>
  <si>
    <t xml:space="preserve">REGALIAS - CDS - Otros Gastos de Gestión                                                            </t>
  </si>
  <si>
    <t xml:space="preserve">6520094   </t>
  </si>
  <si>
    <t xml:space="preserve">REGALIAS - ADM - Otros Gastos de Gestión                                                            </t>
  </si>
  <si>
    <t xml:space="preserve">6520095   </t>
  </si>
  <si>
    <t xml:space="preserve">REGALIAS  - VTAS - Otros Gastos de Gestión                                                          </t>
  </si>
  <si>
    <t xml:space="preserve">653       </t>
  </si>
  <si>
    <t xml:space="preserve">SUSCRIPCIONES  - Otros Gastos de Gestión                                                            </t>
  </si>
  <si>
    <t xml:space="preserve">6530090   </t>
  </si>
  <si>
    <t xml:space="preserve">SUSCRIPCIONES  - PROD - Otros Gastos de Gestión                                                     </t>
  </si>
  <si>
    <t xml:space="preserve">6530093   </t>
  </si>
  <si>
    <t xml:space="preserve">SUSCRIPCIONES  - CDS - Otros Gastos de Gestión                                                      </t>
  </si>
  <si>
    <t xml:space="preserve">6530094   </t>
  </si>
  <si>
    <t xml:space="preserve">SUSCRIPCIONES  - ADM - Otros Gastos de Gestión                                                      </t>
  </si>
  <si>
    <t xml:space="preserve">6530095   </t>
  </si>
  <si>
    <t xml:space="preserve">SUSCRIPCIONES   - VTAS - Otros Gastos de Gestión                                                    </t>
  </si>
  <si>
    <t xml:space="preserve">654       </t>
  </si>
  <si>
    <t xml:space="preserve">LICENCIAS Y DERECHOS DE VIGENCIA  - Otros Gastos de Gestión                                         </t>
  </si>
  <si>
    <t xml:space="preserve">6540090   </t>
  </si>
  <si>
    <t xml:space="preserve">LICENCIAS Y DERECHOS DE VIGENCIA  - PROD - Otros Gastos de Gestión                                  </t>
  </si>
  <si>
    <t xml:space="preserve">6540093   </t>
  </si>
  <si>
    <t xml:space="preserve">LICENCIAS Y DERECHOS DE VIGENCIA   - CDS - Otros Gastos de Gestión                                  </t>
  </si>
  <si>
    <t xml:space="preserve">6540094   </t>
  </si>
  <si>
    <t xml:space="preserve">LICENCIAS Y DERECHOS DE VIGENCIA  - ADM - Otros Gastos de Gestión                                   </t>
  </si>
  <si>
    <t xml:space="preserve">6540095   </t>
  </si>
  <si>
    <t xml:space="preserve">LICENCIAS Y DERECHOS DE VIGENCIA   - VTAS - Otros Gastos de Gestión                                 </t>
  </si>
  <si>
    <t xml:space="preserve">655       </t>
  </si>
  <si>
    <t xml:space="preserve">COSTO NETO DE ENAJENACIÓN DE ACTIVOS INMOVILIZADOS Y OPERACIONES DISCONTINUADAS                     </t>
  </si>
  <si>
    <t xml:space="preserve">6551      </t>
  </si>
  <si>
    <t>COSTO NETO DE ENAJENACIÓN DE ACTIVOS INMOVILIZADOS  - Costo Neto de Enajenación de Activos Inmoviliz</t>
  </si>
  <si>
    <t xml:space="preserve">65511     </t>
  </si>
  <si>
    <t xml:space="preserve">INVERSIONES MOBILIARIAS - Costo Neto de Enajenación de Activos Inmovilizados                        </t>
  </si>
  <si>
    <t>F525</t>
  </si>
  <si>
    <t xml:space="preserve">65512     </t>
  </si>
  <si>
    <t xml:space="preserve">PROPIEDADES DE INVERSIÓN - Costo Neto de Enajenación de Activos Inmovilizados                       </t>
  </si>
  <si>
    <t xml:space="preserve">65513     </t>
  </si>
  <si>
    <t>ACTIVO POR DERECHO DE USO - ARRENDAMIENTO FINANCIERO - Costo Neto de Enajenación de Activos Inmovili</t>
  </si>
  <si>
    <t xml:space="preserve">65514     </t>
  </si>
  <si>
    <t xml:space="preserve">PROPIEDAD, PLANTA Y EQUIPO - Costo Neto de Enajenación de Activos Inmovilizados                     </t>
  </si>
  <si>
    <t xml:space="preserve">65515     </t>
  </si>
  <si>
    <t xml:space="preserve">INTANGIBLES - Costo Neto de Enajenación de Activos Inmovilizados                                    </t>
  </si>
  <si>
    <t xml:space="preserve">65516     </t>
  </si>
  <si>
    <t xml:space="preserve">ACTIVOS BIOLÓGICOS - Costo Neto de Enajenación de Activos Inmovilizados                             </t>
  </si>
  <si>
    <t xml:space="preserve">6552      </t>
  </si>
  <si>
    <t>OPERACIONES DISCONTINUADAS - ABANDONO DE ACTIVOS  - Costo Neto de Enajenación de Activos Inmovilizad</t>
  </si>
  <si>
    <t xml:space="preserve">65521     </t>
  </si>
  <si>
    <t xml:space="preserve">PROPIEDADES DE INVERSIÓN - Operaciones Discontinuadas - Abandono de Activos                         </t>
  </si>
  <si>
    <t xml:space="preserve">65522     </t>
  </si>
  <si>
    <t xml:space="preserve">ACTIVOS POR DERECHO DE USO  - Arrendamiento Financiero - Operaciones Discontinuadas - Abandono de A </t>
  </si>
  <si>
    <t xml:space="preserve">65523     </t>
  </si>
  <si>
    <t xml:space="preserve">PROPIEDAD, PLANTA Y EQUIPO - Operaciones Discontinuadas - Abandono de Activos                       </t>
  </si>
  <si>
    <t xml:space="preserve">65524     </t>
  </si>
  <si>
    <t xml:space="preserve">INTANGIBLES - Operaciones Discontinuadas - Abandono de Activos                                      </t>
  </si>
  <si>
    <t xml:space="preserve">65525     </t>
  </si>
  <si>
    <t xml:space="preserve">ACTIVOS BIOLOGICOS - Operaciones Discontinuadas - Abandono de Activos                               </t>
  </si>
  <si>
    <t xml:space="preserve">656       </t>
  </si>
  <si>
    <t xml:space="preserve">SUMINISTROS   - Otros Gastos de Gestión                                                             </t>
  </si>
  <si>
    <t xml:space="preserve">6560      </t>
  </si>
  <si>
    <t xml:space="preserve">6560090   </t>
  </si>
  <si>
    <t xml:space="preserve">SUMINISTROS - PROD - Otros Gastos de Gestión                                                        </t>
  </si>
  <si>
    <t xml:space="preserve">6560093   </t>
  </si>
  <si>
    <t xml:space="preserve">SUMINISTROS - CDS - Otros Gastos de Gestión                                                         </t>
  </si>
  <si>
    <t xml:space="preserve">6560094   </t>
  </si>
  <si>
    <t xml:space="preserve">SUMINISTROS - ADM - Otros Gastos de Gestión                                                         </t>
  </si>
  <si>
    <t xml:space="preserve">6560095   </t>
  </si>
  <si>
    <t xml:space="preserve">SUMINISTROS - VTAS - Otros Gastos de Gestión                                                        </t>
  </si>
  <si>
    <t xml:space="preserve">658       </t>
  </si>
  <si>
    <t xml:space="preserve">GESTION MEDIOAMBIENTAL   - Otros Gastos de Gestión                                                  </t>
  </si>
  <si>
    <t xml:space="preserve">6580      </t>
  </si>
  <si>
    <t xml:space="preserve">6580090   </t>
  </si>
  <si>
    <t xml:space="preserve">GESTION MEDIOAMBIENTAL  - PROD - Otros Gastos de Gestión                                            </t>
  </si>
  <si>
    <t xml:space="preserve">6580094   </t>
  </si>
  <si>
    <t xml:space="preserve">GESTION MEDIOAMBIENTAL - ADM - Otros Gastos de Gestión                                              </t>
  </si>
  <si>
    <t xml:space="preserve">6580095   </t>
  </si>
  <si>
    <t xml:space="preserve">GESTION MEDIOAMBIENTAL - VTAS - Otros Gastos de Gestión                                             </t>
  </si>
  <si>
    <t xml:space="preserve">659       </t>
  </si>
  <si>
    <t xml:space="preserve">OTROS GASTOS DIVERSOS DE GESTION                                                                    </t>
  </si>
  <si>
    <t xml:space="preserve">6591      </t>
  </si>
  <si>
    <t xml:space="preserve">DONACIONES  - Otros Gastos Diversos de Gestión                                                      </t>
  </si>
  <si>
    <t xml:space="preserve">DONACIONES  - ADM - Otros Gastos Diversos de Gestión                                                </t>
  </si>
  <si>
    <t xml:space="preserve">6591095   </t>
  </si>
  <si>
    <t xml:space="preserve">DONACIONES  - VTAS - Otros Gastos Diversos de Gestión                                               </t>
  </si>
  <si>
    <t xml:space="preserve">6592      </t>
  </si>
  <si>
    <t xml:space="preserve">SANCIONES ADMINISTRATIVAS - SUNAT  - Otros Gastos Diversos de Gestión                               </t>
  </si>
  <si>
    <t xml:space="preserve">65921     </t>
  </si>
  <si>
    <t xml:space="preserve">SANCIONES ADMINISTRATIVAS  - SUNAT - Multas - Otros Gastos Diversos de Gestión                      </t>
  </si>
  <si>
    <t>F530</t>
  </si>
  <si>
    <t xml:space="preserve">65922     </t>
  </si>
  <si>
    <t>SANCIONES ADMINISTRATIVAS  - SUNAT - Derechos Antidumping y Otros - Otros Gastos Diversos de Gestión</t>
  </si>
  <si>
    <t xml:space="preserve">65929     </t>
  </si>
  <si>
    <t>SANCIONES ADMINISTRATIVAS  - SUNAT - Otras Entidades del Sector Público Nacional - Otros Gastos Div.</t>
  </si>
  <si>
    <t xml:space="preserve">6599      </t>
  </si>
  <si>
    <t xml:space="preserve">6599090   </t>
  </si>
  <si>
    <t xml:space="preserve">OTROS GASTOS DIVERSOS DE GESTION - PROD                                                             </t>
  </si>
  <si>
    <t xml:space="preserve">6599093   </t>
  </si>
  <si>
    <t xml:space="preserve">OTROS GASTOS DIVERSOS DE GESTION - CDS                                                              </t>
  </si>
  <si>
    <t xml:space="preserve">6599094   </t>
  </si>
  <si>
    <t xml:space="preserve">OTROS GASTOS DIVERSOS DE GESTION - ADM                                                              </t>
  </si>
  <si>
    <t xml:space="preserve">OTROS GASTOS DIVERSOS DE GESTION - VTAS                                                             </t>
  </si>
  <si>
    <t xml:space="preserve">66        </t>
  </si>
  <si>
    <t xml:space="preserve">PÉRDIDA POR MEDICIÓN DE ACTIVOS NO FINANCIEROS AL VALOR RAZONABLE                                   </t>
  </si>
  <si>
    <t xml:space="preserve">661       </t>
  </si>
  <si>
    <t xml:space="preserve">ACTIVO REALIZABLE                                                                                   </t>
  </si>
  <si>
    <t xml:space="preserve">6611      </t>
  </si>
  <si>
    <t xml:space="preserve">MERCADERIAS  - Activo Realizable - Pérdida por Medición a Valor Razonable                           </t>
  </si>
  <si>
    <t xml:space="preserve">66110     </t>
  </si>
  <si>
    <t xml:space="preserve">MERCADERIAS - Activo Realizable - Pérdida por Medición a Valor Razonable                            </t>
  </si>
  <si>
    <t xml:space="preserve">6612      </t>
  </si>
  <si>
    <t xml:space="preserve">PRODUCTOS TERMINADOS  - Activo Realizable - Pérdida por Medición a Valor Razonable                  </t>
  </si>
  <si>
    <t xml:space="preserve">66120     </t>
  </si>
  <si>
    <t xml:space="preserve">PRODUCTOS TERMINADOS - Activo Realizable - Pérdida por Medición a Valor Razonable                   </t>
  </si>
  <si>
    <t xml:space="preserve">6613      </t>
  </si>
  <si>
    <t xml:space="preserve">ACTIVOS NO CORRIENTES MANTENIDOS PARA LA VENTA  - Activo Realizable - Pérdida por Medición a VR     </t>
  </si>
  <si>
    <t xml:space="preserve">66131     </t>
  </si>
  <si>
    <t xml:space="preserve">PROPIEDADES DE INVERSIÓN  - Activo Realizable - Pérdida por Medición a Valor Razonable              </t>
  </si>
  <si>
    <t xml:space="preserve">661310    </t>
  </si>
  <si>
    <t xml:space="preserve">66132     </t>
  </si>
  <si>
    <t xml:space="preserve">PROPIEDAD, PLANTA Y EQUIPO  - Activo Realizable - Pérdida por Medición a Valor Razonable            </t>
  </si>
  <si>
    <t xml:space="preserve">661320    </t>
  </si>
  <si>
    <t xml:space="preserve">PROPIEDAD, PLANTA Y EQUIPO - Activo Realizable - Pérdida por Medición a Valor Razonable             </t>
  </si>
  <si>
    <t xml:space="preserve">66133     </t>
  </si>
  <si>
    <t xml:space="preserve">INTANGIBLES  - Activo Realizable - Pérdida por Medición a Valor Razonable                           </t>
  </si>
  <si>
    <t xml:space="preserve">661330    </t>
  </si>
  <si>
    <t xml:space="preserve">66134     </t>
  </si>
  <si>
    <t xml:space="preserve">ACTIVOS BIOLOGICOS  - Activo Realizable - Pérdida por Medición a Valor Razonable                    </t>
  </si>
  <si>
    <t xml:space="preserve">661340    </t>
  </si>
  <si>
    <t xml:space="preserve">ACTIVOS BIOLOGICOS - Activo Realizable - Pérdida por Medición a Valor Razonable                     </t>
  </si>
  <si>
    <t xml:space="preserve">662       </t>
  </si>
  <si>
    <t xml:space="preserve">ACTIVO INMOVILIZADO                                                                                 </t>
  </si>
  <si>
    <t xml:space="preserve">6621      </t>
  </si>
  <si>
    <t xml:space="preserve">PROPIEDADES DE INVERSIÓN  - Activo Inmovilizado - Pérdida por Medición a Valor Razonable            </t>
  </si>
  <si>
    <t xml:space="preserve">66210     </t>
  </si>
  <si>
    <t xml:space="preserve">PROPIEDADES DE INVERSIÓN - Activo Inmovilizado - Pérdida por Medición a Valor Razonable             </t>
  </si>
  <si>
    <t xml:space="preserve">6622      </t>
  </si>
  <si>
    <t xml:space="preserve">ACTIVOS BIOLOGICOS  - Activo Inmovilizado - Pérdida por Medición a Valor Razonable                  </t>
  </si>
  <si>
    <t xml:space="preserve">66220     </t>
  </si>
  <si>
    <t xml:space="preserve">ACTIVOS BIOLOGICOS - Activo Inmovlizado - Pérdida por Medición a Valor Razonable                    </t>
  </si>
  <si>
    <t xml:space="preserve">67        </t>
  </si>
  <si>
    <t xml:space="preserve">GASTOS FINANCIEROS                                                                                  </t>
  </si>
  <si>
    <t xml:space="preserve">671       </t>
  </si>
  <si>
    <t xml:space="preserve">GASTOS EN OPERACIONES DE ENDEUDAMIENTO Y OTROS                                                      </t>
  </si>
  <si>
    <t xml:space="preserve">6711      </t>
  </si>
  <si>
    <t xml:space="preserve">PRÉSTAMOS DE INSTITUCIONES FINANCIERAS Y OTRAS ENTIDADES  - Gastos Financieros                      </t>
  </si>
  <si>
    <t xml:space="preserve">6711097   </t>
  </si>
  <si>
    <t xml:space="preserve">PRÉSTAMOS DE INSTITUCIONES FINANCIERAS Y OTRAS ENTIDADES- Gastos Financieros                        </t>
  </si>
  <si>
    <t xml:space="preserve">9711      </t>
  </si>
  <si>
    <t xml:space="preserve">6712      </t>
  </si>
  <si>
    <t xml:space="preserve">CONTRATOS DE ARRENDAMIENTO FINANCIERO  - Gastos Financieros                                         </t>
  </si>
  <si>
    <t xml:space="preserve">6712097   </t>
  </si>
  <si>
    <t xml:space="preserve">CONTRATOS DE ARRENDAMIENTO FINANCIERO - Gastos Financieros                                          </t>
  </si>
  <si>
    <t xml:space="preserve">6713      </t>
  </si>
  <si>
    <t xml:space="preserve">EMISIÓN Y COLOCACIÓN DE INSTRUMENTOS REPRESENTATIVOS DE DEUDA Y PATRIMONIO - Gastos Financieros     </t>
  </si>
  <si>
    <t xml:space="preserve">6713097   </t>
  </si>
  <si>
    <t xml:space="preserve">6714      </t>
  </si>
  <si>
    <t xml:space="preserve">DOCUMENTOS VENDIDOS O DESCONTADOS - Gastos Financieros                                              </t>
  </si>
  <si>
    <t xml:space="preserve">6714097   </t>
  </si>
  <si>
    <t xml:space="preserve">672       </t>
  </si>
  <si>
    <t xml:space="preserve">PÉRDIDA POR INSTRUMENTOS FINANCIEROS DERIVADOS - Gastos Financieros                                 </t>
  </si>
  <si>
    <t xml:space="preserve">6720097   </t>
  </si>
  <si>
    <t xml:space="preserve">673       </t>
  </si>
  <si>
    <t xml:space="preserve">INTERESES POR PRÉSTAMOS Y OTRAS OBLIGACIONES                                                        </t>
  </si>
  <si>
    <t xml:space="preserve">6731      </t>
  </si>
  <si>
    <t xml:space="preserve">PRÉSTAMOS DE INSTITUCIONES FINANCIERAS Y OTRAS ENTIDADES                                            </t>
  </si>
  <si>
    <t xml:space="preserve">67311     </t>
  </si>
  <si>
    <t xml:space="preserve">INSTITUCIONES FINANCIERAS - Interes por Préstamo y Otras Obligaciones - Gastos Financieros          </t>
  </si>
  <si>
    <t xml:space="preserve">67311097  </t>
  </si>
  <si>
    <t xml:space="preserve">67312     </t>
  </si>
  <si>
    <t xml:space="preserve">OTRAS ENTIDADES - Interés por Préstamo y Otras Obligaciones - Gastos Financieros                    </t>
  </si>
  <si>
    <t xml:space="preserve">67312097  </t>
  </si>
  <si>
    <t xml:space="preserve">OTRAS ENTIDADES - Interes por Préstamo y Otras Obligaciones - Gastos Financieros                    </t>
  </si>
  <si>
    <t xml:space="preserve">6732      </t>
  </si>
  <si>
    <t>CONTRATOS DE ARRENDAMIENTO FINANCIERO - Interes por Préstamo y Otras Obligaciones - Gastos Financier</t>
  </si>
  <si>
    <t xml:space="preserve">6732097   </t>
  </si>
  <si>
    <t xml:space="preserve">6733      </t>
  </si>
  <si>
    <t>OTROS INSTRUMENTOS FINANCIEROS POR PAGAR - Interes por Préstamo y Otras Obligaciones - Gastos Financ</t>
  </si>
  <si>
    <t xml:space="preserve">6733097   </t>
  </si>
  <si>
    <t xml:space="preserve">6734      </t>
  </si>
  <si>
    <t xml:space="preserve">DOCUMENTOS VENDIDOS O DESCONTADOS  - Interes por Préstamo y Otras Obligaciones - Gastos Financieros </t>
  </si>
  <si>
    <t xml:space="preserve">6734097   </t>
  </si>
  <si>
    <t xml:space="preserve">6735      </t>
  </si>
  <si>
    <t xml:space="preserve">OBLIGACIONES EMITIDAS - Interes por Préstamo y Otras Obligaciones - Gastos Financieros              </t>
  </si>
  <si>
    <t xml:space="preserve">6735097   </t>
  </si>
  <si>
    <t xml:space="preserve">6736      </t>
  </si>
  <si>
    <t xml:space="preserve">OBLIGACIONES COMERCIALES - Interes por Préstamo y Otras Obligaciones - Gastos Financieros           </t>
  </si>
  <si>
    <t xml:space="preserve">6736097   </t>
  </si>
  <si>
    <t xml:space="preserve">674       </t>
  </si>
  <si>
    <t xml:space="preserve">GASTOS EN OPERACIONES DE FACTORAJE (FACTORING)                                                      </t>
  </si>
  <si>
    <t xml:space="preserve">6741      </t>
  </si>
  <si>
    <t xml:space="preserve">PÉRDIDA EN INSTRUMENTOS VENDIDOS                                                                    </t>
  </si>
  <si>
    <t xml:space="preserve">6741097   </t>
  </si>
  <si>
    <t xml:space="preserve">PÉRDIDA EN INSTRUMENTOS VENDIDOS - Gastos en Operaciones de Factoraje                               </t>
  </si>
  <si>
    <t xml:space="preserve">675       </t>
  </si>
  <si>
    <t xml:space="preserve">DESCUENTO CONCEDIDOS POR PRONTO PAGO                                                                </t>
  </si>
  <si>
    <t xml:space="preserve">6750097   </t>
  </si>
  <si>
    <t xml:space="preserve">DESCUENTO CONCEDIDOS POR PRONTO PAGO  - FIN - Gastos Financieros                                    </t>
  </si>
  <si>
    <t xml:space="preserve">676       </t>
  </si>
  <si>
    <t xml:space="preserve">DIFERENCIA DE CAMBIO                                                                                </t>
  </si>
  <si>
    <t xml:space="preserve">6760097   </t>
  </si>
  <si>
    <t xml:space="preserve">DIFERENCIA DE CAMBIO - FIN - Gastos Financieros                                                     </t>
  </si>
  <si>
    <t xml:space="preserve">677       </t>
  </si>
  <si>
    <t xml:space="preserve">PERDIDA POR MEDICION DE ACTIVOS  Y PASIVOS FINANCIEROS A VALOR RAZONABLE                            </t>
  </si>
  <si>
    <t xml:space="preserve">6771      </t>
  </si>
  <si>
    <t xml:space="preserve">INVERSIONES MANTENIDAS PARA NEGOCIACION - Pérdida Medic de Activo y Pasivo Financ a Valor Razonable </t>
  </si>
  <si>
    <t xml:space="preserve">6771097   </t>
  </si>
  <si>
    <t xml:space="preserve">6772      </t>
  </si>
  <si>
    <t xml:space="preserve">OTRAS INVERSIONES FINANCIERAS - Pérdida Medic de Activo y Pasivo Financ a Valor Razonable           </t>
  </si>
  <si>
    <t xml:space="preserve">6772097   </t>
  </si>
  <si>
    <t xml:space="preserve">6773      </t>
  </si>
  <si>
    <t xml:space="preserve">OTROS - Pérdida Medic de Activo y Pasivo Financ a Valor Razonable                                   </t>
  </si>
  <si>
    <t xml:space="preserve">6773097   </t>
  </si>
  <si>
    <t xml:space="preserve">678       </t>
  </si>
  <si>
    <t xml:space="preserve">PARTICIPACION EN RESULTADO ENTIDADES RELACIONADAS                                                   </t>
  </si>
  <si>
    <t xml:space="preserve">6781      </t>
  </si>
  <si>
    <t xml:space="preserve">PARTICIPACION EN RESULTADO DE SUBSIDIARIAS Y ASOCIADAS BAJO EL METODO DEL VALOR PATRIMONIAL         </t>
  </si>
  <si>
    <t xml:space="preserve">6781097   </t>
  </si>
  <si>
    <t xml:space="preserve">6782      </t>
  </si>
  <si>
    <t xml:space="preserve">PARTICIPACIONES EN NEGOCIACIONES CONJUNTOS                                                          </t>
  </si>
  <si>
    <t xml:space="preserve">6782097   </t>
  </si>
  <si>
    <t xml:space="preserve">679       </t>
  </si>
  <si>
    <t xml:space="preserve">OTROS GASTOS FINANCIEROS                                                                            </t>
  </si>
  <si>
    <t xml:space="preserve">6791      </t>
  </si>
  <si>
    <t xml:space="preserve">PRIMAS POR OPCIONES - Gastos Financieros                                                            </t>
  </si>
  <si>
    <t xml:space="preserve">6791097   </t>
  </si>
  <si>
    <t xml:space="preserve">6792      </t>
  </si>
  <si>
    <t xml:space="preserve">GASTOS FINANCIEROS EN MEDICIÓN A VALOR DESCONTADO                                                   </t>
  </si>
  <si>
    <t xml:space="preserve">6792097   </t>
  </si>
  <si>
    <t xml:space="preserve">GASTOS FINANCIEROS EN MEDICIÓN A VALOR DESCONTADO - Gastos Financieros                              </t>
  </si>
  <si>
    <t xml:space="preserve">6793      </t>
  </si>
  <si>
    <t xml:space="preserve">GASTOS FINANCIEROS EN ACTUALIZACIÓN DE ACTIVOS  POR DERECHO DE USO                                  </t>
  </si>
  <si>
    <t xml:space="preserve">6793097   </t>
  </si>
  <si>
    <t xml:space="preserve">GASTOS FINANCIEROS EN ACTUALIZACIÓN DE ACTIVOS  POR DERECHO DE USO - Gastos Financieros             </t>
  </si>
  <si>
    <t xml:space="preserve">68        </t>
  </si>
  <si>
    <t xml:space="preserve">VALUACION Y DETERIORO DE ACTIVOS Y PROVISIONES                                                      </t>
  </si>
  <si>
    <t xml:space="preserve">681       </t>
  </si>
  <si>
    <t xml:space="preserve">DEPRECIACION DE PROPIEDADES DE INVERSIÓN - Valuación y Deterioro de Activos y Provisiones           </t>
  </si>
  <si>
    <t xml:space="preserve">6811      </t>
  </si>
  <si>
    <t>EDIFICACIONES - Depreciación Propiedades de Inversión - Valuación y Deterioro de Activos y Provision</t>
  </si>
  <si>
    <t xml:space="preserve">68111     </t>
  </si>
  <si>
    <t xml:space="preserve">EDIFICACIONES - COSTO - Propiedades de Inversión - Depreciación                                     </t>
  </si>
  <si>
    <t xml:space="preserve">6811190   </t>
  </si>
  <si>
    <t xml:space="preserve">EDIFICACIONES - COSTO - PROD - Propiedades de Inversión - Depreciación                              </t>
  </si>
  <si>
    <t xml:space="preserve">6811193   </t>
  </si>
  <si>
    <t xml:space="preserve">EDIFICACIONES - COSTO - CDS - Propiedades de Inversión - Depreciación                               </t>
  </si>
  <si>
    <t xml:space="preserve">6811194   </t>
  </si>
  <si>
    <t xml:space="preserve">EDIFICACIONES - COSTO - ADM - Propiedades de Inversión - Depreciación                               </t>
  </si>
  <si>
    <t xml:space="preserve">6811195   </t>
  </si>
  <si>
    <t xml:space="preserve">EDIFICACIONES - COSTO - VTAS - Propiedades de Inversión - Depreciación                              </t>
  </si>
  <si>
    <t xml:space="preserve">68112     </t>
  </si>
  <si>
    <t xml:space="preserve">EDIFICACIONES - REVALUACION - Propiedades de Inversión - Depreciación                               </t>
  </si>
  <si>
    <t xml:space="preserve">6811290   </t>
  </si>
  <si>
    <t xml:space="preserve">EDIFICACIONES - REVALUACION - PROD - Propiedades de Inversión - Depreciación                        </t>
  </si>
  <si>
    <t xml:space="preserve">6811293   </t>
  </si>
  <si>
    <t xml:space="preserve">EDIFICACIONES - REVALUACION - CDS - Propiedades de Inversión - Depreciación                         </t>
  </si>
  <si>
    <t xml:space="preserve">6811294   </t>
  </si>
  <si>
    <t xml:space="preserve">EDIFICACIONES - REVALUACION - ADM - Propiedades de Inversión - Depreciación                         </t>
  </si>
  <si>
    <t xml:space="preserve">6811295   </t>
  </si>
  <si>
    <t xml:space="preserve">EDIFICACIONES - REVALUACION - VTAS - Propiedades de Inversión - Depreciación                        </t>
  </si>
  <si>
    <t xml:space="preserve">68113     </t>
  </si>
  <si>
    <t xml:space="preserve">EDIFICACIONES - COSTO DE FINANCIACIÓN - Propiedades de Inversión - Depreciación                     </t>
  </si>
  <si>
    <t xml:space="preserve">6811390   </t>
  </si>
  <si>
    <t xml:space="preserve">EDIFICACIONES - COSTO DE FINANCIACIÓN - PROD - Propiedades de Inversión - Depreciación              </t>
  </si>
  <si>
    <t xml:space="preserve">6811393   </t>
  </si>
  <si>
    <t xml:space="preserve">EDIFICACIONES - COSTO DE FINANCIACIÓN - CDS - Propiedades de Inversión - Depreciación               </t>
  </si>
  <si>
    <t xml:space="preserve">6811394   </t>
  </si>
  <si>
    <t xml:space="preserve">EDIFICACIONES - COSTO DE FINANCIACIÓN - ADM - Propiedades de Inversión - Depreciación               </t>
  </si>
  <si>
    <t xml:space="preserve">6811395   </t>
  </si>
  <si>
    <t xml:space="preserve">EDIFICACIONES - COSTO DE FINANCIACIÓN - VTAS - Propiedades de Inversión - Depreciación              </t>
  </si>
  <si>
    <t xml:space="preserve">682       </t>
  </si>
  <si>
    <t xml:space="preserve">DEPRECIACIÓN DE ACTIVOS POR DERECHO DE USO - Arrendamiento Financiero                               </t>
  </si>
  <si>
    <t xml:space="preserve">6821      </t>
  </si>
  <si>
    <t xml:space="preserve">PROPIEDADES DE INVERSIÓN - Depreciación de Activos por Derecho de Uso - Arrendamiento Financiero    </t>
  </si>
  <si>
    <t xml:space="preserve">68211     </t>
  </si>
  <si>
    <t>EDIFICACIONES - Propiedades de Inversión - Depreciación de Activos por Derecho de Uso - Arrendamient</t>
  </si>
  <si>
    <t xml:space="preserve">682111    </t>
  </si>
  <si>
    <t xml:space="preserve">EDIFICACIONES - COSTO -  Propiedades de Inversión - Depreciación - Arrendamiento Financiero         </t>
  </si>
  <si>
    <t xml:space="preserve">682111090 </t>
  </si>
  <si>
    <t xml:space="preserve">EDIFICACIONES - COSTO -  PROD - Propiedades de Inversión - Depreciación - Arrendamiento Financiero  </t>
  </si>
  <si>
    <t xml:space="preserve">682111093 </t>
  </si>
  <si>
    <t xml:space="preserve">EDIFICACIONES - COSTO -  CDS - Propiedades de Inversión - Depreciación - Arrendamiento Financiero   </t>
  </si>
  <si>
    <t xml:space="preserve">682111094 </t>
  </si>
  <si>
    <t xml:space="preserve">EDIFICACIONES - COSTO -  ADM - Propiedades de Inversión - Depreciación - Arrendamiento Financiero   </t>
  </si>
  <si>
    <t xml:space="preserve">682111095 </t>
  </si>
  <si>
    <t xml:space="preserve">EDIFICACIONES - COSTO - VTAS - Propiedades de Inversión - Depreciación - Arrendamiento Financiero   </t>
  </si>
  <si>
    <t xml:space="preserve">682112    </t>
  </si>
  <si>
    <t xml:space="preserve">EDIFICACIONES - REVALUACIÓN -  Propiedades de Inversión - Depreciación - Arrendamiento Financiero   </t>
  </si>
  <si>
    <t xml:space="preserve">682112090 </t>
  </si>
  <si>
    <t>EDIFICACIONES - REVALUACIÓN -  PROD - Propiedades de Inversión - Depreciación - Arrendamiento Financ</t>
  </si>
  <si>
    <t xml:space="preserve">682112093 </t>
  </si>
  <si>
    <t>EDIFICACIONES - REVALUACIÓN - CDS - Propiedades de Inversión - Depreciación - Arrendamiento Financie</t>
  </si>
  <si>
    <t xml:space="preserve">682112094 </t>
  </si>
  <si>
    <t>EDIFICACIONES - REVALUACIÓN -  ADM - Propiedades de Inversión - Depreciación - Arrendamiento Financi</t>
  </si>
  <si>
    <t xml:space="preserve">682112095 </t>
  </si>
  <si>
    <t>EDIFICACIONES - REVALUACIÓN -  VTAS - Propiedades de Inversión - Depreciación - Arrendamiento Financ</t>
  </si>
  <si>
    <t xml:space="preserve">682113    </t>
  </si>
  <si>
    <t>EDIFICACIONES - COSTO DE FINANCIACIÓN -  Propiedades de Inversión - Depreciación - Arrendam Financie</t>
  </si>
  <si>
    <t xml:space="preserve">682113090 </t>
  </si>
  <si>
    <t>EDIFICACIONES - COSTO FINANCIACIÓN -  PROD - Propiedades de Inversión - Depreciación - Arrend Financ</t>
  </si>
  <si>
    <t xml:space="preserve">682113093 </t>
  </si>
  <si>
    <t xml:space="preserve">EDIFICACIONES - COSTO FINANCIACIÓN -  CDS - Propiedades de Inversión - Depreciación - Arrend Financ </t>
  </si>
  <si>
    <t xml:space="preserve">682113094 </t>
  </si>
  <si>
    <t xml:space="preserve">EDIFICACIONES - COSTO FINANCIACIÓN -  ADM - Propiedades de Inversión - Depreciación - Arrend Financ </t>
  </si>
  <si>
    <t xml:space="preserve">682113095 </t>
  </si>
  <si>
    <t>EDIFICACIONES - COSTO FINANCIACIÓN -  VTAS - Propiedades de Inversión - Depreciación - Arrend Financ</t>
  </si>
  <si>
    <t xml:space="preserve">6822      </t>
  </si>
  <si>
    <t xml:space="preserve">PROPIEDAD, PLANTA Y EQUIPO - Depreciación - Arrendamiento Financiero                                </t>
  </si>
  <si>
    <t xml:space="preserve">68221     </t>
  </si>
  <si>
    <t xml:space="preserve">EDIFICACIONES - Propiedad Planta Equipo - Depreciación - Arrendamiento Financiero                   </t>
  </si>
  <si>
    <t xml:space="preserve">682211    </t>
  </si>
  <si>
    <t xml:space="preserve">EDIFICACIONES - COSTO - Propiedad Planta Equipo - Depreciación - Arrendamiento Financiero           </t>
  </si>
  <si>
    <t xml:space="preserve">682211090 </t>
  </si>
  <si>
    <t xml:space="preserve">EDIFICACIONES - COSTO -  PROD - Propiedad Planta Equipo - Depreciación - Arrendamiento Financiero   </t>
  </si>
  <si>
    <t xml:space="preserve">682211093 </t>
  </si>
  <si>
    <t xml:space="preserve">EDIFICACIONES - COSTO -  CDS - Propiedad Planta Equipo - Depreciación - Arrendamiento Financiero    </t>
  </si>
  <si>
    <t xml:space="preserve">682211094 </t>
  </si>
  <si>
    <t xml:space="preserve">EDIFICACIONES - COSTO -  ADM - Propiedad Planta Equipo - Depreciación - Arrendamiento Financiero    </t>
  </si>
  <si>
    <t xml:space="preserve">682211095 </t>
  </si>
  <si>
    <t xml:space="preserve">EDIFICACIONES - COSTO -  VTAS - Propiedad Planta Equipo - Depreciación - Arrendamiento Financiero   </t>
  </si>
  <si>
    <t xml:space="preserve">682212    </t>
  </si>
  <si>
    <t xml:space="preserve">EDIFICACIONES - REVALUACIÓN - Propiedad Planta Equipo - Depreciación - Arrendamiento Financiero     </t>
  </si>
  <si>
    <t xml:space="preserve">682212090 </t>
  </si>
  <si>
    <t>EDIFICACIONES - REVALUACIÓN -  PROD - Propiedad Planta Equipo - Depreciación - Arrendamiento Financi</t>
  </si>
  <si>
    <t xml:space="preserve">682212093 </t>
  </si>
  <si>
    <t>EDIFICACIONES - REVALUACIÓN -  CDS - Propiedad Planta Equipo - Depreciación - Arrendamiento Financie</t>
  </si>
  <si>
    <t xml:space="preserve">682212094 </t>
  </si>
  <si>
    <t>EDIFICACIONES - REVALUACIÓN -  ADM - Propiedad Planta Equipo - Depreciación - Arrendamiento Financie</t>
  </si>
  <si>
    <t xml:space="preserve">682212095 </t>
  </si>
  <si>
    <t>EDIFICACIONES - REVALUACIÓN -  VTAS - Propiedad Planta Equipo - Depreciación - Arrendamiento Financi</t>
  </si>
  <si>
    <t xml:space="preserve">682213    </t>
  </si>
  <si>
    <t>EDIFICACIONES - COSTO FINANCIACIÓN - Propiedad Planta Equipo - Depreciación - Arrendamiento Financie</t>
  </si>
  <si>
    <t xml:space="preserve">682213090 </t>
  </si>
  <si>
    <t xml:space="preserve">EDIFICACIONES - COSTO FINANCIACIÓN -  PROD - Propiedad Planta Equipo - Depreciación - Arrend Financ </t>
  </si>
  <si>
    <t xml:space="preserve">682213093 </t>
  </si>
  <si>
    <t xml:space="preserve">EDIFICACIONES - COSTO FINANCIACIÓN -  CDS - Propiedad Planta Equipo - Depreciación - Arrend Financ  </t>
  </si>
  <si>
    <t xml:space="preserve">682213094 </t>
  </si>
  <si>
    <t xml:space="preserve">EDIFICACIONES - COSTO FINANCIACIÓN - ADM - Propiedad Planta Equipo - Depreciación - Arrend Financ   </t>
  </si>
  <si>
    <t xml:space="preserve">682213095 </t>
  </si>
  <si>
    <t xml:space="preserve">EDIFICACIONES - COSTO FINANCIACIÓN - VTAS - Propiedad Planta Equipo - Depreciación - Arrend Financ  </t>
  </si>
  <si>
    <t xml:space="preserve">68222     </t>
  </si>
  <si>
    <t xml:space="preserve">MAQUINARIA Y EQUIPO DE EXPLOTACIÓN - Propiedad Planta Equipo - Depreciación - Arrend Financ         </t>
  </si>
  <si>
    <t xml:space="preserve">682221    </t>
  </si>
  <si>
    <t xml:space="preserve">MAQUINARIA Y EQUIPO DE EXPLOTACIÓN - COSTO - Propiedad Planta Equipo - Depreciación - Arrend Financ </t>
  </si>
  <si>
    <t xml:space="preserve">682221090 </t>
  </si>
  <si>
    <t>MAQUINARIA Y EQUIPO DE EXPLOT - COSTO - PROD - Propiedad Planta Equipo - Depreciación - Arrend Finan</t>
  </si>
  <si>
    <t xml:space="preserve">682221093 </t>
  </si>
  <si>
    <t>MAQUINARIA Y EQUIPO DE EXPLOT - COSTO - CDS - Propiedad Planta Equipo - Depreciación - Arrend Financ</t>
  </si>
  <si>
    <t xml:space="preserve">682221094 </t>
  </si>
  <si>
    <t>MAQUINARIA Y EQUIPO DE EXPLOT - COSTO - ADM - Propiedad Planta Equipo - Depreciación - Arrend Financ</t>
  </si>
  <si>
    <t xml:space="preserve">682221095 </t>
  </si>
  <si>
    <t>MAQUINARIA Y EQUIPO DE EXPLOT - COSTO - VTAS - Propiedad Planta Equipo - Depreciación - Arrend Finan</t>
  </si>
  <si>
    <t xml:space="preserve">682222    </t>
  </si>
  <si>
    <t>MAQUINARIA Y EQUIPO DE EXPLOT - REVALUACIÓN - Propiedad Planta Equipo - Depreciación - Arrend Financ</t>
  </si>
  <si>
    <t xml:space="preserve">682222090 </t>
  </si>
  <si>
    <t>MAQUIN Y EQUIPO DE EXPLOT - REVALUACIÓN - PROD - Propied Planta Equipo - Depreciación - Arrend Finan</t>
  </si>
  <si>
    <t xml:space="preserve">682222093 </t>
  </si>
  <si>
    <t xml:space="preserve">MAQUIN Y EQUIPO DE EXPLOT - REVALUACIÓN - CDS - Propied Planta Equipo - Depreciación - Arrend Finan </t>
  </si>
  <si>
    <t xml:space="preserve">682222094 </t>
  </si>
  <si>
    <t xml:space="preserve">MAQUIN Y EQUIPO DE EXPLOT - REVALUACIÓN - ADM - Propied Planta Equipo - Depreciación - Arrend Finan </t>
  </si>
  <si>
    <t xml:space="preserve">682222095 </t>
  </si>
  <si>
    <t>MAQUIN Y EQUIPO DE EXPLOT - REVALUACIÓN - VTAS - Propied Planta Equipo - Depreciación - Arrend Finan</t>
  </si>
  <si>
    <t xml:space="preserve">682223    </t>
  </si>
  <si>
    <t xml:space="preserve">MAQUIN Y EQUIPO DE EXPLOT - COSTO DE FINANC - Propied Planta Equipo - Depreciación - Arrend Finan   </t>
  </si>
  <si>
    <t xml:space="preserve">682223090 </t>
  </si>
  <si>
    <t>MAQUIN Y EQUIPO DE EXPLOT - COSTO DE FINANC - PROD - Propied Planta Equipo - Deprec - Arrend Financi</t>
  </si>
  <si>
    <t xml:space="preserve">682223093 </t>
  </si>
  <si>
    <t xml:space="preserve">MAQUIN Y EQUIPO DE EXPLOT - COSTO DE FINANC - CDS - Propied Planta Equipo - Deprec - Arrend Financi </t>
  </si>
  <si>
    <t xml:space="preserve">682223094 </t>
  </si>
  <si>
    <t xml:space="preserve">MAQUIN Y EQUIPO DE EXPLOT - COSTO DE FINANC - ADM - Propied Planta Equipo - Deprec - Arrend Financi </t>
  </si>
  <si>
    <t xml:space="preserve">682223095 </t>
  </si>
  <si>
    <t>MAQUIN Y EQUIPO DE EXPLOT - COSTO DE FINANC - VTAS - Propied Planta Equipo - Deprec - Arrend Financi</t>
  </si>
  <si>
    <t xml:space="preserve">68223     </t>
  </si>
  <si>
    <t xml:space="preserve">UNIDADES DE TRANSPORTE - Prop Planta Equip - Depreciación - Arrendamiento Financie                  </t>
  </si>
  <si>
    <t xml:space="preserve">682231    </t>
  </si>
  <si>
    <t xml:space="preserve">UNIDADES DE TRANSPORTE - COSTO - Propied Planta Equipo - Deprec - Arrend Financi                    </t>
  </si>
  <si>
    <t xml:space="preserve">682231090 </t>
  </si>
  <si>
    <t xml:space="preserve">UNIDADES DE TRANSPORTE - COSTO - PROD - Propied Planta Equipo - Deprec - Arrend Financi             </t>
  </si>
  <si>
    <t xml:space="preserve">682231093 </t>
  </si>
  <si>
    <t xml:space="preserve">UNIDADES DE TRANSPORTE - COSTO - CDS - Propied Planta Equipo - Deprec - Arrend Financi              </t>
  </si>
  <si>
    <t xml:space="preserve">682231094 </t>
  </si>
  <si>
    <t xml:space="preserve">UNIDADES DE TRANSPORTE - COSTO - ADM - Propied Planta Equipo - Deprec - Arrend Financi              </t>
  </si>
  <si>
    <t xml:space="preserve">682231095 </t>
  </si>
  <si>
    <t xml:space="preserve">UNIDADES DE TRANSPORTE - COSTO - VTAS - Propied Planta Equipo - Deprec - Arrend Financi             </t>
  </si>
  <si>
    <t xml:space="preserve">682232    </t>
  </si>
  <si>
    <t xml:space="preserve">UNIDADES DE TRANSPORTE - REVALUACIÓN - Propied Planta Equipo - Deprec - Arrend Financi              </t>
  </si>
  <si>
    <t xml:space="preserve">682232090 </t>
  </si>
  <si>
    <t xml:space="preserve">UNIDADES DE TRANSPORTE - REVALUACIÓN - PROD - Propied Planta Equipo - Deprec - Arrend Financi       </t>
  </si>
  <si>
    <t xml:space="preserve">682232093 </t>
  </si>
  <si>
    <t xml:space="preserve">UNIDADES DE TRANSPORTE - REVALUACIÓN - CDS - Propied Planta Equipo - Deprec - Arrend Financi        </t>
  </si>
  <si>
    <t xml:space="preserve">682232094 </t>
  </si>
  <si>
    <t xml:space="preserve">UNIDADES DE TRANSPORTE - REVALUACIÓN - ADM - Propied Planta Equipo - Deprec - Arrend Financi        </t>
  </si>
  <si>
    <t xml:space="preserve">682232095 </t>
  </si>
  <si>
    <t xml:space="preserve">UNIDADES DE TRANSPORTE - REVALUACIÓN - VTAS - Propied Planta Equipo - Deprec - Arrend Financi       </t>
  </si>
  <si>
    <t xml:space="preserve">68225     </t>
  </si>
  <si>
    <t xml:space="preserve">EQUIPOS DIVERSOS -  - Propied Planta Equipo - Deprec - Arrend Financi                               </t>
  </si>
  <si>
    <t xml:space="preserve">682251    </t>
  </si>
  <si>
    <t xml:space="preserve">EQUIPOS DIVERSOS - COSTO - Propied Planta Equipo - Deprec - Arrend Financi                          </t>
  </si>
  <si>
    <t xml:space="preserve">682251090 </t>
  </si>
  <si>
    <t xml:space="preserve">EQUIPOS DIVERSOS - COSTO - PROD - Propied Planta Equipo - Deprec - Arrend Financi                   </t>
  </si>
  <si>
    <t xml:space="preserve">682251093 </t>
  </si>
  <si>
    <t xml:space="preserve">EQUIPOS DIVERSOS - COSTO - CDS - Propied Planta Equipo - Deprec - Arrend Financi                    </t>
  </si>
  <si>
    <t xml:space="preserve">682251094 </t>
  </si>
  <si>
    <t xml:space="preserve">EQUIPOS DIVERSOS - COSTO - ADM - Propied Planta Equipo - Deprec - Arrend Financi                    </t>
  </si>
  <si>
    <t xml:space="preserve">682251095 </t>
  </si>
  <si>
    <t xml:space="preserve">EQUIPOS DIVERSOS - COSTO - VTAS - Propied Planta Equipo - Deprec - Arrend Financi                   </t>
  </si>
  <si>
    <t xml:space="preserve">682252    </t>
  </si>
  <si>
    <t xml:space="preserve">EQUIPOS DIVERSOS - REVALUACIÓN - Propied Planta Equipo - Deprec - Arrend Financi                    </t>
  </si>
  <si>
    <t xml:space="preserve">682252090 </t>
  </si>
  <si>
    <t xml:space="preserve">EQUIPOS DIVERSOS - REVALUACIÓN - PROD - Propied Planta Equipo - Deprec - Arrend Financi             </t>
  </si>
  <si>
    <t xml:space="preserve">682252093 </t>
  </si>
  <si>
    <t xml:space="preserve">EQUIPOS DIVERSOS - REVALUACIÓN - CDS - - Propied Planta Equipo - Deprec - Arrend Financi            </t>
  </si>
  <si>
    <t xml:space="preserve">682252094 </t>
  </si>
  <si>
    <t xml:space="preserve">EQUIPOS DIVERSOS - REVALUACIÓN - ADM - Propied Planta Equipo - Deprec - Arrend Financi              </t>
  </si>
  <si>
    <t xml:space="preserve">682252095 </t>
  </si>
  <si>
    <t xml:space="preserve">EQUIPOS DIVERSOS - REVALUACIÓN - VTAS - Propied Planta Equipo - Deprec - Arrend Financi             </t>
  </si>
  <si>
    <t xml:space="preserve">683       </t>
  </si>
  <si>
    <t xml:space="preserve">DEPRECIACIÓN DE ACTIVOS POR DERECHO DE USO - ARRENDAMIENTO OPERATIVO                                </t>
  </si>
  <si>
    <t xml:space="preserve">6831      </t>
  </si>
  <si>
    <t xml:space="preserve">DEPRECIACIÓN DE ACTIVOS POR DERECHO DE USO - Arrendamiento Operativo                                </t>
  </si>
  <si>
    <t xml:space="preserve">68311     </t>
  </si>
  <si>
    <t xml:space="preserve">EDIFICACIONES - Depreciación - Arrendamiento Operativo                                              </t>
  </si>
  <si>
    <t xml:space="preserve">683111    </t>
  </si>
  <si>
    <t xml:space="preserve">EDIFICACIONES - COSTO - Depreciación - Arrendamiento Operativo                                      </t>
  </si>
  <si>
    <t xml:space="preserve">683111090 </t>
  </si>
  <si>
    <t xml:space="preserve">EDIFICACIONES - COSTO - PROD - Depreciación - Arrendamiento Operativo                               </t>
  </si>
  <si>
    <t xml:space="preserve">683111093 </t>
  </si>
  <si>
    <t xml:space="preserve">EDIFICACIONES - COSTO - CDS - Depreciación - Arrendamiento Operativo                                </t>
  </si>
  <si>
    <t xml:space="preserve">683111094 </t>
  </si>
  <si>
    <t xml:space="preserve">EDIFICACIONES - COSTO - ADM - Depreciación - Arrendamiento Operativo                                </t>
  </si>
  <si>
    <t xml:space="preserve">683111095 </t>
  </si>
  <si>
    <t xml:space="preserve">EDIFICACIONES - COSTO - VTAS - Depreciación - Arrendamiento Operativo                               </t>
  </si>
  <si>
    <t xml:space="preserve">683112    </t>
  </si>
  <si>
    <t xml:space="preserve">EDIFICACIONES - REVALUACIÓN - Depreciación - Arrendamiento Operativo                                </t>
  </si>
  <si>
    <t xml:space="preserve">683112090 </t>
  </si>
  <si>
    <t xml:space="preserve">EDIFICACIONES - REVALUACIÓN - PROD - Depreciación - Arrendamiento Operativo                         </t>
  </si>
  <si>
    <t xml:space="preserve">683112093 </t>
  </si>
  <si>
    <t xml:space="preserve">EDIFICACIONES - REVALUACIÓN - CDS - Depreciación - Arrendamiento Operativo                          </t>
  </si>
  <si>
    <t xml:space="preserve">683112094 </t>
  </si>
  <si>
    <t xml:space="preserve">EDIFICACIONES - REVALUACIÓN - ADM - Depreciación - Arrendamiento Operativo                          </t>
  </si>
  <si>
    <t xml:space="preserve">683112095 </t>
  </si>
  <si>
    <t xml:space="preserve">EDIFICACIONES - REVALUACIÓN - VTAS - Depreciación - Arrendamiento Operativo                         </t>
  </si>
  <si>
    <t xml:space="preserve">68312     </t>
  </si>
  <si>
    <t xml:space="preserve">MAQUINARIAS Y EQUIPOS DE EXPLOTACIÓN - Depreciación - Arrendamiento Operativo                       </t>
  </si>
  <si>
    <t xml:space="preserve">683121    </t>
  </si>
  <si>
    <t xml:space="preserve">MAQUINARIAS Y EQUIPOS DE EXPLOTACIÓN - COSTO - Depreciación - Arrendamiento Operativo               </t>
  </si>
  <si>
    <t xml:space="preserve">683121090 </t>
  </si>
  <si>
    <t xml:space="preserve">MAQUINARIAS Y EQUIPOS DE EXPLOTACIÓN - COSTO - PROD - Depreciación - Arrendamiento Operativo        </t>
  </si>
  <si>
    <t xml:space="preserve">683121093 </t>
  </si>
  <si>
    <t xml:space="preserve">MAQUINARIAS Y EQUIPOS DE EXPLOTACIÓN - COSTO - CDS - Depreciación - Arrendamiento Operativo         </t>
  </si>
  <si>
    <t xml:space="preserve">683121094 </t>
  </si>
  <si>
    <t xml:space="preserve">MAQUINARIAS Y EQUIPOS DE EXPLOTACIÓN - COSTO - ADM - Depreciación - Arrendamiento Operativo         </t>
  </si>
  <si>
    <t xml:space="preserve">683121095 </t>
  </si>
  <si>
    <t xml:space="preserve">MAQUINARIAS Y EQUIPOS DE EXPLOTACIÓN - COSTO - VTAS - Depreciación - Arrendamiento Operativo        </t>
  </si>
  <si>
    <t xml:space="preserve">683122    </t>
  </si>
  <si>
    <t xml:space="preserve">MAQUINARIAS Y EQUIPOS DE EXPLOTACIÓN - REVALUACIÓN - Depreciación - Arrendamiento Operativo         </t>
  </si>
  <si>
    <t xml:space="preserve">683122090 </t>
  </si>
  <si>
    <t xml:space="preserve">MAQUINARIAS Y EQUIPOS DE EXPLOTACIÓN - REVALUACIÓN - PROD - Depreciación - Arrendamiento Operativo  </t>
  </si>
  <si>
    <t xml:space="preserve">683122093 </t>
  </si>
  <si>
    <t xml:space="preserve">MAQUINARIAS Y EQUIPOS DE EXPLOTACIÓN - REVALUACIÓN - CDS - Depreciación - Arrendamiento Operativo   </t>
  </si>
  <si>
    <t xml:space="preserve">683122094 </t>
  </si>
  <si>
    <t xml:space="preserve">MAQUINARIAS Y EQUIPOS DE EXPLOTACIÓN - REVALUACIÓN - ADM - Depreciación - Arrendamiento Operativo   </t>
  </si>
  <si>
    <t xml:space="preserve">683122095 </t>
  </si>
  <si>
    <t xml:space="preserve">MAQUINARIAS Y EQUIPOS DE EXPLOTACIÓN - REVALUACIÓN - VTAS - Depreciación - Arrendamiento Operativo  </t>
  </si>
  <si>
    <t xml:space="preserve">68313     </t>
  </si>
  <si>
    <t xml:space="preserve">UNIDADES DE TRANSPORTE - Depreciación - Arrendamiento Operativo                                     </t>
  </si>
  <si>
    <t xml:space="preserve">683131    </t>
  </si>
  <si>
    <t xml:space="preserve">UNIDADES DE TRANSPORTE - COSTO - Depreciación - Arrendamiento Operativo                             </t>
  </si>
  <si>
    <t xml:space="preserve">683131090 </t>
  </si>
  <si>
    <t xml:space="preserve">UNIDADES DE TRANSPORTE - COSTO - PROD - Depreciación - Arrendamiento Operativo                      </t>
  </si>
  <si>
    <t xml:space="preserve">683131093 </t>
  </si>
  <si>
    <t xml:space="preserve">UNIDADES DE TRANSPORTE - COSTO - CDS - Depreciación - Arrendamiento Operativo                       </t>
  </si>
  <si>
    <t xml:space="preserve">683131094 </t>
  </si>
  <si>
    <t xml:space="preserve">UNIDADES DE TRANSPORTE - COSTO - ADM - Depreciación - Arrendamiento Operativo                       </t>
  </si>
  <si>
    <t xml:space="preserve">683131095 </t>
  </si>
  <si>
    <t xml:space="preserve">UNIDADES DE TRANSPORTE - COSTO - VTAS - Depreciación - Arrendamiento Operativo                      </t>
  </si>
  <si>
    <t xml:space="preserve">683132    </t>
  </si>
  <si>
    <t xml:space="preserve">UNIDADES DE TRANSPORTE - REVALUACIÓN - Depreciación - Arrendamiento Operativo                       </t>
  </si>
  <si>
    <t xml:space="preserve">683132090 </t>
  </si>
  <si>
    <t xml:space="preserve">UNIDADES DE TRANSPORTE - REVALUACIÓN - PROD - Depreciación - Arrendamiento Operativo                </t>
  </si>
  <si>
    <t xml:space="preserve">683132093 </t>
  </si>
  <si>
    <t xml:space="preserve">UNIDADES DE TRANSPORTE - REVALUACIÓN - CDS - Depreciación - Arrendamiento Operativo                 </t>
  </si>
  <si>
    <t xml:space="preserve">683132094 </t>
  </si>
  <si>
    <t xml:space="preserve">UNIDADES DE TRANSPORTE - REVALUACIÓN - ADM - Depreciación - Arrendamiento Operativo                 </t>
  </si>
  <si>
    <t xml:space="preserve">683132095 </t>
  </si>
  <si>
    <t xml:space="preserve">68315     </t>
  </si>
  <si>
    <t xml:space="preserve">EQUIPOS DIVERSOS - Depreciación - Arrendamiento Operativo                                           </t>
  </si>
  <si>
    <t xml:space="preserve">683151    </t>
  </si>
  <si>
    <t xml:space="preserve">EQUIPOS DIVERSOS - COSTO - Depreciación - Arrendamiento Operativo                                   </t>
  </si>
  <si>
    <t xml:space="preserve">683151090 </t>
  </si>
  <si>
    <t xml:space="preserve">EQUIPOS DIVERSOS - COSTO - PROD - Depreciación - Arrendamiento Operativo                            </t>
  </si>
  <si>
    <t xml:space="preserve">683151093 </t>
  </si>
  <si>
    <t xml:space="preserve">EQUIPOS DIVERSOS - COSTO - CDS - Depreciación - Arrendamiento Operativo                             </t>
  </si>
  <si>
    <t xml:space="preserve">683151094 </t>
  </si>
  <si>
    <t xml:space="preserve">EQUIPOS DIVERSOS - COSTO - ADM - Depreciación - Arrendamiento Operativo                             </t>
  </si>
  <si>
    <t xml:space="preserve">683151095 </t>
  </si>
  <si>
    <t xml:space="preserve">EQUIPOS DIVERSOS - COSTO - VTAS - Depreciación - Arrendamiento Operativo                            </t>
  </si>
  <si>
    <t xml:space="preserve">683152    </t>
  </si>
  <si>
    <t xml:space="preserve">EQUIPOS DIVERSOS - REVALUACIÓN - Depreciación - Arrendamiento Operativo                             </t>
  </si>
  <si>
    <t xml:space="preserve">683152090 </t>
  </si>
  <si>
    <t xml:space="preserve">EQUIPOS DIVERSOS - REVALUACIÓN - PROD - Depreciación - Arrendamiento Operativo                      </t>
  </si>
  <si>
    <t xml:space="preserve">683152093 </t>
  </si>
  <si>
    <t xml:space="preserve">EQUIPOS DIVERSOS - REVALUACIÓN - CDS - Depreciación - Arrendamiento Operativo                       </t>
  </si>
  <si>
    <t xml:space="preserve">683152094 </t>
  </si>
  <si>
    <t xml:space="preserve">EQUIPOS DIVERSOS - REVALUACIÓN - ADM - Depreciación - Arrendamiento Operativo                       </t>
  </si>
  <si>
    <t xml:space="preserve">683152095 </t>
  </si>
  <si>
    <t xml:space="preserve">EQUIPOS DIVERSOS - REVALUACIÓN - VTAS - Depreciación - Arrendamiento Operativo                      </t>
  </si>
  <si>
    <t xml:space="preserve">684       </t>
  </si>
  <si>
    <t xml:space="preserve">DEPRECIACIÓN DE PROPIEDAD, PLANTA Y EQUIPO - COSTO                                                  </t>
  </si>
  <si>
    <t xml:space="preserve">6841      </t>
  </si>
  <si>
    <t xml:space="preserve">DEPRECIACIÓN DE PROPIEDAD, PLANTA Y EQUIPO - Costo                                                  </t>
  </si>
  <si>
    <t xml:space="preserve">68410     </t>
  </si>
  <si>
    <t xml:space="preserve">PLANTAS PRODUCTORAS - Depreciación de Propiedad, Planta y Equipo - Costo                            </t>
  </si>
  <si>
    <t xml:space="preserve">6841090   </t>
  </si>
  <si>
    <t xml:space="preserve">PLANTAS PRODUCTORAS - PROD - DIRECTO - Depreciación de Propiedad, Planta y Equipo - Costo           </t>
  </si>
  <si>
    <t xml:space="preserve">6841091   </t>
  </si>
  <si>
    <t xml:space="preserve">PLANTAS PRODUCTORAS - PROD - INDIRECTO - Depreciación de Propiedad, Planta y Equipo - Costo         </t>
  </si>
  <si>
    <t xml:space="preserve">6841093   </t>
  </si>
  <si>
    <t xml:space="preserve">PLANTAS PRODUCTORAS - CDS - Depreciación de Propiedad, Planta y Equipo - Costo                      </t>
  </si>
  <si>
    <t xml:space="preserve">6841094   </t>
  </si>
  <si>
    <t xml:space="preserve">PLANTAS PRODUCTORAS - ADM - Depreciación de Propiedad, Planta y Equipo - Costo                      </t>
  </si>
  <si>
    <t xml:space="preserve">6841095   </t>
  </si>
  <si>
    <t xml:space="preserve">PLANTAS PRODUCTORAS - VTAS - Depreciación de Propiedad, Planta y Equipo - Costo                     </t>
  </si>
  <si>
    <t xml:space="preserve">68411     </t>
  </si>
  <si>
    <t xml:space="preserve">EDIFICACIONES - Depreciación de Propiedad, Planta y Equipo - Costo                                  </t>
  </si>
  <si>
    <t xml:space="preserve">6841190   </t>
  </si>
  <si>
    <t xml:space="preserve">EDIFICACIONES - PROD - DIRECTO - Depreciación de Propiedad, Planta y Equipo - Costo                 </t>
  </si>
  <si>
    <t xml:space="preserve">6841191   </t>
  </si>
  <si>
    <t xml:space="preserve">EDIFICACIONES - PROD - INDIRECTO - Depreciación de Propiedad, Planta y Equipo - Costo               </t>
  </si>
  <si>
    <t xml:space="preserve">6841193   </t>
  </si>
  <si>
    <t xml:space="preserve">EDIFICACIONES - CDS - Depreciación de Propiedad, Planta y Equipo - Costo                            </t>
  </si>
  <si>
    <t xml:space="preserve">6841194   </t>
  </si>
  <si>
    <t xml:space="preserve">EDIFICACIONES - ADM - Depreciación de Propiedad, Planta y Equipo - Costo                            </t>
  </si>
  <si>
    <t xml:space="preserve">6841195   </t>
  </si>
  <si>
    <t xml:space="preserve">EDIFICACIONES - VTAS - Depreciación de Propiedad, Planta y Equipo - Costo                           </t>
  </si>
  <si>
    <t xml:space="preserve">68412     </t>
  </si>
  <si>
    <t xml:space="preserve">MAQUINARIAS Y EQUIPOS DE EXPLOTACION  - Depreciación de Propiedad, Planta y Equipo - Costo          </t>
  </si>
  <si>
    <t xml:space="preserve">6841290   </t>
  </si>
  <si>
    <t>MAQUINARIAS Y EQUIPOS DE EXPLOTACION - PROD - DIRECTO - Depreciación de Propiedad, Planta y Equipo -</t>
  </si>
  <si>
    <t xml:space="preserve">6841291   </t>
  </si>
  <si>
    <t>MAQUINARIAS Y EQUIPOS DE EXPLOTACION - PROD - INDIRECTO - Depreciación de Propiedad, Planta y Equipo</t>
  </si>
  <si>
    <t xml:space="preserve">6841293   </t>
  </si>
  <si>
    <t xml:space="preserve">MAQUINARIAS Y EQUIPOS DE EXPLOTACION - CDS - Depreciación de Propiedad, Planta y Equipo - Costo     </t>
  </si>
  <si>
    <t xml:space="preserve">6841294   </t>
  </si>
  <si>
    <t xml:space="preserve">MAQUINARIAS Y EQUIPOS DE EXPLOTACION - ADM - Depreciación de Propiedad, Planta y Equipo - Costo     </t>
  </si>
  <si>
    <t xml:space="preserve">6841295   </t>
  </si>
  <si>
    <t xml:space="preserve">MAQUINARIAS Y EQUIPOS DE EXPLOTACION - VTAS - Depreciación de Propiedad, Planta y Equipo - Costo    </t>
  </si>
  <si>
    <t xml:space="preserve">68413     </t>
  </si>
  <si>
    <t xml:space="preserve">UNIDADES DE TRANSPORTE - Depreciación de Propiedad, Planta y Equipo - Costo                         </t>
  </si>
  <si>
    <t xml:space="preserve">6841390   </t>
  </si>
  <si>
    <t xml:space="preserve">UNIDADES DE TRANSPORTE - PROD - DIRECTO - Depreciación de Propiedad, Planta y Equipo - Costo        </t>
  </si>
  <si>
    <t xml:space="preserve">6841391   </t>
  </si>
  <si>
    <t xml:space="preserve">UNIDADES DE TRANSPORTE - PROD - INDIRECTO - Depreciación de Propiedad, Planta y Equipo - Costoo     </t>
  </si>
  <si>
    <t xml:space="preserve">6841393   </t>
  </si>
  <si>
    <t xml:space="preserve">UNIDADES DE TRANSPORTE - CDS - Depreciación de Propiedad, Planta y Equipo - Costo                   </t>
  </si>
  <si>
    <t xml:space="preserve">6841394   </t>
  </si>
  <si>
    <t xml:space="preserve">UNIDADES DE TRANSPORTE - ADM - Depreciación de Propiedad, Planta y Equipo - Costo                   </t>
  </si>
  <si>
    <t xml:space="preserve">6841395   </t>
  </si>
  <si>
    <t xml:space="preserve">UNIDADES DE TRANSPORTE - VTAS - Depreciación de Propiedad, Planta y Equipo - Costo                  </t>
  </si>
  <si>
    <t xml:space="preserve">68414     </t>
  </si>
  <si>
    <t xml:space="preserve">MUEBLES Y ENSERES - Depreciación de Propiedad, Planta y Equipo - Costo                              </t>
  </si>
  <si>
    <t xml:space="preserve">6841490   </t>
  </si>
  <si>
    <t xml:space="preserve">MUEBLES Y ENSERES - PROD - DIRECTOS - Depreciación de Propiedad, Planta y Equipo - Costo            </t>
  </si>
  <si>
    <t xml:space="preserve">6841491   </t>
  </si>
  <si>
    <t xml:space="preserve">MUEBLES Y ENSERES - PROD - INDIRECTOS - Depreciación de Propiedad, Planta y Equipo - Costo          </t>
  </si>
  <si>
    <t xml:space="preserve">6841493   </t>
  </si>
  <si>
    <t xml:space="preserve">MUEBLES Y ENSERES - CDS - Depreciación de Propiedad, Planta y Equipo - Costo                        </t>
  </si>
  <si>
    <t xml:space="preserve">6841494   </t>
  </si>
  <si>
    <t xml:space="preserve">MUEBLES Y ENSERES - ADM - Depreciación de Propiedad, Planta y Equipo - Costo                        </t>
  </si>
  <si>
    <t xml:space="preserve">6841495   </t>
  </si>
  <si>
    <t xml:space="preserve">MUEBLES Y ENSERES - VTAS - Depreciación de Propiedad, Planta y Equipo - Costo                       </t>
  </si>
  <si>
    <t xml:space="preserve">68415     </t>
  </si>
  <si>
    <t xml:space="preserve">EQUIPOS DIVERSOS - Depreciación de Propiedad, Planta y Equipo - Costo                               </t>
  </si>
  <si>
    <t xml:space="preserve">6841590   </t>
  </si>
  <si>
    <t xml:space="preserve">EQUIPOS DIVERSOS - PROD - DIRECTOS - Depreciación de Propiedad, Planta y Equipo - Costo             </t>
  </si>
  <si>
    <t xml:space="preserve">6841591   </t>
  </si>
  <si>
    <t xml:space="preserve">EQUIPOS DIVERSOS - PROD - INDIRECTOS - Depreciación de Propiedad, Planta y Equipo - Costo           </t>
  </si>
  <si>
    <t xml:space="preserve">6841593   </t>
  </si>
  <si>
    <t xml:space="preserve">EQUIPOS DIVERSOS - CDS - Depreciación de Propiedad, Planta y Equipo - Costo                         </t>
  </si>
  <si>
    <t xml:space="preserve">6841594   </t>
  </si>
  <si>
    <t xml:space="preserve">EQUIPOS DIVERSOS - ADM - Depreciación de Propiedad, Planta y Equipo - Costo                         </t>
  </si>
  <si>
    <t xml:space="preserve">6841595   </t>
  </si>
  <si>
    <t xml:space="preserve">EQUIPOS DIVERSOS - VTAS - Depreciación de Propiedad, Planta y Equipo - Costo                        </t>
  </si>
  <si>
    <t xml:space="preserve">68416     </t>
  </si>
  <si>
    <t xml:space="preserve">HERRAMIENTAS Y UNIDADES DE REEMPLAZO - Depreciación de Propiedad, Planta y Equipo - Costo           </t>
  </si>
  <si>
    <t xml:space="preserve">6841690   </t>
  </si>
  <si>
    <t>HERRAMIENTAS Y UNIDADES DE REEMPLAZO - PROD - DIRECTO - Deprec de Propiedad, Planta y Equipo - Costo</t>
  </si>
  <si>
    <t xml:space="preserve">6841691   </t>
  </si>
  <si>
    <t>HERRAMIENTAS Y UNIDADES  REEMPLAZO - PROD - INDIRECTO - Deprec de Propiedad, Planta y Equipo - Costo</t>
  </si>
  <si>
    <t xml:space="preserve">6841693   </t>
  </si>
  <si>
    <t xml:space="preserve">HERRAMIENTAS Y UNIDADES DE REEMPLAZO - CDS - Depreciación de Propiedad, Planta y Equipo - Costo     </t>
  </si>
  <si>
    <t xml:space="preserve">6841694   </t>
  </si>
  <si>
    <t xml:space="preserve">HERRAMIENTAS Y UNIDADES DE REEMPLAZO - ADM - Depreciación de Propiedad, Planta y Equipo - Costo     </t>
  </si>
  <si>
    <t xml:space="preserve">6841695   </t>
  </si>
  <si>
    <t xml:space="preserve">HERRAMIENTAS Y UNIDADES DE REEMPLAZO - VTAS - Depreciación de Propiedad, Planta y Equipo - Costo    </t>
  </si>
  <si>
    <t xml:space="preserve">6842      </t>
  </si>
  <si>
    <t xml:space="preserve">DEPRECIACIÓN DE PROPIEDAD, PLANTA Y EQUIPO - REVALUACIÓN                                            </t>
  </si>
  <si>
    <t xml:space="preserve">68420     </t>
  </si>
  <si>
    <t xml:space="preserve">PLANTAS PRODUCTORAS - Depreciación de Propiedad, Planta y Equipo - Revaluación                      </t>
  </si>
  <si>
    <t xml:space="preserve">6842090   </t>
  </si>
  <si>
    <t xml:space="preserve">PLANTAS PRODUCTORAS - PROD - Depreciación de Propiedad, Planta y Equipo - Revaluación               </t>
  </si>
  <si>
    <t xml:space="preserve">6842093   </t>
  </si>
  <si>
    <t xml:space="preserve">PLANTAS PRODUCTORAS - CDS - Depreciación de Propiedad, Planta y Equipo - Revaluación                </t>
  </si>
  <si>
    <t xml:space="preserve">6842094   </t>
  </si>
  <si>
    <t xml:space="preserve">PLANTAS PRODUCTORAS - ADM - Depreciación de Propiedad, Planta y Equipo - Revaluación                </t>
  </si>
  <si>
    <t xml:space="preserve">6842095   </t>
  </si>
  <si>
    <t xml:space="preserve">PLANTAS PRODUCTORAS - VTAS - Depreciación de Propiedad, Planta y Equipo - Revaluación               </t>
  </si>
  <si>
    <t xml:space="preserve">68421     </t>
  </si>
  <si>
    <t xml:space="preserve">EDIFICACIONES -Depreciación de Propiedad, Planta y Equipo - Revaluación                             </t>
  </si>
  <si>
    <t xml:space="preserve">6842190   </t>
  </si>
  <si>
    <t xml:space="preserve">EDIFICACIONES - PROD - Depreciación de Propiedad, Planta y Equipo - Revaluación                     </t>
  </si>
  <si>
    <t xml:space="preserve">6842193   </t>
  </si>
  <si>
    <t xml:space="preserve">EDIFICACIONES - CDS - Depreciación de Propiedad, Planta y Equipo - Revaluación                      </t>
  </si>
  <si>
    <t xml:space="preserve">6842194   </t>
  </si>
  <si>
    <t xml:space="preserve">EDIFICACIONES - ADM - Depreciación de Propiedad, Planta y Equipo - Revaluación                      </t>
  </si>
  <si>
    <t xml:space="preserve">6842195   </t>
  </si>
  <si>
    <t xml:space="preserve">EDIFICACIONES - VTAS - Depreciación de Propiedad, Planta y Equipo - Revaluación                     </t>
  </si>
  <si>
    <t xml:space="preserve">68422     </t>
  </si>
  <si>
    <t xml:space="preserve">MAQUINARIAS Y EQUIPOS DE EXPLOTACIÓN - Depreciación de Propiedad, Planta y Equipo - Revaluación     </t>
  </si>
  <si>
    <t xml:space="preserve">6842290   </t>
  </si>
  <si>
    <t xml:space="preserve">MAQUINARIAS Y EQUIPOS DE EXPLOT - PROD - Depreciación de Propiedad, Planta y Equipo - Revaluación   </t>
  </si>
  <si>
    <t xml:space="preserve">6842293   </t>
  </si>
  <si>
    <t xml:space="preserve">MAQUINARIAS Y EQUIPOS DE EXPLOT - CDS - Depreciación de Propiedad, Planta y Equipo - Revaluación    </t>
  </si>
  <si>
    <t xml:space="preserve">6842294   </t>
  </si>
  <si>
    <t xml:space="preserve">MAQUINARIAS Y EQUIPOS DE EXPLOT - ADM - Depreciación de Propiedad, Planta y Equipo - Revaluación    </t>
  </si>
  <si>
    <t xml:space="preserve">6842295   </t>
  </si>
  <si>
    <t xml:space="preserve">MAQUINARIAS Y EQUIPOS DE EXPLOT - VTAS - Depreciación de Propiedad, Planta y Equipo - Revaluación   </t>
  </si>
  <si>
    <t xml:space="preserve">68423     </t>
  </si>
  <si>
    <t xml:space="preserve">UNIDADES DE TRANSPORTE - Depreciación de Propiedad, Planta y Equipo - Revaluación                   </t>
  </si>
  <si>
    <t xml:space="preserve">6842390   </t>
  </si>
  <si>
    <t xml:space="preserve">UNIDADES DE TRANSPORTE - PROD - Depreciación de Propiedad, Planta y Equipo - Revaluación            </t>
  </si>
  <si>
    <t xml:space="preserve">6842393   </t>
  </si>
  <si>
    <t xml:space="preserve">UNIDADES DE TRANSPORTE - CDS - Depreciación de Propiedad, Planta y Equipo - Revaluaciónn            </t>
  </si>
  <si>
    <t xml:space="preserve">6842394   </t>
  </si>
  <si>
    <t xml:space="preserve">UNIDADES DE TRANSPORTE - ADM - Depreciación de Propiedad, Planta y Equipo - Revaluación             </t>
  </si>
  <si>
    <t xml:space="preserve">6842395   </t>
  </si>
  <si>
    <t xml:space="preserve">UNIDADES DE TRANSPORTE -VTAS - Depreciación de Propiedad, Planta y Equipo - Revaluación             </t>
  </si>
  <si>
    <t xml:space="preserve">68424     </t>
  </si>
  <si>
    <t xml:space="preserve">MUEBLES Y ENSERES      - Depreciación de Propiedad, Planta y Equipo - Revaluación                   </t>
  </si>
  <si>
    <t xml:space="preserve">6842490   </t>
  </si>
  <si>
    <t xml:space="preserve">MUEBLES Y ENSERES - PROD - Depreciación de Propiedad, Planta y Equipo - Revaluación                 </t>
  </si>
  <si>
    <t xml:space="preserve">6842493   </t>
  </si>
  <si>
    <t xml:space="preserve">MUEBLES Y ENSERES - CDS - Depreciación de Propiedad, Planta y Equipo - Revaluación                  </t>
  </si>
  <si>
    <t xml:space="preserve">6842494   </t>
  </si>
  <si>
    <t xml:space="preserve">MUEBLES Y ENSERES - ADM - Depreciación de Propiedad, Planta y Equipo - Revaluación                  </t>
  </si>
  <si>
    <t xml:space="preserve">6842495   </t>
  </si>
  <si>
    <t xml:space="preserve">MUEBLES Y ENSERES - VTAS - Depreciación de Propiedad, Planta y Equipo - Revaluación                 </t>
  </si>
  <si>
    <t xml:space="preserve">68425     </t>
  </si>
  <si>
    <t xml:space="preserve">EQUIPOS DIVERSOS - Depreciación de Propiedad, Planta y Equipo - Revaluación                         </t>
  </si>
  <si>
    <t xml:space="preserve">6842590   </t>
  </si>
  <si>
    <t xml:space="preserve">EQUIPOS DIVERSOS - PROD - Depreciación de Propiedad, Planta y Equipo - Revaluación                  </t>
  </si>
  <si>
    <t xml:space="preserve">6842593   </t>
  </si>
  <si>
    <t xml:space="preserve">EQUIPOS DIVERSOS - CDS - Depreciación de Propiedad, Planta y Equipo - Revaluación                   </t>
  </si>
  <si>
    <t xml:space="preserve">6842594   </t>
  </si>
  <si>
    <t xml:space="preserve">EQUIPOS DIVERSOS - ADM - Depreciación de Propiedad, Planta y Equipo - Revaluación                   </t>
  </si>
  <si>
    <t xml:space="preserve">6842595   </t>
  </si>
  <si>
    <t xml:space="preserve">EQUIPOS DIVERSOS - VTAS - Depreciación de Propiedad, Planta y Equipo - Revaluación                  </t>
  </si>
  <si>
    <t xml:space="preserve">68426     </t>
  </si>
  <si>
    <t xml:space="preserve">HERRAMIENTAS Y UNIDADES DE REEMPLAZO - Depreciación de Propiedad, Planta y Equipo - Revaluación     </t>
  </si>
  <si>
    <t xml:space="preserve">6842690   </t>
  </si>
  <si>
    <t>HERRAMIENTAS Y UNIDADES DE REEMPLAZO - PROD - Depreciación de Propiedad, Planta y Equipo - Revaluaci</t>
  </si>
  <si>
    <t xml:space="preserve">6842693   </t>
  </si>
  <si>
    <t>HERRAMIENTAS Y UNIDADES DE REEMPLAZO - CDS - Depreciación de Propiedad, Planta y Equipo - Revaluació</t>
  </si>
  <si>
    <t xml:space="preserve">6842694   </t>
  </si>
  <si>
    <t>HERRAMIENTAS Y UNIDADES DE REEMPLAZO - ADM - Depreciación de Propiedad, Planta y Equipo - Revaluació</t>
  </si>
  <si>
    <t xml:space="preserve">6842695   </t>
  </si>
  <si>
    <t>HERRAMIENTAS Y UNIDADES DE REEMPLAZO - VTAS - Depreciación de Propiedad, Planta y Equipo - Revaluaci</t>
  </si>
  <si>
    <t xml:space="preserve">6843      </t>
  </si>
  <si>
    <t xml:space="preserve">DEPRECIACIÓN DE PROPIEDAD, PLANTA Y EQUIPO - COSTO DE FINANCIACION                                  </t>
  </si>
  <si>
    <t xml:space="preserve">68430     </t>
  </si>
  <si>
    <t xml:space="preserve">PLANTAS PRODUCTORAS - Depreciación Propiedad, Planta y Equipo - Costo de Financiación               </t>
  </si>
  <si>
    <t xml:space="preserve">6843090   </t>
  </si>
  <si>
    <t xml:space="preserve">PLANTAS PRODUCTORAS - PROD - Depreciación Propiedad, Planta y Equipo - Costo de Financiación        </t>
  </si>
  <si>
    <t xml:space="preserve">6843093   </t>
  </si>
  <si>
    <t xml:space="preserve">PLANTAS PRODUCTORAS - CDS - Depreciación Propiedad, Planta y Equipo - Costo de Financiación         </t>
  </si>
  <si>
    <t xml:space="preserve">6843094   </t>
  </si>
  <si>
    <t xml:space="preserve">PLANTAS PRODUCTORAS - ADM - Depreciación Propiedad, Planta y Equipo - Costo de Financiación         </t>
  </si>
  <si>
    <t xml:space="preserve">6843095   </t>
  </si>
  <si>
    <t xml:space="preserve">PLANTAS PRODUCTORAS - VTAS - Depreciación Propiedad, Planta y Equipo - Costo de Financiación        </t>
  </si>
  <si>
    <t xml:space="preserve">68431     </t>
  </si>
  <si>
    <t xml:space="preserve">EDIFICACIONES  - Depreciación Propiedad, Planta y Equipo - Costo de Financiación                    </t>
  </si>
  <si>
    <t xml:space="preserve">6843190   </t>
  </si>
  <si>
    <t xml:space="preserve">EDIFICACIONES - PROD - Depreciación Propiedad, Planta y Equipo - Costo de Financiación              </t>
  </si>
  <si>
    <t xml:space="preserve">6843193   </t>
  </si>
  <si>
    <t xml:space="preserve">EDIFICACIONES - CDS - Depreciación Propiedad, Planta y Equipo - Costo de Financiación               </t>
  </si>
  <si>
    <t xml:space="preserve">6843194   </t>
  </si>
  <si>
    <t xml:space="preserve">EDIFICACIONES - ADM - Depreciación Propiedad, Planta y Equipo - Costo de Financiación               </t>
  </si>
  <si>
    <t xml:space="preserve">6843195   </t>
  </si>
  <si>
    <t xml:space="preserve">EDIFICACIONES - VTAS - Depreciación Propiedad, Planta y Equipo - Costo de Financiación              </t>
  </si>
  <si>
    <t xml:space="preserve">68432     </t>
  </si>
  <si>
    <t>MAQUINARIAS Y EQUIPOS DE EXPLOTACIÓN  - Depreciación Propiedad, Planta y Equipo - Costo de Financiac</t>
  </si>
  <si>
    <t xml:space="preserve">6843290   </t>
  </si>
  <si>
    <t>MAQUINARIAS Y EQUIPOS DE EXPLOTACIÓN  - PROD - Depreciación Propiedad, Planta y Equ - Costo de Finan</t>
  </si>
  <si>
    <t xml:space="preserve">6843293   </t>
  </si>
  <si>
    <t xml:space="preserve">MAQUINARIAS Y EQUIPOS DE EXPLOTACIÓN - CDS - Depreciación Propiedad, Planta y Equ - Costo de Finan  </t>
  </si>
  <si>
    <t xml:space="preserve">6843294   </t>
  </si>
  <si>
    <t xml:space="preserve">MAQUINARIAS Y EQUIPOS DE EXPLOTACIÓN - ADM - Depreciación Propiedad, Planta y Equ - Costo de Finan  </t>
  </si>
  <si>
    <t xml:space="preserve">6843295   </t>
  </si>
  <si>
    <t xml:space="preserve">MAQUINARIAS Y EQUIPOS DE EXPLOTACIÓN - VTAS - Depreciación Propiedad, Planta y Equ - Costo de Finan </t>
  </si>
  <si>
    <t xml:space="preserve">685       </t>
  </si>
  <si>
    <t xml:space="preserve">DEPRECIACIÓN DE ACTIVOS BIOLÓGICOS EN PRODUCCIÓN                                                    </t>
  </si>
  <si>
    <t xml:space="preserve">6851      </t>
  </si>
  <si>
    <t xml:space="preserve">DEPRECIACIÓN DE ACTIVOS BIOLÓGICOS EN PRODUCCIÓN - COSTO                                            </t>
  </si>
  <si>
    <t xml:space="preserve">68511     </t>
  </si>
  <si>
    <t xml:space="preserve">ACTIVOS BIOLÓGICOS DE ORIGEN ANIMAL  - Depreciación de Activos en Producción - Costo                </t>
  </si>
  <si>
    <t xml:space="preserve">6851190   </t>
  </si>
  <si>
    <t xml:space="preserve">ACTIVOS BIOLÓGICOS DE ORIGEN ANIMAL - PROD - Depreciación de Activos en Producción - Costo          </t>
  </si>
  <si>
    <t xml:space="preserve">6851193   </t>
  </si>
  <si>
    <t xml:space="preserve">ACTIVOS BIOLÓGICOS DE ORIGEN ANIMAL - CDS - Depreciación de Activos en Producción - Costo           </t>
  </si>
  <si>
    <t xml:space="preserve">6851194   </t>
  </si>
  <si>
    <t xml:space="preserve">ACTIVOS BIOLÓGICOS DE ORIGEN ANIMAL - ADM - Depreciación de Activos en Producción - Costo           </t>
  </si>
  <si>
    <t xml:space="preserve">6851195   </t>
  </si>
  <si>
    <t xml:space="preserve">ACTIVOS BIOLÓGICOS DE ORIGEN ANIMAL - VTAS - Depreciación de Activos en Producción - Costo          </t>
  </si>
  <si>
    <t xml:space="preserve">68512     </t>
  </si>
  <si>
    <t xml:space="preserve">ACTIVOS BIOLÓGICOS DE ORIGEN VEGETAL - Depreciación de Activos en Producción - Costo                </t>
  </si>
  <si>
    <t xml:space="preserve">6851290   </t>
  </si>
  <si>
    <t xml:space="preserve">ACTIVOS BIOLÓGICOS DE ORIGEN VEGETAL- PROD - Depreciación de Activos en Producción - Costo          </t>
  </si>
  <si>
    <t xml:space="preserve">6851293   </t>
  </si>
  <si>
    <t xml:space="preserve">ACTIVOS BIOLÓGICOS DE ORIGEN VEGETAL- CDS - Depreciación de Activos en Producción - Costo           </t>
  </si>
  <si>
    <t xml:space="preserve">6851294   </t>
  </si>
  <si>
    <t xml:space="preserve">ACTIVOS BIOLÓGICOS DE ORIGEN VEGETAL- ADM - Depreciación de Activos en Producción - Costo           </t>
  </si>
  <si>
    <t xml:space="preserve">6851295   </t>
  </si>
  <si>
    <t xml:space="preserve">ACTIVOS BIOLÓGICOS DE ORIGEN VEGETAL- VTAS - Depreciación de Activos en Producción - Costo          </t>
  </si>
  <si>
    <t xml:space="preserve">6852      </t>
  </si>
  <si>
    <t xml:space="preserve">DEPRECIACIÓN DE ACTIVOS BIOLÓGICOS EN PRODUCCIÓN - COSTO DE FINANCIACIÓN                            </t>
  </si>
  <si>
    <t xml:space="preserve">68521     </t>
  </si>
  <si>
    <t xml:space="preserve">ACTIVOS BIOLOGICOS DE ORIGEN ANIMAL - Depreciación en Producción - Costo de Financiación            </t>
  </si>
  <si>
    <t xml:space="preserve">6852190   </t>
  </si>
  <si>
    <t xml:space="preserve">ACTIV. BIOLOG. DE ORIG. ANIMAL - PROD - Depreciación en Producción - Costo de Financiación          </t>
  </si>
  <si>
    <t xml:space="preserve">6852193   </t>
  </si>
  <si>
    <t xml:space="preserve">ACTIV. BIOLOG. DE ORIG. ANIMAL - CDS - Depreciación en Producción - Costo de Financiación           </t>
  </si>
  <si>
    <t xml:space="preserve">6852194   </t>
  </si>
  <si>
    <t xml:space="preserve">ACTIV. BIOLOG. DE ORIG. ANIMAL - ADM - Depreciación en Producción - Costo de Financiación           </t>
  </si>
  <si>
    <t xml:space="preserve">6852195   </t>
  </si>
  <si>
    <t xml:space="preserve">ACTIV. BIOLOG. DE ORIG. ANIMAL - VTAS - Depreciación en Producción - Costo de Financiación          </t>
  </si>
  <si>
    <t xml:space="preserve">68522     </t>
  </si>
  <si>
    <t xml:space="preserve">ACTIVOS BIOLOGICOS DE ORIGEN VEGETAL - Depreciación en Producción - Costo de Financiación           </t>
  </si>
  <si>
    <t xml:space="preserve">6852290   </t>
  </si>
  <si>
    <t xml:space="preserve">ACTIV. BIOLOG. DE ORIG. VEGETAL- PROD - Depreciación en Producción - Costo de Financiación          </t>
  </si>
  <si>
    <t xml:space="preserve">6852293   </t>
  </si>
  <si>
    <t xml:space="preserve">ACTIV. BIOLOG. DE ORIG. VEGETAL- CDS - Depreciación en Producción - Costo de Financiación           </t>
  </si>
  <si>
    <t xml:space="preserve">6852294   </t>
  </si>
  <si>
    <t xml:space="preserve">ACTIV. BIOLOG. DE ORIG. VEGETAL- ADM - Depreciación en Producción - Costo de Financiación           </t>
  </si>
  <si>
    <t xml:space="preserve">6852295   </t>
  </si>
  <si>
    <t xml:space="preserve">ACTIV. BIOLOG. DE ORIG. VEGETAL- VTAS - Depreciación en Producción - Costo de Financiación          </t>
  </si>
  <si>
    <t xml:space="preserve">686       </t>
  </si>
  <si>
    <t xml:space="preserve">AMORTIZACION DE INTANGIBLES - Valuación y Deterioro de Activos y Provisiones                        </t>
  </si>
  <si>
    <t xml:space="preserve">6861      </t>
  </si>
  <si>
    <t xml:space="preserve">AMORTIZACIÓN DE INTANGIBLES - COSTO                                                                 </t>
  </si>
  <si>
    <t xml:space="preserve">68611     </t>
  </si>
  <si>
    <t xml:space="preserve">CONCESIONES, LICENCIAS Y OTROS DERECHOS - Amortización de Intangibles - Costo                       </t>
  </si>
  <si>
    <t xml:space="preserve">6861190   </t>
  </si>
  <si>
    <t xml:space="preserve">CONCESIONES, LICENCIAS Y OTROS DERECHOS - PROD - DIRECTO - Amortización de Intangibles - Costo      </t>
  </si>
  <si>
    <t xml:space="preserve">6861191   </t>
  </si>
  <si>
    <t xml:space="preserve">CONCESIONES, LICENCIAS Y OTROS DERECHOS - PROD - INDIRECTO - Amortización de Intangibles - Costo    </t>
  </si>
  <si>
    <t xml:space="preserve">6861193   </t>
  </si>
  <si>
    <t xml:space="preserve">CONCESIONES, LICENCIAS Y OTROS DERECHOS - CDS - Amortización de Intangibles - Costo                 </t>
  </si>
  <si>
    <t xml:space="preserve">6861194   </t>
  </si>
  <si>
    <t xml:space="preserve">CONCESIONES, LICENCIAS Y OTROS DERECHOS - ADM - Amortización de Intangibles - Costo                 </t>
  </si>
  <si>
    <t xml:space="preserve">6861195   </t>
  </si>
  <si>
    <t xml:space="preserve">CONCESIONES, LICENCIAS Y OTROS DERECHOS - VTAS - Amortización de Intangibles - Costo                </t>
  </si>
  <si>
    <t xml:space="preserve">68612     </t>
  </si>
  <si>
    <t xml:space="preserve">PATENTES Y PROPIEDAD INDUSTRIAL - Amortización de Intangibles - Costo                               </t>
  </si>
  <si>
    <t xml:space="preserve">6861290   </t>
  </si>
  <si>
    <t xml:space="preserve">PATENTES Y PROPIEDAD INDUSTRIAL - PROD - Amortización de Intangibles - Costo                        </t>
  </si>
  <si>
    <t xml:space="preserve">6861293   </t>
  </si>
  <si>
    <t xml:space="preserve">PATENTES Y PROPIEDAD INDUSTRIAL - CDS - Amortización de Intangibles - Costo                         </t>
  </si>
  <si>
    <t xml:space="preserve">6861294   </t>
  </si>
  <si>
    <t xml:space="preserve">PATENTES Y PROPIEDAD INDUSTRIAL - ADM - Amortización de Intangibles - Costo                         </t>
  </si>
  <si>
    <t xml:space="preserve">6861295   </t>
  </si>
  <si>
    <t xml:space="preserve">PATENTES Y PROPIEDAD INDUSTRIAL - VTAS - Amortización de Intangibles - Costo                        </t>
  </si>
  <si>
    <t xml:space="preserve">68613     </t>
  </si>
  <si>
    <t xml:space="preserve">PROGRAMAS DE COMPUTADORA (SOFTWARE) - Amortización de Intangibles - Costo                           </t>
  </si>
  <si>
    <t xml:space="preserve">6861390   </t>
  </si>
  <si>
    <t xml:space="preserve">PROGRAMAS DE COMPUTADORA (SOFTWARE) - PROD - Amortización de Intangibles - Costo                    </t>
  </si>
  <si>
    <t xml:space="preserve">6861393   </t>
  </si>
  <si>
    <t xml:space="preserve">PROGRAMAS DE COMPUTADORA (SOFTWARE) - CDS - Amortización de Intangibles - Costo                     </t>
  </si>
  <si>
    <t xml:space="preserve">6861394   </t>
  </si>
  <si>
    <t xml:space="preserve">PROGRAMAS DE COMPUTADORA (SOFTWARE) - ADM - Amortización de Intangibles - Costo                     </t>
  </si>
  <si>
    <t xml:space="preserve">6861395   </t>
  </si>
  <si>
    <t xml:space="preserve">PROGRAMAS DE COMPUTADORA (SOFTWARE) - VTAS - Amortización de Intangibles - Costo                    </t>
  </si>
  <si>
    <t xml:space="preserve">68614     </t>
  </si>
  <si>
    <t xml:space="preserve">COSTOS DE EXPLORACIÓN Y DESARROLLO - Amortización de Intangibles - Costo                            </t>
  </si>
  <si>
    <t xml:space="preserve">6861490   </t>
  </si>
  <si>
    <t xml:space="preserve">COSTOS DE EXPLORACIÓN Y DESARROLLO - PROD - Amortización de Intangibles - Costo                     </t>
  </si>
  <si>
    <t xml:space="preserve">6861493   </t>
  </si>
  <si>
    <t xml:space="preserve">COSTOS DE EXPLORACIÓN Y DESARROLLO - CDS - Amortización de Intangibles - Costo                      </t>
  </si>
  <si>
    <t xml:space="preserve">6861494   </t>
  </si>
  <si>
    <t xml:space="preserve">COSTOS DE EXPLORACIÓN Y DESARROLLO - ADM - Amortización de Intangibles - Costo                      </t>
  </si>
  <si>
    <t xml:space="preserve">6861495   </t>
  </si>
  <si>
    <t xml:space="preserve">COSTOS DE EXPLORACIÓN Y DESARROLLO - VTAS - Amortización de Intangibles - Costo                     </t>
  </si>
  <si>
    <t xml:space="preserve">68615     </t>
  </si>
  <si>
    <t xml:space="preserve">FORMULAS, DISEÑOS Y PROTOTIPOS - Amortización de Intangibles - Costo                                </t>
  </si>
  <si>
    <t xml:space="preserve">6861590   </t>
  </si>
  <si>
    <t xml:space="preserve">FORMULAS, DISEÑOS Y PROTOTIPOS - PROD - Amortización de Intangibles - Costo                         </t>
  </si>
  <si>
    <t xml:space="preserve">6861593   </t>
  </si>
  <si>
    <t xml:space="preserve">FORMULAS, DISEÑOS Y PROTOTIPOS - CDS - Amortización de Intangibles - Costo                          </t>
  </si>
  <si>
    <t xml:space="preserve">6861594   </t>
  </si>
  <si>
    <t xml:space="preserve">FORMULAS, DISEÑOS Y PROTOTIPOS - ADM - Amortización de Intangibles - Costo                          </t>
  </si>
  <si>
    <t xml:space="preserve">6861595   </t>
  </si>
  <si>
    <t xml:space="preserve">FORMULAS, DISEÑOS Y PROTOTIPOS - VTAS - Amortización de Intangibles - Costo                         </t>
  </si>
  <si>
    <t xml:space="preserve">68619     </t>
  </si>
  <si>
    <t xml:space="preserve">OTROS ACTIVOS INTANGIBLES - Amortización de Intangibles - Costo                                     </t>
  </si>
  <si>
    <t xml:space="preserve">6861990   </t>
  </si>
  <si>
    <t xml:space="preserve">OTROS ACTIVOS INTANGIBLES - PROD - Amortización de Intangibles - Costo                              </t>
  </si>
  <si>
    <t xml:space="preserve">6861993   </t>
  </si>
  <si>
    <t xml:space="preserve">OTROS ACTIVOS INTANGIBLES - CDS - Amortización de Intangibles - Costo                               </t>
  </si>
  <si>
    <t xml:space="preserve">6861994   </t>
  </si>
  <si>
    <t xml:space="preserve">OTROS ACTIVOS INTANGIBLES - ADM - Amortización de Intangibles - Costo                               </t>
  </si>
  <si>
    <t xml:space="preserve">6861995   </t>
  </si>
  <si>
    <t xml:space="preserve">OTROS ACTIVOS INTANGIBLES - VTAS - Amortización de Intangibles - Costo                              </t>
  </si>
  <si>
    <t xml:space="preserve">6862      </t>
  </si>
  <si>
    <t xml:space="preserve">AMORTIZACIÓN DE INTANGIBLES - REVALUACIÓN                                                           </t>
  </si>
  <si>
    <t xml:space="preserve">68621     </t>
  </si>
  <si>
    <t xml:space="preserve">CONCESIONES, LICENCIAS Y OTROS DERECHOS  - Amortización de Intangibles - Revaluación                </t>
  </si>
  <si>
    <t xml:space="preserve">6862190   </t>
  </si>
  <si>
    <t xml:space="preserve">CONCESIONES, LICENCIAS Y OTROS DERECHOS - PROD - Amortización de Intangibles - Revaluación          </t>
  </si>
  <si>
    <t xml:space="preserve">6862193   </t>
  </si>
  <si>
    <t xml:space="preserve">CONCESIONES, LICENCIAS Y OTROS DERECHOS - CDS - Amortización de Intangibles - Revaluación           </t>
  </si>
  <si>
    <t xml:space="preserve">6862194   </t>
  </si>
  <si>
    <t xml:space="preserve">CONCESIONES, LICENCIAS Y OTROS DERECHOS - ADM - Amortización de Intangibles - Revaluación           </t>
  </si>
  <si>
    <t xml:space="preserve">6862195   </t>
  </si>
  <si>
    <t xml:space="preserve">CONCESIONES, LICENCIAS Y OTROS DERECHOS - VTAS - Amortización de Intangibles - Revaluación          </t>
  </si>
  <si>
    <t xml:space="preserve">68622     </t>
  </si>
  <si>
    <t xml:space="preserve">PATENTES Y PROPIEDAD INDUSTRIAL  - Amortización de Intangibles - Revaluación                        </t>
  </si>
  <si>
    <t xml:space="preserve">6862290   </t>
  </si>
  <si>
    <t xml:space="preserve">PATENTES Y PROPIEDAD INDUSTRIAL- PROD - Amortización de Intangibles - Revaluación                   </t>
  </si>
  <si>
    <t xml:space="preserve">6862293   </t>
  </si>
  <si>
    <t xml:space="preserve">PATENTES Y PROPIEDAD INDUSTRIAL- CDS - Amortización de Intangibles - Revaluación                    </t>
  </si>
  <si>
    <t xml:space="preserve">6862294   </t>
  </si>
  <si>
    <t xml:space="preserve">PATENTES Y PROPIEDAD INDUSTRIAL- ADM - Amortización de Intangibles - Revaluación                    </t>
  </si>
  <si>
    <t xml:space="preserve">6862295   </t>
  </si>
  <si>
    <t xml:space="preserve">PATENTES Y PROPIEDAD INDUSTRIAL- VTAS - Amortización de Intangibles - Revaluación                   </t>
  </si>
  <si>
    <t xml:space="preserve">68623     </t>
  </si>
  <si>
    <t xml:space="preserve">PROGRAMAS DE COMPUTADORA (SOFTWARE)  - Amortización de Intangibles - Revaluación                    </t>
  </si>
  <si>
    <t xml:space="preserve">6862390   </t>
  </si>
  <si>
    <t xml:space="preserve">PROGRAMAS DE COMPUTADORA (SOFTWARE) - PROD - Amortización de Intangibles - Revaluación              </t>
  </si>
  <si>
    <t xml:space="preserve">6862393   </t>
  </si>
  <si>
    <t xml:space="preserve">PROGRAMAS DE COMPUTADORA (SOFTWARE) - CDS - Amortización de Intangibles - Revaluación               </t>
  </si>
  <si>
    <t xml:space="preserve">6862394   </t>
  </si>
  <si>
    <t xml:space="preserve">PROGRAMAS DE COMPUTADORA (SOFTWARE) - ADM - Amortización de Intangibles - Revaluación               </t>
  </si>
  <si>
    <t xml:space="preserve">6862395   </t>
  </si>
  <si>
    <t xml:space="preserve">PROGRAMAS DE COMPUTADORA (SOFTWARE) - VTAS - Amortización de Intangibles - Revaluación              </t>
  </si>
  <si>
    <t xml:space="preserve">68624     </t>
  </si>
  <si>
    <t xml:space="preserve">COSTOS DE EXPLORACION Y DESARROLLO  - Amortización de Intangibles - Revaluación                     </t>
  </si>
  <si>
    <t xml:space="preserve">6862490   </t>
  </si>
  <si>
    <t xml:space="preserve">COSTOS DE EXPLORACION Y DESARROLLO - PROD - Amortización de Intangibles - Revaluación               </t>
  </si>
  <si>
    <t xml:space="preserve">6862493   </t>
  </si>
  <si>
    <t xml:space="preserve">COSTOS DE EXPLORACION Y DESARROLLO - CDS - Amortización de Intangibles - Revaluación                </t>
  </si>
  <si>
    <t xml:space="preserve">6862494   </t>
  </si>
  <si>
    <t xml:space="preserve">COSTOS DE EXPLORACION Y DESARROLLO - ADM - Amortización de Intangibles - Revaluación                </t>
  </si>
  <si>
    <t xml:space="preserve">6862495   </t>
  </si>
  <si>
    <t xml:space="preserve">COSTOS DE EXPLORACION Y DESARROLLO - VTAS - Amortización de Intangibles - Revaluación               </t>
  </si>
  <si>
    <t xml:space="preserve">68625     </t>
  </si>
  <si>
    <t xml:space="preserve">FORMULAS, DISEÑOS Y PROTOTIPOS  - Amortización de Intangibles - Revaluación                         </t>
  </si>
  <si>
    <t xml:space="preserve">6862590   </t>
  </si>
  <si>
    <t xml:space="preserve">FORMULAS, DISEÑOS Y PROTOTIPOS - PROD - Amortización de Intangibles - Revaluación                   </t>
  </si>
  <si>
    <t xml:space="preserve">6862593   </t>
  </si>
  <si>
    <t xml:space="preserve">FORMULAS, DISEÑOS Y PROTOTIPOS - CDS - Amortización de Intangibles - Revaluación                    </t>
  </si>
  <si>
    <t xml:space="preserve">6862594   </t>
  </si>
  <si>
    <t xml:space="preserve">FORMULAS, DISEÑOS Y PROTOTIPOS - ADM - Amortización de Intangibles - Revaluación                    </t>
  </si>
  <si>
    <t xml:space="preserve">6862595   </t>
  </si>
  <si>
    <t xml:space="preserve">FORMULAS, DISEÑOS Y PROTOTIPOS - VTAS - Amortización de Intangibles - Revaluación                   </t>
  </si>
  <si>
    <t xml:space="preserve">68629     </t>
  </si>
  <si>
    <t xml:space="preserve">OTROS ACTIVOS INTANGIBLES  - Amortización de Intangibles - Revaluación                              </t>
  </si>
  <si>
    <t xml:space="preserve">6862990   </t>
  </si>
  <si>
    <t xml:space="preserve">OTROS ACTIVOS INTANGIBLES - PROD - Amortización de Intangibles - Revaluación                        </t>
  </si>
  <si>
    <t xml:space="preserve">6862993   </t>
  </si>
  <si>
    <t xml:space="preserve">OTROS ACTIVOS INTANGIBLES - CDS - Amortización de Intangibles - Revaluación                         </t>
  </si>
  <si>
    <t xml:space="preserve">6862994   </t>
  </si>
  <si>
    <t xml:space="preserve">OTROS ACTIVOS INTANGIBLES - ADM - Amortización de Intangibles - Revaluación                         </t>
  </si>
  <si>
    <t xml:space="preserve">6862995   </t>
  </si>
  <si>
    <t xml:space="preserve">OTROS ACTIVOS INTANGIBLES - VTAS - Amortización de Intangibles - Revaluación                        </t>
  </si>
  <si>
    <t xml:space="preserve">687       </t>
  </si>
  <si>
    <t xml:space="preserve">VALUACION DE ACTIVOS- Valuación y Deterioro de Activos y Provisiones                                </t>
  </si>
  <si>
    <t xml:space="preserve">6871      </t>
  </si>
  <si>
    <t xml:space="preserve">ESTIMACION DE CUENTAS DE COBRANZA DUDOSA - Valuación y Deterioro de Activos y Provisiones           </t>
  </si>
  <si>
    <t xml:space="preserve">68711     </t>
  </si>
  <si>
    <t xml:space="preserve">CUENTAS  POR COBRAR COMERCIALES - TERCEROS  - Estimación de Cuentas de Cobranza Dudosa              </t>
  </si>
  <si>
    <t xml:space="preserve">68711094  </t>
  </si>
  <si>
    <t xml:space="preserve">CUENTAS  POR COBRAR COMERCIALES - TERCEROS - ADM - Estimación de Cuentas de Cobranza Dudosa         </t>
  </si>
  <si>
    <t xml:space="preserve">7811      </t>
  </si>
  <si>
    <t xml:space="preserve">68711095  </t>
  </si>
  <si>
    <t xml:space="preserve">CUENTAS  POR COBRAR COMERCIALES - TERCEROS - VTAS - Estimación de Cuentas de Cobranza Dudosa        </t>
  </si>
  <si>
    <t xml:space="preserve">68712     </t>
  </si>
  <si>
    <t xml:space="preserve">CUENTAS POR COBRAR COMERCIALES - RELACIONADAS  - Estimación de Cuentas de Cobranza Dudosa           </t>
  </si>
  <si>
    <t xml:space="preserve">68712094  </t>
  </si>
  <si>
    <t xml:space="preserve">CUENTAS POR COBRAR COMERCIALES - RELACIONADAS - ADM - Estimación de Cuentas de Cobranza Dudosa      </t>
  </si>
  <si>
    <t xml:space="preserve">68712095  </t>
  </si>
  <si>
    <t xml:space="preserve">CUENTAS POR COBRAR COMERCIALES - RELACIONADAS - VTAS - Estimación de Cuentas de Cobranza Dudosa     </t>
  </si>
  <si>
    <t xml:space="preserve">68713     </t>
  </si>
  <si>
    <t xml:space="preserve">CUENTAS POR COBRAR AL PERSONAL, A LOS ACCIONISTAS DIRECTORES  - Cobranza Dudosa                     </t>
  </si>
  <si>
    <t xml:space="preserve">68713094  </t>
  </si>
  <si>
    <t xml:space="preserve">CUENTAS POR COBRAR AL PERSONAL, A LOS ACCIONISTAS DIRECTORES - ADM - Cobranza Dudosa                </t>
  </si>
  <si>
    <t xml:space="preserve">68713095  </t>
  </si>
  <si>
    <t xml:space="preserve">CUENTAS POR COBRAR AL PERSONAL, A LOS ACCIONISTAS DIRECTORES - VTAS - Cobranza Dudosa               </t>
  </si>
  <si>
    <t xml:space="preserve">68714     </t>
  </si>
  <si>
    <t xml:space="preserve">CUENTAS POR COBRAR DIVERSAS - TERCEROS  - Estimación de Cuentas de Cobranza Dudosa                  </t>
  </si>
  <si>
    <t xml:space="preserve">68714094  </t>
  </si>
  <si>
    <t xml:space="preserve">CUENTAS POR COBRAR DIVERSAS - TERCEROS - ADM - Estimación de Cuentas de Cobranza Dudosa             </t>
  </si>
  <si>
    <t xml:space="preserve">68714095  </t>
  </si>
  <si>
    <t xml:space="preserve">CUENTAS POR COBRAR DIVERSAS - TERCEROS - VTAS - Estimación de Cuentas de Cobranza Dudosa            </t>
  </si>
  <si>
    <t xml:space="preserve">68715     </t>
  </si>
  <si>
    <t xml:space="preserve">CUENTAS POR COBRAR DIVERSAS - RELACIONADAS  - Estimación de Cuentas de Cobranza Dudosa              </t>
  </si>
  <si>
    <t xml:space="preserve">68715094  </t>
  </si>
  <si>
    <t xml:space="preserve">CUENTAS POR COBRAR DIVERSAS - RELACIONADAS - ADM - Estimación de Cuentas de Cobranza Dudosa         </t>
  </si>
  <si>
    <t xml:space="preserve">68715095  </t>
  </si>
  <si>
    <t xml:space="preserve">CUENTAS POR COBRAR DIVERSAS - RELACIONADAS - VTAS - Estimación de Cuentas de Cobranza Dudosa        </t>
  </si>
  <si>
    <t xml:space="preserve">6873      </t>
  </si>
  <si>
    <t xml:space="preserve">DESVALORIZACION DE INVERSIONES MOBILIARIAS - Valuación y Deterioro de Activos y Provisiones         </t>
  </si>
  <si>
    <t xml:space="preserve">68731     </t>
  </si>
  <si>
    <t xml:space="preserve">68731094  </t>
  </si>
  <si>
    <t>INVERSIONES A SER MANTENIDAS HASTA EL VENCIMIENTO - ADM - Desvalorización de Inversiones Mobiliarias</t>
  </si>
  <si>
    <t xml:space="preserve">68731095  </t>
  </si>
  <si>
    <t>INVERSIONES A SER MANTENIDAS HASTA EL VENCIMIENTO - VTAS - Desvalorización de Inversiones Mobiliaria</t>
  </si>
  <si>
    <t xml:space="preserve">68732     </t>
  </si>
  <si>
    <t xml:space="preserve">INSTRUMENTOS FINANCIEROS REPRESENTATIVOS DE DERECHO PATRIMONIAL - Desvaloriz de Invers Mobiliarias  </t>
  </si>
  <si>
    <t xml:space="preserve">68732094  </t>
  </si>
  <si>
    <t xml:space="preserve">INSTRUMENTOS FINANC REPRES DE DERECHO PATRIMONIAL- ADM - Desvalorización de Inversiones Mobiliarias </t>
  </si>
  <si>
    <t xml:space="preserve">68732095  </t>
  </si>
  <si>
    <t>INSTRUMENTOS FINANC REPRES DE DERECHO PATRIMONIAL - VTAS - Desvalorización de Inversiones Mobiliaria</t>
  </si>
  <si>
    <t xml:space="preserve">688       </t>
  </si>
  <si>
    <t xml:space="preserve">DETERIORO DEL VALOR DE LOS ACTIVOS - Valuación y Deterioro de Activos y Provisiones                 </t>
  </si>
  <si>
    <t xml:space="preserve">6881      </t>
  </si>
  <si>
    <t xml:space="preserve">DESVALORIZACIÓN DE PROPIEDAD DE INVERSIÓN - Valuación y Deterioro de Activos y Provisiones          </t>
  </si>
  <si>
    <t xml:space="preserve">68812     </t>
  </si>
  <si>
    <t xml:space="preserve">EDIFICACIONES - Desvalorización de Inversiones Inmobiliarias                                        </t>
  </si>
  <si>
    <t xml:space="preserve">6881290   </t>
  </si>
  <si>
    <t xml:space="preserve">EDIFICACIONES - PROD - Desvalorización de Inversiones Inmobiliarias                                 </t>
  </si>
  <si>
    <t xml:space="preserve">6881293   </t>
  </si>
  <si>
    <t xml:space="preserve">EDIFICACIONES - CDS - Desvalorización de Inversiones Inmobiliarias                                  </t>
  </si>
  <si>
    <t xml:space="preserve">6881294   </t>
  </si>
  <si>
    <t xml:space="preserve">EDIFICACIONES - ADM - Desvalorización de Inversiones Inmobiliarias                                  </t>
  </si>
  <si>
    <t xml:space="preserve">6881295   </t>
  </si>
  <si>
    <t xml:space="preserve">EDIFICACIONES - VTAS - Desvalorización de Inversiones Inmobiliarias                                 </t>
  </si>
  <si>
    <t xml:space="preserve">68813     </t>
  </si>
  <si>
    <t xml:space="preserve">CONSTRUCCIONES EN CURSO - Desvalorización de Inversiones Inmobiliarias                              </t>
  </si>
  <si>
    <t xml:space="preserve">68813090  </t>
  </si>
  <si>
    <t xml:space="preserve">CONSTRUCCIONES EN CURSO - PROD - Desvalorización de Inversiones Inmobiliarias                       </t>
  </si>
  <si>
    <t xml:space="preserve">68813093  </t>
  </si>
  <si>
    <t xml:space="preserve">CONSTRUCCIONES EN CURSO - CDS - Desvalorización de Inversiones Inmobiliarias                        </t>
  </si>
  <si>
    <t xml:space="preserve">68813094  </t>
  </si>
  <si>
    <t xml:space="preserve">CONSTRUCCIONES EN CURSO - ADM - Desvalorización de Inversiones Inmobiliarias                        </t>
  </si>
  <si>
    <t xml:space="preserve">68813095  </t>
  </si>
  <si>
    <t xml:space="preserve">CONSTRUCCIONES EN CURSO - VTAS - Desvalorización de Inversiones Inmobiliarias                       </t>
  </si>
  <si>
    <t xml:space="preserve">6882      </t>
  </si>
  <si>
    <t xml:space="preserve">DESVALORIZACIÓN DE ACTIVOS POR DERECHO DE USO - ARRENDAMIENTO FINANCIERO - Valuación y Deterioro de </t>
  </si>
  <si>
    <t xml:space="preserve">68820     </t>
  </si>
  <si>
    <t xml:space="preserve">PLANTA PRODUCTORA EN PRODUCCIÓN - Desvalorización - Arrendamiento Financiero                        </t>
  </si>
  <si>
    <t xml:space="preserve">68820090  </t>
  </si>
  <si>
    <t xml:space="preserve">PLANTA PRODUCTORA EN PROD - PROD - Desvalorización - Arrendamiento Financiero                       </t>
  </si>
  <si>
    <t xml:space="preserve">68820093  </t>
  </si>
  <si>
    <t xml:space="preserve">PLANTA PRODUCTORA EN PROD - CDS - Desvalorización - Arrendamiento Financiero                        </t>
  </si>
  <si>
    <t xml:space="preserve">68820094  </t>
  </si>
  <si>
    <t xml:space="preserve">PLANTA PRODUCTORA EN PROD - ADM - Desvalorización - Arrendamiento Financiero                        </t>
  </si>
  <si>
    <t xml:space="preserve">68820095  </t>
  </si>
  <si>
    <t xml:space="preserve">PLANTA PRODUCTORA EN PROD - VTAS - Desvalorización - Arrendamiento Financiero                       </t>
  </si>
  <si>
    <t xml:space="preserve">68821     </t>
  </si>
  <si>
    <t xml:space="preserve">PLANTA PRODUCTORA EN DESARROLLO - Desvalorización - Arrendamiento Financiero                        </t>
  </si>
  <si>
    <t xml:space="preserve">68821090  </t>
  </si>
  <si>
    <t xml:space="preserve">PLANTA PRODUCTORA EN DESAR - PROD - Desvalorización - Arrendamiento Financiero                      </t>
  </si>
  <si>
    <t xml:space="preserve">68821093  </t>
  </si>
  <si>
    <t xml:space="preserve">PLANTA PRODUCTORA EN DESAR - CDS - Desvalorización - Arrendamiento Financiero                       </t>
  </si>
  <si>
    <t xml:space="preserve">68821094  </t>
  </si>
  <si>
    <t xml:space="preserve">PLANTA PRODUCTORA EN DESAR - ADM - Desvalorización - Arrendamiento Financiero                       </t>
  </si>
  <si>
    <t xml:space="preserve">68821095  </t>
  </si>
  <si>
    <t xml:space="preserve">PLANTA PRODUCTORA EN DESAR - VTAS - Desvalorización - Arrendamiento Financiero                      </t>
  </si>
  <si>
    <t xml:space="preserve">68822     </t>
  </si>
  <si>
    <t xml:space="preserve">TERRENOS - Desvalorización - Arrendamiento Financiero                                               </t>
  </si>
  <si>
    <t xml:space="preserve">68822090  </t>
  </si>
  <si>
    <t xml:space="preserve">TERRENOS - PROD - Desvalorización - Arrendamiento Financiero                                        </t>
  </si>
  <si>
    <t xml:space="preserve">68822093  </t>
  </si>
  <si>
    <t xml:space="preserve">TERRENOS - CDS - Desvalorización - Arrendamiento Financiero                                         </t>
  </si>
  <si>
    <t xml:space="preserve">68822094  </t>
  </si>
  <si>
    <t xml:space="preserve">TERRENOS - ADM - Desvalorización - Arrendamiento Financiero                                         </t>
  </si>
  <si>
    <t xml:space="preserve">68822095  </t>
  </si>
  <si>
    <t xml:space="preserve">TERRENOS - VTAS - Desvalorización - Arrendamiento Financiero                                        </t>
  </si>
  <si>
    <t xml:space="preserve">68823     </t>
  </si>
  <si>
    <t xml:space="preserve">EDIFICACIONES - Desvalorización - Arrendamiento Financiero                                          </t>
  </si>
  <si>
    <t xml:space="preserve">68823090  </t>
  </si>
  <si>
    <t xml:space="preserve">EDIFICACIONES - PROD - Desvalorización - Arrendamiento Financiero                                   </t>
  </si>
  <si>
    <t xml:space="preserve">68823093  </t>
  </si>
  <si>
    <t xml:space="preserve">EDIFICACIONES - CDS - Desvalorización - Arrendamiento Financiero                                    </t>
  </si>
  <si>
    <t xml:space="preserve">68823094  </t>
  </si>
  <si>
    <t xml:space="preserve">EDIFICACIONES - ADM - Desvalorización - Arrendamiento Financiero                                    </t>
  </si>
  <si>
    <t xml:space="preserve">68823095  </t>
  </si>
  <si>
    <t xml:space="preserve">EDIFICACIONES - VTAS - Desvalorización - Arrendamiento Financiero                                   </t>
  </si>
  <si>
    <t xml:space="preserve">68824     </t>
  </si>
  <si>
    <t xml:space="preserve">MAQ. Y EQUI. DE EXPLOTACIÓN - Desvalorización - Arrendamiento Financiero                            </t>
  </si>
  <si>
    <t xml:space="preserve">68824090  </t>
  </si>
  <si>
    <t xml:space="preserve">MAQ. Y EQUI. DE EXPLOT - PROD - Desvalorización - Arrendamiento Financiero                          </t>
  </si>
  <si>
    <t xml:space="preserve">68824093  </t>
  </si>
  <si>
    <t xml:space="preserve">MAQ. Y EQUI. DE EXPLOT - CDS - Desvalorización - Arrendamiento Financiero                           </t>
  </si>
  <si>
    <t xml:space="preserve">68824094  </t>
  </si>
  <si>
    <t xml:space="preserve">MAQ. Y EQUI. DE EXPLOT - ADM - Desvalorización - Arrendamiento Financiero                           </t>
  </si>
  <si>
    <t xml:space="preserve">68824095  </t>
  </si>
  <si>
    <t xml:space="preserve">MAQ. Y EQUI. DE EXPLOT - VTAS - Desvalorización - Arrendamiento Financiero                          </t>
  </si>
  <si>
    <t xml:space="preserve">68825     </t>
  </si>
  <si>
    <t xml:space="preserve">UNIDADES DE TRANSPORTE - Desvalorización - Arrendamiento Financiero                                 </t>
  </si>
  <si>
    <t xml:space="preserve">6882590   </t>
  </si>
  <si>
    <t xml:space="preserve">UNIDADES DE TRANSPORTE - PROD - Desvalorización - Arrendamiento Financiero                          </t>
  </si>
  <si>
    <t xml:space="preserve">6882593   </t>
  </si>
  <si>
    <t xml:space="preserve">UNIDADES DE TRANSPORTE - CDS - Desvalorización - Arrendamiento Financiero                           </t>
  </si>
  <si>
    <t xml:space="preserve">6882594   </t>
  </si>
  <si>
    <t xml:space="preserve">UNIDADES DE TRANSPORTE - ADM - Desvalorización - Arrendamiento Financiero                           </t>
  </si>
  <si>
    <t xml:space="preserve">6882595   </t>
  </si>
  <si>
    <t xml:space="preserve">UNIDADES DE TRANSPORTE - VTAS - Desvalorización - Arrendamiento Financiero                          </t>
  </si>
  <si>
    <t xml:space="preserve">68826     </t>
  </si>
  <si>
    <t xml:space="preserve">MUEBLES  Y ENSERES - Desvalorización - Arrendamiento Financiero                                     </t>
  </si>
  <si>
    <t xml:space="preserve">68826090  </t>
  </si>
  <si>
    <t xml:space="preserve">MUEBLES Y ENSERES - PROD - Desvalorización - Arrendamiento Financiero                               </t>
  </si>
  <si>
    <t xml:space="preserve">68826093  </t>
  </si>
  <si>
    <t xml:space="preserve">MUEBLES Y ENSERES - CDS - Desvalorización - Arrendamiento Financiero                                </t>
  </si>
  <si>
    <t xml:space="preserve">68826094  </t>
  </si>
  <si>
    <t xml:space="preserve">68826095  </t>
  </si>
  <si>
    <t xml:space="preserve">MUEBLES Y ENSERES - VTAS - Desvalorización - Arrendamiento Financiero                               </t>
  </si>
  <si>
    <t xml:space="preserve">68827     </t>
  </si>
  <si>
    <t xml:space="preserve">EQUIPOS DIVERSOS - Desvalorización - Arrendamiento Financiero                                       </t>
  </si>
  <si>
    <t xml:space="preserve">68827090  </t>
  </si>
  <si>
    <t xml:space="preserve">EQUIPOS DIVERSOS - PROD - Desvalorización - Arrendamiento Financiero                                </t>
  </si>
  <si>
    <t xml:space="preserve">68827093  </t>
  </si>
  <si>
    <t xml:space="preserve">EQUIPOS DIVERSOS - CDS - Desvalorización - Arrendamiento Financiero                                 </t>
  </si>
  <si>
    <t xml:space="preserve">68827094  </t>
  </si>
  <si>
    <t xml:space="preserve">EQUIPOS DIVERSOS - ADM - Desvalorización - Arrendamiento Financiero                                 </t>
  </si>
  <si>
    <t xml:space="preserve">68827095  </t>
  </si>
  <si>
    <t xml:space="preserve">EQUIPOS DIVERSOS - VTAS - Desvalorización - Arrendamiento Financiero                                </t>
  </si>
  <si>
    <t xml:space="preserve">68828     </t>
  </si>
  <si>
    <t xml:space="preserve">HERRAMIENTAS Y UNIDADES DE REEMPLAZO - Desvalorización - Arrendamiento Financiero                   </t>
  </si>
  <si>
    <t xml:space="preserve">68828090  </t>
  </si>
  <si>
    <t xml:space="preserve">HERRAMIENTAS Y UNID. DE REEMPLAZO - PROD - Desvalorización - Arrendamiento Financiero               </t>
  </si>
  <si>
    <t xml:space="preserve">68828093  </t>
  </si>
  <si>
    <t xml:space="preserve">HERRAMIENTAS Y UNID. DE REEMPLAZO - CDS - Desvalorización - Arrendamiento Financiero                </t>
  </si>
  <si>
    <t xml:space="preserve">68828094  </t>
  </si>
  <si>
    <t xml:space="preserve">HERRAMIENTAS Y UNID. DE REEMPLAZO - ADM - Desvalorización - Arrendamiento Financiero                </t>
  </si>
  <si>
    <t xml:space="preserve">68828095  </t>
  </si>
  <si>
    <t xml:space="preserve">HERRAMIENTAS Y UNID. DE REEMPLAZO - VTAS - Desvalorización - Arrendamiento Financiero               </t>
  </si>
  <si>
    <t xml:space="preserve">6883      </t>
  </si>
  <si>
    <t xml:space="preserve">DESVALORIZACIÓN DE PROPIEDAD, PLANTA Y EQUIPO - Valuación y Deterioro de Activos y Provisiones      </t>
  </si>
  <si>
    <t xml:space="preserve">68830     </t>
  </si>
  <si>
    <t xml:space="preserve">PLANTA PRODUCTORA EN PRODUCCIÓN - Desvalorización de Propiedad, Planta y Equipo                     </t>
  </si>
  <si>
    <t xml:space="preserve">6883090   </t>
  </si>
  <si>
    <t xml:space="preserve">PLANTA PRODUCTORA EN PRODUCCIÓN - PROD - Desvalorización de Propiedad, Planta y Equipo              </t>
  </si>
  <si>
    <t xml:space="preserve">6883093   </t>
  </si>
  <si>
    <t xml:space="preserve">PLANTA PRODUCTORA EN PRODUCCIÓN - CDS - Desvalorización de Propiedad, Planta y Equipo               </t>
  </si>
  <si>
    <t xml:space="preserve">6883094   </t>
  </si>
  <si>
    <t xml:space="preserve">PLANTA PRODUCTORA EN PRODUCCIÓN - ADM - Desvalorización de Propiedad, Planta y Equipo               </t>
  </si>
  <si>
    <t xml:space="preserve">6883095   </t>
  </si>
  <si>
    <t xml:space="preserve">68831     </t>
  </si>
  <si>
    <t xml:space="preserve">PLANTA PRODUCTORA EN DESARROLLO - Desvalorización de Propiedad, Planta y Equipo                     </t>
  </si>
  <si>
    <t xml:space="preserve">6883190   </t>
  </si>
  <si>
    <t xml:space="preserve">PLANTA PRODUCTORA EN DESARROLLO - PROD - Desvalorización de Propiedad, Planta y Equipo              </t>
  </si>
  <si>
    <t xml:space="preserve">6883193   </t>
  </si>
  <si>
    <t xml:space="preserve">PLANTA PRODUCTORA EN DESARROLLO - CDS - Desvalorización de Propiedad, Planta y Equipo               </t>
  </si>
  <si>
    <t xml:space="preserve">6883194   </t>
  </si>
  <si>
    <t xml:space="preserve">PLANTA PRODUCTORA EN DESARROLLO - ADM - Desvalorización de Propiedad, Planta y Equipo               </t>
  </si>
  <si>
    <t xml:space="preserve">6883195   </t>
  </si>
  <si>
    <t xml:space="preserve">PLANTA PRODUCTORA EN DESARROLLO - VTAS - Desvalorización de Propiedad, Planta y Equipo              </t>
  </si>
  <si>
    <t xml:space="preserve">68832     </t>
  </si>
  <si>
    <t xml:space="preserve">TERRENOS - Desvalorización de Propiedad, Planta y Equipo                                            </t>
  </si>
  <si>
    <t xml:space="preserve">6883290   </t>
  </si>
  <si>
    <t xml:space="preserve">TERRENOS - PROD - Desvalorización de Propiedad, Planta y Equipo                                     </t>
  </si>
  <si>
    <t xml:space="preserve">6883293   </t>
  </si>
  <si>
    <t xml:space="preserve">TERRENOS - CDS - Desvalorización de Propiedad, Planta y Equipo                                      </t>
  </si>
  <si>
    <t xml:space="preserve">6883294   </t>
  </si>
  <si>
    <t xml:space="preserve">TERRENOS - ADM - Desvalorización de Propiedad, Planta y Equipo                                      </t>
  </si>
  <si>
    <t xml:space="preserve">6883295   </t>
  </si>
  <si>
    <t xml:space="preserve">TERRENOS - VTAS - Desvalorización de Propiedad, Planta y Equipo                                     </t>
  </si>
  <si>
    <t xml:space="preserve">68833     </t>
  </si>
  <si>
    <t xml:space="preserve">EDIFICACIONES  - Desvalorización de Propiedad, Planta y Equipo                                      </t>
  </si>
  <si>
    <t xml:space="preserve">6883390   </t>
  </si>
  <si>
    <t xml:space="preserve">EDIFICACIONES - PROD - Desvalorización de Propiedad, Planta y Equipo                                </t>
  </si>
  <si>
    <t xml:space="preserve">6883393   </t>
  </si>
  <si>
    <t xml:space="preserve">EDIFICACIONES - CDS - Desvalorización de Propiedad, Planta y Equipo                                 </t>
  </si>
  <si>
    <t xml:space="preserve">6883394   </t>
  </si>
  <si>
    <t xml:space="preserve">EDIFICACIONES - ADM - Desvalorización de Propiedad, Planta y Equipo                                 </t>
  </si>
  <si>
    <t xml:space="preserve">6883395   </t>
  </si>
  <si>
    <t xml:space="preserve">EDIFICACIONES - VTAS - Desvalorización de Propiedad, Planta y Equipo                                </t>
  </si>
  <si>
    <t xml:space="preserve">68834     </t>
  </si>
  <si>
    <t xml:space="preserve">MAQUINARIAS Y EQUIPOS DE EXPLOTACION  - Desvalorización de Propiedad, Planta y Equipo               </t>
  </si>
  <si>
    <t xml:space="preserve">6883490   </t>
  </si>
  <si>
    <t xml:space="preserve">MAQUINARIAS Y EQUIPOS DE EXPLOTACION - PROD - Desvalorización de Propiedad, Planta y Equipo         </t>
  </si>
  <si>
    <t xml:space="preserve">6883493   </t>
  </si>
  <si>
    <t xml:space="preserve">MAQUINARIAS Y EQUIPOS DE EXPLOTACION - CDS - Desvalorización de Propiedad, Planta y Equipo          </t>
  </si>
  <si>
    <t xml:space="preserve">6883494   </t>
  </si>
  <si>
    <t xml:space="preserve">MAQUINARIAS Y EQUIPOS DE EXPLOTACION - ADM - Desvalorización de Propiedad, Planta y Equipo          </t>
  </si>
  <si>
    <t xml:space="preserve">6883495   </t>
  </si>
  <si>
    <t xml:space="preserve">MAQUINARIAS Y EQUIPOS DE EXPLOTACION - VTAS - Desvalorización de Propiedad, Planta y Equipo         </t>
  </si>
  <si>
    <t xml:space="preserve">68835     </t>
  </si>
  <si>
    <t xml:space="preserve">UNIDADES DE TRANSPORTE  - Desvalorización de Propiedad, Planta y Equipo                             </t>
  </si>
  <si>
    <t xml:space="preserve">6883590   </t>
  </si>
  <si>
    <t xml:space="preserve">UNIDADES DE TRANSPORTE - PROD - Desvalorización de Propiedad, Planta y Equipo                       </t>
  </si>
  <si>
    <t xml:space="preserve">6883593   </t>
  </si>
  <si>
    <t xml:space="preserve">UNIDADES DE TRANSPORTE - CDS - Desvalorización de Propiedad, Planta y Equipo                        </t>
  </si>
  <si>
    <t xml:space="preserve">6883594   </t>
  </si>
  <si>
    <t xml:space="preserve">UNIDADES DE TRANSPORTE - ADM - Desvalorización de Propiedad, Planta y Equipo                        </t>
  </si>
  <si>
    <t xml:space="preserve">6883595   </t>
  </si>
  <si>
    <t xml:space="preserve">UNIDADES DE TRANSPORTE - VTAS - Desvalorización de Propiedad, Planta y Equipo                       </t>
  </si>
  <si>
    <t xml:space="preserve">68836     </t>
  </si>
  <si>
    <t xml:space="preserve">MUEBLES Y ENSERES  - Desvalorización de Propiedad, Planta y Equipo                                  </t>
  </si>
  <si>
    <t xml:space="preserve">6883690   </t>
  </si>
  <si>
    <t xml:space="preserve">MUEBLES Y ENSERES - PROD - Desvalorización de Propiedad, Planta y Equipo                            </t>
  </si>
  <si>
    <t xml:space="preserve">6883693   </t>
  </si>
  <si>
    <t xml:space="preserve">MUEBLES Y ENSERES - CDS - Desvalorización de Propiedad, Planta y Equipo                             </t>
  </si>
  <si>
    <t xml:space="preserve">6883694   </t>
  </si>
  <si>
    <t xml:space="preserve">MUEBLES Y ENSERES - ADM - Desvalorización de Propiedad, Planta y Equipo                             </t>
  </si>
  <si>
    <t xml:space="preserve">6883695   </t>
  </si>
  <si>
    <t xml:space="preserve">MUEBLES Y ENSERES - VTAS - Desvalorización de Propiedad, Planta y Equipo                            </t>
  </si>
  <si>
    <t xml:space="preserve">68837     </t>
  </si>
  <si>
    <t xml:space="preserve">EQUIPOS DIVERSOS  - Desvalorización de Propiedad, Planta y Equipo                                   </t>
  </si>
  <si>
    <t xml:space="preserve">6883790   </t>
  </si>
  <si>
    <t xml:space="preserve">EQUIPOS DIVERSOS - PROD - Desvalorización de Propiedad, Planta y Equipo                             </t>
  </si>
  <si>
    <t xml:space="preserve">6883793   </t>
  </si>
  <si>
    <t xml:space="preserve">EQUIPOS DIVERSOS - CDS - Desvalorización de Propiedad, Planta y Equipo                              </t>
  </si>
  <si>
    <t xml:space="preserve">6883794   </t>
  </si>
  <si>
    <t xml:space="preserve">EQUIPOS DIVERSOS - ADM - Desvalorización de Propiedad, Planta y Equipo                              </t>
  </si>
  <si>
    <t xml:space="preserve">6883795   </t>
  </si>
  <si>
    <t xml:space="preserve">EQUIPOS DIVERSOS - VTAS - Desvalorización de Propiedad, Planta y Equipo                             </t>
  </si>
  <si>
    <t xml:space="preserve">68838     </t>
  </si>
  <si>
    <t xml:space="preserve">HERRAMIENTAS Y UNIDADES DE REEMPLAZO  - Desvalorización de Propiedad, Planta y Equipo               </t>
  </si>
  <si>
    <t xml:space="preserve">6883890   </t>
  </si>
  <si>
    <t xml:space="preserve">HERRAMIENTAS Y UNIDADES DE REEMPLAZO - PROD - Desvalorización de Propiedad, Planta y Equipo         </t>
  </si>
  <si>
    <t xml:space="preserve">6883893   </t>
  </si>
  <si>
    <t xml:space="preserve">HERRAMIENTAS Y UNIDADES DE REEMPLAZO - CDS - Desvalorización de Propiedad, Planta y Equipo          </t>
  </si>
  <si>
    <t xml:space="preserve">6883894   </t>
  </si>
  <si>
    <t xml:space="preserve">HERRAMIENTAS Y UNIDADES DE REEMPLAZO - ADM - Desvalorización de Propiedad, Planta y Equipo          </t>
  </si>
  <si>
    <t xml:space="preserve">6883895   </t>
  </si>
  <si>
    <t xml:space="preserve">HERRAMIENTAS Y UNIDADES DE REEMPLAZO - VTAS - Desvalorización de Propiedad, Planta y Equipo         </t>
  </si>
  <si>
    <t xml:space="preserve">6884      </t>
  </si>
  <si>
    <t xml:space="preserve">68841     </t>
  </si>
  <si>
    <t xml:space="preserve">CONCESIONES, LICENCIAS Y OTROS DERECHOS  - Desvalorización de Intangibles                           </t>
  </si>
  <si>
    <t xml:space="preserve">6884190   </t>
  </si>
  <si>
    <t xml:space="preserve">CONCESIONES, LICENCIAS Y OTROS DERECHOS  - PROD - Desvalorización de Intangibles                    </t>
  </si>
  <si>
    <t xml:space="preserve">6884193   </t>
  </si>
  <si>
    <t xml:space="preserve">CONCESIONES, LICENCIAS Y OTROS DERECHOS  - CDS - Desvalorización de Intangibles                     </t>
  </si>
  <si>
    <t xml:space="preserve">6884194   </t>
  </si>
  <si>
    <t xml:space="preserve">CONCESIONES, LICENCIAS Y OTROS DERECHOS  - ADM - Desvalorización de Intangibles                     </t>
  </si>
  <si>
    <t xml:space="preserve">6884195   </t>
  </si>
  <si>
    <t xml:space="preserve">CONCESIONES, LICENCIAS Y OTROS DERECHOS  - VTAS - Desvalorización de Intangibles                    </t>
  </si>
  <si>
    <t xml:space="preserve">68842     </t>
  </si>
  <si>
    <t xml:space="preserve">PATENTES Y PROPIEDAD INDUSTRIAL  - Desvalorización de Intangibles                                   </t>
  </si>
  <si>
    <t xml:space="preserve">6884290   </t>
  </si>
  <si>
    <t xml:space="preserve">PATENTES Y PROPIEDAD INDUSTRIAL - PROD - Desvalorización de Intangibles                             </t>
  </si>
  <si>
    <t xml:space="preserve">6884293   </t>
  </si>
  <si>
    <t xml:space="preserve">PATENTES Y PROPIEDAD INDUSTRIAL - CDS - Desvalorización de Intangibles                              </t>
  </si>
  <si>
    <t xml:space="preserve">6884294   </t>
  </si>
  <si>
    <t xml:space="preserve">PATENTES Y PROPIEDAD INDUSTRIAL - ADM - Desvalorización de Intangibles                              </t>
  </si>
  <si>
    <t xml:space="preserve">6884295   </t>
  </si>
  <si>
    <t xml:space="preserve">PATENTES Y PROPIEDAD INDUSTRIAL - VTAS - Desvalorización de Intangibles                             </t>
  </si>
  <si>
    <t xml:space="preserve">68843     </t>
  </si>
  <si>
    <t xml:space="preserve">PROGRAMAS DE COMPUTADORA (SOFTWARE)  - Desvalorización de Intangibles                               </t>
  </si>
  <si>
    <t xml:space="preserve">6884390   </t>
  </si>
  <si>
    <t xml:space="preserve">PROGRAMAS DE COMPUTADORA (SOFTWARE) - PROD - Desvalorización de Intangibles                         </t>
  </si>
  <si>
    <t xml:space="preserve">6884393   </t>
  </si>
  <si>
    <t xml:space="preserve">PROGRAMAS DE COMPUTADORA (SOFTWARE) - CDS - Desvalorización de Intangibles                          </t>
  </si>
  <si>
    <t xml:space="preserve">6884394   </t>
  </si>
  <si>
    <t xml:space="preserve">PROGRAMAS DE COMPUTADORA (SOFTWARE) - ADM - Desvalorización de Intangibles                          </t>
  </si>
  <si>
    <t xml:space="preserve">6884395   </t>
  </si>
  <si>
    <t xml:space="preserve">PROGRAMAS DE COMPUTADORA (SOFTWARE) - VTAS - Desvalorización de Intangibles                         </t>
  </si>
  <si>
    <t xml:space="preserve">68844     </t>
  </si>
  <si>
    <t xml:space="preserve">COSTOS DE EXPLORACIÓN Y DESARROLLO  - Desvalorización de Intangibles                                </t>
  </si>
  <si>
    <t xml:space="preserve">6884490   </t>
  </si>
  <si>
    <t xml:space="preserve">COSTOS DE EXPLORACIÓN Y DESARROLLO - PROD - Desvalorización de Intangibles                          </t>
  </si>
  <si>
    <t xml:space="preserve">6884493   </t>
  </si>
  <si>
    <t xml:space="preserve">COSTOS DE EXPLORACIÓN Y DESARROLLO - CDS - Desvalorización de Intangibles                           </t>
  </si>
  <si>
    <t xml:space="preserve">6884494   </t>
  </si>
  <si>
    <t xml:space="preserve">COSTOS DE EXPLORACIÓN Y DESARROLLO - ADM - Desvalorización de Intangibles                           </t>
  </si>
  <si>
    <t xml:space="preserve">6884495   </t>
  </si>
  <si>
    <t xml:space="preserve">COSTOS DE EXPLORACIÓN Y DESARROLLO - VTAS - Desvalorización de Intangibles                          </t>
  </si>
  <si>
    <t xml:space="preserve">68845     </t>
  </si>
  <si>
    <t xml:space="preserve">FORMULAS, DISEÑOS Y PROTOTIPOS  - Desvalorización de Intangibles                                    </t>
  </si>
  <si>
    <t xml:space="preserve">6884590   </t>
  </si>
  <si>
    <t xml:space="preserve">FORMULAS, DISEÑOS Y PROTOTIPOS - PROD - Desvalorización de Intangibles                              </t>
  </si>
  <si>
    <t xml:space="preserve">6884593   </t>
  </si>
  <si>
    <t xml:space="preserve">FORMULAS, DISEÑOS Y PROTOTIPOS - CDS - Desvalorización de Intangibles                               </t>
  </si>
  <si>
    <t xml:space="preserve">6884594   </t>
  </si>
  <si>
    <t xml:space="preserve">FORMULAS, DISEÑOS Y PROTOTIPOS - ADM - Desvalorización de Intangibles                               </t>
  </si>
  <si>
    <t xml:space="preserve">6884595   </t>
  </si>
  <si>
    <t xml:space="preserve">FORMULAS, DISEÑOS Y PROTOTIPOS - VTAS - Desvalorización de Intangibles                              </t>
  </si>
  <si>
    <t xml:space="preserve">68846     </t>
  </si>
  <si>
    <t xml:space="preserve">OTROS ACTIVOS INTANGIBLES  - Desvalorización de Intangibles                                         </t>
  </si>
  <si>
    <t xml:space="preserve">6884690   </t>
  </si>
  <si>
    <t xml:space="preserve">OTROS ACTIVOS INTANGIBLES - PROD - Desvalorización de Intangibles                                   </t>
  </si>
  <si>
    <t xml:space="preserve">6884693   </t>
  </si>
  <si>
    <t xml:space="preserve">OTROS ACTIVOS INTANGIBLES - CDS - Desvalorización de Intangibles                                    </t>
  </si>
  <si>
    <t xml:space="preserve">6884694   </t>
  </si>
  <si>
    <t xml:space="preserve">OTROS ACTIVOS INTANGIBLES - ADM - Desvalorización de Intangibles                                    </t>
  </si>
  <si>
    <t xml:space="preserve">6884695   </t>
  </si>
  <si>
    <t xml:space="preserve">OTROS ACTIVOS INTANGIBLES - VTAS - Desvalorización de Intangibles                                   </t>
  </si>
  <si>
    <t xml:space="preserve">68847     </t>
  </si>
  <si>
    <t xml:space="preserve">PLUSVALIA MERCANTIL  - Desvalorización de Intangibles                                               </t>
  </si>
  <si>
    <t xml:space="preserve">68847090  </t>
  </si>
  <si>
    <t xml:space="preserve">PLUSVALIA MERCANTIL - PROD - Desvalorización de Intangibles                                         </t>
  </si>
  <si>
    <t xml:space="preserve">68847093  </t>
  </si>
  <si>
    <t xml:space="preserve">PLUSVALIA MERCANTIL - CDS - Desvalorización de Intangibles                                          </t>
  </si>
  <si>
    <t xml:space="preserve">68847094  </t>
  </si>
  <si>
    <t xml:space="preserve">PLUSVALIA MERCANTIL - ADM - Desvalorización de Intangibles                                          </t>
  </si>
  <si>
    <t xml:space="preserve">68847095  </t>
  </si>
  <si>
    <t xml:space="preserve">PLUSVALIA MERCANTIL - VTAS - Desvalorización de Intangibles                                         </t>
  </si>
  <si>
    <t xml:space="preserve">6885      </t>
  </si>
  <si>
    <t xml:space="preserve">DESVALORIZACIÓN DE ACTIVOS BIOLÓGICOS EN PRODUCCIÓN                                                 </t>
  </si>
  <si>
    <t xml:space="preserve">68851     </t>
  </si>
  <si>
    <t xml:space="preserve">ACTIVOS BIOLOGICOS DE ORIGEN ANIMAL  - Desvalorización en Producción                                </t>
  </si>
  <si>
    <t xml:space="preserve">6885190   </t>
  </si>
  <si>
    <t xml:space="preserve">ACTIVOS BIOLOGICOS DE ORIGEN ANIMAL - PROD - Desvalorización en Producción                          </t>
  </si>
  <si>
    <t xml:space="preserve">6885193   </t>
  </si>
  <si>
    <t xml:space="preserve">ACTIVOS BIOLOGICOS DE ORIGEN ANIMAL - CDS - Desvalorización en Producción                           </t>
  </si>
  <si>
    <t xml:space="preserve">6885194   </t>
  </si>
  <si>
    <t xml:space="preserve">ACTIVOS BIOLOGICOS DE ORIGEN ANIMAL - ADM - Desvalorización en Producción                           </t>
  </si>
  <si>
    <t xml:space="preserve">6885195   </t>
  </si>
  <si>
    <t xml:space="preserve">ACTIVOS BIOLOGICOS DE ORIGEN ANIMAL - VTAS - Desvalorización en Producción                          </t>
  </si>
  <si>
    <t xml:space="preserve">68852     </t>
  </si>
  <si>
    <t xml:space="preserve">ACTIVOS BIOLOGICOS DE ORIGEN VEGETAL  - Desvalorización en Producción                               </t>
  </si>
  <si>
    <t xml:space="preserve">6885290   </t>
  </si>
  <si>
    <t xml:space="preserve">ACTIVOS BIOLOGICOS DE ORIGEN VEGETAL - PROD - Desvalorización en Producción                         </t>
  </si>
  <si>
    <t xml:space="preserve">6885293   </t>
  </si>
  <si>
    <t xml:space="preserve">ACTIVOS BIOLOGICOS DE ORIGEN VEGETAL - CDS - Desvalorización en Producción                          </t>
  </si>
  <si>
    <t xml:space="preserve">6885294   </t>
  </si>
  <si>
    <t xml:space="preserve">ACTIVOS BIOLOGICOS DE ORIGEN VEGETAL - ADM - Desvalorización en Producción                          </t>
  </si>
  <si>
    <t xml:space="preserve">6885295   </t>
  </si>
  <si>
    <t xml:space="preserve">ACTIVOS BIOLOGICOS DE ORIGEN VEGETAL - VTAS - Desvalorización en Producción                         </t>
  </si>
  <si>
    <t xml:space="preserve">689       </t>
  </si>
  <si>
    <t xml:space="preserve">PROVISIONES - Valuación y Deterioro de Activos y Provisiones                                        </t>
  </si>
  <si>
    <t xml:space="preserve">6891      </t>
  </si>
  <si>
    <t xml:space="preserve">PROVISION PARA LITIGIOS - Valuación y Deterioro de Activos y Provisiones                            </t>
  </si>
  <si>
    <t xml:space="preserve">68911     </t>
  </si>
  <si>
    <t xml:space="preserve">PROVISION PARA LITIGIOS - COSTO                                                                     </t>
  </si>
  <si>
    <t xml:space="preserve">6891194   </t>
  </si>
  <si>
    <t xml:space="preserve">PROVISION PARA LITIGIOS - COSTO - ADM                                                               </t>
  </si>
  <si>
    <t xml:space="preserve">6891195   </t>
  </si>
  <si>
    <t xml:space="preserve">PROVISION PARA LITIGIOS - COSTO - VTAS                                                              </t>
  </si>
  <si>
    <t xml:space="preserve">68912     </t>
  </si>
  <si>
    <t xml:space="preserve">PROVISIÓN PARA LITIGIOS - ACTUALIZACION FINANCIERA                                                  </t>
  </si>
  <si>
    <t xml:space="preserve">6891294   </t>
  </si>
  <si>
    <t xml:space="preserve">PROVISIÓN PARA LITIGIOS - ACTUALIZACION FINANCIERA  - ADM                                           </t>
  </si>
  <si>
    <t xml:space="preserve">6891295   </t>
  </si>
  <si>
    <t xml:space="preserve">PROVISIÓN PARA LITIGIOS - ACTUALIZACION FINANCIERA  - VTAS                                          </t>
  </si>
  <si>
    <t xml:space="preserve">6892      </t>
  </si>
  <si>
    <t xml:space="preserve">68921     </t>
  </si>
  <si>
    <t xml:space="preserve">PROVISIÓN POR DESMANTELAMIENTO, RETIRO O REHABILITACIÓN DEL INMOVILIZADO - COSTO                    </t>
  </si>
  <si>
    <t xml:space="preserve">6892190   </t>
  </si>
  <si>
    <t xml:space="preserve">PROVISIÓN POR DESMANTELAMIENTO, RETIRO O REHABILITACIÓN DEL INMOVILIZADO - COSTO - PROD             </t>
  </si>
  <si>
    <t xml:space="preserve">6892193   </t>
  </si>
  <si>
    <t xml:space="preserve">PROVISIÓN POR DESMANTELAMIENTO, RETIRO O REHABILITACIÓN DEL INMOVILIZADO - COSTO - CDS              </t>
  </si>
  <si>
    <t xml:space="preserve">6892194   </t>
  </si>
  <si>
    <t xml:space="preserve">PROVISIÓN POR DESMANTELAMIENTO, RETIRO O REHABILITACIÓN DEL INMOVILIZADO - COSTO - ADM              </t>
  </si>
  <si>
    <t xml:space="preserve">6892195   </t>
  </si>
  <si>
    <t xml:space="preserve">PROVISIÓN POR DESMANTELAMIENTO, RETIRO O REHABILITACIÓN DEL INMOVILIZADO - COSTO - VTAS             </t>
  </si>
  <si>
    <t xml:space="preserve">68922     </t>
  </si>
  <si>
    <t xml:space="preserve">PROVISIÓN POR DESMANTELAMIENTO, RETIRO O REHABILITACIÓN DEL INMOVILIZADO - ACTUALIZACIÓN FINANCIERA </t>
  </si>
  <si>
    <t xml:space="preserve">6892290   </t>
  </si>
  <si>
    <t>PROVISIÓN POR DESMANTELAMIENTO, RETIRO O REHABILITACIÓN DEL INMOVILIZADO - ACTUALIZ.  FINANC. - PROD</t>
  </si>
  <si>
    <t xml:space="preserve">6892293   </t>
  </si>
  <si>
    <t xml:space="preserve">PROVISIÓN POR DESMANTELAMIENTO, RETIRO O REHABILITACIÓN DEL INMOVILIZADO - ACTUALIZ.  FINANC. - CDS </t>
  </si>
  <si>
    <t xml:space="preserve">6892294   </t>
  </si>
  <si>
    <t xml:space="preserve">PROVISIÓN POR DESMANTELAMIENTO, RETIRO O REHABILITACIÓN DEL INMOVILIZADO - ACTUALIZ.  FINANC. - ADM </t>
  </si>
  <si>
    <t xml:space="preserve">6892295   </t>
  </si>
  <si>
    <t>PROVISIÓN POR DESMANTELAMIENTO, RETIRO O REHABILITACIÓN DEL INMOVILIZADO - ACTUALIZ.  FINANC. - VTAS</t>
  </si>
  <si>
    <t xml:space="preserve">6893      </t>
  </si>
  <si>
    <t xml:space="preserve">6893090   </t>
  </si>
  <si>
    <t xml:space="preserve">PROVISION PARA REESTRUCTURACIONES - PROD                                                            </t>
  </si>
  <si>
    <t xml:space="preserve">6893093   </t>
  </si>
  <si>
    <t xml:space="preserve">PROVISION PARA REESTRUCTURACIONES - CDS                                                             </t>
  </si>
  <si>
    <t xml:space="preserve">6893094   </t>
  </si>
  <si>
    <t xml:space="preserve">PROVISION PARA REESTRUCTURACIONES - ADM                                                             </t>
  </si>
  <si>
    <t xml:space="preserve">6893095   </t>
  </si>
  <si>
    <t xml:space="preserve">PROVISION PARA REESTRUCTURACIONES - VTAS                                                            </t>
  </si>
  <si>
    <t xml:space="preserve">6894      </t>
  </si>
  <si>
    <t xml:space="preserve">68941     </t>
  </si>
  <si>
    <t xml:space="preserve">PROVISIÓN PARA PROTECCIÓN Y REMEDIACIÓN DEL MEDIO AMBIENTE - COSTO                                  </t>
  </si>
  <si>
    <t xml:space="preserve">68941090  </t>
  </si>
  <si>
    <t xml:space="preserve">PROVISIÓN PARA PROTECCIÓN Y REMEDIACIÓN DEL MEDIO AMBIENTE - COSTO - PROD                           </t>
  </si>
  <si>
    <t xml:space="preserve">68941093  </t>
  </si>
  <si>
    <t xml:space="preserve">PROVISIÓN PARA PROTECCIÓN Y REMEDIACIÓN DEL MEDIO AMBIENTE - COSTO - CDS                            </t>
  </si>
  <si>
    <t xml:space="preserve">68941094  </t>
  </si>
  <si>
    <t xml:space="preserve">PROVISIÓN PARA PROTECCIÓN Y REMEDIACIÓN DEL MEDIO AMBIENTE - COSTO - ADM                            </t>
  </si>
  <si>
    <t xml:space="preserve">68941095  </t>
  </si>
  <si>
    <t xml:space="preserve">PROVISIÓN PARA PROTECCIÓN Y REMEDIACIÓN DEL MEDIO AMBIENTE - COSTO - VTAS                           </t>
  </si>
  <si>
    <t xml:space="preserve">68942     </t>
  </si>
  <si>
    <t xml:space="preserve">PROVISIÓN PARA PROTECCIÓN Y REMEDIACIÓN DEL MEDIO AMBIENTE - ACTUALIZACIÓN FINANCIERA               </t>
  </si>
  <si>
    <t xml:space="preserve">68942090  </t>
  </si>
  <si>
    <t xml:space="preserve">PROVISIÓN PARA PROTECCIÓN Y REMEDIACIÓN DEL MEDIO AMBIENTE - ACTUALIZACIÓN FINANCIERA - PROD        </t>
  </si>
  <si>
    <t xml:space="preserve">68942093  </t>
  </si>
  <si>
    <t xml:space="preserve">PROVISIÓN PARA PROTECCIÓN Y REMEDIACIÓN DEL MEDIO AMBIENTE - ACTUALIZACIÓN FINANCIERA - CDS         </t>
  </si>
  <si>
    <t xml:space="preserve">68942094  </t>
  </si>
  <si>
    <t xml:space="preserve">PROVISIÓN PARA PROTECCIÓN Y REMEDIACIÓN DEL MEDIO AMBIENTE - ACTUALIZACIÓN FINANCIERA - ADM         </t>
  </si>
  <si>
    <t xml:space="preserve">68942095  </t>
  </si>
  <si>
    <t xml:space="preserve">PROVISIÓN PARA PROTECCIÓN Y REMEDIACIÓN DEL MEDIO AMBIENTE - ACTUALIZACIÓN FINANCIERA - VTAS        </t>
  </si>
  <si>
    <t xml:space="preserve">6896      </t>
  </si>
  <si>
    <t xml:space="preserve">PROVISION PARA GARANTIAS                                                                            </t>
  </si>
  <si>
    <t xml:space="preserve">68961     </t>
  </si>
  <si>
    <t xml:space="preserve">PROVISION PARA GARANTIAS- COSTO                                                                     </t>
  </si>
  <si>
    <t xml:space="preserve">68961090  </t>
  </si>
  <si>
    <t xml:space="preserve">PROVISION PARA GARANTIAS- COSTO - PROD                                                              </t>
  </si>
  <si>
    <t xml:space="preserve">68961093  </t>
  </si>
  <si>
    <t xml:space="preserve">PROVISION PARA GARANTIAS- COSTO - CDS                                                               </t>
  </si>
  <si>
    <t xml:space="preserve">68961094  </t>
  </si>
  <si>
    <t xml:space="preserve">PROVISION PARA GARANTIAS- COSTO - ADM                                                               </t>
  </si>
  <si>
    <t xml:space="preserve">68961095  </t>
  </si>
  <si>
    <t xml:space="preserve">PROVISION PARA GARANTIAS- COSTO - VTAS                                                              </t>
  </si>
  <si>
    <t xml:space="preserve">68962     </t>
  </si>
  <si>
    <t xml:space="preserve">PROVISION PARA GARANTIAS- ACTUALIZACION FINANCIERA                                                  </t>
  </si>
  <si>
    <t xml:space="preserve">68962090  </t>
  </si>
  <si>
    <t xml:space="preserve">PROVISION PARA GARANTIAS - ACTUALIZACION FINANCIERA  - PROD                                         </t>
  </si>
  <si>
    <t xml:space="preserve">68962093  </t>
  </si>
  <si>
    <t xml:space="preserve">PROVISION PARA GARANTIAS - ACTUALIZACION FINANCIERA  - CDS                                          </t>
  </si>
  <si>
    <t xml:space="preserve">68962094  </t>
  </si>
  <si>
    <t xml:space="preserve">PROVISION PARA GARANTIAS - ACTUALIZACION FINANCIERA  - ADM                                          </t>
  </si>
  <si>
    <t xml:space="preserve">68962095  </t>
  </si>
  <si>
    <t xml:space="preserve">PROVISION PARA GARANTIAS - ACTUALIZACION FINANCIERA  - VTAS                                         </t>
  </si>
  <si>
    <t xml:space="preserve">6897      </t>
  </si>
  <si>
    <t xml:space="preserve">PROVISIÓN POR ACTIVOS POR DERECHO DE USO                                                            </t>
  </si>
  <si>
    <t xml:space="preserve">68971     </t>
  </si>
  <si>
    <t xml:space="preserve">PROVISIÓN POR ACTIVOS POR DERECHO DE USO  ARRENDAMIENTO OPERATIVO                                   </t>
  </si>
  <si>
    <t xml:space="preserve">6897190   </t>
  </si>
  <si>
    <t xml:space="preserve">PROVISIÓN POR ACTIVOS POR DERECHO DE USO  ARRENDAMIENTO OPERATIVO - PROD                            </t>
  </si>
  <si>
    <t xml:space="preserve">6897193   </t>
  </si>
  <si>
    <t xml:space="preserve">PROVISIÓN POR ACTIVOS POR DERECHO DE USO  ARRENDAMIENTO OPERATIVO - CDS                             </t>
  </si>
  <si>
    <t xml:space="preserve">6897194   </t>
  </si>
  <si>
    <t xml:space="preserve">PROVISIÓN POR ACTIVOS POR DERECHO DE USO  ARRENDAMIENTO OPERATIVO - ADM                             </t>
  </si>
  <si>
    <t xml:space="preserve">6897195   </t>
  </si>
  <si>
    <t xml:space="preserve">PROVISIÓN POR ACTIVOS POR DERECHO DE USO  ARRENDAMIENTO OPERATIVO - VTAS                            </t>
  </si>
  <si>
    <t xml:space="preserve">68972     </t>
  </si>
  <si>
    <t xml:space="preserve">PROVISIÓN POR ACTIVOS POR DERECHO DE USO  ARRENDAMIENTO OPERATIVO - Actualización Financiera        </t>
  </si>
  <si>
    <t xml:space="preserve">6897290   </t>
  </si>
  <si>
    <t xml:space="preserve">PROVISIÓN POR ACTIVOS POR DERECHO DE USO  ARRENDAMIENTO OPERATIVO - Actualización Financiera - PROD </t>
  </si>
  <si>
    <t xml:space="preserve">6897293   </t>
  </si>
  <si>
    <t xml:space="preserve">PROVISIÓN POR ACTIVOS POR DERECHO DE USO  ARRENDAMIENTO OPERATIVO - Actualización Financiera - CDS  </t>
  </si>
  <si>
    <t xml:space="preserve">6897294   </t>
  </si>
  <si>
    <t xml:space="preserve">PROVISIÓN POR ACTIVOS POR DERECHO DE USO  ARRENDAMIENTO OPERATIVO - Actualización Financiera - ADM  </t>
  </si>
  <si>
    <t xml:space="preserve">6897295   </t>
  </si>
  <si>
    <t xml:space="preserve">PROVISIÓN POR ACTIVOS POR DERECHO DE USO  ARRENDAMIENTO OPERATIVO - Actualización Financiera - VTAS </t>
  </si>
  <si>
    <t xml:space="preserve">6899      </t>
  </si>
  <si>
    <t xml:space="preserve">6899090   </t>
  </si>
  <si>
    <t xml:space="preserve">OTRAS PROVISIONES - PROD                                                                            </t>
  </si>
  <si>
    <t xml:space="preserve">6899093   </t>
  </si>
  <si>
    <t xml:space="preserve">OTRAS PROVISIONES - CDS                                                                             </t>
  </si>
  <si>
    <t xml:space="preserve">6899094   </t>
  </si>
  <si>
    <t xml:space="preserve">OTRAS PROVISIONES - ADM                                                                             </t>
  </si>
  <si>
    <t xml:space="preserve">6899095   </t>
  </si>
  <si>
    <t xml:space="preserve">OTRAS PROVISIONES - VTAS                                                                            </t>
  </si>
  <si>
    <t xml:space="preserve">69        </t>
  </si>
  <si>
    <t xml:space="preserve">COSTO DE VENTAS                                                                                     </t>
  </si>
  <si>
    <t>Función</t>
  </si>
  <si>
    <t xml:space="preserve">691       </t>
  </si>
  <si>
    <t xml:space="preserve">MERCADERIAS - Costo de Ventas                                                                       </t>
  </si>
  <si>
    <t xml:space="preserve">6911      </t>
  </si>
  <si>
    <t xml:space="preserve">MERCADERIAS  - EXPORTACIÓN  - Costo de Ventas                                                       </t>
  </si>
  <si>
    <t xml:space="preserve">69111     </t>
  </si>
  <si>
    <t xml:space="preserve">TERCEROS - Mercaderias - Exportación - Costo de Venta                                               </t>
  </si>
  <si>
    <t>F115</t>
  </si>
  <si>
    <t xml:space="preserve">69112     </t>
  </si>
  <si>
    <t xml:space="preserve">RELACIONADAS - Mercaderias - Exportación - Costo de Venta                                           </t>
  </si>
  <si>
    <t xml:space="preserve">6912      </t>
  </si>
  <si>
    <t xml:space="preserve">MERCADERÍAS VENTA LOCAL - Costo de Ventas                                                           </t>
  </si>
  <si>
    <t xml:space="preserve">69121     </t>
  </si>
  <si>
    <t xml:space="preserve">TERCEROS - Mercaderias Venta Local - Costo de Ventas                                                </t>
  </si>
  <si>
    <t xml:space="preserve">69122     </t>
  </si>
  <si>
    <t xml:space="preserve">RELACIONADAS - Mercaderias Venta Local - Costo de Ventas                                            </t>
  </si>
  <si>
    <t xml:space="preserve">692       </t>
  </si>
  <si>
    <t xml:space="preserve">PRODUCTOS TERMINADOS - Costo de Ventas                                                              </t>
  </si>
  <si>
    <t xml:space="preserve">6921      </t>
  </si>
  <si>
    <t xml:space="preserve">PRODUCTOS TERMINADOS - Exportación - Costo de Ventas                                                </t>
  </si>
  <si>
    <t xml:space="preserve">69211     </t>
  </si>
  <si>
    <t xml:space="preserve">TERCEROS - Productos Terminados - Exportación - Costo de Ventas                                     </t>
  </si>
  <si>
    <t xml:space="preserve">7111      </t>
  </si>
  <si>
    <t xml:space="preserve">69212     </t>
  </si>
  <si>
    <t xml:space="preserve">RELACIONADAS - Productos Terminados - Exportación - Costo de Ventas                                 </t>
  </si>
  <si>
    <t xml:space="preserve">6922      </t>
  </si>
  <si>
    <t xml:space="preserve">PRODUCTOS TERMINADOS - Venta Local - Costo de Ventas                                                </t>
  </si>
  <si>
    <t xml:space="preserve">69221     </t>
  </si>
  <si>
    <t xml:space="preserve">TERCEROS - Productos Terminados - Venta Local - Costo de Ventas                                     </t>
  </si>
  <si>
    <t xml:space="preserve">69222     </t>
  </si>
  <si>
    <t xml:space="preserve">RELACIONADAS - Productos Terminados - Venta Local - Costo de Ventas                                 </t>
  </si>
  <si>
    <t xml:space="preserve">6923      </t>
  </si>
  <si>
    <t xml:space="preserve">COSTOS DE FINANCIACION - PRODUCTOS TERMINADOS  - Costo de Ventas                                    </t>
  </si>
  <si>
    <t xml:space="preserve">69231     </t>
  </si>
  <si>
    <t xml:space="preserve">TERCEROS - Costos De Financiación - Costo de Ventas                                                 </t>
  </si>
  <si>
    <t xml:space="preserve">692311    </t>
  </si>
  <si>
    <t xml:space="preserve">PRODUCTOS MANUFACTURADOS - Terceros - Costos De Financiación - Costo de Ventas                      </t>
  </si>
  <si>
    <t xml:space="preserve">69232     </t>
  </si>
  <si>
    <t xml:space="preserve">RELACIONADAS - Costos De Financiación - Costo de Ventas                                             </t>
  </si>
  <si>
    <t xml:space="preserve">692321    </t>
  </si>
  <si>
    <t xml:space="preserve">PRODUCTOS MANUFACTURADOS - Relacionadas - Costos De Financiación - Costo de Ventas                  </t>
  </si>
  <si>
    <t xml:space="preserve">6924      </t>
  </si>
  <si>
    <t xml:space="preserve">COSTOS DE PRODUCCIÓN NO ABSORBIDO - Productos Terminados  - Costo de Ventas                         </t>
  </si>
  <si>
    <t xml:space="preserve">69241     </t>
  </si>
  <si>
    <t xml:space="preserve">6925      </t>
  </si>
  <si>
    <t xml:space="preserve">COSTO DE INEFICIENCIA - Productos Terminados  - Costo de Ventas                                     </t>
  </si>
  <si>
    <t xml:space="preserve">69251     </t>
  </si>
  <si>
    <t xml:space="preserve">693       </t>
  </si>
  <si>
    <t xml:space="preserve">SERVICIOS TERMINADOS - Costo de Ventas                                                              </t>
  </si>
  <si>
    <t xml:space="preserve">6931      </t>
  </si>
  <si>
    <t xml:space="preserve">SERVICIOS - EXPORTACIÓN - Servicios Terminados - Costo de Ventas                                    </t>
  </si>
  <si>
    <t xml:space="preserve">69311     </t>
  </si>
  <si>
    <t xml:space="preserve">TERCEROS - SERVICIOS - EXPORTACIÓN - Servicios Terminados - Costo de Ventas                         </t>
  </si>
  <si>
    <t xml:space="preserve">69312     </t>
  </si>
  <si>
    <t xml:space="preserve">RELACIONADAS - SERVICIOS - EXPORTACIÓN - Servicios Terminados - Costo de Ventas                     </t>
  </si>
  <si>
    <t xml:space="preserve">6932      </t>
  </si>
  <si>
    <t xml:space="preserve">SERVICIOS - LOCAL - Servicios Terminados - Costo de Ventas                                          </t>
  </si>
  <si>
    <t xml:space="preserve">69321     </t>
  </si>
  <si>
    <t xml:space="preserve">TERCEROS - SERVICIOS - LOCAL - Servicios Terminados - Costo de Ventas                               </t>
  </si>
  <si>
    <t xml:space="preserve">69322     </t>
  </si>
  <si>
    <t xml:space="preserve">RELACIONADAS - SERVICIOS - LOCAL - Servicios Terminados - Costo de Ventas                           </t>
  </si>
  <si>
    <t xml:space="preserve">694       </t>
  </si>
  <si>
    <t xml:space="preserve">SUBPRODUCTOS, DESECHOS Y DESPERDICIOS - Costo de Ventas                                             </t>
  </si>
  <si>
    <t xml:space="preserve">6941      </t>
  </si>
  <si>
    <t xml:space="preserve">SUBPRODUCTOS  - Costo de Ventas                                                                     </t>
  </si>
  <si>
    <t xml:space="preserve">69411     </t>
  </si>
  <si>
    <t xml:space="preserve">TERCEROS - Subproductos -  - Costo de Ventas                                                        </t>
  </si>
  <si>
    <t xml:space="preserve">7121      </t>
  </si>
  <si>
    <t xml:space="preserve">69412     </t>
  </si>
  <si>
    <t xml:space="preserve">RELACIONADAS - Subproductos  - Costo de Ventas                                                      </t>
  </si>
  <si>
    <t xml:space="preserve">6942      </t>
  </si>
  <si>
    <t xml:space="preserve">DESECHOS Y DESPERDICIOS  - Costo de Ventas                                                          </t>
  </si>
  <si>
    <t xml:space="preserve">69421     </t>
  </si>
  <si>
    <t xml:space="preserve">TERCEROS - Desechos y Desperdicios - Costo de Ventas                                                </t>
  </si>
  <si>
    <t xml:space="preserve">7122      </t>
  </si>
  <si>
    <t xml:space="preserve">69422     </t>
  </si>
  <si>
    <t xml:space="preserve">RELACIONADAS - Desechos y Desperdicios  - Costo de Ventas                                           </t>
  </si>
  <si>
    <t xml:space="preserve">695       </t>
  </si>
  <si>
    <t xml:space="preserve">GASTOS POR DESVALORIZACIÓN DE INVENTARIOS  AL COSTO - Costo de Ventas                               </t>
  </si>
  <si>
    <t xml:space="preserve">6951      </t>
  </si>
  <si>
    <t xml:space="preserve">MERCADERÍAS - Gastos Por Desvalorización De Inventarios al Costo  - Costo de Ventas                 </t>
  </si>
  <si>
    <t xml:space="preserve">6952      </t>
  </si>
  <si>
    <t xml:space="preserve">PRODUCTOS TERMINADOS - Gastos Por Desvalorización De Inventarios al Costo  - Costo de Ventas        </t>
  </si>
  <si>
    <t xml:space="preserve">6953      </t>
  </si>
  <si>
    <t xml:space="preserve">SUBPRODUCTOS, DESECHOS Y DESPERDICIOS - Gastos Por Desvalorización De Inventarios - Costo de Ventas </t>
  </si>
  <si>
    <t xml:space="preserve">6954      </t>
  </si>
  <si>
    <t xml:space="preserve">PRODUCTOS EN PROCESO - Gastos Por Desvalorización De Inventarios al Costo  - Costo de Ventas        </t>
  </si>
  <si>
    <t xml:space="preserve">713111    </t>
  </si>
  <si>
    <t xml:space="preserve">6955      </t>
  </si>
  <si>
    <t xml:space="preserve">MATERIAS PRIMAS - Gastos Por Desvalorización De Inventarios al Costo  - Costo de Ventas             </t>
  </si>
  <si>
    <t xml:space="preserve">6956      </t>
  </si>
  <si>
    <t>MATERIALES AUXILIARES, SUMINISTROS Y REPUESTOS - Gastos por Desvaloriz De Inventarios - Costo Ventas</t>
  </si>
  <si>
    <t xml:space="preserve">6957      </t>
  </si>
  <si>
    <t xml:space="preserve">ENVASES Y EMBALAJES - Gastos Por Desvalorización De Inventarios al Costo  - Costo de Ventas         </t>
  </si>
  <si>
    <t xml:space="preserve">6958      </t>
  </si>
  <si>
    <t xml:space="preserve">EXISTENCIAS POR RECIBIR - Gastos Por Desvalorización De Inventarios al Costo  - Costo de Ventas     </t>
  </si>
  <si>
    <t xml:space="preserve">70        </t>
  </si>
  <si>
    <t xml:space="preserve">VENTAS                                                                                              </t>
  </si>
  <si>
    <t xml:space="preserve">701       </t>
  </si>
  <si>
    <t xml:space="preserve">MERCADERIAS  - Ventas                                                                               </t>
  </si>
  <si>
    <t xml:space="preserve">7011      </t>
  </si>
  <si>
    <t xml:space="preserve">MERCADERIAS  - Ventas de Exportación                                                                </t>
  </si>
  <si>
    <t xml:space="preserve">70111     </t>
  </si>
  <si>
    <t xml:space="preserve">TERCEROS - Mercaderias - Ventas de Exportación                                                      </t>
  </si>
  <si>
    <t xml:space="preserve">70112     </t>
  </si>
  <si>
    <t xml:space="preserve">RELACIONADAS - Mercaderias - Ventas de Exportación                                                  </t>
  </si>
  <si>
    <t xml:space="preserve">7012      </t>
  </si>
  <si>
    <t xml:space="preserve">MERCADERIAS - Venta Local                                                                           </t>
  </si>
  <si>
    <t xml:space="preserve">70121     </t>
  </si>
  <si>
    <t xml:space="preserve">TERCEROS - Mercaderia -  Venta Local                                                                </t>
  </si>
  <si>
    <t xml:space="preserve">70122     </t>
  </si>
  <si>
    <t xml:space="preserve">RELACIONADAS  - Mercaderia -  Venta Local                                                           </t>
  </si>
  <si>
    <t xml:space="preserve">702       </t>
  </si>
  <si>
    <t xml:space="preserve">PRODUCTOS TERMINADOS - Ventas                                                                       </t>
  </si>
  <si>
    <t xml:space="preserve">7021      </t>
  </si>
  <si>
    <t xml:space="preserve">PRODUCTOS TERMINADOS - Venta de Exportación                                                         </t>
  </si>
  <si>
    <t xml:space="preserve">70211     </t>
  </si>
  <si>
    <t xml:space="preserve">TERCEROS - Productos Terminados  - Venta de Exportación                                             </t>
  </si>
  <si>
    <t xml:space="preserve">70212     </t>
  </si>
  <si>
    <t xml:space="preserve">RELACIONADAS - Productos Terminados  - Venta de Exportación                                         </t>
  </si>
  <si>
    <t xml:space="preserve">7022      </t>
  </si>
  <si>
    <t xml:space="preserve">PRODUCTOS  TERMINADOS - Venta Local                                                                 </t>
  </si>
  <si>
    <t xml:space="preserve">70221     </t>
  </si>
  <si>
    <t xml:space="preserve">TERCEROS - Productos Terminados - Venta Local                                                       </t>
  </si>
  <si>
    <t xml:space="preserve">70222     </t>
  </si>
  <si>
    <t xml:space="preserve">RELACIONADAS - Productos Terminados - Venta Local                                                   </t>
  </si>
  <si>
    <t xml:space="preserve">703       </t>
  </si>
  <si>
    <t xml:space="preserve">SERVICIOS TERMINADOS  - Ventas                                                                      </t>
  </si>
  <si>
    <t xml:space="preserve">7031      </t>
  </si>
  <si>
    <t xml:space="preserve">SERVICIOS TERMINADOS - Venta de Exportación                                                         </t>
  </si>
  <si>
    <t xml:space="preserve">70311     </t>
  </si>
  <si>
    <t xml:space="preserve">TERCEROS - Servicios Terminados - Venta de Exportación                                              </t>
  </si>
  <si>
    <t xml:space="preserve">70312     </t>
  </si>
  <si>
    <t xml:space="preserve">RELACIONADAS - Servicios Terminados - Venta de Exportación                                          </t>
  </si>
  <si>
    <t xml:space="preserve">7032      </t>
  </si>
  <si>
    <t xml:space="preserve">SERVICIOS TERMINADOS - Venta Local                                                                  </t>
  </si>
  <si>
    <t xml:space="preserve">70321     </t>
  </si>
  <si>
    <t xml:space="preserve">TERCEROS - Servicios Terminados - Venta Local                                                       </t>
  </si>
  <si>
    <t xml:space="preserve">70322     </t>
  </si>
  <si>
    <t xml:space="preserve">RELACIONADAS - Servicios Terminados - Venta Local                                                   </t>
  </si>
  <si>
    <t xml:space="preserve">704       </t>
  </si>
  <si>
    <t xml:space="preserve">SUBPRODUCTOS, DESECHOS Y DESPERDICIOS  - Ventas                                                     </t>
  </si>
  <si>
    <t xml:space="preserve">7041      </t>
  </si>
  <si>
    <t xml:space="preserve">SUBPRODUCTOS  - Ventas                                                                              </t>
  </si>
  <si>
    <t xml:space="preserve">70411     </t>
  </si>
  <si>
    <t xml:space="preserve">TERCEROS - Subproductos - Ventas                                                                    </t>
  </si>
  <si>
    <t xml:space="preserve">70412     </t>
  </si>
  <si>
    <t xml:space="preserve">RELACIONADAS - Subproductos - Ventas                                                                </t>
  </si>
  <si>
    <t xml:space="preserve">7042      </t>
  </si>
  <si>
    <t xml:space="preserve">DESECHOS Y DESPERDICIOS  - Ventas                                                                   </t>
  </si>
  <si>
    <t xml:space="preserve">70421     </t>
  </si>
  <si>
    <t xml:space="preserve">TERCEROS - Desechos y Desperdicios - Ventas                                                         </t>
  </si>
  <si>
    <t xml:space="preserve">70422     </t>
  </si>
  <si>
    <t xml:space="preserve">RELACIONADAS - Desechos y Desperdicios - Ventas                                                     </t>
  </si>
  <si>
    <t xml:space="preserve">709       </t>
  </si>
  <si>
    <t xml:space="preserve">DEVOLUCIONES SOBRE VENTAS                                                                           </t>
  </si>
  <si>
    <t xml:space="preserve">7091      </t>
  </si>
  <si>
    <t xml:space="preserve">MERCADERIAS - VENTA DE EXPORTACIÓN  - Devoluciones Sobre Ventas                                     </t>
  </si>
  <si>
    <t xml:space="preserve">70911     </t>
  </si>
  <si>
    <t xml:space="preserve">MERCADERIAS - VENTA DE EXPORTACIÓN - Terceros - Devoluciones Sobre Ventas                           </t>
  </si>
  <si>
    <t xml:space="preserve">70912     </t>
  </si>
  <si>
    <t xml:space="preserve">MERCADERIAS - VENTA DE EXPORTACIÓN - Relacionadas -  Devoluciones Sobre Ventas                      </t>
  </si>
  <si>
    <t xml:space="preserve">7092      </t>
  </si>
  <si>
    <t xml:space="preserve">MERCADERIAS - VENTA  LOCAL  - Devoluciones Sobre Ventas                                             </t>
  </si>
  <si>
    <t xml:space="preserve">70921     </t>
  </si>
  <si>
    <t xml:space="preserve">MERCADERIAS -  VENTA LOCAL - Terceros - Devoluciones Sobre Ventas                                   </t>
  </si>
  <si>
    <t xml:space="preserve">70922     </t>
  </si>
  <si>
    <t xml:space="preserve">MERCADERIAS - VENTA LOCAL - Relacionadas - Devoluciones Sobre Ventas                                </t>
  </si>
  <si>
    <t xml:space="preserve">7093      </t>
  </si>
  <si>
    <t xml:space="preserve">PRODUCTOS TERMINADOS - VENTA DE EXPORTACIÓN  - Devoluciones Sobre Ventas                            </t>
  </si>
  <si>
    <t xml:space="preserve">70931     </t>
  </si>
  <si>
    <t xml:space="preserve">PRODUCTOS TERMINADOS -  Venta de Exportación - Terceros - Devoluciones Sobre Ventas                 </t>
  </si>
  <si>
    <t xml:space="preserve">70932     </t>
  </si>
  <si>
    <t xml:space="preserve">PRODUCTOS TERMINADOS - Venta de Exportación - Relacionadas - Devoluciones Sobre Ventas              </t>
  </si>
  <si>
    <t xml:space="preserve">7094      </t>
  </si>
  <si>
    <t xml:space="preserve">PRODUCTOS TERMINADOS - VENTA LOCAL - Devoluciones Sobre Ventas                                      </t>
  </si>
  <si>
    <t xml:space="preserve">70941     </t>
  </si>
  <si>
    <t xml:space="preserve">PRODUCTOS TERMINADOS - VENTA LOCAL - Terceros - Devoluciones Sobre Ventas                           </t>
  </si>
  <si>
    <t xml:space="preserve">70942     </t>
  </si>
  <si>
    <t xml:space="preserve">PRODUCTOS TERMINADOS - VENTA LOCAL - Relacionadas - Devoluciones Sobre Ventas                       </t>
  </si>
  <si>
    <t xml:space="preserve">7095      </t>
  </si>
  <si>
    <t xml:space="preserve">INVENTARIOS DE SERVICIOS RECHAZADOS  - Devoluciones Sobre Ventas                                    </t>
  </si>
  <si>
    <t xml:space="preserve">70951     </t>
  </si>
  <si>
    <t xml:space="preserve">INVENTARIO DE SERVICIOS RECHAZADOS - Terceros - Devoluciones Sobre Ventas                           </t>
  </si>
  <si>
    <t xml:space="preserve">70952     </t>
  </si>
  <si>
    <t xml:space="preserve">INVENTARIO DE SERVICIOS RECHAZADOS - Relacionadas - Devoluciones Sobre Ventas                       </t>
  </si>
  <si>
    <t xml:space="preserve">7096      </t>
  </si>
  <si>
    <t xml:space="preserve">SUBPRODUCTOS,DESECHOS Y DESPERDICIOS - Devoluciones Sobre Ventas                                    </t>
  </si>
  <si>
    <t xml:space="preserve">70961     </t>
  </si>
  <si>
    <t xml:space="preserve">SUBPRODUCTOS,DESECHOS Y DESPERDICIOS -  Terceros - Devoluciones Sobre Ventas                        </t>
  </si>
  <si>
    <t xml:space="preserve">70962     </t>
  </si>
  <si>
    <t xml:space="preserve">SUBPRODUCTOS,DESECHOS Y DESPERDICIOS - Relacionadas - Devoluciones Sobre Ventas                     </t>
  </si>
  <si>
    <t xml:space="preserve">71        </t>
  </si>
  <si>
    <t xml:space="preserve">VARIACION DE LA PRODUCCION ALMACENADA                                                               </t>
  </si>
  <si>
    <t xml:space="preserve">711       </t>
  </si>
  <si>
    <t xml:space="preserve">VARIACION DE PRODUCTOS TERMINADOS - Variación de la Producción Almacenada                           </t>
  </si>
  <si>
    <t xml:space="preserve">PRODUCTOS TERMINADOS - Variación de la Producción Almacenada                                        </t>
  </si>
  <si>
    <t xml:space="preserve">712       </t>
  </si>
  <si>
    <t xml:space="preserve">VARIACION DE SUBPRODUCTOS DESECHOS Y DESPERDICIOS - Variación de la Producción Almacenada           </t>
  </si>
  <si>
    <t xml:space="preserve">SUBPRODUCTOS - Variación de la Producción Almacenada                                                </t>
  </si>
  <si>
    <t xml:space="preserve">DESECHOS Y DESPERDICIOS - Variación de la Producción Almacenada                                     </t>
  </si>
  <si>
    <t xml:space="preserve">713       </t>
  </si>
  <si>
    <t xml:space="preserve">VARIACION PRODUCTOS EN PROCESO - Variación de la Producción Almacenada                              </t>
  </si>
  <si>
    <t xml:space="preserve">7131      </t>
  </si>
  <si>
    <t xml:space="preserve">PRODUCTOS EN PROCESO DE MANUFACTURA - Variación de la Producción Almacenada                         </t>
  </si>
  <si>
    <t xml:space="preserve">71311     </t>
  </si>
  <si>
    <t xml:space="preserve">PRODUCTOS EN PROCESO DE MANUFACTURA - DIRECTO - Variación de la Producción Almacenada               </t>
  </si>
  <si>
    <t xml:space="preserve">MATERIALES Y SUMINISTROS - DIRECTO - Variación de la Producción Almacenada                          </t>
  </si>
  <si>
    <t xml:space="preserve">713112    </t>
  </si>
  <si>
    <t xml:space="preserve">MANO DE OBRA - DIRECTO - Variación de la Producción Almacenada                                      </t>
  </si>
  <si>
    <t xml:space="preserve">713113    </t>
  </si>
  <si>
    <t xml:space="preserve">OTROS COSTOS - DIRECTO - Variación de la Producción Almacenada                                      </t>
  </si>
  <si>
    <t xml:space="preserve">71312     </t>
  </si>
  <si>
    <t xml:space="preserve">PRODUCTOS EN PROCESO DE MANUFACTURA - INDIRECTO - Variación de la Producción Almacenada             </t>
  </si>
  <si>
    <t xml:space="preserve">713121    </t>
  </si>
  <si>
    <t xml:space="preserve">MATERIALES Y SUMINISTROS - INDIRECTO - Variación de la Producción Almacenada                        </t>
  </si>
  <si>
    <t xml:space="preserve">713122    </t>
  </si>
  <si>
    <t xml:space="preserve">MANO DE OBRA - INDIRECTO - Variación de la Producción Almacenada                                    </t>
  </si>
  <si>
    <t xml:space="preserve">713133    </t>
  </si>
  <si>
    <t xml:space="preserve">OTROS COSTOS DE PRODUCCION - INDIRECTO - Variación de la Producción Almacenada                      </t>
  </si>
  <si>
    <t xml:space="preserve">714       </t>
  </si>
  <si>
    <t xml:space="preserve">VARIACION DE ENVASES Y EMBALAJES - Variación de la Producción Almacenada                            </t>
  </si>
  <si>
    <t xml:space="preserve">7141      </t>
  </si>
  <si>
    <t xml:space="preserve">ENVASES - Variación de la Producción Almacenada                                                     </t>
  </si>
  <si>
    <t xml:space="preserve">7142      </t>
  </si>
  <si>
    <t xml:space="preserve">EMBALAJES - Variación de la Producción Almacenada                                                   </t>
  </si>
  <si>
    <t xml:space="preserve">715       </t>
  </si>
  <si>
    <t xml:space="preserve">VARIACION DE INVENTARIOS DE SERVICIOS - Variación de la Producción Almacenada                       </t>
  </si>
  <si>
    <t xml:space="preserve">7151      </t>
  </si>
  <si>
    <t xml:space="preserve">INVENTARIOS DE SERVICIOS EN PROCESO - Variación de la Producción Almacenada                         </t>
  </si>
  <si>
    <t xml:space="preserve">72        </t>
  </si>
  <si>
    <t xml:space="preserve">PRODUCCION DE ACTIVO INMOVILIZADO                                                                   </t>
  </si>
  <si>
    <t xml:space="preserve">721       </t>
  </si>
  <si>
    <t xml:space="preserve">PROPIEDADES DE INVERSIÓN - Produccion De Activo Inmovilizado - Propiedades de Inversión             </t>
  </si>
  <si>
    <t xml:space="preserve">7211      </t>
  </si>
  <si>
    <t xml:space="preserve">EDIFICACIONES - Produccion De Activo Inmovilizado - Propiedades de Inversión                        </t>
  </si>
  <si>
    <t xml:space="preserve">722       </t>
  </si>
  <si>
    <t xml:space="preserve">PROPIEDAD, PLANTA Y EQUIPO - Produccion De Activo Inmovilizado                                      </t>
  </si>
  <si>
    <t xml:space="preserve">7220      </t>
  </si>
  <si>
    <t xml:space="preserve">PLANTA PRODUCTORA - Produción de Activo Inmovilizado - Propiedad, Planta y Equipo                   </t>
  </si>
  <si>
    <t xml:space="preserve">7221      </t>
  </si>
  <si>
    <t xml:space="preserve">EDIFICIOS - Produción de Activo Inmovilizado - Propiedad, Planta y Equipo                           </t>
  </si>
  <si>
    <t xml:space="preserve">7222      </t>
  </si>
  <si>
    <t xml:space="preserve">MAQUINARIAS Y OTROS EQUIPOS DE EXPLOTACIÓN - Produción de Activo Inmovilizado - Propiedad, Planta y </t>
  </si>
  <si>
    <t xml:space="preserve">7223      </t>
  </si>
  <si>
    <t xml:space="preserve">UNIDADES DE TRANSPORTE - Produción de Activo Inmovilizado - Propiedad, Planta y Equipo              </t>
  </si>
  <si>
    <t xml:space="preserve">7224      </t>
  </si>
  <si>
    <t xml:space="preserve">MUEBLES Y ENSERES - Produción de Activo Inmovilizado - Propiedad, Planta y Equipo                   </t>
  </si>
  <si>
    <t xml:space="preserve">7225      </t>
  </si>
  <si>
    <t xml:space="preserve">EQUIPOS DIVERSOS - Produción de Activo Inmovilizado - Propiedad, Planta y Equipo                    </t>
  </si>
  <si>
    <t xml:space="preserve">723       </t>
  </si>
  <si>
    <t xml:space="preserve">INTANGIBLES - Produccion De Activo Inmovilizado                                                     </t>
  </si>
  <si>
    <t xml:space="preserve">7231      </t>
  </si>
  <si>
    <t xml:space="preserve">PROGRAMAS DE COMPUTADORA (SOFTWARE) - Produccion De Activo Inmovilizado - Intangible                </t>
  </si>
  <si>
    <t xml:space="preserve">7232      </t>
  </si>
  <si>
    <t xml:space="preserve">COSTOS DE EXPLORACIÓN Y DESARROLLO - Produccion De Activo Inmovilizado - Intangible                 </t>
  </si>
  <si>
    <t xml:space="preserve">7233      </t>
  </si>
  <si>
    <t xml:space="preserve">FORMULAS, DISEÑOS Y PROTOTIPOS - Produccion De Activo Inmovilizado - Intangible                     </t>
  </si>
  <si>
    <t xml:space="preserve">724       </t>
  </si>
  <si>
    <t xml:space="preserve">ACTIVOS BIOLOGICOS - Produccion De Activo Inmovilizado                                              </t>
  </si>
  <si>
    <t xml:space="preserve">7241      </t>
  </si>
  <si>
    <t xml:space="preserve">ACTIVO BIOLOGICO EN DESARROLLO DE ORIGEN ANIMAL - Produccion De Activo Inmovilizado                 </t>
  </si>
  <si>
    <t xml:space="preserve">7242      </t>
  </si>
  <si>
    <t xml:space="preserve">ACTIVO BIOLOGICO EN DESARROLLO DE ORIGEN VEGETAL - Produccion De Activo Inmovilizado                </t>
  </si>
  <si>
    <t xml:space="preserve">725       </t>
  </si>
  <si>
    <t xml:space="preserve">COSTOS DE FINANCIACION CAPITALIZADOS                                                                </t>
  </si>
  <si>
    <t xml:space="preserve">7251      </t>
  </si>
  <si>
    <t xml:space="preserve">COSTOS DE FINANCIACIÓN - PROPIEDADES DE INVERSIÓN  - Capitalizados - Producción  Activo Inmovilizad </t>
  </si>
  <si>
    <t xml:space="preserve">72511     </t>
  </si>
  <si>
    <t>PLANTAS PRODUCTORAS EN DESARROLLO - Costo de Financiación - Propiedades de Inversión - Capitalizados</t>
  </si>
  <si>
    <t xml:space="preserve">72512     </t>
  </si>
  <si>
    <t xml:space="preserve">EDIFICACIONES - Costo de Financiación - Propiedades de Inversión - Capitalizados - Prod.  Act. Inm. </t>
  </si>
  <si>
    <t xml:space="preserve">7252      </t>
  </si>
  <si>
    <t xml:space="preserve">COSTOS DE FINANCIACIÓN - PROPIEDAD, PLANTA Y EQUIPO  - Capitalizados - Producción  Activo Inmovil   </t>
  </si>
  <si>
    <t xml:space="preserve">72521     </t>
  </si>
  <si>
    <t>PLANTAS PRODUCTORAS EN DESARROLO - Costo de Financiación - Propiedad, Planta Equipo  - Capitalizados</t>
  </si>
  <si>
    <t xml:space="preserve">72522     </t>
  </si>
  <si>
    <t xml:space="preserve">EDIFICACIONES - Costo de Financiación - Propiedad Planta Equipo - Capitalizados                     </t>
  </si>
  <si>
    <t xml:space="preserve">72523     </t>
  </si>
  <si>
    <t>MAQUINARIAS Y OTROS EQUIPOS DE EXPLOTACIÓN - Costo de Financiación - Prop Planta Equipo - Capitaliza</t>
  </si>
  <si>
    <t xml:space="preserve">7253      </t>
  </si>
  <si>
    <t xml:space="preserve">COSTOS DE FINANCIACION - INTANGIBLES  - Capitalizados - Producción  Activo Inmovilizado             </t>
  </si>
  <si>
    <t xml:space="preserve">72531     </t>
  </si>
  <si>
    <t xml:space="preserve">7254      </t>
  </si>
  <si>
    <t>COSTOS DE FINANCIACIÓN - ACTIVOS BIOLÓGICOS EN DESARROLLO - Capitalizados - Producción  Activo Inmov</t>
  </si>
  <si>
    <t xml:space="preserve">72541     </t>
  </si>
  <si>
    <t xml:space="preserve">ACTIVOS BIOLOGICOS DE ORIGEN ANIMAL - Costos De Financiacion - Capitalizados - Prod  Activo Inmovil </t>
  </si>
  <si>
    <t xml:space="preserve">72542     </t>
  </si>
  <si>
    <t>ACTIVOS BIOLOGICOS DE ORIGEN VEGETAL - Costos De Financiacion - Capitalizados - Prod  Activo Inmovil</t>
  </si>
  <si>
    <t xml:space="preserve">73        </t>
  </si>
  <si>
    <t xml:space="preserve">DESCUENTOS, REBAJAS Y BONIFICACIONES OBTENIDOS                                                      </t>
  </si>
  <si>
    <t xml:space="preserve">731       </t>
  </si>
  <si>
    <t xml:space="preserve">7311      </t>
  </si>
  <si>
    <t xml:space="preserve">TERCEROS - Descuentos, Rebajas y Bonificaciones Obtenidos                                           </t>
  </si>
  <si>
    <t xml:space="preserve">7312      </t>
  </si>
  <si>
    <t xml:space="preserve">RELACIONADAS - Descuentos, Rebajas y Bonificaciones Obtenidos                                       </t>
  </si>
  <si>
    <t>F510</t>
  </si>
  <si>
    <t xml:space="preserve">74        </t>
  </si>
  <si>
    <t xml:space="preserve">DESCUENTOS, REBAJAS Y BONIFICACIONES CONCEDIDOS                                                     </t>
  </si>
  <si>
    <t xml:space="preserve">741       </t>
  </si>
  <si>
    <t xml:space="preserve">7411      </t>
  </si>
  <si>
    <t xml:space="preserve">TERCEROS - Descuentos, Rebajas y Bonificaciones Concedidos                                          </t>
  </si>
  <si>
    <t xml:space="preserve">741120    </t>
  </si>
  <si>
    <t xml:space="preserve">TERCEROS - MERCADERIAS - Descuentos, Rebajas y Bonif Concedidos                                     </t>
  </si>
  <si>
    <t>F010</t>
  </si>
  <si>
    <t xml:space="preserve">741121    </t>
  </si>
  <si>
    <t xml:space="preserve">TERCEROS - PROD TERMINADOS, SUB PROD - Descuentos, Rebajas y Bonif Concedidos                       </t>
  </si>
  <si>
    <t xml:space="preserve">7411215   </t>
  </si>
  <si>
    <t xml:space="preserve">TERCEROS - SERVICIOS - Descuentos, Rebajas y Bonif Concedidos                                       </t>
  </si>
  <si>
    <t xml:space="preserve">7412      </t>
  </si>
  <si>
    <t xml:space="preserve">RELACIONADAS - Descuentos, Rebajas y Bonificaciones Concedidos                                      </t>
  </si>
  <si>
    <t xml:space="preserve">741220    </t>
  </si>
  <si>
    <t xml:space="preserve">RELACIONADAS - MERCADERIAS - Descuentos, Rebajas y Bonif Concedidos                                 </t>
  </si>
  <si>
    <t xml:space="preserve">741221    </t>
  </si>
  <si>
    <t xml:space="preserve">RELACIONADAS - PROD TERMINADOS, SUB PROD - Descuentos, Rebajas y Bonif Concedidos                   </t>
  </si>
  <si>
    <t xml:space="preserve">7412215   </t>
  </si>
  <si>
    <t xml:space="preserve">RELACIONADAS - SERVICIOS - Descuentos, Rebajas y Bonif Concedidos                                   </t>
  </si>
  <si>
    <t xml:space="preserve">75        </t>
  </si>
  <si>
    <t xml:space="preserve">OTROS INGRESOS DE GESTION                                                                           </t>
  </si>
  <si>
    <t xml:space="preserve">751       </t>
  </si>
  <si>
    <t xml:space="preserve">SERVICIOS EN BENEFICIO DEL PERSONAL  - Otros ingresos de gestión                                    </t>
  </si>
  <si>
    <t xml:space="preserve">7511      </t>
  </si>
  <si>
    <t xml:space="preserve">SERVICIOS EN BENEFICIO DEL PERSONAL - Otros ingresos de gestión                                     </t>
  </si>
  <si>
    <t xml:space="preserve">752       </t>
  </si>
  <si>
    <t xml:space="preserve">COMISIONES Y CORRETAJES  - Otros ingresos de gestión                                                </t>
  </si>
  <si>
    <t xml:space="preserve">7521      </t>
  </si>
  <si>
    <t xml:space="preserve">COMISIONES Y CORRETAJES - Otros ingresos de gestión                                                 </t>
  </si>
  <si>
    <t xml:space="preserve">753       </t>
  </si>
  <si>
    <t xml:space="preserve">REGALIAS  - Otros ingresos de gestión                                                               </t>
  </si>
  <si>
    <t xml:space="preserve">7531      </t>
  </si>
  <si>
    <t xml:space="preserve">REGALIAS - Otros ingresos de gestión                                                                </t>
  </si>
  <si>
    <t xml:space="preserve">754       </t>
  </si>
  <si>
    <t xml:space="preserve">ALQUILERES  - Otros ingresos de gestión                                                             </t>
  </si>
  <si>
    <t xml:space="preserve">7540      </t>
  </si>
  <si>
    <t xml:space="preserve">PLANTAS PRODUCTORAS - Alquileres - Otros ingresos de Gestión                                        </t>
  </si>
  <si>
    <t xml:space="preserve">7541      </t>
  </si>
  <si>
    <t xml:space="preserve">TERRENOS - Alquileres - Otros ingresos de Gestión                                                   </t>
  </si>
  <si>
    <t xml:space="preserve">7542      </t>
  </si>
  <si>
    <t xml:space="preserve">EDIFICACIONES - Alquileres - Otros ingresos de gestión                                              </t>
  </si>
  <si>
    <t xml:space="preserve">7543      </t>
  </si>
  <si>
    <t xml:space="preserve">MAQUINARIAS Y EQUIPOS DE EXPLOTACION - Alquileres - Otros ingresos de gestión                       </t>
  </si>
  <si>
    <t xml:space="preserve">7544      </t>
  </si>
  <si>
    <t xml:space="preserve">UNIDADES DE TRANSPORTE - Alquileres - Otros ingresos de gestión                                     </t>
  </si>
  <si>
    <t xml:space="preserve">7545      </t>
  </si>
  <si>
    <t xml:space="preserve">EQUIPOS DIVERSOS - Alquileres - Otros ingresos de gestión                                           </t>
  </si>
  <si>
    <t xml:space="preserve">755       </t>
  </si>
  <si>
    <t xml:space="preserve">RECUPERACION DE CUENTAS DE VALUACION  - Otros ingresos de gestión                                   </t>
  </si>
  <si>
    <t xml:space="preserve">7551      </t>
  </si>
  <si>
    <t xml:space="preserve">RECUPERACIÓN - CUENTAS DE COBRANZA DUDOSA - Otros ingresos de gestión                               </t>
  </si>
  <si>
    <t xml:space="preserve">7552      </t>
  </si>
  <si>
    <t xml:space="preserve">RECUPERACIÓN - DESVALORIZACIÓN DE INVENTARIOS - Otros ingresos de gestión                           </t>
  </si>
  <si>
    <t xml:space="preserve">7553      </t>
  </si>
  <si>
    <t xml:space="preserve">RECUPERACIÓN - DESVALORIZACIÓN DE INVERSIONES MOBILIARIAS - Otros ingresos de gestión               </t>
  </si>
  <si>
    <t xml:space="preserve">756       </t>
  </si>
  <si>
    <t xml:space="preserve">ENAJENACION DE ACTIVOS INMOVILIZADOS  - Otros ingresos de gestión                                   </t>
  </si>
  <si>
    <t xml:space="preserve">7561      </t>
  </si>
  <si>
    <t xml:space="preserve">INVERSIONES MOBILIARIAS - Enajenación De Activos Inmovilizados - Otros Ingresos de Gestión          </t>
  </si>
  <si>
    <t>F520</t>
  </si>
  <si>
    <t xml:space="preserve">7562      </t>
  </si>
  <si>
    <t xml:space="preserve">PROPIEDADES DE INVERSIÓN - Enajenación De Activos Inmovilizados - Otros Ingresos de Gestión         </t>
  </si>
  <si>
    <t xml:space="preserve">7563      </t>
  </si>
  <si>
    <t>ACTIVOS ADQUIRIDOS EN ARREND. FINANC. - Enajenación De Activos Inmovilizados - Otros Ingresos de Ges</t>
  </si>
  <si>
    <t xml:space="preserve">7564      </t>
  </si>
  <si>
    <t xml:space="preserve">PROPIEDAD, PLANTA Y EQUIPO - Enajenación De Activos Inmovilizados - Otros Ingresos de Gestión       </t>
  </si>
  <si>
    <t xml:space="preserve">7565      </t>
  </si>
  <si>
    <t xml:space="preserve">INTANGIBLES - Enajenación De Activos Inmovilizados - Otros Ingresos de Gestión                      </t>
  </si>
  <si>
    <t xml:space="preserve">7566      </t>
  </si>
  <si>
    <t xml:space="preserve">ACTIVOS BIOLOGICOS - Enajenación De Activos Inmovilizados - Otros Ingresos de Gestión               </t>
  </si>
  <si>
    <t xml:space="preserve">757       </t>
  </si>
  <si>
    <t xml:space="preserve">RECUPERACIÓN DE DETERIORO DE CUENTAS DE ACTIVO INMOVILIZADO  - Otros ingresos de gestión            </t>
  </si>
  <si>
    <t xml:space="preserve">7571      </t>
  </si>
  <si>
    <t xml:space="preserve">RECUPERACIÓN DE DETERIORO DE PROPIEDADES DE INVERSIÓN - Activ. Inmov. - Otros Ing. De Gestión       </t>
  </si>
  <si>
    <t xml:space="preserve">7572      </t>
  </si>
  <si>
    <t xml:space="preserve">RECUPERACIÓN DE DETERIORO DE PROPIEDAD, PLANTA Y EQUIPO - Activ. Inmov. - Otros Ing. De Gestión     </t>
  </si>
  <si>
    <t xml:space="preserve">7573      </t>
  </si>
  <si>
    <t xml:space="preserve">RECUPERACIÓN DE DETERIORO DE INTANGIBLES - Activ. Inmov. - Otros Ing. De Gestión                    </t>
  </si>
  <si>
    <t xml:space="preserve">7574      </t>
  </si>
  <si>
    <t xml:space="preserve">RECUPERACIÓN DE DETERIORO DE ACTIVOS BIOLÓGICOS - Activ. Inmov. - Otros Ing. De Gestión             </t>
  </si>
  <si>
    <t xml:space="preserve">759       </t>
  </si>
  <si>
    <t xml:space="preserve">7591      </t>
  </si>
  <si>
    <t xml:space="preserve">SUBSIDIOS GUBERNAMENTALES - Otros Ingresos de Gestión                                               </t>
  </si>
  <si>
    <t xml:space="preserve">7592      </t>
  </si>
  <si>
    <t xml:space="preserve">RECLAMOS AL SEGURO - Otros Ingresos de Gestión                                                      </t>
  </si>
  <si>
    <t xml:space="preserve">7593      </t>
  </si>
  <si>
    <t xml:space="preserve">DONACIONES - Otros Ingresos de Gestión                                                              </t>
  </si>
  <si>
    <t xml:space="preserve">7594      </t>
  </si>
  <si>
    <t xml:space="preserve">DEVOLUCIONES TRIBUTARIAS - Otros Ingresos de Gestión                                                </t>
  </si>
  <si>
    <t xml:space="preserve">7599      </t>
  </si>
  <si>
    <t xml:space="preserve">OTROS INGRESOS DE GESTIÓN - Otros Ingresos de Gestión                                               </t>
  </si>
  <si>
    <t xml:space="preserve">76        </t>
  </si>
  <si>
    <t xml:space="preserve">GANANCIA POR MEDICIÓN DE ACTIVOS NO FINANCIEROS AL VALOR RAZONABLE                                  </t>
  </si>
  <si>
    <t xml:space="preserve">761       </t>
  </si>
  <si>
    <t xml:space="preserve">ACTIVO REALIZABLE - Ganancia por Medición de Activos no Financieros al Valor Razonable              </t>
  </si>
  <si>
    <t xml:space="preserve">7611      </t>
  </si>
  <si>
    <t xml:space="preserve">MERCADERIAS - Ganancia por Medición de Activos no Financieros al Valor Razonable                    </t>
  </si>
  <si>
    <t xml:space="preserve">7612      </t>
  </si>
  <si>
    <t xml:space="preserve">PRODUCTOS EN PROCESO  - Ganancia por Medición de Activos no Financieros al Valor Razonable          </t>
  </si>
  <si>
    <t xml:space="preserve">7613      </t>
  </si>
  <si>
    <t xml:space="preserve">ACTIVOS NO CORRIENTES MANTENIDAS PARA LA VENTA  - Activo Realizable                                 </t>
  </si>
  <si>
    <t xml:space="preserve">76131     </t>
  </si>
  <si>
    <t xml:space="preserve">PROPIEDADES DE INVERSIÓN - Activo Realizable - Activos No Corrientes Mantenidos Para La Venta       </t>
  </si>
  <si>
    <t xml:space="preserve">76132     </t>
  </si>
  <si>
    <t xml:space="preserve">PROPIEDAD, PLANTA Y EQUIPO  - Activo Realizable - Activos No Corrientes Mantenidos Para La Venta    </t>
  </si>
  <si>
    <t xml:space="preserve">76133     </t>
  </si>
  <si>
    <t xml:space="preserve">INTANGIBLES  - Activo Realizable - Activos No Corrientes Mantenidos Para La Venta                   </t>
  </si>
  <si>
    <t xml:space="preserve">76134     </t>
  </si>
  <si>
    <t xml:space="preserve">ACTIVOS BIOLÓGICOS  - Activo Realizable - Activos No Corrientes Mantenidos Para La Venta            </t>
  </si>
  <si>
    <t xml:space="preserve">762       </t>
  </si>
  <si>
    <t xml:space="preserve">ACTIVO INMOVILIZADO  - Ganancia por Medición de Activos no Financieros al Valor Razonable           </t>
  </si>
  <si>
    <t xml:space="preserve">7621      </t>
  </si>
  <si>
    <t xml:space="preserve">PROPIEDADES DE INVERSIÓN - Activo Inmovilizado  - Ganancia por Medicion a valor Razonable           </t>
  </si>
  <si>
    <t xml:space="preserve">7622      </t>
  </si>
  <si>
    <t xml:space="preserve">ACTIVOS BIOLOGICOS - Activo Inmovilizado - Ganancia por Medicion a valor Razonable                  </t>
  </si>
  <si>
    <t xml:space="preserve">77        </t>
  </si>
  <si>
    <t xml:space="preserve">INGRESOS FINANCIEROS                                                                                </t>
  </si>
  <si>
    <t xml:space="preserve">771       </t>
  </si>
  <si>
    <t xml:space="preserve">GANANCIA POR INSTRUMENTO FINANCIERO DERIVADO - Ingresos Financieros                                 </t>
  </si>
  <si>
    <t xml:space="preserve">7711      </t>
  </si>
  <si>
    <t>F505</t>
  </si>
  <si>
    <t xml:space="preserve">772       </t>
  </si>
  <si>
    <t xml:space="preserve">RENDIMIENTOS GANADOS - Ingresos Financieros                                                         </t>
  </si>
  <si>
    <t xml:space="preserve">7721      </t>
  </si>
  <si>
    <t xml:space="preserve">DEPOSITOS EN INSTITUCIONES FINANCIERAS - Rendimientos Ganados - Ingresos Financieros                </t>
  </si>
  <si>
    <t xml:space="preserve">7722      </t>
  </si>
  <si>
    <t xml:space="preserve">CUENTAS POR COBRAR COMERCIALES - Rendimientos Ganados - Ingresos Financieros                        </t>
  </si>
  <si>
    <t xml:space="preserve">7723      </t>
  </si>
  <si>
    <t xml:space="preserve">PRESTAMOS OTORGADOS - Rendimientos Ganados - Ingresos Financieros                                   </t>
  </si>
  <si>
    <t xml:space="preserve">7724      </t>
  </si>
  <si>
    <t xml:space="preserve">INVERSIONES A SER MANTENIDAS HASTA EL VENCIMIENTO - Rendimientos Ganados - Ingresos Financieros     </t>
  </si>
  <si>
    <t xml:space="preserve">7725      </t>
  </si>
  <si>
    <t>INSTRUMENTOS FINANCIEROS REPRESENTIVOS DE DERECHO PATRIMONIAL - Rendimientos Ganados - Ingresos Fina</t>
  </si>
  <si>
    <t xml:space="preserve">773       </t>
  </si>
  <si>
    <t xml:space="preserve">DIVIDENDOS - Ingresos Financieros                                                                   </t>
  </si>
  <si>
    <t xml:space="preserve">7731      </t>
  </si>
  <si>
    <t xml:space="preserve">774       </t>
  </si>
  <si>
    <t xml:space="preserve">INGRESOS EN OPERACIONES DE FACTORAJE (FACTORING) - Ingresos Financieros                             </t>
  </si>
  <si>
    <t xml:space="preserve">7741      </t>
  </si>
  <si>
    <t xml:space="preserve">775       </t>
  </si>
  <si>
    <t xml:space="preserve">DESCUENTOS OBTENIDOS POR PRONTO PAGO - Ingresos Financieros                                         </t>
  </si>
  <si>
    <t xml:space="preserve">7751      </t>
  </si>
  <si>
    <t xml:space="preserve">776       </t>
  </si>
  <si>
    <t xml:space="preserve">DIFERENCIA EN CAMBIO - Ingresos Financieros                                                         </t>
  </si>
  <si>
    <t xml:space="preserve">7761      </t>
  </si>
  <si>
    <t xml:space="preserve">777       </t>
  </si>
  <si>
    <t xml:space="preserve">GANANCIA POR MEDICION DE ACTIVOS Y PASIVOS FINANCIEROS AL VALOR RAZONABLE - Ingresos Financieros    </t>
  </si>
  <si>
    <t xml:space="preserve">7771      </t>
  </si>
  <si>
    <t xml:space="preserve">INVERSIONES MANTENIDAS PARA NEGOCIACIÓN - Ganan. Por medición de Act. y Pas. Financieros al V.R.    </t>
  </si>
  <si>
    <t xml:space="preserve">7772      </t>
  </si>
  <si>
    <t xml:space="preserve">INVERSIONES DISPONIBLES PARA LA VENTA - Ganan. Por medición de Act. y Pas. Financieros al V.R.      </t>
  </si>
  <si>
    <t xml:space="preserve">7773      </t>
  </si>
  <si>
    <t xml:space="preserve">OTRAS - Ganancias Por medición de Activos y Pasivos Financieros al Valor Razonable                  </t>
  </si>
  <si>
    <t xml:space="preserve">778       </t>
  </si>
  <si>
    <t xml:space="preserve">PARTICIPACIÓN EN RESULTADOS DE ENTIDADES RELACIONADAS - Ingresos Financieros                        </t>
  </si>
  <si>
    <t xml:space="preserve">7781      </t>
  </si>
  <si>
    <t xml:space="preserve">PARTICIPACIÓN EN LOS RESULTADOS DE SUBSIDIARIAS Y ASOCIADAS BAJO EL MÉTODO DEL VALOR PATRIMONIAL    </t>
  </si>
  <si>
    <t xml:space="preserve">7782      </t>
  </si>
  <si>
    <t xml:space="preserve">INGRESOS POR PARTICIPACIONES EN NEGOCIOS CONJUNTOS                                                  </t>
  </si>
  <si>
    <t xml:space="preserve">779       </t>
  </si>
  <si>
    <t xml:space="preserve">OTROS INGRESOS FINANCIEROS                                                                          </t>
  </si>
  <si>
    <t xml:space="preserve">7792      </t>
  </si>
  <si>
    <t xml:space="preserve">INGRESOS FINANCIEROS EN MEDICIÓN A VALOR DESCONTADO                                                 </t>
  </si>
  <si>
    <t xml:space="preserve">78        </t>
  </si>
  <si>
    <t xml:space="preserve">CARGAS CUBIERTAS POR PROVISIONES                                                                    </t>
  </si>
  <si>
    <t>Mayor</t>
  </si>
  <si>
    <t xml:space="preserve">781       </t>
  </si>
  <si>
    <t xml:space="preserve">79        </t>
  </si>
  <si>
    <t xml:space="preserve">CARGAS IMPUTABLES A CUENTAS DE COSTOS Y GASTOS                                                      </t>
  </si>
  <si>
    <t xml:space="preserve">791       </t>
  </si>
  <si>
    <t xml:space="preserve">792       </t>
  </si>
  <si>
    <t xml:space="preserve">GASTOS FINANCIEROS IMPUTABLES A CUENTAS DE EXISTENCIAS                                              </t>
  </si>
  <si>
    <t xml:space="preserve">7921      </t>
  </si>
  <si>
    <t xml:space="preserve">GASTOS FINANCIEROS IMPUTABLES A CUENTAS DE INVENTARIOS                                              </t>
  </si>
  <si>
    <t xml:space="preserve">80        </t>
  </si>
  <si>
    <t xml:space="preserve">MARGEN COMERCIAL                                                                                    </t>
  </si>
  <si>
    <t xml:space="preserve">801       </t>
  </si>
  <si>
    <t xml:space="preserve">8011      </t>
  </si>
  <si>
    <t xml:space="preserve">81        </t>
  </si>
  <si>
    <t xml:space="preserve">PRODUCCION DEL EJERCICIO                                                                            </t>
  </si>
  <si>
    <t xml:space="preserve">811       </t>
  </si>
  <si>
    <t xml:space="preserve">PRODUCCION DE BIENES                                                                                </t>
  </si>
  <si>
    <t xml:space="preserve">8111      </t>
  </si>
  <si>
    <t xml:space="preserve">812       </t>
  </si>
  <si>
    <t xml:space="preserve">PRODUCCION DE SERVICIOS                                                                             </t>
  </si>
  <si>
    <t xml:space="preserve">8121      </t>
  </si>
  <si>
    <t xml:space="preserve">813       </t>
  </si>
  <si>
    <t xml:space="preserve">8131      </t>
  </si>
  <si>
    <t xml:space="preserve">82        </t>
  </si>
  <si>
    <t xml:space="preserve">VALOR AGREGADO                                                                                      </t>
  </si>
  <si>
    <t xml:space="preserve">821       </t>
  </si>
  <si>
    <t xml:space="preserve">8211      </t>
  </si>
  <si>
    <t xml:space="preserve">83        </t>
  </si>
  <si>
    <t xml:space="preserve">EXCEDENTE BRUTO (INSUFICIENCIA BRUTA) DE EXPLOTACIÓN                                                </t>
  </si>
  <si>
    <t xml:space="preserve">831       </t>
  </si>
  <si>
    <t xml:space="preserve">8311      </t>
  </si>
  <si>
    <t xml:space="preserve">84        </t>
  </si>
  <si>
    <t xml:space="preserve">RESULTADO DE EXPLOTACION                                                                            </t>
  </si>
  <si>
    <t xml:space="preserve">841       </t>
  </si>
  <si>
    <t xml:space="preserve">8411      </t>
  </si>
  <si>
    <t xml:space="preserve">85        </t>
  </si>
  <si>
    <t xml:space="preserve">RESULTADO ANTES DE PARTICIPACIONES E IMPUESTOS                                                      </t>
  </si>
  <si>
    <t xml:space="preserve">851       </t>
  </si>
  <si>
    <t xml:space="preserve">RESULTADO ANTES DE IMPUESTOS A LAS GANANCIAS                                                        </t>
  </si>
  <si>
    <t xml:space="preserve">8511      </t>
  </si>
  <si>
    <t xml:space="preserve">88        </t>
  </si>
  <si>
    <t xml:space="preserve">881       </t>
  </si>
  <si>
    <t xml:space="preserve">IMPUESTO A LAS GANANCIAS - CORRIENTE                                                                </t>
  </si>
  <si>
    <t xml:space="preserve">882       </t>
  </si>
  <si>
    <t xml:space="preserve">IMPUESTO  A LAS GANANCIAS - DIFERIDO                                                                </t>
  </si>
  <si>
    <t>F705</t>
  </si>
  <si>
    <t xml:space="preserve">89        </t>
  </si>
  <si>
    <t xml:space="preserve">DETERMINACION DEL RESULTADO DEL EJERCICIO                                                           </t>
  </si>
  <si>
    <t xml:space="preserve">891       </t>
  </si>
  <si>
    <t xml:space="preserve">UTILIDAD                                                                                            </t>
  </si>
  <si>
    <t xml:space="preserve">892       </t>
  </si>
  <si>
    <t xml:space="preserve">PERDIDA                                                                                             </t>
  </si>
  <si>
    <t xml:space="preserve">90        </t>
  </si>
  <si>
    <t xml:space="preserve">COSTOS DE PRODUCCION                                                                                </t>
  </si>
  <si>
    <t xml:space="preserve">901       </t>
  </si>
  <si>
    <t xml:space="preserve">COSTOS DE PRODUCCION - DIRECTOS                                                                     </t>
  </si>
  <si>
    <t xml:space="preserve">MATERIALES Y SUMINISTROS - DIRECTOS                                                                 </t>
  </si>
  <si>
    <t xml:space="preserve">9012      </t>
  </si>
  <si>
    <t xml:space="preserve">MANO DE OBRA - DIRECTA                                                                              </t>
  </si>
  <si>
    <t xml:space="preserve">9013      </t>
  </si>
  <si>
    <t xml:space="preserve">OTROS COSTOS DE PRODUCCION - DIRECTOS                                                               </t>
  </si>
  <si>
    <t xml:space="preserve">902       </t>
  </si>
  <si>
    <t xml:space="preserve">COSTOS DE PRODUCCION - INDIRECTOS                                                                   </t>
  </si>
  <si>
    <t xml:space="preserve">9021      </t>
  </si>
  <si>
    <t xml:space="preserve">MATERIALES Y SUMINISTROS - INDIRECTOS                                                               </t>
  </si>
  <si>
    <t xml:space="preserve">9022      </t>
  </si>
  <si>
    <t xml:space="preserve">MANO DE OBRA - INDIRECTA                                                                            </t>
  </si>
  <si>
    <t xml:space="preserve">9023      </t>
  </si>
  <si>
    <t xml:space="preserve">OTROS COSTOS DE PRODUCCION - INDIRECTOS                                                             </t>
  </si>
  <si>
    <t xml:space="preserve">91        </t>
  </si>
  <si>
    <t xml:space="preserve">COSTOS DE PRODUCCION INDIRECTOS                                                                     </t>
  </si>
  <si>
    <t xml:space="preserve">911       </t>
  </si>
  <si>
    <t xml:space="preserve">9111      </t>
  </si>
  <si>
    <t xml:space="preserve">9112      </t>
  </si>
  <si>
    <t xml:space="preserve">9113      </t>
  </si>
  <si>
    <t xml:space="preserve">OTROS COSTROS DE PRODUCCION - INDIRECTOS                                                            </t>
  </si>
  <si>
    <t xml:space="preserve">93        </t>
  </si>
  <si>
    <t xml:space="preserve">COSTO DIRECTO DE SERVICIOS                                                                          </t>
  </si>
  <si>
    <t xml:space="preserve">931       </t>
  </si>
  <si>
    <t xml:space="preserve">94        </t>
  </si>
  <si>
    <t xml:space="preserve">GASTOS ADMINISTRATIVOS                                                                              </t>
  </si>
  <si>
    <t xml:space="preserve">941       </t>
  </si>
  <si>
    <t>F210</t>
  </si>
  <si>
    <t xml:space="preserve">95        </t>
  </si>
  <si>
    <t xml:space="preserve">GASTOS DE VENTAS                                                                                    </t>
  </si>
  <si>
    <t xml:space="preserve">951       </t>
  </si>
  <si>
    <t xml:space="preserve">GASTOS DE VENTA                                                                                     </t>
  </si>
  <si>
    <t>F205</t>
  </si>
  <si>
    <t xml:space="preserve">97        </t>
  </si>
  <si>
    <t xml:space="preserve">971       </t>
  </si>
  <si>
    <t>F502</t>
  </si>
  <si>
    <t>Generado automáticamente por Gestión Contable Financiero Plus – Premium 21.03 - NewContaSis el 10/02/2022</t>
  </si>
  <si>
    <t>BATERIA YTX4L MOVILIDAD PERSONAL VENTAS</t>
  </si>
  <si>
    <t xml:space="preserve">COMBUSTIBLE </t>
  </si>
  <si>
    <t>CERTIFICADOS DE FIRMA</t>
  </si>
  <si>
    <t>IMPRESIÓN DE FORMATOS</t>
  </si>
  <si>
    <t>ESTANTE RANURADO ,PANEL USO ALMACEN</t>
  </si>
  <si>
    <t>CANASTA CLIENTES X DIA DE LA MADRE</t>
  </si>
  <si>
    <t>CASCO INTEGRAL DOBLE VISERA OBSEQUIO CLIENTE</t>
  </si>
  <si>
    <t>SERVICIO DE INTERNET 062026</t>
  </si>
  <si>
    <t>COMBUSTIBLE PLACA B9Q-769</t>
  </si>
  <si>
    <t>COMISION BANCARIA</t>
  </si>
  <si>
    <t>RENOVACION DE HOTING Y DOMINIO</t>
  </si>
  <si>
    <t>POR CONSUMO DE 15 PECHUGA A LA PARRILLA</t>
  </si>
  <si>
    <t>LAVADO Y ENGRASE CAMIONETA PLACA A1I-902</t>
  </si>
  <si>
    <t>MILLAR DE VOLANTE</t>
  </si>
  <si>
    <t>TINTA PARA IMPRESORA</t>
  </si>
  <si>
    <t>CONSUMO DE AGUA Y DESAGUE JR. LOS INCAS 364</t>
  </si>
  <si>
    <t>6530094</t>
  </si>
  <si>
    <t>CRED</t>
  </si>
  <si>
    <t>VICENTE MANDUJANO WILMER ARTURO</t>
  </si>
  <si>
    <t>VELASQUEZ VICENTE JOEL RONALD</t>
  </si>
  <si>
    <t>SERVICENTRO TACZA S.A.C</t>
  </si>
  <si>
    <t>CRUCETA , SERVICIO MECANICO</t>
  </si>
  <si>
    <t>HUAYTA BRAVO LEONOR LEONILDA</t>
  </si>
  <si>
    <t>CARBAJAL CHAVEZ NEUSEVYA JANNE</t>
  </si>
  <si>
    <t>PAPELERA REY PISADOR</t>
  </si>
  <si>
    <t> MONTALVAN MONDRAGON ELKER JOSE</t>
  </si>
  <si>
    <t>SINTESIS DE LA LEGISLACION LABORAL</t>
  </si>
  <si>
    <t>33691</t>
  </si>
  <si>
    <t>DISCO DURO</t>
  </si>
  <si>
    <t>MONITOR HP 20SN:3CQ92718V5</t>
  </si>
  <si>
    <t>CUMPLIMIENTO DE CUOTA DE VENTA</t>
  </si>
  <si>
    <t>TINTA,SELLO , ALMOHADILLA</t>
  </si>
  <si>
    <t>COMBUSTIBLE PLACA A1I-902</t>
  </si>
  <si>
    <t>SOLDADA EN TUBO DE ESCAPE VEHICULO B9Q-769</t>
  </si>
  <si>
    <t>SERVICIO DE TRANSPORTE DE PASAJEROS</t>
  </si>
  <si>
    <t>SERVICIO DE TRANSACCIONES (0106 AL 2506)</t>
  </si>
  <si>
    <t>00FQ0D</t>
  </si>
  <si>
    <t>ALQUILER DE ALMACEN JR. 1 DE NOVIEMBRE DEL MES DE JUNIO 2026</t>
  </si>
  <si>
    <t>ALQUILER DE LOCAL JR. FRANCISCO IRAZOLA DEL MES DE JUNIO 2026</t>
  </si>
  <si>
    <t>F017</t>
  </si>
  <si>
    <t>74501</t>
  </si>
  <si>
    <t>15714</t>
  </si>
  <si>
    <t>DESARMADOR CONFORT</t>
  </si>
  <si>
    <t xml:space="preserve">SOLDADA EN TUBO DE ESCAPE </t>
  </si>
  <si>
    <t>ERROR EN DESCRIPCION</t>
  </si>
  <si>
    <t>449</t>
  </si>
  <si>
    <t>MANTENIMIENTO POS PERIODO JUNIO 2026</t>
  </si>
  <si>
    <t>COMBUSTIBLE GASOHOL  PLACA 3769-XW</t>
  </si>
  <si>
    <t>00FB28</t>
  </si>
  <si>
    <t>COM ISION BANCARIA</t>
  </si>
  <si>
    <t>CORDOVA NAPANGA LEOPOLDO HANS</t>
  </si>
  <si>
    <t>SERVICIO DE INTERNET</t>
  </si>
  <si>
    <t>CONSUMO DE AGUA Y DESAGUE JR.LOS INCAS</t>
  </si>
  <si>
    <t>CONSUMO DE AGUA Y DESAGUE JR.1RO DE NOVIEMBRE</t>
  </si>
  <si>
    <t>CONSUMO DE AGUA Y DESAGUE JR.FCO.IRAZOLA</t>
  </si>
  <si>
    <t>ENERGIA ELECTRICA JR.1RO DE NOVIEMBRE</t>
  </si>
  <si>
    <t>ENERGIA ELECTRICA JR.LOS INCAS</t>
  </si>
  <si>
    <t>ENERGIA ELECTRICA JR.FCO.IRAZOLA</t>
  </si>
  <si>
    <t>00FF20</t>
  </si>
  <si>
    <t>UN TORTA CUMPLEAÑOS DE BLADIMIR</t>
  </si>
  <si>
    <t>SERVICIO TELEFONIA</t>
  </si>
  <si>
    <t>COMBUSTIBLE A1I-902</t>
  </si>
  <si>
    <t>PLATOS DESCARTABLES POR CUMPLEAÑOS DE BLADIMIR</t>
  </si>
  <si>
    <t>DONACION POR APOYO Y EFICIENTE ATEN.CLIEN.JUNIO</t>
  </si>
  <si>
    <t>UTILES DE OFICINA (CALCULADORA, PAPEL BON X4)</t>
  </si>
  <si>
    <t>LAZO LEANDRO PEDRO ISRAEL</t>
  </si>
  <si>
    <t>BANDERA SIN ESCUDO, ASTAS 1.80M</t>
  </si>
  <si>
    <t>COMISION AL VENCIMIENTO, GASTOS POR PORTES</t>
  </si>
  <si>
    <t>SOPORTE MENSUAL  062026</t>
  </si>
  <si>
    <t>PAG0 INTERES, GASTOS POR APORTES BANCARIA</t>
  </si>
  <si>
    <t>UTILES DE OFICINA</t>
  </si>
  <si>
    <t>BATERIA ENERJET PARA VEHICULO PLACA B9Q-769</t>
  </si>
  <si>
    <t>IMPORTACIONES Y EXPORTACIONES J.J.R. E.I.R.L.</t>
  </si>
  <si>
    <t>RADIO AIWA VEHICULO PLACA A1I-902</t>
  </si>
  <si>
    <t>RADIO AIWA VEHICULO PLACA B9Q-769</t>
  </si>
  <si>
    <t>00F501</t>
  </si>
  <si>
    <t>RUC</t>
  </si>
  <si>
    <t>RAZON SOCIAL</t>
  </si>
  <si>
    <t> EMPRESA DE TRANSPORTES PROFAMSE SRL</t>
  </si>
  <si>
    <t>VENTAS &amp; OFERTAS ON LINE PERU SOCIEDAD ANONIMA CERRADA - VENTAS &amp; ON LINE S.A.C.</t>
  </si>
  <si>
    <t>CUBRE VOLANTE CUERO VEHICULO PLACA B9Q-769</t>
  </si>
  <si>
    <t>DADO HEXAGONAL CORTO,LLAVE T-8,DADO TUBULAR</t>
  </si>
  <si>
    <t>RECARGA DE AGUA LA INMACULADA SIN GAS POR 20 LTS</t>
  </si>
  <si>
    <t>COMBUSTIBLE PLACA AI1-902</t>
  </si>
  <si>
    <t>SERVICIO DE INTERNET 993630309</t>
  </si>
  <si>
    <t>UTILES DE OFICINA (TABLERO,LAPICERO,BANDEJA,PAPEL LUSTRE,STIKERS)</t>
  </si>
  <si>
    <t>LECTOR DE DNI ELECTRONICO</t>
  </si>
  <si>
    <t>LAREDO AREVALO CHELO DEL ROCIO</t>
  </si>
  <si>
    <t>TROFEO</t>
  </si>
  <si>
    <t>TUERCAS M10,CINTA AISLANTE, PEGAFAN GRANDE</t>
  </si>
  <si>
    <t>TINTA EMPSON</t>
  </si>
  <si>
    <t>nc2750(julio)</t>
  </si>
  <si>
    <t>NC13752(JULIO)</t>
  </si>
  <si>
    <t>COMISIONES, MANTENIMIENTO</t>
  </si>
  <si>
    <t>POR SERVICIO EN LINEA ,COBRANZA , ENTREGA</t>
  </si>
  <si>
    <t xml:space="preserve">IMPRESIÓN VOLANTE </t>
  </si>
  <si>
    <t>FARO LED DUAL PLACA A1I-902</t>
  </si>
  <si>
    <t>COMISION Y MANTENIMIENTO</t>
  </si>
  <si>
    <t>SERVICIO DE TRANSPORTES DE PASAJEROS</t>
  </si>
  <si>
    <t>COBRO POR SERVICIOS DE TRANSACIONES</t>
  </si>
  <si>
    <t>ALQUILER LOCAL COMERCIAL JR.FCO.IRAZLA 377-062026</t>
  </si>
  <si>
    <t>DONACION POR APOYO -062026</t>
  </si>
  <si>
    <t>BOLSAS NEGRAS26X40, 20X30</t>
  </si>
  <si>
    <t>00FV17</t>
  </si>
  <si>
    <t>ALQUILER ALMACEN JR.1RO DE NOVIEMBRE -062026</t>
  </si>
  <si>
    <t>COMISION LINE,COMISIONES,APORTES,EXC.OPE.BANCARIAS</t>
  </si>
  <si>
    <t>LLAVE MIXTA  N 15 TUERCA M10 X 15</t>
  </si>
  <si>
    <t>MANT.POS-PERIODO 2026-7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</si>
</sst>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0.0000"/>
    <numFmt numFmtId="166" formatCode="_ * #,##0.000_ ;_ * \-#,##0.000_ ;_ * &quot;-&quot;??_ ;_ @_ "/>
    <numFmt numFmtId="167" formatCode="0000000000000"/>
    <numFmt numFmtId="168" formatCode="0.000"/>
    <numFmt numFmtId="169" formatCode="[$-F800]dddd\,\ mmmm\ dd\,\ yyyy"/>
    <numFmt numFmtId="170" formatCode="_ * #,##0.0000_ ;_ * \-#,##0.0000_ ;_ * &quot;-&quot;??_ ;_ @_ "/>
  </numFmts>
  <fonts count="3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0"/>
      <color rgb="FF333333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4"/>
      <color rgb="FF333333"/>
      <name val="Arial"/>
      <family val="2"/>
    </font>
    <font>
      <sz val="10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43" fontId="2" fillId="0" borderId="0" xfId="1" applyFont="1"/>
    <xf numFmtId="0" fontId="4" fillId="2" borderId="4" xfId="0" applyFont="1" applyFill="1" applyBorder="1"/>
    <xf numFmtId="4" fontId="4" fillId="2" borderId="4" xfId="0" applyNumberFormat="1" applyFont="1" applyFill="1" applyBorder="1"/>
    <xf numFmtId="4" fontId="5" fillId="0" borderId="5" xfId="0" applyNumberFormat="1" applyFont="1" applyBorder="1"/>
    <xf numFmtId="0" fontId="6" fillId="0" borderId="0" xfId="0" applyFont="1"/>
    <xf numFmtId="14" fontId="5" fillId="0" borderId="5" xfId="0" applyNumberFormat="1" applyFont="1" applyBorder="1"/>
    <xf numFmtId="49" fontId="5" fillId="0" borderId="5" xfId="0" applyNumberFormat="1" applyFont="1" applyBorder="1"/>
    <xf numFmtId="166" fontId="5" fillId="0" borderId="5" xfId="1" applyNumberFormat="1" applyFont="1" applyFill="1" applyBorder="1" applyAlignment="1">
      <alignment horizontal="right" vertical="center"/>
    </xf>
    <xf numFmtId="3" fontId="5" fillId="0" borderId="5" xfId="0" applyNumberFormat="1" applyFont="1" applyBorder="1"/>
    <xf numFmtId="166" fontId="0" fillId="2" borderId="5" xfId="1" applyNumberFormat="1" applyFont="1" applyFill="1" applyBorder="1" applyAlignment="1">
      <alignment horizontal="right" vertical="center"/>
    </xf>
    <xf numFmtId="49" fontId="0" fillId="2" borderId="5" xfId="0" applyNumberFormat="1" applyFill="1" applyBorder="1"/>
    <xf numFmtId="49" fontId="5" fillId="0" borderId="5" xfId="0" applyNumberFormat="1" applyFont="1" applyBorder="1" applyAlignment="1">
      <alignment horizontal="left" vertical="center"/>
    </xf>
    <xf numFmtId="0" fontId="0" fillId="6" borderId="0" xfId="0" applyFill="1"/>
    <xf numFmtId="0" fontId="2" fillId="6" borderId="0" xfId="0" applyFont="1" applyFill="1"/>
    <xf numFmtId="0" fontId="2" fillId="5" borderId="0" xfId="0" applyFont="1" applyFill="1"/>
    <xf numFmtId="43" fontId="7" fillId="0" borderId="0" xfId="1" applyFont="1"/>
    <xf numFmtId="43" fontId="2" fillId="0" borderId="0" xfId="1" applyFont="1" applyFill="1"/>
    <xf numFmtId="166" fontId="9" fillId="0" borderId="5" xfId="1" applyNumberFormat="1" applyFont="1" applyFill="1" applyBorder="1" applyAlignment="1">
      <alignment horizontal="right" vertical="center"/>
    </xf>
    <xf numFmtId="14" fontId="5" fillId="5" borderId="5" xfId="0" applyNumberFormat="1" applyFont="1" applyFill="1" applyBorder="1"/>
    <xf numFmtId="49" fontId="5" fillId="5" borderId="5" xfId="0" applyNumberFormat="1" applyFont="1" applyFill="1" applyBorder="1"/>
    <xf numFmtId="4" fontId="5" fillId="5" borderId="5" xfId="0" applyNumberFormat="1" applyFont="1" applyFill="1" applyBorder="1"/>
    <xf numFmtId="49" fontId="5" fillId="5" borderId="5" xfId="0" applyNumberFormat="1" applyFont="1" applyFill="1" applyBorder="1" applyAlignment="1">
      <alignment horizontal="left" vertical="center"/>
    </xf>
    <xf numFmtId="3" fontId="5" fillId="5" borderId="5" xfId="0" applyNumberFormat="1" applyFont="1" applyFill="1" applyBorder="1"/>
    <xf numFmtId="1" fontId="0" fillId="0" borderId="5" xfId="0" applyNumberFormat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4" fontId="0" fillId="0" borderId="5" xfId="0" applyNumberFormat="1" applyBorder="1"/>
    <xf numFmtId="49" fontId="0" fillId="0" borderId="5" xfId="0" applyNumberFormat="1" applyBorder="1"/>
    <xf numFmtId="4" fontId="0" fillId="0" borderId="5" xfId="0" applyNumberFormat="1" applyBorder="1"/>
    <xf numFmtId="166" fontId="0" fillId="0" borderId="5" xfId="1" applyNumberFormat="1" applyFont="1" applyFill="1" applyBorder="1" applyAlignment="1">
      <alignment horizontal="right" vertical="center"/>
    </xf>
    <xf numFmtId="49" fontId="0" fillId="0" borderId="5" xfId="0" applyNumberFormat="1" applyBorder="1" applyAlignment="1">
      <alignment horizontal="left" vertical="center"/>
    </xf>
    <xf numFmtId="3" fontId="0" fillId="0" borderId="5" xfId="0" applyNumberFormat="1" applyBorder="1"/>
    <xf numFmtId="0" fontId="11" fillId="0" borderId="0" xfId="0" applyFont="1"/>
    <xf numFmtId="166" fontId="0" fillId="5" borderId="5" xfId="1" applyNumberFormat="1" applyFont="1" applyFill="1" applyBorder="1" applyAlignment="1">
      <alignment horizontal="right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4" fontId="5" fillId="0" borderId="4" xfId="0" applyNumberFormat="1" applyFont="1" applyBorder="1"/>
    <xf numFmtId="0" fontId="5" fillId="0" borderId="0" xfId="0" applyFont="1"/>
    <xf numFmtId="14" fontId="5" fillId="0" borderId="5" xfId="0" applyNumberFormat="1" applyFont="1" applyBorder="1" applyAlignment="1">
      <alignment horizontal="right"/>
    </xf>
    <xf numFmtId="0" fontId="9" fillId="0" borderId="0" xfId="0" applyFont="1"/>
    <xf numFmtId="49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9" fillId="0" borderId="5" xfId="0" applyNumberFormat="1" applyFont="1" applyBorder="1"/>
    <xf numFmtId="49" fontId="9" fillId="0" borderId="4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/>
    <xf numFmtId="0" fontId="9" fillId="0" borderId="4" xfId="0" applyFont="1" applyBorder="1" applyAlignment="1">
      <alignment horizontal="left" vertical="center"/>
    </xf>
    <xf numFmtId="4" fontId="9" fillId="0" borderId="5" xfId="0" applyNumberFormat="1" applyFont="1" applyBorder="1"/>
    <xf numFmtId="49" fontId="10" fillId="0" borderId="5" xfId="0" applyNumberFormat="1" applyFont="1" applyBorder="1"/>
    <xf numFmtId="3" fontId="10" fillId="0" borderId="5" xfId="0" applyNumberFormat="1" applyFont="1" applyBorder="1"/>
    <xf numFmtId="4" fontId="10" fillId="0" borderId="5" xfId="0" applyNumberFormat="1" applyFont="1" applyBorder="1"/>
    <xf numFmtId="14" fontId="10" fillId="0" borderId="5" xfId="0" applyNumberFormat="1" applyFont="1" applyBorder="1"/>
    <xf numFmtId="49" fontId="9" fillId="0" borderId="5" xfId="0" applyNumberFormat="1" applyFont="1" applyBorder="1" applyAlignment="1">
      <alignment horizontal="left" vertical="center"/>
    </xf>
    <xf numFmtId="3" fontId="9" fillId="0" borderId="5" xfId="0" applyNumberFormat="1" applyFont="1" applyBorder="1"/>
    <xf numFmtId="2" fontId="5" fillId="0" borderId="5" xfId="0" applyNumberFormat="1" applyFont="1" applyBorder="1"/>
    <xf numFmtId="167" fontId="5" fillId="0" borderId="5" xfId="0" applyNumberFormat="1" applyFont="1" applyBorder="1"/>
    <xf numFmtId="167" fontId="9" fillId="0" borderId="5" xfId="0" applyNumberFormat="1" applyFont="1" applyBorder="1"/>
    <xf numFmtId="167" fontId="5" fillId="0" borderId="5" xfId="1" applyNumberFormat="1" applyFont="1" applyFill="1" applyBorder="1"/>
    <xf numFmtId="167" fontId="4" fillId="2" borderId="4" xfId="0" applyNumberFormat="1" applyFont="1" applyFill="1" applyBorder="1"/>
    <xf numFmtId="167" fontId="2" fillId="0" borderId="0" xfId="0" applyNumberFormat="1" applyFont="1"/>
    <xf numFmtId="14" fontId="9" fillId="0" borderId="5" xfId="0" applyNumberFormat="1" applyFont="1" applyBorder="1" applyAlignment="1">
      <alignment horizontal="right"/>
    </xf>
    <xf numFmtId="1" fontId="9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7" fontId="0" fillId="0" borderId="5" xfId="0" applyNumberFormat="1" applyBorder="1"/>
    <xf numFmtId="14" fontId="0" fillId="0" borderId="5" xfId="0" applyNumberFormat="1" applyBorder="1" applyAlignment="1">
      <alignment horizontal="right"/>
    </xf>
    <xf numFmtId="49" fontId="5" fillId="0" borderId="0" xfId="0" applyNumberFormat="1" applyFont="1" applyAlignment="1">
      <alignment horizontal="left" vertical="center"/>
    </xf>
    <xf numFmtId="14" fontId="5" fillId="5" borderId="5" xfId="0" applyNumberFormat="1" applyFont="1" applyFill="1" applyBorder="1" applyAlignment="1">
      <alignment horizontal="right"/>
    </xf>
    <xf numFmtId="49" fontId="5" fillId="5" borderId="4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167" fontId="5" fillId="5" borderId="5" xfId="0" applyNumberFormat="1" applyFont="1" applyFill="1" applyBorder="1"/>
    <xf numFmtId="0" fontId="5" fillId="5" borderId="4" xfId="0" applyFont="1" applyFill="1" applyBorder="1" applyAlignment="1">
      <alignment horizontal="left" vertical="center"/>
    </xf>
    <xf numFmtId="4" fontId="5" fillId="5" borderId="4" xfId="0" applyNumberFormat="1" applyFont="1" applyFill="1" applyBorder="1"/>
    <xf numFmtId="166" fontId="5" fillId="5" borderId="5" xfId="1" applyNumberFormat="1" applyFont="1" applyFill="1" applyBorder="1" applyAlignment="1">
      <alignment horizontal="right" vertical="center"/>
    </xf>
    <xf numFmtId="0" fontId="5" fillId="5" borderId="0" xfId="0" applyFont="1" applyFill="1"/>
    <xf numFmtId="14" fontId="0" fillId="5" borderId="5" xfId="0" applyNumberFormat="1" applyFill="1" applyBorder="1"/>
    <xf numFmtId="49" fontId="0" fillId="5" borderId="4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5" xfId="0" applyNumberFormat="1" applyFill="1" applyBorder="1"/>
    <xf numFmtId="167" fontId="0" fillId="5" borderId="5" xfId="0" applyNumberFormat="1" applyFill="1" applyBorder="1"/>
    <xf numFmtId="0" fontId="0" fillId="5" borderId="4" xfId="0" applyFill="1" applyBorder="1" applyAlignment="1">
      <alignment horizontal="left" vertical="center"/>
    </xf>
    <xf numFmtId="4" fontId="0" fillId="5" borderId="5" xfId="0" applyNumberFormat="1" applyFill="1" applyBorder="1"/>
    <xf numFmtId="49" fontId="0" fillId="5" borderId="5" xfId="0" applyNumberFormat="1" applyFill="1" applyBorder="1" applyAlignment="1">
      <alignment horizontal="left" vertical="center"/>
    </xf>
    <xf numFmtId="3" fontId="0" fillId="5" borderId="5" xfId="0" applyNumberFormat="1" applyFill="1" applyBorder="1"/>
    <xf numFmtId="0" fontId="0" fillId="5" borderId="0" xfId="0" applyFill="1"/>
    <xf numFmtId="49" fontId="12" fillId="4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2" fontId="12" fillId="4" borderId="2" xfId="0" applyNumberFormat="1" applyFont="1" applyFill="1" applyBorder="1" applyAlignment="1">
      <alignment horizontal="center" vertical="center" wrapText="1"/>
    </xf>
    <xf numFmtId="43" fontId="12" fillId="2" borderId="2" xfId="1" applyFont="1" applyFill="1" applyBorder="1" applyAlignment="1">
      <alignment horizontal="center" vertical="center" wrapText="1"/>
    </xf>
    <xf numFmtId="14" fontId="12" fillId="4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4" fontId="0" fillId="0" borderId="4" xfId="0" applyNumberFormat="1" applyBorder="1"/>
    <xf numFmtId="49" fontId="0" fillId="0" borderId="0" xfId="0" applyNumberFormat="1" applyAlignment="1">
      <alignment horizontal="left" vertical="center"/>
    </xf>
    <xf numFmtId="43" fontId="0" fillId="0" borderId="5" xfId="1" applyFont="1" applyFill="1" applyBorder="1"/>
    <xf numFmtId="43" fontId="0" fillId="0" borderId="5" xfId="1" applyFont="1" applyFill="1" applyBorder="1" applyAlignment="1">
      <alignment horizontal="right" vertical="top"/>
    </xf>
    <xf numFmtId="49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43" fontId="13" fillId="2" borderId="2" xfId="1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0" fontId="9" fillId="5" borderId="0" xfId="0" applyFont="1" applyFill="1"/>
    <xf numFmtId="14" fontId="5" fillId="3" borderId="5" xfId="0" applyNumberFormat="1" applyFont="1" applyFill="1" applyBorder="1" applyAlignment="1">
      <alignment horizontal="right"/>
    </xf>
    <xf numFmtId="14" fontId="5" fillId="3" borderId="5" xfId="0" applyNumberFormat="1" applyFont="1" applyFill="1" applyBorder="1"/>
    <xf numFmtId="49" fontId="5" fillId="3" borderId="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/>
    <xf numFmtId="167" fontId="0" fillId="3" borderId="5" xfId="0" applyNumberFormat="1" applyFill="1" applyBorder="1"/>
    <xf numFmtId="1" fontId="0" fillId="3" borderId="5" xfId="0" applyNumberForma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4" fontId="5" fillId="3" borderId="5" xfId="0" applyNumberFormat="1" applyFont="1" applyFill="1" applyBorder="1"/>
    <xf numFmtId="4" fontId="5" fillId="3" borderId="4" xfId="0" applyNumberFormat="1" applyFont="1" applyFill="1" applyBorder="1"/>
    <xf numFmtId="166" fontId="5" fillId="3" borderId="5" xfId="1" applyNumberFormat="1" applyFont="1" applyFill="1" applyBorder="1" applyAlignment="1">
      <alignment horizontal="right" vertical="center"/>
    </xf>
    <xf numFmtId="49" fontId="5" fillId="3" borderId="5" xfId="0" applyNumberFormat="1" applyFont="1" applyFill="1" applyBorder="1" applyAlignment="1">
      <alignment horizontal="left" vertical="center"/>
    </xf>
    <xf numFmtId="3" fontId="5" fillId="3" borderId="5" xfId="0" applyNumberFormat="1" applyFont="1" applyFill="1" applyBorder="1"/>
    <xf numFmtId="0" fontId="5" fillId="3" borderId="0" xfId="0" applyFont="1" applyFill="1"/>
    <xf numFmtId="0" fontId="9" fillId="3" borderId="0" xfId="0" applyFont="1" applyFill="1"/>
    <xf numFmtId="0" fontId="4" fillId="2" borderId="4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" fontId="9" fillId="0" borderId="4" xfId="0" applyNumberFormat="1" applyFont="1" applyBorder="1"/>
    <xf numFmtId="14" fontId="0" fillId="3" borderId="5" xfId="0" applyNumberFormat="1" applyFill="1" applyBorder="1"/>
    <xf numFmtId="49" fontId="0" fillId="3" borderId="5" xfId="0" applyNumberFormat="1" applyFill="1" applyBorder="1"/>
    <xf numFmtId="49" fontId="0" fillId="3" borderId="5" xfId="0" applyNumberForma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3" borderId="0" xfId="0" applyFill="1"/>
    <xf numFmtId="0" fontId="0" fillId="7" borderId="5" xfId="0" applyFill="1" applyBorder="1"/>
    <xf numFmtId="0" fontId="0" fillId="8" borderId="5" xfId="0" applyFill="1" applyBorder="1"/>
    <xf numFmtId="14" fontId="0" fillId="3" borderId="5" xfId="0" applyNumberFormat="1" applyFill="1" applyBorder="1" applyAlignment="1">
      <alignment horizontal="right"/>
    </xf>
    <xf numFmtId="0" fontId="9" fillId="9" borderId="0" xfId="0" applyFont="1" applyFill="1"/>
    <xf numFmtId="0" fontId="5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4" fillId="2" borderId="5" xfId="0" applyFont="1" applyFill="1" applyBorder="1"/>
    <xf numFmtId="4" fontId="4" fillId="2" borderId="5" xfId="0" applyNumberFormat="1" applyFont="1" applyFill="1" applyBorder="1"/>
    <xf numFmtId="14" fontId="5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1" fontId="0" fillId="0" borderId="0" xfId="0" applyNumberForma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7" fontId="9" fillId="5" borderId="5" xfId="0" applyNumberFormat="1" applyFont="1" applyFill="1" applyBorder="1"/>
    <xf numFmtId="1" fontId="16" fillId="0" borderId="0" xfId="0" applyNumberFormat="1" applyFont="1"/>
    <xf numFmtId="0" fontId="16" fillId="0" borderId="0" xfId="0" applyFont="1"/>
    <xf numFmtId="1" fontId="7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8" fontId="7" fillId="0" borderId="0" xfId="0" applyNumberFormat="1" applyFont="1"/>
    <xf numFmtId="49" fontId="7" fillId="0" borderId="0" xfId="0" applyNumberFormat="1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1" fontId="7" fillId="0" borderId="0" xfId="0" applyNumberFormat="1" applyFont="1"/>
    <xf numFmtId="49" fontId="18" fillId="0" borderId="0" xfId="0" applyNumberFormat="1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2" fillId="0" borderId="5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left"/>
    </xf>
    <xf numFmtId="0" fontId="19" fillId="0" borderId="5" xfId="0" applyFont="1" applyBorder="1" applyAlignment="1">
      <alignment horizontal="left" vertical="center"/>
    </xf>
    <xf numFmtId="1" fontId="20" fillId="0" borderId="5" xfId="0" applyNumberFormat="1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3" fillId="0" borderId="0" xfId="0" applyFont="1" applyAlignment="1">
      <alignment horizontal="left" vertical="center" wrapText="1"/>
    </xf>
    <xf numFmtId="169" fontId="0" fillId="0" borderId="5" xfId="0" applyNumberFormat="1" applyBorder="1" applyAlignment="1">
      <alignment horizontal="right"/>
    </xf>
    <xf numFmtId="14" fontId="5" fillId="2" borderId="5" xfId="0" applyNumberFormat="1" applyFont="1" applyFill="1" applyBorder="1" applyAlignment="1">
      <alignment horizontal="right"/>
    </xf>
    <xf numFmtId="14" fontId="5" fillId="2" borderId="5" xfId="0" applyNumberFormat="1" applyFont="1" applyFill="1" applyBorder="1"/>
    <xf numFmtId="49" fontId="5" fillId="2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/>
    <xf numFmtId="167" fontId="0" fillId="2" borderId="5" xfId="0" applyNumberFormat="1" applyFill="1" applyBorder="1"/>
    <xf numFmtId="1" fontId="0" fillId="2" borderId="5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4" fontId="5" fillId="2" borderId="5" xfId="0" applyNumberFormat="1" applyFont="1" applyFill="1" applyBorder="1"/>
    <xf numFmtId="166" fontId="5" fillId="2" borderId="5" xfId="1" applyNumberFormat="1" applyFont="1" applyFill="1" applyBorder="1" applyAlignment="1">
      <alignment horizontal="right" vertical="center"/>
    </xf>
    <xf numFmtId="14" fontId="0" fillId="2" borderId="5" xfId="0" applyNumberFormat="1" applyFill="1" applyBorder="1"/>
    <xf numFmtId="3" fontId="5" fillId="2" borderId="5" xfId="0" applyNumberFormat="1" applyFont="1" applyFill="1" applyBorder="1"/>
    <xf numFmtId="1" fontId="5" fillId="0" borderId="5" xfId="0" applyNumberFormat="1" applyFont="1" applyBorder="1" applyAlignment="1">
      <alignment horizontal="center" vertical="center"/>
    </xf>
    <xf numFmtId="0" fontId="4" fillId="0" borderId="0" xfId="0" applyFont="1"/>
    <xf numFmtId="0" fontId="4" fillId="10" borderId="7" xfId="0" applyFont="1" applyFill="1" applyBorder="1"/>
    <xf numFmtId="49" fontId="4" fillId="0" borderId="7" xfId="0" applyNumberFormat="1" applyFont="1" applyBorder="1"/>
    <xf numFmtId="49" fontId="0" fillId="0" borderId="7" xfId="0" applyNumberFormat="1" applyBorder="1"/>
    <xf numFmtId="0" fontId="4" fillId="0" borderId="7" xfId="0" applyFont="1" applyBorder="1"/>
    <xf numFmtId="0" fontId="0" fillId="0" borderId="7" xfId="0" applyBorder="1"/>
    <xf numFmtId="49" fontId="4" fillId="0" borderId="0" xfId="0" applyNumberFormat="1" applyFont="1"/>
    <xf numFmtId="49" fontId="0" fillId="0" borderId="0" xfId="0" applyNumberFormat="1"/>
    <xf numFmtId="49" fontId="4" fillId="5" borderId="0" xfId="0" applyNumberFormat="1" applyFont="1" applyFill="1"/>
    <xf numFmtId="49" fontId="0" fillId="5" borderId="0" xfId="0" applyNumberFormat="1" applyFill="1"/>
    <xf numFmtId="0" fontId="4" fillId="5" borderId="0" xfId="0" applyFont="1" applyFill="1"/>
    <xf numFmtId="49" fontId="4" fillId="11" borderId="0" xfId="0" applyNumberFormat="1" applyFont="1" applyFill="1"/>
    <xf numFmtId="49" fontId="0" fillId="11" borderId="0" xfId="0" applyNumberFormat="1" applyFill="1"/>
    <xf numFmtId="0" fontId="0" fillId="11" borderId="0" xfId="0" applyFill="1"/>
    <xf numFmtId="14" fontId="5" fillId="0" borderId="5" xfId="0" applyNumberFormat="1" applyFont="1" applyBorder="1" applyAlignment="1">
      <alignment horizontal="left"/>
    </xf>
    <xf numFmtId="14" fontId="5" fillId="3" borderId="5" xfId="0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2" borderId="5" xfId="0" applyNumberFormat="1" applyFill="1" applyBorder="1" applyAlignment="1">
      <alignment horizontal="right"/>
    </xf>
    <xf numFmtId="0" fontId="14" fillId="2" borderId="5" xfId="0" applyFont="1" applyFill="1" applyBorder="1" applyAlignment="1">
      <alignment vertical="center" wrapText="1"/>
    </xf>
    <xf numFmtId="49" fontId="0" fillId="6" borderId="0" xfId="0" applyNumberFormat="1" applyFill="1"/>
    <xf numFmtId="49" fontId="5" fillId="6" borderId="5" xfId="0" applyNumberFormat="1" applyFont="1" applyFill="1" applyBorder="1" applyAlignment="1">
      <alignment horizontal="left" vertical="center"/>
    </xf>
    <xf numFmtId="166" fontId="0" fillId="3" borderId="5" xfId="1" applyNumberFormat="1" applyFont="1" applyFill="1" applyBorder="1" applyAlignment="1">
      <alignment horizontal="right" vertical="center"/>
    </xf>
    <xf numFmtId="4" fontId="0" fillId="3" borderId="5" xfId="0" applyNumberFormat="1" applyFill="1" applyBorder="1"/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/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49" fontId="9" fillId="5" borderId="0" xfId="0" applyNumberFormat="1" applyFont="1" applyFill="1"/>
    <xf numFmtId="14" fontId="5" fillId="5" borderId="5" xfId="0" applyNumberFormat="1" applyFont="1" applyFill="1" applyBorder="1" applyAlignment="1">
      <alignment horizontal="left"/>
    </xf>
    <xf numFmtId="14" fontId="0" fillId="5" borderId="5" xfId="0" applyNumberFormat="1" applyFill="1" applyBorder="1" applyAlignment="1">
      <alignment horizontal="right"/>
    </xf>
    <xf numFmtId="0" fontId="5" fillId="5" borderId="5" xfId="0" applyFont="1" applyFill="1" applyBorder="1" applyAlignment="1">
      <alignment horizontal="left" vertical="center"/>
    </xf>
    <xf numFmtId="49" fontId="5" fillId="0" borderId="0" xfId="0" applyNumberFormat="1" applyFont="1"/>
    <xf numFmtId="0" fontId="0" fillId="0" borderId="5" xfId="0" applyBorder="1" applyAlignment="1">
      <alignment horizontal="left" vertical="center"/>
    </xf>
    <xf numFmtId="14" fontId="9" fillId="0" borderId="5" xfId="0" applyNumberFormat="1" applyFont="1" applyBorder="1" applyAlignment="1">
      <alignment horizontal="left"/>
    </xf>
    <xf numFmtId="170" fontId="9" fillId="0" borderId="5" xfId="1" applyNumberFormat="1" applyFont="1" applyFill="1" applyBorder="1" applyAlignment="1">
      <alignment horizontal="right" vertical="center"/>
    </xf>
    <xf numFmtId="49" fontId="9" fillId="5" borderId="5" xfId="0" applyNumberFormat="1" applyFont="1" applyFill="1" applyBorder="1"/>
    <xf numFmtId="14" fontId="0" fillId="0" borderId="5" xfId="0" applyNumberFormat="1" applyBorder="1" applyAlignment="1">
      <alignment horizontal="left"/>
    </xf>
    <xf numFmtId="14" fontId="9" fillId="5" borderId="5" xfId="0" applyNumberFormat="1" applyFont="1" applyFill="1" applyBorder="1" applyAlignment="1">
      <alignment horizontal="left"/>
    </xf>
    <xf numFmtId="14" fontId="9" fillId="5" borderId="5" xfId="0" applyNumberFormat="1" applyFont="1" applyFill="1" applyBorder="1"/>
    <xf numFmtId="49" fontId="9" fillId="5" borderId="5" xfId="0" applyNumberFormat="1" applyFont="1" applyFill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4" fontId="9" fillId="5" borderId="5" xfId="0" applyNumberFormat="1" applyFont="1" applyFill="1" applyBorder="1"/>
    <xf numFmtId="166" fontId="9" fillId="5" borderId="5" xfId="1" applyNumberFormat="1" applyFont="1" applyFill="1" applyBorder="1" applyAlignment="1">
      <alignment horizontal="right" vertical="center"/>
    </xf>
    <xf numFmtId="3" fontId="9" fillId="5" borderId="5" xfId="0" applyNumberFormat="1" applyFont="1" applyFill="1" applyBorder="1"/>
    <xf numFmtId="1" fontId="5" fillId="3" borderId="5" xfId="0" applyNumberFormat="1" applyFont="1" applyFill="1" applyBorder="1" applyAlignment="1">
      <alignment horizontal="center" vertical="center"/>
    </xf>
    <xf numFmtId="170" fontId="5" fillId="0" borderId="5" xfId="1" applyNumberFormat="1" applyFont="1" applyFill="1" applyBorder="1" applyAlignment="1">
      <alignment horizontal="right" vertical="center"/>
    </xf>
    <xf numFmtId="14" fontId="0" fillId="3" borderId="5" xfId="0" applyNumberFormat="1" applyFill="1" applyBorder="1" applyAlignment="1">
      <alignment horizontal="left"/>
    </xf>
    <xf numFmtId="49" fontId="0" fillId="3" borderId="5" xfId="0" applyNumberForma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49" fontId="5" fillId="5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14" fontId="9" fillId="3" borderId="5" xfId="0" applyNumberFormat="1" applyFont="1" applyFill="1" applyBorder="1" applyAlignment="1">
      <alignment horizontal="left"/>
    </xf>
    <xf numFmtId="14" fontId="9" fillId="3" borderId="5" xfId="0" applyNumberFormat="1" applyFont="1" applyFill="1" applyBorder="1"/>
    <xf numFmtId="49" fontId="9" fillId="3" borderId="5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/>
    <xf numFmtId="1" fontId="9" fillId="3" borderId="5" xfId="0" applyNumberFormat="1" applyFont="1" applyFill="1" applyBorder="1" applyAlignment="1">
      <alignment horizontal="center" vertical="center"/>
    </xf>
    <xf numFmtId="4" fontId="9" fillId="3" borderId="5" xfId="0" applyNumberFormat="1" applyFont="1" applyFill="1" applyBorder="1"/>
    <xf numFmtId="0" fontId="32" fillId="0" borderId="0" xfId="0" applyFont="1" applyAlignment="1">
      <alignment horizontal="left"/>
    </xf>
    <xf numFmtId="0" fontId="31" fillId="0" borderId="0" xfId="0" applyFont="1" applyAlignment="1">
      <alignment vertical="center" wrapText="1"/>
    </xf>
    <xf numFmtId="49" fontId="0" fillId="0" borderId="8" xfId="0" applyNumberFormat="1" applyBorder="1"/>
    <xf numFmtId="49" fontId="5" fillId="0" borderId="8" xfId="0" applyNumberFormat="1" applyFont="1" applyBorder="1"/>
    <xf numFmtId="168" fontId="0" fillId="7" borderId="5" xfId="0" applyNumberFormat="1" applyFill="1" applyBorder="1"/>
    <xf numFmtId="49" fontId="9" fillId="3" borderId="5" xfId="0" applyNumberFormat="1" applyFont="1" applyFill="1" applyBorder="1" applyAlignment="1">
      <alignment horizontal="left" vertical="center"/>
    </xf>
    <xf numFmtId="14" fontId="0" fillId="0" borderId="0" xfId="0" applyNumberFormat="1"/>
    <xf numFmtId="16" fontId="0" fillId="0" borderId="0" xfId="0" applyNumberFormat="1"/>
    <xf numFmtId="168" fontId="0" fillId="8" borderId="5" xfId="0" applyNumberFormat="1" applyFill="1" applyBorder="1"/>
    <xf numFmtId="49" fontId="8" fillId="4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14" fontId="8" fillId="4" borderId="3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" fontId="8" fillId="4" borderId="2" xfId="0" applyNumberFormat="1" applyFont="1" applyFill="1" applyBorder="1" applyAlignment="1">
      <alignment horizontal="center" vertical="center" wrapText="1"/>
    </xf>
    <xf numFmtId="4" fontId="8" fillId="4" borderId="3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3" fontId="8" fillId="4" borderId="2" xfId="0" applyNumberFormat="1" applyFont="1" applyFill="1" applyBorder="1" applyAlignment="1">
      <alignment horizontal="center" vertical="center" wrapText="1"/>
    </xf>
    <xf numFmtId="3" fontId="8" fillId="4" borderId="3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43" fontId="8" fillId="2" borderId="1" xfId="1" applyFont="1" applyFill="1" applyBorder="1" applyAlignment="1">
      <alignment horizontal="center" vertical="center" wrapText="1"/>
    </xf>
    <xf numFmtId="43" fontId="8" fillId="2" borderId="2" xfId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7" fontId="8" fillId="4" borderId="1" xfId="0" applyNumberFormat="1" applyFont="1" applyFill="1" applyBorder="1" applyAlignment="1">
      <alignment horizontal="center" vertical="center" wrapText="1"/>
    </xf>
    <xf numFmtId="167" fontId="8" fillId="4" borderId="2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3" fillId="4" borderId="2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14" fontId="13" fillId="4" borderId="3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4" fontId="13" fillId="4" borderId="2" xfId="0" applyNumberFormat="1" applyFont="1" applyFill="1" applyBorder="1" applyAlignment="1">
      <alignment horizontal="center" vertical="center" wrapText="1"/>
    </xf>
    <xf numFmtId="4" fontId="13" fillId="4" borderId="3" xfId="0" applyNumberFormat="1" applyFont="1" applyFill="1" applyBorder="1" applyAlignment="1">
      <alignment horizontal="center" vertical="center" wrapText="1"/>
    </xf>
    <xf numFmtId="4" fontId="13" fillId="4" borderId="1" xfId="0" applyNumberFormat="1" applyFont="1" applyFill="1" applyBorder="1" applyAlignment="1">
      <alignment horizontal="center" vertical="center" wrapText="1"/>
    </xf>
    <xf numFmtId="3" fontId="13" fillId="4" borderId="2" xfId="0" applyNumberFormat="1" applyFont="1" applyFill="1" applyBorder="1" applyAlignment="1">
      <alignment horizontal="center" vertical="center" wrapText="1"/>
    </xf>
    <xf numFmtId="3" fontId="13" fillId="4" borderId="3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2" fontId="13" fillId="4" borderId="1" xfId="0" applyNumberFormat="1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43" fontId="13" fillId="2" borderId="1" xfId="1" applyFont="1" applyFill="1" applyBorder="1" applyAlignment="1">
      <alignment horizontal="center" vertical="center" wrapText="1"/>
    </xf>
    <xf numFmtId="43" fontId="13" fillId="2" borderId="2" xfId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2" fontId="13" fillId="2" borderId="2" xfId="0" applyNumberFormat="1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165" fontId="13" fillId="4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right" vertical="center" wrapText="1"/>
    </xf>
    <xf numFmtId="14" fontId="13" fillId="4" borderId="2" xfId="0" applyNumberFormat="1" applyFont="1" applyFill="1" applyBorder="1" applyAlignment="1">
      <alignment horizontal="right" vertical="center" wrapText="1"/>
    </xf>
    <xf numFmtId="14" fontId="13" fillId="4" borderId="1" xfId="0" applyNumberFormat="1" applyFont="1" applyFill="1" applyBorder="1" applyAlignment="1">
      <alignment horizontal="left" vertical="center" wrapText="1"/>
    </xf>
    <xf numFmtId="14" fontId="13" fillId="4" borderId="2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10" borderId="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6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66FFFF"/>
      <color rgb="FFFF9966"/>
      <color rgb="FFFF33CC"/>
      <color rgb="FFCCCC00"/>
      <color rgb="FFE2C48E"/>
      <color rgb="FF00FFCC"/>
      <color rgb="FF99FFCC"/>
      <color rgb="FF0070B3"/>
      <color rgb="FFFCF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ARCHIVOS/AREA%20DE%20CONTABILIDAD/EMPRESAS%20ARAUCO/IMPORTACION/CORPORACION%20ARAUCO%20S.R.L/2026/RC%20CORPORACION%202026%20(1)%20(Autoguard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ENTIDAD"/>
      <sheetName val="PCGE"/>
      <sheetName val="Hoja1"/>
      <sheetName val="PLAN CON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20493508645</v>
          </cell>
          <cell r="C2" t="str">
            <v>HONDA SELVA DEL PERU S.A.</v>
          </cell>
        </row>
        <row r="3">
          <cell r="B3">
            <v>20103733015</v>
          </cell>
          <cell r="C3" t="str">
            <v>HONDA DEL PERU S.A</v>
          </cell>
        </row>
        <row r="4">
          <cell r="B4" t="str">
            <v>20432405525 </v>
          </cell>
          <cell r="C4" t="str">
            <v>PROCESOS DE MEDIOS DE PAGO S.A.</v>
          </cell>
        </row>
        <row r="5">
          <cell r="B5">
            <v>20600782658</v>
          </cell>
          <cell r="C5" t="str">
            <v>BRITZ E.I.R.L.</v>
          </cell>
        </row>
        <row r="6">
          <cell r="B6">
            <v>20601158095</v>
          </cell>
          <cell r="C6" t="str">
            <v>SERVICENTRO TACZA S.A.C</v>
          </cell>
        </row>
        <row r="7">
          <cell r="B7">
            <v>20101973922</v>
          </cell>
          <cell r="C7" t="str">
            <v>ASOCIACION AUTOMOTRIZ DEL PERU</v>
          </cell>
        </row>
        <row r="8">
          <cell r="B8">
            <v>20601358892</v>
          </cell>
          <cell r="C8" t="str">
            <v>ARAUCO CONDE SOLUCIONES INMOBILIARIAS S.A.C.</v>
          </cell>
        </row>
        <row r="9">
          <cell r="B9">
            <v>20485976028</v>
          </cell>
          <cell r="C9" t="str">
            <v>EMPRESA DE TRANSPORTES TROPICAL TOURS SCRL</v>
          </cell>
        </row>
        <row r="10">
          <cell r="B10">
            <v>20487197671</v>
          </cell>
          <cell r="C10" t="str">
            <v>ESTUDIO ORTIZ, MARCELO &amp; ASOCIADOS S.R.L.</v>
          </cell>
        </row>
        <row r="11">
          <cell r="B11">
            <v>20607418790</v>
          </cell>
          <cell r="C11" t="str">
            <v>BROASTER SATIPO EMPRESA INDIVIDUAL DE RESP. LTDA</v>
          </cell>
        </row>
        <row r="12">
          <cell r="B12">
            <v>10766755777</v>
          </cell>
          <cell r="C12" t="str">
            <v> ORTIZ BORQUEZ WILSON WILIAM</v>
          </cell>
        </row>
        <row r="13">
          <cell r="B13">
            <v>20603360401</v>
          </cell>
          <cell r="C13" t="str">
            <v>VENTAS &amp; OFERTAS ON LINE PERU SOCIEDAD ANONIMA CERRADA - VENTAS &amp; ON LINE S.A.C.</v>
          </cell>
        </row>
        <row r="14">
          <cell r="B14">
            <v>10731429923</v>
          </cell>
          <cell r="C14" t="str">
            <v>CARBAJAL CHAVEZ NEUSEVYA JANNE</v>
          </cell>
        </row>
        <row r="15">
          <cell r="B15">
            <v>10452311688</v>
          </cell>
          <cell r="C15" t="str">
            <v>LAREDO AREVALO CHELO DEL ROCIO</v>
          </cell>
        </row>
        <row r="16">
          <cell r="B16">
            <v>20568383843</v>
          </cell>
          <cell r="C16" t="str">
            <v>ESMERALDAYEC-VRE E.I.R.L.</v>
          </cell>
        </row>
        <row r="17">
          <cell r="B17">
            <v>20444766906</v>
          </cell>
          <cell r="C17" t="str">
            <v> EMPRESA DE TRANSPORTES PROFAMSE SRL</v>
          </cell>
        </row>
        <row r="18">
          <cell r="B18">
            <v>10712006566</v>
          </cell>
          <cell r="C18" t="str">
            <v>CORDOVA NAPANGA LEOPOLDO HANS</v>
          </cell>
        </row>
        <row r="19">
          <cell r="B19">
            <v>20568284276</v>
          </cell>
          <cell r="C19" t="str">
            <v>COORPORACION TURISMO SHIMA E.I.R.L.</v>
          </cell>
        </row>
        <row r="20">
          <cell r="B20">
            <v>10205788340</v>
          </cell>
          <cell r="C20" t="str">
            <v>PALACIOS,GAMARRA,WILBER,IGNACIO</v>
          </cell>
        </row>
        <row r="21">
          <cell r="B21" t="str">
            <v>20487251985 </v>
          </cell>
          <cell r="C21" t="str">
            <v>CONTABILIDAD AUDITORIA, SISTEMAS, INNOVACION Y CONOCIMIENTO SOCIEDAD ANONIMA</v>
          </cell>
        </row>
        <row r="22">
          <cell r="B22">
            <v>20573848161</v>
          </cell>
          <cell r="C22" t="str">
            <v>PETRO GAS TORRES E.I.R.L.</v>
          </cell>
        </row>
        <row r="23">
          <cell r="B23">
            <v>20568499043</v>
          </cell>
          <cell r="C23" t="str">
            <v>SURTIDORES SAN MIGUEL E.I.R.L.</v>
          </cell>
        </row>
        <row r="24">
          <cell r="B24">
            <v>10465268803</v>
          </cell>
          <cell r="C24" t="str">
            <v> MONTALVAN MONDRAGON ELKER JOSE</v>
          </cell>
        </row>
        <row r="25">
          <cell r="B25">
            <v>20401441451</v>
          </cell>
          <cell r="C25" t="str">
            <v>EMP.DE AUTOMOVILES SANTA ROSA SERVIS S.A.</v>
          </cell>
        </row>
        <row r="26">
          <cell r="B26">
            <v>10209964932</v>
          </cell>
          <cell r="C26" t="str">
            <v>ROJAS,TOVAR,KARINA,GIOVANNA</v>
          </cell>
        </row>
        <row r="27">
          <cell r="B27">
            <v>10411303468</v>
          </cell>
          <cell r="C27" t="str">
            <v>ROMO,HUAYLLANI,GIOVANNA</v>
          </cell>
        </row>
        <row r="28">
          <cell r="B28">
            <v>10473550151</v>
          </cell>
          <cell r="C28" t="str">
            <v>MAYTA,MADUEÑO,WILFREDO</v>
          </cell>
        </row>
        <row r="29">
          <cell r="B29">
            <v>20515620894</v>
          </cell>
          <cell r="C29" t="str">
            <v>ALMONACIN TRANSPORTES SAC</v>
          </cell>
        </row>
        <row r="30">
          <cell r="B30">
            <v>20573866909</v>
          </cell>
          <cell r="C30" t="str">
            <v>ESTACION DE SERVICIOS GASOCENTRO MISABEL E.I.R.L.</v>
          </cell>
        </row>
        <row r="31">
          <cell r="B31">
            <v>20129646099</v>
          </cell>
          <cell r="C31" t="str">
            <v>ELECTROCENTRO S.A.</v>
          </cell>
        </row>
        <row r="32">
          <cell r="B32">
            <v>20121876290</v>
          </cell>
          <cell r="C32" t="str">
            <v>ENT.PREST.SERV.SANEAM.SELVA CENTRAL S.A</v>
          </cell>
        </row>
        <row r="33">
          <cell r="B33">
            <v>20602721133</v>
          </cell>
          <cell r="C33" t="str">
            <v>EXPRESO TURISMO AGUILAS DE ATALAYA S.A.C.</v>
          </cell>
        </row>
        <row r="34">
          <cell r="B34">
            <v>20602347126</v>
          </cell>
          <cell r="C34" t="str">
            <v>IMPLEMENTACIÓN SANITARIA Y SANEAMIENTO AMBIENTAL INTEGRAL S.A.</v>
          </cell>
        </row>
        <row r="35">
          <cell r="B35">
            <v>20568884206</v>
          </cell>
          <cell r="C35" t="str">
            <v>ANDINA PERUANA DE TELECOMUNICACIONES E.I.R.L.</v>
          </cell>
        </row>
        <row r="36">
          <cell r="B36">
            <v>20602763006</v>
          </cell>
          <cell r="C36" t="str">
            <v>CORPORACION TURISMO MONTAÑA E.I.R.L.</v>
          </cell>
        </row>
        <row r="37">
          <cell r="B37">
            <v>10209850023</v>
          </cell>
          <cell r="C37" t="str">
            <v>LAUREANO,LAURA,RAYDA,JULIA</v>
          </cell>
        </row>
        <row r="38">
          <cell r="B38">
            <v>20541326384</v>
          </cell>
          <cell r="C38" t="str">
            <v>AEROM INVERSIONES NEGOCIOS SERVICIOS E.I.R.L.</v>
          </cell>
        </row>
        <row r="39">
          <cell r="B39">
            <v>10433685721</v>
          </cell>
          <cell r="C39" t="str">
            <v>MANDUJANO,SOLANO,JOSE,ELIAS</v>
          </cell>
        </row>
        <row r="40">
          <cell r="B40">
            <v>20485981536</v>
          </cell>
          <cell r="C40" t="str">
            <v>EMPRESA DE TRANSPORTES TURISMO Y SERVICIOS MULTIPLES SHIMA E.I.R.L.</v>
          </cell>
        </row>
        <row r="41">
          <cell r="B41">
            <v>20601285712</v>
          </cell>
          <cell r="C41" t="str">
            <v>PROTESAFE S.A.C.</v>
          </cell>
        </row>
        <row r="42">
          <cell r="B42">
            <v>10410828184</v>
          </cell>
          <cell r="C42" t="str">
            <v>PARIONA,LANASCA,FIDEL</v>
          </cell>
        </row>
        <row r="43">
          <cell r="B43">
            <v>10210648939</v>
          </cell>
          <cell r="C43" t="str">
            <v>EGOAVIL,TORRES,EDITH,GINA</v>
          </cell>
        </row>
        <row r="44">
          <cell r="B44">
            <v>20602507361</v>
          </cell>
          <cell r="C44" t="str">
            <v>SERVICENTRO LAS ORQUIDEAS E.I.R.L.</v>
          </cell>
        </row>
        <row r="45">
          <cell r="B45">
            <v>20568231580</v>
          </cell>
          <cell r="C45" t="str">
            <v>EXPRESO RALLY E.I.R.L.</v>
          </cell>
        </row>
        <row r="46">
          <cell r="B46">
            <v>10421947665</v>
          </cell>
          <cell r="C46" t="str">
            <v>MAYTA,MADUEÑO,SAUL,JESUS</v>
          </cell>
        </row>
        <row r="47">
          <cell r="B47" t="str">
            <v>20486549328 </v>
          </cell>
          <cell r="C47" t="str">
            <v>SANTISIMA TRINIDAD E.I.R.L.</v>
          </cell>
        </row>
        <row r="48">
          <cell r="B48">
            <v>20176231506</v>
          </cell>
          <cell r="C48" t="str">
            <v>ZONA REGISTRAL NRO. VIII - SEDE HUANCAYO</v>
          </cell>
        </row>
        <row r="49">
          <cell r="B49">
            <v>10210135435</v>
          </cell>
          <cell r="C49" t="str">
            <v>LAZO LEANDRO PEDRO ISRAEL</v>
          </cell>
        </row>
        <row r="50">
          <cell r="B50">
            <v>20281033795</v>
          </cell>
          <cell r="C50" t="str">
            <v>AUTOMOTRIZ SAN GABRIEL SRLTDA.</v>
          </cell>
        </row>
        <row r="51">
          <cell r="B51">
            <v>10199304441</v>
          </cell>
          <cell r="C51" t="str">
            <v>MUCHA,RODRIGUEZ,FLAVIA,IRIS</v>
          </cell>
        </row>
        <row r="52">
          <cell r="B52">
            <v>20517289044</v>
          </cell>
          <cell r="C52" t="str">
            <v>TRANSELI MULTISERVIS E.I.R.L.</v>
          </cell>
        </row>
        <row r="53">
          <cell r="B53">
            <v>20602801773</v>
          </cell>
          <cell r="C53" t="str">
            <v>GMR IMPORT SAC</v>
          </cell>
        </row>
        <row r="54">
          <cell r="B54">
            <v>20516308746</v>
          </cell>
          <cell r="C54" t="str">
            <v>IMPORTACIONES Y EXPORTACIONES J.J.R. E.I.R.L.</v>
          </cell>
        </row>
        <row r="55">
          <cell r="B55">
            <v>10210135435</v>
          </cell>
          <cell r="C55" t="str">
            <v>LAZO LEANDRO PEDRO ISRAEL</v>
          </cell>
        </row>
        <row r="56">
          <cell r="B56">
            <v>10453242272</v>
          </cell>
          <cell r="C56" t="str">
            <v>PARIONA,LANASCA,JOSE,LUIS</v>
          </cell>
        </row>
        <row r="57">
          <cell r="B57">
            <v>20402317737</v>
          </cell>
          <cell r="C57" t="str">
            <v>VICMAR AUTOMOTRIZ SRL</v>
          </cell>
        </row>
        <row r="58">
          <cell r="B58">
            <v>10444646450</v>
          </cell>
          <cell r="C58" t="str">
            <v>TOSCANO,LLANCARI,JHON,ANTONIO</v>
          </cell>
        </row>
        <row r="59">
          <cell r="B59">
            <v>10409430550</v>
          </cell>
          <cell r="C59" t="str">
            <v>NEYRA,FELIX,MONICA,PATRICIA</v>
          </cell>
        </row>
        <row r="60">
          <cell r="B60">
            <v>20601012261</v>
          </cell>
          <cell r="C60" t="str">
            <v>IMPORTADORA DE REPUESTOS LA ROCA E.I.R.L.</v>
          </cell>
        </row>
        <row r="61">
          <cell r="B61">
            <v>20568028784</v>
          </cell>
          <cell r="C61" t="str">
            <v>R C R RULEX CONTRATISTAS GENERALES E.I.R.L.</v>
          </cell>
        </row>
        <row r="62">
          <cell r="B62">
            <v>20602783341</v>
          </cell>
          <cell r="C62" t="str">
            <v>CODISSER VRAEM E.I.R.L.</v>
          </cell>
        </row>
        <row r="63">
          <cell r="B63">
            <v>20265681299</v>
          </cell>
          <cell r="C63" t="str">
            <v>EQUIFAX PERU S.A.</v>
          </cell>
        </row>
        <row r="64">
          <cell r="B64">
            <v>20486549328</v>
          </cell>
          <cell r="C64" t="str">
            <v>SANTISIMA TRINIDAD E.I.R.L.</v>
          </cell>
        </row>
        <row r="65">
          <cell r="B65">
            <v>10209953426</v>
          </cell>
          <cell r="C65" t="str">
            <v>BALCON,SALINAS,EDGAR</v>
          </cell>
        </row>
        <row r="66">
          <cell r="B66">
            <v>10209911031</v>
          </cell>
          <cell r="C66" t="str">
            <v>ARAUCO,CASTILLO,PEPE,OSCAR</v>
          </cell>
        </row>
        <row r="67">
          <cell r="B67">
            <v>20601135605</v>
          </cell>
          <cell r="C67" t="str">
            <v>PERU TIRE EIRL</v>
          </cell>
        </row>
        <row r="68">
          <cell r="B68">
            <v>10209949453</v>
          </cell>
          <cell r="C68" t="str">
            <v>BARTOLO,CRISANTE,WILMER,ANCELMO</v>
          </cell>
        </row>
        <row r="69">
          <cell r="B69">
            <v>10210107679</v>
          </cell>
          <cell r="C69" t="str">
            <v>ARAUCO,CASTILLO,ROGER,EDILBERTO</v>
          </cell>
        </row>
        <row r="70">
          <cell r="B70">
            <v>20191889062</v>
          </cell>
          <cell r="C70" t="str">
            <v>ASOCIACION JUNTA ADMINISTRADORA DE AGUA POTABLE MAZAMARI</v>
          </cell>
        </row>
        <row r="71">
          <cell r="B71">
            <v>20486556537</v>
          </cell>
          <cell r="C71" t="str">
            <v>PARAISO SOCIEDAD ANONIMA CERRADA</v>
          </cell>
        </row>
        <row r="72">
          <cell r="B72">
            <v>20402406161</v>
          </cell>
          <cell r="C72" t="str">
            <v>SERVI TOURS EXPRESS S.A.</v>
          </cell>
        </row>
        <row r="73">
          <cell r="B73">
            <v>10077461138</v>
          </cell>
          <cell r="C73" t="str">
            <v>CHAMORRO,CRUZ,HILDA,MERCEDES</v>
          </cell>
        </row>
        <row r="74">
          <cell r="B74">
            <v>20485887866</v>
          </cell>
          <cell r="C74" t="str">
            <v>COMPUTEK INGENIEROS E.I.R.L.</v>
          </cell>
        </row>
        <row r="75">
          <cell r="B75" t="str">
            <v>20146674403</v>
          </cell>
          <cell r="C75" t="str">
            <v>MUNICIPALIDAD PROVINCIAL SATIPO</v>
          </cell>
        </row>
        <row r="76">
          <cell r="B76">
            <v>10209835741</v>
          </cell>
          <cell r="C76" t="str">
            <v>TICSE,PALACIOS,VILMA,ALICIA</v>
          </cell>
        </row>
        <row r="77">
          <cell r="B77">
            <v>10448055707</v>
          </cell>
          <cell r="C77" t="str">
            <v>CAINICELA,TABRAJ,NILO,JHONNY</v>
          </cell>
        </row>
        <row r="78">
          <cell r="B78">
            <v>10209907327</v>
          </cell>
          <cell r="C78" t="str">
            <v>TORPOCO,MAYTA,HECTOR,ALFONSO</v>
          </cell>
        </row>
        <row r="79">
          <cell r="B79">
            <v>10209900233</v>
          </cell>
          <cell r="C79" t="str">
            <v>VASQUEZ,LIMAYLLA,HERMENEGILDO,CESAR</v>
          </cell>
        </row>
        <row r="80">
          <cell r="B80">
            <v>20600426622</v>
          </cell>
          <cell r="C80" t="str">
            <v>SERVICORP MULTISERVICIOS &amp; SYSTEM E.I.R.L.</v>
          </cell>
        </row>
        <row r="81">
          <cell r="B81">
            <v>10410599606</v>
          </cell>
          <cell r="C81" t="str">
            <v>SUAREZ,PEREZ,ROBINSON,FAUSTO</v>
          </cell>
        </row>
        <row r="82">
          <cell r="B82">
            <v>10404698872</v>
          </cell>
          <cell r="C82" t="str">
            <v>ASTO,SALVATIERRA,JOSUE,RAFAEL</v>
          </cell>
        </row>
        <row r="83">
          <cell r="B83">
            <v>20568951329</v>
          </cell>
          <cell r="C83" t="str">
            <v>CENTRO COMERCIAL PICHANAQUI S.R.L.</v>
          </cell>
        </row>
        <row r="84">
          <cell r="B84">
            <v>20600454065</v>
          </cell>
          <cell r="C84" t="str">
            <v>REPUESTOS Y SERVICIOS ARAUCO E.I.R.L.</v>
          </cell>
        </row>
        <row r="85">
          <cell r="B85">
            <v>20600098633</v>
          </cell>
          <cell r="C85" t="str">
            <v>CRECER SEGUROS S.A.</v>
          </cell>
        </row>
        <row r="86">
          <cell r="B86">
            <v>10410993487</v>
          </cell>
          <cell r="C86" t="str">
            <v>VICENTE MANDUJANO WILMER ARTURO</v>
          </cell>
        </row>
        <row r="87">
          <cell r="B87">
            <v>20510435452</v>
          </cell>
          <cell r="C87" t="str">
            <v>MULTISERVICIOS SEÑOR DE LOS MILAGROS S.C.R.L.</v>
          </cell>
        </row>
        <row r="88">
          <cell r="B88">
            <v>10065811061</v>
          </cell>
          <cell r="C88" t="str">
            <v>CONDE,VELAZQUE,CIRILO</v>
          </cell>
        </row>
        <row r="89">
          <cell r="B89">
            <v>10424966172</v>
          </cell>
          <cell r="C89" t="str">
            <v>RAMOS,RASHUAMAN,JOSETH,RODOLFO</v>
          </cell>
        </row>
        <row r="90">
          <cell r="B90">
            <v>10474122617</v>
          </cell>
          <cell r="C90" t="str">
            <v>FABIAN,VELASCO,JEAN,CRISTHIAN</v>
          </cell>
        </row>
        <row r="91">
          <cell r="B91">
            <v>10210143837</v>
          </cell>
          <cell r="C91" t="str">
            <v>ALVARADO,APUMAYTA,CARLOS,MICHEL</v>
          </cell>
        </row>
        <row r="92">
          <cell r="B92">
            <v>20604988129</v>
          </cell>
          <cell r="C92" t="str">
            <v>CONSORCIO GMR IMPORT S.A.C.</v>
          </cell>
        </row>
        <row r="93">
          <cell r="B93">
            <v>10210814545</v>
          </cell>
          <cell r="C93" t="str">
            <v>ESPINOZA,ARROYO,DANIEL,MOISES</v>
          </cell>
        </row>
        <row r="94">
          <cell r="B94">
            <v>10405296905</v>
          </cell>
          <cell r="C94" t="str">
            <v>ZEGARRA,MONTALVO,MIRIAM,JUANA</v>
          </cell>
        </row>
        <row r="95">
          <cell r="B95">
            <v>20603596481</v>
          </cell>
          <cell r="C95" t="str">
            <v>CORPORACION GRAFICA PRINTEC S.A.C.</v>
          </cell>
        </row>
        <row r="96">
          <cell r="B96" t="str">
            <v>20432405525 </v>
          </cell>
          <cell r="C96" t="str">
            <v>PROCESOS DE MEDIOS DE PAGO S.A.</v>
          </cell>
        </row>
        <row r="97">
          <cell r="B97">
            <v>10209903917</v>
          </cell>
          <cell r="C97" t="str">
            <v>AYLLON,PACHAS,DOMINGO,CLEMENTE</v>
          </cell>
        </row>
        <row r="98">
          <cell r="B98">
            <v>10730114252</v>
          </cell>
          <cell r="C98" t="str">
            <v>QUIÑONEZ,HINOSTROZA,VICTOR,TEODORO</v>
          </cell>
        </row>
        <row r="99">
          <cell r="B99">
            <v>10209828354</v>
          </cell>
          <cell r="C99" t="str">
            <v>JUAREZ,TORRES,BETZABE,SALINOVA</v>
          </cell>
        </row>
        <row r="100">
          <cell r="B100">
            <v>10455245210</v>
          </cell>
          <cell r="C100" t="str">
            <v>EVANGELISTA,VELIZ,SYNTIA</v>
          </cell>
        </row>
        <row r="101">
          <cell r="B101">
            <v>10409802848</v>
          </cell>
          <cell r="C101" t="str">
            <v>VELASQUEZ VICENTE JOEL RONALD</v>
          </cell>
        </row>
        <row r="102">
          <cell r="B102">
            <v>20568818751</v>
          </cell>
          <cell r="C102" t="str">
            <v>P &amp; F ARTEFACTOS S.R.L.</v>
          </cell>
        </row>
        <row r="103">
          <cell r="B103">
            <v>10432713593</v>
          </cell>
          <cell r="C103" t="str">
            <v>HUAMAN,RONCAL,MIRIAM</v>
          </cell>
        </row>
        <row r="104">
          <cell r="B104">
            <v>10411143932</v>
          </cell>
          <cell r="C104" t="str">
            <v> ZEA,SILVA,VLADIMIR</v>
          </cell>
        </row>
        <row r="105">
          <cell r="B105">
            <v>20100017491</v>
          </cell>
          <cell r="C105" t="str">
            <v>TELEFONICA DEL PERU S.A.A</v>
          </cell>
        </row>
        <row r="106">
          <cell r="B106">
            <v>10428830526</v>
          </cell>
          <cell r="C106" t="str">
            <v>MORALES,CHUCHON,ELMER,CAROL</v>
          </cell>
        </row>
        <row r="107">
          <cell r="B107">
            <v>10199540047</v>
          </cell>
          <cell r="C107" t="str">
            <v>CRUZADA,HUACAYCHUCO,INOCENCIO,MAURICIO</v>
          </cell>
        </row>
        <row r="108">
          <cell r="B108">
            <v>20452262399</v>
          </cell>
          <cell r="C108" t="str">
            <v>SERVICENTROS PLAZA SAC</v>
          </cell>
        </row>
        <row r="109">
          <cell r="B109">
            <v>20444766906</v>
          </cell>
          <cell r="C109" t="str">
            <v>EMPRESA DE TRANSPORTES PROFAMSE SRL.</v>
          </cell>
        </row>
        <row r="110">
          <cell r="B110">
            <v>10287037762</v>
          </cell>
          <cell r="C110" t="str">
            <v>BENDEZU,MUÑOZ,JOAQUIN</v>
          </cell>
        </row>
        <row r="111">
          <cell r="B111">
            <v>10232729576</v>
          </cell>
          <cell r="C111" t="str">
            <v>MENDOZA,LLIHUA,ZONIA</v>
          </cell>
        </row>
        <row r="112">
          <cell r="B112">
            <v>10423770754</v>
          </cell>
          <cell r="C112" t="str">
            <v>QUISPE,ARIAS,VICTOR,HUGO</v>
          </cell>
        </row>
        <row r="113">
          <cell r="B113">
            <v>10450864639</v>
          </cell>
          <cell r="C113" t="str">
            <v>BRAVO,MALDONADO,JHON,ELMER</v>
          </cell>
        </row>
        <row r="114">
          <cell r="B114">
            <v>20555901179</v>
          </cell>
          <cell r="C114" t="str">
            <v>MOVIL BUS S.A.C</v>
          </cell>
        </row>
        <row r="115">
          <cell r="B115">
            <v>20602902669</v>
          </cell>
          <cell r="C115" t="str">
            <v>BARRETO EXPRESS S.A.C.</v>
          </cell>
        </row>
        <row r="116">
          <cell r="B116">
            <v>10232116621</v>
          </cell>
          <cell r="C116" t="str">
            <v>QUISPE,QUISPE,ARTURO</v>
          </cell>
        </row>
        <row r="117">
          <cell r="B117">
            <v>20486021005</v>
          </cell>
          <cell r="C117" t="str">
            <v>EMPRESA DE TRANSPORTES TURISMO MURUHUAY S.R.L.</v>
          </cell>
        </row>
        <row r="118">
          <cell r="B118">
            <v>10232053866</v>
          </cell>
          <cell r="C118" t="str">
            <v>HUAMAN,FERNANDEZ,CELSA</v>
          </cell>
        </row>
        <row r="119">
          <cell r="B119">
            <v>20132757187</v>
          </cell>
          <cell r="C119" t="str">
            <v>EMPRESA DE TRANSPORTES EXPRESO LOBATO S.A.C.</v>
          </cell>
        </row>
        <row r="120">
          <cell r="B120">
            <v>10209637711</v>
          </cell>
          <cell r="C120" t="str">
            <v>ARAUCO,VARILLAS,PEDRO</v>
          </cell>
        </row>
        <row r="121">
          <cell r="B121">
            <v>20202380621</v>
          </cell>
          <cell r="C121" t="str">
            <v>MAPFRE PERU COMPAÑIA DE SEGUROS Y REASEGUROS S.A.</v>
          </cell>
        </row>
        <row r="122">
          <cell r="B122">
            <v>20393378272</v>
          </cell>
          <cell r="C122" t="str">
            <v>ESTACION DE SERVICIOS GEMELOS GRIFO AD S.R.L.</v>
          </cell>
        </row>
        <row r="123">
          <cell r="B123">
            <v>20394064387</v>
          </cell>
          <cell r="C123" t="str">
            <v>NEGOCIOS &amp; CONSTRUCCIONES CANDY E.I.R.L.</v>
          </cell>
        </row>
        <row r="124">
          <cell r="B124">
            <v>10431129987</v>
          </cell>
          <cell r="C124" t="str">
            <v>CCASANI,ROJAS,ROOSEMARY</v>
          </cell>
        </row>
        <row r="125">
          <cell r="B125">
            <v>20393248816</v>
          </cell>
          <cell r="C125" t="str">
            <v>REPRESENTACIONES PILLACA E.I.R.L.</v>
          </cell>
        </row>
        <row r="126">
          <cell r="B126">
            <v>10444483101</v>
          </cell>
          <cell r="C126" t="str">
            <v>MUCHA,HERRERA,DENISSE,PILAR</v>
          </cell>
        </row>
        <row r="127">
          <cell r="B127">
            <v>20568736860</v>
          </cell>
          <cell r="C127" t="str">
            <v>REPRESENTACIONES Y SERVICIOS GENERALES LIMA S.R.L.</v>
          </cell>
        </row>
        <row r="128">
          <cell r="B128">
            <v>20604353263</v>
          </cell>
          <cell r="C128" t="str">
            <v>LIMZ CORPORATION E.I.R.L.</v>
          </cell>
        </row>
        <row r="129">
          <cell r="B129">
            <v>10806340231</v>
          </cell>
          <cell r="C129" t="str">
            <v>QUISPE,NAVARRO,JAIME</v>
          </cell>
        </row>
        <row r="130">
          <cell r="B130">
            <v>10000085613</v>
          </cell>
          <cell r="C130" t="str">
            <v>MORALES,HUERTA,TOLOMEO</v>
          </cell>
        </row>
        <row r="131">
          <cell r="B131">
            <v>20568570520</v>
          </cell>
          <cell r="C131" t="str">
            <v>INVERSIONES IRWIN E.I.R.L.</v>
          </cell>
        </row>
        <row r="132">
          <cell r="B132">
            <v>10062827560</v>
          </cell>
          <cell r="C132" t="str">
            <v>SUAREZ,CARDENAS,DE,BARRERO,FORTUNATA,PATRICIA</v>
          </cell>
        </row>
        <row r="133">
          <cell r="B133">
            <v>20603231075</v>
          </cell>
          <cell r="C133" t="str">
            <v>INVERSIONES EDWSOL S.A.C.</v>
          </cell>
        </row>
        <row r="134">
          <cell r="B134">
            <v>10402193609</v>
          </cell>
          <cell r="C134" t="str">
            <v>PALACIOS,GAMARRA,ANA,JECENIA</v>
          </cell>
        </row>
        <row r="135">
          <cell r="B135">
            <v>10434045814</v>
          </cell>
          <cell r="C135" t="str">
            <v>PAEZ,ECHEVARRIA,ANGEL,GREGORIO</v>
          </cell>
        </row>
        <row r="136">
          <cell r="B136">
            <v>10437761251</v>
          </cell>
          <cell r="C136" t="str">
            <v>BERNARDO,LAUREANO,MARIA,PILAR</v>
          </cell>
        </row>
        <row r="137">
          <cell r="B137">
            <v>20568947305</v>
          </cell>
          <cell r="C137" t="str">
            <v>TRANSPORTE PIONERO SATIPO S.A.C.</v>
          </cell>
        </row>
        <row r="138">
          <cell r="B138">
            <v>10209841229</v>
          </cell>
          <cell r="C138" t="str">
            <v>CAMARENA,BORQUEZ,ADELAIDA</v>
          </cell>
        </row>
        <row r="139">
          <cell r="B139">
            <v>10464972787</v>
          </cell>
          <cell r="C139" t="str">
            <v>JIMENEZ,ALMONACID,YERALDO,EDWIN</v>
          </cell>
        </row>
        <row r="140">
          <cell r="B140">
            <v>20600999614</v>
          </cell>
          <cell r="C140" t="str">
            <v>EMPRESA DE TRANSPORTES SEÑOR DE LA LIBERTAD S.A.C.</v>
          </cell>
        </row>
        <row r="141">
          <cell r="B141">
            <v>20444327066</v>
          </cell>
          <cell r="C141" t="str">
            <v>CAMARA DE COMERCIO E INDUSTRIAS SATIPO</v>
          </cell>
        </row>
        <row r="142">
          <cell r="B142">
            <v>20418896915</v>
          </cell>
          <cell r="C142" t="str">
            <v>MAPFRE PERU VIDA COMPAÑIA DE SEGUROS Y REASEGUROS</v>
          </cell>
        </row>
        <row r="143">
          <cell r="B143">
            <v>20402402921</v>
          </cell>
          <cell r="C143" t="str">
            <v>EMP RADIODIFUS SAN JUAN DE MAZAMARI EIRL</v>
          </cell>
        </row>
        <row r="144">
          <cell r="B144">
            <v>20600238672</v>
          </cell>
          <cell r="C144" t="str">
            <v>POLLOS A LA LEÑA WILLYS CHICKEN'S EMPRESA INDIVIDUAL DE RESPONSABILIDAD LIMITADA</v>
          </cell>
        </row>
        <row r="145">
          <cell r="B145">
            <v>10429834924</v>
          </cell>
          <cell r="C145" t="str">
            <v>CASTAÑEDA BALTAZAR JOSE MIGUEL</v>
          </cell>
        </row>
        <row r="146">
          <cell r="B146">
            <v>20444924234</v>
          </cell>
          <cell r="C146" t="str">
            <v>FIERROS INDUSTRIALES CARHUAS E.I.R.L.</v>
          </cell>
        </row>
        <row r="147">
          <cell r="B147">
            <v>10405598782</v>
          </cell>
          <cell r="C147" t="str">
            <v>SANCHEZ,AMIQUERO,KATTY</v>
          </cell>
        </row>
        <row r="148">
          <cell r="B148">
            <v>10413030469</v>
          </cell>
          <cell r="C148" t="str">
            <v>CASTRO,MESCUA,YUDY,MERY</v>
          </cell>
        </row>
        <row r="149">
          <cell r="B149">
            <v>20604214620</v>
          </cell>
          <cell r="C149" t="str">
            <v>CENTRO DE TECNOLOGÍA Y CRÉDITO DEL PERÚ E.I.R.L.</v>
          </cell>
        </row>
        <row r="150">
          <cell r="B150">
            <v>10424473591</v>
          </cell>
          <cell r="C150" t="str">
            <v>CENTENO,ESCOBAR,MAIDA</v>
          </cell>
        </row>
        <row r="151">
          <cell r="B151">
            <v>20568867531</v>
          </cell>
          <cell r="C151" t="str">
            <v>PROVEEDOR DE ALIMENTOS EN GENERAL S.A.C.</v>
          </cell>
        </row>
        <row r="152">
          <cell r="B152">
            <v>10485326303</v>
          </cell>
          <cell r="C152" t="str">
            <v>HUINCHO,BALTAZAR,RICHARD,JOSE</v>
          </cell>
        </row>
        <row r="153">
          <cell r="B153">
            <v>10475610542</v>
          </cell>
          <cell r="C153" t="str">
            <v>ARCA,ROJAS,KEVIN,PAUL</v>
          </cell>
        </row>
        <row r="154">
          <cell r="B154">
            <v>20267811246</v>
          </cell>
          <cell r="C154" t="str">
            <v>EMP TRANS TURISMO APOSTOL SAN PEDRO EIRL</v>
          </cell>
        </row>
        <row r="155">
          <cell r="B155">
            <v>20487251985</v>
          </cell>
          <cell r="C155" t="str">
            <v>CONTABILIDAD AUDITORIA, SISTEMAS, INNOVACION Y CONOCIMIENTO SOCIEDAD ANONIMA</v>
          </cell>
        </row>
        <row r="156">
          <cell r="B156">
            <v>10200499951</v>
          </cell>
          <cell r="C156" t="str">
            <v>SALVADOR,RODRIGUEZ,MONICA</v>
          </cell>
        </row>
        <row r="157">
          <cell r="B157">
            <v>10422032504</v>
          </cell>
          <cell r="C157" t="str">
            <v>LAPA,VALENZUELA,YINA,LUCY</v>
          </cell>
        </row>
        <row r="158">
          <cell r="B158">
            <v>10443873215</v>
          </cell>
          <cell r="C158" t="str">
            <v>SANTOS,ANDIA,EDGAR,JOEL</v>
          </cell>
        </row>
        <row r="159">
          <cell r="B159">
            <v>10209925023</v>
          </cell>
          <cell r="C159" t="str">
            <v>TOSCANO,CORDOVA,ANTONIO</v>
          </cell>
        </row>
        <row r="160">
          <cell r="B160">
            <v>10209855998</v>
          </cell>
          <cell r="C160" t="str">
            <v>MARTINEZ,TORRES,EUCEBIA,MARTINA</v>
          </cell>
        </row>
        <row r="161">
          <cell r="B161">
            <v>10198503512</v>
          </cell>
          <cell r="C161" t="str">
            <v>ROJAS,FIERRO,NELBA,NORA</v>
          </cell>
        </row>
        <row r="162">
          <cell r="B162">
            <v>10444197795</v>
          </cell>
          <cell r="C162" t="str">
            <v>DE LA CRUZ,LAUREANO,ELIAS,ESTEBAN</v>
          </cell>
        </row>
        <row r="163">
          <cell r="B163">
            <v>10338198553</v>
          </cell>
          <cell r="C163" t="str">
            <v>SULLCA,MAMANI,MAURO</v>
          </cell>
        </row>
        <row r="164">
          <cell r="B164">
            <v>20601297222</v>
          </cell>
          <cell r="C164" t="str">
            <v>PETRO GAS SELVA CENTRAL LOS ANDES S.A.C.</v>
          </cell>
        </row>
        <row r="165">
          <cell r="B165">
            <v>10200737160</v>
          </cell>
          <cell r="C165" t="str">
            <v>CONDOR,MEJIA,MARIA,AMPARO DE DIOS</v>
          </cell>
        </row>
        <row r="166">
          <cell r="B166">
            <v>10433030856</v>
          </cell>
          <cell r="C166" t="str">
            <v>BRAVO,MALDONADO,DAVID,CIRILO</v>
          </cell>
        </row>
        <row r="167">
          <cell r="B167">
            <v>20541497511</v>
          </cell>
          <cell r="C167" t="str">
            <v>VANLUDI E.I.R.L.</v>
          </cell>
        </row>
        <row r="168">
          <cell r="B168">
            <v>20568610092</v>
          </cell>
          <cell r="C168" t="str">
            <v>GRUPO FERRETERO RODRIGUEZ E.I.R.L.</v>
          </cell>
        </row>
        <row r="169">
          <cell r="B169">
            <v>10733677193</v>
          </cell>
          <cell r="C169" t="str">
            <v>SATALAYA,OCHOA,GREYS,MARNITH</v>
          </cell>
        </row>
        <row r="170">
          <cell r="B170">
            <v>20418140551</v>
          </cell>
          <cell r="C170" t="str">
            <v>ALBIS S.A.C.</v>
          </cell>
        </row>
        <row r="171">
          <cell r="B171">
            <v>20573842635</v>
          </cell>
          <cell r="C171" t="str">
            <v>ESSLUREN S.A.C.</v>
          </cell>
        </row>
        <row r="172">
          <cell r="B172">
            <v>10238490095</v>
          </cell>
          <cell r="C172" t="str">
            <v>CARPIO,MERINO,HERNAN</v>
          </cell>
        </row>
        <row r="173">
          <cell r="B173">
            <v>20552919344</v>
          </cell>
          <cell r="C173" t="str">
            <v>IMPORTADORA MMASH S.A.C.</v>
          </cell>
        </row>
        <row r="174">
          <cell r="B174">
            <v>20604235201</v>
          </cell>
          <cell r="C174" t="str">
            <v>EMPRESA GRAFICA LA PLUMA DE ORO E.I.R.L.</v>
          </cell>
        </row>
        <row r="175">
          <cell r="B175">
            <v>20486039982</v>
          </cell>
          <cell r="C175" t="str">
            <v>SANGAMOTORS E.I.R.L.</v>
          </cell>
        </row>
        <row r="176">
          <cell r="B176">
            <v>20393268680</v>
          </cell>
          <cell r="C176" t="str">
            <v>REPUESTOS &amp; SERVICIOS JL EIRL</v>
          </cell>
        </row>
        <row r="177">
          <cell r="B177">
            <v>20568819056</v>
          </cell>
          <cell r="C177" t="str">
            <v>CORPORACION ARAUCO SOCIEDAD COMERCIAL DE RESPONSABILIDAD LIMITADA - CORPORACION ARAUCO S.R.L.</v>
          </cell>
        </row>
        <row r="178">
          <cell r="B178">
            <v>20573301715</v>
          </cell>
          <cell r="C178" t="str">
            <v>CASCOS FORRADOS PERICO S.A.C</v>
          </cell>
        </row>
        <row r="179">
          <cell r="B179">
            <v>20545952808</v>
          </cell>
          <cell r="C179" t="str">
            <v>INVERSIONES ESTRELLA RADIANTE EMPRESA INDIVIDUAL DE RESPONSABILIDAD LIMITADA - INVERSIONES ESTRELLA</v>
          </cell>
        </row>
        <row r="180">
          <cell r="B180">
            <v>20512452451</v>
          </cell>
          <cell r="C180" t="str">
            <v>DELICIAS DEL ORIENTE E.I.R.L.</v>
          </cell>
        </row>
        <row r="181">
          <cell r="B181">
            <v>20523880749</v>
          </cell>
          <cell r="C181" t="str">
            <v>IA CONTACTORS S.A.C.</v>
          </cell>
        </row>
        <row r="182">
          <cell r="B182">
            <v>10103515519</v>
          </cell>
          <cell r="C182" t="str">
            <v>CISNEROS,SALAZAR,LIZZIE,LENKA</v>
          </cell>
        </row>
        <row r="183">
          <cell r="B183">
            <v>20505365217</v>
          </cell>
          <cell r="C183" t="str">
            <v>EMPRESA DE TRANSPORTES Y TURISMO RARAZ S.A.C.</v>
          </cell>
        </row>
        <row r="184">
          <cell r="B184">
            <v>10209844341</v>
          </cell>
          <cell r="C184" t="str">
            <v>HUACAYO,CONDE,ELIAS</v>
          </cell>
        </row>
        <row r="185">
          <cell r="B185">
            <v>10210138787</v>
          </cell>
          <cell r="C185" t="str">
            <v>RODRIGUEZ,OLIVARES,ALFREDO,ANTONIO</v>
          </cell>
        </row>
        <row r="186">
          <cell r="B186">
            <v>20603851171</v>
          </cell>
          <cell r="C186" t="str">
            <v>J&amp;J RENATO E.I.R.L.</v>
          </cell>
        </row>
        <row r="187">
          <cell r="B187">
            <v>20602481540</v>
          </cell>
          <cell r="C187" t="str">
            <v>CITV REVISIONES TECNICAS VTA S.A.C</v>
          </cell>
        </row>
        <row r="188">
          <cell r="B188">
            <v>10708371233</v>
          </cell>
          <cell r="C188" t="str">
            <v>VASQUEZ,ALANYA,ALEKSANDER,JOSEPH</v>
          </cell>
        </row>
        <row r="189">
          <cell r="B189">
            <v>20486767236</v>
          </cell>
          <cell r="C189" t="str">
            <v>NEGOCIACIONES NAELA E.I.R.L.</v>
          </cell>
        </row>
        <row r="190">
          <cell r="B190">
            <v>20100041520</v>
          </cell>
          <cell r="C190" t="str">
            <v>EXIMPORT DISTRIBUIDORES DEL PERU S.A.</v>
          </cell>
        </row>
        <row r="191">
          <cell r="B191">
            <v>20568051506</v>
          </cell>
          <cell r="C191" t="str">
            <v>ESGASMAR E.I.R.L.</v>
          </cell>
        </row>
        <row r="192">
          <cell r="B192">
            <v>20112401351</v>
          </cell>
          <cell r="C192" t="str">
            <v>INVERSIONES E INDUSTRIAS MIRFER S.A.C.</v>
          </cell>
        </row>
        <row r="193">
          <cell r="B193">
            <v>10105031373</v>
          </cell>
          <cell r="C193" t="str">
            <v>MIRANDA,AGUIRRE,JESUS,DENNIS</v>
          </cell>
        </row>
        <row r="194">
          <cell r="B194">
            <v>20512528458</v>
          </cell>
          <cell r="C194" t="str">
            <v>SHALOM EMPRESARIAL S.A.C.</v>
          </cell>
        </row>
        <row r="195">
          <cell r="B195">
            <v>10453832690</v>
          </cell>
          <cell r="C195" t="str">
            <v>CALDERON,FERNANDEZ,SARA,JUDITH</v>
          </cell>
        </row>
        <row r="196">
          <cell r="B196">
            <v>10200804428</v>
          </cell>
          <cell r="C196" t="str">
            <v>MITMA,HUANQUIS,NOEMI,SILVIA</v>
          </cell>
        </row>
        <row r="197">
          <cell r="B197">
            <v>10719575400</v>
          </cell>
          <cell r="C197" t="str">
            <v>RODRIGUEZ,TAYPE,MARIBEL,DIONISIA</v>
          </cell>
        </row>
        <row r="198">
          <cell r="B198">
            <v>10482942984</v>
          </cell>
          <cell r="C198" t="str">
            <v>PORRAS,URETA,JUSSELY,JULISSA</v>
          </cell>
        </row>
        <row r="199">
          <cell r="B199">
            <v>20601604796</v>
          </cell>
          <cell r="C199" t="str">
            <v>M&amp;A IMPORT MERCHANDISING S.A.C.</v>
          </cell>
        </row>
        <row r="200">
          <cell r="B200">
            <v>10418682545</v>
          </cell>
          <cell r="C200" t="str">
            <v>FERNANDEZ,HERRERA,WENDY,LESLIE</v>
          </cell>
        </row>
        <row r="201">
          <cell r="B201">
            <v>10210060389</v>
          </cell>
          <cell r="C201" t="str">
            <v>VILLAZANA,ROJAS,OSCAR</v>
          </cell>
        </row>
        <row r="202">
          <cell r="B202">
            <v>10206857311</v>
          </cell>
          <cell r="C202" t="str">
            <v>VASQUEZ,VASQUEZ,OFELIA,VICENTA</v>
          </cell>
        </row>
        <row r="203">
          <cell r="B203">
            <v>20100130204</v>
          </cell>
          <cell r="C203" t="str">
            <v>BANCO BBVA PERU</v>
          </cell>
        </row>
        <row r="204">
          <cell r="B204">
            <v>20601411815</v>
          </cell>
          <cell r="C204" t="str">
            <v>MAKIFRIO S.A.C.</v>
          </cell>
        </row>
        <row r="205">
          <cell r="B205">
            <v>20607824666</v>
          </cell>
          <cell r="C205" t="str">
            <v>J&amp;H CASA LINDA E.I.R.L.</v>
          </cell>
        </row>
        <row r="206">
          <cell r="B206">
            <v>10479426819</v>
          </cell>
          <cell r="C206" t="str">
            <v>MERCADO,LLANCO,MAYCKOL,WILLIAMS</v>
          </cell>
        </row>
        <row r="207">
          <cell r="B207">
            <v>10411688904</v>
          </cell>
          <cell r="C207" t="str">
            <v>SANCHEZ,FERRUA,KARINA,SOLEDAD</v>
          </cell>
        </row>
        <row r="208">
          <cell r="B208">
            <v>20524888930</v>
          </cell>
          <cell r="C208" t="str">
            <v>VIC TECHNOLOGY SERVICE S.A.C.</v>
          </cell>
        </row>
        <row r="209">
          <cell r="B209">
            <v>10722422231</v>
          </cell>
          <cell r="C209" t="str">
            <v>ELIAS,SOLIS,VICTOR,ANDRES</v>
          </cell>
        </row>
        <row r="210">
          <cell r="B210">
            <v>20605377115</v>
          </cell>
          <cell r="C210" t="str">
            <v>CORPORACIÓN FERNANDO´S E.I.R.L.</v>
          </cell>
        </row>
        <row r="211">
          <cell r="B211">
            <v>20507614109</v>
          </cell>
          <cell r="C211" t="str">
            <v>SAN PEDRO CARGO S.A.C.</v>
          </cell>
        </row>
        <row r="212">
          <cell r="B212">
            <v>10704234762</v>
          </cell>
          <cell r="C212" t="str">
            <v>MENDOZA OSCCO ALFONSO</v>
          </cell>
        </row>
        <row r="213">
          <cell r="B213">
            <v>20498189637</v>
          </cell>
          <cell r="C213" t="str">
            <v> AREQUIPA EXPRESO MARVISUR EIRL</v>
          </cell>
        </row>
        <row r="214">
          <cell r="B214">
            <v>10207210850</v>
          </cell>
          <cell r="C214" t="str">
            <v>LANDEO FLORES FLOR DE MARIA</v>
          </cell>
        </row>
        <row r="215">
          <cell r="B215">
            <v>10209953892</v>
          </cell>
          <cell r="C215" t="str">
            <v>LLANCO MARTINEZ JHON ALEX</v>
          </cell>
        </row>
        <row r="216">
          <cell r="B216">
            <v>20541583433</v>
          </cell>
          <cell r="C216" t="str">
            <v>VIDRIERIA SELVA E.I.R.L.</v>
          </cell>
        </row>
        <row r="217">
          <cell r="B217">
            <v>10463070089</v>
          </cell>
          <cell r="C217" t="str">
            <v>MOYA SAMANIEGO JHENSIS KAN</v>
          </cell>
        </row>
        <row r="218">
          <cell r="B218">
            <v>20600509056</v>
          </cell>
          <cell r="C218" t="str">
            <v>FULL INFOTECH E.I.R.L.</v>
          </cell>
        </row>
        <row r="219">
          <cell r="B219">
            <v>10209765484</v>
          </cell>
          <cell r="C219" t="str">
            <v>CONTRERAS RUEDA PEDRO</v>
          </cell>
        </row>
        <row r="220">
          <cell r="B220">
            <v>10411143937</v>
          </cell>
          <cell r="C220" t="str">
            <v>ZEA SILVA VLADIMIR</v>
          </cell>
        </row>
        <row r="221">
          <cell r="B221">
            <v>10417193150</v>
          </cell>
          <cell r="C221" t="str">
            <v>VILA TORRES NILSON WILLIAM</v>
          </cell>
        </row>
        <row r="222">
          <cell r="B222">
            <v>20606603933</v>
          </cell>
          <cell r="C222" t="str">
            <v> CONSTRUCTORA Y CONSULTORA ARAUCO FLORES SAC</v>
          </cell>
        </row>
        <row r="223">
          <cell r="B223">
            <v>20565493231</v>
          </cell>
          <cell r="C223" t="str">
            <v>GRUPO EMPRESARIAL E INVERSIONES NAVARRO SOCIEDAD ANONIMA CERRADA</v>
          </cell>
        </row>
        <row r="224">
          <cell r="B224">
            <v>10209765107</v>
          </cell>
          <cell r="C224" t="str">
            <v>CONTRERAS VICTORIO IDA ISABEL</v>
          </cell>
        </row>
        <row r="225">
          <cell r="B225">
            <v>20609260859</v>
          </cell>
          <cell r="C225" t="str">
            <v>CPB SERVICIOS MULTIPLES SOCIEDAD ANONIMA CERRADA</v>
          </cell>
        </row>
        <row r="226">
          <cell r="B226">
            <v>20602574823</v>
          </cell>
          <cell r="C226" t="str">
            <v>PETROLNASCA S.R.L.</v>
          </cell>
        </row>
        <row r="227">
          <cell r="B227">
            <v>20600226925</v>
          </cell>
          <cell r="C227" t="str">
            <v>SURTIDORES &amp; INVERSIONES JUNIOR'S E.I.R.L.</v>
          </cell>
        </row>
        <row r="228">
          <cell r="B228">
            <v>10414983338</v>
          </cell>
          <cell r="C228" t="str">
            <v>CARDENAS TAIPE NOEMI DEYSI</v>
          </cell>
        </row>
        <row r="229">
          <cell r="B229">
            <v>20601198691</v>
          </cell>
          <cell r="C229" t="str">
            <v>FERRETERIA E INVERSIONES SAN PEDRO E.I.R.L.</v>
          </cell>
        </row>
        <row r="230">
          <cell r="B230">
            <v>20605297324</v>
          </cell>
          <cell r="C230" t="str">
            <v>CORPORACION &amp; INVERSIONES AGROECOLOGIA MUNDO VERDE E.I.R.L.</v>
          </cell>
        </row>
        <row r="231">
          <cell r="B231">
            <v>20100210909</v>
          </cell>
          <cell r="C231" t="str">
            <v>LA POSITIVA SEGUROS Y REASEGUROS S.A.A.</v>
          </cell>
        </row>
        <row r="232">
          <cell r="B232">
            <v>20134572630</v>
          </cell>
          <cell r="C232" t="str">
            <v>SERVICENTRO ORTEGA E.I.R.L.</v>
          </cell>
        </row>
        <row r="233">
          <cell r="B233">
            <v>10209965459</v>
          </cell>
          <cell r="C233" t="str">
            <v>MENDOZA TORRES JANETH GIOVANNA</v>
          </cell>
        </row>
        <row r="234">
          <cell r="B234">
            <v>20605909371</v>
          </cell>
          <cell r="C234" t="str">
            <v>LUDO 360 S.A.C.</v>
          </cell>
        </row>
        <row r="235">
          <cell r="B235">
            <v>10447422951</v>
          </cell>
          <cell r="C235" t="str">
            <v>ZEGARRA AZAÑERO JORGE KEY</v>
          </cell>
        </row>
        <row r="236">
          <cell r="B236">
            <v>20568369000</v>
          </cell>
          <cell r="C236" t="str">
            <v xml:space="preserve">INFORMATICA Y GRAFICA EMPRESA INDIVIDUAL DE RESPONSABILIDAD LIMITADA - INFOGRAFIC E.I.R.L.          </v>
          </cell>
        </row>
        <row r="237">
          <cell r="B237">
            <v>20432405525</v>
          </cell>
          <cell r="C237" t="str">
            <v>PROCESOS DE MEDIOS DE PAGO S.A.</v>
          </cell>
        </row>
        <row r="238">
          <cell r="B238">
            <v>10712058159</v>
          </cell>
          <cell r="C238" t="str">
            <v>HUAYTA BRAVO LEONOR LEONILDA</v>
          </cell>
        </row>
        <row r="239">
          <cell r="B239">
            <v>20610269720</v>
          </cell>
          <cell r="C239" t="str">
            <v>TODO TECNOLOGIA SINOTRACK E.I.R.L.</v>
          </cell>
        </row>
        <row r="240">
          <cell r="B240">
            <v>20606134046</v>
          </cell>
          <cell r="C240" t="str">
            <v>BLI INTERNATIONAL EMPRESA INDIVIDUAL DE RESPONSABILIDAD LIMITADA</v>
          </cell>
        </row>
        <row r="241">
          <cell r="B241">
            <v>20601740525</v>
          </cell>
          <cell r="C241" t="str">
            <v>CLUB CELL TELECOMUNICACIONES E.I.R.L.</v>
          </cell>
        </row>
        <row r="242">
          <cell r="B242">
            <v>20607840785</v>
          </cell>
          <cell r="C242" t="str">
            <v> "NEGOCIOS &amp; SERVICIOS DE COMIDA RAPIDA SHADDAY EMPRESA INDIVIDUAL DE RESPONSABILIDAD LIMITADA"</v>
          </cell>
        </row>
        <row r="243">
          <cell r="B243" t="str">
            <v>20568720271 </v>
          </cell>
          <cell r="C243" t="str">
            <v>TRABOT S.A.C.</v>
          </cell>
        </row>
        <row r="244">
          <cell r="B244">
            <v>20600250486</v>
          </cell>
          <cell r="C244" t="str">
            <v> EMPRESA DE TRANSPORTES Y TURISMO SELVA CENTRAL CHUCO E.I.R.L.</v>
          </cell>
        </row>
        <row r="245">
          <cell r="B245">
            <v>10206627463</v>
          </cell>
          <cell r="C245" t="str">
            <v>BONIEVE HUAMAN DINA MARCELA</v>
          </cell>
        </row>
        <row r="246">
          <cell r="B246">
            <v>20232236273</v>
          </cell>
          <cell r="C246" t="str">
            <v>EMP CONCESIONARIA DE ELECT DE UCAYALI SA</v>
          </cell>
        </row>
        <row r="247">
          <cell r="B247">
            <v>20608557424</v>
          </cell>
          <cell r="C247" t="str">
            <v>CHEXPRESS EMPRESARIAL S.A.C.</v>
          </cell>
        </row>
        <row r="248">
          <cell r="B248">
            <v>10210142865</v>
          </cell>
          <cell r="C248" t="str">
            <v> VELASQUEZ VICENTE LIZ YANETH</v>
          </cell>
        </row>
        <row r="249">
          <cell r="B249">
            <v>10409035839</v>
          </cell>
          <cell r="C249" t="str">
            <v>TORRES SOLORZANO YURI WILLEAM</v>
          </cell>
        </row>
        <row r="250">
          <cell r="B250">
            <v>20608834096</v>
          </cell>
          <cell r="C250" t="str">
            <v>DOUZE SIGNAL SOLUTIONS S.A.C.</v>
          </cell>
        </row>
        <row r="251">
          <cell r="B251">
            <v>20568404948</v>
          </cell>
          <cell r="C251" t="str">
            <v>REPRESENTACIONES ANTOJITOS S.A.C.</v>
          </cell>
        </row>
        <row r="252">
          <cell r="B252" t="str">
            <v>20568801432 </v>
          </cell>
          <cell r="C252" t="str">
            <v>EMPRESA DE TRANSPORTES TURISMO HUARIBAMBA S.R.L.</v>
          </cell>
        </row>
        <row r="253">
          <cell r="B253">
            <v>10801504723</v>
          </cell>
          <cell r="C253" t="str">
            <v>QUISPE UNOYSONCCO HAZAEL</v>
          </cell>
        </row>
        <row r="254">
          <cell r="B254">
            <v>10712327419</v>
          </cell>
          <cell r="C254" t="str">
            <v>ESTEBAN BARZOLA ROSMERY CINTIA</v>
          </cell>
        </row>
        <row r="255">
          <cell r="B255" t="str">
            <v>10457685365 </v>
          </cell>
          <cell r="C255" t="str">
            <v>HUAMANI LOPEZ BRYAN MIGUEL</v>
          </cell>
        </row>
        <row r="256">
          <cell r="B256">
            <v>20609733358</v>
          </cell>
          <cell r="C256" t="str">
            <v>ASOCIACION DE TRANSPORTISTAS SOL DEL VRAEM - PANGOA</v>
          </cell>
        </row>
        <row r="257">
          <cell r="B257">
            <v>10324812551</v>
          </cell>
          <cell r="C257" t="str">
            <v>CRISPIN ISIDRO ALEJANDRINA MARGARITA</v>
          </cell>
        </row>
        <row r="258">
          <cell r="B258">
            <v>20171714371</v>
          </cell>
          <cell r="C258" t="str">
            <v>MUNICIPALIDAD PROVINCIAL DE ATALAYA</v>
          </cell>
        </row>
        <row r="259">
          <cell r="B259">
            <v>20536557858</v>
          </cell>
          <cell r="C259" t="str">
            <v>HOMECENTERS PERUANOS S.A.</v>
          </cell>
        </row>
        <row r="260">
          <cell r="B260">
            <v>20112072277</v>
          </cell>
          <cell r="C260" t="str">
            <v>GUHASA DISTRIBUCIONES Y REPRESENTACIONES S.A.C.</v>
          </cell>
        </row>
        <row r="261">
          <cell r="B261">
            <v>20600095235</v>
          </cell>
          <cell r="C261" t="str">
            <v>TRANSPORTES MOLINA PERU S.A.C</v>
          </cell>
        </row>
        <row r="262">
          <cell r="B262">
            <v>20486949938</v>
          </cell>
          <cell r="C262" t="str">
            <v>EMPRESA DE TRANSPORTES SORCAR SOCIEDAD COMERCIAL DE RESPONSABILIDAD LIMITADA</v>
          </cell>
        </row>
        <row r="263">
          <cell r="B263">
            <v>10459656583</v>
          </cell>
          <cell r="C263" t="str">
            <v>ATOC ORTEGA ISAAC MICHAEL</v>
          </cell>
        </row>
        <row r="264">
          <cell r="B264">
            <v>10210138612</v>
          </cell>
          <cell r="C264" t="str">
            <v>HINOSTROZA FLORES ALVARO JOSELITO</v>
          </cell>
        </row>
        <row r="265">
          <cell r="B265">
            <v>10419754957</v>
          </cell>
          <cell r="C265" t="str">
            <v>ENCALADA YAHUANA FLOR TEABER</v>
          </cell>
        </row>
        <row r="266">
          <cell r="B266">
            <v>20600493044</v>
          </cell>
          <cell r="C266" t="str">
            <v>ELYON CORPORACION DC &amp; L S.A.C.</v>
          </cell>
        </row>
        <row r="267">
          <cell r="B267" t="str">
            <v>20512002090 </v>
          </cell>
          <cell r="C267" t="str">
            <v>MIFARMA S.A.C.</v>
          </cell>
        </row>
        <row r="268">
          <cell r="B268" t="str">
            <v>20486785307 </v>
          </cell>
          <cell r="C268" t="str">
            <v>ESTACION DE SERVICIOS CHRISMAR EIRL.</v>
          </cell>
        </row>
        <row r="269">
          <cell r="B269">
            <v>20605512373</v>
          </cell>
          <cell r="C269" t="str">
            <v>INDUSTRIAS METALICAS METAL PARTS PERU E.I.R.L.</v>
          </cell>
        </row>
        <row r="270">
          <cell r="B270">
            <v>10458652622</v>
          </cell>
          <cell r="C270" t="str">
            <v>ALANIA PEREZ CYNTHIA MERCEDES</v>
          </cell>
        </row>
        <row r="271">
          <cell r="B271">
            <v>20601253608</v>
          </cell>
          <cell r="C271" t="str">
            <v>GASOCENTRO LLACTA SOCIEDAD ANONIMA CERRADA - GASOCENTRO LLACTA S.A.C</v>
          </cell>
        </row>
        <row r="272">
          <cell r="B272">
            <v>20512002090</v>
          </cell>
          <cell r="C272" t="str">
            <v>MIFARMA S.A.C.</v>
          </cell>
        </row>
        <row r="273">
          <cell r="B273">
            <v>20604194211</v>
          </cell>
          <cell r="C273" t="str">
            <v>MULTISERVICIOS COMPANY SELVA SOCIEDAD ANÓNIMA CERRADA</v>
          </cell>
        </row>
        <row r="274">
          <cell r="B274">
            <v>20603284080</v>
          </cell>
          <cell r="C274" t="str">
            <v>COBERTORES PERU S.A.C.</v>
          </cell>
        </row>
        <row r="275">
          <cell r="B275">
            <v>10210033896</v>
          </cell>
          <cell r="C275" t="str">
            <v>ANDIA ARAUJO DINA AMELIA</v>
          </cell>
        </row>
        <row r="276">
          <cell r="B276">
            <v>10730826813</v>
          </cell>
          <cell r="C276" t="str">
            <v>ENRIQUE ROMERO CAROL YULY</v>
          </cell>
        </row>
        <row r="277">
          <cell r="B277">
            <v>20608699351</v>
          </cell>
          <cell r="C277" t="str">
            <v>GASOCENTRO SATIPO EMPRESA INDIVIDUAL DE RESPONSABILIDAD LIMITADA</v>
          </cell>
        </row>
        <row r="278">
          <cell r="B278">
            <v>10207099720</v>
          </cell>
          <cell r="C278" t="str">
            <v>OLARTE DE LOPEZ JULIA</v>
          </cell>
        </row>
        <row r="279">
          <cell r="B279">
            <v>20602945333</v>
          </cell>
          <cell r="C279" t="str">
            <v>MARAVI EXPRESS S.A.C.</v>
          </cell>
        </row>
        <row r="280">
          <cell r="B280">
            <v>20603544171</v>
          </cell>
          <cell r="C280" t="str">
            <v>TURISMO PERLA EXPRESS E.I.R.L.</v>
          </cell>
        </row>
        <row r="281">
          <cell r="B281">
            <v>20573148429</v>
          </cell>
          <cell r="C281" t="str">
            <v>T S J MOTOR´S RACING HUANUCO EIRL</v>
          </cell>
        </row>
        <row r="282">
          <cell r="B282" t="str">
            <v>10209775480 </v>
          </cell>
          <cell r="C282" t="str">
            <v>EGOAVIL CAMACUARI PABLO JULIAN</v>
          </cell>
        </row>
        <row r="283">
          <cell r="B283" t="str">
            <v>20467534026 </v>
          </cell>
          <cell r="C283" t="str">
            <v>AMERICA MOVIL PERU S.A.C.</v>
          </cell>
        </row>
        <row r="284">
          <cell r="B284">
            <v>20547903171</v>
          </cell>
          <cell r="C284" t="str">
            <v>EMPRESA DE TRANSPORTES EXPRESO SELVA E.I.R.L.</v>
          </cell>
        </row>
        <row r="285">
          <cell r="B285">
            <v>20609373084</v>
          </cell>
          <cell r="C285" t="str">
            <v>REVISION TECNICA VEHICULAR – ROCA FUERTE SAC</v>
          </cell>
        </row>
        <row r="286">
          <cell r="B286">
            <v>20601561311</v>
          </cell>
          <cell r="C286" t="str">
            <v>IMPORTACIONES MACURI E.I.R.L.</v>
          </cell>
        </row>
        <row r="287">
          <cell r="B287">
            <v>10053928116</v>
          </cell>
          <cell r="C287" t="str">
            <v>CORTEZ ALOMIA LUIS ENRIQUE</v>
          </cell>
        </row>
        <row r="288">
          <cell r="B288">
            <v>20458940887</v>
          </cell>
          <cell r="C288" t="str">
            <v>TITANIC REPRESENTACIONES Y SERVICIOS S.R.L.</v>
          </cell>
        </row>
        <row r="289">
          <cell r="B289">
            <v>10224889173</v>
          </cell>
          <cell r="C289" t="str">
            <v>CARHUAMACA VILLAVICENCIO VICTOR</v>
          </cell>
        </row>
        <row r="290">
          <cell r="B290">
            <v>20609234611</v>
          </cell>
          <cell r="C290" t="str">
            <v>INVERSIONES MIRANRROS EMPRESA INDIVIDUAL DE RESPONSABILIDAD LIMITADA</v>
          </cell>
        </row>
        <row r="291">
          <cell r="B291">
            <v>20541514466</v>
          </cell>
          <cell r="C291" t="str">
            <v>FIVCO MAQUINAS &amp; HERRAMIENTAS SOCIEDAD ANONIMA CERRADA</v>
          </cell>
        </row>
        <row r="292">
          <cell r="B292">
            <v>10701499412</v>
          </cell>
          <cell r="C292" t="str">
            <v>MENDIZABAL LIZARBE JOHANN ALEXANDER</v>
          </cell>
        </row>
        <row r="293">
          <cell r="B293">
            <v>20601297991</v>
          </cell>
          <cell r="C293" t="str">
            <v>FERRECOLOR ECONOMICO S.A.C.</v>
          </cell>
        </row>
        <row r="294">
          <cell r="B294">
            <v>20569029610</v>
          </cell>
          <cell r="C294" t="str">
            <v>EL ANCLA RESORT S.A.C.</v>
          </cell>
        </row>
        <row r="295">
          <cell r="B295">
            <v>20600500881</v>
          </cell>
          <cell r="C295" t="str">
            <v>ESTACION DE SERVICIOS Y GASOCENTRO ANGULO S.A.C.</v>
          </cell>
        </row>
        <row r="296">
          <cell r="B296">
            <v>20518164717</v>
          </cell>
          <cell r="C296" t="str">
            <v>IMPORTADORA DISTRIBUIDORA MABEL ANDREA SOCIEDAD ANONIMA CERRADA</v>
          </cell>
        </row>
        <row r="297">
          <cell r="B297">
            <v>20604736375</v>
          </cell>
          <cell r="C297" t="str">
            <v> RM CARGO1 E.I.R.L.</v>
          </cell>
        </row>
        <row r="298">
          <cell r="B298">
            <v>10469834986</v>
          </cell>
          <cell r="C298" t="str">
            <v>UNCHUPAICO LAUREANO DEISY LUZ</v>
          </cell>
        </row>
        <row r="299">
          <cell r="B299">
            <v>20606082119</v>
          </cell>
          <cell r="C299" t="str">
            <v>CORPORACION PIRKA S.A.C.</v>
          </cell>
        </row>
        <row r="300">
          <cell r="B300">
            <v>20100047218</v>
          </cell>
          <cell r="C300" t="str">
            <v>BANCO DE CREDITO DEL PERU</v>
          </cell>
        </row>
        <row r="301">
          <cell r="B301">
            <v>20341198217</v>
          </cell>
          <cell r="C301" t="str">
            <v>COMPAñIA PERUANA DE MEDIOS DE PAGO S.A.C</v>
          </cell>
        </row>
        <row r="302">
          <cell r="B302">
            <v>10061702071</v>
          </cell>
          <cell r="C302" t="str">
            <v>CORAL FLORES IVAN MARTIN</v>
          </cell>
        </row>
        <row r="303">
          <cell r="B303">
            <v>20600220676</v>
          </cell>
          <cell r="C303" t="str">
            <v> INVERSIONES INGA &amp; VICTORIO E.I.R.L.</v>
          </cell>
        </row>
        <row r="304">
          <cell r="B304">
            <v>10200704997</v>
          </cell>
          <cell r="C304" t="str">
            <v>CRUZ CONTRERAS ALFREDO</v>
          </cell>
        </row>
        <row r="305">
          <cell r="B305">
            <v>20602659861</v>
          </cell>
          <cell r="C305" t="str">
            <v>EL PADRINAZO'S S.R.L.</v>
          </cell>
        </row>
        <row r="306">
          <cell r="B306" t="str">
            <v>20230072311 </v>
          </cell>
          <cell r="C306" t="str">
            <v>EMPRESA SERV TURISTICOS HUANCAMAYU EIRL</v>
          </cell>
        </row>
        <row r="307">
          <cell r="B307" t="str">
            <v>20611541466 </v>
          </cell>
          <cell r="C307" t="str">
            <v>GRUPO CARDENAS MEDRANO S.A.C.</v>
          </cell>
        </row>
        <row r="308">
          <cell r="B308">
            <v>20610466771</v>
          </cell>
          <cell r="C308" t="str">
            <v>DISTRIBUIDORA MAYTA E.I.R.L.</v>
          </cell>
        </row>
        <row r="309">
          <cell r="B309">
            <v>20130200789</v>
          </cell>
          <cell r="C309" t="str">
            <v>CMAC - HUANCAYO S.A.</v>
          </cell>
        </row>
        <row r="310">
          <cell r="B310">
            <v>20467737300</v>
          </cell>
          <cell r="C310" t="str">
            <v>CIA DE SERVICIOS CONEXOS EXPRESSNET SAC</v>
          </cell>
        </row>
        <row r="311">
          <cell r="B311">
            <v>20332970411</v>
          </cell>
          <cell r="C311" t="str">
            <v>PACIFICO COMPAÑIA DE SEGUROS Y REASEGUROS</v>
          </cell>
        </row>
        <row r="312">
          <cell r="B312" t="str">
            <v>10468373047 </v>
          </cell>
          <cell r="C312" t="str">
            <v>ECHEGARAY VERA SHEYLA GERALDINE</v>
          </cell>
        </row>
        <row r="313">
          <cell r="B313">
            <v>20610016546</v>
          </cell>
          <cell r="C313" t="str">
            <v>AGANCO EMPRESA INDIVIDUAL DE RESPONSABILIDAD LIMITADA</v>
          </cell>
        </row>
        <row r="314">
          <cell r="B314">
            <v>20127765279</v>
          </cell>
          <cell r="C314" t="str">
            <v>COESTI S.A.</v>
          </cell>
        </row>
        <row r="315">
          <cell r="B315">
            <v>20503840121</v>
          </cell>
          <cell r="C315" t="str">
            <v>REPSOL COMERCIAL SAC</v>
          </cell>
        </row>
        <row r="316">
          <cell r="B316">
            <v>20609448360</v>
          </cell>
          <cell r="C316" t="str">
            <v> L &amp; E SAN FRANCISCO SOCIEDAD DE RESPONSABILIDAD LIMITADA</v>
          </cell>
        </row>
        <row r="317">
          <cell r="B317">
            <v>10209841440</v>
          </cell>
          <cell r="C317" t="str">
            <v>LEANDRO VASQUEZ VDA DE LAZO YOLANDA MAURICIA</v>
          </cell>
        </row>
        <row r="318">
          <cell r="B318">
            <v>20112273922</v>
          </cell>
          <cell r="C318" t="str">
            <v>TIENDAS DEL MEJORAMIENTO DEL HOGAR S.A.</v>
          </cell>
        </row>
        <row r="319">
          <cell r="B319">
            <v>20607868515</v>
          </cell>
          <cell r="C319" t="str">
            <v>TRANSPORTES ERATUR S.A.C.</v>
          </cell>
        </row>
        <row r="320">
          <cell r="B320">
            <v>20608564391</v>
          </cell>
          <cell r="C320" t="str">
            <v>ASIA POWER TOOLS IMPORT S.A.C.</v>
          </cell>
        </row>
        <row r="321">
          <cell r="B321">
            <v>20444074770</v>
          </cell>
          <cell r="C321" t="str">
            <v>EMPRESA DE TRANSPORTES UNION SOCIEDAD COMERCIAL DE RESPONSABILIDAD LIMITADA</v>
          </cell>
        </row>
        <row r="322">
          <cell r="B322">
            <v>20611604956</v>
          </cell>
          <cell r="C322" t="str">
            <v>IMPORTADORA JR S.A.C.</v>
          </cell>
        </row>
        <row r="323">
          <cell r="B323">
            <v>20516908263</v>
          </cell>
          <cell r="C323" t="str">
            <v>INVERSIONES SILVA HUAMAN ELEVADORES S.A.C. - INSHE S.A.C.</v>
          </cell>
        </row>
        <row r="324">
          <cell r="B324">
            <v>20610959432</v>
          </cell>
          <cell r="C324" t="str">
            <v>SERVICENTRO CRISNEYA EMPRESA INDIVIDUAL DE RESPONSABILIDAD LIMITADA</v>
          </cell>
        </row>
        <row r="325">
          <cell r="B325">
            <v>20609536196</v>
          </cell>
          <cell r="C325" t="str">
            <v>INVERSIONES PETROLUZ S.A.C</v>
          </cell>
        </row>
        <row r="326">
          <cell r="B326" t="str">
            <v>20487213897 </v>
          </cell>
          <cell r="C326" t="str">
            <v>EMPRESA DE TRANSPORTES EXPRESO HUARIBAMBA SOCIEDAD ANONIMA CERRADA - ETE HUARIBAMBA S.A.C.</v>
          </cell>
        </row>
        <row r="327">
          <cell r="B327" t="str">
            <v>10199309825 </v>
          </cell>
          <cell r="C327" t="str">
            <v>CARRION CARRERA LUCIO ARTURO</v>
          </cell>
        </row>
        <row r="328">
          <cell r="B328">
            <v>10295965881</v>
          </cell>
          <cell r="C328" t="str">
            <v>PATIÑO PAREDES VICTOR</v>
          </cell>
        </row>
        <row r="329">
          <cell r="B329">
            <v>10207070098</v>
          </cell>
          <cell r="C329" t="str">
            <v>ROJAS FLORES ELISEO MAXIMO</v>
          </cell>
        </row>
        <row r="330">
          <cell r="B330">
            <v>20600014529</v>
          </cell>
          <cell r="C330" t="str">
            <v>OSPINA FERRETERA S.R.L.</v>
          </cell>
        </row>
        <row r="331">
          <cell r="B331">
            <v>20604975159</v>
          </cell>
          <cell r="C331" t="str">
            <v>CORPORACION CARELI EMPRESA INDIVIDUAL DE RESPONSABILIDAD LIMITADA - CORPORACION CARELI E.I.R.L.</v>
          </cell>
        </row>
        <row r="332">
          <cell r="B332">
            <v>20601744024</v>
          </cell>
          <cell r="C332" t="str">
            <v>TRANSPORTES MAGDITA S.R.L.</v>
          </cell>
        </row>
        <row r="333">
          <cell r="B333">
            <v>20608879171</v>
          </cell>
          <cell r="C333" t="str">
            <v>CORPORACION AZAMI R.H. S.A.C.</v>
          </cell>
        </row>
        <row r="334">
          <cell r="B334">
            <v>20611910887</v>
          </cell>
          <cell r="C334" t="str">
            <v>CORPORACION UNIVERSAL M&amp;F SOCIEDAD ANONIMA CERRADA</v>
          </cell>
        </row>
        <row r="335">
          <cell r="B335" t="str">
            <v>10460368788 </v>
          </cell>
          <cell r="C335" t="str">
            <v>LUJAN BUENDIA OSWALD MICAEL</v>
          </cell>
        </row>
        <row r="336">
          <cell r="B336">
            <v>10235682406</v>
          </cell>
          <cell r="C336" t="str">
            <v> GONZALES CHINCHILLA ROBERT JOHN</v>
          </cell>
        </row>
        <row r="337">
          <cell r="B337">
            <v>20610275720</v>
          </cell>
          <cell r="C337" t="str">
            <v>LAZOS TV JUNIN SOCIEDAD ANONIMA CERRADA</v>
          </cell>
        </row>
        <row r="338">
          <cell r="B338" t="str">
            <v>10444633099 </v>
          </cell>
          <cell r="C338" t="str">
            <v>CORDOVA ROJAS FELIPE JAVIER</v>
          </cell>
        </row>
        <row r="339">
          <cell r="B339">
            <v>10762752447</v>
          </cell>
          <cell r="C339" t="str">
            <v>MAURICIO CENTENO KARINA KETTY</v>
          </cell>
        </row>
        <row r="340">
          <cell r="B340">
            <v>10434045814</v>
          </cell>
          <cell r="C340" t="str">
            <v>PAEZ ECHEVARRIA ANGEL GREGORIO</v>
          </cell>
        </row>
        <row r="341">
          <cell r="B341">
            <v>10780207545</v>
          </cell>
          <cell r="C341" t="str">
            <v>CAPCHA MENESES SHEYLA SHERLY</v>
          </cell>
        </row>
        <row r="342">
          <cell r="B342">
            <v>10106764510</v>
          </cell>
          <cell r="C342" t="str">
            <v>CENTENO GUTIERREZ ALEXANDER</v>
          </cell>
        </row>
        <row r="343">
          <cell r="B343">
            <v>20555530090</v>
          </cell>
          <cell r="C343" t="str">
            <v>COMPAÑIA INCUBADORA DE SOLUCIONES MOVILES S.A. - CISMO S.A.</v>
          </cell>
        </row>
        <row r="344">
          <cell r="B344">
            <v>20607744531</v>
          </cell>
          <cell r="C344" t="str">
            <v>DISTRIBUIDORA TODO AL POR MAYOR NISSI EMPRESA INDIVIDUAL DE RESPONSABILIDAD LIMITADA</v>
          </cell>
        </row>
        <row r="345">
          <cell r="B345">
            <v>10287149358</v>
          </cell>
          <cell r="C345" t="str">
            <v>HUAMAN ICHACCAYA DIOMEDES</v>
          </cell>
        </row>
        <row r="346">
          <cell r="B346">
            <v>10776943041</v>
          </cell>
          <cell r="C346" t="str">
            <v>SUAREZ REYNOSO HAROL SEBASTIAN</v>
          </cell>
        </row>
        <row r="347">
          <cell r="B347">
            <v>20615490548</v>
          </cell>
          <cell r="C347" t="str">
            <v>CORPORACION TOSCANO TECNOLOGY PERÚ SOCIEDAD ANONIMA CERRADA</v>
          </cell>
        </row>
        <row r="348">
          <cell r="B348">
            <v>20609711923</v>
          </cell>
          <cell r="C348" t="str">
            <v>INVERSIONES TACZA CONTRATISTAS GENERALES SOCIEDAD ANONIMA CERRADA</v>
          </cell>
        </row>
        <row r="349">
          <cell r="B349">
            <v>20602642748</v>
          </cell>
          <cell r="C349" t="str">
            <v>MOTO A E.I.R.L.</v>
          </cell>
        </row>
        <row r="350">
          <cell r="B350">
            <v>20432405525</v>
          </cell>
          <cell r="C350" t="str">
            <v>PROCESOS DE MEDIOS DE PAGO S.A.</v>
          </cell>
        </row>
        <row r="351">
          <cell r="B351">
            <v>10759950751</v>
          </cell>
          <cell r="C351" t="str">
            <v>CANALES AQUINO DENNYS MIGUEL</v>
          </cell>
        </row>
        <row r="352">
          <cell r="B352">
            <v>10443042691</v>
          </cell>
          <cell r="C352" t="str">
            <v>ESPINOZA ORTIZ PEDRO LUIS</v>
          </cell>
        </row>
        <row r="353">
          <cell r="B353" t="str">
            <v>20573848161 </v>
          </cell>
          <cell r="C353" t="str">
            <v>PETRO GAS TORRES EMPRESA INDIVIDUAL DE RESPONSABILIDAD LIMITADA</v>
          </cell>
        </row>
        <row r="354">
          <cell r="B354">
            <v>20486020882</v>
          </cell>
          <cell r="C354" t="str">
            <v>GOBIERNO REGIONAL DE HUANCAVELICA</v>
          </cell>
        </row>
        <row r="355">
          <cell r="B355">
            <v>10718803557</v>
          </cell>
          <cell r="C355" t="str">
            <v>GALARZA LEON JUAN CARLOS</v>
          </cell>
        </row>
        <row r="356">
          <cell r="B356">
            <v>20467534026</v>
          </cell>
          <cell r="C356" t="str">
            <v>AMERICA MOVIL PERU S.A.C.</v>
          </cell>
        </row>
        <row r="357">
          <cell r="B357">
            <v>20387152327</v>
          </cell>
          <cell r="C357" t="str">
            <v> TINSA S.A.C.</v>
          </cell>
        </row>
        <row r="358">
          <cell r="B358">
            <v>20447349401</v>
          </cell>
          <cell r="C358" t="str">
            <v>GRIFO RACING E.I.R.L.</v>
          </cell>
        </row>
        <row r="359">
          <cell r="B359">
            <v>20113604248</v>
          </cell>
          <cell r="C359" t="str">
            <v>CMAC PIURA S.A.C.</v>
          </cell>
        </row>
        <row r="360">
          <cell r="B360">
            <v>20610177353</v>
          </cell>
          <cell r="C360" t="str">
            <v>CORPORACION ALEGRIA E HIJOS SOCIEDAD ANONIMA CERRADA</v>
          </cell>
        </row>
        <row r="361">
          <cell r="B361">
            <v>20554211454</v>
          </cell>
          <cell r="C361" t="str">
            <v>INTERNACIONAL CESPEDES S.A.C.</v>
          </cell>
        </row>
        <row r="362">
          <cell r="B362">
            <v>20611417269</v>
          </cell>
          <cell r="C362" t="str">
            <v>CONSTRUCTORA FERROTEK HUANUCO N &amp; A E.I.R.L.</v>
          </cell>
        </row>
        <row r="363">
          <cell r="B363">
            <v>10424115041</v>
          </cell>
          <cell r="C363" t="str">
            <v>QUINTANA REYNOSO SUSAN ANGELA</v>
          </cell>
        </row>
        <row r="364">
          <cell r="B364">
            <v>10205908892</v>
          </cell>
          <cell r="C364" t="str">
            <v>AURIS RODRIGUEZ DIANA</v>
          </cell>
        </row>
        <row r="365">
          <cell r="B365">
            <v>20602109225</v>
          </cell>
          <cell r="C365" t="str">
            <v>SISTEMA ECOLÓGICO INTEGRAL DE TECNOLOGÍAS E INFORMÁTICA SOCIEDAD ANONIMA CERRADA - ECO SITI S.A.C.</v>
          </cell>
        </row>
        <row r="366">
          <cell r="B366">
            <v>20611526572</v>
          </cell>
          <cell r="C366" t="str">
            <v>GRUPO SUKKIE E.I.R.L.</v>
          </cell>
        </row>
        <row r="367">
          <cell r="B367">
            <v>20608936638</v>
          </cell>
          <cell r="C367" t="str">
            <v>ACOSTA INTERNACIONAL EMPRESA INDIVIDUAL DE RESPONSABILIDAD LIMITADA</v>
          </cell>
        </row>
        <row r="368">
          <cell r="B368">
            <v>20602508545</v>
          </cell>
          <cell r="C368" t="str">
            <v>EXPRESO J&amp;F SOCIEDAD COMERCIAL DE RESPONSABILIDAD LIMITADA</v>
          </cell>
        </row>
        <row r="369">
          <cell r="B369">
            <v>20401954831</v>
          </cell>
          <cell r="C369" t="str">
            <v>EMPRESA TRANSPORTES SELVA EXPRESS S.A.</v>
          </cell>
        </row>
        <row r="370">
          <cell r="B370">
            <v>20486118009</v>
          </cell>
          <cell r="C370" t="str">
            <v>EMPRESA DE TRANSPORTES TURISMO JOELITO SOCIEDAD ANONIMA CERRADA</v>
          </cell>
        </row>
        <row r="371">
          <cell r="B371">
            <v>20568968051</v>
          </cell>
          <cell r="C371" t="str">
            <v>AUTOMOVIL SATIPO TOURS S.A.C.</v>
          </cell>
        </row>
        <row r="372">
          <cell r="B372">
            <v>20604475237</v>
          </cell>
          <cell r="C372" t="str">
            <v>MULTISERVICIOS CHINO ALAN S.A.C.</v>
          </cell>
        </row>
        <row r="373">
          <cell r="B373">
            <v>10774243203</v>
          </cell>
          <cell r="C373" t="str">
            <v>CAMPOS ESPIRITU MARIA DEL CARMEN</v>
          </cell>
        </row>
        <row r="374">
          <cell r="B374">
            <v>20606549386</v>
          </cell>
          <cell r="C374" t="str">
            <v>GREAV EMPRESA INDIVIDUAL DE RESPONSABILIDAD LIMITADA</v>
          </cell>
        </row>
        <row r="375">
          <cell r="B375">
            <v>20600512693</v>
          </cell>
          <cell r="C375" t="str">
            <v>EMPRESA DE TRANSPORTE Y SERVICIO MULTIPLE BELTRAN E.I.R.L. - TRANSERBEL E.I.R.L.</v>
          </cell>
        </row>
        <row r="376">
          <cell r="B376">
            <v>10733619207</v>
          </cell>
          <cell r="C376" t="str">
            <v>UNTIVEROS SOLDEVILLA MIGUEL COLIN</v>
          </cell>
        </row>
        <row r="377">
          <cell r="B377">
            <v>10209955861</v>
          </cell>
          <cell r="C377" t="str">
            <v>MAYTA GOMEZ JUAN MESIAS</v>
          </cell>
        </row>
        <row r="378">
          <cell r="B378">
            <v>10461012847</v>
          </cell>
          <cell r="C378" t="str">
            <v>VARGAS CHAVEZ AMALIA DEL PILAR</v>
          </cell>
        </row>
        <row r="379">
          <cell r="B379">
            <v>10464736498</v>
          </cell>
          <cell r="C379" t="str">
            <v>CALDERON FERNANDEZ DILMER RICHARD</v>
          </cell>
        </row>
        <row r="380">
          <cell r="B380">
            <v>20601908752</v>
          </cell>
          <cell r="C380" t="str">
            <v>EXPRESO INTERNACIONAL TURISMO CENTRAL S.A.</v>
          </cell>
        </row>
        <row r="381">
          <cell r="B381">
            <v>20486339510</v>
          </cell>
          <cell r="C381" t="str">
            <v>SERVICIOS CONTABLES Y AUDITORIA INTERNA S.A.</v>
          </cell>
        </row>
        <row r="382">
          <cell r="B382">
            <v>20600049861</v>
          </cell>
          <cell r="C382" t="str">
            <v>GRUPO BASUALDO SOCIEDAD ANONIMA CERRADA</v>
          </cell>
        </row>
        <row r="383">
          <cell r="B383">
            <v>20130200789</v>
          </cell>
          <cell r="C383" t="str">
            <v>CMAC - HUANCAYO S.A.</v>
          </cell>
        </row>
        <row r="384">
          <cell r="B384">
            <v>20568786379</v>
          </cell>
          <cell r="C384" t="str">
            <v>ECOLIFE FUSION S.A.C.</v>
          </cell>
        </row>
        <row r="385">
          <cell r="B385">
            <v>20100118760</v>
          </cell>
          <cell r="C385" t="str">
            <v>DINERS CLUB PERU S A</v>
          </cell>
        </row>
        <row r="386">
          <cell r="B386">
            <v>20319734733</v>
          </cell>
          <cell r="C386" t="str">
            <v>EMPRESA DE TRANSPORTES EXPRESO SANTA ANA S.A.</v>
          </cell>
        </row>
        <row r="387">
          <cell r="B387">
            <v>20605836144</v>
          </cell>
          <cell r="C387" t="str">
            <v>PETRO MAX J.A.C. E.I.R.L.</v>
          </cell>
        </row>
        <row r="388">
          <cell r="B388">
            <v>20611936606</v>
          </cell>
          <cell r="C388" t="str">
            <v>GAS VIVA EMPRESA INDIVIDUAL DE RESPONSABILIDAD LIMITADA</v>
          </cell>
        </row>
        <row r="389">
          <cell r="B389" t="str">
            <v>20613928830 </v>
          </cell>
          <cell r="C389" t="str">
            <v>EE.SS. TORRES EMPRESA INDIVIDUAL DE RESPONSABILIDAD LIMITADA</v>
          </cell>
        </row>
        <row r="390">
          <cell r="B390">
            <v>20613928830</v>
          </cell>
          <cell r="C390" t="str">
            <v>EE.SS. TORRES EMPRESA INDIVIDUAL DE RESPONSABILIDAD LIMITADA</v>
          </cell>
        </row>
        <row r="391">
          <cell r="B391">
            <v>20606198656</v>
          </cell>
          <cell r="C391" t="str">
            <v>GRUPO RODRIGUEZ ALARCON SOCIEDAD COMERCIAL DE RESPONSABILIDAD LIMITADA- GRUPO ROAL S.R.L.</v>
          </cell>
        </row>
        <row r="392">
          <cell r="B392">
            <v>10726508190</v>
          </cell>
          <cell r="C392" t="str">
            <v>ROSALES CAMAC JEFFREY SAMIR</v>
          </cell>
        </row>
        <row r="393">
          <cell r="B393">
            <v>10465499333</v>
          </cell>
          <cell r="C393" t="str">
            <v>CANO EGOAVIL LISETH ESTEFANI</v>
          </cell>
        </row>
        <row r="394">
          <cell r="B394">
            <v>10607553730</v>
          </cell>
          <cell r="C394" t="str">
            <v>SEDANO PISCONTE ARNIE JOSE</v>
          </cell>
        </row>
        <row r="395">
          <cell r="B395">
            <v>10097845668</v>
          </cell>
          <cell r="C395" t="str">
            <v>MACAVILCA BUSTINZA RICARDINA CORAL</v>
          </cell>
        </row>
        <row r="396">
          <cell r="B396">
            <v>10733910921</v>
          </cell>
          <cell r="C396" t="str">
            <v>MADUEÑO HUAMAN LILI CLISSELY</v>
          </cell>
        </row>
        <row r="397">
          <cell r="B397">
            <v>20610275045</v>
          </cell>
          <cell r="C397" t="str">
            <v>ALMA FOOD S.A.C.</v>
          </cell>
        </row>
        <row r="398">
          <cell r="B398">
            <v>20485903811</v>
          </cell>
          <cell r="C398" t="str">
            <v>EMPRESA DE TRANSPORTES ECO TURISTICO SA</v>
          </cell>
        </row>
        <row r="399">
          <cell r="B399">
            <v>20568909128</v>
          </cell>
          <cell r="C399" t="str">
            <v>MESSENGER WORLD E.I.R.L</v>
          </cell>
        </row>
        <row r="400">
          <cell r="B400">
            <v>10412104035</v>
          </cell>
          <cell r="C400" t="str">
            <v>CERDA HIDALGO YESENIA DUSKA</v>
          </cell>
        </row>
        <row r="401">
          <cell r="B401">
            <v>20609348268</v>
          </cell>
          <cell r="C401" t="str">
            <v>CENTRO DE INSPECCION TECNICA VEHICULAR – PERU LIDER SOCIEDAD ANÓNIMA CERRADA</v>
          </cell>
        </row>
        <row r="402">
          <cell r="B402">
            <v>20612090778</v>
          </cell>
          <cell r="C402" t="str">
            <v>CORPORACION HERMANOS G Y E E.I.R.L.</v>
          </cell>
        </row>
        <row r="403">
          <cell r="B403">
            <v>20568685424</v>
          </cell>
          <cell r="C403" t="str">
            <v>VISUAL´S MERCHANDISING S.A.C.</v>
          </cell>
        </row>
        <row r="404">
          <cell r="B404">
            <v>10733892469</v>
          </cell>
          <cell r="C404" t="str">
            <v>TAIPE AYLLON EMILY MARGORY</v>
          </cell>
        </row>
        <row r="405">
          <cell r="B405">
            <v>20609912651</v>
          </cell>
          <cell r="C405" t="str">
            <v>CONSORCIOS Y SERVICIOS GENERALES SALOME SOCIEDAD ANONIMA CERRADA</v>
          </cell>
        </row>
        <row r="406">
          <cell r="B406">
            <v>20508647311</v>
          </cell>
          <cell r="C406" t="str">
            <v>CAFE EL POLO S.A.C.</v>
          </cell>
        </row>
        <row r="407">
          <cell r="B407">
            <v>20611975491</v>
          </cell>
          <cell r="C407" t="str">
            <v>GRUPO VTA S.A.C.</v>
          </cell>
        </row>
        <row r="408">
          <cell r="B408">
            <v>10434454501</v>
          </cell>
          <cell r="C408" t="str">
            <v>PEREZ MARTICORENA LEO DAN</v>
          </cell>
        </row>
        <row r="409">
          <cell r="B409">
            <v>20541377612</v>
          </cell>
          <cell r="C409" t="str">
            <v>SERVICIOS MULTIPLES NINA E.I.R.L.</v>
          </cell>
        </row>
        <row r="410">
          <cell r="B410">
            <v>10446330441</v>
          </cell>
          <cell r="C410" t="str">
            <v> TELLO LIMACHE JUANA</v>
          </cell>
        </row>
        <row r="411">
          <cell r="B411">
            <v>20319194798</v>
          </cell>
          <cell r="C411" t="str">
            <v>EMPRESA RADIODIFUSION NUEVA SENAL EIRLTD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B3"/>
    <pageSetUpPr fitToPage="1"/>
  </sheetPr>
  <dimension ref="A1:AW82"/>
  <sheetViews>
    <sheetView zoomScaleNormal="100" zoomScaleSheetLayoutView="100" workbookViewId="0">
      <pane ySplit="3" topLeftCell="A4" activePane="bottomLeft" state="frozen"/>
      <selection pane="bottomLeft" activeCell="I9" sqref="I9"/>
    </sheetView>
  </sheetViews>
  <sheetFormatPr baseColWidth="10" defaultRowHeight="14.25" x14ac:dyDescent="0.2"/>
  <cols>
    <col min="1" max="1" width="11.7109375" style="3" customWidth="1"/>
    <col min="2" max="2" width="1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67" customWidth="1"/>
    <col min="7" max="7" width="2.85546875" style="6" customWidth="1"/>
    <col min="8" max="8" width="13" style="1" customWidth="1"/>
    <col min="9" max="9" width="27.85546875" style="4" customWidth="1"/>
    <col min="10" max="10" width="3.28515625" style="5" customWidth="1"/>
    <col min="11" max="11" width="2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10.8554687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ht="33" customHeight="1" x14ac:dyDescent="0.2">
      <c r="A1" s="273" t="s">
        <v>0</v>
      </c>
      <c r="B1" s="273" t="s">
        <v>1</v>
      </c>
      <c r="C1" s="262" t="s">
        <v>2</v>
      </c>
      <c r="D1" s="262"/>
      <c r="E1" s="262"/>
      <c r="F1" s="285" t="s">
        <v>6</v>
      </c>
      <c r="G1" s="264" t="s">
        <v>7</v>
      </c>
      <c r="H1" s="264"/>
      <c r="I1" s="264"/>
      <c r="J1" s="276" t="s">
        <v>11</v>
      </c>
      <c r="K1" s="276"/>
      <c r="L1" s="276" t="s">
        <v>14</v>
      </c>
      <c r="M1" s="276"/>
      <c r="N1" s="277" t="s">
        <v>15</v>
      </c>
      <c r="O1" s="277"/>
      <c r="P1" s="278" t="s">
        <v>16</v>
      </c>
      <c r="Q1" s="276" t="s">
        <v>17</v>
      </c>
      <c r="R1" s="276" t="s">
        <v>18</v>
      </c>
      <c r="S1" s="277" t="s">
        <v>19</v>
      </c>
      <c r="T1" s="276" t="s">
        <v>20</v>
      </c>
      <c r="U1" s="276" t="s">
        <v>21</v>
      </c>
      <c r="V1" s="276"/>
      <c r="W1" s="282" t="s">
        <v>23</v>
      </c>
      <c r="X1" s="284" t="s">
        <v>24</v>
      </c>
      <c r="Y1" s="284"/>
      <c r="Z1" s="284"/>
      <c r="AA1" s="284"/>
      <c r="AB1" s="262" t="s">
        <v>28</v>
      </c>
      <c r="AC1" s="274" t="s">
        <v>29</v>
      </c>
      <c r="AD1" s="273" t="s">
        <v>30</v>
      </c>
      <c r="AE1" s="262" t="s">
        <v>31</v>
      </c>
      <c r="AF1" s="263" t="s">
        <v>32</v>
      </c>
      <c r="AG1" s="263" t="s">
        <v>33</v>
      </c>
      <c r="AH1" s="263" t="s">
        <v>34</v>
      </c>
      <c r="AI1" s="263" t="s">
        <v>35</v>
      </c>
      <c r="AJ1" s="263" t="s">
        <v>36</v>
      </c>
      <c r="AK1" s="271" t="s">
        <v>37</v>
      </c>
      <c r="AL1" s="268" t="s">
        <v>38</v>
      </c>
      <c r="AM1" s="268" t="s">
        <v>39</v>
      </c>
      <c r="AN1" s="263" t="s">
        <v>40</v>
      </c>
      <c r="AO1" s="263" t="s">
        <v>41</v>
      </c>
      <c r="AP1" s="265" t="s">
        <v>42</v>
      </c>
      <c r="AQ1" s="263" t="s">
        <v>43</v>
      </c>
      <c r="AR1" s="268" t="s">
        <v>44</v>
      </c>
      <c r="AS1" s="263" t="s">
        <v>45</v>
      </c>
      <c r="AT1" s="262" t="s">
        <v>46</v>
      </c>
      <c r="AU1" s="270" t="s">
        <v>47</v>
      </c>
      <c r="AV1" s="262" t="s">
        <v>48</v>
      </c>
    </row>
    <row r="2" spans="1:49" ht="80.25" customHeight="1" x14ac:dyDescent="0.2">
      <c r="A2" s="273"/>
      <c r="B2" s="273"/>
      <c r="C2" s="262"/>
      <c r="D2" s="262"/>
      <c r="E2" s="262"/>
      <c r="F2" s="285"/>
      <c r="G2" s="264" t="s">
        <v>8</v>
      </c>
      <c r="H2" s="264"/>
      <c r="I2" s="262" t="s">
        <v>10</v>
      </c>
      <c r="J2" s="276"/>
      <c r="K2" s="276"/>
      <c r="L2" s="276"/>
      <c r="M2" s="276"/>
      <c r="N2" s="277"/>
      <c r="O2" s="277"/>
      <c r="P2" s="278"/>
      <c r="Q2" s="276"/>
      <c r="R2" s="276"/>
      <c r="S2" s="277"/>
      <c r="T2" s="276"/>
      <c r="U2" s="276"/>
      <c r="V2" s="276"/>
      <c r="W2" s="282"/>
      <c r="X2" s="284"/>
      <c r="Y2" s="284"/>
      <c r="Z2" s="284"/>
      <c r="AA2" s="284"/>
      <c r="AB2" s="262"/>
      <c r="AC2" s="274"/>
      <c r="AD2" s="273"/>
      <c r="AE2" s="262"/>
      <c r="AF2" s="267"/>
      <c r="AG2" s="267"/>
      <c r="AH2" s="267"/>
      <c r="AI2" s="267"/>
      <c r="AJ2" s="267"/>
      <c r="AK2" s="272"/>
      <c r="AL2" s="269"/>
      <c r="AM2" s="269"/>
      <c r="AN2" s="267"/>
      <c r="AO2" s="267"/>
      <c r="AP2" s="266"/>
      <c r="AQ2" s="267"/>
      <c r="AR2" s="269"/>
      <c r="AS2" s="267"/>
      <c r="AT2" s="262"/>
      <c r="AU2" s="270"/>
      <c r="AV2" s="262"/>
    </row>
    <row r="3" spans="1:49" s="97" customFormat="1" ht="53.25" customHeight="1" x14ac:dyDescent="0.2">
      <c r="A3" s="265"/>
      <c r="B3" s="265"/>
      <c r="C3" s="92" t="s">
        <v>650</v>
      </c>
      <c r="D3" s="92" t="s">
        <v>4</v>
      </c>
      <c r="E3" s="92" t="s">
        <v>5</v>
      </c>
      <c r="F3" s="286"/>
      <c r="G3" s="92" t="s">
        <v>3</v>
      </c>
      <c r="H3" s="93" t="s">
        <v>9</v>
      </c>
      <c r="I3" s="263"/>
      <c r="J3" s="94" t="s">
        <v>12</v>
      </c>
      <c r="K3" s="94" t="s">
        <v>13</v>
      </c>
      <c r="L3" s="94" t="s">
        <v>12</v>
      </c>
      <c r="M3" s="94" t="s">
        <v>13</v>
      </c>
      <c r="N3" s="95" t="s">
        <v>12</v>
      </c>
      <c r="O3" s="95" t="s">
        <v>13</v>
      </c>
      <c r="P3" s="279"/>
      <c r="Q3" s="280"/>
      <c r="R3" s="280"/>
      <c r="S3" s="281"/>
      <c r="T3" s="280"/>
      <c r="U3" s="94" t="s">
        <v>9</v>
      </c>
      <c r="V3" s="94" t="s">
        <v>22</v>
      </c>
      <c r="W3" s="283"/>
      <c r="X3" s="96" t="s">
        <v>25</v>
      </c>
      <c r="Y3" s="92" t="s">
        <v>3</v>
      </c>
      <c r="Z3" s="92" t="s">
        <v>26</v>
      </c>
      <c r="AA3" s="92" t="s">
        <v>27</v>
      </c>
      <c r="AB3" s="263"/>
      <c r="AC3" s="275"/>
      <c r="AD3" s="265"/>
      <c r="AE3" s="263"/>
      <c r="AF3" s="267"/>
      <c r="AG3" s="267"/>
      <c r="AH3" s="267"/>
      <c r="AI3" s="267"/>
      <c r="AJ3" s="267"/>
      <c r="AK3" s="272"/>
      <c r="AL3" s="269"/>
      <c r="AM3" s="269"/>
      <c r="AN3" s="267"/>
      <c r="AO3" s="267"/>
      <c r="AP3" s="266"/>
      <c r="AQ3" s="267"/>
      <c r="AR3" s="269"/>
      <c r="AS3" s="267"/>
      <c r="AT3" s="263"/>
      <c r="AU3" s="268"/>
      <c r="AV3" s="263"/>
    </row>
    <row r="4" spans="1:49" s="45" customFormat="1" ht="15" x14ac:dyDescent="0.25">
      <c r="A4" s="33">
        <v>46021</v>
      </c>
      <c r="B4" s="33"/>
      <c r="C4" s="70" t="s">
        <v>388</v>
      </c>
      <c r="D4" s="48" t="s">
        <v>557</v>
      </c>
      <c r="E4" s="34"/>
      <c r="F4" s="71">
        <v>85617271</v>
      </c>
      <c r="G4" s="70" t="s">
        <v>50</v>
      </c>
      <c r="H4" s="31">
        <v>20129646099</v>
      </c>
      <c r="I4" s="49" t="str">
        <f>IF(H4="","",VLOOKUP(H4,ENTIDAD!$B$2:$C$613,2,0))</f>
        <v>ELECTROCENTRO S.A.</v>
      </c>
      <c r="J4" s="35"/>
      <c r="K4" s="35"/>
      <c r="L4" s="35"/>
      <c r="M4" s="35"/>
      <c r="N4" s="98">
        <f t="shared" ref="N4:N35" si="0">(S4-P4)/1.18</f>
        <v>0</v>
      </c>
      <c r="O4" s="98">
        <f t="shared" ref="O4:O35" si="1">N4*0.18</f>
        <v>0</v>
      </c>
      <c r="P4" s="35">
        <v>604.4</v>
      </c>
      <c r="Q4" s="35"/>
      <c r="R4" s="35"/>
      <c r="S4" s="35">
        <v>604.4</v>
      </c>
      <c r="T4" s="34"/>
      <c r="U4" s="34"/>
      <c r="V4" s="33"/>
      <c r="W4" s="36"/>
      <c r="X4" s="33"/>
      <c r="Y4" s="34"/>
      <c r="Z4" s="34"/>
      <c r="AA4" s="34"/>
      <c r="AB4" s="42" t="s">
        <v>224</v>
      </c>
      <c r="AC4" s="35"/>
      <c r="AD4" s="33">
        <v>46037</v>
      </c>
      <c r="AE4" s="34" t="s">
        <v>465</v>
      </c>
      <c r="AF4" s="19" t="s">
        <v>559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560</v>
      </c>
      <c r="AT4" s="34"/>
      <c r="AU4" s="35"/>
      <c r="AV4" s="34"/>
      <c r="AW4"/>
    </row>
    <row r="5" spans="1:49" s="45" customFormat="1" ht="15" x14ac:dyDescent="0.25">
      <c r="A5" s="13">
        <v>46022</v>
      </c>
      <c r="B5" s="13"/>
      <c r="C5" s="41" t="s">
        <v>388</v>
      </c>
      <c r="D5" s="42" t="s">
        <v>558</v>
      </c>
      <c r="E5" s="14"/>
      <c r="F5" s="63">
        <v>1046898</v>
      </c>
      <c r="G5" s="42" t="s">
        <v>50</v>
      </c>
      <c r="H5" s="31">
        <v>20121876290</v>
      </c>
      <c r="I5" s="43" t="str">
        <f>IF(H5="","",VLOOKUP(H5,ENTIDAD!$B$2:$C$613,2,0))</f>
        <v>ENT.PREST.SERV.SANEAM.SELVA CENTRAL S.A</v>
      </c>
      <c r="J5" s="11"/>
      <c r="K5" s="11"/>
      <c r="L5" s="11"/>
      <c r="M5" s="11"/>
      <c r="N5" s="98">
        <f t="shared" si="0"/>
        <v>0</v>
      </c>
      <c r="O5" s="44">
        <f t="shared" si="1"/>
        <v>0</v>
      </c>
      <c r="P5" s="11">
        <v>45.8</v>
      </c>
      <c r="Q5" s="11"/>
      <c r="R5" s="11"/>
      <c r="S5" s="11">
        <v>45.8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13">
        <v>46053</v>
      </c>
      <c r="AE5" s="14" t="s">
        <v>465</v>
      </c>
      <c r="AF5" s="73" t="s">
        <v>561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562</v>
      </c>
      <c r="AT5" s="14"/>
      <c r="AU5" s="11"/>
      <c r="AV5" s="14"/>
    </row>
    <row r="6" spans="1:49" s="45" customFormat="1" ht="15" x14ac:dyDescent="0.25">
      <c r="A6" s="13">
        <v>46025</v>
      </c>
      <c r="B6" s="13"/>
      <c r="C6" s="41" t="s">
        <v>49</v>
      </c>
      <c r="D6" s="42" t="s">
        <v>294</v>
      </c>
      <c r="E6" s="14"/>
      <c r="F6" s="63">
        <v>116472</v>
      </c>
      <c r="G6" s="42" t="s">
        <v>50</v>
      </c>
      <c r="H6" s="31">
        <v>20568499043</v>
      </c>
      <c r="I6" s="43" t="str">
        <f>IF(H6="","",VLOOKUP(H6,ENTIDAD!$B$2:$C$613,2,0))</f>
        <v>SURTIDORES SAN MIGUEL E.I.R.L.</v>
      </c>
      <c r="J6" s="11"/>
      <c r="K6" s="11"/>
      <c r="L6" s="11"/>
      <c r="M6" s="11"/>
      <c r="N6" s="44">
        <f t="shared" si="0"/>
        <v>0</v>
      </c>
      <c r="O6" s="44">
        <f t="shared" si="1"/>
        <v>0</v>
      </c>
      <c r="P6" s="11">
        <v>100.02</v>
      </c>
      <c r="Q6" s="11"/>
      <c r="R6" s="11"/>
      <c r="S6" s="11">
        <v>100.02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13">
        <v>46025</v>
      </c>
      <c r="AE6" s="14" t="s">
        <v>262</v>
      </c>
      <c r="AF6" s="73" t="s">
        <v>488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487</v>
      </c>
      <c r="AT6" s="14"/>
      <c r="AU6" s="11"/>
      <c r="AV6" s="14"/>
    </row>
    <row r="7" spans="1:49" s="47" customFormat="1" ht="15" x14ac:dyDescent="0.25">
      <c r="A7" s="46">
        <v>46026</v>
      </c>
      <c r="B7" s="13"/>
      <c r="C7" s="41" t="s">
        <v>49</v>
      </c>
      <c r="D7" s="42" t="s">
        <v>292</v>
      </c>
      <c r="E7" s="14"/>
      <c r="F7" s="63">
        <v>133</v>
      </c>
      <c r="G7" s="42" t="s">
        <v>50</v>
      </c>
      <c r="H7" s="31">
        <v>10447422951</v>
      </c>
      <c r="I7" s="43" t="str">
        <f>IF(H7="","",VLOOKUP(H7,ENTIDAD!$B$2:$C$613,2,0))</f>
        <v>ZEGARRA AZAÑERO JORGE KEY</v>
      </c>
      <c r="J7" s="11"/>
      <c r="K7" s="11"/>
      <c r="L7" s="11"/>
      <c r="M7" s="11"/>
      <c r="N7" s="44">
        <f t="shared" si="0"/>
        <v>0</v>
      </c>
      <c r="O7" s="44">
        <f t="shared" si="1"/>
        <v>0</v>
      </c>
      <c r="P7" s="11">
        <v>450</v>
      </c>
      <c r="Q7" s="11"/>
      <c r="R7" s="11"/>
      <c r="S7" s="11">
        <v>450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46">
        <v>46026</v>
      </c>
      <c r="AE7" s="14" t="s">
        <v>465</v>
      </c>
      <c r="AF7" s="19" t="s">
        <v>489</v>
      </c>
      <c r="AG7" s="14"/>
      <c r="AH7" s="14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4" t="s">
        <v>490</v>
      </c>
      <c r="AT7" s="14"/>
      <c r="AU7" s="11"/>
      <c r="AV7" s="14"/>
      <c r="AW7" s="45"/>
    </row>
    <row r="8" spans="1:49" s="45" customFormat="1" ht="14.25" customHeight="1" x14ac:dyDescent="0.25">
      <c r="A8" s="13">
        <v>46027</v>
      </c>
      <c r="B8" s="13"/>
      <c r="C8" s="41" t="s">
        <v>49</v>
      </c>
      <c r="D8" s="42" t="s">
        <v>294</v>
      </c>
      <c r="E8" s="14"/>
      <c r="F8" s="63">
        <v>116533</v>
      </c>
      <c r="G8" s="42" t="s">
        <v>50</v>
      </c>
      <c r="H8" s="31">
        <v>20568499043</v>
      </c>
      <c r="I8" s="43" t="str">
        <f>IF(H8="","",VLOOKUP(H8,ENTIDAD!$B$2:$C$613,2,0))</f>
        <v>SURTIDORES SAN MIGUEL E.I.R.L.</v>
      </c>
      <c r="J8" s="11"/>
      <c r="K8" s="11"/>
      <c r="L8" s="11"/>
      <c r="M8" s="11"/>
      <c r="N8" s="44">
        <f t="shared" si="0"/>
        <v>0</v>
      </c>
      <c r="O8" s="44">
        <f t="shared" si="1"/>
        <v>0</v>
      </c>
      <c r="P8" s="11">
        <v>100.02</v>
      </c>
      <c r="Q8" s="11"/>
      <c r="R8" s="11"/>
      <c r="S8" s="11">
        <v>100.02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13">
        <v>46027</v>
      </c>
      <c r="AE8" s="14" t="s">
        <v>262</v>
      </c>
      <c r="AF8" s="19" t="s">
        <v>488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487</v>
      </c>
      <c r="AT8" s="14"/>
      <c r="AU8" s="11"/>
      <c r="AV8" s="14"/>
    </row>
    <row r="9" spans="1:49" s="45" customFormat="1" ht="15" x14ac:dyDescent="0.25">
      <c r="A9" s="46">
        <v>46027</v>
      </c>
      <c r="B9" s="13"/>
      <c r="C9" s="41" t="s">
        <v>49</v>
      </c>
      <c r="D9" s="42" t="s">
        <v>292</v>
      </c>
      <c r="E9" s="14"/>
      <c r="F9" s="63">
        <v>144</v>
      </c>
      <c r="G9" s="42" t="s">
        <v>50</v>
      </c>
      <c r="H9" s="31">
        <v>10447422951</v>
      </c>
      <c r="I9" s="43" t="str">
        <f>IF(H9="","",VLOOKUP(H9,ENTIDAD!$B$2:$C$613,2,0))</f>
        <v>ZEGARRA AZAÑERO JORGE KEY</v>
      </c>
      <c r="J9" s="11"/>
      <c r="K9" s="11"/>
      <c r="L9" s="11"/>
      <c r="M9" s="11"/>
      <c r="N9" s="11">
        <f t="shared" si="0"/>
        <v>0</v>
      </c>
      <c r="O9" s="11">
        <f t="shared" si="1"/>
        <v>0</v>
      </c>
      <c r="P9" s="11">
        <v>1000</v>
      </c>
      <c r="Q9" s="11"/>
      <c r="R9" s="11"/>
      <c r="S9" s="11">
        <v>1000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46">
        <v>46027</v>
      </c>
      <c r="AE9" s="14" t="s">
        <v>465</v>
      </c>
      <c r="AF9" s="19" t="s">
        <v>489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491</v>
      </c>
      <c r="AT9" s="14"/>
      <c r="AU9" s="11"/>
      <c r="AV9" s="14"/>
    </row>
    <row r="10" spans="1:49" s="45" customFormat="1" ht="15" x14ac:dyDescent="0.25">
      <c r="A10" s="46">
        <v>46027</v>
      </c>
      <c r="B10" s="13"/>
      <c r="C10" s="41" t="s">
        <v>49</v>
      </c>
      <c r="D10" s="42" t="s">
        <v>292</v>
      </c>
      <c r="E10" s="14"/>
      <c r="F10" s="63">
        <v>5947</v>
      </c>
      <c r="G10" s="41" t="s">
        <v>50</v>
      </c>
      <c r="H10" s="31">
        <v>20602783341</v>
      </c>
      <c r="I10" s="43" t="str">
        <f>IF(H10="","",VLOOKUP(H10,ENTIDAD!$B$2:$C$613,2,0))</f>
        <v>CODISSER VRAEM E.I.R.L.</v>
      </c>
      <c r="J10" s="11"/>
      <c r="K10" s="11"/>
      <c r="L10" s="11"/>
      <c r="M10" s="11"/>
      <c r="N10" s="44">
        <f t="shared" si="0"/>
        <v>0</v>
      </c>
      <c r="O10" s="44">
        <f t="shared" si="1"/>
        <v>0</v>
      </c>
      <c r="P10" s="11">
        <v>16</v>
      </c>
      <c r="Q10" s="11"/>
      <c r="R10" s="11"/>
      <c r="S10" s="11">
        <v>16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46">
        <v>46027</v>
      </c>
      <c r="AE10" s="14" t="s">
        <v>262</v>
      </c>
      <c r="AF10" s="19" t="s">
        <v>492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493</v>
      </c>
      <c r="AT10" s="14"/>
      <c r="AU10" s="11"/>
      <c r="AV10" s="14"/>
    </row>
    <row r="11" spans="1:49" s="45" customFormat="1" ht="15" x14ac:dyDescent="0.25">
      <c r="A11" s="46">
        <v>46027</v>
      </c>
      <c r="B11" s="13"/>
      <c r="C11" s="41" t="s">
        <v>49</v>
      </c>
      <c r="D11" s="42" t="s">
        <v>440</v>
      </c>
      <c r="E11" s="14"/>
      <c r="F11" s="63">
        <v>2675796</v>
      </c>
      <c r="G11" s="42" t="s">
        <v>50</v>
      </c>
      <c r="H11" s="31">
        <v>20100047218</v>
      </c>
      <c r="I11" s="43" t="str">
        <f>IF(H11="","",VLOOKUP(H11,ENTIDAD!$B$2:$C$613,2,0))</f>
        <v>BANCO DE CREDITO DEL PERU</v>
      </c>
      <c r="J11" s="11"/>
      <c r="K11" s="11"/>
      <c r="L11" s="11"/>
      <c r="M11" s="11"/>
      <c r="N11" s="44">
        <f t="shared" si="0"/>
        <v>0</v>
      </c>
      <c r="O11" s="44">
        <f t="shared" si="1"/>
        <v>0</v>
      </c>
      <c r="P11" s="11">
        <v>117.88</v>
      </c>
      <c r="Q11" s="11"/>
      <c r="R11" s="11"/>
      <c r="S11" s="11">
        <f>W11*AC11</f>
        <v>117.88</v>
      </c>
      <c r="T11" s="14"/>
      <c r="U11" s="14"/>
      <c r="V11" s="13"/>
      <c r="W11" s="15">
        <v>3.3679999999999999</v>
      </c>
      <c r="X11" s="13"/>
      <c r="Y11" s="14"/>
      <c r="Z11" s="14"/>
      <c r="AA11" s="14"/>
      <c r="AB11" s="42" t="s">
        <v>383</v>
      </c>
      <c r="AC11" s="11">
        <v>35</v>
      </c>
      <c r="AD11" s="46">
        <v>46027</v>
      </c>
      <c r="AE11" s="14" t="s">
        <v>465</v>
      </c>
      <c r="AF11" s="19" t="s">
        <v>494</v>
      </c>
      <c r="AG11" s="14"/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495</v>
      </c>
      <c r="AT11" s="14"/>
      <c r="AU11" s="11"/>
      <c r="AV11" s="14"/>
    </row>
    <row r="12" spans="1:49" s="81" customFormat="1" ht="15" x14ac:dyDescent="0.25">
      <c r="A12" s="33">
        <v>46027</v>
      </c>
      <c r="B12" s="33"/>
      <c r="C12" s="70" t="s">
        <v>49</v>
      </c>
      <c r="D12" s="48" t="s">
        <v>456</v>
      </c>
      <c r="E12" s="34"/>
      <c r="F12" s="71">
        <v>4694311</v>
      </c>
      <c r="G12" s="70" t="s">
        <v>50</v>
      </c>
      <c r="H12" s="31">
        <v>20100130204</v>
      </c>
      <c r="I12" s="49" t="str">
        <f>IF(H12="","",VLOOKUP(H12,ENTIDAD!$B$2:$C$613,2,0))</f>
        <v>BANCO BBVA PERU</v>
      </c>
      <c r="J12" s="35"/>
      <c r="K12" s="35"/>
      <c r="L12" s="35"/>
      <c r="M12" s="35"/>
      <c r="N12" s="98">
        <f t="shared" si="0"/>
        <v>0</v>
      </c>
      <c r="O12" s="98">
        <f t="shared" si="1"/>
        <v>0</v>
      </c>
      <c r="P12" s="35">
        <v>40</v>
      </c>
      <c r="Q12" s="35"/>
      <c r="R12" s="35"/>
      <c r="S12" s="35">
        <v>40</v>
      </c>
      <c r="T12" s="34"/>
      <c r="U12" s="34"/>
      <c r="V12" s="33"/>
      <c r="W12" s="36"/>
      <c r="X12" s="33"/>
      <c r="Y12" s="34"/>
      <c r="Z12" s="34"/>
      <c r="AA12" s="34"/>
      <c r="AB12" s="48" t="s">
        <v>224</v>
      </c>
      <c r="AC12" s="35"/>
      <c r="AD12" s="33">
        <v>46027</v>
      </c>
      <c r="AE12" s="34" t="s">
        <v>465</v>
      </c>
      <c r="AF12" s="19" t="s">
        <v>494</v>
      </c>
      <c r="AG12" s="14"/>
      <c r="AH12" s="14" t="s">
        <v>225</v>
      </c>
      <c r="AI12" s="14"/>
      <c r="AJ12" s="14"/>
      <c r="AK12" s="16"/>
      <c r="AL12" s="11"/>
      <c r="AM12" s="11"/>
      <c r="AN12" s="14"/>
      <c r="AO12" s="14"/>
      <c r="AP12" s="13"/>
      <c r="AQ12" s="14"/>
      <c r="AR12" s="11">
        <v>18</v>
      </c>
      <c r="AS12" s="14" t="s">
        <v>495</v>
      </c>
      <c r="AT12" s="34"/>
      <c r="AU12" s="35"/>
      <c r="AV12" s="34"/>
      <c r="AW12"/>
    </row>
    <row r="13" spans="1:49" s="45" customFormat="1" ht="15" x14ac:dyDescent="0.25">
      <c r="A13" s="33">
        <v>46027</v>
      </c>
      <c r="B13" s="33"/>
      <c r="C13" s="70" t="s">
        <v>49</v>
      </c>
      <c r="D13" s="48" t="s">
        <v>545</v>
      </c>
      <c r="E13" s="34"/>
      <c r="F13" s="71">
        <v>25369180</v>
      </c>
      <c r="G13" s="48" t="s">
        <v>50</v>
      </c>
      <c r="H13" s="31">
        <v>20100130204</v>
      </c>
      <c r="I13" s="49" t="str">
        <f>IF(H13="","",VLOOKUP(H13,ENTIDAD!$B$2:$C$613,2,0))</f>
        <v>BANCO BBVA PERU</v>
      </c>
      <c r="J13" s="35"/>
      <c r="K13" s="35"/>
      <c r="L13" s="35"/>
      <c r="M13" s="35"/>
      <c r="N13" s="98">
        <f t="shared" si="0"/>
        <v>0</v>
      </c>
      <c r="O13" s="98">
        <f t="shared" si="1"/>
        <v>0</v>
      </c>
      <c r="P13" s="35">
        <v>10</v>
      </c>
      <c r="Q13" s="35"/>
      <c r="R13" s="35"/>
      <c r="S13" s="35">
        <v>10</v>
      </c>
      <c r="T13" s="34"/>
      <c r="U13" s="34"/>
      <c r="V13" s="33"/>
      <c r="W13" s="36"/>
      <c r="X13" s="33"/>
      <c r="Y13" s="34"/>
      <c r="Z13" s="34"/>
      <c r="AA13" s="34"/>
      <c r="AB13" s="48" t="s">
        <v>224</v>
      </c>
      <c r="AC13" s="35"/>
      <c r="AD13" s="33">
        <v>46027</v>
      </c>
      <c r="AE13" s="34" t="s">
        <v>465</v>
      </c>
      <c r="AF13" s="73" t="s">
        <v>494</v>
      </c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495</v>
      </c>
      <c r="AT13" s="34"/>
      <c r="AU13" s="35"/>
      <c r="AV13" s="34"/>
      <c r="AW13"/>
    </row>
    <row r="14" spans="1:49" s="45" customFormat="1" ht="15" x14ac:dyDescent="0.25">
      <c r="A14" s="46">
        <v>46028</v>
      </c>
      <c r="B14" s="13"/>
      <c r="C14" s="41" t="s">
        <v>49</v>
      </c>
      <c r="D14" s="42" t="s">
        <v>442</v>
      </c>
      <c r="E14" s="14"/>
      <c r="F14" s="63">
        <v>18054814</v>
      </c>
      <c r="G14" s="41" t="s">
        <v>50</v>
      </c>
      <c r="H14" s="31">
        <v>20100047218</v>
      </c>
      <c r="I14" s="43" t="str">
        <f>IF(H14="","",VLOOKUP(H14,ENTIDAD!$B$2:$C$613,2,0))</f>
        <v>BANCO DE CREDITO DEL PERU</v>
      </c>
      <c r="J14" s="11"/>
      <c r="K14" s="11"/>
      <c r="L14" s="11"/>
      <c r="M14" s="11"/>
      <c r="N14" s="44">
        <f t="shared" si="0"/>
        <v>0</v>
      </c>
      <c r="O14" s="44">
        <f t="shared" si="1"/>
        <v>0</v>
      </c>
      <c r="P14" s="11">
        <v>914.5</v>
      </c>
      <c r="Q14" s="11"/>
      <c r="R14" s="11">
        <v>0</v>
      </c>
      <c r="S14" s="11">
        <v>914.5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46">
        <v>46028</v>
      </c>
      <c r="AE14" s="14" t="s">
        <v>465</v>
      </c>
      <c r="AF14" s="19" t="s">
        <v>494</v>
      </c>
      <c r="AG14" s="14"/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495</v>
      </c>
      <c r="AT14" s="14"/>
      <c r="AU14" s="11"/>
      <c r="AV14" s="14"/>
    </row>
    <row r="15" spans="1:49" s="45" customFormat="1" ht="15" x14ac:dyDescent="0.25">
      <c r="A15" s="46">
        <v>46028</v>
      </c>
      <c r="B15" s="13"/>
      <c r="C15" s="41" t="s">
        <v>49</v>
      </c>
      <c r="D15" s="42" t="s">
        <v>292</v>
      </c>
      <c r="E15" s="14"/>
      <c r="F15" s="63">
        <v>1525</v>
      </c>
      <c r="G15" s="41" t="s">
        <v>50</v>
      </c>
      <c r="H15" s="31">
        <v>20611910887</v>
      </c>
      <c r="I15" s="43" t="str">
        <f>IF(H15="","",VLOOKUP(H15,ENTIDAD!$B$2:$C$613,2,0))</f>
        <v>CORPORACION UNIVERSAL M&amp;F SOCIEDAD ANONIMA CERRADA</v>
      </c>
      <c r="J15" s="11"/>
      <c r="K15" s="11"/>
      <c r="L15" s="11"/>
      <c r="M15" s="11"/>
      <c r="N15" s="44">
        <f t="shared" si="0"/>
        <v>0</v>
      </c>
      <c r="O15" s="44">
        <f t="shared" si="1"/>
        <v>0</v>
      </c>
      <c r="P15" s="11">
        <v>170</v>
      </c>
      <c r="Q15" s="11"/>
      <c r="R15" s="11">
        <v>0</v>
      </c>
      <c r="S15" s="11">
        <v>170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46">
        <v>46028</v>
      </c>
      <c r="AE15" s="14" t="s">
        <v>465</v>
      </c>
      <c r="AF15" s="19" t="s">
        <v>496</v>
      </c>
      <c r="AG15" s="14"/>
      <c r="AH15" s="14" t="s">
        <v>225</v>
      </c>
      <c r="AI15" s="14"/>
      <c r="AJ15" s="14"/>
      <c r="AK15" s="16"/>
      <c r="AL15" s="11"/>
      <c r="AM15" s="11"/>
      <c r="AN15" s="14"/>
      <c r="AO15" s="14"/>
      <c r="AP15" s="13"/>
      <c r="AQ15" s="14"/>
      <c r="AR15" s="11">
        <v>18</v>
      </c>
      <c r="AS15" s="14" t="s">
        <v>497</v>
      </c>
      <c r="AT15" s="14"/>
      <c r="AU15" s="11"/>
      <c r="AV15" s="14"/>
    </row>
    <row r="16" spans="1:49" s="47" customFormat="1" ht="15" x14ac:dyDescent="0.25">
      <c r="A16" s="74">
        <v>46028</v>
      </c>
      <c r="B16" s="26"/>
      <c r="C16" s="75" t="s">
        <v>49</v>
      </c>
      <c r="D16" s="76" t="s">
        <v>292</v>
      </c>
      <c r="E16" s="27"/>
      <c r="F16" s="77">
        <v>60</v>
      </c>
      <c r="G16" s="76" t="s">
        <v>50</v>
      </c>
      <c r="H16" s="32">
        <v>10733619207</v>
      </c>
      <c r="I16" s="78" t="str">
        <f>IF(H16="","",VLOOKUP(H16,ENTIDAD!$B$2:$C$613,2,0))</f>
        <v>UNTIVEROS SOLDEVILLA MIGUEL COLIN</v>
      </c>
      <c r="J16" s="28"/>
      <c r="K16" s="28"/>
      <c r="L16" s="28"/>
      <c r="M16" s="28"/>
      <c r="N16" s="28">
        <f t="shared" si="0"/>
        <v>0</v>
      </c>
      <c r="O16" s="79">
        <f t="shared" si="1"/>
        <v>0</v>
      </c>
      <c r="P16" s="28">
        <v>5500</v>
      </c>
      <c r="Q16" s="28"/>
      <c r="R16" s="28">
        <v>0</v>
      </c>
      <c r="S16" s="28">
        <v>5500</v>
      </c>
      <c r="T16" s="27"/>
      <c r="U16" s="27"/>
      <c r="V16" s="26"/>
      <c r="W16" s="80"/>
      <c r="X16" s="26"/>
      <c r="Y16" s="27"/>
      <c r="Z16" s="27"/>
      <c r="AA16" s="27"/>
      <c r="AB16" s="76" t="s">
        <v>224</v>
      </c>
      <c r="AC16" s="28"/>
      <c r="AD16" s="74">
        <v>46028</v>
      </c>
      <c r="AE16" s="27" t="s">
        <v>465</v>
      </c>
      <c r="AF16" s="29"/>
      <c r="AG16" s="27"/>
      <c r="AH16" s="27" t="s">
        <v>225</v>
      </c>
      <c r="AI16" s="27"/>
      <c r="AJ16" s="27"/>
      <c r="AK16" s="30"/>
      <c r="AL16" s="28"/>
      <c r="AM16" s="28"/>
      <c r="AN16" s="27"/>
      <c r="AO16" s="27"/>
      <c r="AP16" s="26"/>
      <c r="AQ16" s="27"/>
      <c r="AR16" s="28">
        <v>18</v>
      </c>
      <c r="AS16" s="27" t="s">
        <v>498</v>
      </c>
      <c r="AT16" s="27"/>
      <c r="AU16" s="28"/>
      <c r="AV16" s="27"/>
      <c r="AW16" s="81"/>
    </row>
    <row r="17" spans="1:49" s="45" customFormat="1" ht="15" x14ac:dyDescent="0.25">
      <c r="A17" s="46">
        <v>46028</v>
      </c>
      <c r="B17" s="13"/>
      <c r="C17" s="41" t="s">
        <v>49</v>
      </c>
      <c r="D17" s="42" t="s">
        <v>292</v>
      </c>
      <c r="E17" s="14"/>
      <c r="F17" s="63">
        <v>81</v>
      </c>
      <c r="G17" s="41" t="s">
        <v>50</v>
      </c>
      <c r="H17" s="31">
        <v>20568685424</v>
      </c>
      <c r="I17" s="43" t="str">
        <f>IF(H17="","",VLOOKUP(H17,ENTIDAD!$B$2:$C$613,2,0))</f>
        <v>VISUAL´S MERCHANDISING S.A.C.</v>
      </c>
      <c r="J17" s="11"/>
      <c r="K17" s="11"/>
      <c r="L17" s="11"/>
      <c r="M17" s="11"/>
      <c r="N17" s="11">
        <f t="shared" si="0"/>
        <v>0</v>
      </c>
      <c r="O17" s="44">
        <f t="shared" si="1"/>
        <v>0</v>
      </c>
      <c r="P17" s="11">
        <v>1000</v>
      </c>
      <c r="Q17" s="11"/>
      <c r="R17" s="11"/>
      <c r="S17" s="11">
        <v>1000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46">
        <v>46028</v>
      </c>
      <c r="AE17" s="14" t="s">
        <v>465</v>
      </c>
      <c r="AF17" s="34" t="s">
        <v>499</v>
      </c>
      <c r="AG17" s="14"/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4" t="s">
        <v>500</v>
      </c>
      <c r="AT17" s="14"/>
      <c r="AU17" s="11"/>
      <c r="AV17" s="14"/>
    </row>
    <row r="18" spans="1:49" s="45" customFormat="1" ht="15" x14ac:dyDescent="0.25">
      <c r="A18" s="46">
        <v>46029</v>
      </c>
      <c r="B18" s="13"/>
      <c r="C18" s="41" t="s">
        <v>49</v>
      </c>
      <c r="D18" s="42" t="s">
        <v>292</v>
      </c>
      <c r="E18" s="14"/>
      <c r="F18" s="63">
        <v>182</v>
      </c>
      <c r="G18" s="42" t="s">
        <v>50</v>
      </c>
      <c r="H18" s="31">
        <v>10207070098</v>
      </c>
      <c r="I18" s="43" t="str">
        <f>IF(H18="","",VLOOKUP(H18,ENTIDAD!$B$2:$C$613,2,0))</f>
        <v>ROJAS FLORES ELISEO MAXIMO</v>
      </c>
      <c r="J18" s="11"/>
      <c r="K18" s="11"/>
      <c r="L18" s="11"/>
      <c r="M18" s="11"/>
      <c r="N18" s="11">
        <f t="shared" si="0"/>
        <v>0</v>
      </c>
      <c r="O18" s="44">
        <f t="shared" si="1"/>
        <v>0</v>
      </c>
      <c r="P18" s="11">
        <v>2000</v>
      </c>
      <c r="Q18" s="11"/>
      <c r="R18" s="11">
        <v>0</v>
      </c>
      <c r="S18" s="11">
        <v>2000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46">
        <v>46029</v>
      </c>
      <c r="AE18" s="14" t="s">
        <v>465</v>
      </c>
      <c r="AF18" s="19" t="s">
        <v>501</v>
      </c>
      <c r="AG18" s="14"/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502</v>
      </c>
      <c r="AT18" s="14"/>
      <c r="AU18" s="11"/>
      <c r="AV18" s="14"/>
    </row>
    <row r="19" spans="1:49" s="45" customFormat="1" ht="15" x14ac:dyDescent="0.25">
      <c r="A19" s="46">
        <v>46029</v>
      </c>
      <c r="B19" s="13"/>
      <c r="C19" s="41" t="s">
        <v>49</v>
      </c>
      <c r="D19" s="42" t="s">
        <v>485</v>
      </c>
      <c r="E19" s="14"/>
      <c r="F19" s="63">
        <v>1272573</v>
      </c>
      <c r="G19" s="42" t="s">
        <v>50</v>
      </c>
      <c r="H19" s="31">
        <v>20100047218</v>
      </c>
      <c r="I19" s="43" t="str">
        <f>IF(H19="","",VLOOKUP(H19,ENTIDAD!$B$2:$C$613,2,0))</f>
        <v>BANCO DE CREDITO DEL PERU</v>
      </c>
      <c r="J19" s="11"/>
      <c r="K19" s="11"/>
      <c r="L19" s="11"/>
      <c r="M19" s="11"/>
      <c r="N19" s="11">
        <f t="shared" si="0"/>
        <v>0</v>
      </c>
      <c r="O19" s="44">
        <f t="shared" si="1"/>
        <v>0</v>
      </c>
      <c r="P19" s="11">
        <v>154.5</v>
      </c>
      <c r="Q19" s="11"/>
      <c r="R19" s="11"/>
      <c r="S19" s="11">
        <v>154.5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46">
        <v>46029</v>
      </c>
      <c r="AE19" s="14" t="s">
        <v>465</v>
      </c>
      <c r="AF19" s="73" t="s">
        <v>494</v>
      </c>
      <c r="AG19" s="14"/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495</v>
      </c>
      <c r="AT19" s="14"/>
      <c r="AU19" s="11"/>
      <c r="AV19" s="14"/>
    </row>
    <row r="20" spans="1:49" s="47" customFormat="1" ht="15" x14ac:dyDescent="0.25">
      <c r="A20" s="46">
        <v>46030</v>
      </c>
      <c r="B20" s="13"/>
      <c r="C20" s="41" t="s">
        <v>49</v>
      </c>
      <c r="D20" s="42" t="s">
        <v>292</v>
      </c>
      <c r="E20" s="14"/>
      <c r="F20" s="63">
        <v>115</v>
      </c>
      <c r="G20" s="41" t="s">
        <v>50</v>
      </c>
      <c r="H20" s="31">
        <v>20604194211</v>
      </c>
      <c r="I20" s="43" t="str">
        <f>IF(H20="","",VLOOKUP(H20,ENTIDAD!$B$2:$C$613,2,0))</f>
        <v>MULTISERVICIOS COMPANY SELVA SOCIEDAD ANÓNIMA CERRADA</v>
      </c>
      <c r="J20" s="11"/>
      <c r="K20" s="11"/>
      <c r="L20" s="11"/>
      <c r="M20" s="11"/>
      <c r="N20" s="11">
        <f t="shared" si="0"/>
        <v>0</v>
      </c>
      <c r="O20" s="44">
        <f t="shared" si="1"/>
        <v>0</v>
      </c>
      <c r="P20" s="11">
        <v>1028.5</v>
      </c>
      <c r="Q20" s="11"/>
      <c r="R20" s="11">
        <v>0</v>
      </c>
      <c r="S20" s="11">
        <v>1028.5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46">
        <v>46030</v>
      </c>
      <c r="AE20" s="14" t="s">
        <v>465</v>
      </c>
      <c r="AF20" s="37" t="s">
        <v>503</v>
      </c>
      <c r="AG20" s="14"/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504</v>
      </c>
      <c r="AT20" s="14"/>
      <c r="AU20" s="11"/>
      <c r="AV20" s="14"/>
      <c r="AW20" s="45"/>
    </row>
    <row r="21" spans="1:49" s="47" customFormat="1" ht="15" x14ac:dyDescent="0.25">
      <c r="A21" s="46">
        <v>46031</v>
      </c>
      <c r="B21" s="13"/>
      <c r="C21" s="41" t="s">
        <v>49</v>
      </c>
      <c r="D21" s="42" t="s">
        <v>301</v>
      </c>
      <c r="E21" s="14"/>
      <c r="F21" s="63">
        <v>16248</v>
      </c>
      <c r="G21" s="42" t="s">
        <v>50</v>
      </c>
      <c r="H21" s="31">
        <v>20493508645</v>
      </c>
      <c r="I21" s="43" t="str">
        <f>IF(H21="","",VLOOKUP(H21,ENTIDAD!$B$2:$C$613,2,0))</f>
        <v>HONDA SELVA DEL PERU S.A.</v>
      </c>
      <c r="J21" s="11"/>
      <c r="K21" s="11"/>
      <c r="L21" s="11"/>
      <c r="M21" s="11"/>
      <c r="N21" s="11">
        <f t="shared" si="0"/>
        <v>-8.8135593460272942E-4</v>
      </c>
      <c r="O21" s="44">
        <f t="shared" si="1"/>
        <v>-1.5864406822849129E-4</v>
      </c>
      <c r="P21" s="11">
        <v>34926.06</v>
      </c>
      <c r="Q21" s="11"/>
      <c r="R21" s="11"/>
      <c r="S21" s="11">
        <f>W21*AC21</f>
        <v>34926.058959999995</v>
      </c>
      <c r="T21" s="14"/>
      <c r="U21" s="14"/>
      <c r="V21" s="13"/>
      <c r="W21" s="15">
        <v>3.3679999999999999</v>
      </c>
      <c r="X21" s="13"/>
      <c r="Y21" s="14"/>
      <c r="Z21" s="14"/>
      <c r="AA21" s="14"/>
      <c r="AB21" s="42" t="s">
        <v>383</v>
      </c>
      <c r="AC21" s="11">
        <v>10369.969999999999</v>
      </c>
      <c r="AD21" s="46">
        <v>46062</v>
      </c>
      <c r="AE21" s="14" t="s">
        <v>465</v>
      </c>
      <c r="AF21" s="19" t="s">
        <v>532</v>
      </c>
      <c r="AG21" s="14"/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201</v>
      </c>
      <c r="AT21" s="14"/>
      <c r="AU21" s="11"/>
      <c r="AV21" s="14"/>
      <c r="AW21" s="45"/>
    </row>
    <row r="22" spans="1:49" s="45" customFormat="1" ht="15" x14ac:dyDescent="0.25">
      <c r="A22" s="68">
        <v>46031</v>
      </c>
      <c r="B22" s="50"/>
      <c r="C22" s="51" t="s">
        <v>300</v>
      </c>
      <c r="D22" s="52" t="s">
        <v>563</v>
      </c>
      <c r="E22" s="53"/>
      <c r="F22" s="64">
        <v>75</v>
      </c>
      <c r="G22" s="51" t="s">
        <v>50</v>
      </c>
      <c r="H22" s="69">
        <v>20600014529</v>
      </c>
      <c r="I22" s="54" t="str">
        <f>IF(H22="","",VLOOKUP(H22,ENTIDAD!$B$2:$C$613,2,0))</f>
        <v>OSPINA FERRETERA S.R.L.</v>
      </c>
      <c r="J22" s="55"/>
      <c r="K22" s="55"/>
      <c r="L22" s="55"/>
      <c r="M22" s="55"/>
      <c r="N22" s="55">
        <f t="shared" si="0"/>
        <v>-279.66101694915255</v>
      </c>
      <c r="O22" s="55">
        <f t="shared" si="1"/>
        <v>-50.33898305084746</v>
      </c>
      <c r="P22" s="55"/>
      <c r="Q22" s="55"/>
      <c r="R22" s="55"/>
      <c r="S22" s="55">
        <v>-330</v>
      </c>
      <c r="T22" s="53"/>
      <c r="U22" s="53"/>
      <c r="V22" s="50"/>
      <c r="W22" s="25"/>
      <c r="X22" s="50">
        <v>46008</v>
      </c>
      <c r="Y22" s="53" t="s">
        <v>49</v>
      </c>
      <c r="Z22" s="53" t="s">
        <v>539</v>
      </c>
      <c r="AA22" s="53" t="s">
        <v>540</v>
      </c>
      <c r="AB22" s="52" t="s">
        <v>224</v>
      </c>
      <c r="AC22" s="55"/>
      <c r="AD22" s="68">
        <v>46031</v>
      </c>
      <c r="AE22" s="53" t="s">
        <v>465</v>
      </c>
      <c r="AF22" s="60" t="s">
        <v>518</v>
      </c>
      <c r="AG22" s="53"/>
      <c r="AH22" s="53" t="s">
        <v>225</v>
      </c>
      <c r="AI22" s="53"/>
      <c r="AJ22" s="53"/>
      <c r="AK22" s="61"/>
      <c r="AL22" s="55"/>
      <c r="AM22" s="55"/>
      <c r="AN22" s="53"/>
      <c r="AO22" s="53"/>
      <c r="AP22" s="50"/>
      <c r="AQ22" s="53"/>
      <c r="AR22" s="55">
        <v>18</v>
      </c>
      <c r="AS22" s="53" t="s">
        <v>547</v>
      </c>
      <c r="AT22" s="53"/>
      <c r="AU22" s="55"/>
      <c r="AV22" s="53"/>
      <c r="AW22" s="47"/>
    </row>
    <row r="23" spans="1:49" s="45" customFormat="1" ht="15" x14ac:dyDescent="0.25">
      <c r="A23" s="50">
        <v>46031</v>
      </c>
      <c r="B23" s="50"/>
      <c r="C23" s="51" t="s">
        <v>300</v>
      </c>
      <c r="D23" s="52" t="s">
        <v>292</v>
      </c>
      <c r="E23" s="53"/>
      <c r="F23" s="64">
        <v>3</v>
      </c>
      <c r="G23" s="52" t="s">
        <v>50</v>
      </c>
      <c r="H23" s="69">
        <v>10207070098</v>
      </c>
      <c r="I23" s="54" t="str">
        <f>IF(H23="","",VLOOKUP(H23,ENTIDAD!$B$2:$C$613,2,0))</f>
        <v>ROJAS FLORES ELISEO MAXIMO</v>
      </c>
      <c r="J23" s="55"/>
      <c r="K23" s="55"/>
      <c r="L23" s="55"/>
      <c r="M23" s="55"/>
      <c r="N23" s="55">
        <f t="shared" si="0"/>
        <v>0</v>
      </c>
      <c r="O23" s="55">
        <f t="shared" si="1"/>
        <v>0</v>
      </c>
      <c r="P23" s="55">
        <v>-2000</v>
      </c>
      <c r="Q23" s="55"/>
      <c r="R23" s="55"/>
      <c r="S23" s="55">
        <v>-2000</v>
      </c>
      <c r="T23" s="53"/>
      <c r="U23" s="53"/>
      <c r="V23" s="50"/>
      <c r="W23" s="25"/>
      <c r="X23" s="50">
        <v>46029</v>
      </c>
      <c r="Y23" s="53" t="s">
        <v>49</v>
      </c>
      <c r="Z23" s="53" t="s">
        <v>541</v>
      </c>
      <c r="AA23" s="53" t="s">
        <v>542</v>
      </c>
      <c r="AB23" s="52" t="s">
        <v>224</v>
      </c>
      <c r="AC23" s="55"/>
      <c r="AD23" s="50">
        <v>46031</v>
      </c>
      <c r="AE23" s="53" t="s">
        <v>465</v>
      </c>
      <c r="AF23" s="60" t="s">
        <v>501</v>
      </c>
      <c r="AG23" s="56"/>
      <c r="AH23" s="56" t="s">
        <v>225</v>
      </c>
      <c r="AI23" s="56"/>
      <c r="AJ23" s="56"/>
      <c r="AK23" s="57"/>
      <c r="AL23" s="58"/>
      <c r="AM23" s="58"/>
      <c r="AN23" s="56"/>
      <c r="AO23" s="56"/>
      <c r="AP23" s="59"/>
      <c r="AQ23" s="56"/>
      <c r="AR23" s="58">
        <v>18</v>
      </c>
      <c r="AS23" s="53" t="s">
        <v>547</v>
      </c>
      <c r="AT23" s="53"/>
      <c r="AU23" s="55"/>
      <c r="AV23" s="53"/>
      <c r="AW23" s="47"/>
    </row>
    <row r="24" spans="1:49" customFormat="1" ht="15" x14ac:dyDescent="0.25">
      <c r="A24" s="33">
        <v>46031</v>
      </c>
      <c r="B24" s="33"/>
      <c r="C24" s="70" t="s">
        <v>49</v>
      </c>
      <c r="D24" s="48" t="s">
        <v>538</v>
      </c>
      <c r="E24" s="34"/>
      <c r="F24" s="71">
        <v>4664</v>
      </c>
      <c r="G24" s="48" t="s">
        <v>50</v>
      </c>
      <c r="H24" s="31">
        <v>20600014529</v>
      </c>
      <c r="I24" s="49" t="str">
        <f>IF(H24="","",VLOOKUP(H24,ENTIDAD!$B$2:$C$613,2,0))</f>
        <v>OSPINA FERRETERA S.R.L.</v>
      </c>
      <c r="J24" s="35"/>
      <c r="K24" s="35"/>
      <c r="L24" s="35"/>
      <c r="M24" s="35"/>
      <c r="N24" s="35">
        <f t="shared" si="0"/>
        <v>279.66101694915255</v>
      </c>
      <c r="O24" s="35">
        <f t="shared" si="1"/>
        <v>50.33898305084746</v>
      </c>
      <c r="P24" s="35">
        <v>0</v>
      </c>
      <c r="Q24" s="35"/>
      <c r="R24" s="35"/>
      <c r="S24" s="35">
        <v>330</v>
      </c>
      <c r="T24" s="34"/>
      <c r="U24" s="34"/>
      <c r="V24" s="33"/>
      <c r="W24" s="36"/>
      <c r="X24" s="33"/>
      <c r="Y24" s="34"/>
      <c r="Z24" s="34"/>
      <c r="AA24" s="34"/>
      <c r="AB24" s="48" t="s">
        <v>224</v>
      </c>
      <c r="AC24" s="35"/>
      <c r="AD24" s="33">
        <v>46031</v>
      </c>
      <c r="AE24" s="34" t="s">
        <v>465</v>
      </c>
      <c r="AF24" s="37" t="s">
        <v>518</v>
      </c>
      <c r="AG24" s="34"/>
      <c r="AH24" s="34" t="s">
        <v>225</v>
      </c>
      <c r="AI24" s="34"/>
      <c r="AJ24" s="34"/>
      <c r="AK24" s="38"/>
      <c r="AL24" s="35"/>
      <c r="AM24" s="35"/>
      <c r="AN24" s="34"/>
      <c r="AO24" s="34"/>
      <c r="AP24" s="33"/>
      <c r="AQ24" s="34"/>
      <c r="AR24" s="35">
        <v>18</v>
      </c>
      <c r="AS24" s="34" t="s">
        <v>548</v>
      </c>
      <c r="AT24" s="34"/>
      <c r="AU24" s="35"/>
      <c r="AV24" s="34"/>
    </row>
    <row r="25" spans="1:49" s="45" customFormat="1" ht="15" x14ac:dyDescent="0.25">
      <c r="A25" s="46">
        <v>46034</v>
      </c>
      <c r="B25" s="13"/>
      <c r="C25" s="41" t="s">
        <v>49</v>
      </c>
      <c r="D25" s="42" t="s">
        <v>292</v>
      </c>
      <c r="E25" s="14"/>
      <c r="F25" s="63">
        <v>1319</v>
      </c>
      <c r="G25" s="42" t="s">
        <v>50</v>
      </c>
      <c r="H25" s="31">
        <v>20573301715</v>
      </c>
      <c r="I25" s="43" t="str">
        <f>IF(H25="","",VLOOKUP(H25,ENTIDAD!$B$2:$C$613,2,0))</f>
        <v>CASCOS FORRADOS PERICO S.A.C</v>
      </c>
      <c r="J25" s="11"/>
      <c r="K25" s="11"/>
      <c r="L25" s="11"/>
      <c r="M25" s="11"/>
      <c r="N25" s="11">
        <f t="shared" si="0"/>
        <v>0</v>
      </c>
      <c r="O25" s="11">
        <f t="shared" si="1"/>
        <v>0</v>
      </c>
      <c r="P25" s="11">
        <v>3600</v>
      </c>
      <c r="Q25" s="11"/>
      <c r="R25" s="11">
        <v>0</v>
      </c>
      <c r="S25" s="11">
        <v>3600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46">
        <v>46034</v>
      </c>
      <c r="AE25" s="14" t="s">
        <v>465</v>
      </c>
      <c r="AF25" s="19" t="s">
        <v>505</v>
      </c>
      <c r="AG25" s="34"/>
      <c r="AH25" s="14" t="s">
        <v>225</v>
      </c>
      <c r="AI25" s="34"/>
      <c r="AJ25" s="34"/>
      <c r="AK25" s="38"/>
      <c r="AL25" s="35"/>
      <c r="AM25" s="35"/>
      <c r="AN25" s="34"/>
      <c r="AO25" s="34"/>
      <c r="AP25" s="33"/>
      <c r="AQ25" s="34"/>
      <c r="AR25" s="11">
        <v>18</v>
      </c>
      <c r="AS25" s="14" t="s">
        <v>506</v>
      </c>
      <c r="AT25" s="14"/>
      <c r="AU25" s="11"/>
      <c r="AV25" s="14"/>
    </row>
    <row r="26" spans="1:49" s="45" customFormat="1" ht="15" x14ac:dyDescent="0.25">
      <c r="A26" s="46">
        <v>46034</v>
      </c>
      <c r="B26" s="13"/>
      <c r="C26" s="41" t="s">
        <v>49</v>
      </c>
      <c r="D26" s="42" t="s">
        <v>308</v>
      </c>
      <c r="E26" s="14"/>
      <c r="F26" s="63">
        <v>10045</v>
      </c>
      <c r="G26" s="42" t="s">
        <v>50</v>
      </c>
      <c r="H26" s="31">
        <v>20512528458</v>
      </c>
      <c r="I26" s="43" t="str">
        <f>IF(H26="","",VLOOKUP(H26,ENTIDAD!$B$2:$C$613,2,0))</f>
        <v>SHALOM EMPRESARIAL S.A.C.</v>
      </c>
      <c r="J26" s="11"/>
      <c r="K26" s="11"/>
      <c r="L26" s="11"/>
      <c r="M26" s="11"/>
      <c r="N26" s="11">
        <f t="shared" si="0"/>
        <v>86.440677966101703</v>
      </c>
      <c r="O26" s="11">
        <f t="shared" si="1"/>
        <v>15.559322033898306</v>
      </c>
      <c r="P26" s="11"/>
      <c r="Q26" s="11"/>
      <c r="R26" s="11">
        <v>0</v>
      </c>
      <c r="S26" s="11">
        <v>102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46">
        <v>46034</v>
      </c>
      <c r="AE26" s="14" t="s">
        <v>465</v>
      </c>
      <c r="AF26" s="19" t="s">
        <v>507</v>
      </c>
      <c r="AG26" s="14"/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508</v>
      </c>
      <c r="AT26" s="14"/>
      <c r="AU26" s="11"/>
      <c r="AV26" s="14"/>
    </row>
    <row r="27" spans="1:49" s="45" customFormat="1" ht="15" x14ac:dyDescent="0.25">
      <c r="A27" s="46">
        <v>46034</v>
      </c>
      <c r="B27" s="13"/>
      <c r="C27" s="41" t="s">
        <v>49</v>
      </c>
      <c r="D27" s="42" t="s">
        <v>294</v>
      </c>
      <c r="E27" s="14"/>
      <c r="F27" s="63">
        <v>12551</v>
      </c>
      <c r="G27" s="41" t="s">
        <v>50</v>
      </c>
      <c r="H27" s="31">
        <v>10209907327</v>
      </c>
      <c r="I27" s="43" t="str">
        <f>IF(H27="","",VLOOKUP(H27,ENTIDAD!$B$2:$C$613,2,0))</f>
        <v>TORPOCO,MAYTA,HECTOR,ALFONSO</v>
      </c>
      <c r="J27" s="11"/>
      <c r="K27" s="11"/>
      <c r="L27" s="11"/>
      <c r="M27" s="11"/>
      <c r="N27" s="11">
        <f t="shared" si="0"/>
        <v>0</v>
      </c>
      <c r="O27" s="11">
        <f t="shared" si="1"/>
        <v>0</v>
      </c>
      <c r="P27" s="11">
        <v>10</v>
      </c>
      <c r="Q27" s="11"/>
      <c r="R27" s="11">
        <v>0</v>
      </c>
      <c r="S27" s="11">
        <v>10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46">
        <v>46034</v>
      </c>
      <c r="AE27" s="14" t="s">
        <v>262</v>
      </c>
      <c r="AF27" s="19" t="s">
        <v>486</v>
      </c>
      <c r="AG27" s="14"/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487</v>
      </c>
      <c r="AT27" s="14"/>
      <c r="AU27" s="11"/>
      <c r="AV27" s="14"/>
    </row>
    <row r="28" spans="1:49" s="45" customFormat="1" ht="15" x14ac:dyDescent="0.25">
      <c r="A28" s="46">
        <v>46035</v>
      </c>
      <c r="B28" s="13"/>
      <c r="C28" s="41" t="s">
        <v>49</v>
      </c>
      <c r="D28" s="42" t="s">
        <v>292</v>
      </c>
      <c r="E28" s="14"/>
      <c r="F28" s="63">
        <v>1106</v>
      </c>
      <c r="G28" s="42" t="s">
        <v>50</v>
      </c>
      <c r="H28" s="31">
        <v>20607824666</v>
      </c>
      <c r="I28" s="43" t="str">
        <f>IF(H28="","",VLOOKUP(H28,ENTIDAD!$B$2:$C$613,2,0))</f>
        <v>J&amp;H CASA LINDA E.I.R.L.</v>
      </c>
      <c r="J28" s="11"/>
      <c r="K28" s="11"/>
      <c r="L28" s="11"/>
      <c r="M28" s="11"/>
      <c r="N28" s="11">
        <f t="shared" si="0"/>
        <v>0</v>
      </c>
      <c r="O28" s="11">
        <f t="shared" si="1"/>
        <v>0</v>
      </c>
      <c r="P28" s="11">
        <v>615</v>
      </c>
      <c r="Q28" s="11"/>
      <c r="R28" s="11">
        <v>0</v>
      </c>
      <c r="S28" s="11">
        <v>615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46">
        <v>46035</v>
      </c>
      <c r="AE28" s="14" t="s">
        <v>465</v>
      </c>
      <c r="AF28" s="19" t="s">
        <v>509</v>
      </c>
      <c r="AG28" s="14"/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510</v>
      </c>
      <c r="AT28" s="14"/>
      <c r="AU28" s="11"/>
      <c r="AV28" s="14"/>
    </row>
    <row r="29" spans="1:49" s="45" customFormat="1" ht="15" x14ac:dyDescent="0.25">
      <c r="A29" s="46">
        <v>46035</v>
      </c>
      <c r="B29" s="13"/>
      <c r="C29" s="41" t="s">
        <v>49</v>
      </c>
      <c r="D29" s="42" t="s">
        <v>301</v>
      </c>
      <c r="E29" s="14"/>
      <c r="F29" s="63">
        <v>530</v>
      </c>
      <c r="G29" s="41" t="s">
        <v>50</v>
      </c>
      <c r="H29" s="31">
        <v>20602109225</v>
      </c>
      <c r="I29" s="43" t="str">
        <f>IF(H29="","",VLOOKUP(H29,ENTIDAD!$B$2:$C$613,2,0))</f>
        <v>SISTEMA ECOLÓGICO INTEGRAL DE TECNOLOGÍAS E INFORMÁTICA SOCIEDAD ANONIMA CERRADA - ECO SITI S.A.C.</v>
      </c>
      <c r="J29" s="11"/>
      <c r="K29" s="11"/>
      <c r="L29" s="11"/>
      <c r="M29" s="11"/>
      <c r="N29" s="11">
        <f t="shared" si="0"/>
        <v>0</v>
      </c>
      <c r="O29" s="11">
        <f t="shared" si="1"/>
        <v>0</v>
      </c>
      <c r="P29" s="11">
        <v>119.7</v>
      </c>
      <c r="Q29" s="11"/>
      <c r="R29" s="11">
        <v>0</v>
      </c>
      <c r="S29" s="11">
        <v>119.7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46">
        <v>46035</v>
      </c>
      <c r="AE29" s="14" t="s">
        <v>262</v>
      </c>
      <c r="AF29" s="19">
        <v>6364095</v>
      </c>
      <c r="AG29" s="14"/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511</v>
      </c>
      <c r="AT29" s="14"/>
      <c r="AU29" s="11"/>
      <c r="AV29" s="14"/>
    </row>
    <row r="30" spans="1:49" s="45" customFormat="1" ht="15" x14ac:dyDescent="0.25">
      <c r="A30" s="46">
        <v>46036</v>
      </c>
      <c r="B30" s="13"/>
      <c r="C30" s="41" t="s">
        <v>49</v>
      </c>
      <c r="D30" s="42" t="s">
        <v>294</v>
      </c>
      <c r="E30" s="14"/>
      <c r="F30" s="63">
        <v>5117</v>
      </c>
      <c r="G30" s="42" t="s">
        <v>50</v>
      </c>
      <c r="H30" s="31">
        <v>10061702071</v>
      </c>
      <c r="I30" s="43" t="str">
        <f>IF(H30="","",VLOOKUP(H30,ENTIDAD!$B$2:$C$613,2,0))</f>
        <v>CORAL FLORES IVAN MARTIN</v>
      </c>
      <c r="J30" s="11"/>
      <c r="K30" s="11"/>
      <c r="L30" s="11"/>
      <c r="M30" s="11"/>
      <c r="N30" s="11">
        <f t="shared" si="0"/>
        <v>0</v>
      </c>
      <c r="O30" s="11">
        <f t="shared" si="1"/>
        <v>0</v>
      </c>
      <c r="P30" s="11">
        <v>645</v>
      </c>
      <c r="Q30" s="11"/>
      <c r="R30" s="11">
        <v>0</v>
      </c>
      <c r="S30" s="11">
        <v>645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46">
        <v>46036</v>
      </c>
      <c r="AE30" s="14" t="s">
        <v>465</v>
      </c>
      <c r="AF30" s="37" t="s">
        <v>512</v>
      </c>
      <c r="AG30" s="34" t="s">
        <v>513</v>
      </c>
      <c r="AH30" s="34" t="s">
        <v>225</v>
      </c>
      <c r="AI30" s="34"/>
      <c r="AJ30" s="34"/>
      <c r="AK30" s="38"/>
      <c r="AL30" s="35"/>
      <c r="AM30" s="35"/>
      <c r="AN30" s="34"/>
      <c r="AO30" s="34"/>
      <c r="AP30" s="33"/>
      <c r="AQ30" s="34"/>
      <c r="AR30" s="35">
        <v>18</v>
      </c>
      <c r="AS30" s="34" t="s">
        <v>514</v>
      </c>
      <c r="AT30" s="14"/>
      <c r="AU30" s="11"/>
      <c r="AV30" s="14"/>
    </row>
    <row r="31" spans="1:49" s="81" customFormat="1" ht="15" x14ac:dyDescent="0.25">
      <c r="A31" s="46">
        <v>46037</v>
      </c>
      <c r="B31" s="13"/>
      <c r="C31" s="41" t="s">
        <v>49</v>
      </c>
      <c r="D31" s="42" t="s">
        <v>444</v>
      </c>
      <c r="E31" s="14"/>
      <c r="F31" s="63">
        <v>708</v>
      </c>
      <c r="G31" s="41" t="s">
        <v>50</v>
      </c>
      <c r="H31" s="31">
        <v>20611526572</v>
      </c>
      <c r="I31" s="43" t="str">
        <f>IF(H31="","",VLOOKUP(H31,ENTIDAD!$B$2:$C$613,2,0))</f>
        <v>GRUPO SUKKIE E.I.R.L.</v>
      </c>
      <c r="J31" s="11"/>
      <c r="K31" s="11"/>
      <c r="L31" s="11"/>
      <c r="M31" s="11"/>
      <c r="N31" s="11">
        <f t="shared" si="0"/>
        <v>0</v>
      </c>
      <c r="O31" s="11">
        <f t="shared" si="1"/>
        <v>0</v>
      </c>
      <c r="P31" s="11">
        <v>61.2</v>
      </c>
      <c r="Q31" s="11"/>
      <c r="R31" s="11">
        <v>0</v>
      </c>
      <c r="S31" s="11">
        <v>61.2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46">
        <v>46037</v>
      </c>
      <c r="AE31" s="14" t="s">
        <v>262</v>
      </c>
      <c r="AF31" s="37" t="s">
        <v>515</v>
      </c>
      <c r="AG31" s="14"/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187</v>
      </c>
      <c r="AT31" s="14"/>
      <c r="AU31" s="11"/>
      <c r="AV31" s="14"/>
      <c r="AW31" s="45"/>
    </row>
    <row r="32" spans="1:49" s="47" customFormat="1" ht="15" x14ac:dyDescent="0.25">
      <c r="A32" s="46">
        <v>46037</v>
      </c>
      <c r="B32" s="13"/>
      <c r="C32" s="41" t="s">
        <v>49</v>
      </c>
      <c r="D32" s="42" t="s">
        <v>301</v>
      </c>
      <c r="E32" s="14"/>
      <c r="F32" s="63">
        <v>16314</v>
      </c>
      <c r="G32" s="42" t="s">
        <v>50</v>
      </c>
      <c r="H32" s="31">
        <v>20493508645</v>
      </c>
      <c r="I32" s="43" t="str">
        <f>IF(H32="","",VLOOKUP(H32,ENTIDAD!$B$2:$C$613,2,0))</f>
        <v>HONDA SELVA DEL PERU S.A.</v>
      </c>
      <c r="J32" s="11"/>
      <c r="K32" s="11"/>
      <c r="L32" s="11"/>
      <c r="M32" s="11"/>
      <c r="N32" s="11">
        <f t="shared" si="0"/>
        <v>4.0677965690689635E-4</v>
      </c>
      <c r="O32" s="11">
        <f t="shared" si="1"/>
        <v>7.3220338243241338E-5</v>
      </c>
      <c r="P32" s="11">
        <v>61102.43</v>
      </c>
      <c r="Q32" s="11"/>
      <c r="R32" s="11"/>
      <c r="S32" s="11">
        <f>W32*AC32</f>
        <v>61102.430479999995</v>
      </c>
      <c r="T32" s="14"/>
      <c r="U32" s="14"/>
      <c r="V32" s="13"/>
      <c r="W32" s="15">
        <v>3.367</v>
      </c>
      <c r="X32" s="13"/>
      <c r="Y32" s="14"/>
      <c r="Z32" s="14"/>
      <c r="AA32" s="14"/>
      <c r="AB32" s="42" t="s">
        <v>383</v>
      </c>
      <c r="AC32" s="11">
        <v>18147.439999999999</v>
      </c>
      <c r="AD32" s="46">
        <v>46068</v>
      </c>
      <c r="AE32" s="14" t="s">
        <v>465</v>
      </c>
      <c r="AF32" s="19" t="s">
        <v>532</v>
      </c>
      <c r="AG32" s="14"/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201</v>
      </c>
      <c r="AT32" s="14"/>
      <c r="AU32" s="11"/>
      <c r="AV32" s="14"/>
      <c r="AW32" s="45"/>
    </row>
    <row r="33" spans="1:49" s="45" customFormat="1" ht="15" x14ac:dyDescent="0.25">
      <c r="A33" s="82">
        <v>46037</v>
      </c>
      <c r="B33" s="82"/>
      <c r="C33" s="83" t="s">
        <v>49</v>
      </c>
      <c r="D33" s="84" t="s">
        <v>544</v>
      </c>
      <c r="E33" s="85"/>
      <c r="F33" s="86">
        <v>573296</v>
      </c>
      <c r="G33" s="83" t="s">
        <v>50</v>
      </c>
      <c r="H33" s="32">
        <v>20100047218</v>
      </c>
      <c r="I33" s="87" t="str">
        <f>IF(H33="","",VLOOKUP(H33,ENTIDAD!$B$2:$C$613,2,0))</f>
        <v>BANCO DE CREDITO DEL PERU</v>
      </c>
      <c r="J33" s="88"/>
      <c r="K33" s="88"/>
      <c r="L33" s="88"/>
      <c r="M33" s="88"/>
      <c r="N33" s="88">
        <f t="shared" si="0"/>
        <v>0</v>
      </c>
      <c r="O33" s="88">
        <f t="shared" si="1"/>
        <v>0</v>
      </c>
      <c r="P33" s="88">
        <v>5503.5</v>
      </c>
      <c r="Q33" s="88"/>
      <c r="R33" s="88"/>
      <c r="S33" s="88">
        <v>5503.5</v>
      </c>
      <c r="T33" s="85"/>
      <c r="U33" s="85"/>
      <c r="V33" s="82"/>
      <c r="W33" s="40"/>
      <c r="X33" s="82"/>
      <c r="Y33" s="85"/>
      <c r="Z33" s="85"/>
      <c r="AA33" s="85"/>
      <c r="AB33" s="84" t="s">
        <v>224</v>
      </c>
      <c r="AC33" s="88"/>
      <c r="AD33" s="82">
        <v>46037</v>
      </c>
      <c r="AE33" s="85" t="s">
        <v>465</v>
      </c>
      <c r="AF33" s="89"/>
      <c r="AG33" s="85"/>
      <c r="AH33" s="85" t="s">
        <v>225</v>
      </c>
      <c r="AI33" s="85"/>
      <c r="AJ33" s="85"/>
      <c r="AK33" s="90"/>
      <c r="AL33" s="88"/>
      <c r="AM33" s="88"/>
      <c r="AN33" s="85"/>
      <c r="AO33" s="85"/>
      <c r="AP33" s="82"/>
      <c r="AQ33" s="85"/>
      <c r="AR33" s="88">
        <v>18</v>
      </c>
      <c r="AS33" s="85"/>
      <c r="AT33" s="85"/>
      <c r="AU33" s="88"/>
      <c r="AV33" s="85"/>
      <c r="AW33" s="91"/>
    </row>
    <row r="34" spans="1:49" s="45" customFormat="1" ht="15" x14ac:dyDescent="0.25">
      <c r="A34" s="46">
        <v>46038</v>
      </c>
      <c r="B34" s="13"/>
      <c r="C34" s="41" t="s">
        <v>49</v>
      </c>
      <c r="D34" s="42" t="s">
        <v>294</v>
      </c>
      <c r="E34" s="14"/>
      <c r="F34" s="65">
        <v>15611</v>
      </c>
      <c r="G34" s="42" t="s">
        <v>50</v>
      </c>
      <c r="H34" s="31">
        <v>20444766906</v>
      </c>
      <c r="I34" s="43" t="str">
        <f>IF(H34="","",VLOOKUP(H34,ENTIDAD!$B$2:$C$613,2,0))</f>
        <v> EMPRESA DE TRANSPORTES PROFAMSE SRL</v>
      </c>
      <c r="J34" s="11"/>
      <c r="K34" s="11"/>
      <c r="L34" s="11"/>
      <c r="M34" s="11"/>
      <c r="N34" s="11">
        <f t="shared" si="0"/>
        <v>0</v>
      </c>
      <c r="O34" s="11">
        <f t="shared" si="1"/>
        <v>0</v>
      </c>
      <c r="P34" s="11">
        <v>40</v>
      </c>
      <c r="Q34" s="11"/>
      <c r="R34" s="11">
        <v>0</v>
      </c>
      <c r="S34" s="11">
        <v>40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46">
        <v>46038</v>
      </c>
      <c r="AE34" s="14" t="s">
        <v>465</v>
      </c>
      <c r="AF34" s="73">
        <v>6311295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516</v>
      </c>
      <c r="AT34" s="14"/>
      <c r="AU34" s="11"/>
      <c r="AV34" s="14"/>
    </row>
    <row r="35" spans="1:49" s="45" customFormat="1" ht="15" x14ac:dyDescent="0.25">
      <c r="A35" s="46">
        <v>46038</v>
      </c>
      <c r="B35" s="13"/>
      <c r="C35" s="41" t="s">
        <v>49</v>
      </c>
      <c r="D35" s="42" t="s">
        <v>292</v>
      </c>
      <c r="E35" s="14"/>
      <c r="F35" s="63">
        <v>1160</v>
      </c>
      <c r="G35" s="41" t="s">
        <v>50</v>
      </c>
      <c r="H35" s="31">
        <v>20485903811</v>
      </c>
      <c r="I35" s="43" t="str">
        <f>IF(H35="","",VLOOKUP(H35,ENTIDAD!$B$2:$C$613,2,0))</f>
        <v>EMPRESA DE TRANSPORTES ECO TURISTICO SA</v>
      </c>
      <c r="J35" s="11"/>
      <c r="K35" s="11"/>
      <c r="L35" s="11"/>
      <c r="M35" s="11"/>
      <c r="N35" s="11">
        <f t="shared" si="0"/>
        <v>0</v>
      </c>
      <c r="O35" s="11">
        <f t="shared" si="1"/>
        <v>0</v>
      </c>
      <c r="P35" s="11">
        <v>40</v>
      </c>
      <c r="Q35" s="11"/>
      <c r="R35" s="11">
        <v>0</v>
      </c>
      <c r="S35" s="11">
        <v>40</v>
      </c>
      <c r="T35" s="14"/>
      <c r="U35" s="14"/>
      <c r="V35" s="13"/>
      <c r="W35" s="15"/>
      <c r="X35" s="13"/>
      <c r="Y35" s="14"/>
      <c r="Z35" s="14"/>
      <c r="AA35" s="14"/>
      <c r="AB35" s="42" t="s">
        <v>224</v>
      </c>
      <c r="AC35" s="11"/>
      <c r="AD35" s="46">
        <v>46038</v>
      </c>
      <c r="AE35" s="14" t="s">
        <v>465</v>
      </c>
      <c r="AF35" s="19">
        <v>6311295</v>
      </c>
      <c r="AG35" s="14" t="s">
        <v>513</v>
      </c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516</v>
      </c>
      <c r="AT35" s="14"/>
      <c r="AU35" s="11"/>
      <c r="AV35" s="14"/>
    </row>
    <row r="36" spans="1:49" s="45" customFormat="1" ht="15" x14ac:dyDescent="0.25">
      <c r="A36" s="46">
        <v>46038</v>
      </c>
      <c r="B36" s="13"/>
      <c r="C36" s="41" t="s">
        <v>49</v>
      </c>
      <c r="D36" s="42" t="s">
        <v>292</v>
      </c>
      <c r="E36" s="14"/>
      <c r="F36" s="63">
        <v>5965</v>
      </c>
      <c r="G36" s="42" t="s">
        <v>50</v>
      </c>
      <c r="H36" s="31">
        <v>20602783341</v>
      </c>
      <c r="I36" s="43" t="str">
        <f>IF(H36="","",VLOOKUP(H36,ENTIDAD!$B$2:$C$613,2,0))</f>
        <v>CODISSER VRAEM E.I.R.L.</v>
      </c>
      <c r="J36" s="11"/>
      <c r="K36" s="11"/>
      <c r="L36" s="11"/>
      <c r="M36" s="11"/>
      <c r="N36" s="11">
        <f t="shared" ref="N36:N59" si="2">(S36-P36)/1.18</f>
        <v>0</v>
      </c>
      <c r="O36" s="11">
        <f t="shared" ref="O36:O67" si="3">N36*0.18</f>
        <v>0</v>
      </c>
      <c r="P36" s="11">
        <v>16</v>
      </c>
      <c r="Q36" s="11"/>
      <c r="R36" s="11">
        <v>0</v>
      </c>
      <c r="S36" s="11">
        <v>16</v>
      </c>
      <c r="T36" s="14"/>
      <c r="U36" s="14"/>
      <c r="V36" s="13"/>
      <c r="W36" s="15"/>
      <c r="X36" s="13"/>
      <c r="Y36" s="14"/>
      <c r="Z36" s="14"/>
      <c r="AA36" s="14"/>
      <c r="AB36" s="42" t="s">
        <v>224</v>
      </c>
      <c r="AC36" s="11"/>
      <c r="AD36" s="46">
        <v>46038</v>
      </c>
      <c r="AE36" s="14" t="s">
        <v>262</v>
      </c>
      <c r="AF36" s="19" t="s">
        <v>492</v>
      </c>
      <c r="AG36" s="14"/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493</v>
      </c>
      <c r="AT36" s="14"/>
      <c r="AU36" s="11"/>
      <c r="AV36" s="14"/>
    </row>
    <row r="37" spans="1:49" s="45" customFormat="1" ht="15" x14ac:dyDescent="0.25">
      <c r="A37" s="46">
        <v>46038</v>
      </c>
      <c r="B37" s="13"/>
      <c r="C37" s="41" t="s">
        <v>49</v>
      </c>
      <c r="D37" s="42" t="s">
        <v>292</v>
      </c>
      <c r="E37" s="14"/>
      <c r="F37" s="63">
        <v>2281</v>
      </c>
      <c r="G37" s="41" t="s">
        <v>50</v>
      </c>
      <c r="H37" s="31">
        <v>20541326384</v>
      </c>
      <c r="I37" s="43" t="str">
        <f>IF(H37="","",VLOOKUP(H37,ENTIDAD!$B$2:$C$613,2,0))</f>
        <v>AEROM INVERSIONES NEGOCIOS SERVICIOS E.I.R.L.</v>
      </c>
      <c r="J37" s="11"/>
      <c r="K37" s="11"/>
      <c r="L37" s="11"/>
      <c r="M37" s="11"/>
      <c r="N37" s="11">
        <f t="shared" si="2"/>
        <v>0</v>
      </c>
      <c r="O37" s="11">
        <f t="shared" si="3"/>
        <v>0</v>
      </c>
      <c r="P37" s="11">
        <v>46</v>
      </c>
      <c r="Q37" s="11"/>
      <c r="R37" s="11">
        <v>0</v>
      </c>
      <c r="S37" s="11">
        <v>46</v>
      </c>
      <c r="T37" s="14"/>
      <c r="U37" s="14"/>
      <c r="V37" s="13"/>
      <c r="W37" s="15"/>
      <c r="X37" s="13"/>
      <c r="Y37" s="14"/>
      <c r="Z37" s="14"/>
      <c r="AA37" s="14"/>
      <c r="AB37" s="42" t="s">
        <v>224</v>
      </c>
      <c r="AC37" s="11"/>
      <c r="AD37" s="46">
        <v>46038</v>
      </c>
      <c r="AE37" s="14" t="s">
        <v>465</v>
      </c>
      <c r="AF37" s="73" t="s">
        <v>509</v>
      </c>
      <c r="AG37" s="14"/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517</v>
      </c>
      <c r="AT37" s="14"/>
      <c r="AU37" s="11"/>
      <c r="AV37" s="14"/>
    </row>
    <row r="38" spans="1:49" s="45" customFormat="1" ht="15" x14ac:dyDescent="0.25">
      <c r="A38" s="13">
        <v>46038</v>
      </c>
      <c r="B38" s="13"/>
      <c r="C38" s="41" t="s">
        <v>49</v>
      </c>
      <c r="D38" s="42" t="s">
        <v>441</v>
      </c>
      <c r="E38" s="14"/>
      <c r="F38" s="63">
        <v>41464917</v>
      </c>
      <c r="G38" s="42" t="s">
        <v>50</v>
      </c>
      <c r="H38" s="31">
        <v>20100047218</v>
      </c>
      <c r="I38" s="43" t="str">
        <f>IF(H38="","",VLOOKUP(H38,ENTIDAD!$B$2:$C$613,2,0))</f>
        <v>BANCO DE CREDITO DEL PERU</v>
      </c>
      <c r="J38" s="11"/>
      <c r="K38" s="11"/>
      <c r="L38" s="11"/>
      <c r="M38" s="11"/>
      <c r="N38" s="11">
        <f t="shared" si="2"/>
        <v>0</v>
      </c>
      <c r="O38" s="11">
        <f t="shared" si="3"/>
        <v>0</v>
      </c>
      <c r="P38" s="11">
        <v>10</v>
      </c>
      <c r="Q38" s="11"/>
      <c r="R38" s="11"/>
      <c r="S38" s="11">
        <v>10</v>
      </c>
      <c r="T38" s="14"/>
      <c r="U38" s="14"/>
      <c r="V38" s="13"/>
      <c r="W38" s="15"/>
      <c r="X38" s="13"/>
      <c r="Y38" s="14"/>
      <c r="Z38" s="14"/>
      <c r="AA38" s="14"/>
      <c r="AB38" s="42" t="s">
        <v>224</v>
      </c>
      <c r="AC38" s="11"/>
      <c r="AD38" s="13">
        <v>46038</v>
      </c>
      <c r="AE38" s="14" t="s">
        <v>465</v>
      </c>
      <c r="AF38" s="19" t="s">
        <v>494</v>
      </c>
      <c r="AG38" s="14"/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495</v>
      </c>
      <c r="AT38" s="14"/>
      <c r="AU38" s="11"/>
      <c r="AV38" s="14"/>
    </row>
    <row r="39" spans="1:49" s="45" customFormat="1" ht="15" x14ac:dyDescent="0.25">
      <c r="A39" s="13">
        <v>46038</v>
      </c>
      <c r="B39" s="13"/>
      <c r="C39" s="41" t="s">
        <v>49</v>
      </c>
      <c r="D39" s="42" t="s">
        <v>441</v>
      </c>
      <c r="E39" s="14"/>
      <c r="F39" s="63">
        <v>41464993</v>
      </c>
      <c r="G39" s="41" t="s">
        <v>50</v>
      </c>
      <c r="H39" s="31">
        <v>20100047218</v>
      </c>
      <c r="I39" s="43" t="str">
        <f>IF(H39="","",VLOOKUP(H39,ENTIDAD!$B$2:$C$613,2,0))</f>
        <v>BANCO DE CREDITO DEL PERU</v>
      </c>
      <c r="J39" s="11"/>
      <c r="K39" s="11"/>
      <c r="L39" s="11"/>
      <c r="M39" s="11"/>
      <c r="N39" s="11">
        <f t="shared" si="2"/>
        <v>0</v>
      </c>
      <c r="O39" s="11">
        <f t="shared" si="3"/>
        <v>0</v>
      </c>
      <c r="P39" s="11">
        <v>10</v>
      </c>
      <c r="Q39" s="11"/>
      <c r="R39" s="11"/>
      <c r="S39" s="11">
        <v>10</v>
      </c>
      <c r="T39" s="14"/>
      <c r="U39" s="14"/>
      <c r="V39" s="13"/>
      <c r="W39" s="15"/>
      <c r="X39" s="13"/>
      <c r="Y39" s="14"/>
      <c r="Z39" s="14"/>
      <c r="AA39" s="14"/>
      <c r="AB39" s="42" t="s">
        <v>224</v>
      </c>
      <c r="AC39" s="11"/>
      <c r="AD39" s="13">
        <v>46038</v>
      </c>
      <c r="AE39" s="14" t="s">
        <v>465</v>
      </c>
      <c r="AF39" s="19" t="s">
        <v>494</v>
      </c>
      <c r="AG39" s="14"/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495</v>
      </c>
      <c r="AT39" s="14"/>
      <c r="AU39" s="11"/>
      <c r="AV39" s="14"/>
    </row>
    <row r="40" spans="1:49" s="45" customFormat="1" ht="15" x14ac:dyDescent="0.25">
      <c r="A40" s="46">
        <v>46039</v>
      </c>
      <c r="B40" s="13"/>
      <c r="C40" s="41" t="s">
        <v>49</v>
      </c>
      <c r="D40" s="42" t="s">
        <v>294</v>
      </c>
      <c r="E40" s="14"/>
      <c r="F40" s="63">
        <v>590</v>
      </c>
      <c r="G40" s="42" t="s">
        <v>50</v>
      </c>
      <c r="H40" s="31">
        <v>10733910921</v>
      </c>
      <c r="I40" s="43" t="str">
        <f>IF(H40="","",VLOOKUP(H40,ENTIDAD!$B$2:$C$613,2,0))</f>
        <v>MADUEÑO HUAMAN LILI CLISSELY</v>
      </c>
      <c r="J40" s="11"/>
      <c r="K40" s="11"/>
      <c r="L40" s="11"/>
      <c r="M40" s="11"/>
      <c r="N40" s="11">
        <f t="shared" si="2"/>
        <v>0</v>
      </c>
      <c r="O40" s="11">
        <f t="shared" si="3"/>
        <v>0</v>
      </c>
      <c r="P40" s="11">
        <v>7</v>
      </c>
      <c r="Q40" s="11"/>
      <c r="R40" s="11">
        <v>0</v>
      </c>
      <c r="S40" s="11">
        <v>7</v>
      </c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46">
        <v>46039</v>
      </c>
      <c r="AE40" s="14" t="s">
        <v>262</v>
      </c>
      <c r="AF40" s="99" t="s">
        <v>518</v>
      </c>
      <c r="AG40" s="14"/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519</v>
      </c>
      <c r="AT40" s="14"/>
      <c r="AU40" s="11"/>
      <c r="AV40" s="14"/>
    </row>
    <row r="41" spans="1:49" s="45" customFormat="1" ht="15" x14ac:dyDescent="0.25">
      <c r="A41" s="33">
        <v>46039</v>
      </c>
      <c r="B41" s="33"/>
      <c r="C41" s="70" t="s">
        <v>49</v>
      </c>
      <c r="D41" s="48" t="s">
        <v>543</v>
      </c>
      <c r="E41" s="34"/>
      <c r="F41" s="71">
        <v>4433</v>
      </c>
      <c r="G41" s="70" t="s">
        <v>50</v>
      </c>
      <c r="H41" s="31">
        <v>20601012261</v>
      </c>
      <c r="I41" s="49" t="str">
        <f>IF(H41="","",VLOOKUP(H41,ENTIDAD!$B$2:$C$613,2,0))</f>
        <v>IMPORTADORA DE REPUESTOS LA ROCA E.I.R.L.</v>
      </c>
      <c r="J41" s="35"/>
      <c r="K41" s="35"/>
      <c r="L41" s="35"/>
      <c r="M41" s="35"/>
      <c r="N41" s="35">
        <f t="shared" si="2"/>
        <v>0</v>
      </c>
      <c r="O41" s="35">
        <f t="shared" si="3"/>
        <v>0</v>
      </c>
      <c r="P41" s="35">
        <v>5</v>
      </c>
      <c r="Q41" s="35"/>
      <c r="R41" s="35"/>
      <c r="S41" s="35">
        <v>5</v>
      </c>
      <c r="T41" s="34"/>
      <c r="U41" s="34"/>
      <c r="V41" s="33"/>
      <c r="W41" s="36"/>
      <c r="X41" s="33"/>
      <c r="Y41" s="34"/>
      <c r="Z41" s="34"/>
      <c r="AA41" s="34"/>
      <c r="AB41" s="48" t="s">
        <v>224</v>
      </c>
      <c r="AC41" s="35"/>
      <c r="AD41" s="33">
        <v>46039</v>
      </c>
      <c r="AE41" s="34" t="s">
        <v>465</v>
      </c>
      <c r="AF41" s="37" t="s">
        <v>518</v>
      </c>
      <c r="AG41" s="34"/>
      <c r="AH41" s="34" t="s">
        <v>225</v>
      </c>
      <c r="AI41" s="34"/>
      <c r="AJ41" s="34"/>
      <c r="AK41" s="38"/>
      <c r="AL41" s="35"/>
      <c r="AM41" s="35"/>
      <c r="AN41" s="34"/>
      <c r="AO41" s="34"/>
      <c r="AP41" s="33"/>
      <c r="AQ41" s="34"/>
      <c r="AR41" s="35">
        <v>18</v>
      </c>
      <c r="AS41" s="34" t="s">
        <v>549</v>
      </c>
      <c r="AT41" s="34"/>
      <c r="AU41" s="35"/>
      <c r="AV41" s="34"/>
      <c r="AW41"/>
    </row>
    <row r="42" spans="1:49" s="47" customFormat="1" ht="15" x14ac:dyDescent="0.25">
      <c r="A42" s="74">
        <v>46041</v>
      </c>
      <c r="B42" s="26"/>
      <c r="C42" s="75" t="s">
        <v>49</v>
      </c>
      <c r="D42" s="76" t="s">
        <v>292</v>
      </c>
      <c r="E42" s="27"/>
      <c r="F42" s="77">
        <v>63</v>
      </c>
      <c r="G42" s="76" t="s">
        <v>50</v>
      </c>
      <c r="H42" s="32">
        <v>10733619207</v>
      </c>
      <c r="I42" s="78" t="str">
        <f>IF(H42="","",VLOOKUP(H42,ENTIDAD!$B$2:$C$613,2,0))</f>
        <v>UNTIVEROS SOLDEVILLA MIGUEL COLIN</v>
      </c>
      <c r="J42" s="28"/>
      <c r="K42" s="28"/>
      <c r="L42" s="28"/>
      <c r="M42" s="28"/>
      <c r="N42" s="28">
        <f t="shared" si="2"/>
        <v>0</v>
      </c>
      <c r="O42" s="28">
        <f t="shared" si="3"/>
        <v>0</v>
      </c>
      <c r="P42" s="28">
        <v>1250</v>
      </c>
      <c r="Q42" s="28"/>
      <c r="R42" s="28">
        <v>0</v>
      </c>
      <c r="S42" s="28">
        <v>1250</v>
      </c>
      <c r="T42" s="27"/>
      <c r="U42" s="27"/>
      <c r="V42" s="26"/>
      <c r="W42" s="80"/>
      <c r="X42" s="26"/>
      <c r="Y42" s="27"/>
      <c r="Z42" s="27"/>
      <c r="AA42" s="27"/>
      <c r="AB42" s="76" t="s">
        <v>224</v>
      </c>
      <c r="AC42" s="28"/>
      <c r="AD42" s="74">
        <v>46041</v>
      </c>
      <c r="AE42" s="27" t="s">
        <v>465</v>
      </c>
      <c r="AF42" s="29"/>
      <c r="AG42" s="27"/>
      <c r="AH42" s="27" t="s">
        <v>225</v>
      </c>
      <c r="AI42" s="27"/>
      <c r="AJ42" s="27"/>
      <c r="AK42" s="30"/>
      <c r="AL42" s="28"/>
      <c r="AM42" s="28"/>
      <c r="AN42" s="27"/>
      <c r="AO42" s="27"/>
      <c r="AP42" s="26"/>
      <c r="AQ42" s="27"/>
      <c r="AR42" s="28">
        <v>18</v>
      </c>
      <c r="AS42" s="27" t="s">
        <v>520</v>
      </c>
      <c r="AT42" s="27"/>
      <c r="AU42" s="28"/>
      <c r="AV42" s="27"/>
      <c r="AW42" s="81"/>
    </row>
    <row r="43" spans="1:49" s="47" customFormat="1" ht="15" x14ac:dyDescent="0.25">
      <c r="A43" s="46">
        <v>46041</v>
      </c>
      <c r="B43" s="13"/>
      <c r="C43" s="41" t="s">
        <v>49</v>
      </c>
      <c r="D43" s="42" t="s">
        <v>451</v>
      </c>
      <c r="E43" s="14"/>
      <c r="F43" s="63">
        <v>143</v>
      </c>
      <c r="G43" s="41" t="s">
        <v>50</v>
      </c>
      <c r="H43" s="31">
        <v>10209907327</v>
      </c>
      <c r="I43" s="43" t="str">
        <f>IF(H43="","",VLOOKUP(H43,ENTIDAD!$B$2:$C$613,2,0))</f>
        <v>TORPOCO,MAYTA,HECTOR,ALFONSO</v>
      </c>
      <c r="J43" s="11"/>
      <c r="K43" s="11"/>
      <c r="L43" s="11"/>
      <c r="M43" s="11"/>
      <c r="N43" s="11">
        <f t="shared" si="2"/>
        <v>0</v>
      </c>
      <c r="O43" s="11">
        <f t="shared" si="3"/>
        <v>0</v>
      </c>
      <c r="P43" s="11">
        <v>10</v>
      </c>
      <c r="Q43" s="11"/>
      <c r="R43" s="11">
        <v>0</v>
      </c>
      <c r="S43" s="11">
        <v>10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46">
        <v>46041</v>
      </c>
      <c r="AE43" s="14" t="s">
        <v>262</v>
      </c>
      <c r="AF43" s="19" t="s">
        <v>486</v>
      </c>
      <c r="AG43" s="14"/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487</v>
      </c>
      <c r="AT43" s="14"/>
      <c r="AU43" s="11"/>
      <c r="AV43" s="14"/>
      <c r="AW43" s="45"/>
    </row>
    <row r="44" spans="1:49" customFormat="1" ht="15" x14ac:dyDescent="0.25">
      <c r="A44" s="46">
        <v>46041</v>
      </c>
      <c r="B44" s="13"/>
      <c r="C44" s="41" t="s">
        <v>49</v>
      </c>
      <c r="D44" s="42" t="s">
        <v>294</v>
      </c>
      <c r="E44" s="14"/>
      <c r="F44" s="63">
        <v>5387</v>
      </c>
      <c r="G44" s="42" t="s">
        <v>50</v>
      </c>
      <c r="H44" s="31">
        <v>10421947665</v>
      </c>
      <c r="I44" s="43" t="str">
        <f>IF(H44="","",VLOOKUP(H44,ENTIDAD!$B$2:$C$613,2,0))</f>
        <v>MAYTA,MADUEÑO,SAUL,JESUS</v>
      </c>
      <c r="J44" s="11"/>
      <c r="K44" s="11"/>
      <c r="L44" s="11"/>
      <c r="M44" s="11"/>
      <c r="N44" s="11">
        <f t="shared" si="2"/>
        <v>0</v>
      </c>
      <c r="O44" s="11">
        <f t="shared" si="3"/>
        <v>0</v>
      </c>
      <c r="P44" s="11">
        <v>94.5</v>
      </c>
      <c r="Q44" s="11"/>
      <c r="R44" s="11">
        <v>0</v>
      </c>
      <c r="S44" s="11">
        <v>94.5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46">
        <v>46041</v>
      </c>
      <c r="AE44" s="14" t="s">
        <v>262</v>
      </c>
      <c r="AF44" s="37" t="s">
        <v>515</v>
      </c>
      <c r="AG44" s="14"/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187</v>
      </c>
      <c r="AT44" s="14"/>
      <c r="AU44" s="11"/>
      <c r="AV44" s="14"/>
      <c r="AW44" s="45"/>
    </row>
    <row r="45" spans="1:49" customFormat="1" ht="15" x14ac:dyDescent="0.25">
      <c r="A45" s="46">
        <v>46042</v>
      </c>
      <c r="B45" s="13"/>
      <c r="C45" s="41" t="s">
        <v>49</v>
      </c>
      <c r="D45" s="42" t="s">
        <v>294</v>
      </c>
      <c r="E45" s="14"/>
      <c r="F45" s="63">
        <v>5133</v>
      </c>
      <c r="G45" s="41" t="s">
        <v>50</v>
      </c>
      <c r="H45" s="31">
        <v>10061702071</v>
      </c>
      <c r="I45" s="43" t="str">
        <f>IF(H45="","",VLOOKUP(H45,ENTIDAD!$B$2:$C$613,2,0))</f>
        <v>CORAL FLORES IVAN MARTIN</v>
      </c>
      <c r="J45" s="11"/>
      <c r="K45" s="11"/>
      <c r="L45" s="11"/>
      <c r="M45" s="11"/>
      <c r="N45" s="11">
        <f t="shared" si="2"/>
        <v>0</v>
      </c>
      <c r="O45" s="11">
        <f t="shared" si="3"/>
        <v>0</v>
      </c>
      <c r="P45" s="11">
        <v>300</v>
      </c>
      <c r="Q45" s="11"/>
      <c r="R45" s="11">
        <v>0</v>
      </c>
      <c r="S45" s="11">
        <v>300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46">
        <v>46042</v>
      </c>
      <c r="AE45" s="14" t="s">
        <v>465</v>
      </c>
      <c r="AF45" s="37" t="s">
        <v>512</v>
      </c>
      <c r="AG45" s="34" t="s">
        <v>513</v>
      </c>
      <c r="AH45" s="34" t="s">
        <v>225</v>
      </c>
      <c r="AI45" s="34"/>
      <c r="AJ45" s="34"/>
      <c r="AK45" s="38"/>
      <c r="AL45" s="35"/>
      <c r="AM45" s="35"/>
      <c r="AN45" s="34"/>
      <c r="AO45" s="34"/>
      <c r="AP45" s="33"/>
      <c r="AQ45" s="34"/>
      <c r="AR45" s="35">
        <v>18</v>
      </c>
      <c r="AS45" s="34" t="s">
        <v>514</v>
      </c>
      <c r="AT45" s="14"/>
      <c r="AU45" s="11"/>
      <c r="AV45" s="14"/>
      <c r="AW45" s="45"/>
    </row>
    <row r="46" spans="1:49" customFormat="1" ht="15" x14ac:dyDescent="0.25">
      <c r="A46" s="13">
        <v>46042</v>
      </c>
      <c r="B46" s="13"/>
      <c r="C46" s="41" t="s">
        <v>49</v>
      </c>
      <c r="D46" s="42" t="s">
        <v>294</v>
      </c>
      <c r="E46" s="14"/>
      <c r="F46" s="63">
        <v>116927</v>
      </c>
      <c r="G46" s="42" t="s">
        <v>50</v>
      </c>
      <c r="H46" s="31">
        <v>20568499043</v>
      </c>
      <c r="I46" s="43" t="str">
        <f>IF(H46="","",VLOOKUP(H46,ENTIDAD!$B$2:$C$613,2,0))</f>
        <v>SURTIDORES SAN MIGUEL E.I.R.L.</v>
      </c>
      <c r="J46" s="11"/>
      <c r="K46" s="11"/>
      <c r="L46" s="11"/>
      <c r="M46" s="11"/>
      <c r="N46" s="11">
        <f t="shared" si="2"/>
        <v>0</v>
      </c>
      <c r="O46" s="11">
        <f t="shared" si="3"/>
        <v>0</v>
      </c>
      <c r="P46" s="11">
        <v>99.98</v>
      </c>
      <c r="Q46" s="11"/>
      <c r="R46" s="11"/>
      <c r="S46" s="11">
        <v>99.98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13">
        <v>46042</v>
      </c>
      <c r="AE46" s="14" t="s">
        <v>262</v>
      </c>
      <c r="AF46" s="19" t="s">
        <v>488</v>
      </c>
      <c r="AG46" s="14"/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487</v>
      </c>
      <c r="AT46" s="14"/>
      <c r="AU46" s="11"/>
      <c r="AV46" s="14"/>
      <c r="AW46" s="45"/>
    </row>
    <row r="47" spans="1:49" customFormat="1" ht="15" x14ac:dyDescent="0.25">
      <c r="A47" s="46">
        <v>46043</v>
      </c>
      <c r="B47" s="13"/>
      <c r="C47" s="41" t="s">
        <v>49</v>
      </c>
      <c r="D47" s="42" t="s">
        <v>292</v>
      </c>
      <c r="E47" s="14"/>
      <c r="F47" s="63">
        <v>641</v>
      </c>
      <c r="G47" s="41" t="s">
        <v>50</v>
      </c>
      <c r="H47" s="31">
        <v>10433685721</v>
      </c>
      <c r="I47" s="43" t="str">
        <f>IF(H47="","",VLOOKUP(H47,ENTIDAD!$B$2:$C$613,2,0))</f>
        <v>MANDUJANO,SOLANO,JOSE,ELIAS</v>
      </c>
      <c r="J47" s="11"/>
      <c r="K47" s="11"/>
      <c r="L47" s="11"/>
      <c r="M47" s="11"/>
      <c r="N47" s="11">
        <f t="shared" si="2"/>
        <v>0</v>
      </c>
      <c r="O47" s="11">
        <f t="shared" si="3"/>
        <v>0</v>
      </c>
      <c r="P47" s="11">
        <v>11.8</v>
      </c>
      <c r="Q47" s="11"/>
      <c r="R47" s="11"/>
      <c r="S47" s="11">
        <v>11.8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46">
        <v>46043</v>
      </c>
      <c r="AE47" s="14" t="s">
        <v>262</v>
      </c>
      <c r="AF47" s="37" t="s">
        <v>521</v>
      </c>
      <c r="AG47" s="14"/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522</v>
      </c>
      <c r="AT47" s="14"/>
      <c r="AU47" s="11"/>
      <c r="AV47" s="14"/>
      <c r="AW47" s="45"/>
    </row>
    <row r="48" spans="1:49" s="91" customFormat="1" ht="15" x14ac:dyDescent="0.25">
      <c r="A48" s="46">
        <v>46043</v>
      </c>
      <c r="B48" s="13"/>
      <c r="C48" s="41" t="s">
        <v>49</v>
      </c>
      <c r="D48" s="42" t="s">
        <v>294</v>
      </c>
      <c r="E48" s="14"/>
      <c r="F48" s="63">
        <v>5938</v>
      </c>
      <c r="G48" s="42" t="s">
        <v>50</v>
      </c>
      <c r="H48" s="31">
        <v>20486549328</v>
      </c>
      <c r="I48" s="43" t="str">
        <f>IF(H48="","",VLOOKUP(H48,ENTIDAD!$B$2:$C$613,2,0))</f>
        <v>SANTISIMA TRINIDAD E.I.R.L.</v>
      </c>
      <c r="J48" s="11"/>
      <c r="K48" s="11"/>
      <c r="L48" s="11"/>
      <c r="M48" s="11"/>
      <c r="N48" s="11">
        <f t="shared" si="2"/>
        <v>0</v>
      </c>
      <c r="O48" s="11">
        <f t="shared" si="3"/>
        <v>0</v>
      </c>
      <c r="P48" s="11">
        <v>144</v>
      </c>
      <c r="Q48" s="11"/>
      <c r="R48" s="11"/>
      <c r="S48" s="11">
        <v>144</v>
      </c>
      <c r="T48" s="14"/>
      <c r="U48" s="14"/>
      <c r="V48" s="13"/>
      <c r="W48" s="15"/>
      <c r="X48" s="13"/>
      <c r="Y48" s="14"/>
      <c r="Z48" s="14"/>
      <c r="AA48" s="14"/>
      <c r="AB48" s="42" t="s">
        <v>224</v>
      </c>
      <c r="AC48" s="11"/>
      <c r="AD48" s="46">
        <v>46043</v>
      </c>
      <c r="AE48" s="14" t="s">
        <v>262</v>
      </c>
      <c r="AF48" s="37" t="s">
        <v>521</v>
      </c>
      <c r="AG48" s="14"/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523</v>
      </c>
      <c r="AT48" s="14"/>
      <c r="AU48" s="11"/>
      <c r="AV48" s="14"/>
      <c r="AW48" s="45"/>
    </row>
    <row r="49" spans="1:49" customFormat="1" ht="15" x14ac:dyDescent="0.25">
      <c r="A49" s="46">
        <v>46044</v>
      </c>
      <c r="B49" s="13"/>
      <c r="C49" s="41" t="s">
        <v>49</v>
      </c>
      <c r="D49" s="42" t="s">
        <v>451</v>
      </c>
      <c r="E49" s="14"/>
      <c r="F49" s="63">
        <v>149</v>
      </c>
      <c r="G49" s="41" t="s">
        <v>50</v>
      </c>
      <c r="H49" s="31">
        <v>10209907327</v>
      </c>
      <c r="I49" s="43" t="str">
        <f>IF(H49="","",VLOOKUP(H49,ENTIDAD!$B$2:$C$613,2,0))</f>
        <v>TORPOCO,MAYTA,HECTOR,ALFONSO</v>
      </c>
      <c r="J49" s="11"/>
      <c r="K49" s="11"/>
      <c r="L49" s="11"/>
      <c r="M49" s="11"/>
      <c r="N49" s="11">
        <f t="shared" si="2"/>
        <v>0</v>
      </c>
      <c r="O49" s="11">
        <f t="shared" si="3"/>
        <v>0</v>
      </c>
      <c r="P49" s="11">
        <v>5</v>
      </c>
      <c r="Q49" s="11"/>
      <c r="R49" s="11"/>
      <c r="S49" s="11">
        <v>5</v>
      </c>
      <c r="T49" s="14"/>
      <c r="U49" s="14"/>
      <c r="V49" s="13"/>
      <c r="W49" s="15"/>
      <c r="X49" s="13"/>
      <c r="Y49" s="14"/>
      <c r="Z49" s="14"/>
      <c r="AA49" s="14"/>
      <c r="AB49" s="42" t="s">
        <v>224</v>
      </c>
      <c r="AC49" s="11"/>
      <c r="AD49" s="46">
        <v>46044</v>
      </c>
      <c r="AE49" s="14" t="s">
        <v>262</v>
      </c>
      <c r="AF49" s="19" t="s">
        <v>486</v>
      </c>
      <c r="AG49" s="14"/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487</v>
      </c>
      <c r="AT49" s="14"/>
      <c r="AU49" s="11"/>
      <c r="AV49" s="14"/>
      <c r="AW49" s="45"/>
    </row>
    <row r="50" spans="1:49" customFormat="1" ht="15" x14ac:dyDescent="0.25">
      <c r="A50" s="13">
        <v>46044</v>
      </c>
      <c r="B50" s="13"/>
      <c r="C50" s="41" t="s">
        <v>49</v>
      </c>
      <c r="D50" s="42" t="s">
        <v>538</v>
      </c>
      <c r="E50" s="14"/>
      <c r="F50" s="63">
        <v>827</v>
      </c>
      <c r="G50" s="42" t="s">
        <v>50</v>
      </c>
      <c r="H50" s="31">
        <v>20601012261</v>
      </c>
      <c r="I50" s="43" t="str">
        <f>IF(H50="","",VLOOKUP(H50,ENTIDAD!$B$2:$C$613,2,0))</f>
        <v>IMPORTADORA DE REPUESTOS LA ROCA E.I.R.L.</v>
      </c>
      <c r="J50" s="11"/>
      <c r="K50" s="11"/>
      <c r="L50" s="11"/>
      <c r="M50" s="11"/>
      <c r="N50" s="11">
        <f t="shared" si="2"/>
        <v>0</v>
      </c>
      <c r="O50" s="11">
        <f t="shared" si="3"/>
        <v>0</v>
      </c>
      <c r="P50" s="11">
        <v>30</v>
      </c>
      <c r="Q50" s="11"/>
      <c r="R50" s="11"/>
      <c r="S50" s="11">
        <v>30</v>
      </c>
      <c r="T50" s="14"/>
      <c r="U50" s="14"/>
      <c r="V50" s="13"/>
      <c r="W50" s="15"/>
      <c r="X50" s="13"/>
      <c r="Y50" s="14"/>
      <c r="Z50" s="14"/>
      <c r="AA50" s="14"/>
      <c r="AB50" s="42" t="s">
        <v>224</v>
      </c>
      <c r="AC50" s="11"/>
      <c r="AD50" s="13">
        <v>46044</v>
      </c>
      <c r="AE50" s="14" t="s">
        <v>465</v>
      </c>
      <c r="AF50" s="19" t="s">
        <v>518</v>
      </c>
      <c r="AG50" s="14"/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524</v>
      </c>
      <c r="AT50" s="14"/>
      <c r="AU50" s="11"/>
      <c r="AV50" s="14"/>
      <c r="AW50" s="45"/>
    </row>
    <row r="51" spans="1:49" customFormat="1" ht="15" x14ac:dyDescent="0.25">
      <c r="A51" s="33">
        <v>46046</v>
      </c>
      <c r="B51" s="33"/>
      <c r="C51" s="70" t="s">
        <v>49</v>
      </c>
      <c r="D51" s="48" t="s">
        <v>301</v>
      </c>
      <c r="E51" s="34"/>
      <c r="F51" s="71">
        <v>16458</v>
      </c>
      <c r="G51" s="70" t="s">
        <v>50</v>
      </c>
      <c r="H51" s="31">
        <v>20493508645</v>
      </c>
      <c r="I51" s="49" t="str">
        <f>IF(H51="","",VLOOKUP(H51,ENTIDAD!$B$2:$C$613,2,0))</f>
        <v>HONDA SELVA DEL PERU S.A.</v>
      </c>
      <c r="J51" s="35"/>
      <c r="K51" s="35"/>
      <c r="L51" s="35"/>
      <c r="M51" s="35"/>
      <c r="N51" s="35">
        <f t="shared" si="2"/>
        <v>-1.1779660996842846E-3</v>
      </c>
      <c r="O51" s="35">
        <f t="shared" si="3"/>
        <v>-2.1203389794317122E-4</v>
      </c>
      <c r="P51" s="35">
        <v>65284.82</v>
      </c>
      <c r="Q51" s="35"/>
      <c r="R51" s="35"/>
      <c r="S51" s="35">
        <f>W51*AC51</f>
        <v>65284.818610000002</v>
      </c>
      <c r="T51" s="34"/>
      <c r="U51" s="34"/>
      <c r="V51" s="33"/>
      <c r="W51" s="36">
        <v>3.359</v>
      </c>
      <c r="X51" s="33"/>
      <c r="Y51" s="34"/>
      <c r="Z51" s="34"/>
      <c r="AA51" s="34"/>
      <c r="AB51" s="48" t="s">
        <v>383</v>
      </c>
      <c r="AC51" s="35">
        <v>19435.79</v>
      </c>
      <c r="AD51" s="33">
        <v>46077</v>
      </c>
      <c r="AE51" s="34" t="s">
        <v>465</v>
      </c>
      <c r="AF51" s="73" t="s">
        <v>532</v>
      </c>
      <c r="AG51" s="14"/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201</v>
      </c>
      <c r="AT51" s="34"/>
      <c r="AU51" s="35"/>
      <c r="AV51" s="34"/>
    </row>
    <row r="52" spans="1:49" customFormat="1" ht="15" x14ac:dyDescent="0.25">
      <c r="A52" s="33">
        <v>46046</v>
      </c>
      <c r="B52" s="33"/>
      <c r="C52" s="70" t="s">
        <v>49</v>
      </c>
      <c r="D52" s="48" t="s">
        <v>301</v>
      </c>
      <c r="E52" s="34"/>
      <c r="F52" s="71">
        <v>16461</v>
      </c>
      <c r="G52" s="48" t="s">
        <v>50</v>
      </c>
      <c r="H52" s="31">
        <v>20493508645</v>
      </c>
      <c r="I52" s="49" t="str">
        <f>IF(H52="","",VLOOKUP(H52,ENTIDAD!$B$2:$C$613,2,0))</f>
        <v>HONDA SELVA DEL PERU S.A.</v>
      </c>
      <c r="J52" s="35"/>
      <c r="K52" s="35"/>
      <c r="L52" s="35"/>
      <c r="M52" s="35"/>
      <c r="N52" s="35">
        <f t="shared" si="2"/>
        <v>-1.5508474585288442E-3</v>
      </c>
      <c r="O52" s="35">
        <f t="shared" si="3"/>
        <v>-2.7915254253519192E-4</v>
      </c>
      <c r="P52" s="35">
        <v>52227.85</v>
      </c>
      <c r="Q52" s="35"/>
      <c r="R52" s="35"/>
      <c r="S52" s="35">
        <f>W52*AC52</f>
        <v>52227.848169999997</v>
      </c>
      <c r="T52" s="34"/>
      <c r="U52" s="34"/>
      <c r="V52" s="33"/>
      <c r="W52" s="36">
        <v>3.359</v>
      </c>
      <c r="X52" s="33"/>
      <c r="Y52" s="34"/>
      <c r="Z52" s="34"/>
      <c r="AA52" s="34"/>
      <c r="AB52" s="48" t="s">
        <v>383</v>
      </c>
      <c r="AC52" s="35">
        <v>15548.63</v>
      </c>
      <c r="AD52" s="33">
        <v>46077</v>
      </c>
      <c r="AE52" s="34" t="s">
        <v>465</v>
      </c>
      <c r="AF52" s="19" t="s">
        <v>532</v>
      </c>
      <c r="AG52" s="14"/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201</v>
      </c>
      <c r="AT52" s="34"/>
      <c r="AU52" s="35"/>
      <c r="AV52" s="34"/>
    </row>
    <row r="53" spans="1:49" customFormat="1" ht="15" x14ac:dyDescent="0.25">
      <c r="A53" s="33">
        <v>46046</v>
      </c>
      <c r="B53" s="33"/>
      <c r="C53" s="70" t="s">
        <v>49</v>
      </c>
      <c r="D53" s="48" t="s">
        <v>301</v>
      </c>
      <c r="E53" s="34"/>
      <c r="F53" s="71">
        <v>16456</v>
      </c>
      <c r="G53" s="70" t="s">
        <v>50</v>
      </c>
      <c r="H53" s="31">
        <v>20493508645</v>
      </c>
      <c r="I53" s="49" t="str">
        <f>IF(H53="","",VLOOKUP(H53,ENTIDAD!$B$2:$C$613,2,0))</f>
        <v>HONDA SELVA DEL PERU S.A.</v>
      </c>
      <c r="J53" s="35"/>
      <c r="K53" s="35"/>
      <c r="L53" s="35"/>
      <c r="M53" s="35"/>
      <c r="N53" s="35">
        <f t="shared" si="2"/>
        <v>-1.1779660996842846E-3</v>
      </c>
      <c r="O53" s="35">
        <f t="shared" si="3"/>
        <v>-2.1203389794317122E-4</v>
      </c>
      <c r="P53" s="35">
        <v>65284.82</v>
      </c>
      <c r="Q53" s="35"/>
      <c r="R53" s="35"/>
      <c r="S53" s="35">
        <f>W53*AC53</f>
        <v>65284.818610000002</v>
      </c>
      <c r="T53" s="34"/>
      <c r="U53" s="34"/>
      <c r="V53" s="33"/>
      <c r="W53" s="36">
        <v>3.359</v>
      </c>
      <c r="X53" s="33"/>
      <c r="Y53" s="34"/>
      <c r="Z53" s="34"/>
      <c r="AA53" s="34"/>
      <c r="AB53" s="48" t="s">
        <v>383</v>
      </c>
      <c r="AC53" s="35">
        <v>19435.79</v>
      </c>
      <c r="AD53" s="33">
        <v>46077</v>
      </c>
      <c r="AE53" s="34" t="s">
        <v>465</v>
      </c>
      <c r="AF53" s="19" t="s">
        <v>532</v>
      </c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201</v>
      </c>
      <c r="AT53" s="34"/>
      <c r="AU53" s="35"/>
      <c r="AV53" s="34"/>
    </row>
    <row r="54" spans="1:49" customFormat="1" ht="15" x14ac:dyDescent="0.25">
      <c r="A54" s="68">
        <v>46048</v>
      </c>
      <c r="B54" s="50"/>
      <c r="C54" s="51" t="s">
        <v>300</v>
      </c>
      <c r="D54" s="52" t="s">
        <v>389</v>
      </c>
      <c r="E54" s="53"/>
      <c r="F54" s="64">
        <v>13092</v>
      </c>
      <c r="G54" s="52" t="s">
        <v>50</v>
      </c>
      <c r="H54" s="69">
        <v>20103733015</v>
      </c>
      <c r="I54" s="54" t="str">
        <f>IF(H54="","",VLOOKUP(H54,ENTIDAD!$B$2:$C$613,2,0))</f>
        <v>HONDA DEL PERU S.A</v>
      </c>
      <c r="J54" s="55"/>
      <c r="K54" s="55"/>
      <c r="L54" s="55"/>
      <c r="M54" s="55"/>
      <c r="N54" s="55">
        <f t="shared" si="2"/>
        <v>-108.81680084745764</v>
      </c>
      <c r="O54" s="55">
        <f t="shared" si="3"/>
        <v>-19.587024152542376</v>
      </c>
      <c r="P54" s="55">
        <v>0</v>
      </c>
      <c r="Q54" s="55"/>
      <c r="R54" s="55"/>
      <c r="S54" s="55">
        <f>-W54*AC54</f>
        <v>-128.40382500000001</v>
      </c>
      <c r="T54" s="53"/>
      <c r="U54" s="53"/>
      <c r="V54" s="50"/>
      <c r="W54" s="25">
        <v>3.3834999999999997</v>
      </c>
      <c r="X54" s="50">
        <v>45989</v>
      </c>
      <c r="Y54" s="53" t="s">
        <v>49</v>
      </c>
      <c r="Z54" s="53" t="s">
        <v>553</v>
      </c>
      <c r="AA54" s="53" t="s">
        <v>556</v>
      </c>
      <c r="AB54" s="52" t="s">
        <v>383</v>
      </c>
      <c r="AC54" s="55">
        <v>37.950000000000003</v>
      </c>
      <c r="AD54" s="68">
        <v>46048</v>
      </c>
      <c r="AE54" s="53" t="s">
        <v>465</v>
      </c>
      <c r="AF54" s="60" t="s">
        <v>533</v>
      </c>
      <c r="AG54" s="53"/>
      <c r="AH54" s="53" t="s">
        <v>225</v>
      </c>
      <c r="AI54" s="53"/>
      <c r="AJ54" s="53"/>
      <c r="AK54" s="61"/>
      <c r="AL54" s="55"/>
      <c r="AM54" s="55"/>
      <c r="AN54" s="53"/>
      <c r="AO54" s="53"/>
      <c r="AP54" s="50"/>
      <c r="AQ54" s="53"/>
      <c r="AR54" s="55">
        <v>18</v>
      </c>
      <c r="AS54" s="53" t="s">
        <v>534</v>
      </c>
      <c r="AT54" s="53"/>
      <c r="AU54" s="55"/>
      <c r="AV54" s="53"/>
      <c r="AW54" s="47"/>
    </row>
    <row r="55" spans="1:49" customFormat="1" ht="15" x14ac:dyDescent="0.25">
      <c r="A55" s="68">
        <v>46049</v>
      </c>
      <c r="B55" s="50"/>
      <c r="C55" s="51" t="s">
        <v>300</v>
      </c>
      <c r="D55" s="52" t="s">
        <v>301</v>
      </c>
      <c r="E55" s="53"/>
      <c r="F55" s="64">
        <v>2216</v>
      </c>
      <c r="G55" s="51" t="s">
        <v>50</v>
      </c>
      <c r="H55" s="69">
        <v>20493508645</v>
      </c>
      <c r="I55" s="54" t="str">
        <f>IF(H55="","",VLOOKUP(H55,ENTIDAD!$B$2:$C$613,2,0))</f>
        <v>HONDA SELVA DEL PERU S.A.</v>
      </c>
      <c r="J55" s="55"/>
      <c r="K55" s="55"/>
      <c r="L55" s="55"/>
      <c r="M55" s="55"/>
      <c r="N55" s="55">
        <f t="shared" si="2"/>
        <v>-101.97461325115464</v>
      </c>
      <c r="O55" s="55">
        <f t="shared" si="3"/>
        <v>-18.355430385207836</v>
      </c>
      <c r="P55" s="55">
        <v>-6129.8</v>
      </c>
      <c r="Q55" s="55"/>
      <c r="R55" s="55"/>
      <c r="S55" s="55">
        <f>-W55*AC55</f>
        <v>-6250.1300436363626</v>
      </c>
      <c r="T55" s="53"/>
      <c r="U55" s="53"/>
      <c r="V55" s="50"/>
      <c r="W55" s="25">
        <v>3.4218787878787875</v>
      </c>
      <c r="X55" s="50">
        <v>46001</v>
      </c>
      <c r="Y55" s="53" t="s">
        <v>49</v>
      </c>
      <c r="Z55" s="53" t="s">
        <v>553</v>
      </c>
      <c r="AA55" s="53" t="s">
        <v>555</v>
      </c>
      <c r="AB55" s="52" t="s">
        <v>383</v>
      </c>
      <c r="AC55" s="55">
        <v>1826.52</v>
      </c>
      <c r="AD55" s="68">
        <v>46049</v>
      </c>
      <c r="AE55" s="53" t="s">
        <v>465</v>
      </c>
      <c r="AF55" s="60" t="s">
        <v>533</v>
      </c>
      <c r="AG55" s="53"/>
      <c r="AH55" s="53" t="s">
        <v>225</v>
      </c>
      <c r="AI55" s="53"/>
      <c r="AJ55" s="53"/>
      <c r="AK55" s="61"/>
      <c r="AL55" s="55"/>
      <c r="AM55" s="55"/>
      <c r="AN55" s="53"/>
      <c r="AO55" s="53"/>
      <c r="AP55" s="50"/>
      <c r="AQ55" s="53"/>
      <c r="AR55" s="55">
        <v>18</v>
      </c>
      <c r="AS55" s="53" t="s">
        <v>534</v>
      </c>
      <c r="AT55" s="53"/>
      <c r="AU55" s="55"/>
      <c r="AV55" s="53"/>
      <c r="AW55" s="47"/>
    </row>
    <row r="56" spans="1:49" customFormat="1" ht="15" x14ac:dyDescent="0.25">
      <c r="A56" s="33">
        <v>46049</v>
      </c>
      <c r="B56" s="33"/>
      <c r="C56" s="70" t="s">
        <v>49</v>
      </c>
      <c r="D56" s="48" t="s">
        <v>301</v>
      </c>
      <c r="E56" s="34"/>
      <c r="F56" s="71">
        <v>16482</v>
      </c>
      <c r="G56" s="48" t="s">
        <v>50</v>
      </c>
      <c r="H56" s="31">
        <v>20493508645</v>
      </c>
      <c r="I56" s="49" t="str">
        <f>IF(H56="","",VLOOKUP(H56,ENTIDAD!$B$2:$C$613,2,0))</f>
        <v>HONDA SELVA DEL PERU S.A.</v>
      </c>
      <c r="J56" s="35"/>
      <c r="K56" s="35"/>
      <c r="L56" s="35"/>
      <c r="M56" s="35"/>
      <c r="N56" s="35">
        <f t="shared" si="2"/>
        <v>1.7288135588109904E-3</v>
      </c>
      <c r="O56" s="35">
        <f t="shared" si="3"/>
        <v>3.1118644058597826E-4</v>
      </c>
      <c r="P56" s="35">
        <v>19842.650000000001</v>
      </c>
      <c r="Q56" s="35"/>
      <c r="R56" s="35"/>
      <c r="S56" s="35">
        <f>W56*AC56</f>
        <v>19842.652040000001</v>
      </c>
      <c r="T56" s="34"/>
      <c r="U56" s="34"/>
      <c r="V56" s="33"/>
      <c r="W56" s="36">
        <v>3.3559999999999999</v>
      </c>
      <c r="X56" s="33"/>
      <c r="Y56" s="34"/>
      <c r="Z56" s="34"/>
      <c r="AA56" s="34"/>
      <c r="AB56" s="48" t="s">
        <v>383</v>
      </c>
      <c r="AC56" s="35">
        <v>5912.59</v>
      </c>
      <c r="AD56" s="33">
        <v>46080</v>
      </c>
      <c r="AE56" s="34" t="s">
        <v>465</v>
      </c>
      <c r="AF56" s="19" t="s">
        <v>532</v>
      </c>
      <c r="AG56" s="14"/>
      <c r="AH56" s="14" t="s">
        <v>225</v>
      </c>
      <c r="AI56" s="14"/>
      <c r="AJ56" s="14"/>
      <c r="AK56" s="16"/>
      <c r="AL56" s="11"/>
      <c r="AM56" s="11"/>
      <c r="AN56" s="14"/>
      <c r="AO56" s="14"/>
      <c r="AP56" s="13"/>
      <c r="AQ56" s="14"/>
      <c r="AR56" s="11">
        <v>18</v>
      </c>
      <c r="AS56" s="14" t="s">
        <v>201</v>
      </c>
      <c r="AT56" s="34"/>
      <c r="AU56" s="35"/>
      <c r="AV56" s="34"/>
    </row>
    <row r="57" spans="1:49" customFormat="1" ht="15" x14ac:dyDescent="0.25">
      <c r="A57" s="68">
        <v>46049</v>
      </c>
      <c r="B57" s="50"/>
      <c r="C57" s="51" t="s">
        <v>300</v>
      </c>
      <c r="D57" s="52" t="s">
        <v>301</v>
      </c>
      <c r="E57" s="53"/>
      <c r="F57" s="64">
        <v>2233</v>
      </c>
      <c r="G57" s="51" t="s">
        <v>50</v>
      </c>
      <c r="H57" s="69">
        <v>20493508645</v>
      </c>
      <c r="I57" s="54" t="str">
        <f>IF(H57="","",VLOOKUP(H57,ENTIDAD!$B$2:$C$613,2,0))</f>
        <v>HONDA SELVA DEL PERU S.A.</v>
      </c>
      <c r="J57" s="55"/>
      <c r="K57" s="55"/>
      <c r="L57" s="55"/>
      <c r="M57" s="55"/>
      <c r="N57" s="55">
        <f t="shared" si="2"/>
        <v>2.1186440677946833E-3</v>
      </c>
      <c r="O57" s="55">
        <f t="shared" si="3"/>
        <v>3.81355932203043E-4</v>
      </c>
      <c r="P57" s="55">
        <v>-153.13</v>
      </c>
      <c r="Q57" s="55"/>
      <c r="R57" s="55"/>
      <c r="S57" s="55">
        <f>-W57*AC57</f>
        <v>-153.1275</v>
      </c>
      <c r="T57" s="53"/>
      <c r="U57" s="53"/>
      <c r="V57" s="50"/>
      <c r="W57" s="25">
        <v>3.6030000000000002</v>
      </c>
      <c r="X57" s="50">
        <v>45831</v>
      </c>
      <c r="Y57" s="53" t="s">
        <v>49</v>
      </c>
      <c r="Z57" s="53" t="s">
        <v>553</v>
      </c>
      <c r="AA57" s="53" t="s">
        <v>554</v>
      </c>
      <c r="AB57" s="52" t="s">
        <v>383</v>
      </c>
      <c r="AC57" s="55">
        <v>42.5</v>
      </c>
      <c r="AD57" s="68">
        <v>46080</v>
      </c>
      <c r="AE57" s="53" t="s">
        <v>465</v>
      </c>
      <c r="AF57" s="60" t="s">
        <v>533</v>
      </c>
      <c r="AG57" s="53"/>
      <c r="AH57" s="53" t="s">
        <v>225</v>
      </c>
      <c r="AI57" s="53"/>
      <c r="AJ57" s="53"/>
      <c r="AK57" s="61"/>
      <c r="AL57" s="55"/>
      <c r="AM57" s="55"/>
      <c r="AN57" s="53"/>
      <c r="AO57" s="53"/>
      <c r="AP57" s="50"/>
      <c r="AQ57" s="53"/>
      <c r="AR57" s="55">
        <v>18</v>
      </c>
      <c r="AS57" s="53" t="s">
        <v>535</v>
      </c>
      <c r="AT57" s="53"/>
      <c r="AU57" s="55"/>
      <c r="AV57" s="53"/>
      <c r="AW57" s="47"/>
    </row>
    <row r="58" spans="1:49" customFormat="1" ht="14.25" customHeight="1" x14ac:dyDescent="0.25">
      <c r="A58" s="33">
        <v>46050</v>
      </c>
      <c r="B58" s="33"/>
      <c r="C58" s="70" t="s">
        <v>49</v>
      </c>
      <c r="D58" s="48" t="s">
        <v>292</v>
      </c>
      <c r="E58" s="34"/>
      <c r="F58" s="71">
        <v>1455</v>
      </c>
      <c r="G58" s="70" t="s">
        <v>50</v>
      </c>
      <c r="H58" s="31">
        <v>20609448360</v>
      </c>
      <c r="I58" s="49" t="str">
        <f>IF(H58="","",VLOOKUP(H58,ENTIDAD!$B$2:$C$613,2,0))</f>
        <v> L &amp; E SAN FRANCISCO SOCIEDAD DE RESPONSABILIDAD LIMITADA</v>
      </c>
      <c r="J58" s="35"/>
      <c r="K58" s="35"/>
      <c r="L58" s="35"/>
      <c r="M58" s="35"/>
      <c r="N58" s="35">
        <f t="shared" si="2"/>
        <v>0</v>
      </c>
      <c r="O58" s="35">
        <f t="shared" si="3"/>
        <v>0</v>
      </c>
      <c r="P58" s="35">
        <v>45</v>
      </c>
      <c r="Q58" s="35"/>
      <c r="R58" s="35"/>
      <c r="S58" s="35">
        <v>45</v>
      </c>
      <c r="T58" s="34"/>
      <c r="U58" s="34"/>
      <c r="V58" s="33"/>
      <c r="W58" s="36"/>
      <c r="X58" s="33"/>
      <c r="Y58" s="34"/>
      <c r="Z58" s="34"/>
      <c r="AA58" s="34"/>
      <c r="AB58" s="48" t="s">
        <v>224</v>
      </c>
      <c r="AC58" s="35"/>
      <c r="AD58" s="33">
        <v>46050</v>
      </c>
      <c r="AE58" s="34" t="s">
        <v>262</v>
      </c>
      <c r="AF58" s="19" t="s">
        <v>525</v>
      </c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526</v>
      </c>
      <c r="AT58" s="34"/>
      <c r="AU58" s="35"/>
      <c r="AV58" s="34"/>
    </row>
    <row r="59" spans="1:49" customFormat="1" ht="15" x14ac:dyDescent="0.25">
      <c r="A59" s="33">
        <v>46050</v>
      </c>
      <c r="B59" s="33"/>
      <c r="C59" s="70" t="s">
        <v>49</v>
      </c>
      <c r="D59" s="48" t="s">
        <v>292</v>
      </c>
      <c r="E59" s="34"/>
      <c r="F59" s="71">
        <v>1484</v>
      </c>
      <c r="G59" s="48" t="s">
        <v>50</v>
      </c>
      <c r="H59" s="31">
        <v>10444483101</v>
      </c>
      <c r="I59" s="49" t="str">
        <f>IF(H59="","",VLOOKUP(H59,ENTIDAD!$B$2:$C$613,2,0))</f>
        <v>MUCHA,HERRERA,DENISSE,PILAR</v>
      </c>
      <c r="J59" s="35"/>
      <c r="K59" s="35"/>
      <c r="L59" s="35"/>
      <c r="M59" s="35"/>
      <c r="N59" s="35">
        <f t="shared" si="2"/>
        <v>0</v>
      </c>
      <c r="O59" s="35">
        <f t="shared" si="3"/>
        <v>0</v>
      </c>
      <c r="P59" s="35">
        <v>25</v>
      </c>
      <c r="Q59" s="35"/>
      <c r="R59" s="35"/>
      <c r="S59" s="35">
        <v>25</v>
      </c>
      <c r="T59" s="34"/>
      <c r="U59" s="34"/>
      <c r="V59" s="33"/>
      <c r="W59" s="36"/>
      <c r="X59" s="33"/>
      <c r="Y59" s="34"/>
      <c r="Z59" s="34"/>
      <c r="AA59" s="34"/>
      <c r="AB59" s="48" t="s">
        <v>224</v>
      </c>
      <c r="AC59" s="35"/>
      <c r="AD59" s="33">
        <v>46050</v>
      </c>
      <c r="AE59" s="34" t="s">
        <v>465</v>
      </c>
      <c r="AF59" s="37" t="s">
        <v>518</v>
      </c>
      <c r="AG59" s="34"/>
      <c r="AH59" s="34" t="s">
        <v>225</v>
      </c>
      <c r="AI59" s="34"/>
      <c r="AJ59" s="34"/>
      <c r="AK59" s="38"/>
      <c r="AL59" s="35"/>
      <c r="AM59" s="35"/>
      <c r="AN59" s="34"/>
      <c r="AO59" s="34"/>
      <c r="AP59" s="33"/>
      <c r="AQ59" s="34"/>
      <c r="AR59" s="35">
        <v>18</v>
      </c>
      <c r="AS59" s="34" t="s">
        <v>527</v>
      </c>
      <c r="AT59" s="34"/>
      <c r="AU59" s="35"/>
      <c r="AV59" s="34"/>
    </row>
    <row r="60" spans="1:49" customFormat="1" ht="15" x14ac:dyDescent="0.25">
      <c r="A60" s="33">
        <v>46050</v>
      </c>
      <c r="B60" s="33"/>
      <c r="C60" s="70" t="s">
        <v>49</v>
      </c>
      <c r="D60" s="48" t="s">
        <v>294</v>
      </c>
      <c r="E60" s="34"/>
      <c r="F60" s="71">
        <v>12577</v>
      </c>
      <c r="G60" s="70" t="s">
        <v>50</v>
      </c>
      <c r="H60" s="31">
        <v>10209907327</v>
      </c>
      <c r="I60" s="49" t="str">
        <f>IF(H60="","",VLOOKUP(H60,ENTIDAD!$B$2:$C$613,2,0))</f>
        <v>TORPOCO,MAYTA,HECTOR,ALFONSO</v>
      </c>
      <c r="J60" s="35"/>
      <c r="K60" s="35"/>
      <c r="L60" s="35"/>
      <c r="M60" s="35"/>
      <c r="N60" s="35">
        <v>0</v>
      </c>
      <c r="O60" s="35">
        <f t="shared" si="3"/>
        <v>0</v>
      </c>
      <c r="P60" s="35">
        <v>5</v>
      </c>
      <c r="Q60" s="35"/>
      <c r="R60" s="35"/>
      <c r="S60" s="35">
        <v>5</v>
      </c>
      <c r="T60" s="34"/>
      <c r="U60" s="34"/>
      <c r="V60" s="33"/>
      <c r="W60" s="36"/>
      <c r="X60" s="33"/>
      <c r="Y60" s="34"/>
      <c r="Z60" s="34"/>
      <c r="AA60" s="34"/>
      <c r="AB60" s="48" t="s">
        <v>224</v>
      </c>
      <c r="AC60" s="35"/>
      <c r="AD60" s="33">
        <v>46050</v>
      </c>
      <c r="AE60" s="34" t="s">
        <v>262</v>
      </c>
      <c r="AF60" s="19" t="s">
        <v>486</v>
      </c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487</v>
      </c>
      <c r="AT60" s="34"/>
      <c r="AU60" s="35"/>
      <c r="AV60" s="34"/>
    </row>
    <row r="61" spans="1:49" customFormat="1" ht="15" x14ac:dyDescent="0.25">
      <c r="A61" s="33">
        <v>46050</v>
      </c>
      <c r="B61" s="33"/>
      <c r="C61" s="70" t="s">
        <v>49</v>
      </c>
      <c r="D61" s="48" t="s">
        <v>301</v>
      </c>
      <c r="E61" s="34"/>
      <c r="F61" s="71">
        <v>16539</v>
      </c>
      <c r="G61" s="48" t="s">
        <v>50</v>
      </c>
      <c r="H61" s="31">
        <v>20493508645</v>
      </c>
      <c r="I61" s="49" t="str">
        <f>IF(H61="","",VLOOKUP(H61,ENTIDAD!$B$2:$C$613,2,0))</f>
        <v>HONDA SELVA DEL PERU S.A.</v>
      </c>
      <c r="J61" s="35"/>
      <c r="K61" s="35"/>
      <c r="L61" s="35"/>
      <c r="M61" s="35"/>
      <c r="N61" s="35">
        <f>(S61-P61)/1.18</f>
        <v>1.8983050799530033E-3</v>
      </c>
      <c r="O61" s="35">
        <f t="shared" si="3"/>
        <v>3.4169491439154059E-4</v>
      </c>
      <c r="P61" s="35">
        <v>56368.47</v>
      </c>
      <c r="Q61" s="35"/>
      <c r="R61" s="35"/>
      <c r="S61" s="35">
        <f>W61*AC61</f>
        <v>56368.472239999996</v>
      </c>
      <c r="T61" s="34"/>
      <c r="U61" s="34"/>
      <c r="V61" s="33"/>
      <c r="W61" s="36">
        <v>3.3519999999999999</v>
      </c>
      <c r="X61" s="33"/>
      <c r="Y61" s="34"/>
      <c r="Z61" s="34"/>
      <c r="AA61" s="34"/>
      <c r="AB61" s="48" t="s">
        <v>383</v>
      </c>
      <c r="AC61" s="35">
        <v>16816.37</v>
      </c>
      <c r="AD61" s="33">
        <v>46081</v>
      </c>
      <c r="AE61" s="34" t="s">
        <v>465</v>
      </c>
      <c r="AF61" s="19" t="s">
        <v>532</v>
      </c>
      <c r="AG61" s="14"/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201</v>
      </c>
      <c r="AT61" s="34"/>
      <c r="AU61" s="35"/>
      <c r="AV61" s="34"/>
    </row>
    <row r="62" spans="1:49" customFormat="1" ht="15" x14ac:dyDescent="0.25">
      <c r="A62" s="33">
        <v>46050</v>
      </c>
      <c r="B62" s="33"/>
      <c r="C62" s="70" t="s">
        <v>49</v>
      </c>
      <c r="D62" s="48" t="s">
        <v>301</v>
      </c>
      <c r="E62" s="34"/>
      <c r="F62" s="71">
        <v>16538</v>
      </c>
      <c r="G62" s="48" t="s">
        <v>50</v>
      </c>
      <c r="H62" s="31">
        <v>20493508645</v>
      </c>
      <c r="I62" s="49" t="str">
        <f>IF(H62="","",VLOOKUP(H62,ENTIDAD!$B$2:$C$613,2,0))</f>
        <v>HONDA SELVA DEL PERU S.A.</v>
      </c>
      <c r="J62" s="35"/>
      <c r="K62" s="35"/>
      <c r="L62" s="35"/>
      <c r="M62" s="35"/>
      <c r="N62" s="35">
        <f>(S62-P62)/1.18</f>
        <v>3.186440671462629E-3</v>
      </c>
      <c r="O62" s="35">
        <f t="shared" si="3"/>
        <v>5.735593208632732E-4</v>
      </c>
      <c r="P62" s="35">
        <v>37677.75</v>
      </c>
      <c r="Q62" s="35"/>
      <c r="R62" s="35"/>
      <c r="S62" s="35">
        <f>W62*AC62</f>
        <v>37677.753759999992</v>
      </c>
      <c r="T62" s="34"/>
      <c r="U62" s="34"/>
      <c r="V62" s="33"/>
      <c r="W62" s="36">
        <v>3.3519999999999999</v>
      </c>
      <c r="X62" s="33"/>
      <c r="Y62" s="34"/>
      <c r="Z62" s="34"/>
      <c r="AA62" s="34"/>
      <c r="AB62" s="48" t="s">
        <v>383</v>
      </c>
      <c r="AC62" s="35">
        <v>11240.38</v>
      </c>
      <c r="AD62" s="33">
        <v>46081</v>
      </c>
      <c r="AE62" s="34" t="s">
        <v>465</v>
      </c>
      <c r="AF62" s="73" t="s">
        <v>532</v>
      </c>
      <c r="AG62" s="14"/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201</v>
      </c>
      <c r="AT62" s="34"/>
      <c r="AU62" s="35"/>
      <c r="AV62" s="34"/>
    </row>
    <row r="63" spans="1:49" customFormat="1" ht="15" x14ac:dyDescent="0.25">
      <c r="A63" s="33">
        <v>46050</v>
      </c>
      <c r="B63" s="33"/>
      <c r="C63" s="70" t="s">
        <v>49</v>
      </c>
      <c r="D63" s="48" t="s">
        <v>389</v>
      </c>
      <c r="E63" s="34"/>
      <c r="F63" s="71">
        <v>77810</v>
      </c>
      <c r="G63" s="70" t="s">
        <v>50</v>
      </c>
      <c r="H63" s="31">
        <v>20103733015</v>
      </c>
      <c r="I63" s="49" t="str">
        <f>IF(H63="","",VLOOKUP(H63,ENTIDAD!$B$2:$C$613,2,0))</f>
        <v>HONDA DEL PERU S.A</v>
      </c>
      <c r="J63" s="35"/>
      <c r="K63" s="35"/>
      <c r="L63" s="35"/>
      <c r="M63" s="35"/>
      <c r="N63" s="35">
        <f>(S63-P63)/1.18</f>
        <v>12483.387728813561</v>
      </c>
      <c r="O63" s="35">
        <f t="shared" si="3"/>
        <v>2247.0097911864409</v>
      </c>
      <c r="P63" s="35">
        <v>0</v>
      </c>
      <c r="Q63" s="35"/>
      <c r="R63" s="35"/>
      <c r="S63" s="35">
        <f>W63*AC63</f>
        <v>14730.39752</v>
      </c>
      <c r="T63" s="34"/>
      <c r="U63" s="34"/>
      <c r="V63" s="33"/>
      <c r="W63" s="36">
        <v>3.3519999999999999</v>
      </c>
      <c r="X63" s="33"/>
      <c r="Y63" s="34"/>
      <c r="Z63" s="34"/>
      <c r="AA63" s="34"/>
      <c r="AB63" s="48" t="s">
        <v>383</v>
      </c>
      <c r="AC63" s="35">
        <v>4394.51</v>
      </c>
      <c r="AD63" s="33">
        <v>46081</v>
      </c>
      <c r="AE63" s="34" t="s">
        <v>465</v>
      </c>
      <c r="AF63" s="19" t="s">
        <v>532</v>
      </c>
      <c r="AG63" s="14"/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201</v>
      </c>
      <c r="AT63" s="34"/>
      <c r="AU63" s="35"/>
      <c r="AV63" s="34"/>
    </row>
    <row r="64" spans="1:49" s="47" customFormat="1" ht="15" x14ac:dyDescent="0.25">
      <c r="A64" s="33">
        <v>46050</v>
      </c>
      <c r="B64" s="33"/>
      <c r="C64" s="70" t="s">
        <v>49</v>
      </c>
      <c r="D64" s="48" t="s">
        <v>301</v>
      </c>
      <c r="E64" s="34"/>
      <c r="F64" s="71">
        <v>16540</v>
      </c>
      <c r="G64" s="70" t="s">
        <v>50</v>
      </c>
      <c r="H64" s="31">
        <v>20493508645</v>
      </c>
      <c r="I64" s="49" t="str">
        <f>IF(H64="","",VLOOKUP(H64,ENTIDAD!$B$2:$C$613,2,0))</f>
        <v>HONDA SELVA DEL PERU S.A.</v>
      </c>
      <c r="J64" s="35"/>
      <c r="K64" s="35"/>
      <c r="L64" s="35"/>
      <c r="M64" s="35"/>
      <c r="N64" s="35">
        <v>0</v>
      </c>
      <c r="O64" s="35">
        <f t="shared" si="3"/>
        <v>0</v>
      </c>
      <c r="P64" s="35">
        <v>19819.04</v>
      </c>
      <c r="Q64" s="35"/>
      <c r="R64" s="35"/>
      <c r="S64" s="35">
        <f>W64*AC64</f>
        <v>19819.035200000002</v>
      </c>
      <c r="T64" s="34"/>
      <c r="U64" s="34"/>
      <c r="V64" s="33"/>
      <c r="W64" s="36">
        <v>3.3519999999999999</v>
      </c>
      <c r="X64" s="33"/>
      <c r="Y64" s="34"/>
      <c r="Z64" s="34"/>
      <c r="AA64" s="34"/>
      <c r="AB64" s="48" t="s">
        <v>383</v>
      </c>
      <c r="AC64" s="35">
        <v>5912.6</v>
      </c>
      <c r="AD64" s="33">
        <v>46081</v>
      </c>
      <c r="AE64" s="34" t="s">
        <v>465</v>
      </c>
      <c r="AF64" s="19" t="s">
        <v>532</v>
      </c>
      <c r="AG64" s="14"/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201</v>
      </c>
      <c r="AT64" s="34"/>
      <c r="AU64" s="35"/>
      <c r="AV64" s="34"/>
      <c r="AW64"/>
    </row>
    <row r="65" spans="1:49" s="47" customFormat="1" ht="15" x14ac:dyDescent="0.25">
      <c r="A65" s="33">
        <v>46050</v>
      </c>
      <c r="B65" s="33"/>
      <c r="C65" s="70" t="s">
        <v>49</v>
      </c>
      <c r="D65" s="48" t="s">
        <v>294</v>
      </c>
      <c r="E65" s="34"/>
      <c r="F65" s="71">
        <v>604</v>
      </c>
      <c r="G65" s="48" t="s">
        <v>50</v>
      </c>
      <c r="H65" s="31">
        <v>10733910921</v>
      </c>
      <c r="I65" s="49" t="str">
        <f>IF(H65="","",VLOOKUP(H65,ENTIDAD!$B$2:$C$613,2,0))</f>
        <v>MADUEÑO HUAMAN LILI CLISSELY</v>
      </c>
      <c r="J65" s="35"/>
      <c r="K65" s="35"/>
      <c r="L65" s="35"/>
      <c r="M65" s="35"/>
      <c r="N65" s="35">
        <v>0</v>
      </c>
      <c r="O65" s="35">
        <f t="shared" si="3"/>
        <v>0</v>
      </c>
      <c r="P65" s="35">
        <v>42</v>
      </c>
      <c r="Q65" s="35"/>
      <c r="R65" s="35"/>
      <c r="S65" s="35">
        <v>42</v>
      </c>
      <c r="T65" s="34"/>
      <c r="U65" s="34"/>
      <c r="V65" s="33"/>
      <c r="W65" s="36"/>
      <c r="X65" s="33"/>
      <c r="Y65" s="34"/>
      <c r="Z65" s="34"/>
      <c r="AA65" s="34"/>
      <c r="AB65" s="48" t="s">
        <v>224</v>
      </c>
      <c r="AC65" s="35"/>
      <c r="AD65" s="33">
        <v>46050</v>
      </c>
      <c r="AE65" s="34" t="s">
        <v>465</v>
      </c>
      <c r="AF65" s="37" t="s">
        <v>518</v>
      </c>
      <c r="AG65" s="34"/>
      <c r="AH65" s="34" t="s">
        <v>225</v>
      </c>
      <c r="AI65" s="34"/>
      <c r="AJ65" s="34"/>
      <c r="AK65" s="38"/>
      <c r="AL65" s="35"/>
      <c r="AM65" s="35"/>
      <c r="AN65" s="34"/>
      <c r="AO65" s="34"/>
      <c r="AP65" s="33"/>
      <c r="AQ65" s="34"/>
      <c r="AR65" s="35">
        <v>18</v>
      </c>
      <c r="AS65" s="34" t="s">
        <v>528</v>
      </c>
      <c r="AT65" s="34"/>
      <c r="AU65" s="35"/>
      <c r="AV65" s="34"/>
      <c r="AW65"/>
    </row>
    <row r="66" spans="1:49" customFormat="1" ht="15" x14ac:dyDescent="0.25">
      <c r="A66" s="33">
        <v>46050</v>
      </c>
      <c r="B66" s="33"/>
      <c r="C66" s="70" t="s">
        <v>49</v>
      </c>
      <c r="D66" s="48" t="s">
        <v>292</v>
      </c>
      <c r="E66" s="34"/>
      <c r="F66" s="71">
        <v>595</v>
      </c>
      <c r="G66" s="70" t="s">
        <v>50</v>
      </c>
      <c r="H66" s="31">
        <v>20601358892</v>
      </c>
      <c r="I66" s="49" t="str">
        <f>IF(H66="","",VLOOKUP(H66,ENTIDAD!$B$2:$C$613,2,0))</f>
        <v>ARAUCO CONDE SOLUCIONES INMOBILIARIAS S.A.C.</v>
      </c>
      <c r="J66" s="35"/>
      <c r="K66" s="35"/>
      <c r="L66" s="35"/>
      <c r="M66" s="35"/>
      <c r="N66" s="35">
        <f>(S66-P66)/1.18</f>
        <v>0</v>
      </c>
      <c r="O66" s="35">
        <f t="shared" si="3"/>
        <v>0</v>
      </c>
      <c r="P66" s="35">
        <v>1000</v>
      </c>
      <c r="Q66" s="35"/>
      <c r="R66" s="35"/>
      <c r="S66" s="35">
        <v>1000</v>
      </c>
      <c r="T66" s="34"/>
      <c r="U66" s="34"/>
      <c r="V66" s="33"/>
      <c r="W66" s="36"/>
      <c r="X66" s="33"/>
      <c r="Y66" s="34"/>
      <c r="Z66" s="34"/>
      <c r="AA66" s="34"/>
      <c r="AB66" s="48" t="s">
        <v>224</v>
      </c>
      <c r="AC66" s="35"/>
      <c r="AD66" s="33">
        <v>46050</v>
      </c>
      <c r="AE66" s="34" t="s">
        <v>465</v>
      </c>
      <c r="AF66" s="19" t="s">
        <v>203</v>
      </c>
      <c r="AG66" s="14"/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552</v>
      </c>
      <c r="AT66" s="34"/>
      <c r="AU66" s="35"/>
      <c r="AV66" s="34"/>
    </row>
    <row r="67" spans="1:49" customFormat="1" ht="15" x14ac:dyDescent="0.25">
      <c r="A67" s="82">
        <v>46050</v>
      </c>
      <c r="B67" s="82"/>
      <c r="C67" s="83" t="s">
        <v>49</v>
      </c>
      <c r="D67" s="84" t="s">
        <v>546</v>
      </c>
      <c r="E67" s="85"/>
      <c r="F67" s="86">
        <v>6243862</v>
      </c>
      <c r="G67" s="84" t="s">
        <v>50</v>
      </c>
      <c r="H67" s="32">
        <v>20332970411</v>
      </c>
      <c r="I67" s="87" t="str">
        <f>IF(H67="","",VLOOKUP(H67,ENTIDAD!$B$2:$C$613,2,0))</f>
        <v>PACIFICO COMPAÑIA DE SEGUROS Y REASEGUROS</v>
      </c>
      <c r="J67" s="88"/>
      <c r="K67" s="88"/>
      <c r="L67" s="88"/>
      <c r="M67" s="88"/>
      <c r="N67" s="88">
        <f>(S67-P67)/1.18</f>
        <v>729.68494915254234</v>
      </c>
      <c r="O67" s="88">
        <f t="shared" si="3"/>
        <v>131.34329084745761</v>
      </c>
      <c r="P67" s="88">
        <v>0</v>
      </c>
      <c r="Q67" s="88"/>
      <c r="R67" s="88"/>
      <c r="S67" s="88">
        <f>W67*AC67</f>
        <v>861.02823999999998</v>
      </c>
      <c r="T67" s="85"/>
      <c r="U67" s="85"/>
      <c r="V67" s="82"/>
      <c r="W67" s="40">
        <v>3.3519999999999999</v>
      </c>
      <c r="X67" s="82"/>
      <c r="Y67" s="85"/>
      <c r="Z67" s="85"/>
      <c r="AA67" s="85"/>
      <c r="AB67" s="84" t="s">
        <v>383</v>
      </c>
      <c r="AC67" s="88">
        <v>256.87</v>
      </c>
      <c r="AD67" s="82">
        <v>46050</v>
      </c>
      <c r="AE67" s="85" t="s">
        <v>465</v>
      </c>
      <c r="AF67" s="89"/>
      <c r="AG67" s="85"/>
      <c r="AH67" s="85" t="s">
        <v>225</v>
      </c>
      <c r="AI67" s="85"/>
      <c r="AJ67" s="85"/>
      <c r="AK67" s="90"/>
      <c r="AL67" s="88"/>
      <c r="AM67" s="88"/>
      <c r="AN67" s="85"/>
      <c r="AO67" s="85"/>
      <c r="AP67" s="82"/>
      <c r="AQ67" s="85"/>
      <c r="AR67" s="88">
        <v>18</v>
      </c>
      <c r="AS67" s="85"/>
      <c r="AT67" s="85"/>
      <c r="AU67" s="88"/>
      <c r="AV67" s="85"/>
      <c r="AW67" s="91"/>
    </row>
    <row r="68" spans="1:49" customFormat="1" ht="15" x14ac:dyDescent="0.25">
      <c r="A68" s="72">
        <v>46051</v>
      </c>
      <c r="B68" s="33"/>
      <c r="C68" s="70" t="s">
        <v>49</v>
      </c>
      <c r="D68" s="48" t="s">
        <v>292</v>
      </c>
      <c r="E68" s="34"/>
      <c r="F68" s="71">
        <v>503</v>
      </c>
      <c r="G68" s="70" t="s">
        <v>50</v>
      </c>
      <c r="H68" s="31">
        <v>10712058159</v>
      </c>
      <c r="I68" s="49" t="str">
        <f>IF(H68="","",VLOOKUP(H68,ENTIDAD!$B$2:$C$613,2,0))</f>
        <v>HUAYTA BRAVO LEONOR LEONILDA</v>
      </c>
      <c r="J68" s="35"/>
      <c r="K68" s="35"/>
      <c r="L68" s="35"/>
      <c r="M68" s="35"/>
      <c r="N68" s="35">
        <f>(S68-P68)/1.18</f>
        <v>0</v>
      </c>
      <c r="O68" s="35">
        <f t="shared" ref="O68:O78" si="4">N68*0.18</f>
        <v>0</v>
      </c>
      <c r="P68" s="35">
        <v>614</v>
      </c>
      <c r="Q68" s="35"/>
      <c r="R68" s="35"/>
      <c r="S68" s="35">
        <v>614</v>
      </c>
      <c r="T68" s="34"/>
      <c r="U68" s="34"/>
      <c r="V68" s="33"/>
      <c r="W68" s="36"/>
      <c r="X68" s="33"/>
      <c r="Y68" s="34"/>
      <c r="Z68" s="34"/>
      <c r="AA68" s="34"/>
      <c r="AB68" s="48" t="s">
        <v>224</v>
      </c>
      <c r="AC68" s="35"/>
      <c r="AD68" s="72">
        <v>46051</v>
      </c>
      <c r="AE68" s="34" t="s">
        <v>465</v>
      </c>
      <c r="AF68" s="37" t="s">
        <v>530</v>
      </c>
      <c r="AG68" s="34"/>
      <c r="AH68" s="34" t="s">
        <v>225</v>
      </c>
      <c r="AI68" s="34"/>
      <c r="AJ68" s="34"/>
      <c r="AK68" s="38"/>
      <c r="AL68" s="35"/>
      <c r="AM68" s="35"/>
      <c r="AN68" s="34"/>
      <c r="AO68" s="34"/>
      <c r="AP68" s="33"/>
      <c r="AQ68" s="34"/>
      <c r="AR68" s="35">
        <v>18</v>
      </c>
      <c r="AS68" s="34" t="s">
        <v>529</v>
      </c>
      <c r="AT68" s="34"/>
      <c r="AU68" s="35"/>
      <c r="AV68" s="34"/>
    </row>
    <row r="69" spans="1:49" customFormat="1" ht="15" x14ac:dyDescent="0.25">
      <c r="A69" s="33">
        <v>46051</v>
      </c>
      <c r="B69" s="33"/>
      <c r="C69" s="70" t="s">
        <v>49</v>
      </c>
      <c r="D69" s="48" t="s">
        <v>294</v>
      </c>
      <c r="E69" s="34"/>
      <c r="F69" s="71">
        <v>606</v>
      </c>
      <c r="G69" s="48" t="s">
        <v>50</v>
      </c>
      <c r="H69" s="31">
        <v>10733910921</v>
      </c>
      <c r="I69" s="49" t="str">
        <f>IF(H69="","",VLOOKUP(H69,ENTIDAD!$B$2:$C$613,2,0))</f>
        <v>MADUEÑO HUAMAN LILI CLISSELY</v>
      </c>
      <c r="J69" s="35"/>
      <c r="K69" s="35"/>
      <c r="L69" s="35"/>
      <c r="M69" s="35"/>
      <c r="N69" s="35">
        <v>0</v>
      </c>
      <c r="O69" s="35">
        <f t="shared" si="4"/>
        <v>0</v>
      </c>
      <c r="P69" s="35">
        <v>10</v>
      </c>
      <c r="Q69" s="35"/>
      <c r="R69" s="35"/>
      <c r="S69" s="35">
        <v>10</v>
      </c>
      <c r="T69" s="34"/>
      <c r="U69" s="34"/>
      <c r="V69" s="33"/>
      <c r="W69" s="36"/>
      <c r="X69" s="33"/>
      <c r="Y69" s="34"/>
      <c r="Z69" s="34"/>
      <c r="AA69" s="34"/>
      <c r="AB69" s="48" t="s">
        <v>224</v>
      </c>
      <c r="AC69" s="35"/>
      <c r="AD69" s="33">
        <v>46051</v>
      </c>
      <c r="AE69" s="34" t="s">
        <v>262</v>
      </c>
      <c r="AF69" s="37" t="s">
        <v>518</v>
      </c>
      <c r="AG69" s="34"/>
      <c r="AH69" s="34" t="s">
        <v>225</v>
      </c>
      <c r="AI69" s="34"/>
      <c r="AJ69" s="34"/>
      <c r="AK69" s="38"/>
      <c r="AL69" s="35"/>
      <c r="AM69" s="35"/>
      <c r="AN69" s="34"/>
      <c r="AO69" s="34"/>
      <c r="AP69" s="33"/>
      <c r="AQ69" s="34"/>
      <c r="AR69" s="35">
        <v>18</v>
      </c>
      <c r="AS69" s="34" t="s">
        <v>531</v>
      </c>
      <c r="AT69" s="34"/>
      <c r="AU69" s="35"/>
      <c r="AV69" s="34"/>
    </row>
    <row r="70" spans="1:49" s="91" customFormat="1" ht="15" x14ac:dyDescent="0.25">
      <c r="A70" s="33">
        <v>46051</v>
      </c>
      <c r="B70" s="33"/>
      <c r="C70" s="70" t="s">
        <v>49</v>
      </c>
      <c r="D70" s="48" t="s">
        <v>299</v>
      </c>
      <c r="E70" s="34"/>
      <c r="F70" s="71">
        <v>57767</v>
      </c>
      <c r="G70" s="70" t="s">
        <v>50</v>
      </c>
      <c r="H70" s="31">
        <v>20493508645</v>
      </c>
      <c r="I70" s="49" t="str">
        <f>IF(H70="","",VLOOKUP(H70,ENTIDAD!$B$2:$C$613,2,0))</f>
        <v>HONDA SELVA DEL PERU S.A.</v>
      </c>
      <c r="J70" s="35"/>
      <c r="K70" s="35"/>
      <c r="L70" s="35"/>
      <c r="M70" s="35"/>
      <c r="N70" s="35">
        <f>(S70-P70)/1.18</f>
        <v>-2.4576271182198428E-3</v>
      </c>
      <c r="O70" s="35">
        <f t="shared" si="4"/>
        <v>-4.4237288127957168E-4</v>
      </c>
      <c r="P70" s="35">
        <v>39555.230000000003</v>
      </c>
      <c r="Q70" s="35"/>
      <c r="R70" s="35"/>
      <c r="S70" s="35">
        <f>W70*AC70</f>
        <v>39555.227100000004</v>
      </c>
      <c r="T70" s="34"/>
      <c r="U70" s="34"/>
      <c r="V70" s="33"/>
      <c r="W70" s="36">
        <v>3.3450000000000002</v>
      </c>
      <c r="X70" s="33"/>
      <c r="Y70" s="34"/>
      <c r="Z70" s="34"/>
      <c r="AA70" s="34"/>
      <c r="AB70" s="48" t="s">
        <v>383</v>
      </c>
      <c r="AC70" s="35">
        <v>11825.18</v>
      </c>
      <c r="AD70" s="33" t="s">
        <v>537</v>
      </c>
      <c r="AE70" s="34" t="s">
        <v>465</v>
      </c>
      <c r="AF70" s="19" t="s">
        <v>532</v>
      </c>
      <c r="AG70" s="14"/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201</v>
      </c>
      <c r="AT70" s="34"/>
      <c r="AU70" s="35"/>
      <c r="AV70" s="34"/>
      <c r="AW70"/>
    </row>
    <row r="71" spans="1:49" customFormat="1" ht="15" x14ac:dyDescent="0.25">
      <c r="A71" s="33">
        <v>46052</v>
      </c>
      <c r="B71" s="33"/>
      <c r="C71" s="70" t="s">
        <v>49</v>
      </c>
      <c r="D71" s="48" t="s">
        <v>439</v>
      </c>
      <c r="E71" s="34"/>
      <c r="F71" s="71">
        <v>14725</v>
      </c>
      <c r="G71" s="70" t="s">
        <v>50</v>
      </c>
      <c r="H71" s="31">
        <v>20493508645</v>
      </c>
      <c r="I71" s="49" t="str">
        <f>IF(H71="","",VLOOKUP(H71,ENTIDAD!$B$2:$C$613,2,0))</f>
        <v>HONDA SELVA DEL PERU S.A.</v>
      </c>
      <c r="J71" s="35"/>
      <c r="K71" s="35"/>
      <c r="L71" s="35"/>
      <c r="M71" s="35"/>
      <c r="N71" s="35">
        <v>0</v>
      </c>
      <c r="O71" s="35">
        <f t="shared" si="4"/>
        <v>0</v>
      </c>
      <c r="P71" s="35">
        <v>12959.57</v>
      </c>
      <c r="Q71" s="35"/>
      <c r="R71" s="35"/>
      <c r="S71" s="35">
        <f>W71*AC71</f>
        <v>12959.56695</v>
      </c>
      <c r="T71" s="34"/>
      <c r="U71" s="34"/>
      <c r="V71" s="33"/>
      <c r="W71" s="36">
        <v>3.3450000000000002</v>
      </c>
      <c r="X71" s="33"/>
      <c r="Y71" s="34"/>
      <c r="Z71" s="34"/>
      <c r="AA71" s="34"/>
      <c r="AB71" s="48" t="s">
        <v>383</v>
      </c>
      <c r="AC71" s="35">
        <v>3874.31</v>
      </c>
      <c r="AD71" s="33" t="s">
        <v>536</v>
      </c>
      <c r="AE71" s="34" t="s">
        <v>465</v>
      </c>
      <c r="AF71" s="19" t="s">
        <v>532</v>
      </c>
      <c r="AG71" s="14"/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201</v>
      </c>
      <c r="AT71" s="34"/>
      <c r="AU71" s="35"/>
      <c r="AV71" s="34"/>
    </row>
    <row r="72" spans="1:49" customFormat="1" ht="15" x14ac:dyDescent="0.25">
      <c r="A72" s="33">
        <v>46052</v>
      </c>
      <c r="B72" s="33"/>
      <c r="C72" s="70" t="s">
        <v>49</v>
      </c>
      <c r="D72" s="48" t="s">
        <v>301</v>
      </c>
      <c r="E72" s="34"/>
      <c r="F72" s="71">
        <v>16568</v>
      </c>
      <c r="G72" s="48" t="s">
        <v>50</v>
      </c>
      <c r="H72" s="31">
        <v>20493508645</v>
      </c>
      <c r="I72" s="49" t="str">
        <f>IF(H72="","",VLOOKUP(H72,ENTIDAD!$B$2:$C$613,2,0))</f>
        <v>HONDA SELVA DEL PERU S.A.</v>
      </c>
      <c r="J72" s="35"/>
      <c r="K72" s="35"/>
      <c r="L72" s="35"/>
      <c r="M72" s="35"/>
      <c r="N72" s="35">
        <f t="shared" ref="N72:N78" si="5">(S72-P72)/1.18</f>
        <v>-1.3135593212224442E-3</v>
      </c>
      <c r="O72" s="35">
        <f t="shared" si="4"/>
        <v>-2.3644067782003996E-4</v>
      </c>
      <c r="P72" s="35">
        <v>6994.43</v>
      </c>
      <c r="Q72" s="35"/>
      <c r="R72" s="35"/>
      <c r="S72" s="35">
        <f>W72*AC72</f>
        <v>6994.4284500000012</v>
      </c>
      <c r="T72" s="34"/>
      <c r="U72" s="34"/>
      <c r="V72" s="33"/>
      <c r="W72" s="36">
        <v>3.3450000000000002</v>
      </c>
      <c r="X72" s="33"/>
      <c r="Y72" s="34"/>
      <c r="Z72" s="34"/>
      <c r="AA72" s="34"/>
      <c r="AB72" s="48" t="s">
        <v>383</v>
      </c>
      <c r="AC72" s="35">
        <v>2091.0100000000002</v>
      </c>
      <c r="AD72" s="33" t="s">
        <v>536</v>
      </c>
      <c r="AE72" s="34" t="s">
        <v>465</v>
      </c>
      <c r="AF72" s="19" t="s">
        <v>532</v>
      </c>
      <c r="AG72" s="14"/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201</v>
      </c>
      <c r="AT72" s="34"/>
      <c r="AU72" s="35"/>
      <c r="AV72" s="34"/>
    </row>
    <row r="73" spans="1:49" customFormat="1" ht="15" x14ac:dyDescent="0.25">
      <c r="A73" s="33">
        <v>46052</v>
      </c>
      <c r="B73" s="33"/>
      <c r="C73" s="70" t="s">
        <v>49</v>
      </c>
      <c r="D73" s="48" t="s">
        <v>294</v>
      </c>
      <c r="E73" s="34"/>
      <c r="F73" s="71">
        <v>117195</v>
      </c>
      <c r="G73" s="70" t="s">
        <v>50</v>
      </c>
      <c r="H73" s="31">
        <v>20568499043</v>
      </c>
      <c r="I73" s="49" t="str">
        <f>IF(H73="","",VLOOKUP(H73,ENTIDAD!$B$2:$C$613,2,0))</f>
        <v>SURTIDORES SAN MIGUEL E.I.R.L.</v>
      </c>
      <c r="J73" s="35"/>
      <c r="K73" s="35"/>
      <c r="L73" s="35"/>
      <c r="M73" s="35"/>
      <c r="N73" s="35">
        <f t="shared" si="5"/>
        <v>0</v>
      </c>
      <c r="O73" s="35">
        <f t="shared" si="4"/>
        <v>0</v>
      </c>
      <c r="P73" s="35">
        <v>100</v>
      </c>
      <c r="Q73" s="35"/>
      <c r="R73" s="35"/>
      <c r="S73" s="35">
        <v>100</v>
      </c>
      <c r="T73" s="34"/>
      <c r="U73" s="34"/>
      <c r="V73" s="33"/>
      <c r="W73" s="36"/>
      <c r="X73" s="33"/>
      <c r="Y73" s="34"/>
      <c r="Z73" s="34"/>
      <c r="AA73" s="34"/>
      <c r="AB73" s="48" t="s">
        <v>224</v>
      </c>
      <c r="AC73" s="35"/>
      <c r="AD73" s="33">
        <v>46052</v>
      </c>
      <c r="AE73" s="34" t="s">
        <v>262</v>
      </c>
      <c r="AF73" s="19" t="s">
        <v>488</v>
      </c>
      <c r="AG73" s="14"/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487</v>
      </c>
      <c r="AT73" s="34"/>
      <c r="AU73" s="35"/>
      <c r="AV73" s="34"/>
    </row>
    <row r="74" spans="1:49" s="91" customFormat="1" ht="15" x14ac:dyDescent="0.25">
      <c r="A74" s="33">
        <v>46052</v>
      </c>
      <c r="B74" s="33"/>
      <c r="C74" s="70" t="s">
        <v>49</v>
      </c>
      <c r="D74" s="48" t="s">
        <v>409</v>
      </c>
      <c r="E74" s="34"/>
      <c r="F74" s="71">
        <v>6368972</v>
      </c>
      <c r="G74" s="48" t="s">
        <v>50</v>
      </c>
      <c r="H74" s="31">
        <v>20100047218</v>
      </c>
      <c r="I74" s="49" t="str">
        <f>IF(H74="","",VLOOKUP(H74,ENTIDAD!$B$2:$C$613,2,0))</f>
        <v>BANCO DE CREDITO DEL PERU</v>
      </c>
      <c r="J74" s="35"/>
      <c r="K74" s="35"/>
      <c r="L74" s="35"/>
      <c r="M74" s="35"/>
      <c r="N74" s="35">
        <f t="shared" si="5"/>
        <v>0</v>
      </c>
      <c r="O74" s="35">
        <f t="shared" si="4"/>
        <v>0</v>
      </c>
      <c r="P74" s="35">
        <v>10</v>
      </c>
      <c r="Q74" s="35"/>
      <c r="R74" s="35"/>
      <c r="S74" s="35">
        <v>10</v>
      </c>
      <c r="T74" s="34"/>
      <c r="U74" s="34"/>
      <c r="V74" s="33"/>
      <c r="W74" s="36"/>
      <c r="X74" s="33"/>
      <c r="Y74" s="34"/>
      <c r="Z74" s="34"/>
      <c r="AA74" s="34"/>
      <c r="AB74" s="48" t="s">
        <v>224</v>
      </c>
      <c r="AC74" s="35"/>
      <c r="AD74" s="33">
        <v>46052</v>
      </c>
      <c r="AE74" s="14" t="s">
        <v>465</v>
      </c>
      <c r="AF74" s="19" t="s">
        <v>494</v>
      </c>
      <c r="AG74" s="14"/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495</v>
      </c>
      <c r="AT74" s="34"/>
      <c r="AU74" s="35"/>
      <c r="AV74" s="34"/>
      <c r="AW74"/>
    </row>
    <row r="75" spans="1:49" s="91" customFormat="1" ht="15" x14ac:dyDescent="0.25">
      <c r="A75" s="33">
        <v>46052</v>
      </c>
      <c r="B75" s="33"/>
      <c r="C75" s="48" t="s">
        <v>49</v>
      </c>
      <c r="D75" s="48" t="s">
        <v>545</v>
      </c>
      <c r="E75" s="34"/>
      <c r="F75" s="71">
        <v>25630457</v>
      </c>
      <c r="G75" s="70" t="s">
        <v>50</v>
      </c>
      <c r="H75" s="31">
        <v>20100130204</v>
      </c>
      <c r="I75" s="49" t="str">
        <f>IF(H75="","",VLOOKUP(H75,ENTIDAD!$B$2:$C$613,2,0))</f>
        <v>BANCO BBVA PERU</v>
      </c>
      <c r="J75" s="35"/>
      <c r="K75" s="35"/>
      <c r="L75" s="35"/>
      <c r="M75" s="35"/>
      <c r="N75" s="35">
        <f t="shared" si="5"/>
        <v>0</v>
      </c>
      <c r="O75" s="35">
        <f t="shared" si="4"/>
        <v>0</v>
      </c>
      <c r="P75" s="35">
        <v>40</v>
      </c>
      <c r="Q75" s="35"/>
      <c r="R75" s="35"/>
      <c r="S75" s="35">
        <v>40</v>
      </c>
      <c r="T75" s="34"/>
      <c r="U75" s="34"/>
      <c r="V75" s="33"/>
      <c r="W75" s="36"/>
      <c r="X75" s="33"/>
      <c r="Y75" s="34"/>
      <c r="Z75" s="34"/>
      <c r="AA75" s="34"/>
      <c r="AB75" s="48" t="s">
        <v>224</v>
      </c>
      <c r="AC75" s="35"/>
      <c r="AD75" s="33">
        <v>46052</v>
      </c>
      <c r="AE75" s="34" t="s">
        <v>465</v>
      </c>
      <c r="AF75" s="19" t="s">
        <v>494</v>
      </c>
      <c r="AG75" s="14"/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495</v>
      </c>
      <c r="AT75" s="34"/>
      <c r="AU75" s="35"/>
      <c r="AV75" s="34"/>
      <c r="AW75"/>
    </row>
    <row r="76" spans="1:49" s="45" customFormat="1" ht="15" x14ac:dyDescent="0.25">
      <c r="A76" s="33">
        <v>46053</v>
      </c>
      <c r="B76" s="33"/>
      <c r="C76" s="70" t="s">
        <v>49</v>
      </c>
      <c r="D76" s="48" t="s">
        <v>294</v>
      </c>
      <c r="E76" s="34"/>
      <c r="F76" s="71">
        <v>1109919</v>
      </c>
      <c r="G76" s="48" t="s">
        <v>50</v>
      </c>
      <c r="H76" s="31">
        <v>20265681299</v>
      </c>
      <c r="I76" s="49" t="str">
        <f>IF(H76="","",VLOOKUP(H76,ENTIDAD!$B$2:$C$613,2,0))</f>
        <v>EQUIFAX PERU S.A.</v>
      </c>
      <c r="J76" s="35"/>
      <c r="K76" s="35"/>
      <c r="L76" s="35"/>
      <c r="M76" s="35"/>
      <c r="N76" s="35">
        <f t="shared" si="5"/>
        <v>252.00000000000003</v>
      </c>
      <c r="O76" s="35">
        <f t="shared" si="4"/>
        <v>45.360000000000007</v>
      </c>
      <c r="P76" s="35">
        <v>0</v>
      </c>
      <c r="Q76" s="35"/>
      <c r="R76" s="35"/>
      <c r="S76" s="35">
        <v>297.36</v>
      </c>
      <c r="T76" s="34"/>
      <c r="U76" s="34"/>
      <c r="V76" s="33"/>
      <c r="W76" s="36"/>
      <c r="X76" s="33"/>
      <c r="Y76" s="34"/>
      <c r="Z76" s="34"/>
      <c r="AA76" s="34"/>
      <c r="AB76" s="48" t="s">
        <v>224</v>
      </c>
      <c r="AC76" s="35"/>
      <c r="AD76" s="33">
        <v>46053</v>
      </c>
      <c r="AE76" s="34" t="s">
        <v>465</v>
      </c>
      <c r="AF76" s="19" t="s">
        <v>550</v>
      </c>
      <c r="AG76" s="14"/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551</v>
      </c>
      <c r="AT76" s="34"/>
      <c r="AU76" s="35"/>
      <c r="AV76" s="34"/>
      <c r="AW76"/>
    </row>
    <row r="77" spans="1:49" s="45" customFormat="1" ht="15" x14ac:dyDescent="0.25">
      <c r="A77" s="13">
        <v>46049</v>
      </c>
      <c r="B77" s="13"/>
      <c r="C77" s="41" t="s">
        <v>49</v>
      </c>
      <c r="D77" s="42" t="s">
        <v>292</v>
      </c>
      <c r="E77" s="14"/>
      <c r="F77" s="63">
        <v>149</v>
      </c>
      <c r="G77" s="42" t="s">
        <v>50</v>
      </c>
      <c r="H77" s="31">
        <v>20444327066</v>
      </c>
      <c r="I77" s="43" t="str">
        <f>IF(H77="","",VLOOKUP(H77,ENTIDAD!$B$2:$C$613,2,0))</f>
        <v>CAMARA DE COMERCIO E INDUSTRIAS SATIPO</v>
      </c>
      <c r="J77" s="11"/>
      <c r="K77" s="11"/>
      <c r="L77" s="11"/>
      <c r="M77" s="11"/>
      <c r="N77" s="35">
        <f>(S77-P77)/1.18</f>
        <v>0</v>
      </c>
      <c r="O77" s="11">
        <f t="shared" si="4"/>
        <v>0</v>
      </c>
      <c r="P77" s="11">
        <v>31</v>
      </c>
      <c r="Q77" s="11"/>
      <c r="R77" s="11"/>
      <c r="S77" s="11">
        <v>31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13">
        <v>46049</v>
      </c>
      <c r="AE77" s="14" t="s">
        <v>465</v>
      </c>
      <c r="AF77" s="19" t="s">
        <v>565</v>
      </c>
      <c r="AG77" s="14"/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34" t="s">
        <v>564</v>
      </c>
      <c r="AT77" s="14"/>
      <c r="AU77" s="11"/>
      <c r="AV77" s="14"/>
    </row>
    <row r="78" spans="1:49" s="45" customFormat="1" ht="15" x14ac:dyDescent="0.25">
      <c r="A78" s="13"/>
      <c r="B78" s="13"/>
      <c r="C78" s="41" t="s">
        <v>49</v>
      </c>
      <c r="D78" s="42"/>
      <c r="E78" s="14"/>
      <c r="F78" s="63"/>
      <c r="G78" s="42" t="s">
        <v>50</v>
      </c>
      <c r="H78" s="31">
        <v>0</v>
      </c>
      <c r="I78" s="43" t="e">
        <f>IF(H78="","",VLOOKUP(H78,ENTIDAD!$B$2:$C$613,2,0))</f>
        <v>#N/A</v>
      </c>
      <c r="J78" s="11"/>
      <c r="K78" s="11"/>
      <c r="L78" s="11"/>
      <c r="M78" s="11"/>
      <c r="N78" s="35">
        <f t="shared" si="5"/>
        <v>0</v>
      </c>
      <c r="O78" s="11">
        <f t="shared" si="4"/>
        <v>0</v>
      </c>
      <c r="P78" s="11">
        <v>0</v>
      </c>
      <c r="Q78" s="11"/>
      <c r="R78" s="11"/>
      <c r="S78" s="11">
        <v>0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13"/>
      <c r="AE78" s="14" t="s">
        <v>465</v>
      </c>
      <c r="AF78" s="19"/>
      <c r="AG78" s="14"/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/>
      <c r="AT78" s="14"/>
      <c r="AU78" s="11"/>
      <c r="AV78" s="14"/>
    </row>
    <row r="79" spans="1:49" customFormat="1" ht="15" x14ac:dyDescent="0.25">
      <c r="A79" s="9"/>
      <c r="B79" s="9"/>
      <c r="C79" s="9"/>
      <c r="D79" s="9"/>
      <c r="E79" s="9"/>
      <c r="F79" s="66"/>
      <c r="G79" s="9"/>
      <c r="H79" s="9"/>
      <c r="I79" s="9"/>
      <c r="J79" s="10">
        <f t="shared" ref="J79:S79" si="6">SUM(J4:J78)</f>
        <v>0</v>
      </c>
      <c r="K79" s="10">
        <f t="shared" si="6"/>
        <v>0</v>
      </c>
      <c r="L79" s="10">
        <f t="shared" si="6"/>
        <v>0</v>
      </c>
      <c r="M79" s="10">
        <f t="shared" si="6"/>
        <v>0</v>
      </c>
      <c r="N79" s="10">
        <f t="shared" si="6"/>
        <v>13340.722721494594</v>
      </c>
      <c r="O79" s="10">
        <f t="shared" si="6"/>
        <v>2401.3300898690268</v>
      </c>
      <c r="P79" s="10">
        <f t="shared" si="6"/>
        <v>491607.48999999993</v>
      </c>
      <c r="Q79" s="10">
        <f t="shared" si="6"/>
        <v>0</v>
      </c>
      <c r="R79" s="10">
        <f t="shared" si="6"/>
        <v>0</v>
      </c>
      <c r="S79" s="10">
        <f t="shared" si="6"/>
        <v>507349.53496136365</v>
      </c>
      <c r="T79" s="9"/>
      <c r="U79" s="9"/>
      <c r="V79" s="9"/>
      <c r="W79" s="17"/>
      <c r="X79" s="9"/>
      <c r="Y79" s="18"/>
      <c r="Z79" s="18"/>
      <c r="AA79" s="18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1" spans="16:44" x14ac:dyDescent="0.2">
      <c r="P81" s="23"/>
    </row>
    <row r="82" spans="16:44" x14ac:dyDescent="0.2">
      <c r="AR82" s="4"/>
    </row>
  </sheetData>
  <autoFilter ref="A3:AW79" xr:uid="{00000000-0009-0000-0000-000000000000}"/>
  <mergeCells count="39">
    <mergeCell ref="J1:K2"/>
    <mergeCell ref="A1:A3"/>
    <mergeCell ref="B1:B3"/>
    <mergeCell ref="C1:E2"/>
    <mergeCell ref="F1:F3"/>
    <mergeCell ref="G1:I1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AE1:AE3"/>
    <mergeCell ref="AF1:AF3"/>
    <mergeCell ref="AG1:AG3"/>
    <mergeCell ref="AH1:AH3"/>
    <mergeCell ref="AI1:AI3"/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</mergeCells>
  <conditionalFormatting sqref="F4:F75 F78">
    <cfRule type="duplicateValues" dxfId="632" priority="7073"/>
    <cfRule type="duplicateValues" dxfId="631" priority="7074"/>
    <cfRule type="duplicateValues" dxfId="630" priority="7075"/>
    <cfRule type="duplicateValues" dxfId="629" priority="7076"/>
    <cfRule type="duplicateValues" dxfId="628" priority="7077"/>
    <cfRule type="duplicateValues" dxfId="627" priority="7078"/>
    <cfRule type="duplicateValues" dxfId="626" priority="7079"/>
  </conditionalFormatting>
  <conditionalFormatting sqref="F76">
    <cfRule type="duplicateValues" dxfId="625" priority="9"/>
    <cfRule type="duplicateValues" dxfId="624" priority="10"/>
    <cfRule type="duplicateValues" dxfId="623" priority="11"/>
    <cfRule type="duplicateValues" dxfId="622" priority="12"/>
    <cfRule type="duplicateValues" dxfId="621" priority="13"/>
    <cfRule type="duplicateValues" dxfId="620" priority="14"/>
    <cfRule type="duplicateValues" dxfId="619" priority="15"/>
    <cfRule type="duplicateValues" dxfId="618" priority="16"/>
  </conditionalFormatting>
  <conditionalFormatting sqref="F77">
    <cfRule type="duplicateValues" dxfId="617" priority="1"/>
    <cfRule type="duplicateValues" dxfId="616" priority="2"/>
    <cfRule type="duplicateValues" dxfId="615" priority="3"/>
    <cfRule type="duplicateValues" dxfId="614" priority="4"/>
    <cfRule type="duplicateValues" dxfId="613" priority="5"/>
    <cfRule type="duplicateValues" dxfId="612" priority="6"/>
    <cfRule type="duplicateValues" dxfId="611" priority="7"/>
    <cfRule type="duplicateValues" dxfId="610" priority="8"/>
  </conditionalFormatting>
  <conditionalFormatting sqref="F78:F1048576 F1:F75">
    <cfRule type="duplicateValues" dxfId="609" priority="465"/>
  </conditionalFormatting>
  <conditionalFormatting sqref="F79:F1048576">
    <cfRule type="duplicateValues" dxfId="608" priority="61"/>
  </conditionalFormatting>
  <pageMargins left="0.7" right="0.7" top="0.75" bottom="0.75" header="0.3" footer="0.3"/>
  <pageSetup paperSize="9" scale="27" orientation="portrait" horizontalDpi="360" verticalDpi="360" r:id="rId1"/>
  <rowBreaks count="1" manualBreakCount="1">
    <brk id="49" max="16383" man="1"/>
  </rowBreaks>
  <colBreaks count="2" manualBreakCount="2">
    <brk id="8" max="1048575" man="1"/>
    <brk id="1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B3"/>
    <pageSetUpPr fitToPage="1"/>
  </sheetPr>
  <dimension ref="A1:AW277"/>
  <sheetViews>
    <sheetView zoomScaleNormal="100" zoomScaleSheetLayoutView="100" workbookViewId="0">
      <pane xSplit="9" ySplit="3" topLeftCell="J4" activePane="bottomRight" state="frozenSplit"/>
      <selection pane="topRight" activeCell="J1" sqref="J1"/>
      <selection pane="bottomLeft" activeCell="A4" sqref="A4"/>
      <selection pane="bottomRight" activeCell="X12" sqref="X12"/>
    </sheetView>
  </sheetViews>
  <sheetFormatPr baseColWidth="10" defaultRowHeight="14.25" x14ac:dyDescent="0.2"/>
  <cols>
    <col min="1" max="1" width="11.7109375" style="3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4" customWidth="1"/>
    <col min="7" max="7" width="2.85546875" style="6" customWidth="1"/>
    <col min="8" max="8" width="13" style="1" customWidth="1"/>
    <col min="9" max="9" width="27.85546875" style="4" customWidth="1"/>
    <col min="10" max="10" width="3.28515625" style="5" customWidth="1"/>
    <col min="11" max="11" width="2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10.8554687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298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298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290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46">
        <v>46051</v>
      </c>
      <c r="B4" s="13"/>
      <c r="C4" s="42" t="s">
        <v>388</v>
      </c>
      <c r="D4" s="42" t="s">
        <v>557</v>
      </c>
      <c r="E4" s="14"/>
      <c r="F4" s="71">
        <v>5654883</v>
      </c>
      <c r="G4" s="42" t="s">
        <v>50</v>
      </c>
      <c r="H4" s="31">
        <v>20129646099</v>
      </c>
      <c r="I4" s="43" t="str">
        <f>IF(H4="","",VLOOKUP(H4,ENTIDAD!$B$2:$C$613,2,0))</f>
        <v>ELECTROCENTRO S.A.</v>
      </c>
      <c r="J4" s="11"/>
      <c r="K4" s="11"/>
      <c r="L4" s="11"/>
      <c r="M4" s="11"/>
      <c r="N4" s="11">
        <f t="shared" ref="N4:N35" si="0">(S4-P4)/1.18</f>
        <v>0</v>
      </c>
      <c r="O4" s="11">
        <f t="shared" ref="O4:O66" si="1">N4*0.18</f>
        <v>0</v>
      </c>
      <c r="P4" s="11">
        <v>93.5</v>
      </c>
      <c r="Q4" s="11"/>
      <c r="R4" s="11"/>
      <c r="S4" s="11">
        <v>93.5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13">
        <v>46067</v>
      </c>
      <c r="AE4" s="34" t="s">
        <v>465</v>
      </c>
      <c r="AF4" s="19" t="s">
        <v>559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560</v>
      </c>
      <c r="AT4" s="14"/>
      <c r="AU4" s="11"/>
      <c r="AV4" s="14"/>
    </row>
    <row r="5" spans="1:49" s="45" customFormat="1" ht="15" x14ac:dyDescent="0.25">
      <c r="A5" s="46">
        <v>46051</v>
      </c>
      <c r="B5" s="13"/>
      <c r="C5" s="42" t="s">
        <v>388</v>
      </c>
      <c r="D5" s="42" t="s">
        <v>557</v>
      </c>
      <c r="E5" s="14"/>
      <c r="F5" s="71">
        <v>5654878</v>
      </c>
      <c r="G5" s="42" t="s">
        <v>50</v>
      </c>
      <c r="H5" s="31">
        <v>20129646099</v>
      </c>
      <c r="I5" s="43" t="str">
        <f>IF(H5="","",VLOOKUP(H5,ENTIDAD!$B$2:$C$613,2,0))</f>
        <v>ELECTROCENTRO S.A.</v>
      </c>
      <c r="J5" s="11"/>
      <c r="K5" s="11"/>
      <c r="L5" s="11"/>
      <c r="M5" s="11"/>
      <c r="N5" s="11">
        <f t="shared" si="0"/>
        <v>0</v>
      </c>
      <c r="O5" s="11">
        <f t="shared" si="1"/>
        <v>0</v>
      </c>
      <c r="P5" s="11">
        <v>440</v>
      </c>
      <c r="Q5" s="11"/>
      <c r="R5" s="11"/>
      <c r="S5" s="11">
        <v>440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13">
        <v>46067</v>
      </c>
      <c r="AE5" s="34" t="s">
        <v>465</v>
      </c>
      <c r="AF5" s="19" t="s">
        <v>559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560</v>
      </c>
      <c r="AT5" s="14"/>
      <c r="AU5" s="11"/>
      <c r="AV5" s="14"/>
    </row>
    <row r="6" spans="1:49" s="45" customFormat="1" ht="15" x14ac:dyDescent="0.25">
      <c r="A6" s="46">
        <v>46051</v>
      </c>
      <c r="B6" s="13"/>
      <c r="C6" s="42" t="s">
        <v>388</v>
      </c>
      <c r="D6" s="42" t="s">
        <v>557</v>
      </c>
      <c r="E6" s="14"/>
      <c r="F6" s="71">
        <v>5655102</v>
      </c>
      <c r="G6" s="42" t="s">
        <v>50</v>
      </c>
      <c r="H6" s="31">
        <v>20129646099</v>
      </c>
      <c r="I6" s="43" t="str">
        <f>IF(H6="","",VLOOKUP(H6,ENTIDAD!$B$2:$C$613,2,0))</f>
        <v>ELECTROCENTRO S.A.</v>
      </c>
      <c r="J6" s="11"/>
      <c r="K6" s="11"/>
      <c r="L6" s="11"/>
      <c r="M6" s="11"/>
      <c r="N6" s="11">
        <f t="shared" si="0"/>
        <v>0</v>
      </c>
      <c r="O6" s="11">
        <f t="shared" si="1"/>
        <v>0</v>
      </c>
      <c r="P6" s="11">
        <v>534.70000000000005</v>
      </c>
      <c r="Q6" s="11"/>
      <c r="R6" s="11"/>
      <c r="S6" s="11">
        <v>534.70000000000005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13">
        <v>46067</v>
      </c>
      <c r="AE6" s="14" t="s">
        <v>465</v>
      </c>
      <c r="AF6" s="73" t="s">
        <v>559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560</v>
      </c>
      <c r="AT6" s="14"/>
      <c r="AU6" s="11"/>
      <c r="AV6" s="14"/>
    </row>
    <row r="7" spans="1:49" s="45" customFormat="1" ht="15" x14ac:dyDescent="0.25">
      <c r="A7" s="46">
        <v>46053</v>
      </c>
      <c r="B7" s="13"/>
      <c r="C7" s="42" t="s">
        <v>388</v>
      </c>
      <c r="D7" s="42" t="s">
        <v>558</v>
      </c>
      <c r="E7" s="14"/>
      <c r="F7" s="71">
        <v>1051587</v>
      </c>
      <c r="G7" s="42" t="s">
        <v>50</v>
      </c>
      <c r="H7" s="31">
        <v>20121876290</v>
      </c>
      <c r="I7" s="43" t="str">
        <f>IF(H7="","",VLOOKUP(H7,ENTIDAD!$B$2:$C$613,2,0))</f>
        <v>ENT.PREST.SERV.SANEAM.SELVA CENTRAL S.A</v>
      </c>
      <c r="J7" s="11"/>
      <c r="K7" s="11"/>
      <c r="L7" s="11"/>
      <c r="M7" s="11"/>
      <c r="N7" s="11">
        <f t="shared" si="0"/>
        <v>0</v>
      </c>
      <c r="O7" s="11">
        <f t="shared" si="1"/>
        <v>0</v>
      </c>
      <c r="P7" s="11">
        <v>46.76</v>
      </c>
      <c r="Q7" s="11"/>
      <c r="R7" s="11"/>
      <c r="S7" s="11">
        <v>46.76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13">
        <v>46081</v>
      </c>
      <c r="AE7" s="14" t="s">
        <v>465</v>
      </c>
      <c r="AF7" s="73" t="s">
        <v>561</v>
      </c>
      <c r="AG7" s="14"/>
      <c r="AH7" s="14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4" t="s">
        <v>562</v>
      </c>
      <c r="AT7" s="14"/>
      <c r="AU7" s="11"/>
      <c r="AV7" s="14"/>
    </row>
    <row r="8" spans="1:49" s="45" customFormat="1" ht="15" x14ac:dyDescent="0.25">
      <c r="A8" s="46">
        <v>46053</v>
      </c>
      <c r="B8" s="13"/>
      <c r="C8" s="41" t="s">
        <v>388</v>
      </c>
      <c r="D8" s="42" t="s">
        <v>558</v>
      </c>
      <c r="E8" s="14"/>
      <c r="F8" s="71">
        <v>1050833</v>
      </c>
      <c r="G8" s="41" t="s">
        <v>50</v>
      </c>
      <c r="H8" s="31">
        <v>20121876290</v>
      </c>
      <c r="I8" s="43" t="str">
        <f>IF(H8="","",VLOOKUP(H8,ENTIDAD!$B$2:$C$613,2,0))</f>
        <v>ENT.PREST.SERV.SANEAM.SELVA CENTRAL S.A</v>
      </c>
      <c r="J8" s="11"/>
      <c r="K8" s="11"/>
      <c r="L8" s="11"/>
      <c r="M8" s="11"/>
      <c r="N8" s="44">
        <f t="shared" si="0"/>
        <v>0</v>
      </c>
      <c r="O8" s="44">
        <f t="shared" si="1"/>
        <v>0</v>
      </c>
      <c r="P8" s="11">
        <v>46.76</v>
      </c>
      <c r="Q8" s="11"/>
      <c r="R8" s="11"/>
      <c r="S8" s="11">
        <v>46.76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13">
        <v>46081</v>
      </c>
      <c r="AE8" s="14" t="s">
        <v>465</v>
      </c>
      <c r="AF8" s="19" t="s">
        <v>561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562</v>
      </c>
      <c r="AT8" s="14"/>
      <c r="AU8" s="11"/>
      <c r="AV8" s="14"/>
    </row>
    <row r="9" spans="1:49" s="45" customFormat="1" ht="15" x14ac:dyDescent="0.25">
      <c r="A9" s="46">
        <v>46053</v>
      </c>
      <c r="B9" s="13"/>
      <c r="C9" s="41" t="s">
        <v>388</v>
      </c>
      <c r="D9" s="42" t="s">
        <v>558</v>
      </c>
      <c r="E9" s="14"/>
      <c r="F9" s="71">
        <v>1052362</v>
      </c>
      <c r="G9" s="42" t="s">
        <v>50</v>
      </c>
      <c r="H9" s="31">
        <v>20121876290</v>
      </c>
      <c r="I9" s="43" t="str">
        <f>IF(H9="","",VLOOKUP(H9,ENTIDAD!$B$2:$C$613,2,0))</f>
        <v>ENT.PREST.SERV.SANEAM.SELVA CENTRAL S.A</v>
      </c>
      <c r="J9" s="11"/>
      <c r="K9" s="11"/>
      <c r="L9" s="11"/>
      <c r="M9" s="11"/>
      <c r="N9" s="44">
        <f t="shared" si="0"/>
        <v>0</v>
      </c>
      <c r="O9" s="44">
        <f t="shared" si="1"/>
        <v>0</v>
      </c>
      <c r="P9" s="11">
        <v>45.8</v>
      </c>
      <c r="Q9" s="11"/>
      <c r="R9" s="11"/>
      <c r="S9" s="11">
        <v>45.8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13">
        <v>46081</v>
      </c>
      <c r="AE9" s="14" t="s">
        <v>465</v>
      </c>
      <c r="AF9" s="19" t="s">
        <v>561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562</v>
      </c>
      <c r="AT9" s="14"/>
      <c r="AU9" s="11"/>
      <c r="AV9" s="14"/>
    </row>
    <row r="10" spans="1:49" s="45" customFormat="1" ht="15" x14ac:dyDescent="0.25">
      <c r="A10" s="46">
        <v>46054</v>
      </c>
      <c r="B10" s="13"/>
      <c r="C10" s="41" t="s">
        <v>388</v>
      </c>
      <c r="D10" s="42" t="s">
        <v>595</v>
      </c>
      <c r="E10" s="14"/>
      <c r="F10" s="71">
        <v>601019205</v>
      </c>
      <c r="G10" s="42" t="s">
        <v>50</v>
      </c>
      <c r="H10" s="31">
        <v>20467534026</v>
      </c>
      <c r="I10" s="43" t="str">
        <f>IF(H10="","",VLOOKUP(H10,ENTIDAD!$B$2:$C$613,2,0))</f>
        <v>AMERICA MOVIL PERU S.A.C.</v>
      </c>
      <c r="J10" s="11"/>
      <c r="K10" s="11"/>
      <c r="L10" s="11"/>
      <c r="M10" s="11"/>
      <c r="N10" s="44">
        <f t="shared" si="0"/>
        <v>75.177966101694921</v>
      </c>
      <c r="O10" s="44">
        <f t="shared" si="1"/>
        <v>13.532033898305086</v>
      </c>
      <c r="P10" s="11">
        <v>-0.01</v>
      </c>
      <c r="Q10" s="11"/>
      <c r="R10" s="11"/>
      <c r="S10" s="11">
        <v>88.7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13">
        <v>46072</v>
      </c>
      <c r="AE10" s="34" t="s">
        <v>465</v>
      </c>
      <c r="AF10" s="19">
        <v>6365095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596</v>
      </c>
      <c r="AT10" s="14"/>
      <c r="AU10" s="11"/>
      <c r="AV10" s="14"/>
    </row>
    <row r="11" spans="1:49" s="47" customFormat="1" ht="15" x14ac:dyDescent="0.25">
      <c r="A11" s="46">
        <v>46055</v>
      </c>
      <c r="B11" s="13"/>
      <c r="C11" s="41" t="s">
        <v>49</v>
      </c>
      <c r="D11" s="42" t="s">
        <v>545</v>
      </c>
      <c r="E11" s="14"/>
      <c r="F11" s="71">
        <v>25807856</v>
      </c>
      <c r="G11" s="42" t="s">
        <v>50</v>
      </c>
      <c r="H11" s="31">
        <v>20100130204</v>
      </c>
      <c r="I11" s="43" t="str">
        <f>IF(H11="","",VLOOKUP(H11,ENTIDAD!$B$2:$C$613,2,0))</f>
        <v>BANCO BBVA PERU</v>
      </c>
      <c r="J11" s="11"/>
      <c r="K11" s="11"/>
      <c r="L11" s="11"/>
      <c r="M11" s="11"/>
      <c r="N11" s="44">
        <f t="shared" si="0"/>
        <v>0</v>
      </c>
      <c r="O11" s="44">
        <f t="shared" si="1"/>
        <v>0</v>
      </c>
      <c r="P11" s="11">
        <v>10</v>
      </c>
      <c r="Q11" s="11"/>
      <c r="R11" s="11"/>
      <c r="S11" s="11">
        <v>10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13">
        <v>46083</v>
      </c>
      <c r="AE11" s="14" t="s">
        <v>465</v>
      </c>
      <c r="AF11" s="19" t="s">
        <v>494</v>
      </c>
      <c r="AG11" s="14"/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495</v>
      </c>
      <c r="AT11" s="14"/>
      <c r="AU11" s="11"/>
      <c r="AV11" s="14"/>
      <c r="AW11" s="45"/>
    </row>
    <row r="12" spans="1:49" s="45" customFormat="1" ht="14.25" customHeight="1" x14ac:dyDescent="0.25">
      <c r="A12" s="46">
        <v>46056</v>
      </c>
      <c r="B12" s="13"/>
      <c r="C12" s="41" t="s">
        <v>49</v>
      </c>
      <c r="D12" s="42" t="s">
        <v>292</v>
      </c>
      <c r="E12" s="14"/>
      <c r="F12" s="71">
        <v>1855</v>
      </c>
      <c r="G12" s="42" t="s">
        <v>50</v>
      </c>
      <c r="H12" s="31">
        <v>20568570520</v>
      </c>
      <c r="I12" s="43" t="str">
        <f>IF(H12="","",VLOOKUP(H12,ENTIDAD!$B$2:$C$613,2,0))</f>
        <v>INVERSIONES IRWIN E.I.R.L.</v>
      </c>
      <c r="J12" s="11"/>
      <c r="K12" s="11"/>
      <c r="L12" s="11"/>
      <c r="M12" s="11"/>
      <c r="N12" s="44">
        <f t="shared" si="0"/>
        <v>0</v>
      </c>
      <c r="O12" s="44">
        <f t="shared" si="1"/>
        <v>0</v>
      </c>
      <c r="P12" s="11">
        <v>36</v>
      </c>
      <c r="Q12" s="11"/>
      <c r="R12" s="11"/>
      <c r="S12" s="11">
        <v>36</v>
      </c>
      <c r="T12" s="14"/>
      <c r="U12" s="14"/>
      <c r="V12" s="13"/>
      <c r="W12" s="15"/>
      <c r="X12" s="13"/>
      <c r="Y12" s="14"/>
      <c r="Z12" s="14"/>
      <c r="AA12" s="14"/>
      <c r="AB12" s="42" t="s">
        <v>224</v>
      </c>
      <c r="AC12" s="11"/>
      <c r="AD12" s="13"/>
      <c r="AE12" s="14" t="s">
        <v>262</v>
      </c>
      <c r="AF12" s="19" t="s">
        <v>598</v>
      </c>
      <c r="AG12" s="14"/>
      <c r="AH12" s="14" t="s">
        <v>225</v>
      </c>
      <c r="AI12" s="14"/>
      <c r="AJ12" s="14"/>
      <c r="AK12" s="16"/>
      <c r="AL12" s="11"/>
      <c r="AM12" s="11"/>
      <c r="AN12" s="14"/>
      <c r="AO12" s="14"/>
      <c r="AP12" s="13"/>
      <c r="AQ12" s="14"/>
      <c r="AR12" s="11">
        <v>18</v>
      </c>
      <c r="AS12" s="14" t="s">
        <v>587</v>
      </c>
      <c r="AT12" s="14"/>
      <c r="AU12" s="11"/>
      <c r="AV12" s="14"/>
    </row>
    <row r="13" spans="1:49" s="45" customFormat="1" ht="15" x14ac:dyDescent="0.25">
      <c r="A13" s="46">
        <v>46056</v>
      </c>
      <c r="B13" s="13"/>
      <c r="C13" s="41" t="s">
        <v>49</v>
      </c>
      <c r="D13" s="42" t="s">
        <v>294</v>
      </c>
      <c r="E13" s="14"/>
      <c r="F13" s="71">
        <v>619</v>
      </c>
      <c r="G13" s="42" t="s">
        <v>50</v>
      </c>
      <c r="H13" s="31">
        <v>10733910921</v>
      </c>
      <c r="I13" s="43" t="str">
        <f>IF(H13="","",VLOOKUP(H13,ENTIDAD!$B$2:$C$613,2,0))</f>
        <v>MADUEÑO HUAMAN LILI CLISSELY</v>
      </c>
      <c r="J13" s="11"/>
      <c r="K13" s="11"/>
      <c r="L13" s="11"/>
      <c r="M13" s="11"/>
      <c r="N13" s="44">
        <f t="shared" si="0"/>
        <v>0</v>
      </c>
      <c r="O13" s="44">
        <f t="shared" si="1"/>
        <v>0</v>
      </c>
      <c r="P13" s="11">
        <v>22</v>
      </c>
      <c r="Q13" s="11"/>
      <c r="R13" s="11"/>
      <c r="S13" s="11">
        <v>22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13"/>
      <c r="AE13" s="14" t="s">
        <v>262</v>
      </c>
      <c r="AF13" s="19" t="s">
        <v>598</v>
      </c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588</v>
      </c>
      <c r="AT13" s="14"/>
      <c r="AU13" s="11"/>
      <c r="AV13" s="14"/>
    </row>
    <row r="14" spans="1:49" s="45" customFormat="1" ht="15" x14ac:dyDescent="0.25">
      <c r="A14" s="46">
        <v>46056</v>
      </c>
      <c r="B14" s="13"/>
      <c r="C14" s="41" t="s">
        <v>49</v>
      </c>
      <c r="D14" s="42" t="s">
        <v>456</v>
      </c>
      <c r="E14" s="14"/>
      <c r="F14" s="71">
        <v>4782894</v>
      </c>
      <c r="G14" s="41" t="s">
        <v>50</v>
      </c>
      <c r="H14" s="31">
        <v>20100130204</v>
      </c>
      <c r="I14" s="43" t="str">
        <f>IF(H14="","",VLOOKUP(H14,ENTIDAD!$B$2:$C$613,2,0))</f>
        <v>BANCO BBVA PERU</v>
      </c>
      <c r="J14" s="11"/>
      <c r="K14" s="11"/>
      <c r="L14" s="11"/>
      <c r="M14" s="11"/>
      <c r="N14" s="44">
        <f t="shared" si="0"/>
        <v>0</v>
      </c>
      <c r="O14" s="44">
        <f t="shared" si="1"/>
        <v>0</v>
      </c>
      <c r="P14" s="11">
        <v>40</v>
      </c>
      <c r="Q14" s="11"/>
      <c r="R14" s="11"/>
      <c r="S14" s="11">
        <v>40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13">
        <v>46084</v>
      </c>
      <c r="AE14" s="14" t="s">
        <v>465</v>
      </c>
      <c r="AF14" s="19" t="s">
        <v>494</v>
      </c>
      <c r="AG14" s="14"/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495</v>
      </c>
      <c r="AT14" s="14"/>
      <c r="AU14" s="11"/>
      <c r="AV14" s="14"/>
    </row>
    <row r="15" spans="1:49" s="45" customFormat="1" ht="15" x14ac:dyDescent="0.25">
      <c r="A15" s="46">
        <v>46057</v>
      </c>
      <c r="B15" s="13"/>
      <c r="C15" s="41" t="s">
        <v>49</v>
      </c>
      <c r="D15" s="42" t="s">
        <v>292</v>
      </c>
      <c r="E15" s="14"/>
      <c r="F15" s="71">
        <v>1773</v>
      </c>
      <c r="G15" s="42" t="s">
        <v>50</v>
      </c>
      <c r="H15" s="31">
        <v>20486339510</v>
      </c>
      <c r="I15" s="43" t="str">
        <f>IF(H15="","",VLOOKUP(H15,ENTIDAD!$B$2:$C$613,2,0))</f>
        <v>SERVICIOS CONTABLES Y AUDITORIA INTERNA S.A.</v>
      </c>
      <c r="J15" s="11"/>
      <c r="K15" s="11"/>
      <c r="L15" s="11"/>
      <c r="M15" s="11"/>
      <c r="N15" s="44">
        <f t="shared" si="0"/>
        <v>1694.9152542372883</v>
      </c>
      <c r="O15" s="44">
        <f t="shared" si="1"/>
        <v>305.08474576271186</v>
      </c>
      <c r="P15" s="11"/>
      <c r="Q15" s="11"/>
      <c r="R15" s="11"/>
      <c r="S15" s="11">
        <v>2000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13">
        <v>46085</v>
      </c>
      <c r="AE15" s="14" t="s">
        <v>465</v>
      </c>
      <c r="AF15" s="19" t="s">
        <v>576</v>
      </c>
      <c r="AG15" s="34"/>
      <c r="AH15" s="34" t="s">
        <v>225</v>
      </c>
      <c r="AI15" s="34"/>
      <c r="AJ15" s="34"/>
      <c r="AK15" s="38"/>
      <c r="AL15" s="35"/>
      <c r="AM15" s="35"/>
      <c r="AN15" s="34"/>
      <c r="AO15" s="34"/>
      <c r="AP15" s="33"/>
      <c r="AQ15" s="34"/>
      <c r="AR15" s="35">
        <v>18</v>
      </c>
      <c r="AS15" s="34" t="s">
        <v>577</v>
      </c>
      <c r="AT15" s="14"/>
      <c r="AU15" s="11"/>
      <c r="AV15" s="14"/>
    </row>
    <row r="16" spans="1:49" s="45" customFormat="1" ht="15" x14ac:dyDescent="0.25">
      <c r="A16" s="46">
        <v>46057</v>
      </c>
      <c r="B16" s="13"/>
      <c r="C16" s="41" t="s">
        <v>49</v>
      </c>
      <c r="D16" s="42" t="s">
        <v>440</v>
      </c>
      <c r="E16" s="14"/>
      <c r="F16" s="71">
        <v>2692474</v>
      </c>
      <c r="G16" s="42" t="s">
        <v>50</v>
      </c>
      <c r="H16" s="31">
        <v>20100047218</v>
      </c>
      <c r="I16" s="43" t="str">
        <f>IF(H16="","",VLOOKUP(H16,ENTIDAD!$B$2:$C$613,2,0))</f>
        <v>BANCO DE CREDITO DEL PERU</v>
      </c>
      <c r="J16" s="11"/>
      <c r="K16" s="11"/>
      <c r="L16" s="11"/>
      <c r="M16" s="11"/>
      <c r="N16" s="44">
        <f t="shared" si="0"/>
        <v>-4.2372881355893666E-3</v>
      </c>
      <c r="O16" s="44">
        <f t="shared" si="1"/>
        <v>-7.62711864406086E-4</v>
      </c>
      <c r="P16" s="11">
        <v>117.78</v>
      </c>
      <c r="Q16" s="11"/>
      <c r="R16" s="11"/>
      <c r="S16" s="11">
        <f>W16*AC16</f>
        <v>117.77500000000001</v>
      </c>
      <c r="T16" s="14"/>
      <c r="U16" s="14"/>
      <c r="V16" s="13"/>
      <c r="W16" s="15">
        <v>3.3650000000000002</v>
      </c>
      <c r="X16" s="13"/>
      <c r="Y16" s="14"/>
      <c r="Z16" s="14"/>
      <c r="AA16" s="14"/>
      <c r="AB16" s="42" t="s">
        <v>383</v>
      </c>
      <c r="AC16" s="11">
        <v>35</v>
      </c>
      <c r="AD16" s="13">
        <v>46085</v>
      </c>
      <c r="AE16" s="14" t="s">
        <v>465</v>
      </c>
      <c r="AF16" s="19" t="s">
        <v>494</v>
      </c>
      <c r="AG16" s="14"/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 t="s">
        <v>495</v>
      </c>
      <c r="AT16" s="14"/>
      <c r="AU16" s="11"/>
      <c r="AV16" s="14"/>
    </row>
    <row r="17" spans="1:49" s="45" customFormat="1" ht="15" x14ac:dyDescent="0.25">
      <c r="A17" s="46">
        <v>46057</v>
      </c>
      <c r="B17" s="13"/>
      <c r="C17" s="41" t="s">
        <v>49</v>
      </c>
      <c r="D17" s="42" t="s">
        <v>574</v>
      </c>
      <c r="E17" s="14"/>
      <c r="F17" s="71">
        <v>61</v>
      </c>
      <c r="G17" s="41" t="s">
        <v>50</v>
      </c>
      <c r="H17" s="31">
        <v>10421947665</v>
      </c>
      <c r="I17" s="43" t="str">
        <f>IF(H17="","",VLOOKUP(H17,ENTIDAD!$B$2:$C$613,2,0))</f>
        <v>MAYTA,MADUEÑO,SAUL,JESUS</v>
      </c>
      <c r="J17" s="11"/>
      <c r="K17" s="11"/>
      <c r="L17" s="11"/>
      <c r="M17" s="11"/>
      <c r="N17" s="44">
        <f t="shared" si="0"/>
        <v>0</v>
      </c>
      <c r="O17" s="44">
        <f t="shared" si="1"/>
        <v>0</v>
      </c>
      <c r="P17" s="11">
        <v>60</v>
      </c>
      <c r="Q17" s="11"/>
      <c r="R17" s="11"/>
      <c r="S17" s="11">
        <v>60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13"/>
      <c r="AE17" s="14" t="s">
        <v>262</v>
      </c>
      <c r="AF17" s="19" t="s">
        <v>515</v>
      </c>
      <c r="AG17" s="14"/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4" t="s">
        <v>187</v>
      </c>
      <c r="AT17" s="14"/>
      <c r="AU17" s="11"/>
      <c r="AV17" s="14"/>
    </row>
    <row r="18" spans="1:49" s="45" customFormat="1" ht="15" x14ac:dyDescent="0.25">
      <c r="A18" s="46">
        <v>46057</v>
      </c>
      <c r="B18" s="13"/>
      <c r="C18" s="41" t="s">
        <v>49</v>
      </c>
      <c r="D18" s="42" t="s">
        <v>292</v>
      </c>
      <c r="E18" s="14"/>
      <c r="F18" s="71">
        <v>152</v>
      </c>
      <c r="G18" s="41" t="s">
        <v>50</v>
      </c>
      <c r="H18" s="31">
        <v>10447422951</v>
      </c>
      <c r="I18" s="43" t="str">
        <f>IF(H18="","",VLOOKUP(H18,ENTIDAD!$B$2:$C$613,2,0))</f>
        <v>ZEGARRA AZAÑERO JORGE KEY</v>
      </c>
      <c r="J18" s="11"/>
      <c r="K18" s="11"/>
      <c r="L18" s="11"/>
      <c r="M18" s="11"/>
      <c r="N18" s="44">
        <f t="shared" si="0"/>
        <v>0</v>
      </c>
      <c r="O18" s="44">
        <f t="shared" si="1"/>
        <v>0</v>
      </c>
      <c r="P18" s="11">
        <v>450</v>
      </c>
      <c r="Q18" s="11"/>
      <c r="R18" s="11"/>
      <c r="S18" s="11">
        <v>450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13">
        <v>46085</v>
      </c>
      <c r="AE18" s="14" t="s">
        <v>465</v>
      </c>
      <c r="AF18" s="19" t="s">
        <v>606</v>
      </c>
      <c r="AG18" s="14"/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490</v>
      </c>
      <c r="AT18" s="14"/>
      <c r="AU18" s="11"/>
      <c r="AV18" s="14"/>
    </row>
    <row r="19" spans="1:49" s="47" customFormat="1" ht="15" x14ac:dyDescent="0.25">
      <c r="A19" s="46">
        <v>46058</v>
      </c>
      <c r="B19" s="13"/>
      <c r="C19" s="41" t="s">
        <v>49</v>
      </c>
      <c r="D19" s="42" t="s">
        <v>294</v>
      </c>
      <c r="E19" s="14"/>
      <c r="F19" s="71">
        <v>8322</v>
      </c>
      <c r="G19" s="42" t="s">
        <v>50</v>
      </c>
      <c r="H19" s="31">
        <v>20610959432</v>
      </c>
      <c r="I19" s="43" t="str">
        <f>IF(H19="","",VLOOKUP(H19,ENTIDAD!$B$2:$C$613,2,0))</f>
        <v>SERVICENTRO CRISNEYA EMPRESA INDIVIDUAL DE RESPONSABILIDAD LIMITADA</v>
      </c>
      <c r="J19" s="11"/>
      <c r="K19" s="11"/>
      <c r="L19" s="11"/>
      <c r="M19" s="11"/>
      <c r="N19" s="44">
        <f t="shared" si="0"/>
        <v>0</v>
      </c>
      <c r="O19" s="44">
        <f t="shared" si="1"/>
        <v>0</v>
      </c>
      <c r="P19" s="11">
        <v>10</v>
      </c>
      <c r="Q19" s="11"/>
      <c r="R19" s="11"/>
      <c r="S19" s="11">
        <v>10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13"/>
      <c r="AE19" s="14" t="s">
        <v>262</v>
      </c>
      <c r="AF19" s="19" t="s">
        <v>486</v>
      </c>
      <c r="AG19" s="14"/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487</v>
      </c>
      <c r="AT19" s="14"/>
      <c r="AU19" s="11"/>
      <c r="AV19" s="14"/>
      <c r="AW19" s="45"/>
    </row>
    <row r="20" spans="1:49" s="45" customFormat="1" ht="15" x14ac:dyDescent="0.25">
      <c r="A20" s="46">
        <v>46058</v>
      </c>
      <c r="B20" s="13"/>
      <c r="C20" s="41" t="s">
        <v>49</v>
      </c>
      <c r="D20" s="42" t="s">
        <v>574</v>
      </c>
      <c r="E20" s="14"/>
      <c r="F20" s="71">
        <v>64</v>
      </c>
      <c r="G20" s="41" t="s">
        <v>50</v>
      </c>
      <c r="H20" s="31">
        <v>10421947665</v>
      </c>
      <c r="I20" s="43" t="str">
        <f>IF(H20="","",VLOOKUP(H20,ENTIDAD!$B$2:$C$613,2,0))</f>
        <v>MAYTA,MADUEÑO,SAUL,JESUS</v>
      </c>
      <c r="J20" s="11"/>
      <c r="K20" s="11"/>
      <c r="L20" s="11"/>
      <c r="M20" s="11"/>
      <c r="N20" s="44">
        <f t="shared" si="0"/>
        <v>0</v>
      </c>
      <c r="O20" s="44">
        <f t="shared" si="1"/>
        <v>0</v>
      </c>
      <c r="P20" s="11">
        <v>9.5</v>
      </c>
      <c r="Q20" s="11"/>
      <c r="R20" s="11"/>
      <c r="S20" s="11">
        <v>9.5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13"/>
      <c r="AE20" s="14" t="s">
        <v>262</v>
      </c>
      <c r="AF20" s="19" t="s">
        <v>515</v>
      </c>
      <c r="AG20" s="14"/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586</v>
      </c>
      <c r="AT20" s="14"/>
      <c r="AU20" s="11"/>
      <c r="AV20" s="14"/>
    </row>
    <row r="21" spans="1:49" s="45" customFormat="1" ht="15" x14ac:dyDescent="0.25">
      <c r="A21" s="46">
        <v>46058</v>
      </c>
      <c r="B21" s="13"/>
      <c r="C21" s="41" t="s">
        <v>49</v>
      </c>
      <c r="D21" s="42" t="s">
        <v>573</v>
      </c>
      <c r="E21" s="14"/>
      <c r="F21" s="71">
        <v>3448</v>
      </c>
      <c r="G21" s="42" t="s">
        <v>50</v>
      </c>
      <c r="H21" s="31">
        <v>20568909128</v>
      </c>
      <c r="I21" s="43" t="str">
        <f>IF(H21="","",VLOOKUP(H21,ENTIDAD!$B$2:$C$613,2,0))</f>
        <v>MESSENGER WORLD E.I.R.L</v>
      </c>
      <c r="J21" s="11"/>
      <c r="K21" s="11"/>
      <c r="L21" s="11"/>
      <c r="M21" s="11"/>
      <c r="N21" s="44">
        <f t="shared" si="0"/>
        <v>12.711864406779661</v>
      </c>
      <c r="O21" s="44">
        <f t="shared" si="1"/>
        <v>2.2881355932203387</v>
      </c>
      <c r="P21" s="11">
        <v>0</v>
      </c>
      <c r="Q21" s="11"/>
      <c r="R21" s="11"/>
      <c r="S21" s="11">
        <v>15</v>
      </c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13">
        <v>46086</v>
      </c>
      <c r="AE21" s="14" t="s">
        <v>465</v>
      </c>
      <c r="AF21" s="19" t="s">
        <v>507</v>
      </c>
      <c r="AG21" s="14"/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508</v>
      </c>
      <c r="AT21" s="14"/>
      <c r="AU21" s="11"/>
      <c r="AV21" s="14"/>
    </row>
    <row r="22" spans="1:49" s="45" customFormat="1" ht="15" x14ac:dyDescent="0.25">
      <c r="A22" s="46">
        <v>46058</v>
      </c>
      <c r="B22" s="13"/>
      <c r="C22" s="41" t="s">
        <v>49</v>
      </c>
      <c r="D22" s="42" t="s">
        <v>294</v>
      </c>
      <c r="E22" s="14"/>
      <c r="F22" s="71">
        <v>5421</v>
      </c>
      <c r="G22" s="42" t="s">
        <v>50</v>
      </c>
      <c r="H22" s="31">
        <v>10421947665</v>
      </c>
      <c r="I22" s="43" t="str">
        <f>IF(H22="","",VLOOKUP(H22,ENTIDAD!$B$2:$C$613,2,0))</f>
        <v>MAYTA,MADUEÑO,SAUL,JESUS</v>
      </c>
      <c r="J22" s="11"/>
      <c r="K22" s="11"/>
      <c r="L22" s="11"/>
      <c r="M22" s="11"/>
      <c r="N22" s="44">
        <f t="shared" si="0"/>
        <v>0</v>
      </c>
      <c r="O22" s="44">
        <f t="shared" si="1"/>
        <v>0</v>
      </c>
      <c r="P22" s="11">
        <v>36</v>
      </c>
      <c r="Q22" s="11"/>
      <c r="R22" s="11"/>
      <c r="S22" s="11">
        <v>36</v>
      </c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13"/>
      <c r="AE22" s="14" t="s">
        <v>262</v>
      </c>
      <c r="AF22" s="19" t="s">
        <v>515</v>
      </c>
      <c r="AG22" s="14"/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187</v>
      </c>
      <c r="AT22" s="14"/>
      <c r="AU22" s="11"/>
      <c r="AV22" s="14"/>
    </row>
    <row r="23" spans="1:49" s="47" customFormat="1" ht="15" x14ac:dyDescent="0.25">
      <c r="A23" s="46">
        <v>46058</v>
      </c>
      <c r="B23" s="13"/>
      <c r="C23" s="41" t="s">
        <v>49</v>
      </c>
      <c r="D23" s="42" t="s">
        <v>292</v>
      </c>
      <c r="E23" s="14"/>
      <c r="F23" s="71">
        <v>5998</v>
      </c>
      <c r="G23" s="41" t="s">
        <v>50</v>
      </c>
      <c r="H23" s="31">
        <v>20602783341</v>
      </c>
      <c r="I23" s="43" t="str">
        <f>IF(H23="","",VLOOKUP(H23,ENTIDAD!$B$2:$C$613,2,0))</f>
        <v>CODISSER VRAEM E.I.R.L.</v>
      </c>
      <c r="J23" s="11"/>
      <c r="K23" s="11"/>
      <c r="L23" s="11"/>
      <c r="M23" s="11"/>
      <c r="N23" s="44">
        <f t="shared" si="0"/>
        <v>0</v>
      </c>
      <c r="O23" s="44">
        <f t="shared" si="1"/>
        <v>0</v>
      </c>
      <c r="P23" s="11">
        <v>8</v>
      </c>
      <c r="Q23" s="11"/>
      <c r="R23" s="11"/>
      <c r="S23" s="11">
        <v>8</v>
      </c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13"/>
      <c r="AE23" s="14" t="s">
        <v>262</v>
      </c>
      <c r="AF23" s="19" t="s">
        <v>601</v>
      </c>
      <c r="AG23" s="14"/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493</v>
      </c>
      <c r="AT23" s="14"/>
      <c r="AU23" s="11"/>
      <c r="AV23" s="14"/>
      <c r="AW23" s="45"/>
    </row>
    <row r="24" spans="1:49" s="122" customFormat="1" ht="15" x14ac:dyDescent="0.25">
      <c r="A24" s="108">
        <v>46058</v>
      </c>
      <c r="B24" s="109"/>
      <c r="C24" s="110" t="s">
        <v>49</v>
      </c>
      <c r="D24" s="111" t="s">
        <v>451</v>
      </c>
      <c r="E24" s="112"/>
      <c r="F24" s="113">
        <v>133</v>
      </c>
      <c r="G24" s="111" t="s">
        <v>50</v>
      </c>
      <c r="H24" s="114">
        <v>20600454065</v>
      </c>
      <c r="I24" s="115" t="str">
        <f>IF(H24="","",VLOOKUP(H24,ENTIDAD!$B$2:$C$613,2,0))</f>
        <v>REPUESTOS Y SERVICIOS ARAUCO E.I.R.L.</v>
      </c>
      <c r="J24" s="116"/>
      <c r="K24" s="116"/>
      <c r="L24" s="116"/>
      <c r="M24" s="116"/>
      <c r="N24" s="117">
        <f t="shared" si="0"/>
        <v>0</v>
      </c>
      <c r="O24" s="117">
        <f t="shared" si="1"/>
        <v>0</v>
      </c>
      <c r="P24" s="116">
        <v>2670</v>
      </c>
      <c r="Q24" s="116"/>
      <c r="R24" s="116"/>
      <c r="S24" s="116">
        <v>2670</v>
      </c>
      <c r="T24" s="112"/>
      <c r="U24" s="112"/>
      <c r="V24" s="109"/>
      <c r="W24" s="118"/>
      <c r="X24" s="109"/>
      <c r="Y24" s="112"/>
      <c r="Z24" s="112"/>
      <c r="AA24" s="112"/>
      <c r="AB24" s="111" t="s">
        <v>224</v>
      </c>
      <c r="AC24" s="116"/>
      <c r="AD24" s="109"/>
      <c r="AE24" s="112" t="s">
        <v>465</v>
      </c>
      <c r="AF24" s="119" t="s">
        <v>616</v>
      </c>
      <c r="AG24" s="112"/>
      <c r="AH24" s="112" t="s">
        <v>225</v>
      </c>
      <c r="AI24" s="112"/>
      <c r="AJ24" s="112"/>
      <c r="AK24" s="120"/>
      <c r="AL24" s="116"/>
      <c r="AM24" s="116"/>
      <c r="AN24" s="112"/>
      <c r="AO24" s="112"/>
      <c r="AP24" s="109"/>
      <c r="AQ24" s="112"/>
      <c r="AR24" s="116">
        <v>18</v>
      </c>
      <c r="AS24" s="112" t="s">
        <v>617</v>
      </c>
      <c r="AT24" s="112"/>
      <c r="AU24" s="116"/>
      <c r="AV24" s="112"/>
      <c r="AW24" s="121"/>
    </row>
    <row r="25" spans="1:49" s="45" customFormat="1" ht="15" x14ac:dyDescent="0.25">
      <c r="A25" s="46">
        <v>46060</v>
      </c>
      <c r="B25" s="13"/>
      <c r="C25" s="41" t="s">
        <v>49</v>
      </c>
      <c r="D25" s="42" t="s">
        <v>442</v>
      </c>
      <c r="E25" s="14"/>
      <c r="F25" s="71">
        <v>18308599</v>
      </c>
      <c r="G25" s="41" t="s">
        <v>50</v>
      </c>
      <c r="H25" s="31">
        <v>20100047218</v>
      </c>
      <c r="I25" s="43" t="str">
        <f>IF(H25="","",VLOOKUP(H25,ENTIDAD!$B$2:$C$613,2,0))</f>
        <v>BANCO DE CREDITO DEL PERU</v>
      </c>
      <c r="J25" s="11"/>
      <c r="K25" s="11"/>
      <c r="L25" s="11"/>
      <c r="M25" s="11"/>
      <c r="N25" s="44">
        <f t="shared" si="0"/>
        <v>0</v>
      </c>
      <c r="O25" s="44">
        <f t="shared" si="1"/>
        <v>0</v>
      </c>
      <c r="P25" s="11">
        <v>987.48</v>
      </c>
      <c r="Q25" s="11"/>
      <c r="R25" s="11"/>
      <c r="S25" s="11">
        <v>987.48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13">
        <v>46088</v>
      </c>
      <c r="AE25" s="14" t="s">
        <v>465</v>
      </c>
      <c r="AF25" s="19" t="s">
        <v>494</v>
      </c>
      <c r="AG25" s="14"/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495</v>
      </c>
      <c r="AT25" s="14"/>
      <c r="AU25" s="11"/>
      <c r="AV25" s="14"/>
    </row>
    <row r="26" spans="1:49" s="45" customFormat="1" ht="15" x14ac:dyDescent="0.25">
      <c r="A26" s="46">
        <v>46060</v>
      </c>
      <c r="B26" s="13"/>
      <c r="C26" s="41" t="s">
        <v>49</v>
      </c>
      <c r="D26" s="42" t="s">
        <v>294</v>
      </c>
      <c r="E26" s="14"/>
      <c r="F26" s="71">
        <v>5167</v>
      </c>
      <c r="G26" s="42" t="s">
        <v>50</v>
      </c>
      <c r="H26" s="31">
        <v>10061702071</v>
      </c>
      <c r="I26" s="43" t="str">
        <f>IF(H26="","",VLOOKUP(H26,ENTIDAD!$B$2:$C$613,2,0))</f>
        <v>CORAL FLORES IVAN MARTIN</v>
      </c>
      <c r="J26" s="11"/>
      <c r="K26" s="11"/>
      <c r="L26" s="11"/>
      <c r="M26" s="11"/>
      <c r="N26" s="44">
        <f t="shared" si="0"/>
        <v>0</v>
      </c>
      <c r="O26" s="44">
        <f t="shared" si="1"/>
        <v>0</v>
      </c>
      <c r="P26" s="11">
        <v>455</v>
      </c>
      <c r="Q26" s="11"/>
      <c r="R26" s="11"/>
      <c r="S26" s="11">
        <v>455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13">
        <v>46088</v>
      </c>
      <c r="AE26" s="14" t="s">
        <v>465</v>
      </c>
      <c r="AF26" s="37" t="s">
        <v>597</v>
      </c>
      <c r="AG26" s="34" t="s">
        <v>513</v>
      </c>
      <c r="AH26" s="34" t="s">
        <v>225</v>
      </c>
      <c r="AI26" s="34"/>
      <c r="AJ26" s="34"/>
      <c r="AK26" s="38"/>
      <c r="AL26" s="35"/>
      <c r="AM26" s="35"/>
      <c r="AN26" s="34"/>
      <c r="AO26" s="34"/>
      <c r="AP26" s="33"/>
      <c r="AQ26" s="34"/>
      <c r="AR26" s="35">
        <v>18</v>
      </c>
      <c r="AS26" s="34" t="s">
        <v>514</v>
      </c>
      <c r="AT26" s="14"/>
      <c r="AU26" s="11"/>
      <c r="AV26" s="14"/>
    </row>
    <row r="27" spans="1:49" customFormat="1" ht="15" x14ac:dyDescent="0.25">
      <c r="A27" s="46">
        <v>46060</v>
      </c>
      <c r="B27" s="13"/>
      <c r="C27" s="41" t="s">
        <v>49</v>
      </c>
      <c r="D27" s="42" t="s">
        <v>292</v>
      </c>
      <c r="E27" s="14"/>
      <c r="F27" s="71">
        <v>659</v>
      </c>
      <c r="G27" s="42" t="s">
        <v>50</v>
      </c>
      <c r="H27" s="31">
        <v>10433685721</v>
      </c>
      <c r="I27" s="43" t="str">
        <f>IF(H27="","",VLOOKUP(H27,ENTIDAD!$B$2:$C$613,2,0))</f>
        <v>MANDUJANO,SOLANO,JOSE,ELIAS</v>
      </c>
      <c r="J27" s="11"/>
      <c r="K27" s="11"/>
      <c r="L27" s="11"/>
      <c r="M27" s="11"/>
      <c r="N27" s="44">
        <f t="shared" si="0"/>
        <v>0</v>
      </c>
      <c r="O27" s="44">
        <f t="shared" si="1"/>
        <v>0</v>
      </c>
      <c r="P27" s="11">
        <v>14</v>
      </c>
      <c r="Q27" s="11"/>
      <c r="R27" s="11"/>
      <c r="S27" s="11">
        <v>14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13"/>
      <c r="AE27" s="14" t="s">
        <v>262</v>
      </c>
      <c r="AF27" s="19" t="s">
        <v>604</v>
      </c>
      <c r="AG27" s="14"/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585</v>
      </c>
      <c r="AT27" s="14"/>
      <c r="AU27" s="11"/>
      <c r="AV27" s="14"/>
      <c r="AW27" s="45"/>
    </row>
    <row r="28" spans="1:49" s="45" customFormat="1" ht="15" x14ac:dyDescent="0.25">
      <c r="A28" s="74">
        <v>46060</v>
      </c>
      <c r="B28" s="26"/>
      <c r="C28" s="75" t="s">
        <v>49</v>
      </c>
      <c r="D28" s="76" t="s">
        <v>589</v>
      </c>
      <c r="E28" s="27"/>
      <c r="F28" s="86">
        <v>1292611</v>
      </c>
      <c r="G28" s="76" t="s">
        <v>50</v>
      </c>
      <c r="H28" s="32">
        <v>20100047218</v>
      </c>
      <c r="I28" s="78" t="str">
        <f>IF(H28="","",VLOOKUP(H28,ENTIDAD!$B$2:$C$613,2,0))</f>
        <v>BANCO DE CREDITO DEL PERU</v>
      </c>
      <c r="J28" s="28"/>
      <c r="K28" s="28"/>
      <c r="L28" s="28"/>
      <c r="M28" s="28"/>
      <c r="N28" s="79">
        <f t="shared" si="0"/>
        <v>0</v>
      </c>
      <c r="O28" s="79">
        <f t="shared" si="1"/>
        <v>0</v>
      </c>
      <c r="P28" s="28">
        <v>132.5</v>
      </c>
      <c r="Q28" s="28"/>
      <c r="R28" s="28"/>
      <c r="S28" s="28">
        <v>132.5</v>
      </c>
      <c r="T28" s="27"/>
      <c r="U28" s="27"/>
      <c r="V28" s="26"/>
      <c r="W28" s="80"/>
      <c r="X28" s="26"/>
      <c r="Y28" s="27"/>
      <c r="Z28" s="27"/>
      <c r="AA28" s="27"/>
      <c r="AB28" s="76" t="s">
        <v>224</v>
      </c>
      <c r="AC28" s="28"/>
      <c r="AD28" s="26"/>
      <c r="AE28" s="27" t="s">
        <v>465</v>
      </c>
      <c r="AF28" s="29" t="s">
        <v>494</v>
      </c>
      <c r="AG28" s="27"/>
      <c r="AH28" s="27" t="s">
        <v>225</v>
      </c>
      <c r="AI28" s="27"/>
      <c r="AJ28" s="27"/>
      <c r="AK28" s="30"/>
      <c r="AL28" s="28"/>
      <c r="AM28" s="28"/>
      <c r="AN28" s="27"/>
      <c r="AO28" s="27"/>
      <c r="AP28" s="26"/>
      <c r="AQ28" s="27"/>
      <c r="AR28" s="28">
        <v>18</v>
      </c>
      <c r="AS28" s="27" t="s">
        <v>593</v>
      </c>
      <c r="AT28" s="27"/>
      <c r="AU28" s="28"/>
      <c r="AV28" s="27"/>
      <c r="AW28" s="81"/>
    </row>
    <row r="29" spans="1:49" s="45" customFormat="1" ht="15" x14ac:dyDescent="0.25">
      <c r="A29" s="46">
        <v>46063</v>
      </c>
      <c r="B29" s="13"/>
      <c r="C29" s="41" t="s">
        <v>49</v>
      </c>
      <c r="D29" s="42" t="s">
        <v>294</v>
      </c>
      <c r="E29" s="14"/>
      <c r="F29" s="71">
        <v>117458</v>
      </c>
      <c r="G29" s="42" t="s">
        <v>50</v>
      </c>
      <c r="H29" s="31">
        <v>20568499043</v>
      </c>
      <c r="I29" s="43" t="str">
        <f>IF(H29="","",VLOOKUP(H29,ENTIDAD!$B$2:$C$613,2,0))</f>
        <v>SURTIDORES SAN MIGUEL E.I.R.L.</v>
      </c>
      <c r="J29" s="11"/>
      <c r="K29" s="11"/>
      <c r="L29" s="11"/>
      <c r="M29" s="11"/>
      <c r="N29" s="44">
        <f t="shared" si="0"/>
        <v>0</v>
      </c>
      <c r="O29" s="44">
        <f t="shared" si="1"/>
        <v>0</v>
      </c>
      <c r="P29" s="11">
        <v>100</v>
      </c>
      <c r="Q29" s="11"/>
      <c r="R29" s="11"/>
      <c r="S29" s="11">
        <v>100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13"/>
      <c r="AE29" s="14" t="s">
        <v>262</v>
      </c>
      <c r="AF29" s="19" t="s">
        <v>488</v>
      </c>
      <c r="AG29" s="14"/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487</v>
      </c>
      <c r="AT29" s="14"/>
      <c r="AU29" s="11"/>
      <c r="AV29" s="14"/>
    </row>
    <row r="30" spans="1:49" s="45" customFormat="1" ht="15" x14ac:dyDescent="0.25">
      <c r="A30" s="46">
        <v>46063</v>
      </c>
      <c r="B30" s="13"/>
      <c r="C30" s="41" t="s">
        <v>49</v>
      </c>
      <c r="D30" s="42" t="s">
        <v>292</v>
      </c>
      <c r="E30" s="14"/>
      <c r="F30" s="71">
        <v>12000</v>
      </c>
      <c r="G30" s="41" t="s">
        <v>50</v>
      </c>
      <c r="H30" s="31">
        <v>20568968051</v>
      </c>
      <c r="I30" s="43" t="str">
        <f>IF(H30="","",VLOOKUP(H30,ENTIDAD!$B$2:$C$613,2,0))</f>
        <v>AUTOMOVIL SATIPO TOURS S.A.C.</v>
      </c>
      <c r="J30" s="11"/>
      <c r="K30" s="11"/>
      <c r="L30" s="11"/>
      <c r="M30" s="11"/>
      <c r="N30" s="44">
        <f t="shared" si="0"/>
        <v>0</v>
      </c>
      <c r="O30" s="44">
        <f t="shared" si="1"/>
        <v>0</v>
      </c>
      <c r="P30" s="11">
        <v>40</v>
      </c>
      <c r="Q30" s="11"/>
      <c r="R30" s="11"/>
      <c r="S30" s="11">
        <v>40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13">
        <v>46091</v>
      </c>
      <c r="AE30" s="14" t="s">
        <v>465</v>
      </c>
      <c r="AF30" s="37" t="s">
        <v>597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516</v>
      </c>
      <c r="AT30" s="14"/>
      <c r="AU30" s="11"/>
      <c r="AV30" s="14"/>
    </row>
    <row r="31" spans="1:49" s="45" customFormat="1" ht="15" x14ac:dyDescent="0.25">
      <c r="A31" s="46">
        <v>46063</v>
      </c>
      <c r="B31" s="13"/>
      <c r="C31" s="41" t="s">
        <v>49</v>
      </c>
      <c r="D31" s="42" t="s">
        <v>294</v>
      </c>
      <c r="E31" s="14"/>
      <c r="F31" s="71">
        <v>15741</v>
      </c>
      <c r="G31" s="42" t="s">
        <v>50</v>
      </c>
      <c r="H31" s="31">
        <v>20444766906</v>
      </c>
      <c r="I31" s="43" t="str">
        <f>IF(H31="","",VLOOKUP(H31,ENTIDAD!$B$2:$C$613,2,0))</f>
        <v> EMPRESA DE TRANSPORTES PROFAMSE SRL</v>
      </c>
      <c r="J31" s="11"/>
      <c r="K31" s="11"/>
      <c r="L31" s="11"/>
      <c r="M31" s="11"/>
      <c r="N31" s="44">
        <f t="shared" si="0"/>
        <v>0</v>
      </c>
      <c r="O31" s="44">
        <f t="shared" si="1"/>
        <v>0</v>
      </c>
      <c r="P31" s="11">
        <v>40</v>
      </c>
      <c r="Q31" s="11"/>
      <c r="R31" s="11"/>
      <c r="S31" s="11">
        <v>40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13">
        <v>46091</v>
      </c>
      <c r="AE31" s="14" t="s">
        <v>465</v>
      </c>
      <c r="AF31" s="37" t="s">
        <v>597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516</v>
      </c>
      <c r="AT31" s="14"/>
      <c r="AU31" s="11"/>
      <c r="AV31" s="14"/>
    </row>
    <row r="32" spans="1:49" s="45" customFormat="1" ht="15" x14ac:dyDescent="0.25">
      <c r="A32" s="46">
        <v>46065</v>
      </c>
      <c r="B32" s="13"/>
      <c r="C32" s="41" t="s">
        <v>49</v>
      </c>
      <c r="D32" s="42" t="s">
        <v>451</v>
      </c>
      <c r="E32" s="14"/>
      <c r="F32" s="71">
        <v>2133</v>
      </c>
      <c r="G32" s="41" t="s">
        <v>50</v>
      </c>
      <c r="H32" s="31">
        <v>20603851171</v>
      </c>
      <c r="I32" s="43" t="str">
        <f>IF(H32="","",VLOOKUP(H32,ENTIDAD!$B$2:$C$613,2,0))</f>
        <v>J&amp;J RENATO E.I.R.L.</v>
      </c>
      <c r="J32" s="11"/>
      <c r="K32" s="11"/>
      <c r="L32" s="11"/>
      <c r="M32" s="11"/>
      <c r="N32" s="44">
        <f t="shared" si="0"/>
        <v>0</v>
      </c>
      <c r="O32" s="44">
        <f t="shared" si="1"/>
        <v>0</v>
      </c>
      <c r="P32" s="11">
        <v>3</v>
      </c>
      <c r="Q32" s="11"/>
      <c r="R32" s="11"/>
      <c r="S32" s="11">
        <v>3</v>
      </c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13"/>
      <c r="AE32" s="14" t="s">
        <v>262</v>
      </c>
      <c r="AF32" s="19" t="s">
        <v>602</v>
      </c>
      <c r="AG32" s="14"/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584</v>
      </c>
      <c r="AT32" s="14"/>
      <c r="AU32" s="11"/>
      <c r="AV32" s="14"/>
    </row>
    <row r="33" spans="1:49" s="45" customFormat="1" ht="15" x14ac:dyDescent="0.25">
      <c r="A33" s="46">
        <v>46065</v>
      </c>
      <c r="B33" s="13"/>
      <c r="C33" s="41" t="s">
        <v>49</v>
      </c>
      <c r="D33" s="42" t="s">
        <v>451</v>
      </c>
      <c r="E33" s="14"/>
      <c r="F33" s="71">
        <v>173</v>
      </c>
      <c r="G33" s="42" t="s">
        <v>50</v>
      </c>
      <c r="H33" s="31">
        <v>10209907327</v>
      </c>
      <c r="I33" s="43" t="str">
        <f>IF(H33="","",VLOOKUP(H33,ENTIDAD!$B$2:$C$613,2,0))</f>
        <v>TORPOCO,MAYTA,HECTOR,ALFONSO</v>
      </c>
      <c r="J33" s="11"/>
      <c r="K33" s="11"/>
      <c r="L33" s="11"/>
      <c r="M33" s="11"/>
      <c r="N33" s="44">
        <f t="shared" si="0"/>
        <v>0</v>
      </c>
      <c r="O33" s="44">
        <f t="shared" si="1"/>
        <v>0</v>
      </c>
      <c r="P33" s="11">
        <v>5</v>
      </c>
      <c r="Q33" s="11"/>
      <c r="R33" s="11"/>
      <c r="S33" s="11">
        <v>5</v>
      </c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13"/>
      <c r="AE33" s="14" t="s">
        <v>262</v>
      </c>
      <c r="AF33" s="19" t="s">
        <v>486</v>
      </c>
      <c r="AG33" s="14"/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487</v>
      </c>
      <c r="AT33" s="14"/>
      <c r="AU33" s="11"/>
      <c r="AV33" s="14"/>
    </row>
    <row r="34" spans="1:49" s="45" customFormat="1" ht="15" x14ac:dyDescent="0.25">
      <c r="A34" s="46">
        <v>46065</v>
      </c>
      <c r="B34" s="13"/>
      <c r="C34" s="41" t="s">
        <v>49</v>
      </c>
      <c r="D34" s="42" t="s">
        <v>573</v>
      </c>
      <c r="E34" s="14"/>
      <c r="F34" s="71">
        <v>425</v>
      </c>
      <c r="G34" s="41" t="s">
        <v>50</v>
      </c>
      <c r="H34" s="31">
        <v>20568369000</v>
      </c>
      <c r="I34" s="43" t="str">
        <f>IF(H34="","",VLOOKUP(H34,ENTIDAD!$B$2:$C$613,2,0))</f>
        <v xml:space="preserve">INFORMATICA Y GRAFICA EMPRESA INDIVIDUAL DE RESPONSABILIDAD LIMITADA - INFOGRAFIC E.I.R.L.          </v>
      </c>
      <c r="J34" s="11"/>
      <c r="K34" s="11"/>
      <c r="L34" s="11"/>
      <c r="M34" s="11"/>
      <c r="N34" s="44">
        <f t="shared" si="0"/>
        <v>0</v>
      </c>
      <c r="O34" s="44">
        <f t="shared" si="1"/>
        <v>0</v>
      </c>
      <c r="P34" s="11">
        <v>40</v>
      </c>
      <c r="Q34" s="11"/>
      <c r="R34" s="11"/>
      <c r="S34" s="11">
        <v>40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13"/>
      <c r="AE34" s="14" t="s">
        <v>262</v>
      </c>
      <c r="AF34" s="19" t="s">
        <v>605</v>
      </c>
      <c r="AG34" s="14"/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583</v>
      </c>
      <c r="AT34" s="14"/>
      <c r="AU34" s="11"/>
      <c r="AV34" s="14"/>
    </row>
    <row r="35" spans="1:49" s="47" customFormat="1" ht="15" x14ac:dyDescent="0.25">
      <c r="A35" s="46">
        <v>46065</v>
      </c>
      <c r="B35" s="13"/>
      <c r="C35" s="41" t="s">
        <v>49</v>
      </c>
      <c r="D35" s="42" t="s">
        <v>439</v>
      </c>
      <c r="E35" s="14"/>
      <c r="F35" s="71">
        <v>14845</v>
      </c>
      <c r="G35" s="42" t="s">
        <v>50</v>
      </c>
      <c r="H35" s="31">
        <v>20493508645</v>
      </c>
      <c r="I35" s="43" t="str">
        <f>IF(H35="","",VLOOKUP(H35,ENTIDAD!$B$2:$C$613,2,0))</f>
        <v>HONDA SELVA DEL PERU S.A.</v>
      </c>
      <c r="J35" s="11"/>
      <c r="K35" s="11"/>
      <c r="L35" s="11"/>
      <c r="M35" s="11"/>
      <c r="N35" s="44">
        <f t="shared" si="0"/>
        <v>3.8389830509821246E-3</v>
      </c>
      <c r="O35" s="44">
        <f t="shared" si="1"/>
        <v>6.9101694917678245E-4</v>
      </c>
      <c r="P35" s="11">
        <v>13029.3</v>
      </c>
      <c r="Q35" s="11"/>
      <c r="R35" s="11"/>
      <c r="S35" s="11">
        <f>W35*AC35</f>
        <v>13029.304529999999</v>
      </c>
      <c r="T35" s="14"/>
      <c r="U35" s="14"/>
      <c r="V35" s="13"/>
      <c r="W35" s="15">
        <v>3.363</v>
      </c>
      <c r="X35" s="13"/>
      <c r="Y35" s="14"/>
      <c r="Z35" s="14"/>
      <c r="AA35" s="14"/>
      <c r="AB35" s="42" t="s">
        <v>383</v>
      </c>
      <c r="AC35" s="11">
        <v>3874.31</v>
      </c>
      <c r="AD35" s="46">
        <v>46093</v>
      </c>
      <c r="AE35" s="34" t="s">
        <v>465</v>
      </c>
      <c r="AF35" s="19" t="s">
        <v>532</v>
      </c>
      <c r="AG35" s="14"/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201</v>
      </c>
      <c r="AT35" s="14"/>
      <c r="AU35" s="11"/>
      <c r="AV35" s="14"/>
      <c r="AW35" s="45"/>
    </row>
    <row r="36" spans="1:49" s="45" customFormat="1" ht="15" x14ac:dyDescent="0.25">
      <c r="A36" s="46">
        <v>46066</v>
      </c>
      <c r="B36" s="13"/>
      <c r="C36" s="41" t="s">
        <v>49</v>
      </c>
      <c r="D36" s="42" t="s">
        <v>299</v>
      </c>
      <c r="E36" s="14"/>
      <c r="F36" s="71">
        <v>3637109</v>
      </c>
      <c r="G36" s="41" t="s">
        <v>50</v>
      </c>
      <c r="H36" s="31">
        <v>20101973922</v>
      </c>
      <c r="I36" s="43" t="str">
        <f>IF(H36="","",VLOOKUP(H36,ENTIDAD!$B$2:$C$613,2,0))</f>
        <v>ASOCIACION AUTOMOTRIZ DEL PERU</v>
      </c>
      <c r="J36" s="11"/>
      <c r="K36" s="11"/>
      <c r="L36" s="11"/>
      <c r="M36" s="11"/>
      <c r="N36" s="44">
        <v>0</v>
      </c>
      <c r="O36" s="44">
        <f t="shared" si="1"/>
        <v>0</v>
      </c>
      <c r="P36" s="11">
        <v>0</v>
      </c>
      <c r="Q36" s="11"/>
      <c r="R36" s="11">
        <v>66.8</v>
      </c>
      <c r="S36" s="11">
        <v>66.8</v>
      </c>
      <c r="T36" s="14"/>
      <c r="U36" s="14"/>
      <c r="V36" s="13"/>
      <c r="W36" s="15"/>
      <c r="X36" s="13"/>
      <c r="Y36" s="14"/>
      <c r="Z36" s="14"/>
      <c r="AA36" s="14"/>
      <c r="AB36" s="42" t="s">
        <v>224</v>
      </c>
      <c r="AC36" s="11"/>
      <c r="AD36" s="33">
        <v>46094</v>
      </c>
      <c r="AE36" s="34" t="s">
        <v>465</v>
      </c>
      <c r="AF36" s="37" t="s">
        <v>597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4"/>
      <c r="AU36" s="11"/>
      <c r="AV36" s="14"/>
    </row>
    <row r="37" spans="1:49" s="45" customFormat="1" ht="15" x14ac:dyDescent="0.25">
      <c r="A37" s="46">
        <v>46066</v>
      </c>
      <c r="B37" s="13"/>
      <c r="C37" s="41" t="s">
        <v>49</v>
      </c>
      <c r="D37" s="42" t="s">
        <v>299</v>
      </c>
      <c r="E37" s="14"/>
      <c r="F37" s="71">
        <v>3637110</v>
      </c>
      <c r="G37" s="42" t="s">
        <v>50</v>
      </c>
      <c r="H37" s="31">
        <v>20101973922</v>
      </c>
      <c r="I37" s="43" t="str">
        <f>IF(H37="","",VLOOKUP(H37,ENTIDAD!$B$2:$C$613,2,0))</f>
        <v>ASOCIACION AUTOMOTRIZ DEL PERU</v>
      </c>
      <c r="J37" s="11"/>
      <c r="K37" s="11"/>
      <c r="L37" s="11"/>
      <c r="M37" s="11"/>
      <c r="N37" s="44">
        <v>0</v>
      </c>
      <c r="O37" s="44">
        <f t="shared" si="1"/>
        <v>0</v>
      </c>
      <c r="P37" s="11">
        <v>0</v>
      </c>
      <c r="Q37" s="11"/>
      <c r="R37" s="11">
        <v>66.8</v>
      </c>
      <c r="S37" s="11">
        <v>66.8</v>
      </c>
      <c r="T37" s="14"/>
      <c r="U37" s="14"/>
      <c r="V37" s="13"/>
      <c r="W37" s="15"/>
      <c r="X37" s="13"/>
      <c r="Y37" s="14"/>
      <c r="Z37" s="14"/>
      <c r="AA37" s="14"/>
      <c r="AB37" s="42" t="s">
        <v>224</v>
      </c>
      <c r="AC37" s="11"/>
      <c r="AD37" s="33">
        <v>46094</v>
      </c>
      <c r="AE37" s="34" t="s">
        <v>465</v>
      </c>
      <c r="AF37" s="37" t="s">
        <v>597</v>
      </c>
      <c r="AG37" s="14" t="s">
        <v>513</v>
      </c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566</v>
      </c>
      <c r="AT37" s="14"/>
      <c r="AU37" s="11"/>
      <c r="AV37" s="14"/>
    </row>
    <row r="38" spans="1:49" s="45" customFormat="1" ht="15" x14ac:dyDescent="0.25">
      <c r="A38" s="46">
        <v>46066</v>
      </c>
      <c r="B38" s="13"/>
      <c r="C38" s="41" t="s">
        <v>49</v>
      </c>
      <c r="D38" s="42" t="s">
        <v>299</v>
      </c>
      <c r="E38" s="14"/>
      <c r="F38" s="71">
        <v>3637111</v>
      </c>
      <c r="G38" s="41" t="s">
        <v>50</v>
      </c>
      <c r="H38" s="31">
        <v>20101973922</v>
      </c>
      <c r="I38" s="43" t="str">
        <f>IF(H38="","",VLOOKUP(H38,ENTIDAD!$B$2:$C$613,2,0))</f>
        <v>ASOCIACION AUTOMOTRIZ DEL PERU</v>
      </c>
      <c r="J38" s="11"/>
      <c r="K38" s="11"/>
      <c r="L38" s="11"/>
      <c r="M38" s="11"/>
      <c r="N38" s="44">
        <v>0</v>
      </c>
      <c r="O38" s="44">
        <f t="shared" si="1"/>
        <v>0</v>
      </c>
      <c r="P38" s="11">
        <v>0</v>
      </c>
      <c r="Q38" s="11"/>
      <c r="R38" s="11">
        <v>66.8</v>
      </c>
      <c r="S38" s="11">
        <v>66.8</v>
      </c>
      <c r="T38" s="14"/>
      <c r="U38" s="14"/>
      <c r="V38" s="13"/>
      <c r="W38" s="15"/>
      <c r="X38" s="13"/>
      <c r="Y38" s="14"/>
      <c r="Z38" s="14"/>
      <c r="AA38" s="14"/>
      <c r="AB38" s="42" t="s">
        <v>224</v>
      </c>
      <c r="AC38" s="11"/>
      <c r="AD38" s="33">
        <v>46094</v>
      </c>
      <c r="AE38" s="34" t="s">
        <v>465</v>
      </c>
      <c r="AF38" s="37" t="s">
        <v>597</v>
      </c>
      <c r="AG38" s="14" t="s">
        <v>513</v>
      </c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566</v>
      </c>
      <c r="AT38" s="14"/>
      <c r="AU38" s="11"/>
      <c r="AV38" s="14"/>
    </row>
    <row r="39" spans="1:49" s="45" customFormat="1" ht="15" x14ac:dyDescent="0.25">
      <c r="A39" s="46">
        <v>46066</v>
      </c>
      <c r="B39" s="13"/>
      <c r="C39" s="41" t="s">
        <v>49</v>
      </c>
      <c r="D39" s="42" t="s">
        <v>299</v>
      </c>
      <c r="E39" s="14"/>
      <c r="F39" s="71">
        <v>3637112</v>
      </c>
      <c r="G39" s="42" t="s">
        <v>50</v>
      </c>
      <c r="H39" s="31">
        <v>20101973922</v>
      </c>
      <c r="I39" s="43" t="str">
        <f>IF(H39="","",VLOOKUP(H39,ENTIDAD!$B$2:$C$613,2,0))</f>
        <v>ASOCIACION AUTOMOTRIZ DEL PERU</v>
      </c>
      <c r="J39" s="11"/>
      <c r="K39" s="11"/>
      <c r="L39" s="11"/>
      <c r="M39" s="11"/>
      <c r="N39" s="44">
        <v>0</v>
      </c>
      <c r="O39" s="44">
        <f t="shared" si="1"/>
        <v>0</v>
      </c>
      <c r="P39" s="11">
        <v>0</v>
      </c>
      <c r="Q39" s="11"/>
      <c r="R39" s="11">
        <v>66.8</v>
      </c>
      <c r="S39" s="11">
        <v>66.8</v>
      </c>
      <c r="T39" s="14"/>
      <c r="U39" s="14"/>
      <c r="V39" s="13"/>
      <c r="W39" s="15"/>
      <c r="X39" s="13"/>
      <c r="Y39" s="14"/>
      <c r="Z39" s="14"/>
      <c r="AA39" s="14"/>
      <c r="AB39" s="42" t="s">
        <v>224</v>
      </c>
      <c r="AC39" s="11"/>
      <c r="AD39" s="33">
        <v>46094</v>
      </c>
      <c r="AE39" s="34" t="s">
        <v>465</v>
      </c>
      <c r="AF39" s="37" t="s">
        <v>597</v>
      </c>
      <c r="AG39" s="14" t="s">
        <v>513</v>
      </c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566</v>
      </c>
      <c r="AT39" s="14"/>
      <c r="AU39" s="11"/>
      <c r="AV39" s="14"/>
    </row>
    <row r="40" spans="1:49" s="45" customFormat="1" ht="15" x14ac:dyDescent="0.25">
      <c r="A40" s="46">
        <v>46066</v>
      </c>
      <c r="B40" s="13"/>
      <c r="C40" s="41" t="s">
        <v>49</v>
      </c>
      <c r="D40" s="42" t="s">
        <v>299</v>
      </c>
      <c r="E40" s="14"/>
      <c r="F40" s="71">
        <v>3637113</v>
      </c>
      <c r="G40" s="41" t="s">
        <v>50</v>
      </c>
      <c r="H40" s="31">
        <v>20101973922</v>
      </c>
      <c r="I40" s="43" t="str">
        <f>IF(H40="","",VLOOKUP(H40,ENTIDAD!$B$2:$C$613,2,0))</f>
        <v>ASOCIACION AUTOMOTRIZ DEL PERU</v>
      </c>
      <c r="J40" s="11"/>
      <c r="K40" s="11"/>
      <c r="L40" s="11"/>
      <c r="M40" s="11"/>
      <c r="N40" s="44">
        <v>0</v>
      </c>
      <c r="O40" s="44">
        <f t="shared" si="1"/>
        <v>0</v>
      </c>
      <c r="P40" s="11">
        <v>0</v>
      </c>
      <c r="Q40" s="11"/>
      <c r="R40" s="11">
        <v>66.8</v>
      </c>
      <c r="S40" s="11">
        <v>66.8</v>
      </c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33">
        <v>46094</v>
      </c>
      <c r="AE40" s="34" t="s">
        <v>465</v>
      </c>
      <c r="AF40" s="37" t="s">
        <v>597</v>
      </c>
      <c r="AG40" s="14" t="s">
        <v>513</v>
      </c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566</v>
      </c>
      <c r="AT40" s="14"/>
      <c r="AU40" s="11"/>
      <c r="AV40" s="14"/>
    </row>
    <row r="41" spans="1:49" s="45" customFormat="1" ht="15" x14ac:dyDescent="0.25">
      <c r="A41" s="46">
        <v>46066</v>
      </c>
      <c r="B41" s="13"/>
      <c r="C41" s="41" t="s">
        <v>49</v>
      </c>
      <c r="D41" s="42" t="s">
        <v>299</v>
      </c>
      <c r="E41" s="14"/>
      <c r="F41" s="71">
        <v>3637114</v>
      </c>
      <c r="G41" s="42" t="s">
        <v>50</v>
      </c>
      <c r="H41" s="31">
        <v>20101973922</v>
      </c>
      <c r="I41" s="43" t="str">
        <f>IF(H41="","",VLOOKUP(H41,ENTIDAD!$B$2:$C$613,2,0))</f>
        <v>ASOCIACION AUTOMOTRIZ DEL PERU</v>
      </c>
      <c r="J41" s="11"/>
      <c r="K41" s="11"/>
      <c r="L41" s="11"/>
      <c r="M41" s="11"/>
      <c r="N41" s="44">
        <v>0</v>
      </c>
      <c r="O41" s="44">
        <f t="shared" si="1"/>
        <v>0</v>
      </c>
      <c r="P41" s="11">
        <v>0</v>
      </c>
      <c r="Q41" s="11"/>
      <c r="R41" s="11">
        <v>66.8</v>
      </c>
      <c r="S41" s="11">
        <v>66.8</v>
      </c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33">
        <v>46094</v>
      </c>
      <c r="AE41" s="34" t="s">
        <v>465</v>
      </c>
      <c r="AF41" s="37" t="s">
        <v>597</v>
      </c>
      <c r="AG41" s="14" t="s">
        <v>513</v>
      </c>
      <c r="AH41" s="14" t="s">
        <v>225</v>
      </c>
      <c r="AI41" s="14"/>
      <c r="AJ41" s="14"/>
      <c r="AK41" s="16"/>
      <c r="AL41" s="11"/>
      <c r="AM41" s="11"/>
      <c r="AN41" s="14"/>
      <c r="AO41" s="14"/>
      <c r="AP41" s="13"/>
      <c r="AQ41" s="14"/>
      <c r="AR41" s="11">
        <v>18</v>
      </c>
      <c r="AS41" s="14" t="s">
        <v>566</v>
      </c>
      <c r="AT41" s="14"/>
      <c r="AU41" s="11"/>
      <c r="AV41" s="14"/>
    </row>
    <row r="42" spans="1:49" s="45" customFormat="1" ht="15" x14ac:dyDescent="0.25">
      <c r="A42" s="46">
        <v>46066</v>
      </c>
      <c r="B42" s="13"/>
      <c r="C42" s="41" t="s">
        <v>49</v>
      </c>
      <c r="D42" s="42" t="s">
        <v>299</v>
      </c>
      <c r="E42" s="14"/>
      <c r="F42" s="71">
        <v>3637115</v>
      </c>
      <c r="G42" s="41" t="s">
        <v>50</v>
      </c>
      <c r="H42" s="31">
        <v>20101973922</v>
      </c>
      <c r="I42" s="43" t="str">
        <f>IF(H42="","",VLOOKUP(H42,ENTIDAD!$B$2:$C$613,2,0))</f>
        <v>ASOCIACION AUTOMOTRIZ DEL PERU</v>
      </c>
      <c r="J42" s="11"/>
      <c r="K42" s="11"/>
      <c r="L42" s="11"/>
      <c r="M42" s="11"/>
      <c r="N42" s="44">
        <v>0</v>
      </c>
      <c r="O42" s="44">
        <f t="shared" si="1"/>
        <v>0</v>
      </c>
      <c r="P42" s="11">
        <v>0</v>
      </c>
      <c r="Q42" s="11"/>
      <c r="R42" s="11">
        <v>66.8</v>
      </c>
      <c r="S42" s="11">
        <v>66.8</v>
      </c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33">
        <v>46094</v>
      </c>
      <c r="AE42" s="34" t="s">
        <v>465</v>
      </c>
      <c r="AF42" s="37" t="s">
        <v>597</v>
      </c>
      <c r="AG42" s="14" t="s">
        <v>513</v>
      </c>
      <c r="AH42" s="14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 t="s">
        <v>566</v>
      </c>
      <c r="AT42" s="14"/>
      <c r="AU42" s="11"/>
      <c r="AV42" s="14"/>
    </row>
    <row r="43" spans="1:49" s="45" customFormat="1" ht="15" x14ac:dyDescent="0.25">
      <c r="A43" s="46">
        <v>46066</v>
      </c>
      <c r="B43" s="13"/>
      <c r="C43" s="41" t="s">
        <v>49</v>
      </c>
      <c r="D43" s="42" t="s">
        <v>299</v>
      </c>
      <c r="E43" s="14"/>
      <c r="F43" s="71">
        <v>3637116</v>
      </c>
      <c r="G43" s="42" t="s">
        <v>50</v>
      </c>
      <c r="H43" s="31">
        <v>20101973922</v>
      </c>
      <c r="I43" s="43" t="str">
        <f>IF(H43="","",VLOOKUP(H43,ENTIDAD!$B$2:$C$613,2,0))</f>
        <v>ASOCIACION AUTOMOTRIZ DEL PERU</v>
      </c>
      <c r="J43" s="11"/>
      <c r="K43" s="11"/>
      <c r="L43" s="11"/>
      <c r="M43" s="11"/>
      <c r="N43" s="44">
        <v>0</v>
      </c>
      <c r="O43" s="44">
        <f t="shared" si="1"/>
        <v>0</v>
      </c>
      <c r="P43" s="11">
        <v>0</v>
      </c>
      <c r="Q43" s="11"/>
      <c r="R43" s="11">
        <v>66.8</v>
      </c>
      <c r="S43" s="11">
        <v>66.8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33">
        <v>46094</v>
      </c>
      <c r="AE43" s="34" t="s">
        <v>465</v>
      </c>
      <c r="AF43" s="37" t="s">
        <v>597</v>
      </c>
      <c r="AG43" s="14" t="s">
        <v>513</v>
      </c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566</v>
      </c>
      <c r="AT43" s="14"/>
      <c r="AU43" s="11"/>
      <c r="AV43" s="14"/>
    </row>
    <row r="44" spans="1:49" s="45" customFormat="1" ht="15" x14ac:dyDescent="0.25">
      <c r="A44" s="46">
        <v>46066</v>
      </c>
      <c r="B44" s="13"/>
      <c r="C44" s="41" t="s">
        <v>49</v>
      </c>
      <c r="D44" s="42" t="s">
        <v>299</v>
      </c>
      <c r="E44" s="14"/>
      <c r="F44" s="71">
        <v>3637117</v>
      </c>
      <c r="G44" s="41" t="s">
        <v>50</v>
      </c>
      <c r="H44" s="31">
        <v>20101973922</v>
      </c>
      <c r="I44" s="43" t="str">
        <f>IF(H44="","",VLOOKUP(H44,ENTIDAD!$B$2:$C$613,2,0))</f>
        <v>ASOCIACION AUTOMOTRIZ DEL PERU</v>
      </c>
      <c r="J44" s="11"/>
      <c r="K44" s="11"/>
      <c r="L44" s="11"/>
      <c r="M44" s="11"/>
      <c r="N44" s="44">
        <v>0</v>
      </c>
      <c r="O44" s="44">
        <f t="shared" si="1"/>
        <v>0</v>
      </c>
      <c r="P44" s="11">
        <v>0</v>
      </c>
      <c r="Q44" s="11"/>
      <c r="R44" s="11">
        <v>66.8</v>
      </c>
      <c r="S44" s="11">
        <v>66.8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33">
        <v>46094</v>
      </c>
      <c r="AE44" s="34" t="s">
        <v>465</v>
      </c>
      <c r="AF44" s="37" t="s">
        <v>597</v>
      </c>
      <c r="AG44" s="14" t="s">
        <v>513</v>
      </c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566</v>
      </c>
      <c r="AT44" s="14"/>
      <c r="AU44" s="11"/>
      <c r="AV44" s="14"/>
    </row>
    <row r="45" spans="1:49" s="45" customFormat="1" ht="15" x14ac:dyDescent="0.25">
      <c r="A45" s="46">
        <v>46066</v>
      </c>
      <c r="B45" s="13"/>
      <c r="C45" s="41" t="s">
        <v>49</v>
      </c>
      <c r="D45" s="42" t="s">
        <v>299</v>
      </c>
      <c r="E45" s="14"/>
      <c r="F45" s="71">
        <v>3637118</v>
      </c>
      <c r="G45" s="42" t="s">
        <v>50</v>
      </c>
      <c r="H45" s="31">
        <v>20101973922</v>
      </c>
      <c r="I45" s="43" t="str">
        <f>IF(H45="","",VLOOKUP(H45,ENTIDAD!$B$2:$C$613,2,0))</f>
        <v>ASOCIACION AUTOMOTRIZ DEL PERU</v>
      </c>
      <c r="J45" s="11"/>
      <c r="K45" s="11"/>
      <c r="L45" s="11"/>
      <c r="M45" s="11"/>
      <c r="N45" s="44">
        <v>0</v>
      </c>
      <c r="O45" s="44">
        <f t="shared" si="1"/>
        <v>0</v>
      </c>
      <c r="P45" s="11">
        <v>0</v>
      </c>
      <c r="Q45" s="11"/>
      <c r="R45" s="11">
        <v>66.8</v>
      </c>
      <c r="S45" s="11">
        <v>66.8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33">
        <v>46094</v>
      </c>
      <c r="AE45" s="34" t="s">
        <v>465</v>
      </c>
      <c r="AF45" s="37" t="s">
        <v>597</v>
      </c>
      <c r="AG45" s="14" t="s">
        <v>513</v>
      </c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566</v>
      </c>
      <c r="AT45" s="14"/>
      <c r="AU45" s="11"/>
      <c r="AV45" s="14"/>
    </row>
    <row r="46" spans="1:49" s="45" customFormat="1" ht="15" x14ac:dyDescent="0.25">
      <c r="A46" s="46">
        <v>46066</v>
      </c>
      <c r="B46" s="13"/>
      <c r="C46" s="41" t="s">
        <v>49</v>
      </c>
      <c r="D46" s="42" t="s">
        <v>299</v>
      </c>
      <c r="E46" s="14"/>
      <c r="F46" s="71">
        <v>3637119</v>
      </c>
      <c r="G46" s="41" t="s">
        <v>50</v>
      </c>
      <c r="H46" s="31">
        <v>20101973922</v>
      </c>
      <c r="I46" s="43" t="str">
        <f>IF(H46="","",VLOOKUP(H46,ENTIDAD!$B$2:$C$613,2,0))</f>
        <v>ASOCIACION AUTOMOTRIZ DEL PERU</v>
      </c>
      <c r="J46" s="11"/>
      <c r="K46" s="11"/>
      <c r="L46" s="11"/>
      <c r="M46" s="11"/>
      <c r="N46" s="44">
        <v>0</v>
      </c>
      <c r="O46" s="44">
        <f t="shared" si="1"/>
        <v>0</v>
      </c>
      <c r="P46" s="11">
        <v>0</v>
      </c>
      <c r="Q46" s="11"/>
      <c r="R46" s="11">
        <v>66.8</v>
      </c>
      <c r="S46" s="11">
        <v>66.8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33">
        <v>46094</v>
      </c>
      <c r="AE46" s="34" t="s">
        <v>465</v>
      </c>
      <c r="AF46" s="37" t="s">
        <v>597</v>
      </c>
      <c r="AG46" s="14" t="s">
        <v>513</v>
      </c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566</v>
      </c>
      <c r="AT46" s="14"/>
      <c r="AU46" s="11"/>
      <c r="AV46" s="14"/>
    </row>
    <row r="47" spans="1:49" s="45" customFormat="1" ht="15" x14ac:dyDescent="0.25">
      <c r="A47" s="46">
        <v>46066</v>
      </c>
      <c r="B47" s="13"/>
      <c r="C47" s="41" t="s">
        <v>49</v>
      </c>
      <c r="D47" s="42" t="s">
        <v>299</v>
      </c>
      <c r="E47" s="14"/>
      <c r="F47" s="71">
        <v>3637120</v>
      </c>
      <c r="G47" s="42" t="s">
        <v>50</v>
      </c>
      <c r="H47" s="31">
        <v>20101973922</v>
      </c>
      <c r="I47" s="43" t="str">
        <f>IF(H47="","",VLOOKUP(H47,ENTIDAD!$B$2:$C$613,2,0))</f>
        <v>ASOCIACION AUTOMOTRIZ DEL PERU</v>
      </c>
      <c r="J47" s="11"/>
      <c r="K47" s="11"/>
      <c r="L47" s="11"/>
      <c r="M47" s="11"/>
      <c r="N47" s="44">
        <v>0</v>
      </c>
      <c r="O47" s="44">
        <f t="shared" si="1"/>
        <v>0</v>
      </c>
      <c r="P47" s="11">
        <v>0</v>
      </c>
      <c r="Q47" s="11"/>
      <c r="R47" s="11">
        <v>66.8</v>
      </c>
      <c r="S47" s="11">
        <v>66.8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33">
        <v>46094</v>
      </c>
      <c r="AE47" s="34" t="s">
        <v>465</v>
      </c>
      <c r="AF47" s="37" t="s">
        <v>597</v>
      </c>
      <c r="AG47" s="14" t="s">
        <v>513</v>
      </c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566</v>
      </c>
      <c r="AT47" s="14"/>
      <c r="AU47" s="11"/>
      <c r="AV47" s="14"/>
    </row>
    <row r="48" spans="1:49" s="45" customFormat="1" ht="15" x14ac:dyDescent="0.25">
      <c r="A48" s="46">
        <v>46066</v>
      </c>
      <c r="B48" s="13"/>
      <c r="C48" s="41" t="s">
        <v>49</v>
      </c>
      <c r="D48" s="42" t="s">
        <v>299</v>
      </c>
      <c r="E48" s="14"/>
      <c r="F48" s="71">
        <v>3637121</v>
      </c>
      <c r="G48" s="42" t="s">
        <v>50</v>
      </c>
      <c r="H48" s="31">
        <v>20101973922</v>
      </c>
      <c r="I48" s="43" t="str">
        <f>IF(H48="","",VLOOKUP(H48,ENTIDAD!$B$2:$C$613,2,0))</f>
        <v>ASOCIACION AUTOMOTRIZ DEL PERU</v>
      </c>
      <c r="J48" s="11"/>
      <c r="K48" s="11"/>
      <c r="L48" s="11"/>
      <c r="M48" s="11"/>
      <c r="N48" s="44">
        <v>0</v>
      </c>
      <c r="O48" s="44">
        <f t="shared" si="1"/>
        <v>0</v>
      </c>
      <c r="P48" s="11">
        <v>0</v>
      </c>
      <c r="Q48" s="11"/>
      <c r="R48" s="11">
        <v>66.8</v>
      </c>
      <c r="S48" s="11">
        <v>66.8</v>
      </c>
      <c r="T48" s="14"/>
      <c r="U48" s="14"/>
      <c r="V48" s="13"/>
      <c r="W48" s="15"/>
      <c r="X48" s="13"/>
      <c r="Y48" s="14"/>
      <c r="Z48" s="14"/>
      <c r="AA48" s="14"/>
      <c r="AB48" s="42" t="s">
        <v>224</v>
      </c>
      <c r="AC48" s="11"/>
      <c r="AD48" s="33">
        <v>46094</v>
      </c>
      <c r="AE48" s="34" t="s">
        <v>465</v>
      </c>
      <c r="AF48" s="37" t="s">
        <v>597</v>
      </c>
      <c r="AG48" s="14" t="s">
        <v>513</v>
      </c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566</v>
      </c>
      <c r="AT48" s="14"/>
      <c r="AU48" s="11"/>
      <c r="AV48" s="14"/>
    </row>
    <row r="49" spans="1:49" s="45" customFormat="1" ht="15" x14ac:dyDescent="0.25">
      <c r="A49" s="46">
        <v>46066</v>
      </c>
      <c r="B49" s="13"/>
      <c r="C49" s="41" t="s">
        <v>49</v>
      </c>
      <c r="D49" s="42" t="s">
        <v>299</v>
      </c>
      <c r="E49" s="14"/>
      <c r="F49" s="71">
        <v>3637122</v>
      </c>
      <c r="G49" s="41" t="s">
        <v>50</v>
      </c>
      <c r="H49" s="31">
        <v>20101973922</v>
      </c>
      <c r="I49" s="43" t="str">
        <f>IF(H49="","",VLOOKUP(H49,ENTIDAD!$B$2:$C$613,2,0))</f>
        <v>ASOCIACION AUTOMOTRIZ DEL PERU</v>
      </c>
      <c r="J49" s="11"/>
      <c r="K49" s="11"/>
      <c r="L49" s="11"/>
      <c r="M49" s="11"/>
      <c r="N49" s="44">
        <v>0</v>
      </c>
      <c r="O49" s="44">
        <f t="shared" si="1"/>
        <v>0</v>
      </c>
      <c r="P49" s="11">
        <v>0</v>
      </c>
      <c r="Q49" s="11"/>
      <c r="R49" s="11">
        <v>66.8</v>
      </c>
      <c r="S49" s="11">
        <v>66.8</v>
      </c>
      <c r="T49" s="14"/>
      <c r="U49" s="14"/>
      <c r="V49" s="13"/>
      <c r="W49" s="15"/>
      <c r="X49" s="13"/>
      <c r="Y49" s="14"/>
      <c r="Z49" s="14"/>
      <c r="AA49" s="14"/>
      <c r="AB49" s="42" t="s">
        <v>224</v>
      </c>
      <c r="AC49" s="11"/>
      <c r="AD49" s="33">
        <v>46094</v>
      </c>
      <c r="AE49" s="34" t="s">
        <v>465</v>
      </c>
      <c r="AF49" s="37" t="s">
        <v>597</v>
      </c>
      <c r="AG49" s="14" t="s">
        <v>513</v>
      </c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566</v>
      </c>
      <c r="AT49" s="14"/>
      <c r="AU49" s="11"/>
      <c r="AV49" s="14"/>
    </row>
    <row r="50" spans="1:49" s="45" customFormat="1" ht="15" x14ac:dyDescent="0.25">
      <c r="A50" s="46">
        <v>46066</v>
      </c>
      <c r="B50" s="13"/>
      <c r="C50" s="41" t="s">
        <v>49</v>
      </c>
      <c r="D50" s="42" t="s">
        <v>299</v>
      </c>
      <c r="E50" s="14"/>
      <c r="F50" s="71">
        <v>3637123</v>
      </c>
      <c r="G50" s="42" t="s">
        <v>50</v>
      </c>
      <c r="H50" s="31">
        <v>20101973922</v>
      </c>
      <c r="I50" s="43" t="str">
        <f>IF(H50="","",VLOOKUP(H50,ENTIDAD!$B$2:$C$613,2,0))</f>
        <v>ASOCIACION AUTOMOTRIZ DEL PERU</v>
      </c>
      <c r="J50" s="11"/>
      <c r="K50" s="11"/>
      <c r="L50" s="11"/>
      <c r="M50" s="11"/>
      <c r="N50" s="44">
        <v>0</v>
      </c>
      <c r="O50" s="44">
        <f t="shared" si="1"/>
        <v>0</v>
      </c>
      <c r="P50" s="11">
        <v>0</v>
      </c>
      <c r="Q50" s="11"/>
      <c r="R50" s="11">
        <v>66.8</v>
      </c>
      <c r="S50" s="11">
        <v>66.8</v>
      </c>
      <c r="T50" s="14"/>
      <c r="U50" s="14"/>
      <c r="V50" s="13"/>
      <c r="W50" s="15"/>
      <c r="X50" s="13"/>
      <c r="Y50" s="14"/>
      <c r="Z50" s="14"/>
      <c r="AA50" s="14"/>
      <c r="AB50" s="42" t="s">
        <v>224</v>
      </c>
      <c r="AC50" s="11"/>
      <c r="AD50" s="33">
        <v>46094</v>
      </c>
      <c r="AE50" s="34" t="s">
        <v>465</v>
      </c>
      <c r="AF50" s="37" t="s">
        <v>597</v>
      </c>
      <c r="AG50" s="14" t="s">
        <v>513</v>
      </c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566</v>
      </c>
      <c r="AT50" s="14"/>
      <c r="AU50" s="11"/>
      <c r="AV50" s="14"/>
    </row>
    <row r="51" spans="1:49" s="47" customFormat="1" ht="15" x14ac:dyDescent="0.25">
      <c r="A51" s="46">
        <v>46066</v>
      </c>
      <c r="B51" s="13"/>
      <c r="C51" s="41" t="s">
        <v>49</v>
      </c>
      <c r="D51" s="42" t="s">
        <v>299</v>
      </c>
      <c r="E51" s="14"/>
      <c r="F51" s="71">
        <v>3637124</v>
      </c>
      <c r="G51" s="41" t="s">
        <v>50</v>
      </c>
      <c r="H51" s="31">
        <v>20101973922</v>
      </c>
      <c r="I51" s="43" t="str">
        <f>IF(H51="","",VLOOKUP(H51,ENTIDAD!$B$2:$C$613,2,0))</f>
        <v>ASOCIACION AUTOMOTRIZ DEL PERU</v>
      </c>
      <c r="J51" s="11"/>
      <c r="K51" s="11"/>
      <c r="L51" s="11"/>
      <c r="M51" s="11"/>
      <c r="N51" s="44">
        <v>0</v>
      </c>
      <c r="O51" s="44">
        <f t="shared" si="1"/>
        <v>0</v>
      </c>
      <c r="P51" s="11">
        <v>0</v>
      </c>
      <c r="Q51" s="11"/>
      <c r="R51" s="11">
        <v>66.8</v>
      </c>
      <c r="S51" s="11">
        <v>66.8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33">
        <v>46094</v>
      </c>
      <c r="AE51" s="34" t="s">
        <v>465</v>
      </c>
      <c r="AF51" s="37" t="s">
        <v>597</v>
      </c>
      <c r="AG51" s="14" t="s">
        <v>513</v>
      </c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566</v>
      </c>
      <c r="AT51" s="14"/>
      <c r="AU51" s="11"/>
      <c r="AV51" s="14"/>
      <c r="AW51" s="45"/>
    </row>
    <row r="52" spans="1:49" s="47" customFormat="1" ht="15" x14ac:dyDescent="0.25">
      <c r="A52" s="46">
        <v>46066</v>
      </c>
      <c r="B52" s="13"/>
      <c r="C52" s="41" t="s">
        <v>49</v>
      </c>
      <c r="D52" s="42" t="s">
        <v>299</v>
      </c>
      <c r="E52" s="14"/>
      <c r="F52" s="71">
        <v>3637125</v>
      </c>
      <c r="G52" s="42" t="s">
        <v>50</v>
      </c>
      <c r="H52" s="31">
        <v>20101973922</v>
      </c>
      <c r="I52" s="43" t="str">
        <f>IF(H52="","",VLOOKUP(H52,ENTIDAD!$B$2:$C$613,2,0))</f>
        <v>ASOCIACION AUTOMOTRIZ DEL PERU</v>
      </c>
      <c r="J52" s="11"/>
      <c r="K52" s="11"/>
      <c r="L52" s="11"/>
      <c r="M52" s="11"/>
      <c r="N52" s="44">
        <v>0</v>
      </c>
      <c r="O52" s="44">
        <f t="shared" si="1"/>
        <v>0</v>
      </c>
      <c r="P52" s="11">
        <v>0</v>
      </c>
      <c r="Q52" s="11"/>
      <c r="R52" s="11">
        <v>66.8</v>
      </c>
      <c r="S52" s="11">
        <v>66.8</v>
      </c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33">
        <v>46094</v>
      </c>
      <c r="AE52" s="34" t="s">
        <v>465</v>
      </c>
      <c r="AF52" s="37" t="s">
        <v>597</v>
      </c>
      <c r="AG52" s="14" t="s">
        <v>513</v>
      </c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566</v>
      </c>
      <c r="AT52" s="14"/>
      <c r="AU52" s="11"/>
      <c r="AV52" s="14"/>
      <c r="AW52" s="45"/>
    </row>
    <row r="53" spans="1:49" s="45" customFormat="1" ht="15" x14ac:dyDescent="0.25">
      <c r="A53" s="46">
        <v>46066</v>
      </c>
      <c r="B53" s="13"/>
      <c r="C53" s="41" t="s">
        <v>49</v>
      </c>
      <c r="D53" s="42" t="s">
        <v>299</v>
      </c>
      <c r="E53" s="14"/>
      <c r="F53" s="71">
        <v>3637126</v>
      </c>
      <c r="G53" s="41" t="s">
        <v>50</v>
      </c>
      <c r="H53" s="31">
        <v>20101973922</v>
      </c>
      <c r="I53" s="43" t="str">
        <f>IF(H53="","",VLOOKUP(H53,ENTIDAD!$B$2:$C$613,2,0))</f>
        <v>ASOCIACION AUTOMOTRIZ DEL PERU</v>
      </c>
      <c r="J53" s="11"/>
      <c r="K53" s="11"/>
      <c r="L53" s="11"/>
      <c r="M53" s="11"/>
      <c r="N53" s="44">
        <v>0</v>
      </c>
      <c r="O53" s="44">
        <f t="shared" si="1"/>
        <v>0</v>
      </c>
      <c r="P53" s="11">
        <v>0</v>
      </c>
      <c r="Q53" s="11"/>
      <c r="R53" s="11">
        <v>66.8</v>
      </c>
      <c r="S53" s="11">
        <v>66.8</v>
      </c>
      <c r="T53" s="14"/>
      <c r="U53" s="14"/>
      <c r="V53" s="13"/>
      <c r="W53" s="15"/>
      <c r="X53" s="13"/>
      <c r="Y53" s="14"/>
      <c r="Z53" s="14"/>
      <c r="AA53" s="14"/>
      <c r="AB53" s="42" t="s">
        <v>224</v>
      </c>
      <c r="AC53" s="11"/>
      <c r="AD53" s="33">
        <v>46094</v>
      </c>
      <c r="AE53" s="34" t="s">
        <v>465</v>
      </c>
      <c r="AF53" s="37" t="s">
        <v>597</v>
      </c>
      <c r="AG53" s="14" t="s">
        <v>513</v>
      </c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566</v>
      </c>
      <c r="AT53" s="14"/>
      <c r="AU53" s="11"/>
      <c r="AV53" s="14"/>
    </row>
    <row r="54" spans="1:49" s="47" customFormat="1" ht="15" x14ac:dyDescent="0.25">
      <c r="A54" s="46">
        <v>46066</v>
      </c>
      <c r="B54" s="13"/>
      <c r="C54" s="41" t="s">
        <v>49</v>
      </c>
      <c r="D54" s="42" t="s">
        <v>299</v>
      </c>
      <c r="E54" s="14"/>
      <c r="F54" s="71">
        <v>3637127</v>
      </c>
      <c r="G54" s="42" t="s">
        <v>50</v>
      </c>
      <c r="H54" s="31">
        <v>20101973922</v>
      </c>
      <c r="I54" s="43" t="str">
        <f>IF(H54="","",VLOOKUP(H54,ENTIDAD!$B$2:$C$613,2,0))</f>
        <v>ASOCIACION AUTOMOTRIZ DEL PERU</v>
      </c>
      <c r="J54" s="11"/>
      <c r="K54" s="11"/>
      <c r="L54" s="11"/>
      <c r="M54" s="11"/>
      <c r="N54" s="44">
        <v>0</v>
      </c>
      <c r="O54" s="44">
        <f t="shared" si="1"/>
        <v>0</v>
      </c>
      <c r="P54" s="11">
        <v>0</v>
      </c>
      <c r="Q54" s="11"/>
      <c r="R54" s="11">
        <v>66.8</v>
      </c>
      <c r="S54" s="11">
        <v>66.8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33">
        <v>46094</v>
      </c>
      <c r="AE54" s="34" t="s">
        <v>465</v>
      </c>
      <c r="AF54" s="37" t="s">
        <v>597</v>
      </c>
      <c r="AG54" s="14" t="s">
        <v>513</v>
      </c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566</v>
      </c>
      <c r="AT54" s="14"/>
      <c r="AU54" s="11"/>
      <c r="AV54" s="14"/>
      <c r="AW54" s="45"/>
    </row>
    <row r="55" spans="1:49" s="45" customFormat="1" ht="15" x14ac:dyDescent="0.25">
      <c r="A55" s="46">
        <v>46066</v>
      </c>
      <c r="B55" s="13"/>
      <c r="C55" s="41" t="s">
        <v>49</v>
      </c>
      <c r="D55" s="42" t="s">
        <v>299</v>
      </c>
      <c r="E55" s="14"/>
      <c r="F55" s="71">
        <v>3637128</v>
      </c>
      <c r="G55" s="41" t="s">
        <v>50</v>
      </c>
      <c r="H55" s="31">
        <v>20101973922</v>
      </c>
      <c r="I55" s="43" t="str">
        <f>IF(H55="","",VLOOKUP(H55,ENTIDAD!$B$2:$C$613,2,0))</f>
        <v>ASOCIACION AUTOMOTRIZ DEL PERU</v>
      </c>
      <c r="J55" s="11"/>
      <c r="K55" s="11"/>
      <c r="L55" s="11"/>
      <c r="M55" s="11"/>
      <c r="N55" s="11">
        <v>0</v>
      </c>
      <c r="O55" s="11">
        <f t="shared" si="1"/>
        <v>0</v>
      </c>
      <c r="P55" s="11">
        <v>0</v>
      </c>
      <c r="Q55" s="11"/>
      <c r="R55" s="11">
        <v>66.8</v>
      </c>
      <c r="S55" s="11">
        <v>66.8</v>
      </c>
      <c r="T55" s="14"/>
      <c r="U55" s="14"/>
      <c r="V55" s="13"/>
      <c r="W55" s="15"/>
      <c r="X55" s="13"/>
      <c r="Y55" s="14"/>
      <c r="Z55" s="14"/>
      <c r="AA55" s="14"/>
      <c r="AB55" s="42" t="s">
        <v>224</v>
      </c>
      <c r="AC55" s="11"/>
      <c r="AD55" s="33">
        <v>46094</v>
      </c>
      <c r="AE55" s="34" t="s">
        <v>465</v>
      </c>
      <c r="AF55" s="37" t="s">
        <v>597</v>
      </c>
      <c r="AG55" s="14" t="s">
        <v>513</v>
      </c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 t="s">
        <v>566</v>
      </c>
      <c r="AT55" s="14"/>
      <c r="AU55" s="11"/>
      <c r="AV55" s="14"/>
    </row>
    <row r="56" spans="1:49" s="121" customFormat="1" ht="15" x14ac:dyDescent="0.25">
      <c r="A56" s="108">
        <v>46066</v>
      </c>
      <c r="B56" s="109"/>
      <c r="C56" s="110" t="s">
        <v>49</v>
      </c>
      <c r="D56" s="111" t="s">
        <v>538</v>
      </c>
      <c r="E56" s="112"/>
      <c r="F56" s="113">
        <v>14865</v>
      </c>
      <c r="G56" s="111" t="s">
        <v>50</v>
      </c>
      <c r="H56" s="114">
        <v>20508647311</v>
      </c>
      <c r="I56" s="115" t="str">
        <f>IF(H56="","",VLOOKUP(H56,ENTIDAD!$B$2:$C$613,2,0))</f>
        <v>CAFE EL POLO S.A.C.</v>
      </c>
      <c r="J56" s="116"/>
      <c r="K56" s="116"/>
      <c r="L56" s="116"/>
      <c r="M56" s="116"/>
      <c r="N56" s="116">
        <f>(S56-P56)/1.18</f>
        <v>98.813559322033896</v>
      </c>
      <c r="O56" s="116">
        <f t="shared" si="1"/>
        <v>17.786440677966102</v>
      </c>
      <c r="P56" s="116">
        <v>0</v>
      </c>
      <c r="Q56" s="116"/>
      <c r="R56" s="116"/>
      <c r="S56" s="116">
        <v>116.6</v>
      </c>
      <c r="T56" s="112"/>
      <c r="U56" s="112"/>
      <c r="V56" s="109"/>
      <c r="W56" s="118"/>
      <c r="X56" s="109"/>
      <c r="Y56" s="112"/>
      <c r="Z56" s="112"/>
      <c r="AA56" s="112"/>
      <c r="AB56" s="111" t="s">
        <v>224</v>
      </c>
      <c r="AC56" s="116"/>
      <c r="AD56" s="109"/>
      <c r="AE56" s="112" t="s">
        <v>465</v>
      </c>
      <c r="AF56" s="119" t="s">
        <v>599</v>
      </c>
      <c r="AG56" s="112"/>
      <c r="AH56" s="112" t="s">
        <v>225</v>
      </c>
      <c r="AI56" s="112"/>
      <c r="AJ56" s="112"/>
      <c r="AK56" s="120"/>
      <c r="AL56" s="116"/>
      <c r="AM56" s="116"/>
      <c r="AN56" s="112"/>
      <c r="AO56" s="112"/>
      <c r="AP56" s="109"/>
      <c r="AQ56" s="112"/>
      <c r="AR56" s="116">
        <v>18</v>
      </c>
      <c r="AS56" s="112" t="s">
        <v>594</v>
      </c>
      <c r="AT56" s="112"/>
      <c r="AU56" s="116"/>
      <c r="AV56" s="112"/>
    </row>
    <row r="57" spans="1:49" s="45" customFormat="1" ht="15" x14ac:dyDescent="0.25">
      <c r="A57" s="13">
        <v>46067</v>
      </c>
      <c r="B57" s="13"/>
      <c r="C57" s="41" t="s">
        <v>49</v>
      </c>
      <c r="D57" s="42" t="s">
        <v>299</v>
      </c>
      <c r="E57" s="14"/>
      <c r="F57" s="71">
        <v>3643318</v>
      </c>
      <c r="G57" s="41" t="s">
        <v>50</v>
      </c>
      <c r="H57" s="31">
        <v>20101973922</v>
      </c>
      <c r="I57" s="43" t="str">
        <f>IF(H57="","",VLOOKUP(H57,ENTIDAD!$B$2:$C$613,2,0))</f>
        <v>ASOCIACION AUTOMOTRIZ DEL PERU</v>
      </c>
      <c r="J57" s="11"/>
      <c r="K57" s="11"/>
      <c r="L57" s="11"/>
      <c r="M57" s="11"/>
      <c r="N57" s="11">
        <v>0</v>
      </c>
      <c r="O57" s="11">
        <f t="shared" si="1"/>
        <v>0</v>
      </c>
      <c r="P57" s="11">
        <v>0</v>
      </c>
      <c r="Q57" s="11"/>
      <c r="R57" s="11">
        <v>66.8</v>
      </c>
      <c r="S57" s="11">
        <v>66.8</v>
      </c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33">
        <v>46095</v>
      </c>
      <c r="AE57" s="34" t="s">
        <v>465</v>
      </c>
      <c r="AF57" s="37" t="s">
        <v>597</v>
      </c>
      <c r="AG57" s="14" t="s">
        <v>513</v>
      </c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 t="s">
        <v>566</v>
      </c>
      <c r="AT57" s="14"/>
      <c r="AU57" s="11"/>
      <c r="AV57" s="14"/>
    </row>
    <row r="58" spans="1:49" s="45" customFormat="1" ht="15" x14ac:dyDescent="0.25">
      <c r="A58" s="13">
        <v>46067</v>
      </c>
      <c r="B58" s="13"/>
      <c r="C58" s="41" t="s">
        <v>49</v>
      </c>
      <c r="D58" s="42" t="s">
        <v>299</v>
      </c>
      <c r="E58" s="14"/>
      <c r="F58" s="71">
        <v>3643319</v>
      </c>
      <c r="G58" s="42" t="s">
        <v>50</v>
      </c>
      <c r="H58" s="31">
        <v>20101973922</v>
      </c>
      <c r="I58" s="43" t="str">
        <f>IF(H58="","",VLOOKUP(H58,ENTIDAD!$B$2:$C$613,2,0))</f>
        <v>ASOCIACION AUTOMOTRIZ DEL PERU</v>
      </c>
      <c r="J58" s="11"/>
      <c r="K58" s="11"/>
      <c r="L58" s="11"/>
      <c r="M58" s="11"/>
      <c r="N58" s="11">
        <v>0</v>
      </c>
      <c r="O58" s="11">
        <f t="shared" si="1"/>
        <v>0</v>
      </c>
      <c r="P58" s="11">
        <v>0</v>
      </c>
      <c r="Q58" s="11"/>
      <c r="R58" s="11">
        <v>66.8</v>
      </c>
      <c r="S58" s="11">
        <v>66.8</v>
      </c>
      <c r="T58" s="14"/>
      <c r="U58" s="14"/>
      <c r="V58" s="13"/>
      <c r="W58" s="15"/>
      <c r="X58" s="13"/>
      <c r="Y58" s="14"/>
      <c r="Z58" s="14"/>
      <c r="AA58" s="14"/>
      <c r="AB58" s="42" t="s">
        <v>224</v>
      </c>
      <c r="AC58" s="11"/>
      <c r="AD58" s="33">
        <v>46095</v>
      </c>
      <c r="AE58" s="34" t="s">
        <v>465</v>
      </c>
      <c r="AF58" s="37" t="s">
        <v>597</v>
      </c>
      <c r="AG58" s="14" t="s">
        <v>513</v>
      </c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566</v>
      </c>
      <c r="AT58" s="14"/>
      <c r="AU58" s="11"/>
      <c r="AV58" s="14"/>
    </row>
    <row r="59" spans="1:49" s="45" customFormat="1" ht="15" x14ac:dyDescent="0.25">
      <c r="A59" s="13">
        <v>46067</v>
      </c>
      <c r="B59" s="13"/>
      <c r="C59" s="41" t="s">
        <v>49</v>
      </c>
      <c r="D59" s="42" t="s">
        <v>299</v>
      </c>
      <c r="E59" s="14"/>
      <c r="F59" s="71">
        <v>3643320</v>
      </c>
      <c r="G59" s="41" t="s">
        <v>50</v>
      </c>
      <c r="H59" s="31">
        <v>20101973922</v>
      </c>
      <c r="I59" s="43" t="str">
        <f>IF(H59="","",VLOOKUP(H59,ENTIDAD!$B$2:$C$613,2,0))</f>
        <v>ASOCIACION AUTOMOTRIZ DEL PERU</v>
      </c>
      <c r="J59" s="11"/>
      <c r="K59" s="11"/>
      <c r="L59" s="11"/>
      <c r="M59" s="11"/>
      <c r="N59" s="11">
        <v>0</v>
      </c>
      <c r="O59" s="11">
        <f t="shared" si="1"/>
        <v>0</v>
      </c>
      <c r="P59" s="11">
        <v>0</v>
      </c>
      <c r="Q59" s="11"/>
      <c r="R59" s="11">
        <v>66.8</v>
      </c>
      <c r="S59" s="11">
        <v>66.8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33">
        <v>46095</v>
      </c>
      <c r="AE59" s="34" t="s">
        <v>465</v>
      </c>
      <c r="AF59" s="37" t="s">
        <v>597</v>
      </c>
      <c r="AG59" s="14" t="s">
        <v>513</v>
      </c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566</v>
      </c>
      <c r="AT59" s="14"/>
      <c r="AU59" s="11"/>
      <c r="AV59" s="14"/>
    </row>
    <row r="60" spans="1:49" s="45" customFormat="1" ht="15" x14ac:dyDescent="0.25">
      <c r="A60" s="13">
        <v>46067</v>
      </c>
      <c r="B60" s="13"/>
      <c r="C60" s="41" t="s">
        <v>49</v>
      </c>
      <c r="D60" s="42" t="s">
        <v>299</v>
      </c>
      <c r="E60" s="14"/>
      <c r="F60" s="71">
        <v>3643321</v>
      </c>
      <c r="G60" s="42" t="s">
        <v>50</v>
      </c>
      <c r="H60" s="31">
        <v>20101973922</v>
      </c>
      <c r="I60" s="43" t="str">
        <f>IF(H60="","",VLOOKUP(H60,ENTIDAD!$B$2:$C$613,2,0))</f>
        <v>ASOCIACION AUTOMOTRIZ DEL PERU</v>
      </c>
      <c r="J60" s="11"/>
      <c r="K60" s="11"/>
      <c r="L60" s="11"/>
      <c r="M60" s="11"/>
      <c r="N60" s="11">
        <v>0</v>
      </c>
      <c r="O60" s="11">
        <f t="shared" si="1"/>
        <v>0</v>
      </c>
      <c r="P60" s="11">
        <v>0</v>
      </c>
      <c r="Q60" s="11"/>
      <c r="R60" s="11">
        <v>66.8</v>
      </c>
      <c r="S60" s="11">
        <v>66.8</v>
      </c>
      <c r="T60" s="14"/>
      <c r="U60" s="14"/>
      <c r="V60" s="13"/>
      <c r="W60" s="15"/>
      <c r="X60" s="13"/>
      <c r="Y60" s="14"/>
      <c r="Z60" s="14"/>
      <c r="AA60" s="14"/>
      <c r="AB60" s="42" t="s">
        <v>224</v>
      </c>
      <c r="AC60" s="11"/>
      <c r="AD60" s="33">
        <v>46095</v>
      </c>
      <c r="AE60" s="34" t="s">
        <v>465</v>
      </c>
      <c r="AF60" s="37" t="s">
        <v>597</v>
      </c>
      <c r="AG60" s="14" t="s">
        <v>513</v>
      </c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566</v>
      </c>
      <c r="AT60" s="14"/>
      <c r="AU60" s="11"/>
      <c r="AV60" s="14"/>
    </row>
    <row r="61" spans="1:49" s="45" customFormat="1" ht="15" x14ac:dyDescent="0.25">
      <c r="A61" s="13">
        <v>46067</v>
      </c>
      <c r="B61" s="13"/>
      <c r="C61" s="41" t="s">
        <v>49</v>
      </c>
      <c r="D61" s="42" t="s">
        <v>299</v>
      </c>
      <c r="E61" s="14"/>
      <c r="F61" s="71">
        <v>3643322</v>
      </c>
      <c r="G61" s="41" t="s">
        <v>50</v>
      </c>
      <c r="H61" s="31">
        <v>20101973922</v>
      </c>
      <c r="I61" s="43" t="str">
        <f>IF(H61="","",VLOOKUP(H61,ENTIDAD!$B$2:$C$613,2,0))</f>
        <v>ASOCIACION AUTOMOTRIZ DEL PERU</v>
      </c>
      <c r="J61" s="11"/>
      <c r="K61" s="11"/>
      <c r="L61" s="11"/>
      <c r="M61" s="11"/>
      <c r="N61" s="11">
        <v>0</v>
      </c>
      <c r="O61" s="11">
        <f t="shared" si="1"/>
        <v>0</v>
      </c>
      <c r="P61" s="11">
        <v>0</v>
      </c>
      <c r="Q61" s="11"/>
      <c r="R61" s="11">
        <v>66.8</v>
      </c>
      <c r="S61" s="11">
        <v>66.8</v>
      </c>
      <c r="T61" s="14"/>
      <c r="U61" s="14"/>
      <c r="V61" s="13"/>
      <c r="W61" s="15"/>
      <c r="X61" s="13"/>
      <c r="Y61" s="14"/>
      <c r="Z61" s="14"/>
      <c r="AA61" s="14"/>
      <c r="AB61" s="42" t="s">
        <v>224</v>
      </c>
      <c r="AC61" s="11"/>
      <c r="AD61" s="33">
        <v>46095</v>
      </c>
      <c r="AE61" s="34" t="s">
        <v>465</v>
      </c>
      <c r="AF61" s="37" t="s">
        <v>597</v>
      </c>
      <c r="AG61" s="14" t="s">
        <v>513</v>
      </c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566</v>
      </c>
      <c r="AT61" s="14"/>
      <c r="AU61" s="11"/>
      <c r="AV61" s="14"/>
    </row>
    <row r="62" spans="1:49" s="45" customFormat="1" ht="14.25" customHeight="1" x14ac:dyDescent="0.25">
      <c r="A62" s="13">
        <v>46067</v>
      </c>
      <c r="B62" s="13"/>
      <c r="C62" s="41" t="s">
        <v>49</v>
      </c>
      <c r="D62" s="42" t="s">
        <v>299</v>
      </c>
      <c r="E62" s="14"/>
      <c r="F62" s="71">
        <v>3643323</v>
      </c>
      <c r="G62" s="41" t="s">
        <v>50</v>
      </c>
      <c r="H62" s="31">
        <v>20101973922</v>
      </c>
      <c r="I62" s="43" t="str">
        <f>IF(H62="","",VLOOKUP(H62,ENTIDAD!$B$2:$C$613,2,0))</f>
        <v>ASOCIACION AUTOMOTRIZ DEL PERU</v>
      </c>
      <c r="J62" s="11"/>
      <c r="K62" s="11"/>
      <c r="L62" s="11"/>
      <c r="M62" s="11"/>
      <c r="N62" s="11">
        <v>0</v>
      </c>
      <c r="O62" s="11">
        <f t="shared" si="1"/>
        <v>0</v>
      </c>
      <c r="P62" s="11">
        <v>0</v>
      </c>
      <c r="Q62" s="11"/>
      <c r="R62" s="11">
        <v>66.8</v>
      </c>
      <c r="S62" s="11">
        <v>66.8</v>
      </c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33">
        <v>46095</v>
      </c>
      <c r="AE62" s="34" t="s">
        <v>465</v>
      </c>
      <c r="AF62" s="37" t="s">
        <v>597</v>
      </c>
      <c r="AG62" s="14" t="s">
        <v>513</v>
      </c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566</v>
      </c>
      <c r="AT62" s="14"/>
      <c r="AU62" s="11"/>
      <c r="AV62" s="14"/>
    </row>
    <row r="63" spans="1:49" s="45" customFormat="1" ht="15" x14ac:dyDescent="0.25">
      <c r="A63" s="13">
        <v>46067</v>
      </c>
      <c r="B63" s="13"/>
      <c r="C63" s="41" t="s">
        <v>49</v>
      </c>
      <c r="D63" s="42" t="s">
        <v>299</v>
      </c>
      <c r="E63" s="14"/>
      <c r="F63" s="71">
        <v>3643324</v>
      </c>
      <c r="G63" s="41" t="s">
        <v>50</v>
      </c>
      <c r="H63" s="31">
        <v>20101973922</v>
      </c>
      <c r="I63" s="43" t="str">
        <f>IF(H63="","",VLOOKUP(H63,ENTIDAD!$B$2:$C$613,2,0))</f>
        <v>ASOCIACION AUTOMOTRIZ DEL PERU</v>
      </c>
      <c r="J63" s="11"/>
      <c r="K63" s="11"/>
      <c r="L63" s="11"/>
      <c r="M63" s="11"/>
      <c r="N63" s="11">
        <v>0</v>
      </c>
      <c r="O63" s="11">
        <f t="shared" si="1"/>
        <v>0</v>
      </c>
      <c r="P63" s="11">
        <v>0</v>
      </c>
      <c r="Q63" s="11"/>
      <c r="R63" s="11">
        <v>66.8</v>
      </c>
      <c r="S63" s="11">
        <v>66.8</v>
      </c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33">
        <v>46095</v>
      </c>
      <c r="AE63" s="34" t="s">
        <v>465</v>
      </c>
      <c r="AF63" s="37" t="s">
        <v>597</v>
      </c>
      <c r="AG63" s="14" t="s">
        <v>513</v>
      </c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566</v>
      </c>
      <c r="AT63" s="14"/>
      <c r="AU63" s="11"/>
      <c r="AV63" s="14"/>
    </row>
    <row r="64" spans="1:49" s="45" customFormat="1" ht="15" x14ac:dyDescent="0.25">
      <c r="A64" s="13">
        <v>46067</v>
      </c>
      <c r="B64" s="13"/>
      <c r="C64" s="41" t="s">
        <v>49</v>
      </c>
      <c r="D64" s="42" t="s">
        <v>299</v>
      </c>
      <c r="E64" s="14"/>
      <c r="F64" s="71">
        <v>3643325</v>
      </c>
      <c r="G64" s="42" t="s">
        <v>50</v>
      </c>
      <c r="H64" s="31">
        <v>20101973922</v>
      </c>
      <c r="I64" s="43" t="str">
        <f>IF(H64="","",VLOOKUP(H64,ENTIDAD!$B$2:$C$613,2,0))</f>
        <v>ASOCIACION AUTOMOTRIZ DEL PERU</v>
      </c>
      <c r="J64" s="11"/>
      <c r="K64" s="11"/>
      <c r="L64" s="11"/>
      <c r="M64" s="11"/>
      <c r="N64" s="11">
        <v>0</v>
      </c>
      <c r="O64" s="11">
        <f t="shared" si="1"/>
        <v>0</v>
      </c>
      <c r="P64" s="11">
        <v>0</v>
      </c>
      <c r="Q64" s="11"/>
      <c r="R64" s="11">
        <v>66.8</v>
      </c>
      <c r="S64" s="11">
        <v>66.8</v>
      </c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33">
        <v>46095</v>
      </c>
      <c r="AE64" s="34" t="s">
        <v>465</v>
      </c>
      <c r="AF64" s="37" t="s">
        <v>597</v>
      </c>
      <c r="AG64" s="14" t="s">
        <v>513</v>
      </c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566</v>
      </c>
      <c r="AT64" s="14"/>
      <c r="AU64" s="11"/>
      <c r="AV64" s="14"/>
    </row>
    <row r="65" spans="1:48" s="45" customFormat="1" ht="15" x14ac:dyDescent="0.25">
      <c r="A65" s="13">
        <v>46067</v>
      </c>
      <c r="B65" s="13"/>
      <c r="C65" s="41" t="s">
        <v>49</v>
      </c>
      <c r="D65" s="42" t="s">
        <v>299</v>
      </c>
      <c r="E65" s="14"/>
      <c r="F65" s="71">
        <v>3643326</v>
      </c>
      <c r="G65" s="41" t="s">
        <v>50</v>
      </c>
      <c r="H65" s="31">
        <v>20101973922</v>
      </c>
      <c r="I65" s="43" t="str">
        <f>IF(H65="","",VLOOKUP(H65,ENTIDAD!$B$2:$C$613,2,0))</f>
        <v>ASOCIACION AUTOMOTRIZ DEL PERU</v>
      </c>
      <c r="J65" s="11"/>
      <c r="K65" s="11"/>
      <c r="L65" s="11"/>
      <c r="M65" s="11"/>
      <c r="N65" s="11">
        <v>0</v>
      </c>
      <c r="O65" s="11">
        <f t="shared" si="1"/>
        <v>0</v>
      </c>
      <c r="P65" s="11">
        <v>0</v>
      </c>
      <c r="Q65" s="11"/>
      <c r="R65" s="11">
        <v>66.8</v>
      </c>
      <c r="S65" s="11">
        <v>66.8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33">
        <v>46095</v>
      </c>
      <c r="AE65" s="34" t="s">
        <v>465</v>
      </c>
      <c r="AF65" s="37" t="s">
        <v>597</v>
      </c>
      <c r="AG65" s="14" t="s">
        <v>513</v>
      </c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566</v>
      </c>
      <c r="AT65" s="14"/>
      <c r="AU65" s="11"/>
      <c r="AV65" s="14"/>
    </row>
    <row r="66" spans="1:48" s="45" customFormat="1" ht="15" x14ac:dyDescent="0.25">
      <c r="A66" s="13">
        <v>46067</v>
      </c>
      <c r="B66" s="13"/>
      <c r="C66" s="41" t="s">
        <v>49</v>
      </c>
      <c r="D66" s="42" t="s">
        <v>299</v>
      </c>
      <c r="E66" s="14"/>
      <c r="F66" s="71">
        <v>3643327</v>
      </c>
      <c r="G66" s="41" t="s">
        <v>50</v>
      </c>
      <c r="H66" s="31">
        <v>20101973922</v>
      </c>
      <c r="I66" s="43" t="str">
        <f>IF(H66="","",VLOOKUP(H66,ENTIDAD!$B$2:$C$613,2,0))</f>
        <v>ASOCIACION AUTOMOTRIZ DEL PERU</v>
      </c>
      <c r="J66" s="11"/>
      <c r="K66" s="11"/>
      <c r="L66" s="11"/>
      <c r="M66" s="11"/>
      <c r="N66" s="11">
        <v>0</v>
      </c>
      <c r="O66" s="11">
        <f t="shared" si="1"/>
        <v>0</v>
      </c>
      <c r="P66" s="11">
        <v>0</v>
      </c>
      <c r="Q66" s="11"/>
      <c r="R66" s="11">
        <v>66.8</v>
      </c>
      <c r="S66" s="11">
        <v>66.8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>
        <v>46095</v>
      </c>
      <c r="AE66" s="34" t="s">
        <v>465</v>
      </c>
      <c r="AF66" s="37" t="s">
        <v>597</v>
      </c>
      <c r="AG66" s="14" t="s">
        <v>513</v>
      </c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566</v>
      </c>
      <c r="AT66" s="14"/>
      <c r="AU66" s="11"/>
      <c r="AV66" s="14"/>
    </row>
    <row r="67" spans="1:48" s="45" customFormat="1" ht="15" x14ac:dyDescent="0.25">
      <c r="A67" s="13">
        <v>46067</v>
      </c>
      <c r="B67" s="13"/>
      <c r="C67" s="41" t="s">
        <v>49</v>
      </c>
      <c r="D67" s="42" t="s">
        <v>299</v>
      </c>
      <c r="E67" s="14"/>
      <c r="F67" s="71">
        <v>3643328</v>
      </c>
      <c r="G67" s="42" t="s">
        <v>50</v>
      </c>
      <c r="H67" s="31">
        <v>20101973922</v>
      </c>
      <c r="I67" s="43" t="str">
        <f>IF(H67="","",VLOOKUP(H67,ENTIDAD!$B$2:$C$613,2,0))</f>
        <v>ASOCIACION AUTOMOTRIZ DEL PERU</v>
      </c>
      <c r="J67" s="11"/>
      <c r="K67" s="11"/>
      <c r="L67" s="11"/>
      <c r="M67" s="11"/>
      <c r="N67" s="11">
        <v>0</v>
      </c>
      <c r="O67" s="11">
        <f t="shared" ref="O67:O130" si="2">N67*0.18</f>
        <v>0</v>
      </c>
      <c r="P67" s="11">
        <v>0</v>
      </c>
      <c r="Q67" s="11"/>
      <c r="R67" s="11">
        <v>66.8</v>
      </c>
      <c r="S67" s="11">
        <v>66.8</v>
      </c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33">
        <v>46095</v>
      </c>
      <c r="AE67" s="34" t="s">
        <v>465</v>
      </c>
      <c r="AF67" s="37" t="s">
        <v>597</v>
      </c>
      <c r="AG67" s="14" t="s">
        <v>513</v>
      </c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 t="s">
        <v>566</v>
      </c>
      <c r="AT67" s="14"/>
      <c r="AU67" s="11"/>
      <c r="AV67" s="14"/>
    </row>
    <row r="68" spans="1:48" s="45" customFormat="1" ht="15" x14ac:dyDescent="0.25">
      <c r="A68" s="13">
        <v>46067</v>
      </c>
      <c r="B68" s="13"/>
      <c r="C68" s="41" t="s">
        <v>49</v>
      </c>
      <c r="D68" s="42" t="s">
        <v>299</v>
      </c>
      <c r="E68" s="14"/>
      <c r="F68" s="71">
        <v>3643329</v>
      </c>
      <c r="G68" s="41" t="s">
        <v>50</v>
      </c>
      <c r="H68" s="31">
        <v>20101973922</v>
      </c>
      <c r="I68" s="43" t="str">
        <f>IF(H68="","",VLOOKUP(H68,ENTIDAD!$B$2:$C$613,2,0))</f>
        <v>ASOCIACION AUTOMOTRIZ DEL PERU</v>
      </c>
      <c r="J68" s="11"/>
      <c r="K68" s="11"/>
      <c r="L68" s="11"/>
      <c r="M68" s="11"/>
      <c r="N68" s="11">
        <v>0</v>
      </c>
      <c r="O68" s="11">
        <f t="shared" si="2"/>
        <v>0</v>
      </c>
      <c r="P68" s="11">
        <v>0</v>
      </c>
      <c r="Q68" s="11"/>
      <c r="R68" s="11">
        <v>66.8</v>
      </c>
      <c r="S68" s="11">
        <v>66.8</v>
      </c>
      <c r="T68" s="14"/>
      <c r="U68" s="14"/>
      <c r="V68" s="13"/>
      <c r="W68" s="15"/>
      <c r="X68" s="13"/>
      <c r="Y68" s="14"/>
      <c r="Z68" s="14"/>
      <c r="AA68" s="14"/>
      <c r="AB68" s="42" t="s">
        <v>224</v>
      </c>
      <c r="AC68" s="11"/>
      <c r="AD68" s="33">
        <v>46095</v>
      </c>
      <c r="AE68" s="34" t="s">
        <v>465</v>
      </c>
      <c r="AF68" s="37" t="s">
        <v>597</v>
      </c>
      <c r="AG68" s="14" t="s">
        <v>513</v>
      </c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566</v>
      </c>
      <c r="AT68" s="14"/>
      <c r="AU68" s="11"/>
      <c r="AV68" s="14"/>
    </row>
    <row r="69" spans="1:48" s="45" customFormat="1" ht="15" x14ac:dyDescent="0.25">
      <c r="A69" s="13">
        <v>46067</v>
      </c>
      <c r="B69" s="13"/>
      <c r="C69" s="41" t="s">
        <v>49</v>
      </c>
      <c r="D69" s="42" t="s">
        <v>299</v>
      </c>
      <c r="E69" s="14"/>
      <c r="F69" s="71">
        <v>3643330</v>
      </c>
      <c r="G69" s="41" t="s">
        <v>50</v>
      </c>
      <c r="H69" s="31">
        <v>20101973922</v>
      </c>
      <c r="I69" s="43" t="str">
        <f>IF(H69="","",VLOOKUP(H69,ENTIDAD!$B$2:$C$613,2,0))</f>
        <v>ASOCIACION AUTOMOTRIZ DEL PERU</v>
      </c>
      <c r="J69" s="11"/>
      <c r="K69" s="11"/>
      <c r="L69" s="11"/>
      <c r="M69" s="11"/>
      <c r="N69" s="11">
        <v>0</v>
      </c>
      <c r="O69" s="11">
        <f t="shared" si="2"/>
        <v>0</v>
      </c>
      <c r="P69" s="11">
        <v>0</v>
      </c>
      <c r="Q69" s="11"/>
      <c r="R69" s="11">
        <v>66.8</v>
      </c>
      <c r="S69" s="11">
        <v>66.8</v>
      </c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33">
        <v>46095</v>
      </c>
      <c r="AE69" s="34" t="s">
        <v>465</v>
      </c>
      <c r="AF69" s="37" t="s">
        <v>597</v>
      </c>
      <c r="AG69" s="14" t="s">
        <v>513</v>
      </c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566</v>
      </c>
      <c r="AT69" s="14"/>
      <c r="AU69" s="11"/>
      <c r="AV69" s="14"/>
    </row>
    <row r="70" spans="1:48" s="45" customFormat="1" ht="15" x14ac:dyDescent="0.25">
      <c r="A70" s="13">
        <v>46067</v>
      </c>
      <c r="B70" s="13"/>
      <c r="C70" s="41" t="s">
        <v>49</v>
      </c>
      <c r="D70" s="42" t="s">
        <v>299</v>
      </c>
      <c r="E70" s="14"/>
      <c r="F70" s="71">
        <v>3643331</v>
      </c>
      <c r="G70" s="42" t="s">
        <v>50</v>
      </c>
      <c r="H70" s="31">
        <v>20101973922</v>
      </c>
      <c r="I70" s="43" t="str">
        <f>IF(H70="","",VLOOKUP(H70,ENTIDAD!$B$2:$C$613,2,0))</f>
        <v>ASOCIACION AUTOMOTRIZ DEL PERU</v>
      </c>
      <c r="J70" s="11"/>
      <c r="K70" s="11"/>
      <c r="L70" s="11"/>
      <c r="M70" s="11"/>
      <c r="N70" s="11">
        <v>0</v>
      </c>
      <c r="O70" s="11">
        <f t="shared" si="2"/>
        <v>0</v>
      </c>
      <c r="P70" s="11">
        <v>0</v>
      </c>
      <c r="Q70" s="11"/>
      <c r="R70" s="11">
        <v>66.8</v>
      </c>
      <c r="S70" s="11">
        <v>66.8</v>
      </c>
      <c r="T70" s="14"/>
      <c r="U70" s="14"/>
      <c r="V70" s="13"/>
      <c r="W70" s="15"/>
      <c r="X70" s="13"/>
      <c r="Y70" s="14"/>
      <c r="Z70" s="14"/>
      <c r="AA70" s="14"/>
      <c r="AB70" s="42" t="s">
        <v>224</v>
      </c>
      <c r="AC70" s="11"/>
      <c r="AD70" s="33">
        <v>46095</v>
      </c>
      <c r="AE70" s="34" t="s">
        <v>465</v>
      </c>
      <c r="AF70" s="37" t="s">
        <v>597</v>
      </c>
      <c r="AG70" s="14" t="s">
        <v>513</v>
      </c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566</v>
      </c>
      <c r="AT70" s="14"/>
      <c r="AU70" s="11"/>
      <c r="AV70" s="14"/>
    </row>
    <row r="71" spans="1:48" s="45" customFormat="1" ht="15" x14ac:dyDescent="0.25">
      <c r="A71" s="13">
        <v>46067</v>
      </c>
      <c r="B71" s="13"/>
      <c r="C71" s="41" t="s">
        <v>49</v>
      </c>
      <c r="D71" s="42" t="s">
        <v>299</v>
      </c>
      <c r="E71" s="14"/>
      <c r="F71" s="71">
        <v>3643332</v>
      </c>
      <c r="G71" s="41" t="s">
        <v>50</v>
      </c>
      <c r="H71" s="31">
        <v>20101973922</v>
      </c>
      <c r="I71" s="43" t="str">
        <f>IF(H71="","",VLOOKUP(H71,ENTIDAD!$B$2:$C$613,2,0))</f>
        <v>ASOCIACION AUTOMOTRIZ DEL PERU</v>
      </c>
      <c r="J71" s="11"/>
      <c r="K71" s="11"/>
      <c r="L71" s="11"/>
      <c r="M71" s="11"/>
      <c r="N71" s="11">
        <v>0</v>
      </c>
      <c r="O71" s="11">
        <f t="shared" si="2"/>
        <v>0</v>
      </c>
      <c r="P71" s="11">
        <v>0</v>
      </c>
      <c r="Q71" s="11"/>
      <c r="R71" s="11">
        <v>66.8</v>
      </c>
      <c r="S71" s="11">
        <v>66.8</v>
      </c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33">
        <v>46095</v>
      </c>
      <c r="AE71" s="34" t="s">
        <v>465</v>
      </c>
      <c r="AF71" s="37" t="s">
        <v>597</v>
      </c>
      <c r="AG71" s="14" t="s">
        <v>513</v>
      </c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566</v>
      </c>
      <c r="AT71" s="14"/>
      <c r="AU71" s="11"/>
      <c r="AV71" s="14"/>
    </row>
    <row r="72" spans="1:48" s="45" customFormat="1" ht="15" x14ac:dyDescent="0.25">
      <c r="A72" s="13">
        <v>46067</v>
      </c>
      <c r="B72" s="13"/>
      <c r="C72" s="41" t="s">
        <v>49</v>
      </c>
      <c r="D72" s="42" t="s">
        <v>299</v>
      </c>
      <c r="E72" s="14"/>
      <c r="F72" s="71">
        <v>3643333</v>
      </c>
      <c r="G72" s="42" t="s">
        <v>50</v>
      </c>
      <c r="H72" s="31">
        <v>20101973922</v>
      </c>
      <c r="I72" s="43" t="str">
        <f>IF(H72="","",VLOOKUP(H72,ENTIDAD!$B$2:$C$613,2,0))</f>
        <v>ASOCIACION AUTOMOTRIZ DEL PERU</v>
      </c>
      <c r="J72" s="11"/>
      <c r="K72" s="11"/>
      <c r="L72" s="11"/>
      <c r="M72" s="11"/>
      <c r="N72" s="11">
        <v>0</v>
      </c>
      <c r="O72" s="11">
        <f t="shared" si="2"/>
        <v>0</v>
      </c>
      <c r="P72" s="11">
        <v>0</v>
      </c>
      <c r="Q72" s="11"/>
      <c r="R72" s="11">
        <v>66.8</v>
      </c>
      <c r="S72" s="11">
        <v>66.8</v>
      </c>
      <c r="T72" s="14"/>
      <c r="U72" s="14"/>
      <c r="V72" s="13"/>
      <c r="W72" s="15"/>
      <c r="X72" s="13"/>
      <c r="Y72" s="14"/>
      <c r="Z72" s="14"/>
      <c r="AA72" s="14"/>
      <c r="AB72" s="42" t="s">
        <v>224</v>
      </c>
      <c r="AC72" s="11"/>
      <c r="AD72" s="33">
        <v>46095</v>
      </c>
      <c r="AE72" s="34" t="s">
        <v>465</v>
      </c>
      <c r="AF72" s="37" t="s">
        <v>597</v>
      </c>
      <c r="AG72" s="14" t="s">
        <v>513</v>
      </c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566</v>
      </c>
      <c r="AT72" s="14"/>
      <c r="AU72" s="11"/>
      <c r="AV72" s="14"/>
    </row>
    <row r="73" spans="1:48" s="45" customFormat="1" ht="15" x14ac:dyDescent="0.25">
      <c r="A73" s="13">
        <v>46067</v>
      </c>
      <c r="B73" s="13"/>
      <c r="C73" s="41" t="s">
        <v>49</v>
      </c>
      <c r="D73" s="42" t="s">
        <v>299</v>
      </c>
      <c r="E73" s="14"/>
      <c r="F73" s="71">
        <v>3643334</v>
      </c>
      <c r="G73" s="42" t="s">
        <v>50</v>
      </c>
      <c r="H73" s="31">
        <v>20101973922</v>
      </c>
      <c r="I73" s="43" t="str">
        <f>IF(H73="","",VLOOKUP(H73,ENTIDAD!$B$2:$C$613,2,0))</f>
        <v>ASOCIACION AUTOMOTRIZ DEL PERU</v>
      </c>
      <c r="J73" s="11"/>
      <c r="K73" s="11"/>
      <c r="L73" s="11"/>
      <c r="M73" s="11"/>
      <c r="N73" s="11">
        <v>0</v>
      </c>
      <c r="O73" s="11">
        <f t="shared" si="2"/>
        <v>0</v>
      </c>
      <c r="P73" s="11">
        <v>0</v>
      </c>
      <c r="Q73" s="11"/>
      <c r="R73" s="11">
        <v>66.8</v>
      </c>
      <c r="S73" s="11">
        <v>66.8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>
        <v>46095</v>
      </c>
      <c r="AE73" s="34" t="s">
        <v>465</v>
      </c>
      <c r="AF73" s="37" t="s">
        <v>597</v>
      </c>
      <c r="AG73" s="14" t="s">
        <v>513</v>
      </c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566</v>
      </c>
      <c r="AT73" s="14"/>
      <c r="AU73" s="11"/>
      <c r="AV73" s="14"/>
    </row>
    <row r="74" spans="1:48" s="45" customFormat="1" ht="15" x14ac:dyDescent="0.25">
      <c r="A74" s="13">
        <v>46067</v>
      </c>
      <c r="B74" s="13"/>
      <c r="C74" s="41" t="s">
        <v>49</v>
      </c>
      <c r="D74" s="42" t="s">
        <v>299</v>
      </c>
      <c r="E74" s="14"/>
      <c r="F74" s="71">
        <v>3643335</v>
      </c>
      <c r="G74" s="41" t="s">
        <v>50</v>
      </c>
      <c r="H74" s="31">
        <v>20101973922</v>
      </c>
      <c r="I74" s="43" t="str">
        <f>IF(H74="","",VLOOKUP(H74,ENTIDAD!$B$2:$C$613,2,0))</f>
        <v>ASOCIACION AUTOMOTRIZ DEL PERU</v>
      </c>
      <c r="J74" s="11"/>
      <c r="K74" s="11"/>
      <c r="L74" s="11"/>
      <c r="M74" s="11"/>
      <c r="N74" s="11">
        <v>0</v>
      </c>
      <c r="O74" s="11">
        <f t="shared" si="2"/>
        <v>0</v>
      </c>
      <c r="P74" s="11">
        <v>0</v>
      </c>
      <c r="Q74" s="11"/>
      <c r="R74" s="11">
        <v>66.8</v>
      </c>
      <c r="S74" s="11">
        <v>66.8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33">
        <v>46095</v>
      </c>
      <c r="AE74" s="34" t="s">
        <v>465</v>
      </c>
      <c r="AF74" s="37" t="s">
        <v>597</v>
      </c>
      <c r="AG74" s="14" t="s">
        <v>513</v>
      </c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566</v>
      </c>
      <c r="AT74" s="14"/>
      <c r="AU74" s="11"/>
      <c r="AV74" s="14"/>
    </row>
    <row r="75" spans="1:48" s="45" customFormat="1" ht="15" x14ac:dyDescent="0.25">
      <c r="A75" s="13">
        <v>46067</v>
      </c>
      <c r="B75" s="13"/>
      <c r="C75" s="42" t="s">
        <v>49</v>
      </c>
      <c r="D75" s="42" t="s">
        <v>299</v>
      </c>
      <c r="E75" s="14"/>
      <c r="F75" s="71">
        <v>3643336</v>
      </c>
      <c r="G75" s="42" t="s">
        <v>50</v>
      </c>
      <c r="H75" s="31">
        <v>20101973922</v>
      </c>
      <c r="I75" s="43" t="str">
        <f>IF(H75="","",VLOOKUP(H75,ENTIDAD!$B$2:$C$613,2,0))</f>
        <v>ASOCIACION AUTOMOTRIZ DEL PERU</v>
      </c>
      <c r="J75" s="11"/>
      <c r="K75" s="11"/>
      <c r="L75" s="11"/>
      <c r="M75" s="11"/>
      <c r="N75" s="11">
        <v>0</v>
      </c>
      <c r="O75" s="11">
        <f t="shared" si="2"/>
        <v>0</v>
      </c>
      <c r="P75" s="11">
        <v>0</v>
      </c>
      <c r="Q75" s="11"/>
      <c r="R75" s="11">
        <v>66.8</v>
      </c>
      <c r="S75" s="11">
        <v>66.8</v>
      </c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>
        <v>46095</v>
      </c>
      <c r="AE75" s="34" t="s">
        <v>465</v>
      </c>
      <c r="AF75" s="37" t="s">
        <v>597</v>
      </c>
      <c r="AG75" s="14" t="s">
        <v>513</v>
      </c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566</v>
      </c>
      <c r="AT75" s="14"/>
      <c r="AU75" s="11"/>
      <c r="AV75" s="14"/>
    </row>
    <row r="76" spans="1:48" s="45" customFormat="1" ht="15" x14ac:dyDescent="0.25">
      <c r="A76" s="13">
        <v>46067</v>
      </c>
      <c r="B76" s="13"/>
      <c r="C76" s="42" t="s">
        <v>49</v>
      </c>
      <c r="D76" s="42" t="s">
        <v>299</v>
      </c>
      <c r="E76" s="14"/>
      <c r="F76" s="71">
        <v>3643337</v>
      </c>
      <c r="G76" s="42" t="s">
        <v>50</v>
      </c>
      <c r="H76" s="31">
        <v>20101973922</v>
      </c>
      <c r="I76" s="43" t="str">
        <f>IF(H76="","",VLOOKUP(H76,ENTIDAD!$B$2:$C$613,2,0))</f>
        <v>ASOCIACION AUTOMOTRIZ DEL PERU</v>
      </c>
      <c r="J76" s="11"/>
      <c r="K76" s="11"/>
      <c r="L76" s="11"/>
      <c r="M76" s="11"/>
      <c r="N76" s="11">
        <v>0</v>
      </c>
      <c r="O76" s="11">
        <f t="shared" si="2"/>
        <v>0</v>
      </c>
      <c r="P76" s="11">
        <v>0</v>
      </c>
      <c r="Q76" s="11"/>
      <c r="R76" s="11">
        <v>66.8</v>
      </c>
      <c r="S76" s="11">
        <v>66.8</v>
      </c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>
        <v>46095</v>
      </c>
      <c r="AE76" s="34" t="s">
        <v>465</v>
      </c>
      <c r="AF76" s="37" t="s">
        <v>597</v>
      </c>
      <c r="AG76" s="14" t="s">
        <v>513</v>
      </c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566</v>
      </c>
      <c r="AT76" s="14"/>
      <c r="AU76" s="11"/>
      <c r="AV76" s="14"/>
    </row>
    <row r="77" spans="1:48" s="45" customFormat="1" ht="15" x14ac:dyDescent="0.25">
      <c r="A77" s="13">
        <v>46067</v>
      </c>
      <c r="B77" s="13"/>
      <c r="C77" s="42" t="s">
        <v>49</v>
      </c>
      <c r="D77" s="42" t="s">
        <v>299</v>
      </c>
      <c r="E77" s="14"/>
      <c r="F77" s="71">
        <v>3644175</v>
      </c>
      <c r="G77" s="42" t="s">
        <v>50</v>
      </c>
      <c r="H77" s="31">
        <v>20101973922</v>
      </c>
      <c r="I77" s="43" t="str">
        <f>IF(H77="","",VLOOKUP(H77,ENTIDAD!$B$2:$C$613,2,0))</f>
        <v>ASOCIACION AUTOMOTRIZ DEL PERU</v>
      </c>
      <c r="J77" s="11"/>
      <c r="K77" s="11"/>
      <c r="L77" s="11"/>
      <c r="M77" s="11"/>
      <c r="N77" s="11">
        <v>0</v>
      </c>
      <c r="O77" s="11">
        <f t="shared" si="2"/>
        <v>0</v>
      </c>
      <c r="P77" s="11">
        <v>0</v>
      </c>
      <c r="Q77" s="11"/>
      <c r="R77" s="11">
        <v>66.8</v>
      </c>
      <c r="S77" s="11">
        <v>66.8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>
        <v>46095</v>
      </c>
      <c r="AE77" s="34" t="s">
        <v>465</v>
      </c>
      <c r="AF77" s="37" t="s">
        <v>597</v>
      </c>
      <c r="AG77" s="14" t="s">
        <v>513</v>
      </c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566</v>
      </c>
      <c r="AT77" s="14"/>
      <c r="AU77" s="11"/>
      <c r="AV77" s="14"/>
    </row>
    <row r="78" spans="1:48" s="45" customFormat="1" ht="15" x14ac:dyDescent="0.25">
      <c r="A78" s="13">
        <v>46067</v>
      </c>
      <c r="B78" s="13"/>
      <c r="C78" s="42" t="s">
        <v>49</v>
      </c>
      <c r="D78" s="42" t="s">
        <v>299</v>
      </c>
      <c r="E78" s="14"/>
      <c r="F78" s="71">
        <v>3644176</v>
      </c>
      <c r="G78" s="42" t="s">
        <v>50</v>
      </c>
      <c r="H78" s="31">
        <v>20101973922</v>
      </c>
      <c r="I78" s="43" t="str">
        <f>IF(H78="","",VLOOKUP(H78,ENTIDAD!$B$2:$C$613,2,0))</f>
        <v>ASOCIACION AUTOMOTRIZ DEL PERU</v>
      </c>
      <c r="J78" s="11"/>
      <c r="K78" s="11"/>
      <c r="L78" s="11"/>
      <c r="M78" s="11"/>
      <c r="N78" s="11">
        <v>0</v>
      </c>
      <c r="O78" s="11">
        <f t="shared" si="2"/>
        <v>0</v>
      </c>
      <c r="P78" s="11">
        <v>0</v>
      </c>
      <c r="Q78" s="11"/>
      <c r="R78" s="11">
        <v>66.8</v>
      </c>
      <c r="S78" s="11">
        <v>66.8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>
        <v>46095</v>
      </c>
      <c r="AE78" s="34" t="s">
        <v>465</v>
      </c>
      <c r="AF78" s="37" t="s">
        <v>597</v>
      </c>
      <c r="AG78" s="14" t="s">
        <v>513</v>
      </c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 t="s">
        <v>566</v>
      </c>
      <c r="AT78" s="14"/>
      <c r="AU78" s="11"/>
      <c r="AV78" s="14"/>
    </row>
    <row r="79" spans="1:48" s="45" customFormat="1" ht="15" x14ac:dyDescent="0.25">
      <c r="A79" s="13">
        <v>46067</v>
      </c>
      <c r="B79" s="13"/>
      <c r="C79" s="42" t="s">
        <v>49</v>
      </c>
      <c r="D79" s="42" t="s">
        <v>299</v>
      </c>
      <c r="E79" s="14"/>
      <c r="F79" s="71">
        <v>3644177</v>
      </c>
      <c r="G79" s="42" t="s">
        <v>50</v>
      </c>
      <c r="H79" s="31">
        <v>20101973922</v>
      </c>
      <c r="I79" s="43" t="str">
        <f>IF(H79="","",VLOOKUP(H79,ENTIDAD!$B$2:$C$613,2,0))</f>
        <v>ASOCIACION AUTOMOTRIZ DEL PERU</v>
      </c>
      <c r="J79" s="11"/>
      <c r="K79" s="11"/>
      <c r="L79" s="11"/>
      <c r="M79" s="11"/>
      <c r="N79" s="11">
        <v>0</v>
      </c>
      <c r="O79" s="11">
        <f t="shared" si="2"/>
        <v>0</v>
      </c>
      <c r="P79" s="11">
        <v>0</v>
      </c>
      <c r="Q79" s="11"/>
      <c r="R79" s="11">
        <v>66.8</v>
      </c>
      <c r="S79" s="11">
        <v>66.8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>
        <v>46095</v>
      </c>
      <c r="AE79" s="34" t="s">
        <v>465</v>
      </c>
      <c r="AF79" s="37" t="s">
        <v>597</v>
      </c>
      <c r="AG79" s="14" t="s">
        <v>513</v>
      </c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566</v>
      </c>
      <c r="AT79" s="14"/>
      <c r="AU79" s="11"/>
      <c r="AV79" s="14"/>
    </row>
    <row r="80" spans="1:48" s="45" customFormat="1" ht="15" x14ac:dyDescent="0.25">
      <c r="A80" s="13">
        <v>46067</v>
      </c>
      <c r="B80" s="13"/>
      <c r="C80" s="42" t="s">
        <v>49</v>
      </c>
      <c r="D80" s="42" t="s">
        <v>299</v>
      </c>
      <c r="E80" s="14"/>
      <c r="F80" s="71">
        <v>3644178</v>
      </c>
      <c r="G80" s="42" t="s">
        <v>50</v>
      </c>
      <c r="H80" s="31">
        <v>20101973922</v>
      </c>
      <c r="I80" s="43" t="str">
        <f>IF(H80="","",VLOOKUP(H80,ENTIDAD!$B$2:$C$613,2,0))</f>
        <v>ASOCIACION AUTOMOTRIZ DEL PERU</v>
      </c>
      <c r="J80" s="11"/>
      <c r="K80" s="11"/>
      <c r="L80" s="11"/>
      <c r="M80" s="11"/>
      <c r="N80" s="11">
        <v>0</v>
      </c>
      <c r="O80" s="11">
        <f t="shared" si="2"/>
        <v>0</v>
      </c>
      <c r="P80" s="11">
        <v>0</v>
      </c>
      <c r="Q80" s="11"/>
      <c r="R80" s="11">
        <v>66.8</v>
      </c>
      <c r="S80" s="11">
        <v>66.8</v>
      </c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33">
        <v>46095</v>
      </c>
      <c r="AE80" s="34" t="s">
        <v>465</v>
      </c>
      <c r="AF80" s="37" t="s">
        <v>597</v>
      </c>
      <c r="AG80" s="14" t="s">
        <v>513</v>
      </c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 t="s">
        <v>566</v>
      </c>
      <c r="AT80" s="14"/>
      <c r="AU80" s="11"/>
      <c r="AV80" s="14"/>
    </row>
    <row r="81" spans="1:49" s="45" customFormat="1" ht="15" x14ac:dyDescent="0.25">
      <c r="A81" s="13">
        <v>46067</v>
      </c>
      <c r="B81" s="13"/>
      <c r="C81" s="42" t="s">
        <v>49</v>
      </c>
      <c r="D81" s="42" t="s">
        <v>299</v>
      </c>
      <c r="E81" s="14"/>
      <c r="F81" s="71">
        <v>3644179</v>
      </c>
      <c r="G81" s="42" t="s">
        <v>50</v>
      </c>
      <c r="H81" s="31">
        <v>20101973922</v>
      </c>
      <c r="I81" s="43" t="str">
        <f>IF(H81="","",VLOOKUP(H81,ENTIDAD!$B$2:$C$613,2,0))</f>
        <v>ASOCIACION AUTOMOTRIZ DEL PERU</v>
      </c>
      <c r="J81" s="11"/>
      <c r="K81" s="11"/>
      <c r="L81" s="11"/>
      <c r="M81" s="11"/>
      <c r="N81" s="11">
        <v>0</v>
      </c>
      <c r="O81" s="11">
        <f t="shared" si="2"/>
        <v>0</v>
      </c>
      <c r="P81" s="11">
        <v>0</v>
      </c>
      <c r="Q81" s="11"/>
      <c r="R81" s="11">
        <v>66.8</v>
      </c>
      <c r="S81" s="11">
        <v>66.8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33">
        <v>46095</v>
      </c>
      <c r="AE81" s="34" t="s">
        <v>465</v>
      </c>
      <c r="AF81" s="37" t="s">
        <v>597</v>
      </c>
      <c r="AG81" s="14" t="s">
        <v>513</v>
      </c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566</v>
      </c>
      <c r="AT81" s="14"/>
      <c r="AU81" s="11"/>
      <c r="AV81" s="14"/>
    </row>
    <row r="82" spans="1:49" s="45" customFormat="1" ht="15.75" customHeight="1" x14ac:dyDescent="0.25">
      <c r="A82" s="13">
        <v>46067</v>
      </c>
      <c r="B82" s="13"/>
      <c r="C82" s="42" t="s">
        <v>49</v>
      </c>
      <c r="D82" s="42" t="s">
        <v>299</v>
      </c>
      <c r="E82" s="14"/>
      <c r="F82" s="71">
        <v>3644180</v>
      </c>
      <c r="G82" s="42" t="s">
        <v>50</v>
      </c>
      <c r="H82" s="31">
        <v>20101973922</v>
      </c>
      <c r="I82" s="43" t="str">
        <f>IF(H82="","",VLOOKUP(H82,ENTIDAD!$B$2:$C$613,2,0))</f>
        <v>ASOCIACION AUTOMOTRIZ DEL PERU</v>
      </c>
      <c r="J82" s="11"/>
      <c r="K82" s="11"/>
      <c r="L82" s="11"/>
      <c r="M82" s="11"/>
      <c r="N82" s="11">
        <v>0</v>
      </c>
      <c r="O82" s="11">
        <f t="shared" si="2"/>
        <v>0</v>
      </c>
      <c r="P82" s="11">
        <v>0</v>
      </c>
      <c r="Q82" s="11"/>
      <c r="R82" s="11">
        <v>66.8</v>
      </c>
      <c r="S82" s="11">
        <v>66.8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33">
        <v>46095</v>
      </c>
      <c r="AE82" s="34" t="s">
        <v>465</v>
      </c>
      <c r="AF82" s="37" t="s">
        <v>597</v>
      </c>
      <c r="AG82" s="14" t="s">
        <v>513</v>
      </c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566</v>
      </c>
      <c r="AT82" s="14"/>
      <c r="AU82" s="11"/>
      <c r="AV82" s="14"/>
    </row>
    <row r="83" spans="1:49" s="45" customFormat="1" ht="15" x14ac:dyDescent="0.25">
      <c r="A83" s="13">
        <v>46067</v>
      </c>
      <c r="B83" s="13"/>
      <c r="C83" s="42" t="s">
        <v>49</v>
      </c>
      <c r="D83" s="42" t="s">
        <v>299</v>
      </c>
      <c r="E83" s="14"/>
      <c r="F83" s="71">
        <v>3644181</v>
      </c>
      <c r="G83" s="42" t="s">
        <v>50</v>
      </c>
      <c r="H83" s="31">
        <v>20101973922</v>
      </c>
      <c r="I83" s="43" t="str">
        <f>IF(H83="","",VLOOKUP(H83,ENTIDAD!$B$2:$C$613,2,0))</f>
        <v>ASOCIACION AUTOMOTRIZ DEL PERU</v>
      </c>
      <c r="J83" s="11"/>
      <c r="K83" s="11"/>
      <c r="L83" s="11"/>
      <c r="M83" s="11"/>
      <c r="N83" s="11">
        <v>0</v>
      </c>
      <c r="O83" s="11">
        <f t="shared" si="2"/>
        <v>0</v>
      </c>
      <c r="P83" s="11">
        <v>0</v>
      </c>
      <c r="Q83" s="11"/>
      <c r="R83" s="11">
        <v>66.8</v>
      </c>
      <c r="S83" s="11">
        <v>66.8</v>
      </c>
      <c r="T83" s="14"/>
      <c r="U83" s="14"/>
      <c r="V83" s="13"/>
      <c r="W83" s="15"/>
      <c r="X83" s="13"/>
      <c r="Y83" s="14"/>
      <c r="Z83" s="14"/>
      <c r="AA83" s="14"/>
      <c r="AB83" s="42" t="s">
        <v>224</v>
      </c>
      <c r="AC83" s="11"/>
      <c r="AD83" s="33">
        <v>46095</v>
      </c>
      <c r="AE83" s="34" t="s">
        <v>465</v>
      </c>
      <c r="AF83" s="37" t="s">
        <v>597</v>
      </c>
      <c r="AG83" s="14" t="s">
        <v>513</v>
      </c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566</v>
      </c>
      <c r="AT83" s="14"/>
      <c r="AU83" s="11"/>
      <c r="AV83" s="14"/>
    </row>
    <row r="84" spans="1:49" s="45" customFormat="1" ht="15" x14ac:dyDescent="0.25">
      <c r="A84" s="13">
        <v>46067</v>
      </c>
      <c r="B84" s="13"/>
      <c r="C84" s="42" t="s">
        <v>49</v>
      </c>
      <c r="D84" s="42" t="s">
        <v>299</v>
      </c>
      <c r="E84" s="14"/>
      <c r="F84" s="71">
        <v>3644182</v>
      </c>
      <c r="G84" s="42" t="s">
        <v>50</v>
      </c>
      <c r="H84" s="31">
        <v>20101973922</v>
      </c>
      <c r="I84" s="43" t="str">
        <f>IF(H84="","",VLOOKUP(H84,ENTIDAD!$B$2:$C$613,2,0))</f>
        <v>ASOCIACION AUTOMOTRIZ DEL PERU</v>
      </c>
      <c r="J84" s="11"/>
      <c r="K84" s="11"/>
      <c r="L84" s="11"/>
      <c r="M84" s="11"/>
      <c r="N84" s="11">
        <v>0</v>
      </c>
      <c r="O84" s="11">
        <f t="shared" si="2"/>
        <v>0</v>
      </c>
      <c r="P84" s="11">
        <v>0</v>
      </c>
      <c r="Q84" s="11"/>
      <c r="R84" s="11">
        <v>66.8</v>
      </c>
      <c r="S84" s="11">
        <v>66.8</v>
      </c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33">
        <v>46095</v>
      </c>
      <c r="AE84" s="34" t="s">
        <v>465</v>
      </c>
      <c r="AF84" s="37" t="s">
        <v>597</v>
      </c>
      <c r="AG84" s="14" t="s">
        <v>513</v>
      </c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566</v>
      </c>
      <c r="AT84" s="14"/>
      <c r="AU84" s="11"/>
      <c r="AV84" s="14"/>
    </row>
    <row r="85" spans="1:49" s="81" customFormat="1" ht="15" x14ac:dyDescent="0.25">
      <c r="A85" s="13">
        <v>46067</v>
      </c>
      <c r="B85" s="13"/>
      <c r="C85" s="42" t="s">
        <v>49</v>
      </c>
      <c r="D85" s="42" t="s">
        <v>299</v>
      </c>
      <c r="E85" s="14"/>
      <c r="F85" s="71">
        <v>3644183</v>
      </c>
      <c r="G85" s="42" t="s">
        <v>50</v>
      </c>
      <c r="H85" s="31">
        <v>20101973922</v>
      </c>
      <c r="I85" s="43" t="str">
        <f>IF(H85="","",VLOOKUP(H85,ENTIDAD!$B$2:$C$613,2,0))</f>
        <v>ASOCIACION AUTOMOTRIZ DEL PERU</v>
      </c>
      <c r="J85" s="11"/>
      <c r="K85" s="11"/>
      <c r="L85" s="11"/>
      <c r="M85" s="11"/>
      <c r="N85" s="11">
        <v>0</v>
      </c>
      <c r="O85" s="11">
        <f t="shared" si="2"/>
        <v>0</v>
      </c>
      <c r="P85" s="11">
        <v>0</v>
      </c>
      <c r="Q85" s="11"/>
      <c r="R85" s="11">
        <v>66.8</v>
      </c>
      <c r="S85" s="11">
        <v>66.8</v>
      </c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>
        <v>46095</v>
      </c>
      <c r="AE85" s="34" t="s">
        <v>465</v>
      </c>
      <c r="AF85" s="37" t="s">
        <v>597</v>
      </c>
      <c r="AG85" s="14" t="s">
        <v>513</v>
      </c>
      <c r="AH85" s="1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 t="s">
        <v>566</v>
      </c>
      <c r="AT85" s="14"/>
      <c r="AU85" s="11"/>
      <c r="AV85" s="14"/>
      <c r="AW85" s="45"/>
    </row>
    <row r="86" spans="1:49" s="45" customFormat="1" ht="15" x14ac:dyDescent="0.25">
      <c r="A86" s="13">
        <v>46067</v>
      </c>
      <c r="B86" s="13"/>
      <c r="C86" s="42" t="s">
        <v>49</v>
      </c>
      <c r="D86" s="42" t="s">
        <v>299</v>
      </c>
      <c r="E86" s="14"/>
      <c r="F86" s="71">
        <v>3644184</v>
      </c>
      <c r="G86" s="42" t="s">
        <v>50</v>
      </c>
      <c r="H86" s="31">
        <v>20101973922</v>
      </c>
      <c r="I86" s="43" t="str">
        <f>IF(H86="","",VLOOKUP(H86,ENTIDAD!$B$2:$C$613,2,0))</f>
        <v>ASOCIACION AUTOMOTRIZ DEL PERU</v>
      </c>
      <c r="J86" s="11"/>
      <c r="K86" s="11"/>
      <c r="L86" s="11"/>
      <c r="M86" s="11"/>
      <c r="N86" s="11">
        <v>0</v>
      </c>
      <c r="O86" s="11">
        <f t="shared" si="2"/>
        <v>0</v>
      </c>
      <c r="P86" s="11">
        <v>0</v>
      </c>
      <c r="Q86" s="11"/>
      <c r="R86" s="11">
        <v>66.8</v>
      </c>
      <c r="S86" s="11">
        <v>66.8</v>
      </c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33">
        <v>46095</v>
      </c>
      <c r="AE86" s="34" t="s">
        <v>465</v>
      </c>
      <c r="AF86" s="37" t="s">
        <v>597</v>
      </c>
      <c r="AG86" s="14" t="s">
        <v>513</v>
      </c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566</v>
      </c>
      <c r="AT86" s="14"/>
      <c r="AU86" s="11"/>
      <c r="AV86" s="14"/>
    </row>
    <row r="87" spans="1:49" s="45" customFormat="1" ht="15" x14ac:dyDescent="0.25">
      <c r="A87" s="13">
        <v>46067</v>
      </c>
      <c r="B87" s="13"/>
      <c r="C87" s="42" t="s">
        <v>49</v>
      </c>
      <c r="D87" s="42" t="s">
        <v>299</v>
      </c>
      <c r="E87" s="14"/>
      <c r="F87" s="71">
        <v>3644185</v>
      </c>
      <c r="G87" s="42" t="s">
        <v>50</v>
      </c>
      <c r="H87" s="31">
        <v>20101973922</v>
      </c>
      <c r="I87" s="43" t="str">
        <f>IF(H87="","",VLOOKUP(H87,ENTIDAD!$B$2:$C$613,2,0))</f>
        <v>ASOCIACION AUTOMOTRIZ DEL PERU</v>
      </c>
      <c r="J87" s="11"/>
      <c r="K87" s="11"/>
      <c r="L87" s="11"/>
      <c r="M87" s="11"/>
      <c r="N87" s="11">
        <v>0</v>
      </c>
      <c r="O87" s="11">
        <f t="shared" si="2"/>
        <v>0</v>
      </c>
      <c r="P87" s="11">
        <v>0</v>
      </c>
      <c r="Q87" s="11"/>
      <c r="R87" s="11">
        <v>66.8</v>
      </c>
      <c r="S87" s="11">
        <v>66.8</v>
      </c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33">
        <v>46095</v>
      </c>
      <c r="AE87" s="34" t="s">
        <v>465</v>
      </c>
      <c r="AF87" s="37" t="s">
        <v>597</v>
      </c>
      <c r="AG87" s="14" t="s">
        <v>513</v>
      </c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 t="s">
        <v>566</v>
      </c>
      <c r="AT87" s="14"/>
      <c r="AU87" s="11"/>
      <c r="AV87" s="14"/>
    </row>
    <row r="88" spans="1:49" s="45" customFormat="1" ht="15" x14ac:dyDescent="0.25">
      <c r="A88" s="13">
        <v>46067</v>
      </c>
      <c r="B88" s="13"/>
      <c r="C88" s="42" t="s">
        <v>49</v>
      </c>
      <c r="D88" s="42" t="s">
        <v>299</v>
      </c>
      <c r="E88" s="14"/>
      <c r="F88" s="71">
        <v>3644186</v>
      </c>
      <c r="G88" s="42" t="s">
        <v>50</v>
      </c>
      <c r="H88" s="31">
        <v>20101973922</v>
      </c>
      <c r="I88" s="43" t="str">
        <f>IF(H88="","",VLOOKUP(H88,ENTIDAD!$B$2:$C$613,2,0))</f>
        <v>ASOCIACION AUTOMOTRIZ DEL PERU</v>
      </c>
      <c r="J88" s="11"/>
      <c r="K88" s="11"/>
      <c r="L88" s="11"/>
      <c r="M88" s="11"/>
      <c r="N88" s="11">
        <v>0</v>
      </c>
      <c r="O88" s="11">
        <f t="shared" si="2"/>
        <v>0</v>
      </c>
      <c r="P88" s="11">
        <v>0</v>
      </c>
      <c r="Q88" s="11"/>
      <c r="R88" s="11">
        <v>66.8</v>
      </c>
      <c r="S88" s="11">
        <v>66.8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33">
        <v>46095</v>
      </c>
      <c r="AE88" s="34" t="s">
        <v>465</v>
      </c>
      <c r="AF88" s="37" t="s">
        <v>597</v>
      </c>
      <c r="AG88" s="14" t="s">
        <v>513</v>
      </c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566</v>
      </c>
      <c r="AT88" s="14"/>
      <c r="AU88" s="11"/>
      <c r="AV88" s="14"/>
    </row>
    <row r="89" spans="1:49" s="45" customFormat="1" ht="15" x14ac:dyDescent="0.25">
      <c r="A89" s="13">
        <v>46067</v>
      </c>
      <c r="B89" s="13"/>
      <c r="C89" s="42" t="s">
        <v>49</v>
      </c>
      <c r="D89" s="42" t="s">
        <v>299</v>
      </c>
      <c r="E89" s="14"/>
      <c r="F89" s="71">
        <v>3644187</v>
      </c>
      <c r="G89" s="42" t="s">
        <v>50</v>
      </c>
      <c r="H89" s="31">
        <v>20101973922</v>
      </c>
      <c r="I89" s="43" t="str">
        <f>IF(H89="","",VLOOKUP(H89,ENTIDAD!$B$2:$C$613,2,0))</f>
        <v>ASOCIACION AUTOMOTRIZ DEL PERU</v>
      </c>
      <c r="J89" s="11"/>
      <c r="K89" s="11"/>
      <c r="L89" s="11"/>
      <c r="M89" s="11"/>
      <c r="N89" s="11">
        <v>0</v>
      </c>
      <c r="O89" s="11">
        <f t="shared" si="2"/>
        <v>0</v>
      </c>
      <c r="P89" s="11">
        <v>0</v>
      </c>
      <c r="Q89" s="11"/>
      <c r="R89" s="11">
        <v>66.8</v>
      </c>
      <c r="S89" s="11">
        <v>66.8</v>
      </c>
      <c r="T89" s="14"/>
      <c r="U89" s="14"/>
      <c r="V89" s="13"/>
      <c r="W89" s="15"/>
      <c r="X89" s="13"/>
      <c r="Y89" s="14"/>
      <c r="Z89" s="14"/>
      <c r="AA89" s="14"/>
      <c r="AB89" s="42" t="s">
        <v>224</v>
      </c>
      <c r="AC89" s="11"/>
      <c r="AD89" s="33">
        <v>46095</v>
      </c>
      <c r="AE89" s="34" t="s">
        <v>465</v>
      </c>
      <c r="AF89" s="37" t="s">
        <v>597</v>
      </c>
      <c r="AG89" s="14" t="s">
        <v>513</v>
      </c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566</v>
      </c>
      <c r="AT89" s="14"/>
      <c r="AU89" s="11"/>
      <c r="AV89" s="14"/>
    </row>
    <row r="90" spans="1:49" s="45" customFormat="1" ht="15" x14ac:dyDescent="0.25">
      <c r="A90" s="13">
        <v>46067</v>
      </c>
      <c r="B90" s="13"/>
      <c r="C90" s="42" t="s">
        <v>49</v>
      </c>
      <c r="D90" s="42" t="s">
        <v>299</v>
      </c>
      <c r="E90" s="14"/>
      <c r="F90" s="71">
        <v>3644188</v>
      </c>
      <c r="G90" s="42" t="s">
        <v>50</v>
      </c>
      <c r="H90" s="31">
        <v>20101973922</v>
      </c>
      <c r="I90" s="43" t="str">
        <f>IF(H90="","",VLOOKUP(H90,ENTIDAD!$B$2:$C$613,2,0))</f>
        <v>ASOCIACION AUTOMOTRIZ DEL PERU</v>
      </c>
      <c r="J90" s="11"/>
      <c r="K90" s="11"/>
      <c r="L90" s="11"/>
      <c r="M90" s="11"/>
      <c r="N90" s="11">
        <v>0</v>
      </c>
      <c r="O90" s="11">
        <f t="shared" si="2"/>
        <v>0</v>
      </c>
      <c r="P90" s="11">
        <v>0</v>
      </c>
      <c r="Q90" s="11"/>
      <c r="R90" s="11">
        <v>66.8</v>
      </c>
      <c r="S90" s="11">
        <v>66.8</v>
      </c>
      <c r="T90" s="14"/>
      <c r="U90" s="14"/>
      <c r="V90" s="13"/>
      <c r="W90" s="15"/>
      <c r="X90" s="13"/>
      <c r="Y90" s="14"/>
      <c r="Z90" s="14"/>
      <c r="AA90" s="14"/>
      <c r="AB90" s="42" t="s">
        <v>224</v>
      </c>
      <c r="AC90" s="11"/>
      <c r="AD90" s="33">
        <v>46095</v>
      </c>
      <c r="AE90" s="34" t="s">
        <v>465</v>
      </c>
      <c r="AF90" s="37" t="s">
        <v>597</v>
      </c>
      <c r="AG90" s="14" t="s">
        <v>513</v>
      </c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566</v>
      </c>
      <c r="AT90" s="14"/>
      <c r="AU90" s="11"/>
      <c r="AV90" s="14"/>
    </row>
    <row r="91" spans="1:49" s="45" customFormat="1" ht="15" x14ac:dyDescent="0.25">
      <c r="A91" s="13">
        <v>46067</v>
      </c>
      <c r="B91" s="13"/>
      <c r="C91" s="42" t="s">
        <v>49</v>
      </c>
      <c r="D91" s="42" t="s">
        <v>299</v>
      </c>
      <c r="E91" s="14"/>
      <c r="F91" s="71">
        <v>3644189</v>
      </c>
      <c r="G91" s="42" t="s">
        <v>50</v>
      </c>
      <c r="H91" s="31">
        <v>20101973922</v>
      </c>
      <c r="I91" s="43" t="str">
        <f>IF(H91="","",VLOOKUP(H91,ENTIDAD!$B$2:$C$613,2,0))</f>
        <v>ASOCIACION AUTOMOTRIZ DEL PERU</v>
      </c>
      <c r="J91" s="11"/>
      <c r="K91" s="11"/>
      <c r="L91" s="11"/>
      <c r="M91" s="11"/>
      <c r="N91" s="11">
        <v>0</v>
      </c>
      <c r="O91" s="11">
        <f t="shared" si="2"/>
        <v>0</v>
      </c>
      <c r="P91" s="11">
        <v>0</v>
      </c>
      <c r="Q91" s="11"/>
      <c r="R91" s="11">
        <v>66.8</v>
      </c>
      <c r="S91" s="11">
        <v>66.8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>
        <v>46095</v>
      </c>
      <c r="AE91" s="34" t="s">
        <v>465</v>
      </c>
      <c r="AF91" s="37" t="s">
        <v>597</v>
      </c>
      <c r="AG91" s="14" t="s">
        <v>513</v>
      </c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566</v>
      </c>
      <c r="AT91" s="14"/>
      <c r="AU91" s="11"/>
      <c r="AV91" s="14"/>
    </row>
    <row r="92" spans="1:49" s="45" customFormat="1" ht="15" x14ac:dyDescent="0.25">
      <c r="A92" s="13">
        <v>46067</v>
      </c>
      <c r="B92" s="13"/>
      <c r="C92" s="42" t="s">
        <v>49</v>
      </c>
      <c r="D92" s="42" t="s">
        <v>299</v>
      </c>
      <c r="E92" s="14"/>
      <c r="F92" s="71">
        <v>3644190</v>
      </c>
      <c r="G92" s="42" t="s">
        <v>50</v>
      </c>
      <c r="H92" s="31">
        <v>20101973922</v>
      </c>
      <c r="I92" s="43" t="str">
        <f>IF(H92="","",VLOOKUP(H92,ENTIDAD!$B$2:$C$613,2,0))</f>
        <v>ASOCIACION AUTOMOTRIZ DEL PERU</v>
      </c>
      <c r="J92" s="11"/>
      <c r="K92" s="11"/>
      <c r="L92" s="11"/>
      <c r="M92" s="11"/>
      <c r="N92" s="11">
        <v>0</v>
      </c>
      <c r="O92" s="11">
        <f t="shared" si="2"/>
        <v>0</v>
      </c>
      <c r="P92" s="11">
        <v>0</v>
      </c>
      <c r="Q92" s="11"/>
      <c r="R92" s="11">
        <v>66.8</v>
      </c>
      <c r="S92" s="11">
        <v>66.8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>
        <v>46095</v>
      </c>
      <c r="AE92" s="34" t="s">
        <v>465</v>
      </c>
      <c r="AF92" s="37" t="s">
        <v>597</v>
      </c>
      <c r="AG92" s="14" t="s">
        <v>513</v>
      </c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566</v>
      </c>
      <c r="AT92" s="14"/>
      <c r="AU92" s="11"/>
      <c r="AV92" s="14"/>
    </row>
    <row r="93" spans="1:49" s="45" customFormat="1" ht="15" x14ac:dyDescent="0.25">
      <c r="A93" s="13">
        <v>46067</v>
      </c>
      <c r="B93" s="13"/>
      <c r="C93" s="42" t="s">
        <v>49</v>
      </c>
      <c r="D93" s="42" t="s">
        <v>299</v>
      </c>
      <c r="E93" s="14"/>
      <c r="F93" s="71">
        <v>3644191</v>
      </c>
      <c r="G93" s="42" t="s">
        <v>50</v>
      </c>
      <c r="H93" s="31">
        <v>20101973922</v>
      </c>
      <c r="I93" s="43" t="str">
        <f>IF(H93="","",VLOOKUP(H93,ENTIDAD!$B$2:$C$613,2,0))</f>
        <v>ASOCIACION AUTOMOTRIZ DEL PERU</v>
      </c>
      <c r="J93" s="11"/>
      <c r="K93" s="11"/>
      <c r="L93" s="11"/>
      <c r="M93" s="11"/>
      <c r="N93" s="11">
        <v>0</v>
      </c>
      <c r="O93" s="11">
        <f t="shared" si="2"/>
        <v>0</v>
      </c>
      <c r="P93" s="11">
        <v>0</v>
      </c>
      <c r="Q93" s="11"/>
      <c r="R93" s="11">
        <v>66.8</v>
      </c>
      <c r="S93" s="11">
        <v>66.8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33">
        <v>46095</v>
      </c>
      <c r="AE93" s="34" t="s">
        <v>465</v>
      </c>
      <c r="AF93" s="37" t="s">
        <v>597</v>
      </c>
      <c r="AG93" s="14" t="s">
        <v>513</v>
      </c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566</v>
      </c>
      <c r="AT93" s="14"/>
      <c r="AU93" s="11"/>
      <c r="AV93" s="14"/>
    </row>
    <row r="94" spans="1:49" s="45" customFormat="1" ht="15" x14ac:dyDescent="0.25">
      <c r="A94" s="13">
        <v>46067</v>
      </c>
      <c r="B94" s="13"/>
      <c r="C94" s="42" t="s">
        <v>49</v>
      </c>
      <c r="D94" s="42" t="s">
        <v>299</v>
      </c>
      <c r="E94" s="14"/>
      <c r="F94" s="71">
        <v>3644192</v>
      </c>
      <c r="G94" s="42" t="s">
        <v>50</v>
      </c>
      <c r="H94" s="31">
        <v>20101973922</v>
      </c>
      <c r="I94" s="43" t="str">
        <f>IF(H94="","",VLOOKUP(H94,ENTIDAD!$B$2:$C$613,2,0))</f>
        <v>ASOCIACION AUTOMOTRIZ DEL PERU</v>
      </c>
      <c r="J94" s="11"/>
      <c r="K94" s="11"/>
      <c r="L94" s="11"/>
      <c r="M94" s="11"/>
      <c r="N94" s="11">
        <v>0</v>
      </c>
      <c r="O94" s="11">
        <f t="shared" si="2"/>
        <v>0</v>
      </c>
      <c r="P94" s="11">
        <v>0</v>
      </c>
      <c r="Q94" s="11"/>
      <c r="R94" s="11">
        <v>66.8</v>
      </c>
      <c r="S94" s="11">
        <v>66.8</v>
      </c>
      <c r="T94" s="14"/>
      <c r="U94" s="14"/>
      <c r="V94" s="13"/>
      <c r="W94" s="15"/>
      <c r="X94" s="13"/>
      <c r="Y94" s="14"/>
      <c r="Z94" s="14"/>
      <c r="AA94" s="14"/>
      <c r="AB94" s="42" t="s">
        <v>224</v>
      </c>
      <c r="AC94" s="11"/>
      <c r="AD94" s="33">
        <v>46095</v>
      </c>
      <c r="AE94" s="34" t="s">
        <v>465</v>
      </c>
      <c r="AF94" s="37" t="s">
        <v>597</v>
      </c>
      <c r="AG94" s="14" t="s">
        <v>513</v>
      </c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566</v>
      </c>
      <c r="AT94" s="14"/>
      <c r="AU94" s="11"/>
      <c r="AV94" s="14"/>
    </row>
    <row r="95" spans="1:49" s="45" customFormat="1" ht="15" x14ac:dyDescent="0.25">
      <c r="A95" s="13">
        <v>46067</v>
      </c>
      <c r="B95" s="13"/>
      <c r="C95" s="42" t="s">
        <v>49</v>
      </c>
      <c r="D95" s="42" t="s">
        <v>299</v>
      </c>
      <c r="E95" s="14"/>
      <c r="F95" s="71">
        <v>3644193</v>
      </c>
      <c r="G95" s="42" t="s">
        <v>50</v>
      </c>
      <c r="H95" s="31">
        <v>20101973922</v>
      </c>
      <c r="I95" s="43" t="str">
        <f>IF(H95="","",VLOOKUP(H95,ENTIDAD!$B$2:$C$613,2,0))</f>
        <v>ASOCIACION AUTOMOTRIZ DEL PERU</v>
      </c>
      <c r="J95" s="11"/>
      <c r="K95" s="11"/>
      <c r="L95" s="11"/>
      <c r="M95" s="11"/>
      <c r="N95" s="11">
        <v>0</v>
      </c>
      <c r="O95" s="11">
        <f t="shared" si="2"/>
        <v>0</v>
      </c>
      <c r="P95" s="11">
        <v>0</v>
      </c>
      <c r="Q95" s="11"/>
      <c r="R95" s="11">
        <v>66.8</v>
      </c>
      <c r="S95" s="11">
        <v>66.8</v>
      </c>
      <c r="T95" s="14"/>
      <c r="U95" s="14"/>
      <c r="V95" s="13"/>
      <c r="W95" s="15"/>
      <c r="X95" s="13"/>
      <c r="Y95" s="14"/>
      <c r="Z95" s="14"/>
      <c r="AA95" s="14"/>
      <c r="AB95" s="42" t="s">
        <v>224</v>
      </c>
      <c r="AC95" s="62"/>
      <c r="AD95" s="33">
        <v>46095</v>
      </c>
      <c r="AE95" s="34" t="s">
        <v>465</v>
      </c>
      <c r="AF95" s="37" t="s">
        <v>597</v>
      </c>
      <c r="AG95" s="14" t="s">
        <v>513</v>
      </c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566</v>
      </c>
      <c r="AT95" s="14"/>
      <c r="AU95" s="11"/>
      <c r="AV95" s="14"/>
    </row>
    <row r="96" spans="1:49" s="45" customFormat="1" ht="15" x14ac:dyDescent="0.25">
      <c r="A96" s="13">
        <v>46067</v>
      </c>
      <c r="B96" s="13"/>
      <c r="C96" s="42" t="s">
        <v>49</v>
      </c>
      <c r="D96" s="42" t="s">
        <v>299</v>
      </c>
      <c r="E96" s="14"/>
      <c r="F96" s="71">
        <v>3644194</v>
      </c>
      <c r="G96" s="42" t="s">
        <v>50</v>
      </c>
      <c r="H96" s="31">
        <v>20101973922</v>
      </c>
      <c r="I96" s="43" t="str">
        <f>IF(H96="","",VLOOKUP(H96,ENTIDAD!$B$2:$C$613,2,0))</f>
        <v>ASOCIACION AUTOMOTRIZ DEL PERU</v>
      </c>
      <c r="J96" s="11"/>
      <c r="K96" s="11"/>
      <c r="L96" s="11"/>
      <c r="M96" s="11"/>
      <c r="N96" s="11">
        <v>0</v>
      </c>
      <c r="O96" s="11">
        <f t="shared" si="2"/>
        <v>0</v>
      </c>
      <c r="P96" s="11">
        <v>0</v>
      </c>
      <c r="Q96" s="11"/>
      <c r="R96" s="11">
        <v>66.8</v>
      </c>
      <c r="S96" s="11">
        <v>66.8</v>
      </c>
      <c r="T96" s="14"/>
      <c r="U96" s="14"/>
      <c r="V96" s="13"/>
      <c r="W96" s="15"/>
      <c r="X96" s="13"/>
      <c r="Y96" s="14"/>
      <c r="Z96" s="14"/>
      <c r="AA96" s="14"/>
      <c r="AB96" s="42" t="s">
        <v>224</v>
      </c>
      <c r="AC96" s="11"/>
      <c r="AD96" s="33">
        <v>46095</v>
      </c>
      <c r="AE96" s="34" t="s">
        <v>465</v>
      </c>
      <c r="AF96" s="37" t="s">
        <v>597</v>
      </c>
      <c r="AG96" s="14" t="s">
        <v>513</v>
      </c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566</v>
      </c>
      <c r="AT96" s="14"/>
      <c r="AU96" s="11"/>
      <c r="AV96" s="14"/>
    </row>
    <row r="97" spans="1:48" s="45" customFormat="1" ht="15" x14ac:dyDescent="0.25">
      <c r="A97" s="46">
        <v>46067</v>
      </c>
      <c r="B97" s="13"/>
      <c r="C97" s="42" t="s">
        <v>49</v>
      </c>
      <c r="D97" s="42" t="s">
        <v>299</v>
      </c>
      <c r="E97" s="14"/>
      <c r="F97" s="71">
        <v>3645341</v>
      </c>
      <c r="G97" s="42" t="s">
        <v>50</v>
      </c>
      <c r="H97" s="31">
        <v>20101973922</v>
      </c>
      <c r="I97" s="43" t="str">
        <f>IF(H97="","",VLOOKUP(H97,ENTIDAD!$B$2:$C$613,2,0))</f>
        <v>ASOCIACION AUTOMOTRIZ DEL PERU</v>
      </c>
      <c r="J97" s="11"/>
      <c r="K97" s="11"/>
      <c r="L97" s="11"/>
      <c r="M97" s="11"/>
      <c r="N97" s="11">
        <v>0</v>
      </c>
      <c r="O97" s="11">
        <f t="shared" si="2"/>
        <v>0</v>
      </c>
      <c r="P97" s="11">
        <v>0</v>
      </c>
      <c r="Q97" s="11"/>
      <c r="R97" s="11">
        <v>66.8</v>
      </c>
      <c r="S97" s="11">
        <v>66.8</v>
      </c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33">
        <v>46095</v>
      </c>
      <c r="AE97" s="34" t="s">
        <v>465</v>
      </c>
      <c r="AF97" s="37" t="s">
        <v>597</v>
      </c>
      <c r="AG97" s="14" t="s">
        <v>513</v>
      </c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566</v>
      </c>
      <c r="AT97" s="14"/>
      <c r="AU97" s="11"/>
      <c r="AV97" s="14"/>
    </row>
    <row r="98" spans="1:48" s="45" customFormat="1" ht="15" x14ac:dyDescent="0.25">
      <c r="A98" s="46">
        <v>46067</v>
      </c>
      <c r="B98" s="13"/>
      <c r="C98" s="42" t="s">
        <v>49</v>
      </c>
      <c r="D98" s="42" t="s">
        <v>299</v>
      </c>
      <c r="E98" s="14"/>
      <c r="F98" s="71">
        <v>3645342</v>
      </c>
      <c r="G98" s="42" t="s">
        <v>50</v>
      </c>
      <c r="H98" s="31">
        <v>20101973922</v>
      </c>
      <c r="I98" s="43" t="str">
        <f>IF(H98="","",VLOOKUP(H98,ENTIDAD!$B$2:$C$613,2,0))</f>
        <v>ASOCIACION AUTOMOTRIZ DEL PERU</v>
      </c>
      <c r="J98" s="11"/>
      <c r="K98" s="11"/>
      <c r="L98" s="11"/>
      <c r="M98" s="11"/>
      <c r="N98" s="11">
        <v>0</v>
      </c>
      <c r="O98" s="11">
        <f t="shared" si="2"/>
        <v>0</v>
      </c>
      <c r="P98" s="11">
        <v>0</v>
      </c>
      <c r="Q98" s="11"/>
      <c r="R98" s="11">
        <v>66.8</v>
      </c>
      <c r="S98" s="11">
        <v>66.8</v>
      </c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33">
        <v>46095</v>
      </c>
      <c r="AE98" s="34" t="s">
        <v>465</v>
      </c>
      <c r="AF98" s="37" t="s">
        <v>597</v>
      </c>
      <c r="AG98" s="14" t="s">
        <v>513</v>
      </c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566</v>
      </c>
      <c r="AT98" s="14"/>
      <c r="AU98" s="11"/>
      <c r="AV98" s="14"/>
    </row>
    <row r="99" spans="1:48" s="45" customFormat="1" ht="15" x14ac:dyDescent="0.25">
      <c r="A99" s="46">
        <v>46067</v>
      </c>
      <c r="B99" s="13"/>
      <c r="C99" s="42" t="s">
        <v>49</v>
      </c>
      <c r="D99" s="42" t="s">
        <v>299</v>
      </c>
      <c r="E99" s="14"/>
      <c r="F99" s="71">
        <v>3645343</v>
      </c>
      <c r="G99" s="42" t="s">
        <v>50</v>
      </c>
      <c r="H99" s="31">
        <v>20101973922</v>
      </c>
      <c r="I99" s="43" t="str">
        <f>IF(H99="","",VLOOKUP(H99,ENTIDAD!$B$2:$C$613,2,0))</f>
        <v>ASOCIACION AUTOMOTRIZ DEL PERU</v>
      </c>
      <c r="J99" s="11"/>
      <c r="K99" s="11"/>
      <c r="L99" s="11"/>
      <c r="M99" s="11"/>
      <c r="N99" s="11">
        <v>0</v>
      </c>
      <c r="O99" s="11">
        <f t="shared" si="2"/>
        <v>0</v>
      </c>
      <c r="P99" s="11">
        <v>0</v>
      </c>
      <c r="Q99" s="11"/>
      <c r="R99" s="11">
        <v>66.8</v>
      </c>
      <c r="S99" s="11">
        <v>66.8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>
        <v>46095</v>
      </c>
      <c r="AE99" s="34" t="s">
        <v>465</v>
      </c>
      <c r="AF99" s="37" t="s">
        <v>597</v>
      </c>
      <c r="AG99" s="14" t="s">
        <v>513</v>
      </c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566</v>
      </c>
      <c r="AT99" s="14"/>
      <c r="AU99" s="11"/>
      <c r="AV99" s="14"/>
    </row>
    <row r="100" spans="1:48" s="45" customFormat="1" ht="15" x14ac:dyDescent="0.25">
      <c r="A100" s="46">
        <v>46067</v>
      </c>
      <c r="B100" s="13"/>
      <c r="C100" s="42" t="s">
        <v>49</v>
      </c>
      <c r="D100" s="42" t="s">
        <v>299</v>
      </c>
      <c r="E100" s="14"/>
      <c r="F100" s="71">
        <v>3645344</v>
      </c>
      <c r="G100" s="42" t="s">
        <v>50</v>
      </c>
      <c r="H100" s="31">
        <v>20101973922</v>
      </c>
      <c r="I100" s="43" t="str">
        <f>IF(H100="","",VLOOKUP(H100,ENTIDAD!$B$2:$C$613,2,0))</f>
        <v>ASOCIACION AUTOMOTRIZ DEL PERU</v>
      </c>
      <c r="J100" s="11"/>
      <c r="K100" s="11"/>
      <c r="L100" s="11"/>
      <c r="M100" s="11"/>
      <c r="N100" s="11">
        <v>0</v>
      </c>
      <c r="O100" s="11">
        <f t="shared" si="2"/>
        <v>0</v>
      </c>
      <c r="P100" s="11">
        <v>0</v>
      </c>
      <c r="Q100" s="11"/>
      <c r="R100" s="11">
        <v>66.8</v>
      </c>
      <c r="S100" s="11">
        <v>66.8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33">
        <v>46095</v>
      </c>
      <c r="AE100" s="34" t="s">
        <v>465</v>
      </c>
      <c r="AF100" s="37" t="s">
        <v>597</v>
      </c>
      <c r="AG100" s="14" t="s">
        <v>513</v>
      </c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566</v>
      </c>
      <c r="AT100" s="14"/>
      <c r="AU100" s="11"/>
      <c r="AV100" s="14"/>
    </row>
    <row r="101" spans="1:48" s="45" customFormat="1" ht="15" x14ac:dyDescent="0.25">
      <c r="A101" s="46">
        <v>46067</v>
      </c>
      <c r="B101" s="13"/>
      <c r="C101" s="42" t="s">
        <v>49</v>
      </c>
      <c r="D101" s="42" t="s">
        <v>299</v>
      </c>
      <c r="E101" s="14"/>
      <c r="F101" s="71">
        <v>3645345</v>
      </c>
      <c r="G101" s="42" t="s">
        <v>50</v>
      </c>
      <c r="H101" s="31">
        <v>20101973922</v>
      </c>
      <c r="I101" s="43" t="str">
        <f>IF(H101="","",VLOOKUP(H101,ENTIDAD!$B$2:$C$613,2,0))</f>
        <v>ASOCIACION AUTOMOTRIZ DEL PERU</v>
      </c>
      <c r="J101" s="11"/>
      <c r="K101" s="11"/>
      <c r="L101" s="11"/>
      <c r="M101" s="11"/>
      <c r="N101" s="11">
        <v>0</v>
      </c>
      <c r="O101" s="11">
        <f t="shared" si="2"/>
        <v>0</v>
      </c>
      <c r="P101" s="11">
        <v>0</v>
      </c>
      <c r="Q101" s="11"/>
      <c r="R101" s="11">
        <v>66.8</v>
      </c>
      <c r="S101" s="11">
        <v>66.8</v>
      </c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33">
        <v>46095</v>
      </c>
      <c r="AE101" s="34" t="s">
        <v>465</v>
      </c>
      <c r="AF101" s="37" t="s">
        <v>597</v>
      </c>
      <c r="AG101" s="14" t="s">
        <v>513</v>
      </c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566</v>
      </c>
      <c r="AT101" s="14"/>
      <c r="AU101" s="11"/>
      <c r="AV101" s="14"/>
    </row>
    <row r="102" spans="1:48" s="45" customFormat="1" ht="15" x14ac:dyDescent="0.25">
      <c r="A102" s="46">
        <v>46067</v>
      </c>
      <c r="B102" s="13"/>
      <c r="C102" s="42" t="s">
        <v>49</v>
      </c>
      <c r="D102" s="42" t="s">
        <v>299</v>
      </c>
      <c r="E102" s="14"/>
      <c r="F102" s="71">
        <v>3645346</v>
      </c>
      <c r="G102" s="42" t="s">
        <v>50</v>
      </c>
      <c r="H102" s="31">
        <v>20101973922</v>
      </c>
      <c r="I102" s="43" t="str">
        <f>IF(H102="","",VLOOKUP(H102,ENTIDAD!$B$2:$C$613,2,0))</f>
        <v>ASOCIACION AUTOMOTRIZ DEL PERU</v>
      </c>
      <c r="J102" s="11"/>
      <c r="K102" s="11"/>
      <c r="L102" s="11"/>
      <c r="M102" s="11"/>
      <c r="N102" s="11">
        <v>0</v>
      </c>
      <c r="O102" s="11">
        <f t="shared" si="2"/>
        <v>0</v>
      </c>
      <c r="P102" s="11">
        <v>0</v>
      </c>
      <c r="Q102" s="11"/>
      <c r="R102" s="11">
        <v>66.8</v>
      </c>
      <c r="S102" s="11">
        <v>66.8</v>
      </c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33">
        <v>46095</v>
      </c>
      <c r="AE102" s="34" t="s">
        <v>465</v>
      </c>
      <c r="AF102" s="37" t="s">
        <v>597</v>
      </c>
      <c r="AG102" s="14" t="s">
        <v>513</v>
      </c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566</v>
      </c>
      <c r="AT102" s="14"/>
      <c r="AU102" s="11"/>
      <c r="AV102" s="14"/>
    </row>
    <row r="103" spans="1:48" s="45" customFormat="1" ht="15" x14ac:dyDescent="0.25">
      <c r="A103" s="46">
        <v>46067</v>
      </c>
      <c r="B103" s="13"/>
      <c r="C103" s="42" t="s">
        <v>49</v>
      </c>
      <c r="D103" s="42" t="s">
        <v>299</v>
      </c>
      <c r="E103" s="14"/>
      <c r="F103" s="71">
        <v>3645347</v>
      </c>
      <c r="G103" s="42" t="s">
        <v>50</v>
      </c>
      <c r="H103" s="31">
        <v>20101973922</v>
      </c>
      <c r="I103" s="43" t="str">
        <f>IF(H103="","",VLOOKUP(H103,ENTIDAD!$B$2:$C$613,2,0))</f>
        <v>ASOCIACION AUTOMOTRIZ DEL PERU</v>
      </c>
      <c r="J103" s="11"/>
      <c r="K103" s="11"/>
      <c r="L103" s="11"/>
      <c r="M103" s="11"/>
      <c r="N103" s="11">
        <v>0</v>
      </c>
      <c r="O103" s="11">
        <f t="shared" si="2"/>
        <v>0</v>
      </c>
      <c r="P103" s="11">
        <v>0</v>
      </c>
      <c r="Q103" s="11"/>
      <c r="R103" s="11">
        <v>66.8</v>
      </c>
      <c r="S103" s="11">
        <v>66.8</v>
      </c>
      <c r="T103" s="14"/>
      <c r="U103" s="14"/>
      <c r="V103" s="13"/>
      <c r="W103" s="15"/>
      <c r="X103" s="13"/>
      <c r="Y103" s="14"/>
      <c r="Z103" s="14"/>
      <c r="AA103" s="14"/>
      <c r="AB103" s="42" t="s">
        <v>224</v>
      </c>
      <c r="AC103" s="11"/>
      <c r="AD103" s="33">
        <v>46095</v>
      </c>
      <c r="AE103" s="34" t="s">
        <v>465</v>
      </c>
      <c r="AF103" s="37" t="s">
        <v>597</v>
      </c>
      <c r="AG103" s="14" t="s">
        <v>513</v>
      </c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 t="s">
        <v>566</v>
      </c>
      <c r="AT103" s="14"/>
      <c r="AU103" s="11"/>
      <c r="AV103" s="14"/>
    </row>
    <row r="104" spans="1:48" s="45" customFormat="1" ht="15" x14ac:dyDescent="0.25">
      <c r="A104" s="46">
        <v>46067</v>
      </c>
      <c r="B104" s="13"/>
      <c r="C104" s="42" t="s">
        <v>49</v>
      </c>
      <c r="D104" s="42" t="s">
        <v>299</v>
      </c>
      <c r="E104" s="14"/>
      <c r="F104" s="71">
        <v>3645348</v>
      </c>
      <c r="G104" s="42" t="s">
        <v>50</v>
      </c>
      <c r="H104" s="31">
        <v>20101973922</v>
      </c>
      <c r="I104" s="43" t="str">
        <f>IF(H104="","",VLOOKUP(H104,ENTIDAD!$B$2:$C$613,2,0))</f>
        <v>ASOCIACION AUTOMOTRIZ DEL PERU</v>
      </c>
      <c r="J104" s="11"/>
      <c r="K104" s="11"/>
      <c r="L104" s="11"/>
      <c r="M104" s="11"/>
      <c r="N104" s="11">
        <v>0</v>
      </c>
      <c r="O104" s="11">
        <f t="shared" si="2"/>
        <v>0</v>
      </c>
      <c r="P104" s="11">
        <v>0</v>
      </c>
      <c r="Q104" s="11"/>
      <c r="R104" s="11">
        <v>66.8</v>
      </c>
      <c r="S104" s="11">
        <v>66.8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33">
        <v>46095</v>
      </c>
      <c r="AE104" s="34" t="s">
        <v>465</v>
      </c>
      <c r="AF104" s="37" t="s">
        <v>597</v>
      </c>
      <c r="AG104" s="14" t="s">
        <v>513</v>
      </c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566</v>
      </c>
      <c r="AT104" s="14"/>
      <c r="AU104" s="11"/>
      <c r="AV104" s="14"/>
    </row>
    <row r="105" spans="1:48" s="45" customFormat="1" ht="15" x14ac:dyDescent="0.25">
      <c r="A105" s="46">
        <v>46067</v>
      </c>
      <c r="B105" s="13"/>
      <c r="C105" s="42" t="s">
        <v>49</v>
      </c>
      <c r="D105" s="42" t="s">
        <v>299</v>
      </c>
      <c r="E105" s="14"/>
      <c r="F105" s="71">
        <v>3645349</v>
      </c>
      <c r="G105" s="42" t="s">
        <v>50</v>
      </c>
      <c r="H105" s="31">
        <v>20101973922</v>
      </c>
      <c r="I105" s="43" t="str">
        <f>IF(H105="","",VLOOKUP(H105,ENTIDAD!$B$2:$C$613,2,0))</f>
        <v>ASOCIACION AUTOMOTRIZ DEL PERU</v>
      </c>
      <c r="J105" s="11"/>
      <c r="K105" s="11"/>
      <c r="L105" s="11"/>
      <c r="M105" s="11"/>
      <c r="N105" s="11">
        <v>0</v>
      </c>
      <c r="O105" s="11">
        <f t="shared" si="2"/>
        <v>0</v>
      </c>
      <c r="P105" s="11">
        <v>0</v>
      </c>
      <c r="Q105" s="11"/>
      <c r="R105" s="11">
        <v>66.8</v>
      </c>
      <c r="S105" s="11">
        <v>66.8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33">
        <v>46095</v>
      </c>
      <c r="AE105" s="34" t="s">
        <v>465</v>
      </c>
      <c r="AF105" s="37" t="s">
        <v>597</v>
      </c>
      <c r="AG105" s="14" t="s">
        <v>513</v>
      </c>
      <c r="AH105" s="1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566</v>
      </c>
      <c r="AT105" s="14"/>
      <c r="AU105" s="11"/>
      <c r="AV105" s="14"/>
    </row>
    <row r="106" spans="1:48" s="45" customFormat="1" ht="15" x14ac:dyDescent="0.25">
      <c r="A106" s="46">
        <v>46067</v>
      </c>
      <c r="B106" s="13"/>
      <c r="C106" s="42" t="s">
        <v>49</v>
      </c>
      <c r="D106" s="42" t="s">
        <v>299</v>
      </c>
      <c r="E106" s="14"/>
      <c r="F106" s="71">
        <v>3645350</v>
      </c>
      <c r="G106" s="42" t="s">
        <v>50</v>
      </c>
      <c r="H106" s="31">
        <v>20101973922</v>
      </c>
      <c r="I106" s="43" t="str">
        <f>IF(H106="","",VLOOKUP(H106,ENTIDAD!$B$2:$C$613,2,0))</f>
        <v>ASOCIACION AUTOMOTRIZ DEL PERU</v>
      </c>
      <c r="J106" s="11"/>
      <c r="K106" s="11"/>
      <c r="L106" s="11"/>
      <c r="M106" s="11"/>
      <c r="N106" s="11">
        <v>0</v>
      </c>
      <c r="O106" s="11">
        <f t="shared" si="2"/>
        <v>0</v>
      </c>
      <c r="P106" s="11">
        <v>0</v>
      </c>
      <c r="Q106" s="11"/>
      <c r="R106" s="11">
        <v>66.8</v>
      </c>
      <c r="S106" s="11">
        <v>66.8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33">
        <v>46095</v>
      </c>
      <c r="AE106" s="34" t="s">
        <v>465</v>
      </c>
      <c r="AF106" s="37" t="s">
        <v>597</v>
      </c>
      <c r="AG106" s="14" t="s">
        <v>513</v>
      </c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566</v>
      </c>
      <c r="AT106" s="14"/>
      <c r="AU106" s="11"/>
      <c r="AV106" s="14"/>
    </row>
    <row r="107" spans="1:48" s="45" customFormat="1" ht="15" x14ac:dyDescent="0.25">
      <c r="A107" s="46">
        <v>46067</v>
      </c>
      <c r="B107" s="13"/>
      <c r="C107" s="42" t="s">
        <v>49</v>
      </c>
      <c r="D107" s="42" t="s">
        <v>299</v>
      </c>
      <c r="E107" s="14"/>
      <c r="F107" s="71">
        <v>3645351</v>
      </c>
      <c r="G107" s="42" t="s">
        <v>50</v>
      </c>
      <c r="H107" s="31">
        <v>20101973922</v>
      </c>
      <c r="I107" s="43" t="str">
        <f>IF(H107="","",VLOOKUP(H107,ENTIDAD!$B$2:$C$613,2,0))</f>
        <v>ASOCIACION AUTOMOTRIZ DEL PERU</v>
      </c>
      <c r="J107" s="11"/>
      <c r="K107" s="11"/>
      <c r="L107" s="11"/>
      <c r="M107" s="11"/>
      <c r="N107" s="11">
        <v>0</v>
      </c>
      <c r="O107" s="11">
        <f t="shared" si="2"/>
        <v>0</v>
      </c>
      <c r="P107" s="11">
        <v>0</v>
      </c>
      <c r="Q107" s="11"/>
      <c r="R107" s="11">
        <v>66.8</v>
      </c>
      <c r="S107" s="11">
        <v>66.8</v>
      </c>
      <c r="T107" s="14"/>
      <c r="U107" s="14"/>
      <c r="V107" s="13"/>
      <c r="W107" s="15"/>
      <c r="X107" s="13"/>
      <c r="Y107" s="14"/>
      <c r="Z107" s="14"/>
      <c r="AA107" s="14"/>
      <c r="AB107" s="42" t="s">
        <v>224</v>
      </c>
      <c r="AC107" s="11"/>
      <c r="AD107" s="33">
        <v>46095</v>
      </c>
      <c r="AE107" s="34" t="s">
        <v>465</v>
      </c>
      <c r="AF107" s="37" t="s">
        <v>597</v>
      </c>
      <c r="AG107" s="14" t="s">
        <v>513</v>
      </c>
      <c r="AH107" s="14" t="s">
        <v>225</v>
      </c>
      <c r="AI107" s="14"/>
      <c r="AJ107" s="14"/>
      <c r="AK107" s="16"/>
      <c r="AL107" s="11"/>
      <c r="AM107" s="11"/>
      <c r="AN107" s="14"/>
      <c r="AO107" s="14"/>
      <c r="AP107" s="13"/>
      <c r="AQ107" s="14"/>
      <c r="AR107" s="11">
        <v>18</v>
      </c>
      <c r="AS107" s="14" t="s">
        <v>566</v>
      </c>
      <c r="AT107" s="14"/>
      <c r="AU107" s="11"/>
      <c r="AV107" s="14"/>
    </row>
    <row r="108" spans="1:48" s="45" customFormat="1" ht="15" x14ac:dyDescent="0.25">
      <c r="A108" s="46">
        <v>46067</v>
      </c>
      <c r="B108" s="13"/>
      <c r="C108" s="42" t="s">
        <v>49</v>
      </c>
      <c r="D108" s="42" t="s">
        <v>299</v>
      </c>
      <c r="E108" s="14"/>
      <c r="F108" s="71">
        <v>3645352</v>
      </c>
      <c r="G108" s="42" t="s">
        <v>50</v>
      </c>
      <c r="H108" s="31">
        <v>20101973922</v>
      </c>
      <c r="I108" s="43" t="str">
        <f>IF(H108="","",VLOOKUP(H108,ENTIDAD!$B$2:$C$613,2,0))</f>
        <v>ASOCIACION AUTOMOTRIZ DEL PERU</v>
      </c>
      <c r="J108" s="11"/>
      <c r="K108" s="11"/>
      <c r="L108" s="11"/>
      <c r="M108" s="11"/>
      <c r="N108" s="11">
        <v>0</v>
      </c>
      <c r="O108" s="11">
        <f t="shared" si="2"/>
        <v>0</v>
      </c>
      <c r="P108" s="11">
        <v>0</v>
      </c>
      <c r="Q108" s="11"/>
      <c r="R108" s="11">
        <v>66.8</v>
      </c>
      <c r="S108" s="11">
        <v>66.8</v>
      </c>
      <c r="T108" s="14"/>
      <c r="U108" s="14"/>
      <c r="V108" s="13"/>
      <c r="W108" s="15"/>
      <c r="X108" s="13"/>
      <c r="Y108" s="14"/>
      <c r="Z108" s="14"/>
      <c r="AA108" s="14"/>
      <c r="AB108" s="42" t="s">
        <v>224</v>
      </c>
      <c r="AC108" s="11"/>
      <c r="AD108" s="33">
        <v>46095</v>
      </c>
      <c r="AE108" s="34" t="s">
        <v>465</v>
      </c>
      <c r="AF108" s="37" t="s">
        <v>597</v>
      </c>
      <c r="AG108" s="14" t="s">
        <v>513</v>
      </c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566</v>
      </c>
      <c r="AT108" s="14"/>
      <c r="AU108" s="11"/>
      <c r="AV108" s="14"/>
    </row>
    <row r="109" spans="1:48" s="45" customFormat="1" ht="15" x14ac:dyDescent="0.25">
      <c r="A109" s="46">
        <v>46067</v>
      </c>
      <c r="B109" s="13"/>
      <c r="C109" s="42" t="s">
        <v>49</v>
      </c>
      <c r="D109" s="42" t="s">
        <v>299</v>
      </c>
      <c r="E109" s="14"/>
      <c r="F109" s="71">
        <v>3645353</v>
      </c>
      <c r="G109" s="42" t="s">
        <v>50</v>
      </c>
      <c r="H109" s="31">
        <v>20101973922</v>
      </c>
      <c r="I109" s="43" t="str">
        <f>IF(H109="","",VLOOKUP(H109,ENTIDAD!$B$2:$C$613,2,0))</f>
        <v>ASOCIACION AUTOMOTRIZ DEL PERU</v>
      </c>
      <c r="J109" s="11"/>
      <c r="K109" s="11"/>
      <c r="L109" s="11"/>
      <c r="M109" s="11"/>
      <c r="N109" s="11">
        <v>0</v>
      </c>
      <c r="O109" s="11">
        <f t="shared" si="2"/>
        <v>0</v>
      </c>
      <c r="P109" s="11">
        <v>0</v>
      </c>
      <c r="Q109" s="11"/>
      <c r="R109" s="11">
        <v>66.8</v>
      </c>
      <c r="S109" s="11">
        <v>66.8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33">
        <v>46095</v>
      </c>
      <c r="AE109" s="34" t="s">
        <v>465</v>
      </c>
      <c r="AF109" s="37" t="s">
        <v>597</v>
      </c>
      <c r="AG109" s="14" t="s">
        <v>513</v>
      </c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 t="s">
        <v>566</v>
      </c>
      <c r="AT109" s="14"/>
      <c r="AU109" s="11"/>
      <c r="AV109" s="14"/>
    </row>
    <row r="110" spans="1:48" s="45" customFormat="1" ht="15" x14ac:dyDescent="0.25">
      <c r="A110" s="46">
        <v>46067</v>
      </c>
      <c r="B110" s="13"/>
      <c r="C110" s="42" t="s">
        <v>49</v>
      </c>
      <c r="D110" s="42" t="s">
        <v>299</v>
      </c>
      <c r="E110" s="14"/>
      <c r="F110" s="71">
        <v>3645354</v>
      </c>
      <c r="G110" s="42" t="s">
        <v>50</v>
      </c>
      <c r="H110" s="31">
        <v>20101973922</v>
      </c>
      <c r="I110" s="43" t="str">
        <f>IF(H110="","",VLOOKUP(H110,ENTIDAD!$B$2:$C$613,2,0))</f>
        <v>ASOCIACION AUTOMOTRIZ DEL PERU</v>
      </c>
      <c r="J110" s="11"/>
      <c r="K110" s="11"/>
      <c r="L110" s="11"/>
      <c r="M110" s="11"/>
      <c r="N110" s="11">
        <v>0</v>
      </c>
      <c r="O110" s="11">
        <f t="shared" si="2"/>
        <v>0</v>
      </c>
      <c r="P110" s="11">
        <v>0</v>
      </c>
      <c r="Q110" s="11"/>
      <c r="R110" s="11">
        <v>66.8</v>
      </c>
      <c r="S110" s="11">
        <v>66.8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33">
        <v>46095</v>
      </c>
      <c r="AE110" s="34" t="s">
        <v>465</v>
      </c>
      <c r="AF110" s="37" t="s">
        <v>597</v>
      </c>
      <c r="AG110" s="14" t="s">
        <v>513</v>
      </c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 t="s">
        <v>566</v>
      </c>
      <c r="AT110" s="14"/>
      <c r="AU110" s="11"/>
      <c r="AV110" s="14"/>
    </row>
    <row r="111" spans="1:48" s="45" customFormat="1" ht="15" x14ac:dyDescent="0.25">
      <c r="A111" s="46">
        <v>46067</v>
      </c>
      <c r="B111" s="13"/>
      <c r="C111" s="42" t="s">
        <v>49</v>
      </c>
      <c r="D111" s="42" t="s">
        <v>299</v>
      </c>
      <c r="E111" s="14"/>
      <c r="F111" s="71">
        <v>3645355</v>
      </c>
      <c r="G111" s="42" t="s">
        <v>50</v>
      </c>
      <c r="H111" s="31">
        <v>20101973922</v>
      </c>
      <c r="I111" s="43" t="str">
        <f>IF(H111="","",VLOOKUP(H111,ENTIDAD!$B$2:$C$613,2,0))</f>
        <v>ASOCIACION AUTOMOTRIZ DEL PERU</v>
      </c>
      <c r="J111" s="11"/>
      <c r="K111" s="11"/>
      <c r="L111" s="11"/>
      <c r="M111" s="11"/>
      <c r="N111" s="11">
        <v>0</v>
      </c>
      <c r="O111" s="11">
        <f t="shared" si="2"/>
        <v>0</v>
      </c>
      <c r="P111" s="11">
        <v>0</v>
      </c>
      <c r="Q111" s="11"/>
      <c r="R111" s="11">
        <v>66.8</v>
      </c>
      <c r="S111" s="11">
        <v>66.8</v>
      </c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33">
        <v>46095</v>
      </c>
      <c r="AE111" s="34" t="s">
        <v>465</v>
      </c>
      <c r="AF111" s="37" t="s">
        <v>597</v>
      </c>
      <c r="AG111" s="14" t="s">
        <v>513</v>
      </c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566</v>
      </c>
      <c r="AT111" s="14"/>
      <c r="AU111" s="11"/>
      <c r="AV111" s="14"/>
    </row>
    <row r="112" spans="1:48" s="45" customFormat="1" ht="15" x14ac:dyDescent="0.25">
      <c r="A112" s="46">
        <v>46067</v>
      </c>
      <c r="B112" s="13"/>
      <c r="C112" s="42" t="s">
        <v>49</v>
      </c>
      <c r="D112" s="42" t="s">
        <v>299</v>
      </c>
      <c r="E112" s="14"/>
      <c r="F112" s="71">
        <v>3645356</v>
      </c>
      <c r="G112" s="42" t="s">
        <v>50</v>
      </c>
      <c r="H112" s="31">
        <v>20101973922</v>
      </c>
      <c r="I112" s="43" t="str">
        <f>IF(H112="","",VLOOKUP(H112,ENTIDAD!$B$2:$C$613,2,0))</f>
        <v>ASOCIACION AUTOMOTRIZ DEL PERU</v>
      </c>
      <c r="J112" s="11"/>
      <c r="K112" s="11"/>
      <c r="L112" s="11"/>
      <c r="M112" s="11"/>
      <c r="N112" s="11">
        <v>0</v>
      </c>
      <c r="O112" s="11">
        <f t="shared" si="2"/>
        <v>0</v>
      </c>
      <c r="P112" s="11">
        <v>0</v>
      </c>
      <c r="Q112" s="11"/>
      <c r="R112" s="11">
        <v>66.8</v>
      </c>
      <c r="S112" s="11">
        <v>66.8</v>
      </c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33">
        <v>46095</v>
      </c>
      <c r="AE112" s="34" t="s">
        <v>465</v>
      </c>
      <c r="AF112" s="37" t="s">
        <v>597</v>
      </c>
      <c r="AG112" s="14" t="s">
        <v>513</v>
      </c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566</v>
      </c>
      <c r="AT112" s="14"/>
      <c r="AU112" s="11"/>
      <c r="AV112" s="14"/>
    </row>
    <row r="113" spans="1:48" s="45" customFormat="1" ht="15" x14ac:dyDescent="0.25">
      <c r="A113" s="46">
        <v>46067</v>
      </c>
      <c r="B113" s="13"/>
      <c r="C113" s="42" t="s">
        <v>49</v>
      </c>
      <c r="D113" s="42" t="s">
        <v>299</v>
      </c>
      <c r="E113" s="14"/>
      <c r="F113" s="71">
        <v>3645357</v>
      </c>
      <c r="G113" s="42" t="s">
        <v>50</v>
      </c>
      <c r="H113" s="31">
        <v>20101973922</v>
      </c>
      <c r="I113" s="43" t="str">
        <f>IF(H113="","",VLOOKUP(H113,ENTIDAD!$B$2:$C$613,2,0))</f>
        <v>ASOCIACION AUTOMOTRIZ DEL PERU</v>
      </c>
      <c r="J113" s="11"/>
      <c r="K113" s="11"/>
      <c r="L113" s="11"/>
      <c r="M113" s="11"/>
      <c r="N113" s="11">
        <v>0</v>
      </c>
      <c r="O113" s="11">
        <f t="shared" si="2"/>
        <v>0</v>
      </c>
      <c r="P113" s="11">
        <v>0</v>
      </c>
      <c r="Q113" s="11"/>
      <c r="R113" s="11">
        <v>66.8</v>
      </c>
      <c r="S113" s="11">
        <v>66.8</v>
      </c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33">
        <v>46095</v>
      </c>
      <c r="AE113" s="34" t="s">
        <v>465</v>
      </c>
      <c r="AF113" s="37" t="s">
        <v>597</v>
      </c>
      <c r="AG113" s="14" t="s">
        <v>513</v>
      </c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566</v>
      </c>
      <c r="AT113" s="14"/>
      <c r="AU113" s="11"/>
      <c r="AV113" s="14"/>
    </row>
    <row r="114" spans="1:48" s="45" customFormat="1" ht="15" x14ac:dyDescent="0.25">
      <c r="A114" s="46">
        <v>46067</v>
      </c>
      <c r="B114" s="13"/>
      <c r="C114" s="42" t="s">
        <v>49</v>
      </c>
      <c r="D114" s="42" t="s">
        <v>299</v>
      </c>
      <c r="E114" s="14"/>
      <c r="F114" s="71">
        <v>3645358</v>
      </c>
      <c r="G114" s="42" t="s">
        <v>50</v>
      </c>
      <c r="H114" s="31">
        <v>20101973922</v>
      </c>
      <c r="I114" s="43" t="str">
        <f>IF(H114="","",VLOOKUP(H114,ENTIDAD!$B$2:$C$613,2,0))</f>
        <v>ASOCIACION AUTOMOTRIZ DEL PERU</v>
      </c>
      <c r="J114" s="11"/>
      <c r="K114" s="11"/>
      <c r="L114" s="11"/>
      <c r="M114" s="11"/>
      <c r="N114" s="11">
        <v>0</v>
      </c>
      <c r="O114" s="11">
        <f t="shared" si="2"/>
        <v>0</v>
      </c>
      <c r="P114" s="11">
        <v>0</v>
      </c>
      <c r="Q114" s="11"/>
      <c r="R114" s="11">
        <v>66.8</v>
      </c>
      <c r="S114" s="11">
        <v>66.8</v>
      </c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33">
        <v>46095</v>
      </c>
      <c r="AE114" s="34" t="s">
        <v>465</v>
      </c>
      <c r="AF114" s="37" t="s">
        <v>597</v>
      </c>
      <c r="AG114" s="14" t="s">
        <v>513</v>
      </c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566</v>
      </c>
      <c r="AT114" s="14"/>
      <c r="AU114" s="11"/>
      <c r="AV114" s="14"/>
    </row>
    <row r="115" spans="1:48" s="45" customFormat="1" ht="15" x14ac:dyDescent="0.25">
      <c r="A115" s="46">
        <v>46067</v>
      </c>
      <c r="B115" s="13"/>
      <c r="C115" s="42" t="s">
        <v>49</v>
      </c>
      <c r="D115" s="42" t="s">
        <v>299</v>
      </c>
      <c r="E115" s="14"/>
      <c r="F115" s="71">
        <v>3645359</v>
      </c>
      <c r="G115" s="42" t="s">
        <v>50</v>
      </c>
      <c r="H115" s="31">
        <v>20101973922</v>
      </c>
      <c r="I115" s="43" t="str">
        <f>IF(H115="","",VLOOKUP(H115,ENTIDAD!$B$2:$C$613,2,0))</f>
        <v>ASOCIACION AUTOMOTRIZ DEL PERU</v>
      </c>
      <c r="J115" s="11"/>
      <c r="K115" s="11"/>
      <c r="L115" s="11"/>
      <c r="M115" s="11"/>
      <c r="N115" s="11">
        <v>0</v>
      </c>
      <c r="O115" s="11">
        <f t="shared" si="2"/>
        <v>0</v>
      </c>
      <c r="P115" s="11">
        <v>0</v>
      </c>
      <c r="Q115" s="11"/>
      <c r="R115" s="11">
        <v>66.8</v>
      </c>
      <c r="S115" s="11">
        <v>66.8</v>
      </c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33">
        <v>46095</v>
      </c>
      <c r="AE115" s="34" t="s">
        <v>465</v>
      </c>
      <c r="AF115" s="37" t="s">
        <v>597</v>
      </c>
      <c r="AG115" s="14" t="s">
        <v>513</v>
      </c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566</v>
      </c>
      <c r="AT115" s="14"/>
      <c r="AU115" s="11"/>
      <c r="AV115" s="14"/>
    </row>
    <row r="116" spans="1:48" s="45" customFormat="1" ht="15" x14ac:dyDescent="0.25">
      <c r="A116" s="46">
        <v>46067</v>
      </c>
      <c r="B116" s="13"/>
      <c r="C116" s="42" t="s">
        <v>49</v>
      </c>
      <c r="D116" s="42" t="s">
        <v>299</v>
      </c>
      <c r="E116" s="14"/>
      <c r="F116" s="71">
        <v>3645360</v>
      </c>
      <c r="G116" s="42" t="s">
        <v>50</v>
      </c>
      <c r="H116" s="31">
        <v>20101973922</v>
      </c>
      <c r="I116" s="43" t="str">
        <f>IF(H116="","",VLOOKUP(H116,ENTIDAD!$B$2:$C$613,2,0))</f>
        <v>ASOCIACION AUTOMOTRIZ DEL PERU</v>
      </c>
      <c r="J116" s="11"/>
      <c r="K116" s="11"/>
      <c r="L116" s="11"/>
      <c r="M116" s="11"/>
      <c r="N116" s="11">
        <v>0</v>
      </c>
      <c r="O116" s="11">
        <f t="shared" si="2"/>
        <v>0</v>
      </c>
      <c r="P116" s="11">
        <v>0</v>
      </c>
      <c r="Q116" s="11"/>
      <c r="R116" s="11">
        <v>66.8</v>
      </c>
      <c r="S116" s="11">
        <v>66.8</v>
      </c>
      <c r="T116" s="14"/>
      <c r="U116" s="14"/>
      <c r="V116" s="13"/>
      <c r="W116" s="15"/>
      <c r="X116" s="13"/>
      <c r="Y116" s="14"/>
      <c r="Z116" s="14"/>
      <c r="AA116" s="14"/>
      <c r="AB116" s="42" t="s">
        <v>224</v>
      </c>
      <c r="AC116" s="11"/>
      <c r="AD116" s="33">
        <v>46095</v>
      </c>
      <c r="AE116" s="34" t="s">
        <v>465</v>
      </c>
      <c r="AF116" s="37" t="s">
        <v>597</v>
      </c>
      <c r="AG116" s="14" t="s">
        <v>513</v>
      </c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566</v>
      </c>
      <c r="AT116" s="14"/>
      <c r="AU116" s="11"/>
      <c r="AV116" s="14"/>
    </row>
    <row r="117" spans="1:48" s="45" customFormat="1" ht="15" x14ac:dyDescent="0.25">
      <c r="A117" s="46">
        <v>46067</v>
      </c>
      <c r="B117" s="13"/>
      <c r="C117" s="42" t="s">
        <v>49</v>
      </c>
      <c r="D117" s="42" t="s">
        <v>572</v>
      </c>
      <c r="E117" s="14"/>
      <c r="F117" s="71">
        <v>10174</v>
      </c>
      <c r="G117" s="42" t="s">
        <v>50</v>
      </c>
      <c r="H117" s="31">
        <v>20555901179</v>
      </c>
      <c r="I117" s="43" t="str">
        <f>IF(H117="","",VLOOKUP(H117,ENTIDAD!$B$2:$C$613,2,0))</f>
        <v>MOVIL BUS S.A.C</v>
      </c>
      <c r="J117" s="11"/>
      <c r="K117" s="11"/>
      <c r="L117" s="11"/>
      <c r="M117" s="11"/>
      <c r="N117" s="11">
        <f>(S117-P117)/1.18</f>
        <v>0</v>
      </c>
      <c r="O117" s="11">
        <f t="shared" si="2"/>
        <v>0</v>
      </c>
      <c r="P117" s="11">
        <v>95</v>
      </c>
      <c r="Q117" s="11"/>
      <c r="R117" s="11"/>
      <c r="S117" s="11">
        <v>95</v>
      </c>
      <c r="T117" s="14"/>
      <c r="U117" s="14"/>
      <c r="V117" s="13"/>
      <c r="W117" s="15"/>
      <c r="X117" s="13"/>
      <c r="Y117" s="14"/>
      <c r="Z117" s="14"/>
      <c r="AA117" s="14"/>
      <c r="AB117" s="42" t="s">
        <v>224</v>
      </c>
      <c r="AC117" s="11"/>
      <c r="AD117" s="13"/>
      <c r="AE117" s="14" t="s">
        <v>262</v>
      </c>
      <c r="AF117" s="19">
        <v>6311295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516</v>
      </c>
      <c r="AT117" s="14"/>
      <c r="AU117" s="11"/>
      <c r="AV117" s="14"/>
    </row>
    <row r="118" spans="1:48" s="45" customFormat="1" ht="15" x14ac:dyDescent="0.25">
      <c r="A118" s="46">
        <v>46067</v>
      </c>
      <c r="B118" s="13"/>
      <c r="C118" s="42" t="s">
        <v>49</v>
      </c>
      <c r="D118" s="42" t="s">
        <v>451</v>
      </c>
      <c r="E118" s="14"/>
      <c r="F118" s="71">
        <v>177</v>
      </c>
      <c r="G118" s="42" t="s">
        <v>50</v>
      </c>
      <c r="H118" s="31">
        <v>10209907327</v>
      </c>
      <c r="I118" s="43" t="str">
        <f>IF(H118="","",VLOOKUP(H118,ENTIDAD!$B$2:$C$613,2,0))</f>
        <v>TORPOCO,MAYTA,HECTOR,ALFONSO</v>
      </c>
      <c r="J118" s="11"/>
      <c r="K118" s="11"/>
      <c r="L118" s="11"/>
      <c r="M118" s="11"/>
      <c r="N118" s="11">
        <f>(S118-P118)/1.18</f>
        <v>0</v>
      </c>
      <c r="O118" s="11">
        <f t="shared" si="2"/>
        <v>0</v>
      </c>
      <c r="P118" s="11">
        <v>10</v>
      </c>
      <c r="Q118" s="11"/>
      <c r="R118" s="11"/>
      <c r="S118" s="11">
        <v>10</v>
      </c>
      <c r="T118" s="14"/>
      <c r="U118" s="14"/>
      <c r="V118" s="13"/>
      <c r="W118" s="15"/>
      <c r="X118" s="13"/>
      <c r="Y118" s="14"/>
      <c r="Z118" s="14"/>
      <c r="AA118" s="14"/>
      <c r="AB118" s="42" t="s">
        <v>224</v>
      </c>
      <c r="AC118" s="11"/>
      <c r="AD118" s="13"/>
      <c r="AE118" s="14" t="s">
        <v>262</v>
      </c>
      <c r="AF118" s="73" t="s">
        <v>486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487</v>
      </c>
      <c r="AT118" s="14"/>
      <c r="AU118" s="11"/>
      <c r="AV118" s="14"/>
    </row>
    <row r="119" spans="1:48" s="45" customFormat="1" ht="15" x14ac:dyDescent="0.25">
      <c r="A119" s="46">
        <v>46067</v>
      </c>
      <c r="B119" s="13"/>
      <c r="C119" s="42" t="s">
        <v>49</v>
      </c>
      <c r="D119" s="42" t="s">
        <v>299</v>
      </c>
      <c r="E119" s="14"/>
      <c r="F119" s="71">
        <v>3638906</v>
      </c>
      <c r="G119" s="42" t="s">
        <v>50</v>
      </c>
      <c r="H119" s="31">
        <v>20101973922</v>
      </c>
      <c r="I119" s="43" t="str">
        <f>IF(H119="","",VLOOKUP(H119,ENTIDAD!$B$2:$C$613,2,0))</f>
        <v>ASOCIACION AUTOMOTRIZ DEL PERU</v>
      </c>
      <c r="J119" s="11"/>
      <c r="K119" s="11"/>
      <c r="L119" s="11"/>
      <c r="M119" s="11"/>
      <c r="N119" s="11">
        <v>0</v>
      </c>
      <c r="O119" s="11">
        <f t="shared" si="2"/>
        <v>0</v>
      </c>
      <c r="P119" s="11">
        <v>0</v>
      </c>
      <c r="Q119" s="11"/>
      <c r="R119" s="11">
        <v>66.8</v>
      </c>
      <c r="S119" s="11">
        <v>66.8</v>
      </c>
      <c r="T119" s="14"/>
      <c r="U119" s="14"/>
      <c r="V119" s="13"/>
      <c r="W119" s="15"/>
      <c r="X119" s="13"/>
      <c r="Y119" s="14"/>
      <c r="Z119" s="14"/>
      <c r="AA119" s="14"/>
      <c r="AB119" s="42" t="s">
        <v>224</v>
      </c>
      <c r="AC119" s="11"/>
      <c r="AD119" s="33">
        <v>46095</v>
      </c>
      <c r="AE119" s="34" t="s">
        <v>465</v>
      </c>
      <c r="AF119" s="37" t="s">
        <v>597</v>
      </c>
      <c r="AG119" s="14" t="s">
        <v>513</v>
      </c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 t="s">
        <v>566</v>
      </c>
      <c r="AT119" s="14"/>
      <c r="AU119" s="11"/>
      <c r="AV119" s="14"/>
    </row>
    <row r="120" spans="1:48" s="45" customFormat="1" ht="15" x14ac:dyDescent="0.25">
      <c r="A120" s="46">
        <v>46067</v>
      </c>
      <c r="B120" s="13"/>
      <c r="C120" s="42" t="s">
        <v>49</v>
      </c>
      <c r="D120" s="42" t="s">
        <v>299</v>
      </c>
      <c r="E120" s="14"/>
      <c r="F120" s="71">
        <v>3638907</v>
      </c>
      <c r="G120" s="42" t="s">
        <v>50</v>
      </c>
      <c r="H120" s="31">
        <v>20101973922</v>
      </c>
      <c r="I120" s="43" t="str">
        <f>IF(H120="","",VLOOKUP(H120,ENTIDAD!$B$2:$C$613,2,0))</f>
        <v>ASOCIACION AUTOMOTRIZ DEL PERU</v>
      </c>
      <c r="J120" s="11"/>
      <c r="K120" s="11"/>
      <c r="L120" s="11"/>
      <c r="M120" s="11"/>
      <c r="N120" s="11">
        <v>0</v>
      </c>
      <c r="O120" s="11">
        <f t="shared" si="2"/>
        <v>0</v>
      </c>
      <c r="P120" s="11">
        <v>0</v>
      </c>
      <c r="Q120" s="11"/>
      <c r="R120" s="11">
        <v>66.8</v>
      </c>
      <c r="S120" s="11">
        <v>66.8</v>
      </c>
      <c r="T120" s="14"/>
      <c r="U120" s="14"/>
      <c r="V120" s="13"/>
      <c r="W120" s="15"/>
      <c r="X120" s="13"/>
      <c r="Y120" s="14"/>
      <c r="Z120" s="14"/>
      <c r="AA120" s="14"/>
      <c r="AB120" s="42" t="s">
        <v>224</v>
      </c>
      <c r="AC120" s="11"/>
      <c r="AD120" s="33">
        <v>46095</v>
      </c>
      <c r="AE120" s="34" t="s">
        <v>465</v>
      </c>
      <c r="AF120" s="37" t="s">
        <v>597</v>
      </c>
      <c r="AG120" s="14" t="s">
        <v>513</v>
      </c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 t="s">
        <v>566</v>
      </c>
      <c r="AT120" s="14"/>
      <c r="AU120" s="11"/>
      <c r="AV120" s="14"/>
    </row>
    <row r="121" spans="1:48" s="45" customFormat="1" ht="15" x14ac:dyDescent="0.25">
      <c r="A121" s="46">
        <v>46067</v>
      </c>
      <c r="B121" s="13"/>
      <c r="C121" s="42" t="s">
        <v>49</v>
      </c>
      <c r="D121" s="42" t="s">
        <v>299</v>
      </c>
      <c r="E121" s="14"/>
      <c r="F121" s="71">
        <v>3638908</v>
      </c>
      <c r="G121" s="42" t="s">
        <v>50</v>
      </c>
      <c r="H121" s="31">
        <v>20101973922</v>
      </c>
      <c r="I121" s="43" t="str">
        <f>IF(H121="","",VLOOKUP(H121,ENTIDAD!$B$2:$C$613,2,0))</f>
        <v>ASOCIACION AUTOMOTRIZ DEL PERU</v>
      </c>
      <c r="J121" s="11"/>
      <c r="K121" s="11"/>
      <c r="L121" s="11"/>
      <c r="M121" s="11"/>
      <c r="N121" s="11">
        <v>0</v>
      </c>
      <c r="O121" s="11">
        <f t="shared" si="2"/>
        <v>0</v>
      </c>
      <c r="P121" s="11">
        <v>0</v>
      </c>
      <c r="Q121" s="11"/>
      <c r="R121" s="11">
        <v>66.8</v>
      </c>
      <c r="S121" s="11">
        <v>66.8</v>
      </c>
      <c r="T121" s="14"/>
      <c r="U121" s="14"/>
      <c r="V121" s="13"/>
      <c r="W121" s="15"/>
      <c r="X121" s="13"/>
      <c r="Y121" s="14"/>
      <c r="Z121" s="14"/>
      <c r="AA121" s="14"/>
      <c r="AB121" s="42" t="s">
        <v>224</v>
      </c>
      <c r="AC121" s="11"/>
      <c r="AD121" s="33">
        <v>46095</v>
      </c>
      <c r="AE121" s="34" t="s">
        <v>465</v>
      </c>
      <c r="AF121" s="37" t="s">
        <v>597</v>
      </c>
      <c r="AG121" s="14" t="s">
        <v>513</v>
      </c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566</v>
      </c>
      <c r="AT121" s="14"/>
      <c r="AU121" s="11"/>
      <c r="AV121" s="14"/>
    </row>
    <row r="122" spans="1:48" s="45" customFormat="1" ht="15" x14ac:dyDescent="0.25">
      <c r="A122" s="46">
        <v>46067</v>
      </c>
      <c r="B122" s="13"/>
      <c r="C122" s="42" t="s">
        <v>49</v>
      </c>
      <c r="D122" s="42" t="s">
        <v>299</v>
      </c>
      <c r="E122" s="14"/>
      <c r="F122" s="71">
        <v>3638909</v>
      </c>
      <c r="G122" s="42" t="s">
        <v>50</v>
      </c>
      <c r="H122" s="31">
        <v>20101973922</v>
      </c>
      <c r="I122" s="43" t="str">
        <f>IF(H122="","",VLOOKUP(H122,ENTIDAD!$B$2:$C$613,2,0))</f>
        <v>ASOCIACION AUTOMOTRIZ DEL PERU</v>
      </c>
      <c r="J122" s="11"/>
      <c r="K122" s="11"/>
      <c r="L122" s="11"/>
      <c r="M122" s="11"/>
      <c r="N122" s="11">
        <v>0</v>
      </c>
      <c r="O122" s="11">
        <f t="shared" si="2"/>
        <v>0</v>
      </c>
      <c r="P122" s="11">
        <v>0</v>
      </c>
      <c r="Q122" s="11"/>
      <c r="R122" s="11">
        <v>66.8</v>
      </c>
      <c r="S122" s="11">
        <v>66.8</v>
      </c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33">
        <v>46095</v>
      </c>
      <c r="AE122" s="34" t="s">
        <v>465</v>
      </c>
      <c r="AF122" s="37" t="s">
        <v>597</v>
      </c>
      <c r="AG122" s="14" t="s">
        <v>513</v>
      </c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566</v>
      </c>
      <c r="AT122" s="14"/>
      <c r="AU122" s="11"/>
      <c r="AV122" s="14"/>
    </row>
    <row r="123" spans="1:48" s="45" customFormat="1" ht="15" x14ac:dyDescent="0.25">
      <c r="A123" s="46">
        <v>46067</v>
      </c>
      <c r="B123" s="13"/>
      <c r="C123" s="42" t="s">
        <v>49</v>
      </c>
      <c r="D123" s="42" t="s">
        <v>299</v>
      </c>
      <c r="E123" s="14"/>
      <c r="F123" s="71">
        <v>3638910</v>
      </c>
      <c r="G123" s="42" t="s">
        <v>50</v>
      </c>
      <c r="H123" s="31">
        <v>20101973922</v>
      </c>
      <c r="I123" s="43" t="str">
        <f>IF(H123="","",VLOOKUP(H123,ENTIDAD!$B$2:$C$613,2,0))</f>
        <v>ASOCIACION AUTOMOTRIZ DEL PERU</v>
      </c>
      <c r="J123" s="11"/>
      <c r="K123" s="11"/>
      <c r="L123" s="11"/>
      <c r="M123" s="11"/>
      <c r="N123" s="11">
        <v>0</v>
      </c>
      <c r="O123" s="11">
        <f t="shared" si="2"/>
        <v>0</v>
      </c>
      <c r="P123" s="11">
        <v>0</v>
      </c>
      <c r="Q123" s="11"/>
      <c r="R123" s="11">
        <v>66.8</v>
      </c>
      <c r="S123" s="11">
        <v>66.8</v>
      </c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33">
        <v>46095</v>
      </c>
      <c r="AE123" s="34" t="s">
        <v>465</v>
      </c>
      <c r="AF123" s="37" t="s">
        <v>597</v>
      </c>
      <c r="AG123" s="14" t="s">
        <v>513</v>
      </c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566</v>
      </c>
      <c r="AT123" s="14"/>
      <c r="AU123" s="11"/>
      <c r="AV123" s="14"/>
    </row>
    <row r="124" spans="1:48" s="45" customFormat="1" ht="15" x14ac:dyDescent="0.25">
      <c r="A124" s="46">
        <v>46067</v>
      </c>
      <c r="B124" s="13"/>
      <c r="C124" s="42" t="s">
        <v>49</v>
      </c>
      <c r="D124" s="42" t="s">
        <v>299</v>
      </c>
      <c r="E124" s="14"/>
      <c r="F124" s="71">
        <v>3638911</v>
      </c>
      <c r="G124" s="42" t="s">
        <v>50</v>
      </c>
      <c r="H124" s="31">
        <v>20101973922</v>
      </c>
      <c r="I124" s="43" t="str">
        <f>IF(H124="","",VLOOKUP(H124,ENTIDAD!$B$2:$C$613,2,0))</f>
        <v>ASOCIACION AUTOMOTRIZ DEL PERU</v>
      </c>
      <c r="J124" s="11"/>
      <c r="K124" s="11"/>
      <c r="L124" s="11"/>
      <c r="M124" s="11"/>
      <c r="N124" s="11">
        <v>0</v>
      </c>
      <c r="O124" s="11">
        <f t="shared" si="2"/>
        <v>0</v>
      </c>
      <c r="P124" s="11">
        <v>0</v>
      </c>
      <c r="Q124" s="11"/>
      <c r="R124" s="11">
        <v>66.8</v>
      </c>
      <c r="S124" s="11">
        <v>66.8</v>
      </c>
      <c r="T124" s="14"/>
      <c r="U124" s="14"/>
      <c r="V124" s="13"/>
      <c r="W124" s="15"/>
      <c r="X124" s="13"/>
      <c r="Y124" s="14"/>
      <c r="Z124" s="14"/>
      <c r="AA124" s="14"/>
      <c r="AB124" s="42" t="s">
        <v>224</v>
      </c>
      <c r="AC124" s="11"/>
      <c r="AD124" s="33">
        <v>46095</v>
      </c>
      <c r="AE124" s="34" t="s">
        <v>465</v>
      </c>
      <c r="AF124" s="37" t="s">
        <v>597</v>
      </c>
      <c r="AG124" s="14" t="s">
        <v>513</v>
      </c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566</v>
      </c>
      <c r="AT124" s="14"/>
      <c r="AU124" s="11"/>
      <c r="AV124" s="14"/>
    </row>
    <row r="125" spans="1:48" s="45" customFormat="1" ht="15" x14ac:dyDescent="0.25">
      <c r="A125" s="46">
        <v>46067</v>
      </c>
      <c r="B125" s="13"/>
      <c r="C125" s="42" t="s">
        <v>49</v>
      </c>
      <c r="D125" s="42" t="s">
        <v>299</v>
      </c>
      <c r="E125" s="14"/>
      <c r="F125" s="71">
        <v>3638912</v>
      </c>
      <c r="G125" s="42" t="s">
        <v>50</v>
      </c>
      <c r="H125" s="31">
        <v>20101973922</v>
      </c>
      <c r="I125" s="43" t="str">
        <f>IF(H125="","",VLOOKUP(H125,ENTIDAD!$B$2:$C$613,2,0))</f>
        <v>ASOCIACION AUTOMOTRIZ DEL PERU</v>
      </c>
      <c r="J125" s="11"/>
      <c r="K125" s="11"/>
      <c r="L125" s="11"/>
      <c r="M125" s="11"/>
      <c r="N125" s="11">
        <v>0</v>
      </c>
      <c r="O125" s="11">
        <f t="shared" si="2"/>
        <v>0</v>
      </c>
      <c r="P125" s="11">
        <v>0</v>
      </c>
      <c r="Q125" s="11"/>
      <c r="R125" s="11">
        <v>66.8</v>
      </c>
      <c r="S125" s="11">
        <v>66.8</v>
      </c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33">
        <v>46095</v>
      </c>
      <c r="AE125" s="34" t="s">
        <v>465</v>
      </c>
      <c r="AF125" s="37" t="s">
        <v>597</v>
      </c>
      <c r="AG125" s="14" t="s">
        <v>513</v>
      </c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 t="s">
        <v>566</v>
      </c>
      <c r="AT125" s="14"/>
      <c r="AU125" s="11"/>
      <c r="AV125" s="14"/>
    </row>
    <row r="126" spans="1:48" s="45" customFormat="1" ht="15" x14ac:dyDescent="0.25">
      <c r="A126" s="46">
        <v>46067</v>
      </c>
      <c r="B126" s="13"/>
      <c r="C126" s="42" t="s">
        <v>49</v>
      </c>
      <c r="D126" s="42" t="s">
        <v>299</v>
      </c>
      <c r="E126" s="14"/>
      <c r="F126" s="71">
        <v>3638913</v>
      </c>
      <c r="G126" s="42" t="s">
        <v>50</v>
      </c>
      <c r="H126" s="31">
        <v>20101973922</v>
      </c>
      <c r="I126" s="43" t="str">
        <f>IF(H126="","",VLOOKUP(H126,ENTIDAD!$B$2:$C$613,2,0))</f>
        <v>ASOCIACION AUTOMOTRIZ DEL PERU</v>
      </c>
      <c r="J126" s="11"/>
      <c r="K126" s="11"/>
      <c r="L126" s="11"/>
      <c r="M126" s="11"/>
      <c r="N126" s="11">
        <v>0</v>
      </c>
      <c r="O126" s="11">
        <f t="shared" si="2"/>
        <v>0</v>
      </c>
      <c r="P126" s="11">
        <v>0</v>
      </c>
      <c r="Q126" s="11"/>
      <c r="R126" s="11">
        <v>66.8</v>
      </c>
      <c r="S126" s="11">
        <v>66.8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33">
        <v>46095</v>
      </c>
      <c r="AE126" s="34" t="s">
        <v>465</v>
      </c>
      <c r="AF126" s="37" t="s">
        <v>597</v>
      </c>
      <c r="AG126" s="14" t="s">
        <v>513</v>
      </c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566</v>
      </c>
      <c r="AT126" s="14"/>
      <c r="AU126" s="11"/>
      <c r="AV126" s="14"/>
    </row>
    <row r="127" spans="1:48" s="45" customFormat="1" ht="15" x14ac:dyDescent="0.25">
      <c r="A127" s="46">
        <v>46067</v>
      </c>
      <c r="B127" s="13"/>
      <c r="C127" s="42" t="s">
        <v>49</v>
      </c>
      <c r="D127" s="42" t="s">
        <v>299</v>
      </c>
      <c r="E127" s="14"/>
      <c r="F127" s="71">
        <v>3638914</v>
      </c>
      <c r="G127" s="42" t="s">
        <v>50</v>
      </c>
      <c r="H127" s="31">
        <v>20101973922</v>
      </c>
      <c r="I127" s="43" t="str">
        <f>IF(H127="","",VLOOKUP(H127,ENTIDAD!$B$2:$C$613,2,0))</f>
        <v>ASOCIACION AUTOMOTRIZ DEL PERU</v>
      </c>
      <c r="J127" s="11"/>
      <c r="K127" s="11"/>
      <c r="L127" s="11"/>
      <c r="M127" s="11"/>
      <c r="N127" s="11">
        <v>0</v>
      </c>
      <c r="O127" s="11">
        <f t="shared" si="2"/>
        <v>0</v>
      </c>
      <c r="P127" s="11">
        <v>0</v>
      </c>
      <c r="Q127" s="11"/>
      <c r="R127" s="11">
        <v>66.8</v>
      </c>
      <c r="S127" s="11">
        <v>66.8</v>
      </c>
      <c r="T127" s="14"/>
      <c r="U127" s="14"/>
      <c r="V127" s="13"/>
      <c r="W127" s="15"/>
      <c r="X127" s="13"/>
      <c r="Y127" s="14"/>
      <c r="Z127" s="14"/>
      <c r="AA127" s="14"/>
      <c r="AB127" s="42" t="s">
        <v>224</v>
      </c>
      <c r="AC127" s="11"/>
      <c r="AD127" s="33">
        <v>46095</v>
      </c>
      <c r="AE127" s="34" t="s">
        <v>465</v>
      </c>
      <c r="AF127" s="37" t="s">
        <v>597</v>
      </c>
      <c r="AG127" s="14" t="s">
        <v>513</v>
      </c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566</v>
      </c>
      <c r="AT127" s="14"/>
      <c r="AU127" s="11"/>
      <c r="AV127" s="14"/>
    </row>
    <row r="128" spans="1:48" s="45" customFormat="1" ht="15" x14ac:dyDescent="0.25">
      <c r="A128" s="46">
        <v>46067</v>
      </c>
      <c r="B128" s="13"/>
      <c r="C128" s="42" t="s">
        <v>49</v>
      </c>
      <c r="D128" s="42" t="s">
        <v>299</v>
      </c>
      <c r="E128" s="14"/>
      <c r="F128" s="71">
        <v>3638915</v>
      </c>
      <c r="G128" s="42" t="s">
        <v>50</v>
      </c>
      <c r="H128" s="31">
        <v>20101973922</v>
      </c>
      <c r="I128" s="43" t="str">
        <f>IF(H128="","",VLOOKUP(H128,ENTIDAD!$B$2:$C$613,2,0))</f>
        <v>ASOCIACION AUTOMOTRIZ DEL PERU</v>
      </c>
      <c r="J128" s="11"/>
      <c r="K128" s="11"/>
      <c r="L128" s="11"/>
      <c r="M128" s="11"/>
      <c r="N128" s="11">
        <v>0</v>
      </c>
      <c r="O128" s="11">
        <f t="shared" si="2"/>
        <v>0</v>
      </c>
      <c r="P128" s="11">
        <v>0</v>
      </c>
      <c r="Q128" s="11"/>
      <c r="R128" s="11">
        <v>66.8</v>
      </c>
      <c r="S128" s="11">
        <v>66.8</v>
      </c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33">
        <v>46095</v>
      </c>
      <c r="AE128" s="34" t="s">
        <v>465</v>
      </c>
      <c r="AF128" s="37" t="s">
        <v>597</v>
      </c>
      <c r="AG128" s="14" t="s">
        <v>513</v>
      </c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566</v>
      </c>
      <c r="AT128" s="14"/>
      <c r="AU128" s="11"/>
      <c r="AV128" s="14"/>
    </row>
    <row r="129" spans="1:49" s="45" customFormat="1" ht="15" x14ac:dyDescent="0.25">
      <c r="A129" s="46">
        <v>46067</v>
      </c>
      <c r="B129" s="13"/>
      <c r="C129" s="42" t="s">
        <v>49</v>
      </c>
      <c r="D129" s="42" t="s">
        <v>299</v>
      </c>
      <c r="E129" s="14"/>
      <c r="F129" s="71">
        <v>3638916</v>
      </c>
      <c r="G129" s="42" t="s">
        <v>50</v>
      </c>
      <c r="H129" s="31">
        <v>20101973922</v>
      </c>
      <c r="I129" s="43" t="str">
        <f>IF(H129="","",VLOOKUP(H129,ENTIDAD!$B$2:$C$613,2,0))</f>
        <v>ASOCIACION AUTOMOTRIZ DEL PERU</v>
      </c>
      <c r="J129" s="11"/>
      <c r="K129" s="11"/>
      <c r="L129" s="11"/>
      <c r="M129" s="11"/>
      <c r="N129" s="11">
        <v>0</v>
      </c>
      <c r="O129" s="11">
        <f t="shared" si="2"/>
        <v>0</v>
      </c>
      <c r="P129" s="11">
        <v>0</v>
      </c>
      <c r="Q129" s="11"/>
      <c r="R129" s="11">
        <v>66.8</v>
      </c>
      <c r="S129" s="11">
        <v>66.8</v>
      </c>
      <c r="T129" s="14"/>
      <c r="U129" s="14"/>
      <c r="V129" s="13"/>
      <c r="W129" s="15"/>
      <c r="X129" s="13"/>
      <c r="Y129" s="14"/>
      <c r="Z129" s="14"/>
      <c r="AA129" s="14"/>
      <c r="AB129" s="42" t="s">
        <v>224</v>
      </c>
      <c r="AC129" s="11"/>
      <c r="AD129" s="33">
        <v>46095</v>
      </c>
      <c r="AE129" s="34" t="s">
        <v>465</v>
      </c>
      <c r="AF129" s="37" t="s">
        <v>597</v>
      </c>
      <c r="AG129" s="14" t="s">
        <v>513</v>
      </c>
      <c r="AH129" s="1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566</v>
      </c>
      <c r="AT129" s="14"/>
      <c r="AU129" s="11"/>
      <c r="AV129" s="14"/>
    </row>
    <row r="130" spans="1:49" s="45" customFormat="1" ht="15" x14ac:dyDescent="0.25">
      <c r="A130" s="46">
        <v>46067</v>
      </c>
      <c r="B130" s="13"/>
      <c r="C130" s="42" t="s">
        <v>49</v>
      </c>
      <c r="D130" s="42" t="s">
        <v>299</v>
      </c>
      <c r="E130" s="14"/>
      <c r="F130" s="71">
        <v>3638917</v>
      </c>
      <c r="G130" s="42" t="s">
        <v>50</v>
      </c>
      <c r="H130" s="31">
        <v>20101973922</v>
      </c>
      <c r="I130" s="43" t="str">
        <f>IF(H130="","",VLOOKUP(H130,ENTIDAD!$B$2:$C$613,2,0))</f>
        <v>ASOCIACION AUTOMOTRIZ DEL PERU</v>
      </c>
      <c r="J130" s="11"/>
      <c r="K130" s="11"/>
      <c r="L130" s="11"/>
      <c r="M130" s="11"/>
      <c r="N130" s="11">
        <v>0</v>
      </c>
      <c r="O130" s="11">
        <f t="shared" si="2"/>
        <v>0</v>
      </c>
      <c r="P130" s="11">
        <v>0</v>
      </c>
      <c r="Q130" s="11"/>
      <c r="R130" s="11">
        <v>66.8</v>
      </c>
      <c r="S130" s="11">
        <v>66.8</v>
      </c>
      <c r="T130" s="14"/>
      <c r="U130" s="14"/>
      <c r="V130" s="13"/>
      <c r="W130" s="15"/>
      <c r="X130" s="13"/>
      <c r="Y130" s="14"/>
      <c r="Z130" s="14"/>
      <c r="AA130" s="14"/>
      <c r="AB130" s="42" t="s">
        <v>224</v>
      </c>
      <c r="AC130" s="11"/>
      <c r="AD130" s="33">
        <v>46095</v>
      </c>
      <c r="AE130" s="34" t="s">
        <v>465</v>
      </c>
      <c r="AF130" s="37" t="s">
        <v>597</v>
      </c>
      <c r="AG130" s="14" t="s">
        <v>513</v>
      </c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 t="s">
        <v>566</v>
      </c>
      <c r="AT130" s="14"/>
      <c r="AU130" s="11"/>
      <c r="AV130" s="14"/>
    </row>
    <row r="131" spans="1:49" s="45" customFormat="1" ht="15" x14ac:dyDescent="0.25">
      <c r="A131" s="46">
        <v>46067</v>
      </c>
      <c r="B131" s="13"/>
      <c r="C131" s="42" t="s">
        <v>49</v>
      </c>
      <c r="D131" s="42" t="s">
        <v>299</v>
      </c>
      <c r="E131" s="14"/>
      <c r="F131" s="71">
        <v>3638918</v>
      </c>
      <c r="G131" s="42" t="s">
        <v>50</v>
      </c>
      <c r="H131" s="31">
        <v>20101973922</v>
      </c>
      <c r="I131" s="43" t="str">
        <f>IF(H131="","",VLOOKUP(H131,ENTIDAD!$B$2:$C$613,2,0))</f>
        <v>ASOCIACION AUTOMOTRIZ DEL PERU</v>
      </c>
      <c r="J131" s="11"/>
      <c r="K131" s="11"/>
      <c r="L131" s="11"/>
      <c r="M131" s="11"/>
      <c r="N131" s="11">
        <v>0</v>
      </c>
      <c r="O131" s="11">
        <f t="shared" ref="O131:O194" si="3">N131*0.18</f>
        <v>0</v>
      </c>
      <c r="P131" s="11">
        <v>0</v>
      </c>
      <c r="Q131" s="11"/>
      <c r="R131" s="11">
        <v>66.8</v>
      </c>
      <c r="S131" s="11">
        <v>66.8</v>
      </c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33">
        <v>46095</v>
      </c>
      <c r="AE131" s="34" t="s">
        <v>465</v>
      </c>
      <c r="AF131" s="37" t="s">
        <v>597</v>
      </c>
      <c r="AG131" s="14" t="s">
        <v>513</v>
      </c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566</v>
      </c>
      <c r="AT131" s="14"/>
      <c r="AU131" s="11"/>
      <c r="AV131" s="14"/>
    </row>
    <row r="132" spans="1:49" s="45" customFormat="1" ht="15" x14ac:dyDescent="0.25">
      <c r="A132" s="46">
        <v>46067</v>
      </c>
      <c r="B132" s="13"/>
      <c r="C132" s="42" t="s">
        <v>49</v>
      </c>
      <c r="D132" s="42" t="s">
        <v>299</v>
      </c>
      <c r="E132" s="14"/>
      <c r="F132" s="71">
        <v>3638919</v>
      </c>
      <c r="G132" s="42" t="s">
        <v>50</v>
      </c>
      <c r="H132" s="31">
        <v>20101973922</v>
      </c>
      <c r="I132" s="43" t="str">
        <f>IF(H132="","",VLOOKUP(H132,ENTIDAD!$B$2:$C$613,2,0))</f>
        <v>ASOCIACION AUTOMOTRIZ DEL PERU</v>
      </c>
      <c r="J132" s="11"/>
      <c r="K132" s="11"/>
      <c r="L132" s="11"/>
      <c r="M132" s="11"/>
      <c r="N132" s="11">
        <v>0</v>
      </c>
      <c r="O132" s="11">
        <f t="shared" si="3"/>
        <v>0</v>
      </c>
      <c r="P132" s="11">
        <v>0</v>
      </c>
      <c r="Q132" s="11"/>
      <c r="R132" s="11">
        <v>66.8</v>
      </c>
      <c r="S132" s="11">
        <v>66.8</v>
      </c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33">
        <v>46095</v>
      </c>
      <c r="AE132" s="34" t="s">
        <v>465</v>
      </c>
      <c r="AF132" s="37" t="s">
        <v>597</v>
      </c>
      <c r="AG132" s="14" t="s">
        <v>513</v>
      </c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 t="s">
        <v>566</v>
      </c>
      <c r="AT132" s="14"/>
      <c r="AU132" s="11"/>
      <c r="AV132" s="14"/>
    </row>
    <row r="133" spans="1:49" s="45" customFormat="1" ht="15" x14ac:dyDescent="0.25">
      <c r="A133" s="46">
        <v>46067</v>
      </c>
      <c r="B133" s="13"/>
      <c r="C133" s="42" t="s">
        <v>49</v>
      </c>
      <c r="D133" s="42" t="s">
        <v>299</v>
      </c>
      <c r="E133" s="14"/>
      <c r="F133" s="71">
        <v>3638920</v>
      </c>
      <c r="G133" s="42" t="s">
        <v>50</v>
      </c>
      <c r="H133" s="31">
        <v>20101973922</v>
      </c>
      <c r="I133" s="43" t="str">
        <f>IF(H133="","",VLOOKUP(H133,ENTIDAD!$B$2:$C$613,2,0))</f>
        <v>ASOCIACION AUTOMOTRIZ DEL PERU</v>
      </c>
      <c r="J133" s="11"/>
      <c r="K133" s="11"/>
      <c r="L133" s="11"/>
      <c r="M133" s="11"/>
      <c r="N133" s="11">
        <v>0</v>
      </c>
      <c r="O133" s="11">
        <f t="shared" si="3"/>
        <v>0</v>
      </c>
      <c r="P133" s="11">
        <v>0</v>
      </c>
      <c r="Q133" s="11"/>
      <c r="R133" s="11">
        <v>66.8</v>
      </c>
      <c r="S133" s="11">
        <v>66.8</v>
      </c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>
        <v>46095</v>
      </c>
      <c r="AE133" s="34" t="s">
        <v>465</v>
      </c>
      <c r="AF133" s="37" t="s">
        <v>597</v>
      </c>
      <c r="AG133" s="14" t="s">
        <v>513</v>
      </c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 t="s">
        <v>566</v>
      </c>
      <c r="AT133" s="14"/>
      <c r="AU133" s="11"/>
      <c r="AV133" s="14"/>
    </row>
    <row r="134" spans="1:49" s="45" customFormat="1" ht="15" x14ac:dyDescent="0.25">
      <c r="A134" s="46">
        <v>46067</v>
      </c>
      <c r="B134" s="13"/>
      <c r="C134" s="42" t="s">
        <v>49</v>
      </c>
      <c r="D134" s="42" t="s">
        <v>299</v>
      </c>
      <c r="E134" s="14"/>
      <c r="F134" s="71">
        <v>3638921</v>
      </c>
      <c r="G134" s="42" t="s">
        <v>50</v>
      </c>
      <c r="H134" s="31">
        <v>20101973922</v>
      </c>
      <c r="I134" s="43" t="str">
        <f>IF(H134="","",VLOOKUP(H134,ENTIDAD!$B$2:$C$613,2,0))</f>
        <v>ASOCIACION AUTOMOTRIZ DEL PERU</v>
      </c>
      <c r="J134" s="11"/>
      <c r="K134" s="11"/>
      <c r="L134" s="11"/>
      <c r="M134" s="11"/>
      <c r="N134" s="11">
        <v>0</v>
      </c>
      <c r="O134" s="11">
        <f t="shared" si="3"/>
        <v>0</v>
      </c>
      <c r="P134" s="11">
        <v>0</v>
      </c>
      <c r="Q134" s="11"/>
      <c r="R134" s="11">
        <v>66.8</v>
      </c>
      <c r="S134" s="11">
        <v>66.8</v>
      </c>
      <c r="T134" s="14"/>
      <c r="U134" s="14"/>
      <c r="V134" s="13"/>
      <c r="W134" s="15"/>
      <c r="X134" s="13"/>
      <c r="Y134" s="14"/>
      <c r="Z134" s="14"/>
      <c r="AA134" s="14"/>
      <c r="AB134" s="42" t="s">
        <v>224</v>
      </c>
      <c r="AC134" s="11"/>
      <c r="AD134" s="33">
        <v>46095</v>
      </c>
      <c r="AE134" s="34" t="s">
        <v>465</v>
      </c>
      <c r="AF134" s="37" t="s">
        <v>597</v>
      </c>
      <c r="AG134" s="14" t="s">
        <v>513</v>
      </c>
      <c r="AH134" s="14" t="s">
        <v>225</v>
      </c>
      <c r="AI134" s="14"/>
      <c r="AJ134" s="14"/>
      <c r="AK134" s="16"/>
      <c r="AL134" s="11"/>
      <c r="AM134" s="11"/>
      <c r="AN134" s="14"/>
      <c r="AO134" s="14"/>
      <c r="AP134" s="13"/>
      <c r="AQ134" s="14"/>
      <c r="AR134" s="11">
        <v>18</v>
      </c>
      <c r="AS134" s="14" t="s">
        <v>566</v>
      </c>
      <c r="AT134" s="14"/>
      <c r="AU134" s="11"/>
      <c r="AV134" s="14"/>
    </row>
    <row r="135" spans="1:49" s="45" customFormat="1" ht="15" x14ac:dyDescent="0.25">
      <c r="A135" s="46">
        <v>46067</v>
      </c>
      <c r="B135" s="13"/>
      <c r="C135" s="42" t="s">
        <v>49</v>
      </c>
      <c r="D135" s="42" t="s">
        <v>299</v>
      </c>
      <c r="E135" s="14"/>
      <c r="F135" s="71">
        <v>3638922</v>
      </c>
      <c r="G135" s="42" t="s">
        <v>50</v>
      </c>
      <c r="H135" s="31">
        <v>20101973922</v>
      </c>
      <c r="I135" s="43" t="str">
        <f>IF(H135="","",VLOOKUP(H135,ENTIDAD!$B$2:$C$613,2,0))</f>
        <v>ASOCIACION AUTOMOTRIZ DEL PERU</v>
      </c>
      <c r="J135" s="11"/>
      <c r="K135" s="11"/>
      <c r="L135" s="11"/>
      <c r="M135" s="11"/>
      <c r="N135" s="11">
        <v>0</v>
      </c>
      <c r="O135" s="11">
        <f t="shared" si="3"/>
        <v>0</v>
      </c>
      <c r="P135" s="11">
        <v>0</v>
      </c>
      <c r="Q135" s="11"/>
      <c r="R135" s="11">
        <v>66.8</v>
      </c>
      <c r="S135" s="11">
        <v>66.8</v>
      </c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33">
        <v>46095</v>
      </c>
      <c r="AE135" s="34" t="s">
        <v>465</v>
      </c>
      <c r="AF135" s="37" t="s">
        <v>597</v>
      </c>
      <c r="AG135" s="14" t="s">
        <v>513</v>
      </c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566</v>
      </c>
      <c r="AT135" s="14"/>
      <c r="AU135" s="11"/>
      <c r="AV135" s="14"/>
    </row>
    <row r="136" spans="1:49" s="45" customFormat="1" ht="15" x14ac:dyDescent="0.25">
      <c r="A136" s="46">
        <v>46067</v>
      </c>
      <c r="B136" s="13"/>
      <c r="C136" s="42" t="s">
        <v>49</v>
      </c>
      <c r="D136" s="42" t="s">
        <v>299</v>
      </c>
      <c r="E136" s="14"/>
      <c r="F136" s="71">
        <v>3638923</v>
      </c>
      <c r="G136" s="42" t="s">
        <v>50</v>
      </c>
      <c r="H136" s="31">
        <v>20101973922</v>
      </c>
      <c r="I136" s="43" t="str">
        <f>IF(H136="","",VLOOKUP(H136,ENTIDAD!$B$2:$C$613,2,0))</f>
        <v>ASOCIACION AUTOMOTRIZ DEL PERU</v>
      </c>
      <c r="J136" s="11"/>
      <c r="K136" s="11"/>
      <c r="L136" s="11"/>
      <c r="M136" s="11"/>
      <c r="N136" s="11">
        <v>0</v>
      </c>
      <c r="O136" s="11">
        <f t="shared" si="3"/>
        <v>0</v>
      </c>
      <c r="P136" s="11">
        <v>0</v>
      </c>
      <c r="Q136" s="11"/>
      <c r="R136" s="11">
        <v>66.8</v>
      </c>
      <c r="S136" s="11">
        <v>66.8</v>
      </c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33">
        <v>46095</v>
      </c>
      <c r="AE136" s="34" t="s">
        <v>465</v>
      </c>
      <c r="AF136" s="37" t="s">
        <v>597</v>
      </c>
      <c r="AG136" s="14" t="s">
        <v>513</v>
      </c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566</v>
      </c>
      <c r="AT136" s="14"/>
      <c r="AU136" s="11"/>
      <c r="AV136" s="14"/>
    </row>
    <row r="137" spans="1:49" s="81" customFormat="1" ht="15" x14ac:dyDescent="0.25">
      <c r="A137" s="46">
        <v>46067</v>
      </c>
      <c r="B137" s="13"/>
      <c r="C137" s="42" t="s">
        <v>49</v>
      </c>
      <c r="D137" s="42" t="s">
        <v>299</v>
      </c>
      <c r="E137" s="14"/>
      <c r="F137" s="71">
        <v>3638924</v>
      </c>
      <c r="G137" s="42" t="s">
        <v>50</v>
      </c>
      <c r="H137" s="31">
        <v>20101973922</v>
      </c>
      <c r="I137" s="43" t="str">
        <f>IF(H137="","",VLOOKUP(H137,ENTIDAD!$B$2:$C$613,2,0))</f>
        <v>ASOCIACION AUTOMOTRIZ DEL PERU</v>
      </c>
      <c r="J137" s="11"/>
      <c r="K137" s="11"/>
      <c r="L137" s="11"/>
      <c r="M137" s="11"/>
      <c r="N137" s="11">
        <v>0</v>
      </c>
      <c r="O137" s="11">
        <f t="shared" si="3"/>
        <v>0</v>
      </c>
      <c r="P137" s="11">
        <v>0</v>
      </c>
      <c r="Q137" s="11"/>
      <c r="R137" s="11">
        <v>66.8</v>
      </c>
      <c r="S137" s="11">
        <v>66.8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>
        <v>46095</v>
      </c>
      <c r="AE137" s="34" t="s">
        <v>465</v>
      </c>
      <c r="AF137" s="37" t="s">
        <v>597</v>
      </c>
      <c r="AG137" s="14" t="s">
        <v>513</v>
      </c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566</v>
      </c>
      <c r="AT137" s="14"/>
      <c r="AU137" s="11"/>
      <c r="AV137" s="14"/>
      <c r="AW137" s="45"/>
    </row>
    <row r="138" spans="1:49" s="45" customFormat="1" ht="15" x14ac:dyDescent="0.25">
      <c r="A138" s="46">
        <v>46067</v>
      </c>
      <c r="B138" s="13"/>
      <c r="C138" s="42" t="s">
        <v>49</v>
      </c>
      <c r="D138" s="42" t="s">
        <v>299</v>
      </c>
      <c r="E138" s="14"/>
      <c r="F138" s="71">
        <v>3638925</v>
      </c>
      <c r="G138" s="42" t="s">
        <v>50</v>
      </c>
      <c r="H138" s="31">
        <v>20101973922</v>
      </c>
      <c r="I138" s="43" t="str">
        <f>IF(H138="","",VLOOKUP(H138,ENTIDAD!$B$2:$C$613,2,0))</f>
        <v>ASOCIACION AUTOMOTRIZ DEL PERU</v>
      </c>
      <c r="J138" s="11"/>
      <c r="K138" s="11"/>
      <c r="L138" s="11"/>
      <c r="M138" s="11"/>
      <c r="N138" s="11">
        <v>0</v>
      </c>
      <c r="O138" s="11">
        <f t="shared" si="3"/>
        <v>0</v>
      </c>
      <c r="P138" s="11">
        <v>0</v>
      </c>
      <c r="Q138" s="11"/>
      <c r="R138" s="11">
        <v>66.8</v>
      </c>
      <c r="S138" s="11">
        <v>66.8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>
        <v>46095</v>
      </c>
      <c r="AE138" s="34" t="s">
        <v>465</v>
      </c>
      <c r="AF138" s="37" t="s">
        <v>597</v>
      </c>
      <c r="AG138" s="14" t="s">
        <v>513</v>
      </c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566</v>
      </c>
      <c r="AT138" s="14"/>
      <c r="AU138" s="11"/>
      <c r="AV138" s="14"/>
    </row>
    <row r="139" spans="1:49" s="45" customFormat="1" ht="15" x14ac:dyDescent="0.25">
      <c r="A139" s="46">
        <v>46067</v>
      </c>
      <c r="B139" s="13"/>
      <c r="C139" s="42" t="s">
        <v>49</v>
      </c>
      <c r="D139" s="42" t="s">
        <v>299</v>
      </c>
      <c r="E139" s="14"/>
      <c r="F139" s="71">
        <v>3644616</v>
      </c>
      <c r="G139" s="42" t="s">
        <v>50</v>
      </c>
      <c r="H139" s="31">
        <v>20101973922</v>
      </c>
      <c r="I139" s="43" t="str">
        <f>IF(H139="","",VLOOKUP(H139,ENTIDAD!$B$2:$C$613,2,0))</f>
        <v>ASOCIACION AUTOMOTRIZ DEL PERU</v>
      </c>
      <c r="J139" s="11"/>
      <c r="K139" s="11"/>
      <c r="L139" s="11"/>
      <c r="M139" s="11"/>
      <c r="N139" s="11">
        <v>0</v>
      </c>
      <c r="O139" s="11">
        <f t="shared" si="3"/>
        <v>0</v>
      </c>
      <c r="P139" s="11">
        <v>0</v>
      </c>
      <c r="Q139" s="11"/>
      <c r="R139" s="11">
        <v>66.8</v>
      </c>
      <c r="S139" s="11">
        <v>66.8</v>
      </c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>
        <v>46095</v>
      </c>
      <c r="AE139" s="34" t="s">
        <v>465</v>
      </c>
      <c r="AF139" s="37" t="s">
        <v>597</v>
      </c>
      <c r="AG139" s="14" t="s">
        <v>513</v>
      </c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566</v>
      </c>
      <c r="AT139" s="14"/>
      <c r="AU139" s="11"/>
      <c r="AV139" s="14"/>
    </row>
    <row r="140" spans="1:49" s="45" customFormat="1" ht="15" x14ac:dyDescent="0.25">
      <c r="A140" s="46">
        <v>46067</v>
      </c>
      <c r="B140" s="13"/>
      <c r="C140" s="42" t="s">
        <v>49</v>
      </c>
      <c r="D140" s="42" t="s">
        <v>299</v>
      </c>
      <c r="E140" s="14"/>
      <c r="F140" s="71">
        <v>3644617</v>
      </c>
      <c r="G140" s="42" t="s">
        <v>50</v>
      </c>
      <c r="H140" s="31">
        <v>20101973922</v>
      </c>
      <c r="I140" s="43" t="str">
        <f>IF(H140="","",VLOOKUP(H140,ENTIDAD!$B$2:$C$613,2,0))</f>
        <v>ASOCIACION AUTOMOTRIZ DEL PERU</v>
      </c>
      <c r="J140" s="11"/>
      <c r="K140" s="11"/>
      <c r="L140" s="11"/>
      <c r="M140" s="11"/>
      <c r="N140" s="11">
        <v>0</v>
      </c>
      <c r="O140" s="11">
        <f t="shared" si="3"/>
        <v>0</v>
      </c>
      <c r="P140" s="11">
        <v>0</v>
      </c>
      <c r="Q140" s="11"/>
      <c r="R140" s="11">
        <v>66.8</v>
      </c>
      <c r="S140" s="11">
        <v>66.8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>
        <v>46095</v>
      </c>
      <c r="AE140" s="34" t="s">
        <v>465</v>
      </c>
      <c r="AF140" s="37" t="s">
        <v>597</v>
      </c>
      <c r="AG140" s="14" t="s">
        <v>513</v>
      </c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566</v>
      </c>
      <c r="AT140" s="14"/>
      <c r="AU140" s="11"/>
      <c r="AV140" s="14"/>
    </row>
    <row r="141" spans="1:49" s="45" customFormat="1" ht="15" x14ac:dyDescent="0.25">
      <c r="A141" s="46">
        <v>46067</v>
      </c>
      <c r="B141" s="13"/>
      <c r="C141" s="42" t="s">
        <v>49</v>
      </c>
      <c r="D141" s="42" t="s">
        <v>299</v>
      </c>
      <c r="E141" s="14"/>
      <c r="F141" s="71">
        <v>3644618</v>
      </c>
      <c r="G141" s="42" t="s">
        <v>50</v>
      </c>
      <c r="H141" s="31">
        <v>20101973922</v>
      </c>
      <c r="I141" s="43" t="str">
        <f>IF(H141="","",VLOOKUP(H141,ENTIDAD!$B$2:$C$613,2,0))</f>
        <v>ASOCIACION AUTOMOTRIZ DEL PERU</v>
      </c>
      <c r="J141" s="11"/>
      <c r="K141" s="11"/>
      <c r="L141" s="11"/>
      <c r="M141" s="11"/>
      <c r="N141" s="11">
        <v>0</v>
      </c>
      <c r="O141" s="11">
        <f t="shared" si="3"/>
        <v>0</v>
      </c>
      <c r="P141" s="11">
        <v>0</v>
      </c>
      <c r="Q141" s="11"/>
      <c r="R141" s="11">
        <v>66.8</v>
      </c>
      <c r="S141" s="11">
        <v>66.8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>
        <v>46095</v>
      </c>
      <c r="AE141" s="34" t="s">
        <v>465</v>
      </c>
      <c r="AF141" s="37" t="s">
        <v>597</v>
      </c>
      <c r="AG141" s="14" t="s">
        <v>513</v>
      </c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 t="s">
        <v>566</v>
      </c>
      <c r="AT141" s="14"/>
      <c r="AU141" s="11"/>
      <c r="AV141" s="14"/>
    </row>
    <row r="142" spans="1:49" s="45" customFormat="1" ht="15" x14ac:dyDescent="0.25">
      <c r="A142" s="46">
        <v>46067</v>
      </c>
      <c r="B142" s="13"/>
      <c r="C142" s="42" t="s">
        <v>49</v>
      </c>
      <c r="D142" s="42" t="s">
        <v>299</v>
      </c>
      <c r="E142" s="14"/>
      <c r="F142" s="71">
        <v>3644619</v>
      </c>
      <c r="G142" s="42" t="s">
        <v>50</v>
      </c>
      <c r="H142" s="31">
        <v>20101973922</v>
      </c>
      <c r="I142" s="43" t="str">
        <f>IF(H142="","",VLOOKUP(H142,ENTIDAD!$B$2:$C$613,2,0))</f>
        <v>ASOCIACION AUTOMOTRIZ DEL PERU</v>
      </c>
      <c r="J142" s="11"/>
      <c r="K142" s="11"/>
      <c r="L142" s="11"/>
      <c r="M142" s="11"/>
      <c r="N142" s="11">
        <v>0</v>
      </c>
      <c r="O142" s="11">
        <f t="shared" si="3"/>
        <v>0</v>
      </c>
      <c r="P142" s="11">
        <v>0</v>
      </c>
      <c r="Q142" s="11"/>
      <c r="R142" s="11">
        <v>66.8</v>
      </c>
      <c r="S142" s="11">
        <v>66.8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>
        <v>46095</v>
      </c>
      <c r="AE142" s="34" t="s">
        <v>465</v>
      </c>
      <c r="AF142" s="37" t="s">
        <v>597</v>
      </c>
      <c r="AG142" s="14" t="s">
        <v>513</v>
      </c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 t="s">
        <v>566</v>
      </c>
      <c r="AT142" s="14"/>
      <c r="AU142" s="11"/>
      <c r="AV142" s="14"/>
    </row>
    <row r="143" spans="1:49" s="45" customFormat="1" ht="15" x14ac:dyDescent="0.25">
      <c r="A143" s="46">
        <v>46067</v>
      </c>
      <c r="B143" s="13"/>
      <c r="C143" s="42" t="s">
        <v>49</v>
      </c>
      <c r="D143" s="42" t="s">
        <v>299</v>
      </c>
      <c r="E143" s="14"/>
      <c r="F143" s="71">
        <v>3644620</v>
      </c>
      <c r="G143" s="42" t="s">
        <v>50</v>
      </c>
      <c r="H143" s="31">
        <v>20101973922</v>
      </c>
      <c r="I143" s="43" t="str">
        <f>IF(H143="","",VLOOKUP(H143,ENTIDAD!$B$2:$C$613,2,0))</f>
        <v>ASOCIACION AUTOMOTRIZ DEL PERU</v>
      </c>
      <c r="J143" s="11"/>
      <c r="K143" s="11"/>
      <c r="L143" s="11"/>
      <c r="M143" s="11"/>
      <c r="N143" s="11">
        <v>0</v>
      </c>
      <c r="O143" s="11">
        <f t="shared" si="3"/>
        <v>0</v>
      </c>
      <c r="P143" s="11">
        <v>0</v>
      </c>
      <c r="Q143" s="11"/>
      <c r="R143" s="11">
        <v>66.8</v>
      </c>
      <c r="S143" s="11">
        <v>66.8</v>
      </c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>
        <v>46095</v>
      </c>
      <c r="AE143" s="34" t="s">
        <v>465</v>
      </c>
      <c r="AF143" s="37" t="s">
        <v>597</v>
      </c>
      <c r="AG143" s="14" t="s">
        <v>513</v>
      </c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566</v>
      </c>
      <c r="AT143" s="14"/>
      <c r="AU143" s="11"/>
      <c r="AV143" s="14"/>
    </row>
    <row r="144" spans="1:49" s="45" customFormat="1" ht="15" x14ac:dyDescent="0.25">
      <c r="A144" s="46">
        <v>46067</v>
      </c>
      <c r="B144" s="13"/>
      <c r="C144" s="42" t="s">
        <v>49</v>
      </c>
      <c r="D144" s="42" t="s">
        <v>299</v>
      </c>
      <c r="E144" s="14"/>
      <c r="F144" s="71">
        <v>3644621</v>
      </c>
      <c r="G144" s="42" t="s">
        <v>50</v>
      </c>
      <c r="H144" s="31">
        <v>20101973922</v>
      </c>
      <c r="I144" s="43" t="str">
        <f>IF(H144="","",VLOOKUP(H144,ENTIDAD!$B$2:$C$613,2,0))</f>
        <v>ASOCIACION AUTOMOTRIZ DEL PERU</v>
      </c>
      <c r="J144" s="11"/>
      <c r="K144" s="11"/>
      <c r="L144" s="11"/>
      <c r="M144" s="11"/>
      <c r="N144" s="11">
        <v>0</v>
      </c>
      <c r="O144" s="11">
        <f t="shared" si="3"/>
        <v>0</v>
      </c>
      <c r="P144" s="11">
        <v>0</v>
      </c>
      <c r="Q144" s="11"/>
      <c r="R144" s="11">
        <v>66.8</v>
      </c>
      <c r="S144" s="11">
        <v>66.8</v>
      </c>
      <c r="T144" s="14"/>
      <c r="U144" s="14"/>
      <c r="V144" s="13"/>
      <c r="W144" s="15"/>
      <c r="X144" s="13"/>
      <c r="Y144" s="14"/>
      <c r="Z144" s="14"/>
      <c r="AA144" s="14"/>
      <c r="AB144" s="42" t="s">
        <v>224</v>
      </c>
      <c r="AC144" s="11"/>
      <c r="AD144" s="33">
        <v>46095</v>
      </c>
      <c r="AE144" s="34" t="s">
        <v>465</v>
      </c>
      <c r="AF144" s="37" t="s">
        <v>597</v>
      </c>
      <c r="AG144" s="14" t="s">
        <v>513</v>
      </c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566</v>
      </c>
      <c r="AT144" s="14"/>
      <c r="AU144" s="11"/>
      <c r="AV144" s="14"/>
    </row>
    <row r="145" spans="1:48" s="45" customFormat="1" ht="15" x14ac:dyDescent="0.25">
      <c r="A145" s="46">
        <v>46067</v>
      </c>
      <c r="B145" s="13"/>
      <c r="C145" s="42" t="s">
        <v>49</v>
      </c>
      <c r="D145" s="42" t="s">
        <v>299</v>
      </c>
      <c r="E145" s="14"/>
      <c r="F145" s="71">
        <v>3644622</v>
      </c>
      <c r="G145" s="42" t="s">
        <v>50</v>
      </c>
      <c r="H145" s="31">
        <v>20101973922</v>
      </c>
      <c r="I145" s="43" t="str">
        <f>IF(H145="","",VLOOKUP(H145,ENTIDAD!$B$2:$C$613,2,0))</f>
        <v>ASOCIACION AUTOMOTRIZ DEL PERU</v>
      </c>
      <c r="J145" s="11"/>
      <c r="K145" s="11"/>
      <c r="L145" s="11"/>
      <c r="M145" s="11"/>
      <c r="N145" s="11">
        <v>0</v>
      </c>
      <c r="O145" s="11">
        <f t="shared" si="3"/>
        <v>0</v>
      </c>
      <c r="P145" s="11">
        <v>0</v>
      </c>
      <c r="Q145" s="11"/>
      <c r="R145" s="11">
        <v>66.8</v>
      </c>
      <c r="S145" s="11">
        <v>66.8</v>
      </c>
      <c r="T145" s="14"/>
      <c r="U145" s="14"/>
      <c r="V145" s="13"/>
      <c r="W145" s="15"/>
      <c r="X145" s="13"/>
      <c r="Y145" s="14"/>
      <c r="Z145" s="14"/>
      <c r="AA145" s="14"/>
      <c r="AB145" s="42" t="s">
        <v>224</v>
      </c>
      <c r="AC145" s="11"/>
      <c r="AD145" s="33">
        <v>46095</v>
      </c>
      <c r="AE145" s="34" t="s">
        <v>465</v>
      </c>
      <c r="AF145" s="37" t="s">
        <v>597</v>
      </c>
      <c r="AG145" s="14" t="s">
        <v>513</v>
      </c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 t="s">
        <v>566</v>
      </c>
      <c r="AT145" s="14"/>
      <c r="AU145" s="11"/>
      <c r="AV145" s="14"/>
    </row>
    <row r="146" spans="1:48" s="45" customFormat="1" ht="15" x14ac:dyDescent="0.25">
      <c r="A146" s="46">
        <v>46067</v>
      </c>
      <c r="B146" s="13"/>
      <c r="C146" s="42" t="s">
        <v>49</v>
      </c>
      <c r="D146" s="42" t="s">
        <v>299</v>
      </c>
      <c r="E146" s="14"/>
      <c r="F146" s="71">
        <v>3644623</v>
      </c>
      <c r="G146" s="42" t="s">
        <v>50</v>
      </c>
      <c r="H146" s="31">
        <v>20101973922</v>
      </c>
      <c r="I146" s="43" t="str">
        <f>IF(H146="","",VLOOKUP(H146,ENTIDAD!$B$2:$C$613,2,0))</f>
        <v>ASOCIACION AUTOMOTRIZ DEL PERU</v>
      </c>
      <c r="J146" s="11"/>
      <c r="K146" s="11"/>
      <c r="L146" s="11"/>
      <c r="M146" s="11"/>
      <c r="N146" s="11">
        <v>0</v>
      </c>
      <c r="O146" s="11">
        <f t="shared" si="3"/>
        <v>0</v>
      </c>
      <c r="P146" s="11">
        <v>0</v>
      </c>
      <c r="Q146" s="11"/>
      <c r="R146" s="11">
        <v>66.8</v>
      </c>
      <c r="S146" s="11">
        <v>66.8</v>
      </c>
      <c r="T146" s="14"/>
      <c r="U146" s="14"/>
      <c r="V146" s="13"/>
      <c r="W146" s="15"/>
      <c r="X146" s="13"/>
      <c r="Y146" s="14"/>
      <c r="Z146" s="14"/>
      <c r="AA146" s="14"/>
      <c r="AB146" s="42" t="s">
        <v>224</v>
      </c>
      <c r="AC146" s="11"/>
      <c r="AD146" s="33">
        <v>46095</v>
      </c>
      <c r="AE146" s="34" t="s">
        <v>465</v>
      </c>
      <c r="AF146" s="37" t="s">
        <v>597</v>
      </c>
      <c r="AG146" s="14" t="s">
        <v>513</v>
      </c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566</v>
      </c>
      <c r="AT146" s="14"/>
      <c r="AU146" s="11"/>
      <c r="AV146" s="14"/>
    </row>
    <row r="147" spans="1:48" s="45" customFormat="1" ht="15" x14ac:dyDescent="0.25">
      <c r="A147" s="46">
        <v>46067</v>
      </c>
      <c r="B147" s="13"/>
      <c r="C147" s="42" t="s">
        <v>49</v>
      </c>
      <c r="D147" s="42" t="s">
        <v>299</v>
      </c>
      <c r="E147" s="14"/>
      <c r="F147" s="71">
        <v>3644624</v>
      </c>
      <c r="G147" s="42" t="s">
        <v>50</v>
      </c>
      <c r="H147" s="31">
        <v>20101973922</v>
      </c>
      <c r="I147" s="43" t="str">
        <f>IF(H147="","",VLOOKUP(H147,ENTIDAD!$B$2:$C$613,2,0))</f>
        <v>ASOCIACION AUTOMOTRIZ DEL PERU</v>
      </c>
      <c r="J147" s="11"/>
      <c r="K147" s="11"/>
      <c r="L147" s="11"/>
      <c r="M147" s="11"/>
      <c r="N147" s="11">
        <v>0</v>
      </c>
      <c r="O147" s="11">
        <f t="shared" si="3"/>
        <v>0</v>
      </c>
      <c r="P147" s="11">
        <v>0</v>
      </c>
      <c r="Q147" s="11"/>
      <c r="R147" s="11">
        <v>66.8</v>
      </c>
      <c r="S147" s="11">
        <v>66.8</v>
      </c>
      <c r="T147" s="14"/>
      <c r="U147" s="14"/>
      <c r="V147" s="13"/>
      <c r="W147" s="15"/>
      <c r="X147" s="13"/>
      <c r="Y147" s="14"/>
      <c r="Z147" s="14"/>
      <c r="AA147" s="14"/>
      <c r="AB147" s="42" t="s">
        <v>224</v>
      </c>
      <c r="AC147" s="11"/>
      <c r="AD147" s="33">
        <v>46095</v>
      </c>
      <c r="AE147" s="34" t="s">
        <v>465</v>
      </c>
      <c r="AF147" s="37" t="s">
        <v>597</v>
      </c>
      <c r="AG147" s="14" t="s">
        <v>513</v>
      </c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 t="s">
        <v>566</v>
      </c>
      <c r="AT147" s="14"/>
      <c r="AU147" s="11"/>
      <c r="AV147" s="14"/>
    </row>
    <row r="148" spans="1:48" s="45" customFormat="1" ht="15" x14ac:dyDescent="0.25">
      <c r="A148" s="46">
        <v>46067</v>
      </c>
      <c r="B148" s="13"/>
      <c r="C148" s="42" t="s">
        <v>49</v>
      </c>
      <c r="D148" s="42" t="s">
        <v>299</v>
      </c>
      <c r="E148" s="14"/>
      <c r="F148" s="71">
        <v>3644625</v>
      </c>
      <c r="G148" s="42" t="s">
        <v>50</v>
      </c>
      <c r="H148" s="31">
        <v>20101973922</v>
      </c>
      <c r="I148" s="43" t="str">
        <f>IF(H148="","",VLOOKUP(H148,ENTIDAD!$B$2:$C$613,2,0))</f>
        <v>ASOCIACION AUTOMOTRIZ DEL PERU</v>
      </c>
      <c r="J148" s="11"/>
      <c r="K148" s="11"/>
      <c r="L148" s="11"/>
      <c r="M148" s="11"/>
      <c r="N148" s="11">
        <v>0</v>
      </c>
      <c r="O148" s="11">
        <f t="shared" si="3"/>
        <v>0</v>
      </c>
      <c r="P148" s="11">
        <v>0</v>
      </c>
      <c r="Q148" s="11"/>
      <c r="R148" s="11">
        <v>66.8</v>
      </c>
      <c r="S148" s="11">
        <v>66.8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33">
        <v>46095</v>
      </c>
      <c r="AE148" s="34" t="s">
        <v>465</v>
      </c>
      <c r="AF148" s="37" t="s">
        <v>597</v>
      </c>
      <c r="AG148" s="14" t="s">
        <v>513</v>
      </c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566</v>
      </c>
      <c r="AT148" s="14"/>
      <c r="AU148" s="11"/>
      <c r="AV148" s="14"/>
    </row>
    <row r="149" spans="1:48" s="45" customFormat="1" ht="15" x14ac:dyDescent="0.25">
      <c r="A149" s="46">
        <v>46067</v>
      </c>
      <c r="B149" s="13"/>
      <c r="C149" s="42" t="s">
        <v>49</v>
      </c>
      <c r="D149" s="42" t="s">
        <v>299</v>
      </c>
      <c r="E149" s="14"/>
      <c r="F149" s="71">
        <v>3644626</v>
      </c>
      <c r="G149" s="42" t="s">
        <v>50</v>
      </c>
      <c r="H149" s="31">
        <v>20101973922</v>
      </c>
      <c r="I149" s="43" t="str">
        <f>IF(H149="","",VLOOKUP(H149,ENTIDAD!$B$2:$C$613,2,0))</f>
        <v>ASOCIACION AUTOMOTRIZ DEL PERU</v>
      </c>
      <c r="J149" s="11"/>
      <c r="K149" s="11"/>
      <c r="L149" s="11"/>
      <c r="M149" s="11"/>
      <c r="N149" s="11">
        <v>0</v>
      </c>
      <c r="O149" s="11">
        <f t="shared" si="3"/>
        <v>0</v>
      </c>
      <c r="P149" s="11">
        <v>0</v>
      </c>
      <c r="Q149" s="11"/>
      <c r="R149" s="11">
        <v>66.8</v>
      </c>
      <c r="S149" s="11">
        <v>66.8</v>
      </c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33">
        <v>46095</v>
      </c>
      <c r="AE149" s="34" t="s">
        <v>465</v>
      </c>
      <c r="AF149" s="37" t="s">
        <v>597</v>
      </c>
      <c r="AG149" s="14" t="s">
        <v>513</v>
      </c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566</v>
      </c>
      <c r="AT149" s="14"/>
      <c r="AU149" s="11"/>
      <c r="AV149" s="14"/>
    </row>
    <row r="150" spans="1:48" s="45" customFormat="1" ht="15" x14ac:dyDescent="0.25">
      <c r="A150" s="46">
        <v>46067</v>
      </c>
      <c r="B150" s="13"/>
      <c r="C150" s="42" t="s">
        <v>49</v>
      </c>
      <c r="D150" s="42" t="s">
        <v>299</v>
      </c>
      <c r="E150" s="14"/>
      <c r="F150" s="71">
        <v>3644627</v>
      </c>
      <c r="G150" s="42" t="s">
        <v>50</v>
      </c>
      <c r="H150" s="31">
        <v>20101973922</v>
      </c>
      <c r="I150" s="43" t="str">
        <f>IF(H150="","",VLOOKUP(H150,ENTIDAD!$B$2:$C$613,2,0))</f>
        <v>ASOCIACION AUTOMOTRIZ DEL PERU</v>
      </c>
      <c r="J150" s="11"/>
      <c r="K150" s="11"/>
      <c r="L150" s="11"/>
      <c r="M150" s="11"/>
      <c r="N150" s="11">
        <v>0</v>
      </c>
      <c r="O150" s="11">
        <f t="shared" si="3"/>
        <v>0</v>
      </c>
      <c r="P150" s="11">
        <v>0</v>
      </c>
      <c r="Q150" s="11"/>
      <c r="R150" s="11">
        <v>66.8</v>
      </c>
      <c r="S150" s="11">
        <v>66.8</v>
      </c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33">
        <v>46095</v>
      </c>
      <c r="AE150" s="34" t="s">
        <v>465</v>
      </c>
      <c r="AF150" s="37" t="s">
        <v>597</v>
      </c>
      <c r="AG150" s="14" t="s">
        <v>513</v>
      </c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566</v>
      </c>
      <c r="AT150" s="14"/>
      <c r="AU150" s="11"/>
      <c r="AV150" s="14"/>
    </row>
    <row r="151" spans="1:48" s="45" customFormat="1" ht="15" x14ac:dyDescent="0.25">
      <c r="A151" s="46">
        <v>46067</v>
      </c>
      <c r="B151" s="13"/>
      <c r="C151" s="42" t="s">
        <v>49</v>
      </c>
      <c r="D151" s="42" t="s">
        <v>299</v>
      </c>
      <c r="E151" s="14"/>
      <c r="F151" s="71">
        <v>3644628</v>
      </c>
      <c r="G151" s="42" t="s">
        <v>50</v>
      </c>
      <c r="H151" s="31">
        <v>20101973922</v>
      </c>
      <c r="I151" s="43" t="str">
        <f>IF(H151="","",VLOOKUP(H151,ENTIDAD!$B$2:$C$613,2,0))</f>
        <v>ASOCIACION AUTOMOTRIZ DEL PERU</v>
      </c>
      <c r="J151" s="11"/>
      <c r="K151" s="11"/>
      <c r="L151" s="11"/>
      <c r="M151" s="11"/>
      <c r="N151" s="11">
        <v>0</v>
      </c>
      <c r="O151" s="11">
        <f t="shared" si="3"/>
        <v>0</v>
      </c>
      <c r="P151" s="11">
        <v>0</v>
      </c>
      <c r="Q151" s="11"/>
      <c r="R151" s="11">
        <v>66.8</v>
      </c>
      <c r="S151" s="11">
        <v>66.8</v>
      </c>
      <c r="T151" s="14"/>
      <c r="U151" s="14"/>
      <c r="V151" s="13"/>
      <c r="W151" s="15"/>
      <c r="X151" s="13"/>
      <c r="Y151" s="14"/>
      <c r="Z151" s="14"/>
      <c r="AA151" s="14"/>
      <c r="AB151" s="42" t="s">
        <v>224</v>
      </c>
      <c r="AC151" s="11"/>
      <c r="AD151" s="33">
        <v>46095</v>
      </c>
      <c r="AE151" s="34" t="s">
        <v>465</v>
      </c>
      <c r="AF151" s="37" t="s">
        <v>597</v>
      </c>
      <c r="AG151" s="14" t="s">
        <v>513</v>
      </c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566</v>
      </c>
      <c r="AT151" s="14"/>
      <c r="AU151" s="11"/>
      <c r="AV151" s="14"/>
    </row>
    <row r="152" spans="1:48" s="45" customFormat="1" ht="15" x14ac:dyDescent="0.25">
      <c r="A152" s="46">
        <v>46067</v>
      </c>
      <c r="B152" s="13"/>
      <c r="C152" s="42" t="s">
        <v>49</v>
      </c>
      <c r="D152" s="42" t="s">
        <v>299</v>
      </c>
      <c r="E152" s="14"/>
      <c r="F152" s="71">
        <v>3637345</v>
      </c>
      <c r="G152" s="42" t="s">
        <v>50</v>
      </c>
      <c r="H152" s="31">
        <v>20101973922</v>
      </c>
      <c r="I152" s="43" t="str">
        <f>IF(H152="","",VLOOKUP(H152,ENTIDAD!$B$2:$C$613,2,0))</f>
        <v>ASOCIACION AUTOMOTRIZ DEL PERU</v>
      </c>
      <c r="J152" s="11"/>
      <c r="K152" s="11"/>
      <c r="L152" s="11"/>
      <c r="M152" s="11"/>
      <c r="N152" s="11">
        <v>0</v>
      </c>
      <c r="O152" s="11">
        <f t="shared" si="3"/>
        <v>0</v>
      </c>
      <c r="P152" s="11">
        <v>0</v>
      </c>
      <c r="Q152" s="11"/>
      <c r="R152" s="11">
        <v>66.8</v>
      </c>
      <c r="S152" s="11">
        <v>66.8</v>
      </c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11"/>
      <c r="AD152" s="33">
        <v>46095</v>
      </c>
      <c r="AE152" s="34" t="s">
        <v>465</v>
      </c>
      <c r="AF152" s="37" t="s">
        <v>597</v>
      </c>
      <c r="AG152" s="14" t="s">
        <v>513</v>
      </c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566</v>
      </c>
      <c r="AT152" s="14"/>
      <c r="AU152" s="11"/>
      <c r="AV152" s="14"/>
    </row>
    <row r="153" spans="1:48" s="45" customFormat="1" ht="15" x14ac:dyDescent="0.25">
      <c r="A153" s="46">
        <v>46067</v>
      </c>
      <c r="B153" s="13"/>
      <c r="C153" s="42" t="s">
        <v>49</v>
      </c>
      <c r="D153" s="42" t="s">
        <v>299</v>
      </c>
      <c r="E153" s="14"/>
      <c r="F153" s="71">
        <v>3637346</v>
      </c>
      <c r="G153" s="42" t="s">
        <v>50</v>
      </c>
      <c r="H153" s="31">
        <v>20101973922</v>
      </c>
      <c r="I153" s="43" t="str">
        <f>IF(H153="","",VLOOKUP(H153,ENTIDAD!$B$2:$C$613,2,0))</f>
        <v>ASOCIACION AUTOMOTRIZ DEL PERU</v>
      </c>
      <c r="J153" s="11"/>
      <c r="K153" s="11"/>
      <c r="L153" s="11"/>
      <c r="M153" s="11"/>
      <c r="N153" s="11">
        <v>0</v>
      </c>
      <c r="O153" s="11">
        <f t="shared" si="3"/>
        <v>0</v>
      </c>
      <c r="P153" s="11">
        <v>0</v>
      </c>
      <c r="Q153" s="11"/>
      <c r="R153" s="11">
        <v>66.8</v>
      </c>
      <c r="S153" s="11">
        <v>66.8</v>
      </c>
      <c r="T153" s="14"/>
      <c r="U153" s="14"/>
      <c r="V153" s="13"/>
      <c r="W153" s="15"/>
      <c r="X153" s="13"/>
      <c r="Y153" s="14"/>
      <c r="Z153" s="14"/>
      <c r="AA153" s="14"/>
      <c r="AB153" s="42" t="s">
        <v>224</v>
      </c>
      <c r="AC153" s="11"/>
      <c r="AD153" s="33">
        <v>46095</v>
      </c>
      <c r="AE153" s="34" t="s">
        <v>465</v>
      </c>
      <c r="AF153" s="37" t="s">
        <v>597</v>
      </c>
      <c r="AG153" s="14" t="s">
        <v>513</v>
      </c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566</v>
      </c>
      <c r="AT153" s="14"/>
      <c r="AU153" s="11"/>
      <c r="AV153" s="14"/>
    </row>
    <row r="154" spans="1:48" s="45" customFormat="1" ht="15" x14ac:dyDescent="0.25">
      <c r="A154" s="46">
        <v>46067</v>
      </c>
      <c r="B154" s="13"/>
      <c r="C154" s="42" t="s">
        <v>49</v>
      </c>
      <c r="D154" s="42" t="s">
        <v>299</v>
      </c>
      <c r="E154" s="14"/>
      <c r="F154" s="71">
        <v>3637347</v>
      </c>
      <c r="G154" s="42" t="s">
        <v>50</v>
      </c>
      <c r="H154" s="31">
        <v>20101973922</v>
      </c>
      <c r="I154" s="43" t="str">
        <f>IF(H154="","",VLOOKUP(H154,ENTIDAD!$B$2:$C$613,2,0))</f>
        <v>ASOCIACION AUTOMOTRIZ DEL PERU</v>
      </c>
      <c r="J154" s="11"/>
      <c r="K154" s="11"/>
      <c r="L154" s="11"/>
      <c r="M154" s="11"/>
      <c r="N154" s="11">
        <v>0</v>
      </c>
      <c r="O154" s="11">
        <f t="shared" si="3"/>
        <v>0</v>
      </c>
      <c r="P154" s="11">
        <v>0</v>
      </c>
      <c r="Q154" s="11"/>
      <c r="R154" s="11">
        <v>66.8</v>
      </c>
      <c r="S154" s="11">
        <v>66.8</v>
      </c>
      <c r="T154" s="14"/>
      <c r="U154" s="14"/>
      <c r="V154" s="13"/>
      <c r="W154" s="15"/>
      <c r="X154" s="13"/>
      <c r="Y154" s="14"/>
      <c r="Z154" s="14"/>
      <c r="AA154" s="14"/>
      <c r="AB154" s="42" t="s">
        <v>224</v>
      </c>
      <c r="AC154" s="11"/>
      <c r="AD154" s="33">
        <v>46095</v>
      </c>
      <c r="AE154" s="34" t="s">
        <v>465</v>
      </c>
      <c r="AF154" s="37" t="s">
        <v>597</v>
      </c>
      <c r="AG154" s="14" t="s">
        <v>513</v>
      </c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 t="s">
        <v>566</v>
      </c>
      <c r="AT154" s="14"/>
      <c r="AU154" s="11"/>
      <c r="AV154" s="14"/>
    </row>
    <row r="155" spans="1:48" s="45" customFormat="1" ht="15" x14ac:dyDescent="0.25">
      <c r="A155" s="46">
        <v>46067</v>
      </c>
      <c r="B155" s="13"/>
      <c r="C155" s="42" t="s">
        <v>49</v>
      </c>
      <c r="D155" s="42" t="s">
        <v>299</v>
      </c>
      <c r="E155" s="14"/>
      <c r="F155" s="71">
        <v>3637348</v>
      </c>
      <c r="G155" s="42" t="s">
        <v>50</v>
      </c>
      <c r="H155" s="31">
        <v>20101973922</v>
      </c>
      <c r="I155" s="43" t="str">
        <f>IF(H155="","",VLOOKUP(H155,ENTIDAD!$B$2:$C$613,2,0))</f>
        <v>ASOCIACION AUTOMOTRIZ DEL PERU</v>
      </c>
      <c r="J155" s="11"/>
      <c r="K155" s="11"/>
      <c r="L155" s="11"/>
      <c r="M155" s="11"/>
      <c r="N155" s="11">
        <v>0</v>
      </c>
      <c r="O155" s="11">
        <f t="shared" si="3"/>
        <v>0</v>
      </c>
      <c r="P155" s="11">
        <v>0</v>
      </c>
      <c r="Q155" s="11"/>
      <c r="R155" s="11">
        <v>66.8</v>
      </c>
      <c r="S155" s="11">
        <v>66.8</v>
      </c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33">
        <v>46095</v>
      </c>
      <c r="AE155" s="34" t="s">
        <v>465</v>
      </c>
      <c r="AF155" s="37" t="s">
        <v>597</v>
      </c>
      <c r="AG155" s="14" t="s">
        <v>513</v>
      </c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 t="s">
        <v>566</v>
      </c>
      <c r="AT155" s="14"/>
      <c r="AU155" s="11"/>
      <c r="AV155" s="14"/>
    </row>
    <row r="156" spans="1:48" s="45" customFormat="1" ht="15" x14ac:dyDescent="0.25">
      <c r="A156" s="46">
        <v>46067</v>
      </c>
      <c r="B156" s="13"/>
      <c r="C156" s="42" t="s">
        <v>49</v>
      </c>
      <c r="D156" s="42" t="s">
        <v>299</v>
      </c>
      <c r="E156" s="14"/>
      <c r="F156" s="71">
        <v>3637349</v>
      </c>
      <c r="G156" s="42" t="s">
        <v>50</v>
      </c>
      <c r="H156" s="31">
        <v>20101973922</v>
      </c>
      <c r="I156" s="43" t="str">
        <f>IF(H156="","",VLOOKUP(H156,ENTIDAD!$B$2:$C$613,2,0))</f>
        <v>ASOCIACION AUTOMOTRIZ DEL PERU</v>
      </c>
      <c r="J156" s="11"/>
      <c r="K156" s="11"/>
      <c r="L156" s="11"/>
      <c r="M156" s="11"/>
      <c r="N156" s="11">
        <v>0</v>
      </c>
      <c r="O156" s="11">
        <f t="shared" si="3"/>
        <v>0</v>
      </c>
      <c r="P156" s="11">
        <v>0</v>
      </c>
      <c r="Q156" s="11"/>
      <c r="R156" s="11">
        <v>66.8</v>
      </c>
      <c r="S156" s="11">
        <v>66.8</v>
      </c>
      <c r="T156" s="14"/>
      <c r="U156" s="14"/>
      <c r="V156" s="13"/>
      <c r="W156" s="15"/>
      <c r="X156" s="13"/>
      <c r="Y156" s="14"/>
      <c r="Z156" s="14"/>
      <c r="AA156" s="14"/>
      <c r="AB156" s="42" t="s">
        <v>224</v>
      </c>
      <c r="AC156" s="11"/>
      <c r="AD156" s="33">
        <v>46095</v>
      </c>
      <c r="AE156" s="34" t="s">
        <v>465</v>
      </c>
      <c r="AF156" s="37" t="s">
        <v>597</v>
      </c>
      <c r="AG156" s="14" t="s">
        <v>513</v>
      </c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 t="s">
        <v>566</v>
      </c>
      <c r="AT156" s="14"/>
      <c r="AU156" s="11"/>
      <c r="AV156" s="14"/>
    </row>
    <row r="157" spans="1:48" s="45" customFormat="1" ht="15" x14ac:dyDescent="0.25">
      <c r="A157" s="46">
        <v>46067</v>
      </c>
      <c r="B157" s="13"/>
      <c r="C157" s="42" t="s">
        <v>49</v>
      </c>
      <c r="D157" s="42" t="s">
        <v>299</v>
      </c>
      <c r="E157" s="14"/>
      <c r="F157" s="71">
        <v>3637350</v>
      </c>
      <c r="G157" s="42" t="s">
        <v>50</v>
      </c>
      <c r="H157" s="31">
        <v>20101973922</v>
      </c>
      <c r="I157" s="43" t="str">
        <f>IF(H157="","",VLOOKUP(H157,ENTIDAD!$B$2:$C$613,2,0))</f>
        <v>ASOCIACION AUTOMOTRIZ DEL PERU</v>
      </c>
      <c r="J157" s="11"/>
      <c r="K157" s="11"/>
      <c r="L157" s="11"/>
      <c r="M157" s="11"/>
      <c r="N157" s="11">
        <v>0</v>
      </c>
      <c r="O157" s="11">
        <f t="shared" si="3"/>
        <v>0</v>
      </c>
      <c r="P157" s="11">
        <v>0</v>
      </c>
      <c r="Q157" s="11"/>
      <c r="R157" s="11">
        <v>66.8</v>
      </c>
      <c r="S157" s="11">
        <v>66.8</v>
      </c>
      <c r="T157" s="14"/>
      <c r="U157" s="14"/>
      <c r="V157" s="13"/>
      <c r="W157" s="15"/>
      <c r="X157" s="13"/>
      <c r="Y157" s="14"/>
      <c r="Z157" s="14"/>
      <c r="AA157" s="14"/>
      <c r="AB157" s="42" t="s">
        <v>224</v>
      </c>
      <c r="AC157" s="11"/>
      <c r="AD157" s="33">
        <v>46095</v>
      </c>
      <c r="AE157" s="34" t="s">
        <v>465</v>
      </c>
      <c r="AF157" s="37" t="s">
        <v>597</v>
      </c>
      <c r="AG157" s="14" t="s">
        <v>513</v>
      </c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566</v>
      </c>
      <c r="AT157" s="14"/>
      <c r="AU157" s="11"/>
      <c r="AV157" s="14"/>
    </row>
    <row r="158" spans="1:48" s="45" customFormat="1" ht="15" x14ac:dyDescent="0.25">
      <c r="A158" s="46">
        <v>46067</v>
      </c>
      <c r="B158" s="13"/>
      <c r="C158" s="42" t="s">
        <v>49</v>
      </c>
      <c r="D158" s="42" t="s">
        <v>299</v>
      </c>
      <c r="E158" s="14"/>
      <c r="F158" s="71">
        <v>3637351</v>
      </c>
      <c r="G158" s="42" t="s">
        <v>50</v>
      </c>
      <c r="H158" s="31">
        <v>20101973922</v>
      </c>
      <c r="I158" s="43" t="str">
        <f>IF(H158="","",VLOOKUP(H158,ENTIDAD!$B$2:$C$613,2,0))</f>
        <v>ASOCIACION AUTOMOTRIZ DEL PERU</v>
      </c>
      <c r="J158" s="11"/>
      <c r="K158" s="11"/>
      <c r="L158" s="11"/>
      <c r="M158" s="11"/>
      <c r="N158" s="11">
        <v>0</v>
      </c>
      <c r="O158" s="11">
        <f t="shared" si="3"/>
        <v>0</v>
      </c>
      <c r="P158" s="11">
        <v>0</v>
      </c>
      <c r="Q158" s="11"/>
      <c r="R158" s="11">
        <v>66.8</v>
      </c>
      <c r="S158" s="11">
        <v>66.8</v>
      </c>
      <c r="T158" s="14"/>
      <c r="U158" s="14"/>
      <c r="V158" s="13"/>
      <c r="W158" s="15"/>
      <c r="X158" s="13"/>
      <c r="Y158" s="14"/>
      <c r="Z158" s="14"/>
      <c r="AA158" s="14"/>
      <c r="AB158" s="42" t="s">
        <v>224</v>
      </c>
      <c r="AC158" s="11"/>
      <c r="AD158" s="33">
        <v>46095</v>
      </c>
      <c r="AE158" s="34" t="s">
        <v>465</v>
      </c>
      <c r="AF158" s="37" t="s">
        <v>597</v>
      </c>
      <c r="AG158" s="14" t="s">
        <v>513</v>
      </c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>
        <v>18</v>
      </c>
      <c r="AS158" s="14" t="s">
        <v>566</v>
      </c>
      <c r="AT158" s="14"/>
      <c r="AU158" s="11"/>
      <c r="AV158" s="14"/>
    </row>
    <row r="159" spans="1:48" s="45" customFormat="1" ht="15" x14ac:dyDescent="0.25">
      <c r="A159" s="46">
        <v>46067</v>
      </c>
      <c r="B159" s="13"/>
      <c r="C159" s="42" t="s">
        <v>49</v>
      </c>
      <c r="D159" s="42" t="s">
        <v>299</v>
      </c>
      <c r="E159" s="14"/>
      <c r="F159" s="71">
        <v>3637352</v>
      </c>
      <c r="G159" s="42" t="s">
        <v>50</v>
      </c>
      <c r="H159" s="31">
        <v>20101973922</v>
      </c>
      <c r="I159" s="43" t="str">
        <f>IF(H159="","",VLOOKUP(H159,ENTIDAD!$B$2:$C$613,2,0))</f>
        <v>ASOCIACION AUTOMOTRIZ DEL PERU</v>
      </c>
      <c r="J159" s="11"/>
      <c r="K159" s="11"/>
      <c r="L159" s="11"/>
      <c r="M159" s="11"/>
      <c r="N159" s="11">
        <v>0</v>
      </c>
      <c r="O159" s="11">
        <f t="shared" si="3"/>
        <v>0</v>
      </c>
      <c r="P159" s="11">
        <v>0</v>
      </c>
      <c r="Q159" s="11"/>
      <c r="R159" s="11">
        <v>66.8</v>
      </c>
      <c r="S159" s="11">
        <v>66.8</v>
      </c>
      <c r="T159" s="14"/>
      <c r="U159" s="14"/>
      <c r="V159" s="13"/>
      <c r="W159" s="15"/>
      <c r="X159" s="13"/>
      <c r="Y159" s="14"/>
      <c r="Z159" s="14"/>
      <c r="AA159" s="14"/>
      <c r="AB159" s="42" t="s">
        <v>224</v>
      </c>
      <c r="AC159" s="11"/>
      <c r="AD159" s="33">
        <v>46095</v>
      </c>
      <c r="AE159" s="34" t="s">
        <v>465</v>
      </c>
      <c r="AF159" s="37" t="s">
        <v>597</v>
      </c>
      <c r="AG159" s="14" t="s">
        <v>513</v>
      </c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 t="s">
        <v>566</v>
      </c>
      <c r="AT159" s="14"/>
      <c r="AU159" s="11"/>
      <c r="AV159" s="14"/>
    </row>
    <row r="160" spans="1:48" s="45" customFormat="1" ht="15" x14ac:dyDescent="0.25">
      <c r="A160" s="46">
        <v>46067</v>
      </c>
      <c r="B160" s="13"/>
      <c r="C160" s="42" t="s">
        <v>49</v>
      </c>
      <c r="D160" s="42" t="s">
        <v>299</v>
      </c>
      <c r="E160" s="14"/>
      <c r="F160" s="71">
        <v>3637353</v>
      </c>
      <c r="G160" s="42" t="s">
        <v>50</v>
      </c>
      <c r="H160" s="31">
        <v>20101973922</v>
      </c>
      <c r="I160" s="43" t="str">
        <f>IF(H160="","",VLOOKUP(H160,ENTIDAD!$B$2:$C$613,2,0))</f>
        <v>ASOCIACION AUTOMOTRIZ DEL PERU</v>
      </c>
      <c r="J160" s="11"/>
      <c r="K160" s="11"/>
      <c r="L160" s="11"/>
      <c r="M160" s="11"/>
      <c r="N160" s="11">
        <v>0</v>
      </c>
      <c r="O160" s="11">
        <f t="shared" si="3"/>
        <v>0</v>
      </c>
      <c r="P160" s="11">
        <v>0</v>
      </c>
      <c r="Q160" s="11"/>
      <c r="R160" s="11">
        <v>66.8</v>
      </c>
      <c r="S160" s="11">
        <v>66.8</v>
      </c>
      <c r="T160" s="14"/>
      <c r="U160" s="14"/>
      <c r="V160" s="13"/>
      <c r="W160" s="15"/>
      <c r="X160" s="13"/>
      <c r="Y160" s="14"/>
      <c r="Z160" s="14"/>
      <c r="AA160" s="14"/>
      <c r="AB160" s="42" t="s">
        <v>224</v>
      </c>
      <c r="AC160" s="11"/>
      <c r="AD160" s="33">
        <v>46095</v>
      </c>
      <c r="AE160" s="34" t="s">
        <v>465</v>
      </c>
      <c r="AF160" s="37" t="s">
        <v>597</v>
      </c>
      <c r="AG160" s="14" t="s">
        <v>513</v>
      </c>
      <c r="AH160" s="14" t="s">
        <v>225</v>
      </c>
      <c r="AI160" s="14"/>
      <c r="AJ160" s="14"/>
      <c r="AK160" s="16"/>
      <c r="AL160" s="11"/>
      <c r="AM160" s="11"/>
      <c r="AN160" s="14"/>
      <c r="AO160" s="14"/>
      <c r="AP160" s="13"/>
      <c r="AQ160" s="14"/>
      <c r="AR160" s="11">
        <v>18</v>
      </c>
      <c r="AS160" s="14" t="s">
        <v>566</v>
      </c>
      <c r="AT160" s="14"/>
      <c r="AU160" s="11"/>
      <c r="AV160" s="14"/>
    </row>
    <row r="161" spans="1:49" s="47" customFormat="1" ht="15" x14ac:dyDescent="0.25">
      <c r="A161" s="46">
        <v>46067</v>
      </c>
      <c r="B161" s="13"/>
      <c r="C161" s="42" t="s">
        <v>49</v>
      </c>
      <c r="D161" s="42" t="s">
        <v>299</v>
      </c>
      <c r="E161" s="14"/>
      <c r="F161" s="71">
        <v>3637354</v>
      </c>
      <c r="G161" s="42" t="s">
        <v>50</v>
      </c>
      <c r="H161" s="31">
        <v>20101973922</v>
      </c>
      <c r="I161" s="43" t="str">
        <f>IF(H161="","",VLOOKUP(H161,ENTIDAD!$B$2:$C$613,2,0))</f>
        <v>ASOCIACION AUTOMOTRIZ DEL PERU</v>
      </c>
      <c r="J161" s="11"/>
      <c r="K161" s="11"/>
      <c r="L161" s="11"/>
      <c r="M161" s="11"/>
      <c r="N161" s="11">
        <v>0</v>
      </c>
      <c r="O161" s="11">
        <f t="shared" si="3"/>
        <v>0</v>
      </c>
      <c r="P161" s="11">
        <v>0</v>
      </c>
      <c r="Q161" s="11"/>
      <c r="R161" s="11">
        <v>66.8</v>
      </c>
      <c r="S161" s="11">
        <v>66.8</v>
      </c>
      <c r="T161" s="14"/>
      <c r="U161" s="14"/>
      <c r="V161" s="13"/>
      <c r="W161" s="15"/>
      <c r="X161" s="13"/>
      <c r="Y161" s="14"/>
      <c r="Z161" s="14"/>
      <c r="AA161" s="14"/>
      <c r="AB161" s="42" t="s">
        <v>224</v>
      </c>
      <c r="AC161" s="11"/>
      <c r="AD161" s="33">
        <v>46095</v>
      </c>
      <c r="AE161" s="34" t="s">
        <v>465</v>
      </c>
      <c r="AF161" s="37" t="s">
        <v>597</v>
      </c>
      <c r="AG161" s="14" t="s">
        <v>513</v>
      </c>
      <c r="AH161" s="14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14" t="s">
        <v>566</v>
      </c>
      <c r="AT161" s="14"/>
      <c r="AU161" s="11"/>
      <c r="AV161" s="14"/>
      <c r="AW161" s="45"/>
    </row>
    <row r="162" spans="1:49" s="47" customFormat="1" ht="15" x14ac:dyDescent="0.25">
      <c r="A162" s="46">
        <v>46067</v>
      </c>
      <c r="B162" s="13"/>
      <c r="C162" s="42" t="s">
        <v>49</v>
      </c>
      <c r="D162" s="42" t="s">
        <v>299</v>
      </c>
      <c r="E162" s="14"/>
      <c r="F162" s="71">
        <v>3637355</v>
      </c>
      <c r="G162" s="42" t="s">
        <v>50</v>
      </c>
      <c r="H162" s="31">
        <v>20101973922</v>
      </c>
      <c r="I162" s="43" t="str">
        <f>IF(H162="","",VLOOKUP(H162,ENTIDAD!$B$2:$C$613,2,0))</f>
        <v>ASOCIACION AUTOMOTRIZ DEL PERU</v>
      </c>
      <c r="J162" s="11"/>
      <c r="K162" s="11"/>
      <c r="L162" s="11"/>
      <c r="M162" s="11"/>
      <c r="N162" s="11">
        <v>0</v>
      </c>
      <c r="O162" s="11">
        <f t="shared" si="3"/>
        <v>0</v>
      </c>
      <c r="P162" s="11">
        <v>0</v>
      </c>
      <c r="Q162" s="11"/>
      <c r="R162" s="11">
        <v>66.8</v>
      </c>
      <c r="S162" s="11">
        <v>66.8</v>
      </c>
      <c r="T162" s="14"/>
      <c r="U162" s="14"/>
      <c r="V162" s="13"/>
      <c r="W162" s="15"/>
      <c r="X162" s="13"/>
      <c r="Y162" s="14"/>
      <c r="Z162" s="14"/>
      <c r="AA162" s="14"/>
      <c r="AB162" s="42" t="s">
        <v>224</v>
      </c>
      <c r="AC162" s="11"/>
      <c r="AD162" s="33">
        <v>46095</v>
      </c>
      <c r="AE162" s="34" t="s">
        <v>465</v>
      </c>
      <c r="AF162" s="37" t="s">
        <v>597</v>
      </c>
      <c r="AG162" s="14" t="s">
        <v>513</v>
      </c>
      <c r="AH162" s="14" t="s">
        <v>225</v>
      </c>
      <c r="AI162" s="14"/>
      <c r="AJ162" s="14"/>
      <c r="AK162" s="16"/>
      <c r="AL162" s="11"/>
      <c r="AM162" s="11"/>
      <c r="AN162" s="14"/>
      <c r="AO162" s="14"/>
      <c r="AP162" s="13"/>
      <c r="AQ162" s="14"/>
      <c r="AR162" s="11">
        <v>18</v>
      </c>
      <c r="AS162" s="14" t="s">
        <v>566</v>
      </c>
      <c r="AT162" s="14"/>
      <c r="AU162" s="11"/>
      <c r="AV162" s="14"/>
      <c r="AW162" s="45"/>
    </row>
    <row r="163" spans="1:49" s="47" customFormat="1" ht="15" x14ac:dyDescent="0.25">
      <c r="A163" s="46">
        <v>46067</v>
      </c>
      <c r="B163" s="13"/>
      <c r="C163" s="42" t="s">
        <v>49</v>
      </c>
      <c r="D163" s="42" t="s">
        <v>299</v>
      </c>
      <c r="E163" s="14"/>
      <c r="F163" s="71">
        <v>3637356</v>
      </c>
      <c r="G163" s="42" t="s">
        <v>50</v>
      </c>
      <c r="H163" s="31">
        <v>20101973922</v>
      </c>
      <c r="I163" s="43" t="str">
        <f>IF(H163="","",VLOOKUP(H163,ENTIDAD!$B$2:$C$613,2,0))</f>
        <v>ASOCIACION AUTOMOTRIZ DEL PERU</v>
      </c>
      <c r="J163" s="11"/>
      <c r="K163" s="11"/>
      <c r="L163" s="11"/>
      <c r="M163" s="11"/>
      <c r="N163" s="11">
        <v>0</v>
      </c>
      <c r="O163" s="11">
        <f t="shared" si="3"/>
        <v>0</v>
      </c>
      <c r="P163" s="11">
        <v>0</v>
      </c>
      <c r="Q163" s="11"/>
      <c r="R163" s="11">
        <v>66.8</v>
      </c>
      <c r="S163" s="11">
        <v>66.8</v>
      </c>
      <c r="T163" s="14"/>
      <c r="U163" s="14"/>
      <c r="V163" s="13"/>
      <c r="W163" s="15"/>
      <c r="X163" s="13"/>
      <c r="Y163" s="14"/>
      <c r="Z163" s="14"/>
      <c r="AA163" s="14"/>
      <c r="AB163" s="42" t="s">
        <v>224</v>
      </c>
      <c r="AC163" s="11"/>
      <c r="AD163" s="33">
        <v>46095</v>
      </c>
      <c r="AE163" s="34" t="s">
        <v>465</v>
      </c>
      <c r="AF163" s="37" t="s">
        <v>597</v>
      </c>
      <c r="AG163" s="14" t="s">
        <v>513</v>
      </c>
      <c r="AH163" s="14" t="s">
        <v>225</v>
      </c>
      <c r="AI163" s="14"/>
      <c r="AJ163" s="14"/>
      <c r="AK163" s="16"/>
      <c r="AL163" s="11"/>
      <c r="AM163" s="11"/>
      <c r="AN163" s="14"/>
      <c r="AO163" s="14"/>
      <c r="AP163" s="13"/>
      <c r="AQ163" s="14"/>
      <c r="AR163" s="11">
        <v>18</v>
      </c>
      <c r="AS163" s="14" t="s">
        <v>566</v>
      </c>
      <c r="AT163" s="14"/>
      <c r="AU163" s="11"/>
      <c r="AV163" s="14"/>
      <c r="AW163" s="45"/>
    </row>
    <row r="164" spans="1:49" s="45" customFormat="1" ht="15" x14ac:dyDescent="0.25">
      <c r="A164" s="46">
        <v>46067</v>
      </c>
      <c r="B164" s="13"/>
      <c r="C164" s="42" t="s">
        <v>49</v>
      </c>
      <c r="D164" s="42" t="s">
        <v>299</v>
      </c>
      <c r="E164" s="14"/>
      <c r="F164" s="71">
        <v>3637357</v>
      </c>
      <c r="G164" s="42" t="s">
        <v>50</v>
      </c>
      <c r="H164" s="31">
        <v>20101973922</v>
      </c>
      <c r="I164" s="43" t="str">
        <f>IF(H164="","",VLOOKUP(H164,ENTIDAD!$B$2:$C$613,2,0))</f>
        <v>ASOCIACION AUTOMOTRIZ DEL PERU</v>
      </c>
      <c r="J164" s="11"/>
      <c r="K164" s="11"/>
      <c r="L164" s="11"/>
      <c r="M164" s="11"/>
      <c r="N164" s="11">
        <v>0</v>
      </c>
      <c r="O164" s="11">
        <f t="shared" si="3"/>
        <v>0</v>
      </c>
      <c r="P164" s="11">
        <v>0</v>
      </c>
      <c r="Q164" s="11"/>
      <c r="R164" s="11">
        <v>66.8</v>
      </c>
      <c r="S164" s="11">
        <v>66.8</v>
      </c>
      <c r="T164" s="14"/>
      <c r="U164" s="14"/>
      <c r="V164" s="13"/>
      <c r="W164" s="15"/>
      <c r="X164" s="13"/>
      <c r="Y164" s="14"/>
      <c r="Z164" s="14"/>
      <c r="AA164" s="14"/>
      <c r="AB164" s="42" t="s">
        <v>224</v>
      </c>
      <c r="AC164" s="11"/>
      <c r="AD164" s="33">
        <v>46095</v>
      </c>
      <c r="AE164" s="34" t="s">
        <v>465</v>
      </c>
      <c r="AF164" s="37" t="s">
        <v>597</v>
      </c>
      <c r="AG164" s="14" t="s">
        <v>513</v>
      </c>
      <c r="AH164" s="14" t="s">
        <v>225</v>
      </c>
      <c r="AI164" s="14"/>
      <c r="AJ164" s="14"/>
      <c r="AK164" s="16"/>
      <c r="AL164" s="11"/>
      <c r="AM164" s="11"/>
      <c r="AN164" s="14"/>
      <c r="AO164" s="14"/>
      <c r="AP164" s="13"/>
      <c r="AQ164" s="14"/>
      <c r="AR164" s="11">
        <v>18</v>
      </c>
      <c r="AS164" s="14" t="s">
        <v>566</v>
      </c>
      <c r="AT164" s="14"/>
      <c r="AU164" s="11"/>
      <c r="AV164" s="14"/>
    </row>
    <row r="165" spans="1:49" s="45" customFormat="1" ht="15" x14ac:dyDescent="0.25">
      <c r="A165" s="46">
        <v>46067</v>
      </c>
      <c r="B165" s="13"/>
      <c r="C165" s="42" t="s">
        <v>49</v>
      </c>
      <c r="D165" s="42" t="s">
        <v>299</v>
      </c>
      <c r="E165" s="14"/>
      <c r="F165" s="71">
        <v>3637358</v>
      </c>
      <c r="G165" s="42" t="s">
        <v>50</v>
      </c>
      <c r="H165" s="31">
        <v>20101973922</v>
      </c>
      <c r="I165" s="43" t="str">
        <f>IF(H165="","",VLOOKUP(H165,ENTIDAD!$B$2:$C$613,2,0))</f>
        <v>ASOCIACION AUTOMOTRIZ DEL PERU</v>
      </c>
      <c r="J165" s="11"/>
      <c r="K165" s="11"/>
      <c r="L165" s="11"/>
      <c r="M165" s="11"/>
      <c r="N165" s="11">
        <v>0</v>
      </c>
      <c r="O165" s="11">
        <f t="shared" si="3"/>
        <v>0</v>
      </c>
      <c r="P165" s="11">
        <v>0</v>
      </c>
      <c r="Q165" s="11"/>
      <c r="R165" s="11">
        <v>66.8</v>
      </c>
      <c r="S165" s="11">
        <v>66.8</v>
      </c>
      <c r="T165" s="14"/>
      <c r="U165" s="14"/>
      <c r="V165" s="13"/>
      <c r="W165" s="15"/>
      <c r="X165" s="13"/>
      <c r="Y165" s="14"/>
      <c r="Z165" s="14"/>
      <c r="AA165" s="14"/>
      <c r="AB165" s="42" t="s">
        <v>224</v>
      </c>
      <c r="AC165" s="11"/>
      <c r="AD165" s="33">
        <v>46095</v>
      </c>
      <c r="AE165" s="34" t="s">
        <v>465</v>
      </c>
      <c r="AF165" s="37" t="s">
        <v>597</v>
      </c>
      <c r="AG165" s="14" t="s">
        <v>513</v>
      </c>
      <c r="AH165" s="14" t="s">
        <v>225</v>
      </c>
      <c r="AI165" s="14"/>
      <c r="AJ165" s="14"/>
      <c r="AK165" s="16"/>
      <c r="AL165" s="11"/>
      <c r="AM165" s="11"/>
      <c r="AN165" s="14"/>
      <c r="AO165" s="14"/>
      <c r="AP165" s="13"/>
      <c r="AQ165" s="14"/>
      <c r="AR165" s="11">
        <v>18</v>
      </c>
      <c r="AS165" s="14" t="s">
        <v>566</v>
      </c>
      <c r="AT165" s="14"/>
      <c r="AU165" s="11"/>
      <c r="AV165" s="14"/>
    </row>
    <row r="166" spans="1:49" s="45" customFormat="1" ht="15" x14ac:dyDescent="0.25">
      <c r="A166" s="46">
        <v>46067</v>
      </c>
      <c r="B166" s="13"/>
      <c r="C166" s="42" t="s">
        <v>49</v>
      </c>
      <c r="D166" s="42" t="s">
        <v>299</v>
      </c>
      <c r="E166" s="14"/>
      <c r="F166" s="71">
        <v>3637359</v>
      </c>
      <c r="G166" s="42" t="s">
        <v>50</v>
      </c>
      <c r="H166" s="31">
        <v>20101973922</v>
      </c>
      <c r="I166" s="43" t="str">
        <f>IF(H166="","",VLOOKUP(H166,ENTIDAD!$B$2:$C$613,2,0))</f>
        <v>ASOCIACION AUTOMOTRIZ DEL PERU</v>
      </c>
      <c r="J166" s="11"/>
      <c r="K166" s="11"/>
      <c r="L166" s="11"/>
      <c r="M166" s="11"/>
      <c r="N166" s="11">
        <v>0</v>
      </c>
      <c r="O166" s="11">
        <f t="shared" si="3"/>
        <v>0</v>
      </c>
      <c r="P166" s="11">
        <v>0</v>
      </c>
      <c r="Q166" s="11"/>
      <c r="R166" s="11">
        <v>66.8</v>
      </c>
      <c r="S166" s="11">
        <v>66.8</v>
      </c>
      <c r="T166" s="14"/>
      <c r="U166" s="14"/>
      <c r="V166" s="13"/>
      <c r="W166" s="15"/>
      <c r="X166" s="13"/>
      <c r="Y166" s="14"/>
      <c r="Z166" s="14"/>
      <c r="AA166" s="14"/>
      <c r="AB166" s="42" t="s">
        <v>224</v>
      </c>
      <c r="AC166" s="11"/>
      <c r="AD166" s="33">
        <v>46095</v>
      </c>
      <c r="AE166" s="34" t="s">
        <v>465</v>
      </c>
      <c r="AF166" s="37" t="s">
        <v>597</v>
      </c>
      <c r="AG166" s="14" t="s">
        <v>513</v>
      </c>
      <c r="AH166" s="14" t="s">
        <v>225</v>
      </c>
      <c r="AI166" s="14"/>
      <c r="AJ166" s="14"/>
      <c r="AK166" s="16"/>
      <c r="AL166" s="11"/>
      <c r="AM166" s="11"/>
      <c r="AN166" s="14"/>
      <c r="AO166" s="14"/>
      <c r="AP166" s="13"/>
      <c r="AQ166" s="14"/>
      <c r="AR166" s="11">
        <v>18</v>
      </c>
      <c r="AS166" s="14" t="s">
        <v>566</v>
      </c>
      <c r="AT166" s="14"/>
      <c r="AU166" s="11"/>
      <c r="AV166" s="14"/>
    </row>
    <row r="167" spans="1:49" s="45" customFormat="1" ht="15" x14ac:dyDescent="0.25">
      <c r="A167" s="46">
        <v>46067</v>
      </c>
      <c r="B167" s="13"/>
      <c r="C167" s="42" t="s">
        <v>49</v>
      </c>
      <c r="D167" s="42" t="s">
        <v>299</v>
      </c>
      <c r="E167" s="14"/>
      <c r="F167" s="71">
        <v>3637360</v>
      </c>
      <c r="G167" s="42" t="s">
        <v>50</v>
      </c>
      <c r="H167" s="31">
        <v>20101973922</v>
      </c>
      <c r="I167" s="43" t="str">
        <f>IF(H167="","",VLOOKUP(H167,ENTIDAD!$B$2:$C$613,2,0))</f>
        <v>ASOCIACION AUTOMOTRIZ DEL PERU</v>
      </c>
      <c r="J167" s="11"/>
      <c r="K167" s="11"/>
      <c r="L167" s="11"/>
      <c r="M167" s="11"/>
      <c r="N167" s="11">
        <v>0</v>
      </c>
      <c r="O167" s="11">
        <f t="shared" si="3"/>
        <v>0</v>
      </c>
      <c r="P167" s="11">
        <v>0</v>
      </c>
      <c r="Q167" s="11"/>
      <c r="R167" s="11">
        <v>66.8</v>
      </c>
      <c r="S167" s="11">
        <v>66.8</v>
      </c>
      <c r="T167" s="14"/>
      <c r="U167" s="14"/>
      <c r="V167" s="13"/>
      <c r="W167" s="15"/>
      <c r="X167" s="13"/>
      <c r="Y167" s="14"/>
      <c r="Z167" s="14"/>
      <c r="AA167" s="14"/>
      <c r="AB167" s="42" t="s">
        <v>224</v>
      </c>
      <c r="AC167" s="11"/>
      <c r="AD167" s="33">
        <v>46095</v>
      </c>
      <c r="AE167" s="34" t="s">
        <v>465</v>
      </c>
      <c r="AF167" s="37" t="s">
        <v>597</v>
      </c>
      <c r="AG167" s="14" t="s">
        <v>513</v>
      </c>
      <c r="AH167" s="14" t="s">
        <v>225</v>
      </c>
      <c r="AI167" s="14"/>
      <c r="AJ167" s="14"/>
      <c r="AK167" s="16"/>
      <c r="AL167" s="11"/>
      <c r="AM167" s="11"/>
      <c r="AN167" s="14"/>
      <c r="AO167" s="14"/>
      <c r="AP167" s="13"/>
      <c r="AQ167" s="14"/>
      <c r="AR167" s="11">
        <v>18</v>
      </c>
      <c r="AS167" s="14" t="s">
        <v>566</v>
      </c>
      <c r="AT167" s="14"/>
      <c r="AU167" s="11"/>
      <c r="AV167" s="14"/>
    </row>
    <row r="168" spans="1:49" s="45" customFormat="1" ht="15" x14ac:dyDescent="0.25">
      <c r="A168" s="46">
        <v>46067</v>
      </c>
      <c r="B168" s="13"/>
      <c r="C168" s="42" t="s">
        <v>49</v>
      </c>
      <c r="D168" s="42" t="s">
        <v>299</v>
      </c>
      <c r="E168" s="14"/>
      <c r="F168" s="71">
        <v>3637361</v>
      </c>
      <c r="G168" s="42" t="s">
        <v>50</v>
      </c>
      <c r="H168" s="31">
        <v>20101973922</v>
      </c>
      <c r="I168" s="43" t="str">
        <f>IF(H168="","",VLOOKUP(H168,ENTIDAD!$B$2:$C$613,2,0))</f>
        <v>ASOCIACION AUTOMOTRIZ DEL PERU</v>
      </c>
      <c r="J168" s="11"/>
      <c r="K168" s="11"/>
      <c r="L168" s="11"/>
      <c r="M168" s="11"/>
      <c r="N168" s="11">
        <v>0</v>
      </c>
      <c r="O168" s="11">
        <f t="shared" si="3"/>
        <v>0</v>
      </c>
      <c r="P168" s="11">
        <v>0</v>
      </c>
      <c r="Q168" s="11"/>
      <c r="R168" s="11">
        <v>66.8</v>
      </c>
      <c r="S168" s="11">
        <v>66.8</v>
      </c>
      <c r="T168" s="14"/>
      <c r="U168" s="14"/>
      <c r="V168" s="13"/>
      <c r="W168" s="15"/>
      <c r="X168" s="13"/>
      <c r="Y168" s="14"/>
      <c r="Z168" s="14"/>
      <c r="AA168" s="14"/>
      <c r="AB168" s="42" t="s">
        <v>224</v>
      </c>
      <c r="AC168" s="11"/>
      <c r="AD168" s="33">
        <v>46095</v>
      </c>
      <c r="AE168" s="34" t="s">
        <v>465</v>
      </c>
      <c r="AF168" s="37" t="s">
        <v>597</v>
      </c>
      <c r="AG168" s="14" t="s">
        <v>513</v>
      </c>
      <c r="AH168" s="14" t="s">
        <v>225</v>
      </c>
      <c r="AI168" s="14"/>
      <c r="AJ168" s="14"/>
      <c r="AK168" s="16"/>
      <c r="AL168" s="11"/>
      <c r="AM168" s="11"/>
      <c r="AN168" s="14"/>
      <c r="AO168" s="14"/>
      <c r="AP168" s="13"/>
      <c r="AQ168" s="14"/>
      <c r="AR168" s="11">
        <v>18</v>
      </c>
      <c r="AS168" s="14" t="s">
        <v>566</v>
      </c>
      <c r="AT168" s="14"/>
      <c r="AU168" s="11"/>
      <c r="AV168" s="14"/>
    </row>
    <row r="169" spans="1:49" s="45" customFormat="1" ht="15" x14ac:dyDescent="0.25">
      <c r="A169" s="46">
        <v>46067</v>
      </c>
      <c r="B169" s="13"/>
      <c r="C169" s="42" t="s">
        <v>49</v>
      </c>
      <c r="D169" s="42" t="s">
        <v>299</v>
      </c>
      <c r="E169" s="14"/>
      <c r="F169" s="71">
        <v>3637362</v>
      </c>
      <c r="G169" s="42" t="s">
        <v>50</v>
      </c>
      <c r="H169" s="31">
        <v>20101973922</v>
      </c>
      <c r="I169" s="43" t="str">
        <f>IF(H169="","",VLOOKUP(H169,ENTIDAD!$B$2:$C$613,2,0))</f>
        <v>ASOCIACION AUTOMOTRIZ DEL PERU</v>
      </c>
      <c r="J169" s="11"/>
      <c r="K169" s="11"/>
      <c r="L169" s="11"/>
      <c r="M169" s="11"/>
      <c r="N169" s="11">
        <v>0</v>
      </c>
      <c r="O169" s="11">
        <f t="shared" si="3"/>
        <v>0</v>
      </c>
      <c r="P169" s="11">
        <v>0</v>
      </c>
      <c r="Q169" s="11"/>
      <c r="R169" s="11">
        <v>66.8</v>
      </c>
      <c r="S169" s="11">
        <v>66.8</v>
      </c>
      <c r="T169" s="14"/>
      <c r="U169" s="14"/>
      <c r="V169" s="13"/>
      <c r="W169" s="15"/>
      <c r="X169" s="13"/>
      <c r="Y169" s="14"/>
      <c r="Z169" s="14"/>
      <c r="AA169" s="14"/>
      <c r="AB169" s="42" t="s">
        <v>224</v>
      </c>
      <c r="AC169" s="11"/>
      <c r="AD169" s="33">
        <v>46095</v>
      </c>
      <c r="AE169" s="34" t="s">
        <v>465</v>
      </c>
      <c r="AF169" s="37" t="s">
        <v>597</v>
      </c>
      <c r="AG169" s="14" t="s">
        <v>513</v>
      </c>
      <c r="AH169" s="14" t="s">
        <v>225</v>
      </c>
      <c r="AI169" s="14"/>
      <c r="AJ169" s="14"/>
      <c r="AK169" s="16"/>
      <c r="AL169" s="11"/>
      <c r="AM169" s="11"/>
      <c r="AN169" s="14"/>
      <c r="AO169" s="14"/>
      <c r="AP169" s="13"/>
      <c r="AQ169" s="14"/>
      <c r="AR169" s="11">
        <v>18</v>
      </c>
      <c r="AS169" s="14" t="s">
        <v>566</v>
      </c>
      <c r="AT169" s="14"/>
      <c r="AU169" s="11"/>
      <c r="AV169" s="14"/>
    </row>
    <row r="170" spans="1:49" s="45" customFormat="1" ht="15" x14ac:dyDescent="0.25">
      <c r="A170" s="46">
        <v>46067</v>
      </c>
      <c r="B170" s="13"/>
      <c r="C170" s="42" t="s">
        <v>49</v>
      </c>
      <c r="D170" s="42" t="s">
        <v>299</v>
      </c>
      <c r="E170" s="14"/>
      <c r="F170" s="71">
        <v>3637363</v>
      </c>
      <c r="G170" s="42" t="s">
        <v>50</v>
      </c>
      <c r="H170" s="31">
        <v>20101973922</v>
      </c>
      <c r="I170" s="43" t="str">
        <f>IF(H170="","",VLOOKUP(H170,ENTIDAD!$B$2:$C$613,2,0))</f>
        <v>ASOCIACION AUTOMOTRIZ DEL PERU</v>
      </c>
      <c r="J170" s="11"/>
      <c r="K170" s="11"/>
      <c r="L170" s="11"/>
      <c r="M170" s="11"/>
      <c r="N170" s="11">
        <v>0</v>
      </c>
      <c r="O170" s="11">
        <f t="shared" si="3"/>
        <v>0</v>
      </c>
      <c r="P170" s="11">
        <v>0</v>
      </c>
      <c r="Q170" s="11"/>
      <c r="R170" s="11">
        <v>66.8</v>
      </c>
      <c r="S170" s="11">
        <v>66.8</v>
      </c>
      <c r="T170" s="14"/>
      <c r="U170" s="14"/>
      <c r="V170" s="13"/>
      <c r="W170" s="15"/>
      <c r="X170" s="13"/>
      <c r="Y170" s="14"/>
      <c r="Z170" s="14"/>
      <c r="AA170" s="14"/>
      <c r="AB170" s="42" t="s">
        <v>224</v>
      </c>
      <c r="AC170" s="11"/>
      <c r="AD170" s="33">
        <v>46095</v>
      </c>
      <c r="AE170" s="34" t="s">
        <v>465</v>
      </c>
      <c r="AF170" s="37" t="s">
        <v>597</v>
      </c>
      <c r="AG170" s="14" t="s">
        <v>513</v>
      </c>
      <c r="AH170" s="14" t="s">
        <v>225</v>
      </c>
      <c r="AI170" s="14"/>
      <c r="AJ170" s="14"/>
      <c r="AK170" s="16"/>
      <c r="AL170" s="11"/>
      <c r="AM170" s="11"/>
      <c r="AN170" s="14"/>
      <c r="AO170" s="14"/>
      <c r="AP170" s="13"/>
      <c r="AQ170" s="14"/>
      <c r="AR170" s="11">
        <v>18</v>
      </c>
      <c r="AS170" s="14" t="s">
        <v>566</v>
      </c>
      <c r="AT170" s="14"/>
      <c r="AU170" s="11"/>
      <c r="AV170" s="14"/>
    </row>
    <row r="171" spans="1:49" s="45" customFormat="1" ht="15" x14ac:dyDescent="0.25">
      <c r="A171" s="46">
        <v>46067</v>
      </c>
      <c r="B171" s="13"/>
      <c r="C171" s="42" t="s">
        <v>49</v>
      </c>
      <c r="D171" s="42" t="s">
        <v>299</v>
      </c>
      <c r="E171" s="14"/>
      <c r="F171" s="71">
        <v>3637364</v>
      </c>
      <c r="G171" s="42" t="s">
        <v>50</v>
      </c>
      <c r="H171" s="31">
        <v>20101973922</v>
      </c>
      <c r="I171" s="43" t="str">
        <f>IF(H171="","",VLOOKUP(H171,ENTIDAD!$B$2:$C$613,2,0))</f>
        <v>ASOCIACION AUTOMOTRIZ DEL PERU</v>
      </c>
      <c r="J171" s="11"/>
      <c r="K171" s="11"/>
      <c r="L171" s="11"/>
      <c r="M171" s="11"/>
      <c r="N171" s="11">
        <v>0</v>
      </c>
      <c r="O171" s="11">
        <f t="shared" si="3"/>
        <v>0</v>
      </c>
      <c r="P171" s="11">
        <v>0</v>
      </c>
      <c r="Q171" s="11"/>
      <c r="R171" s="11">
        <v>66.8</v>
      </c>
      <c r="S171" s="11">
        <v>66.8</v>
      </c>
      <c r="T171" s="14"/>
      <c r="U171" s="14"/>
      <c r="V171" s="13"/>
      <c r="W171" s="15"/>
      <c r="X171" s="13"/>
      <c r="Y171" s="14"/>
      <c r="Z171" s="14"/>
      <c r="AA171" s="14"/>
      <c r="AB171" s="42" t="s">
        <v>224</v>
      </c>
      <c r="AC171" s="11"/>
      <c r="AD171" s="33">
        <v>46095</v>
      </c>
      <c r="AE171" s="34" t="s">
        <v>465</v>
      </c>
      <c r="AF171" s="37" t="s">
        <v>597</v>
      </c>
      <c r="AG171" s="14" t="s">
        <v>513</v>
      </c>
      <c r="AH171" s="14" t="s">
        <v>225</v>
      </c>
      <c r="AI171" s="14"/>
      <c r="AJ171" s="14"/>
      <c r="AK171" s="16"/>
      <c r="AL171" s="11"/>
      <c r="AM171" s="11"/>
      <c r="AN171" s="14"/>
      <c r="AO171" s="14"/>
      <c r="AP171" s="13"/>
      <c r="AQ171" s="14"/>
      <c r="AR171" s="11">
        <v>18</v>
      </c>
      <c r="AS171" s="14" t="s">
        <v>566</v>
      </c>
      <c r="AT171" s="14"/>
      <c r="AU171" s="11"/>
      <c r="AV171" s="14"/>
    </row>
    <row r="172" spans="1:49" s="45" customFormat="1" ht="15" x14ac:dyDescent="0.25">
      <c r="A172" s="46">
        <v>46067</v>
      </c>
      <c r="B172" s="13"/>
      <c r="C172" s="42" t="s">
        <v>49</v>
      </c>
      <c r="D172" s="42" t="s">
        <v>299</v>
      </c>
      <c r="E172" s="14"/>
      <c r="F172" s="71">
        <v>3641092</v>
      </c>
      <c r="G172" s="42" t="s">
        <v>50</v>
      </c>
      <c r="H172" s="31">
        <v>20101973922</v>
      </c>
      <c r="I172" s="43" t="str">
        <f>IF(H172="","",VLOOKUP(H172,ENTIDAD!$B$2:$C$613,2,0))</f>
        <v>ASOCIACION AUTOMOTRIZ DEL PERU</v>
      </c>
      <c r="J172" s="11"/>
      <c r="K172" s="11"/>
      <c r="L172" s="11"/>
      <c r="M172" s="11"/>
      <c r="N172" s="11">
        <v>0</v>
      </c>
      <c r="O172" s="11">
        <f t="shared" si="3"/>
        <v>0</v>
      </c>
      <c r="P172" s="11">
        <v>0</v>
      </c>
      <c r="Q172" s="11"/>
      <c r="R172" s="11">
        <v>66.8</v>
      </c>
      <c r="S172" s="11">
        <v>66.8</v>
      </c>
      <c r="T172" s="14"/>
      <c r="U172" s="14"/>
      <c r="V172" s="13"/>
      <c r="W172" s="15"/>
      <c r="X172" s="13"/>
      <c r="Y172" s="14"/>
      <c r="Z172" s="14"/>
      <c r="AA172" s="14"/>
      <c r="AB172" s="42" t="s">
        <v>224</v>
      </c>
      <c r="AC172" s="11"/>
      <c r="AD172" s="33">
        <v>46095</v>
      </c>
      <c r="AE172" s="34" t="s">
        <v>465</v>
      </c>
      <c r="AF172" s="37" t="s">
        <v>597</v>
      </c>
      <c r="AG172" s="14" t="s">
        <v>513</v>
      </c>
      <c r="AH172" s="14" t="s">
        <v>225</v>
      </c>
      <c r="AI172" s="14"/>
      <c r="AJ172" s="14"/>
      <c r="AK172" s="16"/>
      <c r="AL172" s="11"/>
      <c r="AM172" s="11"/>
      <c r="AN172" s="14"/>
      <c r="AO172" s="14"/>
      <c r="AP172" s="13"/>
      <c r="AQ172" s="14"/>
      <c r="AR172" s="11">
        <v>18</v>
      </c>
      <c r="AS172" s="14" t="s">
        <v>566</v>
      </c>
      <c r="AT172" s="14"/>
      <c r="AU172" s="11"/>
      <c r="AV172" s="14"/>
    </row>
    <row r="173" spans="1:49" s="45" customFormat="1" ht="15" x14ac:dyDescent="0.25">
      <c r="A173" s="46">
        <v>46067</v>
      </c>
      <c r="B173" s="13"/>
      <c r="C173" s="42" t="s">
        <v>49</v>
      </c>
      <c r="D173" s="42" t="s">
        <v>299</v>
      </c>
      <c r="E173" s="14"/>
      <c r="F173" s="71">
        <v>3641093</v>
      </c>
      <c r="G173" s="42" t="s">
        <v>50</v>
      </c>
      <c r="H173" s="31">
        <v>20101973922</v>
      </c>
      <c r="I173" s="43" t="str">
        <f>IF(H173="","",VLOOKUP(H173,ENTIDAD!$B$2:$C$613,2,0))</f>
        <v>ASOCIACION AUTOMOTRIZ DEL PERU</v>
      </c>
      <c r="J173" s="11"/>
      <c r="K173" s="11"/>
      <c r="L173" s="11"/>
      <c r="M173" s="11"/>
      <c r="N173" s="11">
        <v>0</v>
      </c>
      <c r="O173" s="11">
        <f t="shared" si="3"/>
        <v>0</v>
      </c>
      <c r="P173" s="11">
        <v>0</v>
      </c>
      <c r="Q173" s="11"/>
      <c r="R173" s="11">
        <v>66.8</v>
      </c>
      <c r="S173" s="11">
        <v>66.8</v>
      </c>
      <c r="T173" s="14"/>
      <c r="U173" s="14"/>
      <c r="V173" s="13"/>
      <c r="W173" s="15"/>
      <c r="X173" s="13"/>
      <c r="Y173" s="14"/>
      <c r="Z173" s="14"/>
      <c r="AA173" s="14"/>
      <c r="AB173" s="42" t="s">
        <v>224</v>
      </c>
      <c r="AC173" s="11"/>
      <c r="AD173" s="33">
        <v>46095</v>
      </c>
      <c r="AE173" s="34" t="s">
        <v>465</v>
      </c>
      <c r="AF173" s="37" t="s">
        <v>597</v>
      </c>
      <c r="AG173" s="14" t="s">
        <v>513</v>
      </c>
      <c r="AH173" s="14" t="s">
        <v>225</v>
      </c>
      <c r="AI173" s="14"/>
      <c r="AJ173" s="14"/>
      <c r="AK173" s="16"/>
      <c r="AL173" s="11"/>
      <c r="AM173" s="11"/>
      <c r="AN173" s="14"/>
      <c r="AO173" s="14"/>
      <c r="AP173" s="13"/>
      <c r="AQ173" s="14"/>
      <c r="AR173" s="11">
        <v>18</v>
      </c>
      <c r="AS173" s="14" t="s">
        <v>566</v>
      </c>
      <c r="AT173" s="14"/>
      <c r="AU173" s="11"/>
      <c r="AV173" s="14"/>
    </row>
    <row r="174" spans="1:49" s="45" customFormat="1" ht="15" x14ac:dyDescent="0.25">
      <c r="A174" s="46">
        <v>46067</v>
      </c>
      <c r="B174" s="13"/>
      <c r="C174" s="42" t="s">
        <v>49</v>
      </c>
      <c r="D174" s="42" t="s">
        <v>299</v>
      </c>
      <c r="E174" s="14"/>
      <c r="F174" s="71">
        <v>3641094</v>
      </c>
      <c r="G174" s="42" t="s">
        <v>50</v>
      </c>
      <c r="H174" s="31">
        <v>20101973922</v>
      </c>
      <c r="I174" s="43" t="str">
        <f>IF(H174="","",VLOOKUP(H174,ENTIDAD!$B$2:$C$613,2,0))</f>
        <v>ASOCIACION AUTOMOTRIZ DEL PERU</v>
      </c>
      <c r="J174" s="11"/>
      <c r="K174" s="11"/>
      <c r="L174" s="11"/>
      <c r="M174" s="11"/>
      <c r="N174" s="11">
        <v>0</v>
      </c>
      <c r="O174" s="11">
        <f t="shared" si="3"/>
        <v>0</v>
      </c>
      <c r="P174" s="11">
        <v>0</v>
      </c>
      <c r="Q174" s="11"/>
      <c r="R174" s="11">
        <v>66.8</v>
      </c>
      <c r="S174" s="11">
        <v>66.8</v>
      </c>
      <c r="T174" s="14"/>
      <c r="U174" s="14"/>
      <c r="V174" s="13"/>
      <c r="W174" s="15"/>
      <c r="X174" s="13"/>
      <c r="Y174" s="14"/>
      <c r="Z174" s="14"/>
      <c r="AA174" s="14"/>
      <c r="AB174" s="42" t="s">
        <v>224</v>
      </c>
      <c r="AC174" s="11"/>
      <c r="AD174" s="33">
        <v>46095</v>
      </c>
      <c r="AE174" s="34" t="s">
        <v>465</v>
      </c>
      <c r="AF174" s="37" t="s">
        <v>597</v>
      </c>
      <c r="AG174" s="14" t="s">
        <v>513</v>
      </c>
      <c r="AH174" s="14" t="s">
        <v>225</v>
      </c>
      <c r="AI174" s="14"/>
      <c r="AJ174" s="14"/>
      <c r="AK174" s="16"/>
      <c r="AL174" s="11"/>
      <c r="AM174" s="11"/>
      <c r="AN174" s="14"/>
      <c r="AO174" s="14"/>
      <c r="AP174" s="13"/>
      <c r="AQ174" s="14"/>
      <c r="AR174" s="11">
        <v>18</v>
      </c>
      <c r="AS174" s="14" t="s">
        <v>566</v>
      </c>
      <c r="AT174" s="14"/>
      <c r="AU174" s="11"/>
      <c r="AV174" s="14"/>
    </row>
    <row r="175" spans="1:49" s="45" customFormat="1" ht="15" x14ac:dyDescent="0.25">
      <c r="A175" s="46">
        <v>46067</v>
      </c>
      <c r="B175" s="13"/>
      <c r="C175" s="42" t="s">
        <v>49</v>
      </c>
      <c r="D175" s="42" t="s">
        <v>299</v>
      </c>
      <c r="E175" s="14"/>
      <c r="F175" s="71">
        <v>3641095</v>
      </c>
      <c r="G175" s="42" t="s">
        <v>50</v>
      </c>
      <c r="H175" s="31">
        <v>20101973922</v>
      </c>
      <c r="I175" s="43" t="str">
        <f>IF(H175="","",VLOOKUP(H175,ENTIDAD!$B$2:$C$613,2,0))</f>
        <v>ASOCIACION AUTOMOTRIZ DEL PERU</v>
      </c>
      <c r="J175" s="11"/>
      <c r="K175" s="11"/>
      <c r="L175" s="11"/>
      <c r="M175" s="11"/>
      <c r="N175" s="11">
        <v>0</v>
      </c>
      <c r="O175" s="11">
        <f t="shared" si="3"/>
        <v>0</v>
      </c>
      <c r="P175" s="11">
        <v>0</v>
      </c>
      <c r="Q175" s="11"/>
      <c r="R175" s="11">
        <v>66.8</v>
      </c>
      <c r="S175" s="11">
        <v>66.8</v>
      </c>
      <c r="T175" s="14"/>
      <c r="U175" s="14"/>
      <c r="V175" s="13"/>
      <c r="W175" s="15"/>
      <c r="X175" s="13"/>
      <c r="Y175" s="14"/>
      <c r="Z175" s="14"/>
      <c r="AA175" s="14"/>
      <c r="AB175" s="42" t="s">
        <v>224</v>
      </c>
      <c r="AC175" s="11"/>
      <c r="AD175" s="33">
        <v>46095</v>
      </c>
      <c r="AE175" s="34" t="s">
        <v>465</v>
      </c>
      <c r="AF175" s="37" t="s">
        <v>597</v>
      </c>
      <c r="AG175" s="14" t="s">
        <v>513</v>
      </c>
      <c r="AH175" s="14" t="s">
        <v>225</v>
      </c>
      <c r="AI175" s="14"/>
      <c r="AJ175" s="14"/>
      <c r="AK175" s="16"/>
      <c r="AL175" s="11"/>
      <c r="AM175" s="11"/>
      <c r="AN175" s="14"/>
      <c r="AO175" s="14"/>
      <c r="AP175" s="13"/>
      <c r="AQ175" s="14"/>
      <c r="AR175" s="11">
        <v>18</v>
      </c>
      <c r="AS175" s="14" t="s">
        <v>566</v>
      </c>
      <c r="AT175" s="14"/>
      <c r="AU175" s="11"/>
      <c r="AV175" s="14"/>
    </row>
    <row r="176" spans="1:49" s="45" customFormat="1" ht="15" x14ac:dyDescent="0.25">
      <c r="A176" s="46">
        <v>46067</v>
      </c>
      <c r="B176" s="13"/>
      <c r="C176" s="42" t="s">
        <v>49</v>
      </c>
      <c r="D176" s="42" t="s">
        <v>299</v>
      </c>
      <c r="E176" s="14"/>
      <c r="F176" s="71">
        <v>3641096</v>
      </c>
      <c r="G176" s="42" t="s">
        <v>50</v>
      </c>
      <c r="H176" s="31">
        <v>20101973922</v>
      </c>
      <c r="I176" s="43" t="str">
        <f>IF(H176="","",VLOOKUP(H176,ENTIDAD!$B$2:$C$613,2,0))</f>
        <v>ASOCIACION AUTOMOTRIZ DEL PERU</v>
      </c>
      <c r="J176" s="11"/>
      <c r="K176" s="11"/>
      <c r="L176" s="11"/>
      <c r="M176" s="11"/>
      <c r="N176" s="11">
        <v>0</v>
      </c>
      <c r="O176" s="11">
        <f t="shared" si="3"/>
        <v>0</v>
      </c>
      <c r="P176" s="11">
        <v>0</v>
      </c>
      <c r="Q176" s="11"/>
      <c r="R176" s="11">
        <v>66.8</v>
      </c>
      <c r="S176" s="11">
        <v>66.8</v>
      </c>
      <c r="T176" s="14"/>
      <c r="U176" s="14"/>
      <c r="V176" s="13"/>
      <c r="W176" s="15"/>
      <c r="X176" s="13"/>
      <c r="Y176" s="14"/>
      <c r="Z176" s="14"/>
      <c r="AA176" s="14"/>
      <c r="AB176" s="42" t="s">
        <v>224</v>
      </c>
      <c r="AC176" s="11"/>
      <c r="AD176" s="33">
        <v>46095</v>
      </c>
      <c r="AE176" s="34" t="s">
        <v>465</v>
      </c>
      <c r="AF176" s="37" t="s">
        <v>597</v>
      </c>
      <c r="AG176" s="14" t="s">
        <v>513</v>
      </c>
      <c r="AH176" s="14" t="s">
        <v>225</v>
      </c>
      <c r="AI176" s="14"/>
      <c r="AJ176" s="14"/>
      <c r="AK176" s="16"/>
      <c r="AL176" s="11"/>
      <c r="AM176" s="11"/>
      <c r="AN176" s="14"/>
      <c r="AO176" s="14"/>
      <c r="AP176" s="13"/>
      <c r="AQ176" s="14"/>
      <c r="AR176" s="11">
        <v>18</v>
      </c>
      <c r="AS176" s="14" t="s">
        <v>566</v>
      </c>
      <c r="AT176" s="14"/>
      <c r="AU176" s="11"/>
      <c r="AV176" s="14"/>
    </row>
    <row r="177" spans="1:48" s="45" customFormat="1" ht="15" x14ac:dyDescent="0.25">
      <c r="A177" s="46">
        <v>46067</v>
      </c>
      <c r="B177" s="13"/>
      <c r="C177" s="42" t="s">
        <v>49</v>
      </c>
      <c r="D177" s="42" t="s">
        <v>299</v>
      </c>
      <c r="E177" s="14"/>
      <c r="F177" s="71">
        <v>3641097</v>
      </c>
      <c r="G177" s="42" t="s">
        <v>50</v>
      </c>
      <c r="H177" s="31">
        <v>20101973922</v>
      </c>
      <c r="I177" s="43" t="str">
        <f>IF(H177="","",VLOOKUP(H177,ENTIDAD!$B$2:$C$613,2,0))</f>
        <v>ASOCIACION AUTOMOTRIZ DEL PERU</v>
      </c>
      <c r="J177" s="11"/>
      <c r="K177" s="11"/>
      <c r="L177" s="11"/>
      <c r="M177" s="11"/>
      <c r="N177" s="11">
        <v>0</v>
      </c>
      <c r="O177" s="11">
        <f t="shared" si="3"/>
        <v>0</v>
      </c>
      <c r="P177" s="11">
        <v>0</v>
      </c>
      <c r="Q177" s="11"/>
      <c r="R177" s="11">
        <v>66.8</v>
      </c>
      <c r="S177" s="11">
        <v>66.8</v>
      </c>
      <c r="T177" s="14"/>
      <c r="U177" s="14"/>
      <c r="V177" s="13"/>
      <c r="W177" s="15"/>
      <c r="X177" s="13"/>
      <c r="Y177" s="14"/>
      <c r="Z177" s="14"/>
      <c r="AA177" s="14"/>
      <c r="AB177" s="42" t="s">
        <v>224</v>
      </c>
      <c r="AC177" s="11"/>
      <c r="AD177" s="33">
        <v>46095</v>
      </c>
      <c r="AE177" s="34" t="s">
        <v>465</v>
      </c>
      <c r="AF177" s="37" t="s">
        <v>597</v>
      </c>
      <c r="AG177" s="14" t="s">
        <v>513</v>
      </c>
      <c r="AH177" s="14" t="s">
        <v>225</v>
      </c>
      <c r="AI177" s="14"/>
      <c r="AJ177" s="14"/>
      <c r="AK177" s="16"/>
      <c r="AL177" s="11"/>
      <c r="AM177" s="11"/>
      <c r="AN177" s="14"/>
      <c r="AO177" s="14"/>
      <c r="AP177" s="13"/>
      <c r="AQ177" s="14"/>
      <c r="AR177" s="11">
        <v>18</v>
      </c>
      <c r="AS177" s="14" t="s">
        <v>566</v>
      </c>
      <c r="AT177" s="14"/>
      <c r="AU177" s="11"/>
      <c r="AV177" s="14"/>
    </row>
    <row r="178" spans="1:48" s="45" customFormat="1" ht="15" x14ac:dyDescent="0.25">
      <c r="A178" s="46">
        <v>46067</v>
      </c>
      <c r="B178" s="13"/>
      <c r="C178" s="42" t="s">
        <v>49</v>
      </c>
      <c r="D178" s="42" t="s">
        <v>299</v>
      </c>
      <c r="E178" s="14"/>
      <c r="F178" s="71">
        <v>3641098</v>
      </c>
      <c r="G178" s="42" t="s">
        <v>50</v>
      </c>
      <c r="H178" s="31">
        <v>20101973922</v>
      </c>
      <c r="I178" s="43" t="str">
        <f>IF(H178="","",VLOOKUP(H178,ENTIDAD!$B$2:$C$613,2,0))</f>
        <v>ASOCIACION AUTOMOTRIZ DEL PERU</v>
      </c>
      <c r="J178" s="11"/>
      <c r="K178" s="11"/>
      <c r="L178" s="11"/>
      <c r="M178" s="11"/>
      <c r="N178" s="11">
        <v>0</v>
      </c>
      <c r="O178" s="11">
        <f t="shared" si="3"/>
        <v>0</v>
      </c>
      <c r="P178" s="11">
        <v>0</v>
      </c>
      <c r="Q178" s="11"/>
      <c r="R178" s="11">
        <v>66.8</v>
      </c>
      <c r="S178" s="11">
        <v>66.8</v>
      </c>
      <c r="T178" s="14"/>
      <c r="U178" s="14"/>
      <c r="V178" s="13"/>
      <c r="W178" s="15"/>
      <c r="X178" s="13"/>
      <c r="Y178" s="14"/>
      <c r="Z178" s="14"/>
      <c r="AA178" s="14"/>
      <c r="AB178" s="42" t="s">
        <v>224</v>
      </c>
      <c r="AC178" s="11"/>
      <c r="AD178" s="33">
        <v>46095</v>
      </c>
      <c r="AE178" s="34" t="s">
        <v>465</v>
      </c>
      <c r="AF178" s="37" t="s">
        <v>597</v>
      </c>
      <c r="AG178" s="14" t="s">
        <v>513</v>
      </c>
      <c r="AH178" s="14" t="s">
        <v>225</v>
      </c>
      <c r="AI178" s="14"/>
      <c r="AJ178" s="14"/>
      <c r="AK178" s="16"/>
      <c r="AL178" s="11"/>
      <c r="AM178" s="11"/>
      <c r="AN178" s="14"/>
      <c r="AO178" s="14"/>
      <c r="AP178" s="13"/>
      <c r="AQ178" s="14"/>
      <c r="AR178" s="11">
        <v>18</v>
      </c>
      <c r="AS178" s="14" t="s">
        <v>566</v>
      </c>
      <c r="AT178" s="14"/>
      <c r="AU178" s="11"/>
      <c r="AV178" s="14"/>
    </row>
    <row r="179" spans="1:48" s="45" customFormat="1" ht="15" x14ac:dyDescent="0.25">
      <c r="A179" s="46">
        <v>46067</v>
      </c>
      <c r="B179" s="13"/>
      <c r="C179" s="42" t="s">
        <v>49</v>
      </c>
      <c r="D179" s="42" t="s">
        <v>299</v>
      </c>
      <c r="E179" s="14"/>
      <c r="F179" s="71">
        <v>3641099</v>
      </c>
      <c r="G179" s="42" t="s">
        <v>50</v>
      </c>
      <c r="H179" s="31">
        <v>20101973922</v>
      </c>
      <c r="I179" s="43" t="str">
        <f>IF(H179="","",VLOOKUP(H179,ENTIDAD!$B$2:$C$613,2,0))</f>
        <v>ASOCIACION AUTOMOTRIZ DEL PERU</v>
      </c>
      <c r="J179" s="11"/>
      <c r="K179" s="11"/>
      <c r="L179" s="11"/>
      <c r="M179" s="11"/>
      <c r="N179" s="11">
        <v>0</v>
      </c>
      <c r="O179" s="11">
        <f t="shared" si="3"/>
        <v>0</v>
      </c>
      <c r="P179" s="11">
        <v>0</v>
      </c>
      <c r="Q179" s="11"/>
      <c r="R179" s="11">
        <v>66.8</v>
      </c>
      <c r="S179" s="11">
        <v>66.8</v>
      </c>
      <c r="T179" s="14"/>
      <c r="U179" s="14"/>
      <c r="V179" s="13"/>
      <c r="W179" s="15"/>
      <c r="X179" s="13"/>
      <c r="Y179" s="14"/>
      <c r="Z179" s="14"/>
      <c r="AA179" s="14"/>
      <c r="AB179" s="42" t="s">
        <v>224</v>
      </c>
      <c r="AC179" s="11"/>
      <c r="AD179" s="33">
        <v>46095</v>
      </c>
      <c r="AE179" s="34" t="s">
        <v>465</v>
      </c>
      <c r="AF179" s="37" t="s">
        <v>597</v>
      </c>
      <c r="AG179" s="14" t="s">
        <v>513</v>
      </c>
      <c r="AH179" s="14" t="s">
        <v>225</v>
      </c>
      <c r="AI179" s="14"/>
      <c r="AJ179" s="14"/>
      <c r="AK179" s="16"/>
      <c r="AL179" s="11"/>
      <c r="AM179" s="11"/>
      <c r="AN179" s="14"/>
      <c r="AO179" s="14"/>
      <c r="AP179" s="13"/>
      <c r="AQ179" s="14"/>
      <c r="AR179" s="11">
        <v>18</v>
      </c>
      <c r="AS179" s="14" t="s">
        <v>566</v>
      </c>
      <c r="AT179" s="14"/>
      <c r="AU179" s="11"/>
      <c r="AV179" s="14"/>
    </row>
    <row r="180" spans="1:48" s="45" customFormat="1" ht="15" x14ac:dyDescent="0.25">
      <c r="A180" s="46">
        <v>46067</v>
      </c>
      <c r="B180" s="13"/>
      <c r="C180" s="42" t="s">
        <v>49</v>
      </c>
      <c r="D180" s="42" t="s">
        <v>299</v>
      </c>
      <c r="E180" s="14"/>
      <c r="F180" s="71">
        <v>3641100</v>
      </c>
      <c r="G180" s="42" t="s">
        <v>50</v>
      </c>
      <c r="H180" s="31">
        <v>20101973922</v>
      </c>
      <c r="I180" s="43" t="str">
        <f>IF(H180="","",VLOOKUP(H180,ENTIDAD!$B$2:$C$613,2,0))</f>
        <v>ASOCIACION AUTOMOTRIZ DEL PERU</v>
      </c>
      <c r="J180" s="11"/>
      <c r="K180" s="11"/>
      <c r="L180" s="11"/>
      <c r="M180" s="11"/>
      <c r="N180" s="11">
        <v>0</v>
      </c>
      <c r="O180" s="11">
        <f t="shared" si="3"/>
        <v>0</v>
      </c>
      <c r="P180" s="11">
        <v>0</v>
      </c>
      <c r="Q180" s="11"/>
      <c r="R180" s="11">
        <v>66.8</v>
      </c>
      <c r="S180" s="11">
        <v>66.8</v>
      </c>
      <c r="T180" s="14"/>
      <c r="U180" s="14"/>
      <c r="V180" s="13"/>
      <c r="W180" s="15"/>
      <c r="X180" s="13"/>
      <c r="Y180" s="14"/>
      <c r="Z180" s="14"/>
      <c r="AA180" s="14"/>
      <c r="AB180" s="42" t="s">
        <v>224</v>
      </c>
      <c r="AC180" s="11"/>
      <c r="AD180" s="33">
        <v>46095</v>
      </c>
      <c r="AE180" s="34" t="s">
        <v>465</v>
      </c>
      <c r="AF180" s="37" t="s">
        <v>597</v>
      </c>
      <c r="AG180" s="14" t="s">
        <v>513</v>
      </c>
      <c r="AH180" s="14" t="s">
        <v>225</v>
      </c>
      <c r="AI180" s="14"/>
      <c r="AJ180" s="14"/>
      <c r="AK180" s="16"/>
      <c r="AL180" s="11"/>
      <c r="AM180" s="11"/>
      <c r="AN180" s="14"/>
      <c r="AO180" s="14"/>
      <c r="AP180" s="13"/>
      <c r="AQ180" s="14"/>
      <c r="AR180" s="11">
        <v>18</v>
      </c>
      <c r="AS180" s="14" t="s">
        <v>566</v>
      </c>
      <c r="AT180" s="14"/>
      <c r="AU180" s="11"/>
      <c r="AV180" s="14"/>
    </row>
    <row r="181" spans="1:48" s="45" customFormat="1" ht="15" x14ac:dyDescent="0.25">
      <c r="A181" s="46">
        <v>46067</v>
      </c>
      <c r="B181" s="13"/>
      <c r="C181" s="42" t="s">
        <v>49</v>
      </c>
      <c r="D181" s="42" t="s">
        <v>299</v>
      </c>
      <c r="E181" s="14"/>
      <c r="F181" s="71">
        <v>3641101</v>
      </c>
      <c r="G181" s="42" t="s">
        <v>50</v>
      </c>
      <c r="H181" s="31">
        <v>20101973922</v>
      </c>
      <c r="I181" s="43" t="str">
        <f>IF(H181="","",VLOOKUP(H181,ENTIDAD!$B$2:$C$613,2,0))</f>
        <v>ASOCIACION AUTOMOTRIZ DEL PERU</v>
      </c>
      <c r="J181" s="11"/>
      <c r="K181" s="11"/>
      <c r="L181" s="11"/>
      <c r="M181" s="11"/>
      <c r="N181" s="11">
        <v>0</v>
      </c>
      <c r="O181" s="11">
        <f t="shared" si="3"/>
        <v>0</v>
      </c>
      <c r="P181" s="11">
        <v>0</v>
      </c>
      <c r="Q181" s="11"/>
      <c r="R181" s="11">
        <v>66.8</v>
      </c>
      <c r="S181" s="11">
        <v>66.8</v>
      </c>
      <c r="T181" s="14"/>
      <c r="U181" s="14"/>
      <c r="V181" s="13"/>
      <c r="W181" s="15"/>
      <c r="X181" s="13"/>
      <c r="Y181" s="14"/>
      <c r="Z181" s="14"/>
      <c r="AA181" s="14"/>
      <c r="AB181" s="42" t="s">
        <v>224</v>
      </c>
      <c r="AC181" s="11"/>
      <c r="AD181" s="33">
        <v>46095</v>
      </c>
      <c r="AE181" s="34" t="s">
        <v>465</v>
      </c>
      <c r="AF181" s="37" t="s">
        <v>597</v>
      </c>
      <c r="AG181" s="14" t="s">
        <v>513</v>
      </c>
      <c r="AH181" s="14" t="s">
        <v>225</v>
      </c>
      <c r="AI181" s="14"/>
      <c r="AJ181" s="14"/>
      <c r="AK181" s="16"/>
      <c r="AL181" s="11"/>
      <c r="AM181" s="11"/>
      <c r="AN181" s="14"/>
      <c r="AO181" s="14"/>
      <c r="AP181" s="13"/>
      <c r="AQ181" s="14"/>
      <c r="AR181" s="11">
        <v>18</v>
      </c>
      <c r="AS181" s="14" t="s">
        <v>566</v>
      </c>
      <c r="AT181" s="14"/>
      <c r="AU181" s="11"/>
      <c r="AV181" s="14"/>
    </row>
    <row r="182" spans="1:48" s="45" customFormat="1" ht="15" x14ac:dyDescent="0.25">
      <c r="A182" s="46">
        <v>46067</v>
      </c>
      <c r="B182" s="13"/>
      <c r="C182" s="42" t="s">
        <v>49</v>
      </c>
      <c r="D182" s="42" t="s">
        <v>299</v>
      </c>
      <c r="E182" s="14"/>
      <c r="F182" s="71">
        <v>3641102</v>
      </c>
      <c r="G182" s="42" t="s">
        <v>50</v>
      </c>
      <c r="H182" s="31">
        <v>20101973922</v>
      </c>
      <c r="I182" s="43" t="str">
        <f>IF(H182="","",VLOOKUP(H182,ENTIDAD!$B$2:$C$613,2,0))</f>
        <v>ASOCIACION AUTOMOTRIZ DEL PERU</v>
      </c>
      <c r="J182" s="11"/>
      <c r="K182" s="11"/>
      <c r="L182" s="11"/>
      <c r="M182" s="11"/>
      <c r="N182" s="11">
        <v>0</v>
      </c>
      <c r="O182" s="11">
        <f t="shared" si="3"/>
        <v>0</v>
      </c>
      <c r="P182" s="11">
        <v>0</v>
      </c>
      <c r="Q182" s="11"/>
      <c r="R182" s="11">
        <v>66.8</v>
      </c>
      <c r="S182" s="11">
        <v>66.8</v>
      </c>
      <c r="T182" s="14"/>
      <c r="U182" s="14"/>
      <c r="V182" s="13"/>
      <c r="W182" s="15"/>
      <c r="X182" s="13"/>
      <c r="Y182" s="14"/>
      <c r="Z182" s="14"/>
      <c r="AA182" s="14"/>
      <c r="AB182" s="42" t="s">
        <v>224</v>
      </c>
      <c r="AC182" s="11"/>
      <c r="AD182" s="33">
        <v>46095</v>
      </c>
      <c r="AE182" s="34" t="s">
        <v>465</v>
      </c>
      <c r="AF182" s="37" t="s">
        <v>597</v>
      </c>
      <c r="AG182" s="14" t="s">
        <v>513</v>
      </c>
      <c r="AH182" s="14" t="s">
        <v>225</v>
      </c>
      <c r="AI182" s="14"/>
      <c r="AJ182" s="14"/>
      <c r="AK182" s="16"/>
      <c r="AL182" s="11"/>
      <c r="AM182" s="11"/>
      <c r="AN182" s="14"/>
      <c r="AO182" s="14"/>
      <c r="AP182" s="13"/>
      <c r="AQ182" s="14"/>
      <c r="AR182" s="11">
        <v>18</v>
      </c>
      <c r="AS182" s="14" t="s">
        <v>566</v>
      </c>
      <c r="AT182" s="14"/>
      <c r="AU182" s="11"/>
      <c r="AV182" s="14"/>
    </row>
    <row r="183" spans="1:48" s="45" customFormat="1" ht="15" x14ac:dyDescent="0.25">
      <c r="A183" s="46">
        <v>46067</v>
      </c>
      <c r="B183" s="13"/>
      <c r="C183" s="42" t="s">
        <v>49</v>
      </c>
      <c r="D183" s="42" t="s">
        <v>299</v>
      </c>
      <c r="E183" s="14"/>
      <c r="F183" s="71">
        <v>3641103</v>
      </c>
      <c r="G183" s="42" t="s">
        <v>50</v>
      </c>
      <c r="H183" s="31">
        <v>20101973922</v>
      </c>
      <c r="I183" s="43" t="str">
        <f>IF(H183="","",VLOOKUP(H183,ENTIDAD!$B$2:$C$613,2,0))</f>
        <v>ASOCIACION AUTOMOTRIZ DEL PERU</v>
      </c>
      <c r="J183" s="11"/>
      <c r="K183" s="11"/>
      <c r="L183" s="11"/>
      <c r="M183" s="11"/>
      <c r="N183" s="11">
        <v>0</v>
      </c>
      <c r="O183" s="11">
        <f t="shared" si="3"/>
        <v>0</v>
      </c>
      <c r="P183" s="11">
        <v>0</v>
      </c>
      <c r="Q183" s="11"/>
      <c r="R183" s="11">
        <v>66.8</v>
      </c>
      <c r="S183" s="11">
        <v>66.8</v>
      </c>
      <c r="T183" s="14"/>
      <c r="U183" s="14"/>
      <c r="V183" s="13"/>
      <c r="W183" s="15"/>
      <c r="X183" s="13"/>
      <c r="Y183" s="14"/>
      <c r="Z183" s="14"/>
      <c r="AA183" s="14"/>
      <c r="AB183" s="42" t="s">
        <v>224</v>
      </c>
      <c r="AC183" s="11"/>
      <c r="AD183" s="33">
        <v>46095</v>
      </c>
      <c r="AE183" s="34" t="s">
        <v>465</v>
      </c>
      <c r="AF183" s="37" t="s">
        <v>597</v>
      </c>
      <c r="AG183" s="14" t="s">
        <v>513</v>
      </c>
      <c r="AH183" s="14" t="s">
        <v>225</v>
      </c>
      <c r="AI183" s="14"/>
      <c r="AJ183" s="14"/>
      <c r="AK183" s="16"/>
      <c r="AL183" s="11"/>
      <c r="AM183" s="11"/>
      <c r="AN183" s="14"/>
      <c r="AO183" s="14"/>
      <c r="AP183" s="13"/>
      <c r="AQ183" s="14"/>
      <c r="AR183" s="11">
        <v>18</v>
      </c>
      <c r="AS183" s="14" t="s">
        <v>566</v>
      </c>
      <c r="AT183" s="14"/>
      <c r="AU183" s="11"/>
      <c r="AV183" s="14"/>
    </row>
    <row r="184" spans="1:48" s="45" customFormat="1" ht="15" x14ac:dyDescent="0.25">
      <c r="A184" s="46">
        <v>46067</v>
      </c>
      <c r="B184" s="13"/>
      <c r="C184" s="42" t="s">
        <v>49</v>
      </c>
      <c r="D184" s="42" t="s">
        <v>299</v>
      </c>
      <c r="E184" s="14"/>
      <c r="F184" s="71">
        <v>3641104</v>
      </c>
      <c r="G184" s="42" t="s">
        <v>50</v>
      </c>
      <c r="H184" s="31">
        <v>20101973922</v>
      </c>
      <c r="I184" s="43" t="str">
        <f>IF(H184="","",VLOOKUP(H184,ENTIDAD!$B$2:$C$613,2,0))</f>
        <v>ASOCIACION AUTOMOTRIZ DEL PERU</v>
      </c>
      <c r="J184" s="11"/>
      <c r="K184" s="11"/>
      <c r="L184" s="11"/>
      <c r="M184" s="11"/>
      <c r="N184" s="11">
        <v>0</v>
      </c>
      <c r="O184" s="11">
        <f t="shared" si="3"/>
        <v>0</v>
      </c>
      <c r="P184" s="11">
        <v>0</v>
      </c>
      <c r="Q184" s="11"/>
      <c r="R184" s="11">
        <v>66.8</v>
      </c>
      <c r="S184" s="11">
        <v>66.8</v>
      </c>
      <c r="T184" s="14"/>
      <c r="U184" s="14"/>
      <c r="V184" s="13"/>
      <c r="W184" s="15"/>
      <c r="X184" s="13"/>
      <c r="Y184" s="14"/>
      <c r="Z184" s="14"/>
      <c r="AA184" s="14"/>
      <c r="AB184" s="42" t="s">
        <v>224</v>
      </c>
      <c r="AC184" s="11"/>
      <c r="AD184" s="33">
        <v>46095</v>
      </c>
      <c r="AE184" s="34" t="s">
        <v>465</v>
      </c>
      <c r="AF184" s="37" t="s">
        <v>597</v>
      </c>
      <c r="AG184" s="14" t="s">
        <v>513</v>
      </c>
      <c r="AH184" s="14" t="s">
        <v>225</v>
      </c>
      <c r="AI184" s="14"/>
      <c r="AJ184" s="14"/>
      <c r="AK184" s="16"/>
      <c r="AL184" s="11"/>
      <c r="AM184" s="11"/>
      <c r="AN184" s="14"/>
      <c r="AO184" s="14"/>
      <c r="AP184" s="13"/>
      <c r="AQ184" s="14"/>
      <c r="AR184" s="11">
        <v>18</v>
      </c>
      <c r="AS184" s="14" t="s">
        <v>566</v>
      </c>
      <c r="AT184" s="14"/>
      <c r="AU184" s="11"/>
      <c r="AV184" s="14"/>
    </row>
    <row r="185" spans="1:48" s="45" customFormat="1" ht="15" x14ac:dyDescent="0.25">
      <c r="A185" s="46">
        <v>46067</v>
      </c>
      <c r="B185" s="13"/>
      <c r="C185" s="42" t="s">
        <v>49</v>
      </c>
      <c r="D185" s="42" t="s">
        <v>299</v>
      </c>
      <c r="E185" s="14"/>
      <c r="F185" s="71">
        <v>3641105</v>
      </c>
      <c r="G185" s="42" t="s">
        <v>50</v>
      </c>
      <c r="H185" s="31">
        <v>20101973922</v>
      </c>
      <c r="I185" s="43" t="str">
        <f>IF(H185="","",VLOOKUP(H185,ENTIDAD!$B$2:$C$613,2,0))</f>
        <v>ASOCIACION AUTOMOTRIZ DEL PERU</v>
      </c>
      <c r="J185" s="11"/>
      <c r="K185" s="11"/>
      <c r="L185" s="11"/>
      <c r="M185" s="11"/>
      <c r="N185" s="11">
        <v>0</v>
      </c>
      <c r="O185" s="11">
        <f t="shared" si="3"/>
        <v>0</v>
      </c>
      <c r="P185" s="11">
        <v>0</v>
      </c>
      <c r="Q185" s="11"/>
      <c r="R185" s="11">
        <v>66.8</v>
      </c>
      <c r="S185" s="11">
        <v>66.8</v>
      </c>
      <c r="T185" s="14"/>
      <c r="U185" s="14"/>
      <c r="V185" s="13"/>
      <c r="W185" s="15"/>
      <c r="X185" s="13"/>
      <c r="Y185" s="14"/>
      <c r="Z185" s="14"/>
      <c r="AA185" s="14"/>
      <c r="AB185" s="42" t="s">
        <v>224</v>
      </c>
      <c r="AC185" s="11"/>
      <c r="AD185" s="33">
        <v>46095</v>
      </c>
      <c r="AE185" s="34" t="s">
        <v>465</v>
      </c>
      <c r="AF185" s="37" t="s">
        <v>597</v>
      </c>
      <c r="AG185" s="14" t="s">
        <v>513</v>
      </c>
      <c r="AH185" s="14" t="s">
        <v>225</v>
      </c>
      <c r="AI185" s="14"/>
      <c r="AJ185" s="14"/>
      <c r="AK185" s="16"/>
      <c r="AL185" s="11"/>
      <c r="AM185" s="11"/>
      <c r="AN185" s="14"/>
      <c r="AO185" s="14"/>
      <c r="AP185" s="13"/>
      <c r="AQ185" s="14"/>
      <c r="AR185" s="11">
        <v>18</v>
      </c>
      <c r="AS185" s="14" t="s">
        <v>566</v>
      </c>
      <c r="AT185" s="14"/>
      <c r="AU185" s="11"/>
      <c r="AV185" s="14"/>
    </row>
    <row r="186" spans="1:48" s="45" customFormat="1" ht="15" x14ac:dyDescent="0.25">
      <c r="A186" s="46">
        <v>46067</v>
      </c>
      <c r="B186" s="13"/>
      <c r="C186" s="42" t="s">
        <v>49</v>
      </c>
      <c r="D186" s="42" t="s">
        <v>299</v>
      </c>
      <c r="E186" s="14"/>
      <c r="F186" s="71">
        <v>3641106</v>
      </c>
      <c r="G186" s="42" t="s">
        <v>50</v>
      </c>
      <c r="H186" s="31">
        <v>20101973922</v>
      </c>
      <c r="I186" s="43" t="str">
        <f>IF(H186="","",VLOOKUP(H186,ENTIDAD!$B$2:$C$613,2,0))</f>
        <v>ASOCIACION AUTOMOTRIZ DEL PERU</v>
      </c>
      <c r="J186" s="11"/>
      <c r="K186" s="11"/>
      <c r="L186" s="11"/>
      <c r="M186" s="11"/>
      <c r="N186" s="11">
        <v>0</v>
      </c>
      <c r="O186" s="11">
        <f t="shared" si="3"/>
        <v>0</v>
      </c>
      <c r="P186" s="11">
        <v>0</v>
      </c>
      <c r="Q186" s="11"/>
      <c r="R186" s="11">
        <v>66.8</v>
      </c>
      <c r="S186" s="11">
        <v>66.8</v>
      </c>
      <c r="T186" s="14"/>
      <c r="U186" s="14"/>
      <c r="V186" s="13"/>
      <c r="W186" s="15"/>
      <c r="X186" s="13"/>
      <c r="Y186" s="14"/>
      <c r="Z186" s="14"/>
      <c r="AA186" s="14"/>
      <c r="AB186" s="42" t="s">
        <v>224</v>
      </c>
      <c r="AC186" s="11"/>
      <c r="AD186" s="33">
        <v>46095</v>
      </c>
      <c r="AE186" s="34" t="s">
        <v>465</v>
      </c>
      <c r="AF186" s="37" t="s">
        <v>597</v>
      </c>
      <c r="AG186" s="14" t="s">
        <v>513</v>
      </c>
      <c r="AH186" s="14" t="s">
        <v>225</v>
      </c>
      <c r="AI186" s="14"/>
      <c r="AJ186" s="14"/>
      <c r="AK186" s="16"/>
      <c r="AL186" s="11"/>
      <c r="AM186" s="11"/>
      <c r="AN186" s="14"/>
      <c r="AO186" s="14"/>
      <c r="AP186" s="13"/>
      <c r="AQ186" s="14"/>
      <c r="AR186" s="11">
        <v>18</v>
      </c>
      <c r="AS186" s="14" t="s">
        <v>566</v>
      </c>
      <c r="AT186" s="14"/>
      <c r="AU186" s="11"/>
      <c r="AV186" s="14"/>
    </row>
    <row r="187" spans="1:48" s="45" customFormat="1" ht="15" x14ac:dyDescent="0.25">
      <c r="A187" s="46">
        <v>46067</v>
      </c>
      <c r="B187" s="13"/>
      <c r="C187" s="42" t="s">
        <v>49</v>
      </c>
      <c r="D187" s="42" t="s">
        <v>299</v>
      </c>
      <c r="E187" s="14"/>
      <c r="F187" s="71">
        <v>3641107</v>
      </c>
      <c r="G187" s="42" t="s">
        <v>50</v>
      </c>
      <c r="H187" s="31">
        <v>20101973922</v>
      </c>
      <c r="I187" s="43" t="str">
        <f>IF(H187="","",VLOOKUP(H187,ENTIDAD!$B$2:$C$613,2,0))</f>
        <v>ASOCIACION AUTOMOTRIZ DEL PERU</v>
      </c>
      <c r="J187" s="11"/>
      <c r="K187" s="11"/>
      <c r="L187" s="11"/>
      <c r="M187" s="11"/>
      <c r="N187" s="11">
        <v>0</v>
      </c>
      <c r="O187" s="11">
        <f t="shared" si="3"/>
        <v>0</v>
      </c>
      <c r="P187" s="11">
        <v>0</v>
      </c>
      <c r="Q187" s="11"/>
      <c r="R187" s="11">
        <v>66.8</v>
      </c>
      <c r="S187" s="11">
        <v>66.8</v>
      </c>
      <c r="T187" s="14"/>
      <c r="U187" s="14"/>
      <c r="V187" s="13"/>
      <c r="W187" s="15"/>
      <c r="X187" s="13"/>
      <c r="Y187" s="14"/>
      <c r="Z187" s="14"/>
      <c r="AA187" s="14"/>
      <c r="AB187" s="42" t="s">
        <v>224</v>
      </c>
      <c r="AC187" s="11"/>
      <c r="AD187" s="33">
        <v>46095</v>
      </c>
      <c r="AE187" s="34" t="s">
        <v>465</v>
      </c>
      <c r="AF187" s="37" t="s">
        <v>597</v>
      </c>
      <c r="AG187" s="14" t="s">
        <v>513</v>
      </c>
      <c r="AH187" s="14" t="s">
        <v>225</v>
      </c>
      <c r="AI187" s="14"/>
      <c r="AJ187" s="14"/>
      <c r="AK187" s="16"/>
      <c r="AL187" s="11"/>
      <c r="AM187" s="11"/>
      <c r="AN187" s="14"/>
      <c r="AO187" s="14"/>
      <c r="AP187" s="13"/>
      <c r="AQ187" s="14"/>
      <c r="AR187" s="11">
        <v>18</v>
      </c>
      <c r="AS187" s="14" t="s">
        <v>566</v>
      </c>
      <c r="AT187" s="14"/>
      <c r="AU187" s="11"/>
      <c r="AV187" s="14"/>
    </row>
    <row r="188" spans="1:48" s="45" customFormat="1" ht="15" x14ac:dyDescent="0.25">
      <c r="A188" s="46">
        <v>46067</v>
      </c>
      <c r="B188" s="13"/>
      <c r="C188" s="42" t="s">
        <v>49</v>
      </c>
      <c r="D188" s="42" t="s">
        <v>299</v>
      </c>
      <c r="E188" s="14"/>
      <c r="F188" s="71">
        <v>3641108</v>
      </c>
      <c r="G188" s="42" t="s">
        <v>50</v>
      </c>
      <c r="H188" s="31">
        <v>20101973922</v>
      </c>
      <c r="I188" s="43" t="str">
        <f>IF(H188="","",VLOOKUP(H188,ENTIDAD!$B$2:$C$613,2,0))</f>
        <v>ASOCIACION AUTOMOTRIZ DEL PERU</v>
      </c>
      <c r="J188" s="11"/>
      <c r="K188" s="11"/>
      <c r="L188" s="11"/>
      <c r="M188" s="11"/>
      <c r="N188" s="11">
        <v>0</v>
      </c>
      <c r="O188" s="11">
        <f t="shared" si="3"/>
        <v>0</v>
      </c>
      <c r="P188" s="11">
        <v>0</v>
      </c>
      <c r="Q188" s="11"/>
      <c r="R188" s="11">
        <v>66.8</v>
      </c>
      <c r="S188" s="11">
        <v>66.8</v>
      </c>
      <c r="T188" s="14"/>
      <c r="U188" s="14"/>
      <c r="V188" s="13"/>
      <c r="W188" s="15"/>
      <c r="X188" s="13"/>
      <c r="Y188" s="14"/>
      <c r="Z188" s="14"/>
      <c r="AA188" s="14"/>
      <c r="AB188" s="42" t="s">
        <v>224</v>
      </c>
      <c r="AC188" s="11"/>
      <c r="AD188" s="33">
        <v>46095</v>
      </c>
      <c r="AE188" s="34" t="s">
        <v>465</v>
      </c>
      <c r="AF188" s="37" t="s">
        <v>597</v>
      </c>
      <c r="AG188" s="14" t="s">
        <v>513</v>
      </c>
      <c r="AH188" s="14" t="s">
        <v>225</v>
      </c>
      <c r="AI188" s="14"/>
      <c r="AJ188" s="14"/>
      <c r="AK188" s="16"/>
      <c r="AL188" s="11"/>
      <c r="AM188" s="11"/>
      <c r="AN188" s="14"/>
      <c r="AO188" s="14"/>
      <c r="AP188" s="13"/>
      <c r="AQ188" s="14"/>
      <c r="AR188" s="11">
        <v>18</v>
      </c>
      <c r="AS188" s="14" t="s">
        <v>566</v>
      </c>
      <c r="AT188" s="14"/>
      <c r="AU188" s="11"/>
      <c r="AV188" s="14"/>
    </row>
    <row r="189" spans="1:48" s="45" customFormat="1" ht="15" x14ac:dyDescent="0.25">
      <c r="A189" s="46">
        <v>46067</v>
      </c>
      <c r="B189" s="13"/>
      <c r="C189" s="42" t="s">
        <v>49</v>
      </c>
      <c r="D189" s="42" t="s">
        <v>299</v>
      </c>
      <c r="E189" s="14"/>
      <c r="F189" s="71">
        <v>3641109</v>
      </c>
      <c r="G189" s="42" t="s">
        <v>50</v>
      </c>
      <c r="H189" s="31">
        <v>20101973922</v>
      </c>
      <c r="I189" s="43" t="str">
        <f>IF(H189="","",VLOOKUP(H189,ENTIDAD!$B$2:$C$613,2,0))</f>
        <v>ASOCIACION AUTOMOTRIZ DEL PERU</v>
      </c>
      <c r="J189" s="11"/>
      <c r="K189" s="11"/>
      <c r="L189" s="11"/>
      <c r="M189" s="11"/>
      <c r="N189" s="11">
        <v>0</v>
      </c>
      <c r="O189" s="11">
        <f t="shared" si="3"/>
        <v>0</v>
      </c>
      <c r="P189" s="11">
        <v>0</v>
      </c>
      <c r="Q189" s="11"/>
      <c r="R189" s="11">
        <v>66.8</v>
      </c>
      <c r="S189" s="11">
        <v>66.8</v>
      </c>
      <c r="T189" s="14"/>
      <c r="U189" s="14"/>
      <c r="V189" s="13"/>
      <c r="W189" s="15"/>
      <c r="X189" s="13"/>
      <c r="Y189" s="14"/>
      <c r="Z189" s="14"/>
      <c r="AA189" s="14"/>
      <c r="AB189" s="42" t="s">
        <v>224</v>
      </c>
      <c r="AC189" s="11"/>
      <c r="AD189" s="33">
        <v>46095</v>
      </c>
      <c r="AE189" s="34" t="s">
        <v>465</v>
      </c>
      <c r="AF189" s="37" t="s">
        <v>597</v>
      </c>
      <c r="AG189" s="14" t="s">
        <v>513</v>
      </c>
      <c r="AH189" s="14" t="s">
        <v>225</v>
      </c>
      <c r="AI189" s="14"/>
      <c r="AJ189" s="14"/>
      <c r="AK189" s="16"/>
      <c r="AL189" s="11"/>
      <c r="AM189" s="11"/>
      <c r="AN189" s="14"/>
      <c r="AO189" s="14"/>
      <c r="AP189" s="13"/>
      <c r="AQ189" s="14"/>
      <c r="AR189" s="11">
        <v>18</v>
      </c>
      <c r="AS189" s="14" t="s">
        <v>566</v>
      </c>
      <c r="AT189" s="14"/>
      <c r="AU189" s="11"/>
      <c r="AV189" s="14"/>
    </row>
    <row r="190" spans="1:48" s="45" customFormat="1" ht="15" x14ac:dyDescent="0.25">
      <c r="A190" s="46">
        <v>46067</v>
      </c>
      <c r="B190" s="13"/>
      <c r="C190" s="42" t="s">
        <v>49</v>
      </c>
      <c r="D190" s="42" t="s">
        <v>299</v>
      </c>
      <c r="E190" s="14"/>
      <c r="F190" s="71">
        <v>3641110</v>
      </c>
      <c r="G190" s="42" t="s">
        <v>50</v>
      </c>
      <c r="H190" s="31">
        <v>20101973922</v>
      </c>
      <c r="I190" s="43" t="str">
        <f>IF(H190="","",VLOOKUP(H190,ENTIDAD!$B$2:$C$613,2,0))</f>
        <v>ASOCIACION AUTOMOTRIZ DEL PERU</v>
      </c>
      <c r="J190" s="11"/>
      <c r="K190" s="11"/>
      <c r="L190" s="11"/>
      <c r="M190" s="11"/>
      <c r="N190" s="11">
        <v>0</v>
      </c>
      <c r="O190" s="11">
        <f t="shared" si="3"/>
        <v>0</v>
      </c>
      <c r="P190" s="11">
        <v>0</v>
      </c>
      <c r="Q190" s="11"/>
      <c r="R190" s="11">
        <v>66.8</v>
      </c>
      <c r="S190" s="11">
        <v>66.8</v>
      </c>
      <c r="T190" s="14"/>
      <c r="U190" s="14"/>
      <c r="V190" s="13"/>
      <c r="W190" s="15"/>
      <c r="X190" s="13"/>
      <c r="Y190" s="14"/>
      <c r="Z190" s="14"/>
      <c r="AA190" s="14"/>
      <c r="AB190" s="42" t="s">
        <v>224</v>
      </c>
      <c r="AC190" s="11"/>
      <c r="AD190" s="33">
        <v>46094</v>
      </c>
      <c r="AE190" s="34" t="s">
        <v>465</v>
      </c>
      <c r="AF190" s="37" t="s">
        <v>597</v>
      </c>
      <c r="AG190" s="14" t="s">
        <v>513</v>
      </c>
      <c r="AH190" s="14" t="s">
        <v>225</v>
      </c>
      <c r="AI190" s="14"/>
      <c r="AJ190" s="14"/>
      <c r="AK190" s="16"/>
      <c r="AL190" s="11"/>
      <c r="AM190" s="11"/>
      <c r="AN190" s="14"/>
      <c r="AO190" s="14"/>
      <c r="AP190" s="13"/>
      <c r="AQ190" s="14"/>
      <c r="AR190" s="11">
        <v>18</v>
      </c>
      <c r="AS190" s="14" t="s">
        <v>566</v>
      </c>
      <c r="AT190" s="14"/>
      <c r="AU190" s="11"/>
      <c r="AV190" s="14"/>
    </row>
    <row r="191" spans="1:48" s="45" customFormat="1" ht="15" x14ac:dyDescent="0.25">
      <c r="A191" s="46">
        <v>46067</v>
      </c>
      <c r="B191" s="13"/>
      <c r="C191" s="42" t="s">
        <v>49</v>
      </c>
      <c r="D191" s="42" t="s">
        <v>299</v>
      </c>
      <c r="E191" s="14"/>
      <c r="F191" s="71">
        <v>3641111</v>
      </c>
      <c r="G191" s="42" t="s">
        <v>50</v>
      </c>
      <c r="H191" s="31">
        <v>20101973922</v>
      </c>
      <c r="I191" s="43" t="str">
        <f>IF(H191="","",VLOOKUP(H191,ENTIDAD!$B$2:$C$613,2,0))</f>
        <v>ASOCIACION AUTOMOTRIZ DEL PERU</v>
      </c>
      <c r="J191" s="11"/>
      <c r="K191" s="11"/>
      <c r="L191" s="11"/>
      <c r="M191" s="11"/>
      <c r="N191" s="11">
        <v>0</v>
      </c>
      <c r="O191" s="11">
        <f t="shared" si="3"/>
        <v>0</v>
      </c>
      <c r="P191" s="11">
        <v>0</v>
      </c>
      <c r="Q191" s="11"/>
      <c r="R191" s="11">
        <v>66.8</v>
      </c>
      <c r="S191" s="11">
        <v>66.8</v>
      </c>
      <c r="T191" s="14"/>
      <c r="U191" s="14"/>
      <c r="V191" s="13"/>
      <c r="W191" s="15"/>
      <c r="X191" s="13"/>
      <c r="Y191" s="14"/>
      <c r="Z191" s="14"/>
      <c r="AA191" s="14"/>
      <c r="AB191" s="42" t="s">
        <v>224</v>
      </c>
      <c r="AC191" s="11"/>
      <c r="AD191" s="33">
        <v>46094</v>
      </c>
      <c r="AE191" s="34" t="s">
        <v>465</v>
      </c>
      <c r="AF191" s="37" t="s">
        <v>597</v>
      </c>
      <c r="AG191" s="14" t="s">
        <v>513</v>
      </c>
      <c r="AH191" s="14" t="s">
        <v>225</v>
      </c>
      <c r="AI191" s="14"/>
      <c r="AJ191" s="14"/>
      <c r="AK191" s="16"/>
      <c r="AL191" s="11"/>
      <c r="AM191" s="11"/>
      <c r="AN191" s="14"/>
      <c r="AO191" s="14"/>
      <c r="AP191" s="13"/>
      <c r="AQ191" s="14"/>
      <c r="AR191" s="11">
        <v>18</v>
      </c>
      <c r="AS191" s="14" t="s">
        <v>566</v>
      </c>
      <c r="AT191" s="14"/>
      <c r="AU191" s="11"/>
      <c r="AV191" s="14"/>
    </row>
    <row r="192" spans="1:48" s="45" customFormat="1" ht="15" x14ac:dyDescent="0.25">
      <c r="A192" s="46">
        <v>46068</v>
      </c>
      <c r="B192" s="13"/>
      <c r="C192" s="42" t="s">
        <v>49</v>
      </c>
      <c r="D192" s="42" t="s">
        <v>569</v>
      </c>
      <c r="E192" s="14"/>
      <c r="F192" s="71">
        <v>10599</v>
      </c>
      <c r="G192" s="42" t="s">
        <v>50</v>
      </c>
      <c r="H192" s="31">
        <v>20505365217</v>
      </c>
      <c r="I192" s="43" t="str">
        <f>IF(H192="","",VLOOKUP(H192,ENTIDAD!$B$2:$C$613,2,0))</f>
        <v>EMPRESA DE TRANSPORTES Y TURISMO RARAZ S.A.C.</v>
      </c>
      <c r="J192" s="11"/>
      <c r="K192" s="11"/>
      <c r="L192" s="11"/>
      <c r="M192" s="11"/>
      <c r="N192" s="11">
        <f>(S192-P192)/1.18</f>
        <v>0</v>
      </c>
      <c r="O192" s="11">
        <f t="shared" si="3"/>
        <v>0</v>
      </c>
      <c r="P192" s="11">
        <v>120</v>
      </c>
      <c r="Q192" s="11"/>
      <c r="R192" s="11"/>
      <c r="S192" s="11">
        <v>120</v>
      </c>
      <c r="T192" s="14"/>
      <c r="U192" s="14"/>
      <c r="V192" s="13"/>
      <c r="W192" s="15"/>
      <c r="X192" s="13"/>
      <c r="Y192" s="14"/>
      <c r="Z192" s="14"/>
      <c r="AA192" s="14"/>
      <c r="AB192" s="42" t="s">
        <v>224</v>
      </c>
      <c r="AC192" s="11"/>
      <c r="AD192" s="13"/>
      <c r="AE192" s="14" t="s">
        <v>465</v>
      </c>
      <c r="AF192" s="19">
        <v>6311295</v>
      </c>
      <c r="AG192" s="14"/>
      <c r="AH192" s="14" t="s">
        <v>225</v>
      </c>
      <c r="AI192" s="14"/>
      <c r="AJ192" s="14"/>
      <c r="AK192" s="16"/>
      <c r="AL192" s="11"/>
      <c r="AM192" s="11"/>
      <c r="AN192" s="14"/>
      <c r="AO192" s="14"/>
      <c r="AP192" s="13"/>
      <c r="AQ192" s="14"/>
      <c r="AR192" s="11">
        <v>18</v>
      </c>
      <c r="AS192" s="14" t="s">
        <v>516</v>
      </c>
      <c r="AT192" s="14"/>
      <c r="AU192" s="11"/>
      <c r="AV192" s="14"/>
    </row>
    <row r="193" spans="1:48" s="45" customFormat="1" ht="15" x14ac:dyDescent="0.25">
      <c r="A193" s="46">
        <v>46069</v>
      </c>
      <c r="B193" s="13"/>
      <c r="C193" s="42" t="s">
        <v>49</v>
      </c>
      <c r="D193" s="42" t="s">
        <v>294</v>
      </c>
      <c r="E193" s="14"/>
      <c r="F193" s="71">
        <v>2163</v>
      </c>
      <c r="G193" s="42" t="s">
        <v>50</v>
      </c>
      <c r="H193" s="31">
        <v>20604975159</v>
      </c>
      <c r="I193" s="43" t="str">
        <f>IF(H193="","",VLOOKUP(H193,ENTIDAD!$B$2:$C$613,2,0))</f>
        <v>CORPORACION CARELI EMPRESA INDIVIDUAL DE RESPONSABILIDAD LIMITADA - CORPORACION CARELI E.I.R.L.</v>
      </c>
      <c r="J193" s="11"/>
      <c r="K193" s="11"/>
      <c r="L193" s="11"/>
      <c r="M193" s="11"/>
      <c r="N193" s="11">
        <f>(S193-P193)/1.18</f>
        <v>0</v>
      </c>
      <c r="O193" s="11">
        <f t="shared" si="3"/>
        <v>0</v>
      </c>
      <c r="P193" s="11">
        <v>130</v>
      </c>
      <c r="Q193" s="11"/>
      <c r="R193" s="11"/>
      <c r="S193" s="11">
        <v>130</v>
      </c>
      <c r="T193" s="14"/>
      <c r="U193" s="14"/>
      <c r="V193" s="13"/>
      <c r="W193" s="15"/>
      <c r="X193" s="13"/>
      <c r="Y193" s="14"/>
      <c r="Z193" s="14"/>
      <c r="AA193" s="14"/>
      <c r="AB193" s="42" t="s">
        <v>224</v>
      </c>
      <c r="AC193" s="11"/>
      <c r="AD193" s="13"/>
      <c r="AE193" s="14" t="s">
        <v>262</v>
      </c>
      <c r="AF193" s="19" t="s">
        <v>605</v>
      </c>
      <c r="AG193" s="14"/>
      <c r="AH193" s="14" t="s">
        <v>225</v>
      </c>
      <c r="AI193" s="14"/>
      <c r="AJ193" s="14"/>
      <c r="AK193" s="16"/>
      <c r="AL193" s="11"/>
      <c r="AM193" s="11"/>
      <c r="AN193" s="14"/>
      <c r="AO193" s="14"/>
      <c r="AP193" s="13"/>
      <c r="AQ193" s="14"/>
      <c r="AR193" s="11">
        <v>18</v>
      </c>
      <c r="AS193" s="14" t="s">
        <v>583</v>
      </c>
      <c r="AT193" s="14"/>
      <c r="AU193" s="11"/>
      <c r="AV193" s="14"/>
    </row>
    <row r="194" spans="1:48" s="45" customFormat="1" ht="15" x14ac:dyDescent="0.25">
      <c r="A194" s="46">
        <v>46070</v>
      </c>
      <c r="B194" s="13"/>
      <c r="C194" s="42" t="s">
        <v>49</v>
      </c>
      <c r="D194" s="42" t="s">
        <v>301</v>
      </c>
      <c r="E194" s="14"/>
      <c r="F194" s="71">
        <v>16737</v>
      </c>
      <c r="G194" s="42" t="s">
        <v>50</v>
      </c>
      <c r="H194" s="31">
        <v>20493508645</v>
      </c>
      <c r="I194" s="43" t="str">
        <f>IF(H194="","",VLOOKUP(H194,ENTIDAD!$B$2:$C$613,2,0))</f>
        <v>HONDA SELVA DEL PERU S.A.</v>
      </c>
      <c r="J194" s="11"/>
      <c r="K194" s="11"/>
      <c r="L194" s="11"/>
      <c r="M194" s="11"/>
      <c r="N194" s="11">
        <f>(S194-P194)/1.18</f>
        <v>-1.7627118661224259E-3</v>
      </c>
      <c r="O194" s="11">
        <f t="shared" si="3"/>
        <v>-3.1728813590203663E-4</v>
      </c>
      <c r="P194" s="11">
        <v>26090.62</v>
      </c>
      <c r="Q194" s="11"/>
      <c r="R194" s="11"/>
      <c r="S194" s="11">
        <f>W194*AC194</f>
        <v>26090.617919999997</v>
      </c>
      <c r="T194" s="14"/>
      <c r="U194" s="14"/>
      <c r="V194" s="13"/>
      <c r="W194" s="15">
        <v>3.3559999999999999</v>
      </c>
      <c r="X194" s="13"/>
      <c r="Y194" s="14"/>
      <c r="Z194" s="14"/>
      <c r="AA194" s="14"/>
      <c r="AB194" s="42" t="s">
        <v>383</v>
      </c>
      <c r="AC194" s="11">
        <v>7774.32</v>
      </c>
      <c r="AD194" s="46">
        <v>46098</v>
      </c>
      <c r="AE194" s="34" t="s">
        <v>465</v>
      </c>
      <c r="AF194" s="19" t="s">
        <v>532</v>
      </c>
      <c r="AG194" s="14"/>
      <c r="AH194" s="14" t="s">
        <v>225</v>
      </c>
      <c r="AI194" s="14"/>
      <c r="AJ194" s="14"/>
      <c r="AK194" s="16"/>
      <c r="AL194" s="11"/>
      <c r="AM194" s="11"/>
      <c r="AN194" s="14"/>
      <c r="AO194" s="14"/>
      <c r="AP194" s="13"/>
      <c r="AQ194" s="14"/>
      <c r="AR194" s="11">
        <v>18</v>
      </c>
      <c r="AS194" s="14" t="s">
        <v>201</v>
      </c>
      <c r="AT194" s="14"/>
      <c r="AU194" s="11"/>
      <c r="AV194" s="14"/>
    </row>
    <row r="195" spans="1:48" s="45" customFormat="1" ht="15" x14ac:dyDescent="0.25">
      <c r="A195" s="13">
        <v>46071</v>
      </c>
      <c r="B195" s="13"/>
      <c r="C195" s="42" t="s">
        <v>49</v>
      </c>
      <c r="D195" s="42" t="s">
        <v>299</v>
      </c>
      <c r="E195" s="14"/>
      <c r="F195" s="71">
        <v>3669081</v>
      </c>
      <c r="G195" s="42" t="s">
        <v>50</v>
      </c>
      <c r="H195" s="31">
        <v>20101973922</v>
      </c>
      <c r="I195" s="43" t="str">
        <f>IF(H195="","",VLOOKUP(H195,ENTIDAD!$B$2:$C$613,2,0))</f>
        <v>ASOCIACION AUTOMOTRIZ DEL PERU</v>
      </c>
      <c r="J195" s="11"/>
      <c r="K195" s="11"/>
      <c r="L195" s="11"/>
      <c r="M195" s="11"/>
      <c r="N195" s="11">
        <v>0</v>
      </c>
      <c r="O195" s="11">
        <f t="shared" ref="O195:O258" si="4">N195*0.18</f>
        <v>0</v>
      </c>
      <c r="P195" s="11">
        <v>0</v>
      </c>
      <c r="Q195" s="11"/>
      <c r="R195" s="100">
        <v>66.8</v>
      </c>
      <c r="S195" s="101">
        <v>66.8</v>
      </c>
      <c r="T195" s="34"/>
      <c r="U195" s="34"/>
      <c r="V195" s="33"/>
      <c r="W195" s="36"/>
      <c r="X195" s="33"/>
      <c r="Y195" s="34"/>
      <c r="Z195" s="34"/>
      <c r="AA195" s="34"/>
      <c r="AB195" s="48" t="s">
        <v>224</v>
      </c>
      <c r="AC195" s="35"/>
      <c r="AD195" s="33">
        <v>46099</v>
      </c>
      <c r="AE195" s="34" t="s">
        <v>465</v>
      </c>
      <c r="AF195" s="37" t="s">
        <v>597</v>
      </c>
      <c r="AG195" s="14" t="s">
        <v>513</v>
      </c>
      <c r="AH195" s="14" t="s">
        <v>225</v>
      </c>
      <c r="AI195" s="14"/>
      <c r="AJ195" s="14"/>
      <c r="AK195" s="16"/>
      <c r="AL195" s="11"/>
      <c r="AM195" s="11"/>
      <c r="AN195" s="14"/>
      <c r="AO195" s="14"/>
      <c r="AP195" s="13"/>
      <c r="AQ195" s="14"/>
      <c r="AR195" s="11">
        <v>18</v>
      </c>
      <c r="AS195" s="14" t="s">
        <v>566</v>
      </c>
      <c r="AT195" s="14"/>
      <c r="AU195" s="11"/>
      <c r="AV195" s="14"/>
    </row>
    <row r="196" spans="1:48" s="45" customFormat="1" ht="15" x14ac:dyDescent="0.25">
      <c r="A196" s="13">
        <v>46071</v>
      </c>
      <c r="B196" s="13"/>
      <c r="C196" s="42" t="s">
        <v>49</v>
      </c>
      <c r="D196" s="42" t="s">
        <v>299</v>
      </c>
      <c r="E196" s="14"/>
      <c r="F196" s="71">
        <v>3669082</v>
      </c>
      <c r="G196" s="42" t="s">
        <v>50</v>
      </c>
      <c r="H196" s="31">
        <v>20101973922</v>
      </c>
      <c r="I196" s="43" t="str">
        <f>IF(H196="","",VLOOKUP(H196,ENTIDAD!$B$2:$C$613,2,0))</f>
        <v>ASOCIACION AUTOMOTRIZ DEL PERU</v>
      </c>
      <c r="J196" s="11"/>
      <c r="K196" s="11"/>
      <c r="L196" s="11"/>
      <c r="M196" s="11"/>
      <c r="N196" s="11">
        <v>0</v>
      </c>
      <c r="O196" s="11">
        <f t="shared" si="4"/>
        <v>0</v>
      </c>
      <c r="P196" s="11">
        <v>0</v>
      </c>
      <c r="Q196" s="11"/>
      <c r="R196" s="11">
        <v>66.8</v>
      </c>
      <c r="S196" s="11">
        <v>66.8</v>
      </c>
      <c r="T196" s="14"/>
      <c r="U196" s="14"/>
      <c r="V196" s="13"/>
      <c r="W196" s="15"/>
      <c r="X196" s="13"/>
      <c r="Y196" s="14"/>
      <c r="Z196" s="14"/>
      <c r="AA196" s="14"/>
      <c r="AB196" s="42" t="s">
        <v>224</v>
      </c>
      <c r="AC196" s="11"/>
      <c r="AD196" s="33">
        <v>46099</v>
      </c>
      <c r="AE196" s="34" t="s">
        <v>465</v>
      </c>
      <c r="AF196" s="37" t="s">
        <v>597</v>
      </c>
      <c r="AG196" s="14" t="s">
        <v>513</v>
      </c>
      <c r="AH196" s="14" t="s">
        <v>225</v>
      </c>
      <c r="AI196" s="14"/>
      <c r="AJ196" s="14"/>
      <c r="AK196" s="16"/>
      <c r="AL196" s="11"/>
      <c r="AM196" s="11"/>
      <c r="AN196" s="14"/>
      <c r="AO196" s="14"/>
      <c r="AP196" s="13"/>
      <c r="AQ196" s="14"/>
      <c r="AR196" s="11">
        <v>18</v>
      </c>
      <c r="AS196" s="14" t="s">
        <v>566</v>
      </c>
      <c r="AT196" s="14"/>
      <c r="AU196" s="11"/>
      <c r="AV196" s="14"/>
    </row>
    <row r="197" spans="1:48" s="45" customFormat="1" ht="15" x14ac:dyDescent="0.25">
      <c r="A197" s="13">
        <v>46071</v>
      </c>
      <c r="B197" s="13"/>
      <c r="C197" s="42" t="s">
        <v>49</v>
      </c>
      <c r="D197" s="42" t="s">
        <v>299</v>
      </c>
      <c r="E197" s="14"/>
      <c r="F197" s="71">
        <v>3669083</v>
      </c>
      <c r="G197" s="42" t="s">
        <v>50</v>
      </c>
      <c r="H197" s="31">
        <v>20101973922</v>
      </c>
      <c r="I197" s="43" t="str">
        <f>IF(H197="","",VLOOKUP(H197,ENTIDAD!$B$2:$C$613,2,0))</f>
        <v>ASOCIACION AUTOMOTRIZ DEL PERU</v>
      </c>
      <c r="J197" s="11"/>
      <c r="K197" s="11"/>
      <c r="L197" s="11"/>
      <c r="M197" s="11"/>
      <c r="N197" s="11">
        <v>0</v>
      </c>
      <c r="O197" s="11">
        <f t="shared" si="4"/>
        <v>0</v>
      </c>
      <c r="P197" s="11">
        <v>0</v>
      </c>
      <c r="Q197" s="11"/>
      <c r="R197" s="11">
        <v>66.8</v>
      </c>
      <c r="S197" s="11">
        <v>66.8</v>
      </c>
      <c r="T197" s="14"/>
      <c r="U197" s="14"/>
      <c r="V197" s="13"/>
      <c r="W197" s="15"/>
      <c r="X197" s="13"/>
      <c r="Y197" s="14"/>
      <c r="Z197" s="14"/>
      <c r="AA197" s="14"/>
      <c r="AB197" s="42" t="s">
        <v>224</v>
      </c>
      <c r="AC197" s="11"/>
      <c r="AD197" s="33">
        <v>46099</v>
      </c>
      <c r="AE197" s="34" t="s">
        <v>465</v>
      </c>
      <c r="AF197" s="37" t="s">
        <v>597</v>
      </c>
      <c r="AG197" s="14" t="s">
        <v>513</v>
      </c>
      <c r="AH197" s="14" t="s">
        <v>225</v>
      </c>
      <c r="AI197" s="14"/>
      <c r="AJ197" s="14"/>
      <c r="AK197" s="16"/>
      <c r="AL197" s="11"/>
      <c r="AM197" s="11"/>
      <c r="AN197" s="14"/>
      <c r="AO197" s="14"/>
      <c r="AP197" s="13"/>
      <c r="AQ197" s="14"/>
      <c r="AR197" s="11">
        <v>18</v>
      </c>
      <c r="AS197" s="14" t="s">
        <v>566</v>
      </c>
      <c r="AT197" s="14"/>
      <c r="AU197" s="11"/>
      <c r="AV197" s="14"/>
    </row>
    <row r="198" spans="1:48" s="45" customFormat="1" ht="15" x14ac:dyDescent="0.25">
      <c r="A198" s="13">
        <v>46071</v>
      </c>
      <c r="B198" s="13"/>
      <c r="C198" s="42" t="s">
        <v>49</v>
      </c>
      <c r="D198" s="42" t="s">
        <v>299</v>
      </c>
      <c r="E198" s="14"/>
      <c r="F198" s="71">
        <v>3669084</v>
      </c>
      <c r="G198" s="42" t="s">
        <v>50</v>
      </c>
      <c r="H198" s="31">
        <v>20101973922</v>
      </c>
      <c r="I198" s="43" t="str">
        <f>IF(H198="","",VLOOKUP(H198,ENTIDAD!$B$2:$C$613,2,0))</f>
        <v>ASOCIACION AUTOMOTRIZ DEL PERU</v>
      </c>
      <c r="J198" s="11"/>
      <c r="K198" s="11"/>
      <c r="L198" s="11"/>
      <c r="M198" s="11"/>
      <c r="N198" s="11">
        <v>0</v>
      </c>
      <c r="O198" s="11">
        <f t="shared" si="4"/>
        <v>0</v>
      </c>
      <c r="P198" s="11">
        <v>0</v>
      </c>
      <c r="Q198" s="11"/>
      <c r="R198" s="11">
        <v>66.8</v>
      </c>
      <c r="S198" s="11">
        <v>66.8</v>
      </c>
      <c r="T198" s="14"/>
      <c r="U198" s="14"/>
      <c r="V198" s="13"/>
      <c r="W198" s="15"/>
      <c r="X198" s="13"/>
      <c r="Y198" s="14"/>
      <c r="Z198" s="14"/>
      <c r="AA198" s="14"/>
      <c r="AB198" s="42" t="s">
        <v>224</v>
      </c>
      <c r="AC198" s="11"/>
      <c r="AD198" s="33">
        <v>46099</v>
      </c>
      <c r="AE198" s="34" t="s">
        <v>465</v>
      </c>
      <c r="AF198" s="37" t="s">
        <v>597</v>
      </c>
      <c r="AG198" s="14" t="s">
        <v>513</v>
      </c>
      <c r="AH198" s="14" t="s">
        <v>225</v>
      </c>
      <c r="AI198" s="14"/>
      <c r="AJ198" s="14"/>
      <c r="AK198" s="16"/>
      <c r="AL198" s="11"/>
      <c r="AM198" s="11"/>
      <c r="AN198" s="14"/>
      <c r="AO198" s="14"/>
      <c r="AP198" s="13"/>
      <c r="AQ198" s="14"/>
      <c r="AR198" s="11">
        <v>18</v>
      </c>
      <c r="AS198" s="14" t="s">
        <v>566</v>
      </c>
      <c r="AT198" s="14"/>
      <c r="AU198" s="11"/>
      <c r="AV198" s="14"/>
    </row>
    <row r="199" spans="1:48" s="45" customFormat="1" ht="15" x14ac:dyDescent="0.25">
      <c r="A199" s="13">
        <v>46071</v>
      </c>
      <c r="B199" s="13"/>
      <c r="C199" s="42" t="s">
        <v>49</v>
      </c>
      <c r="D199" s="42" t="s">
        <v>299</v>
      </c>
      <c r="E199" s="14"/>
      <c r="F199" s="71">
        <v>3669085</v>
      </c>
      <c r="G199" s="42" t="s">
        <v>50</v>
      </c>
      <c r="H199" s="31">
        <v>20101973922</v>
      </c>
      <c r="I199" s="43" t="str">
        <f>IF(H199="","",VLOOKUP(H199,ENTIDAD!$B$2:$C$613,2,0))</f>
        <v>ASOCIACION AUTOMOTRIZ DEL PERU</v>
      </c>
      <c r="J199" s="11"/>
      <c r="K199" s="11"/>
      <c r="L199" s="11"/>
      <c r="M199" s="11"/>
      <c r="N199" s="11">
        <v>0</v>
      </c>
      <c r="O199" s="11">
        <f t="shared" si="4"/>
        <v>0</v>
      </c>
      <c r="P199" s="11">
        <v>0</v>
      </c>
      <c r="Q199" s="11"/>
      <c r="R199" s="11">
        <v>66.8</v>
      </c>
      <c r="S199" s="11">
        <v>66.8</v>
      </c>
      <c r="T199" s="14"/>
      <c r="U199" s="14"/>
      <c r="V199" s="13"/>
      <c r="W199" s="15"/>
      <c r="X199" s="13"/>
      <c r="Y199" s="14"/>
      <c r="Z199" s="14"/>
      <c r="AA199" s="14"/>
      <c r="AB199" s="42" t="s">
        <v>224</v>
      </c>
      <c r="AC199" s="11"/>
      <c r="AD199" s="33">
        <v>46099</v>
      </c>
      <c r="AE199" s="34" t="s">
        <v>465</v>
      </c>
      <c r="AF199" s="37" t="s">
        <v>597</v>
      </c>
      <c r="AG199" s="14" t="s">
        <v>513</v>
      </c>
      <c r="AH199" s="14" t="s">
        <v>225</v>
      </c>
      <c r="AI199" s="14"/>
      <c r="AJ199" s="14"/>
      <c r="AK199" s="16"/>
      <c r="AL199" s="11"/>
      <c r="AM199" s="11"/>
      <c r="AN199" s="14"/>
      <c r="AO199" s="14"/>
      <c r="AP199" s="13"/>
      <c r="AQ199" s="14"/>
      <c r="AR199" s="11">
        <v>18</v>
      </c>
      <c r="AS199" s="14" t="s">
        <v>566</v>
      </c>
      <c r="AT199" s="14"/>
      <c r="AU199" s="11"/>
      <c r="AV199" s="14"/>
    </row>
    <row r="200" spans="1:48" s="45" customFormat="1" ht="15" x14ac:dyDescent="0.25">
      <c r="A200" s="13">
        <v>46071</v>
      </c>
      <c r="B200" s="13"/>
      <c r="C200" s="42" t="s">
        <v>49</v>
      </c>
      <c r="D200" s="42" t="s">
        <v>299</v>
      </c>
      <c r="E200" s="14"/>
      <c r="F200" s="71">
        <v>3669086</v>
      </c>
      <c r="G200" s="42" t="s">
        <v>50</v>
      </c>
      <c r="H200" s="31">
        <v>20101973922</v>
      </c>
      <c r="I200" s="43" t="str">
        <f>IF(H200="","",VLOOKUP(H200,ENTIDAD!$B$2:$C$613,2,0))</f>
        <v>ASOCIACION AUTOMOTRIZ DEL PERU</v>
      </c>
      <c r="J200" s="11"/>
      <c r="K200" s="11"/>
      <c r="L200" s="11"/>
      <c r="M200" s="11"/>
      <c r="N200" s="11">
        <v>0</v>
      </c>
      <c r="O200" s="11">
        <f t="shared" si="4"/>
        <v>0</v>
      </c>
      <c r="P200" s="11">
        <v>0</v>
      </c>
      <c r="Q200" s="11"/>
      <c r="R200" s="11">
        <v>66.8</v>
      </c>
      <c r="S200" s="11">
        <v>66.8</v>
      </c>
      <c r="T200" s="14"/>
      <c r="U200" s="14"/>
      <c r="V200" s="13"/>
      <c r="W200" s="15"/>
      <c r="X200" s="13"/>
      <c r="Y200" s="14"/>
      <c r="Z200" s="14"/>
      <c r="AA200" s="14"/>
      <c r="AB200" s="42" t="s">
        <v>224</v>
      </c>
      <c r="AC200" s="11"/>
      <c r="AD200" s="33">
        <v>46099</v>
      </c>
      <c r="AE200" s="34" t="s">
        <v>465</v>
      </c>
      <c r="AF200" s="37" t="s">
        <v>597</v>
      </c>
      <c r="AG200" s="14" t="s">
        <v>513</v>
      </c>
      <c r="AH200" s="14" t="s">
        <v>225</v>
      </c>
      <c r="AI200" s="14"/>
      <c r="AJ200" s="14"/>
      <c r="AK200" s="16"/>
      <c r="AL200" s="11"/>
      <c r="AM200" s="11"/>
      <c r="AN200" s="14"/>
      <c r="AO200" s="14"/>
      <c r="AP200" s="13"/>
      <c r="AQ200" s="14"/>
      <c r="AR200" s="11">
        <v>18</v>
      </c>
      <c r="AS200" s="14" t="s">
        <v>566</v>
      </c>
      <c r="AT200" s="14"/>
      <c r="AU200" s="11"/>
      <c r="AV200" s="14"/>
    </row>
    <row r="201" spans="1:48" s="45" customFormat="1" ht="15" x14ac:dyDescent="0.25">
      <c r="A201" s="13">
        <v>46071</v>
      </c>
      <c r="B201" s="13"/>
      <c r="C201" s="42" t="s">
        <v>49</v>
      </c>
      <c r="D201" s="42" t="s">
        <v>299</v>
      </c>
      <c r="E201" s="14"/>
      <c r="F201" s="71">
        <v>3669087</v>
      </c>
      <c r="G201" s="42" t="s">
        <v>50</v>
      </c>
      <c r="H201" s="31">
        <v>20101973922</v>
      </c>
      <c r="I201" s="43" t="str">
        <f>IF(H201="","",VLOOKUP(H201,ENTIDAD!$B$2:$C$613,2,0))</f>
        <v>ASOCIACION AUTOMOTRIZ DEL PERU</v>
      </c>
      <c r="J201" s="11"/>
      <c r="K201" s="11"/>
      <c r="L201" s="11"/>
      <c r="M201" s="11"/>
      <c r="N201" s="11">
        <v>0</v>
      </c>
      <c r="O201" s="11">
        <f t="shared" si="4"/>
        <v>0</v>
      </c>
      <c r="P201" s="11">
        <v>0</v>
      </c>
      <c r="Q201" s="11"/>
      <c r="R201" s="11">
        <v>66.8</v>
      </c>
      <c r="S201" s="11">
        <v>66.8</v>
      </c>
      <c r="T201" s="14"/>
      <c r="U201" s="14"/>
      <c r="V201" s="13"/>
      <c r="W201" s="15"/>
      <c r="X201" s="13"/>
      <c r="Y201" s="14"/>
      <c r="Z201" s="14"/>
      <c r="AA201" s="14"/>
      <c r="AB201" s="42" t="s">
        <v>224</v>
      </c>
      <c r="AC201" s="11"/>
      <c r="AD201" s="33">
        <v>46099</v>
      </c>
      <c r="AE201" s="34" t="s">
        <v>465</v>
      </c>
      <c r="AF201" s="37" t="s">
        <v>597</v>
      </c>
      <c r="AG201" s="14" t="s">
        <v>513</v>
      </c>
      <c r="AH201" s="14" t="s">
        <v>225</v>
      </c>
      <c r="AI201" s="14"/>
      <c r="AJ201" s="14"/>
      <c r="AK201" s="16"/>
      <c r="AL201" s="11"/>
      <c r="AM201" s="11"/>
      <c r="AN201" s="14"/>
      <c r="AO201" s="14"/>
      <c r="AP201" s="13"/>
      <c r="AQ201" s="14"/>
      <c r="AR201" s="11">
        <v>18</v>
      </c>
      <c r="AS201" s="14" t="s">
        <v>566</v>
      </c>
      <c r="AT201" s="14"/>
      <c r="AU201" s="11"/>
      <c r="AV201" s="14"/>
    </row>
    <row r="202" spans="1:48" s="45" customFormat="1" ht="15" x14ac:dyDescent="0.25">
      <c r="A202" s="13">
        <v>46071</v>
      </c>
      <c r="B202" s="13"/>
      <c r="C202" s="42" t="s">
        <v>49</v>
      </c>
      <c r="D202" s="42" t="s">
        <v>299</v>
      </c>
      <c r="E202" s="14"/>
      <c r="F202" s="71">
        <v>3669088</v>
      </c>
      <c r="G202" s="42" t="s">
        <v>50</v>
      </c>
      <c r="H202" s="31">
        <v>20101973922</v>
      </c>
      <c r="I202" s="43" t="str">
        <f>IF(H202="","",VLOOKUP(H202,ENTIDAD!$B$2:$C$613,2,0))</f>
        <v>ASOCIACION AUTOMOTRIZ DEL PERU</v>
      </c>
      <c r="J202" s="11"/>
      <c r="K202" s="11"/>
      <c r="L202" s="11"/>
      <c r="M202" s="11"/>
      <c r="N202" s="11">
        <v>0</v>
      </c>
      <c r="O202" s="11">
        <f t="shared" si="4"/>
        <v>0</v>
      </c>
      <c r="P202" s="11">
        <v>0</v>
      </c>
      <c r="Q202" s="11"/>
      <c r="R202" s="11">
        <v>66.8</v>
      </c>
      <c r="S202" s="11">
        <v>66.8</v>
      </c>
      <c r="T202" s="14"/>
      <c r="U202" s="14"/>
      <c r="V202" s="13"/>
      <c r="W202" s="15"/>
      <c r="X202" s="13"/>
      <c r="Y202" s="14"/>
      <c r="Z202" s="14"/>
      <c r="AA202" s="14"/>
      <c r="AB202" s="42" t="s">
        <v>224</v>
      </c>
      <c r="AC202" s="11"/>
      <c r="AD202" s="33">
        <v>46099</v>
      </c>
      <c r="AE202" s="34" t="s">
        <v>465</v>
      </c>
      <c r="AF202" s="37" t="s">
        <v>597</v>
      </c>
      <c r="AG202" s="14" t="s">
        <v>513</v>
      </c>
      <c r="AH202" s="14" t="s">
        <v>225</v>
      </c>
      <c r="AI202" s="14"/>
      <c r="AJ202" s="14"/>
      <c r="AK202" s="16"/>
      <c r="AL202" s="11"/>
      <c r="AM202" s="11"/>
      <c r="AN202" s="14"/>
      <c r="AO202" s="14"/>
      <c r="AP202" s="13"/>
      <c r="AQ202" s="14"/>
      <c r="AR202" s="11">
        <v>18</v>
      </c>
      <c r="AS202" s="14" t="s">
        <v>566</v>
      </c>
      <c r="AT202" s="14"/>
      <c r="AU202" s="11"/>
      <c r="AV202" s="14"/>
    </row>
    <row r="203" spans="1:48" s="45" customFormat="1" ht="15" x14ac:dyDescent="0.25">
      <c r="A203" s="13">
        <v>46071</v>
      </c>
      <c r="B203" s="13"/>
      <c r="C203" s="42" t="s">
        <v>49</v>
      </c>
      <c r="D203" s="42" t="s">
        <v>299</v>
      </c>
      <c r="E203" s="14"/>
      <c r="F203" s="71">
        <v>3669089</v>
      </c>
      <c r="G203" s="42" t="s">
        <v>50</v>
      </c>
      <c r="H203" s="31">
        <v>20101973922</v>
      </c>
      <c r="I203" s="43" t="str">
        <f>IF(H203="","",VLOOKUP(H203,ENTIDAD!$B$2:$C$613,2,0))</f>
        <v>ASOCIACION AUTOMOTRIZ DEL PERU</v>
      </c>
      <c r="J203" s="11"/>
      <c r="K203" s="11"/>
      <c r="L203" s="11"/>
      <c r="M203" s="11"/>
      <c r="N203" s="11">
        <v>0</v>
      </c>
      <c r="O203" s="11">
        <f t="shared" si="4"/>
        <v>0</v>
      </c>
      <c r="P203" s="11">
        <v>0</v>
      </c>
      <c r="Q203" s="11"/>
      <c r="R203" s="11">
        <v>66.8</v>
      </c>
      <c r="S203" s="11">
        <v>66.8</v>
      </c>
      <c r="T203" s="14"/>
      <c r="U203" s="14"/>
      <c r="V203" s="13"/>
      <c r="W203" s="15"/>
      <c r="X203" s="13"/>
      <c r="Y203" s="14"/>
      <c r="Z203" s="14"/>
      <c r="AA203" s="14"/>
      <c r="AB203" s="42" t="s">
        <v>224</v>
      </c>
      <c r="AC203" s="11"/>
      <c r="AD203" s="33">
        <v>46099</v>
      </c>
      <c r="AE203" s="34" t="s">
        <v>465</v>
      </c>
      <c r="AF203" s="37" t="s">
        <v>597</v>
      </c>
      <c r="AG203" s="14" t="s">
        <v>513</v>
      </c>
      <c r="AH203" s="14" t="s">
        <v>225</v>
      </c>
      <c r="AI203" s="14"/>
      <c r="AJ203" s="14"/>
      <c r="AK203" s="16"/>
      <c r="AL203" s="11"/>
      <c r="AM203" s="11"/>
      <c r="AN203" s="14"/>
      <c r="AO203" s="14"/>
      <c r="AP203" s="13"/>
      <c r="AQ203" s="14"/>
      <c r="AR203" s="11">
        <v>18</v>
      </c>
      <c r="AS203" s="14" t="s">
        <v>566</v>
      </c>
      <c r="AT203" s="14"/>
      <c r="AU203" s="11"/>
      <c r="AV203" s="14"/>
    </row>
    <row r="204" spans="1:48" s="45" customFormat="1" ht="15" x14ac:dyDescent="0.25">
      <c r="A204" s="13">
        <v>46071</v>
      </c>
      <c r="B204" s="13"/>
      <c r="C204" s="42" t="s">
        <v>49</v>
      </c>
      <c r="D204" s="42" t="s">
        <v>299</v>
      </c>
      <c r="E204" s="14"/>
      <c r="F204" s="71">
        <v>3669090</v>
      </c>
      <c r="G204" s="42" t="s">
        <v>50</v>
      </c>
      <c r="H204" s="31">
        <v>20101973922</v>
      </c>
      <c r="I204" s="43" t="str">
        <f>IF(H204="","",VLOOKUP(H204,ENTIDAD!$B$2:$C$613,2,0))</f>
        <v>ASOCIACION AUTOMOTRIZ DEL PERU</v>
      </c>
      <c r="J204" s="11"/>
      <c r="K204" s="11"/>
      <c r="L204" s="11"/>
      <c r="M204" s="11"/>
      <c r="N204" s="11">
        <v>0</v>
      </c>
      <c r="O204" s="11">
        <f t="shared" si="4"/>
        <v>0</v>
      </c>
      <c r="P204" s="11">
        <v>0</v>
      </c>
      <c r="Q204" s="11"/>
      <c r="R204" s="11">
        <v>66.8</v>
      </c>
      <c r="S204" s="11">
        <v>66.8</v>
      </c>
      <c r="T204" s="14"/>
      <c r="U204" s="14"/>
      <c r="V204" s="13"/>
      <c r="W204" s="15"/>
      <c r="X204" s="13"/>
      <c r="Y204" s="14"/>
      <c r="Z204" s="14"/>
      <c r="AA204" s="14"/>
      <c r="AB204" s="42" t="s">
        <v>224</v>
      </c>
      <c r="AC204" s="11"/>
      <c r="AD204" s="33">
        <v>46099</v>
      </c>
      <c r="AE204" s="34" t="s">
        <v>465</v>
      </c>
      <c r="AF204" s="37" t="s">
        <v>597</v>
      </c>
      <c r="AG204" s="14" t="s">
        <v>513</v>
      </c>
      <c r="AH204" s="14" t="s">
        <v>225</v>
      </c>
      <c r="AI204" s="14"/>
      <c r="AJ204" s="14"/>
      <c r="AK204" s="16"/>
      <c r="AL204" s="11"/>
      <c r="AM204" s="11"/>
      <c r="AN204" s="14"/>
      <c r="AO204" s="14"/>
      <c r="AP204" s="13"/>
      <c r="AQ204" s="14"/>
      <c r="AR204" s="11">
        <v>18</v>
      </c>
      <c r="AS204" s="14" t="s">
        <v>566</v>
      </c>
      <c r="AT204" s="14"/>
      <c r="AU204" s="11"/>
      <c r="AV204" s="14"/>
    </row>
    <row r="205" spans="1:48" s="45" customFormat="1" ht="15" x14ac:dyDescent="0.25">
      <c r="A205" s="13">
        <v>46071</v>
      </c>
      <c r="B205" s="13"/>
      <c r="C205" s="42" t="s">
        <v>49</v>
      </c>
      <c r="D205" s="42" t="s">
        <v>299</v>
      </c>
      <c r="E205" s="14"/>
      <c r="F205" s="71">
        <v>3669091</v>
      </c>
      <c r="G205" s="42" t="s">
        <v>50</v>
      </c>
      <c r="H205" s="31">
        <v>20101973922</v>
      </c>
      <c r="I205" s="43" t="str">
        <f>IF(H205="","",VLOOKUP(H205,ENTIDAD!$B$2:$C$613,2,0))</f>
        <v>ASOCIACION AUTOMOTRIZ DEL PERU</v>
      </c>
      <c r="J205" s="11"/>
      <c r="K205" s="11"/>
      <c r="L205" s="11"/>
      <c r="M205" s="11"/>
      <c r="N205" s="11">
        <v>0</v>
      </c>
      <c r="O205" s="11">
        <f t="shared" si="4"/>
        <v>0</v>
      </c>
      <c r="P205" s="11">
        <v>0</v>
      </c>
      <c r="Q205" s="11"/>
      <c r="R205" s="11">
        <v>66.8</v>
      </c>
      <c r="S205" s="11">
        <v>66.8</v>
      </c>
      <c r="T205" s="14"/>
      <c r="U205" s="14"/>
      <c r="V205" s="13"/>
      <c r="W205" s="15"/>
      <c r="X205" s="13"/>
      <c r="Y205" s="14"/>
      <c r="Z205" s="14"/>
      <c r="AA205" s="14"/>
      <c r="AB205" s="42" t="s">
        <v>224</v>
      </c>
      <c r="AC205" s="11"/>
      <c r="AD205" s="33">
        <v>46099</v>
      </c>
      <c r="AE205" s="34" t="s">
        <v>465</v>
      </c>
      <c r="AF205" s="37" t="s">
        <v>597</v>
      </c>
      <c r="AG205" s="14" t="s">
        <v>513</v>
      </c>
      <c r="AH205" s="14" t="s">
        <v>225</v>
      </c>
      <c r="AI205" s="14"/>
      <c r="AJ205" s="14"/>
      <c r="AK205" s="16"/>
      <c r="AL205" s="11"/>
      <c r="AM205" s="11"/>
      <c r="AN205" s="14"/>
      <c r="AO205" s="14"/>
      <c r="AP205" s="13"/>
      <c r="AQ205" s="14"/>
      <c r="AR205" s="11">
        <v>18</v>
      </c>
      <c r="AS205" s="14" t="s">
        <v>566</v>
      </c>
      <c r="AT205" s="14"/>
      <c r="AU205" s="11"/>
      <c r="AV205" s="14"/>
    </row>
    <row r="206" spans="1:48" s="45" customFormat="1" ht="15" x14ac:dyDescent="0.25">
      <c r="A206" s="13">
        <v>46071</v>
      </c>
      <c r="B206" s="13"/>
      <c r="C206" s="42" t="s">
        <v>49</v>
      </c>
      <c r="D206" s="42" t="s">
        <v>299</v>
      </c>
      <c r="E206" s="14"/>
      <c r="F206" s="71">
        <v>3669092</v>
      </c>
      <c r="G206" s="42" t="s">
        <v>50</v>
      </c>
      <c r="H206" s="31">
        <v>20101973922</v>
      </c>
      <c r="I206" s="43" t="str">
        <f>IF(H206="","",VLOOKUP(H206,ENTIDAD!$B$2:$C$613,2,0))</f>
        <v>ASOCIACION AUTOMOTRIZ DEL PERU</v>
      </c>
      <c r="J206" s="11"/>
      <c r="K206" s="11"/>
      <c r="L206" s="11"/>
      <c r="M206" s="11"/>
      <c r="N206" s="11">
        <v>0</v>
      </c>
      <c r="O206" s="11">
        <f t="shared" si="4"/>
        <v>0</v>
      </c>
      <c r="P206" s="11">
        <v>0</v>
      </c>
      <c r="Q206" s="11"/>
      <c r="R206" s="11">
        <v>66.8</v>
      </c>
      <c r="S206" s="11">
        <v>66.8</v>
      </c>
      <c r="T206" s="14"/>
      <c r="U206" s="14"/>
      <c r="V206" s="13"/>
      <c r="W206" s="15"/>
      <c r="X206" s="13"/>
      <c r="Y206" s="14"/>
      <c r="Z206" s="14"/>
      <c r="AA206" s="14"/>
      <c r="AB206" s="42" t="s">
        <v>224</v>
      </c>
      <c r="AC206" s="11"/>
      <c r="AD206" s="33">
        <v>46099</v>
      </c>
      <c r="AE206" s="34" t="s">
        <v>465</v>
      </c>
      <c r="AF206" s="37" t="s">
        <v>597</v>
      </c>
      <c r="AG206" s="14" t="s">
        <v>513</v>
      </c>
      <c r="AH206" s="14" t="s">
        <v>225</v>
      </c>
      <c r="AI206" s="14"/>
      <c r="AJ206" s="14"/>
      <c r="AK206" s="16"/>
      <c r="AL206" s="11"/>
      <c r="AM206" s="11"/>
      <c r="AN206" s="14"/>
      <c r="AO206" s="14"/>
      <c r="AP206" s="13"/>
      <c r="AQ206" s="14"/>
      <c r="AR206" s="11">
        <v>18</v>
      </c>
      <c r="AS206" s="14" t="s">
        <v>566</v>
      </c>
      <c r="AT206" s="14"/>
      <c r="AU206" s="11"/>
      <c r="AV206" s="14"/>
    </row>
    <row r="207" spans="1:48" s="45" customFormat="1" ht="15" x14ac:dyDescent="0.25">
      <c r="A207" s="13">
        <v>46071</v>
      </c>
      <c r="B207" s="13"/>
      <c r="C207" s="42" t="s">
        <v>49</v>
      </c>
      <c r="D207" s="42" t="s">
        <v>299</v>
      </c>
      <c r="E207" s="14"/>
      <c r="F207" s="71">
        <v>3669093</v>
      </c>
      <c r="G207" s="42" t="s">
        <v>50</v>
      </c>
      <c r="H207" s="31">
        <v>20101973922</v>
      </c>
      <c r="I207" s="43" t="str">
        <f>IF(H207="","",VLOOKUP(H207,ENTIDAD!$B$2:$C$613,2,0))</f>
        <v>ASOCIACION AUTOMOTRIZ DEL PERU</v>
      </c>
      <c r="J207" s="11"/>
      <c r="K207" s="11"/>
      <c r="L207" s="11"/>
      <c r="M207" s="11"/>
      <c r="N207" s="11">
        <v>0</v>
      </c>
      <c r="O207" s="11">
        <f t="shared" si="4"/>
        <v>0</v>
      </c>
      <c r="P207" s="11">
        <v>0</v>
      </c>
      <c r="Q207" s="11"/>
      <c r="R207" s="11">
        <v>66.8</v>
      </c>
      <c r="S207" s="11">
        <v>66.8</v>
      </c>
      <c r="T207" s="14"/>
      <c r="U207" s="14"/>
      <c r="V207" s="13"/>
      <c r="W207" s="15"/>
      <c r="X207" s="13"/>
      <c r="Y207" s="14"/>
      <c r="Z207" s="14"/>
      <c r="AA207" s="14"/>
      <c r="AB207" s="42" t="s">
        <v>224</v>
      </c>
      <c r="AC207" s="11"/>
      <c r="AD207" s="33">
        <v>46099</v>
      </c>
      <c r="AE207" s="34" t="s">
        <v>465</v>
      </c>
      <c r="AF207" s="37" t="s">
        <v>597</v>
      </c>
      <c r="AG207" s="14" t="s">
        <v>513</v>
      </c>
      <c r="AH207" s="14" t="s">
        <v>225</v>
      </c>
      <c r="AI207" s="14"/>
      <c r="AJ207" s="14"/>
      <c r="AK207" s="16"/>
      <c r="AL207" s="11"/>
      <c r="AM207" s="11"/>
      <c r="AN207" s="14"/>
      <c r="AO207" s="14"/>
      <c r="AP207" s="13"/>
      <c r="AQ207" s="14"/>
      <c r="AR207" s="11">
        <v>18</v>
      </c>
      <c r="AS207" s="14" t="s">
        <v>566</v>
      </c>
      <c r="AT207" s="14"/>
      <c r="AU207" s="11"/>
      <c r="AV207" s="14"/>
    </row>
    <row r="208" spans="1:48" s="45" customFormat="1" ht="15" x14ac:dyDescent="0.25">
      <c r="A208" s="13">
        <v>46071</v>
      </c>
      <c r="B208" s="13"/>
      <c r="C208" s="42" t="s">
        <v>49</v>
      </c>
      <c r="D208" s="42" t="s">
        <v>299</v>
      </c>
      <c r="E208" s="14"/>
      <c r="F208" s="71">
        <v>3669094</v>
      </c>
      <c r="G208" s="42" t="s">
        <v>50</v>
      </c>
      <c r="H208" s="31">
        <v>20101973922</v>
      </c>
      <c r="I208" s="43" t="str">
        <f>IF(H208="","",VLOOKUP(H208,ENTIDAD!$B$2:$C$613,2,0))</f>
        <v>ASOCIACION AUTOMOTRIZ DEL PERU</v>
      </c>
      <c r="J208" s="11"/>
      <c r="K208" s="11"/>
      <c r="L208" s="11"/>
      <c r="M208" s="11"/>
      <c r="N208" s="11">
        <v>0</v>
      </c>
      <c r="O208" s="11">
        <f t="shared" si="4"/>
        <v>0</v>
      </c>
      <c r="P208" s="11">
        <v>0</v>
      </c>
      <c r="Q208" s="11"/>
      <c r="R208" s="11">
        <v>66.8</v>
      </c>
      <c r="S208" s="11">
        <v>66.8</v>
      </c>
      <c r="T208" s="14"/>
      <c r="U208" s="14"/>
      <c r="V208" s="13"/>
      <c r="W208" s="15"/>
      <c r="X208" s="13"/>
      <c r="Y208" s="14"/>
      <c r="Z208" s="14"/>
      <c r="AA208" s="14"/>
      <c r="AB208" s="42" t="s">
        <v>224</v>
      </c>
      <c r="AC208" s="11"/>
      <c r="AD208" s="33">
        <v>46099</v>
      </c>
      <c r="AE208" s="34" t="s">
        <v>465</v>
      </c>
      <c r="AF208" s="37" t="s">
        <v>597</v>
      </c>
      <c r="AG208" s="14" t="s">
        <v>513</v>
      </c>
      <c r="AH208" s="14" t="s">
        <v>225</v>
      </c>
      <c r="AI208" s="14"/>
      <c r="AJ208" s="14"/>
      <c r="AK208" s="16"/>
      <c r="AL208" s="11"/>
      <c r="AM208" s="11"/>
      <c r="AN208" s="14"/>
      <c r="AO208" s="14"/>
      <c r="AP208" s="13"/>
      <c r="AQ208" s="14"/>
      <c r="AR208" s="11">
        <v>18</v>
      </c>
      <c r="AS208" s="14" t="s">
        <v>566</v>
      </c>
      <c r="AT208" s="14"/>
      <c r="AU208" s="11"/>
      <c r="AV208" s="14"/>
    </row>
    <row r="209" spans="1:49" s="45" customFormat="1" ht="15" x14ac:dyDescent="0.25">
      <c r="A209" s="13">
        <v>46071</v>
      </c>
      <c r="B209" s="13"/>
      <c r="C209" s="42" t="s">
        <v>49</v>
      </c>
      <c r="D209" s="42" t="s">
        <v>299</v>
      </c>
      <c r="E209" s="14"/>
      <c r="F209" s="71">
        <v>3669095</v>
      </c>
      <c r="G209" s="42" t="s">
        <v>50</v>
      </c>
      <c r="H209" s="31">
        <v>20101973922</v>
      </c>
      <c r="I209" s="43" t="str">
        <f>IF(H209="","",VLOOKUP(H209,ENTIDAD!$B$2:$C$613,2,0))</f>
        <v>ASOCIACION AUTOMOTRIZ DEL PERU</v>
      </c>
      <c r="J209" s="11"/>
      <c r="K209" s="11"/>
      <c r="L209" s="11"/>
      <c r="M209" s="11"/>
      <c r="N209" s="11">
        <v>0</v>
      </c>
      <c r="O209" s="11">
        <f t="shared" si="4"/>
        <v>0</v>
      </c>
      <c r="P209" s="11">
        <v>0</v>
      </c>
      <c r="Q209" s="11"/>
      <c r="R209" s="11">
        <v>66.8</v>
      </c>
      <c r="S209" s="11">
        <v>66.8</v>
      </c>
      <c r="T209" s="14"/>
      <c r="U209" s="14"/>
      <c r="V209" s="13"/>
      <c r="W209" s="15"/>
      <c r="X209" s="13"/>
      <c r="Y209" s="14"/>
      <c r="Z209" s="14"/>
      <c r="AA209" s="14"/>
      <c r="AB209" s="42" t="s">
        <v>224</v>
      </c>
      <c r="AC209" s="11"/>
      <c r="AD209" s="33">
        <v>46099</v>
      </c>
      <c r="AE209" s="34" t="s">
        <v>465</v>
      </c>
      <c r="AF209" s="37" t="s">
        <v>597</v>
      </c>
      <c r="AG209" s="14" t="s">
        <v>513</v>
      </c>
      <c r="AH209" s="14" t="s">
        <v>225</v>
      </c>
      <c r="AI209" s="14"/>
      <c r="AJ209" s="14"/>
      <c r="AK209" s="16"/>
      <c r="AL209" s="11"/>
      <c r="AM209" s="11"/>
      <c r="AN209" s="14"/>
      <c r="AO209" s="14"/>
      <c r="AP209" s="13"/>
      <c r="AQ209" s="14"/>
      <c r="AR209" s="11">
        <v>18</v>
      </c>
      <c r="AS209" s="14" t="s">
        <v>566</v>
      </c>
      <c r="AT209" s="14"/>
      <c r="AU209" s="11"/>
      <c r="AV209" s="14"/>
    </row>
    <row r="210" spans="1:49" s="45" customFormat="1" ht="15" x14ac:dyDescent="0.25">
      <c r="A210" s="13">
        <v>46071</v>
      </c>
      <c r="B210" s="13"/>
      <c r="C210" s="42" t="s">
        <v>49</v>
      </c>
      <c r="D210" s="42" t="s">
        <v>299</v>
      </c>
      <c r="E210" s="14"/>
      <c r="F210" s="71">
        <v>3669096</v>
      </c>
      <c r="G210" s="42" t="s">
        <v>50</v>
      </c>
      <c r="H210" s="31">
        <v>20101973922</v>
      </c>
      <c r="I210" s="43" t="str">
        <f>IF(H210="","",VLOOKUP(H210,ENTIDAD!$B$2:$C$613,2,0))</f>
        <v>ASOCIACION AUTOMOTRIZ DEL PERU</v>
      </c>
      <c r="J210" s="11"/>
      <c r="K210" s="11"/>
      <c r="L210" s="11"/>
      <c r="M210" s="11"/>
      <c r="N210" s="11">
        <v>0</v>
      </c>
      <c r="O210" s="11">
        <f t="shared" si="4"/>
        <v>0</v>
      </c>
      <c r="P210" s="11">
        <v>0</v>
      </c>
      <c r="Q210" s="11"/>
      <c r="R210" s="11">
        <v>66.8</v>
      </c>
      <c r="S210" s="11">
        <v>66.8</v>
      </c>
      <c r="T210" s="14"/>
      <c r="U210" s="14"/>
      <c r="V210" s="13"/>
      <c r="W210" s="15"/>
      <c r="X210" s="13"/>
      <c r="Y210" s="14"/>
      <c r="Z210" s="14"/>
      <c r="AA210" s="14"/>
      <c r="AB210" s="42" t="s">
        <v>224</v>
      </c>
      <c r="AC210" s="11"/>
      <c r="AD210" s="33">
        <v>46099</v>
      </c>
      <c r="AE210" s="34" t="s">
        <v>465</v>
      </c>
      <c r="AF210" s="37" t="s">
        <v>597</v>
      </c>
      <c r="AG210" s="14" t="s">
        <v>513</v>
      </c>
      <c r="AH210" s="14" t="s">
        <v>225</v>
      </c>
      <c r="AI210" s="14"/>
      <c r="AJ210" s="14"/>
      <c r="AK210" s="16"/>
      <c r="AL210" s="11"/>
      <c r="AM210" s="11"/>
      <c r="AN210" s="14"/>
      <c r="AO210" s="14"/>
      <c r="AP210" s="13"/>
      <c r="AQ210" s="14"/>
      <c r="AR210" s="11">
        <v>18</v>
      </c>
      <c r="AS210" s="14" t="s">
        <v>566</v>
      </c>
      <c r="AT210" s="14"/>
      <c r="AU210" s="11"/>
      <c r="AV210" s="14"/>
    </row>
    <row r="211" spans="1:49" s="45" customFormat="1" ht="15" x14ac:dyDescent="0.25">
      <c r="A211" s="13">
        <v>46071</v>
      </c>
      <c r="B211" s="13"/>
      <c r="C211" s="42" t="s">
        <v>49</v>
      </c>
      <c r="D211" s="42" t="s">
        <v>299</v>
      </c>
      <c r="E211" s="14"/>
      <c r="F211" s="71">
        <v>3669097</v>
      </c>
      <c r="G211" s="42" t="s">
        <v>50</v>
      </c>
      <c r="H211" s="31">
        <v>20101973922</v>
      </c>
      <c r="I211" s="43" t="str">
        <f>IF(H211="","",VLOOKUP(H211,ENTIDAD!$B$2:$C$613,2,0))</f>
        <v>ASOCIACION AUTOMOTRIZ DEL PERU</v>
      </c>
      <c r="J211" s="11"/>
      <c r="K211" s="11"/>
      <c r="L211" s="11"/>
      <c r="M211" s="11"/>
      <c r="N211" s="11">
        <v>0</v>
      </c>
      <c r="O211" s="11">
        <f t="shared" si="4"/>
        <v>0</v>
      </c>
      <c r="P211" s="11">
        <v>0</v>
      </c>
      <c r="Q211" s="11"/>
      <c r="R211" s="11">
        <v>66.8</v>
      </c>
      <c r="S211" s="11">
        <v>66.8</v>
      </c>
      <c r="T211" s="14"/>
      <c r="U211" s="14"/>
      <c r="V211" s="13"/>
      <c r="W211" s="15"/>
      <c r="X211" s="13"/>
      <c r="Y211" s="14"/>
      <c r="Z211" s="14"/>
      <c r="AA211" s="14"/>
      <c r="AB211" s="42" t="s">
        <v>224</v>
      </c>
      <c r="AC211" s="11"/>
      <c r="AD211" s="33">
        <v>46099</v>
      </c>
      <c r="AE211" s="34" t="s">
        <v>465</v>
      </c>
      <c r="AF211" s="37" t="s">
        <v>597</v>
      </c>
      <c r="AG211" s="14" t="s">
        <v>513</v>
      </c>
      <c r="AH211" s="14" t="s">
        <v>225</v>
      </c>
      <c r="AI211" s="14"/>
      <c r="AJ211" s="14"/>
      <c r="AK211" s="16"/>
      <c r="AL211" s="11"/>
      <c r="AM211" s="11"/>
      <c r="AN211" s="14"/>
      <c r="AO211" s="14"/>
      <c r="AP211" s="13"/>
      <c r="AQ211" s="14"/>
      <c r="AR211" s="11">
        <v>18</v>
      </c>
      <c r="AS211" s="14" t="s">
        <v>566</v>
      </c>
      <c r="AT211" s="14"/>
      <c r="AU211" s="11"/>
      <c r="AV211" s="14"/>
    </row>
    <row r="212" spans="1:49" s="45" customFormat="1" ht="15" x14ac:dyDescent="0.25">
      <c r="A212" s="13">
        <v>46071</v>
      </c>
      <c r="B212" s="13"/>
      <c r="C212" s="42" t="s">
        <v>49</v>
      </c>
      <c r="D212" s="42" t="s">
        <v>299</v>
      </c>
      <c r="E212" s="14"/>
      <c r="F212" s="71">
        <v>3669098</v>
      </c>
      <c r="G212" s="42" t="s">
        <v>50</v>
      </c>
      <c r="H212" s="31">
        <v>20101973922</v>
      </c>
      <c r="I212" s="43" t="str">
        <f>IF(H212="","",VLOOKUP(H212,ENTIDAD!$B$2:$C$613,2,0))</f>
        <v>ASOCIACION AUTOMOTRIZ DEL PERU</v>
      </c>
      <c r="J212" s="11"/>
      <c r="K212" s="11"/>
      <c r="L212" s="11"/>
      <c r="M212" s="11"/>
      <c r="N212" s="11">
        <v>0</v>
      </c>
      <c r="O212" s="11">
        <f t="shared" si="4"/>
        <v>0</v>
      </c>
      <c r="P212" s="11">
        <v>0</v>
      </c>
      <c r="Q212" s="11"/>
      <c r="R212" s="11">
        <v>66.8</v>
      </c>
      <c r="S212" s="11">
        <v>66.8</v>
      </c>
      <c r="T212" s="14"/>
      <c r="U212" s="14"/>
      <c r="V212" s="13"/>
      <c r="W212" s="15"/>
      <c r="X212" s="13"/>
      <c r="Y212" s="14"/>
      <c r="Z212" s="14"/>
      <c r="AA212" s="14"/>
      <c r="AB212" s="42" t="s">
        <v>224</v>
      </c>
      <c r="AC212" s="11"/>
      <c r="AD212" s="33">
        <v>46099</v>
      </c>
      <c r="AE212" s="34" t="s">
        <v>465</v>
      </c>
      <c r="AF212" s="37" t="s">
        <v>597</v>
      </c>
      <c r="AG212" s="14" t="s">
        <v>513</v>
      </c>
      <c r="AH212" s="14" t="s">
        <v>225</v>
      </c>
      <c r="AI212" s="14"/>
      <c r="AJ212" s="14"/>
      <c r="AK212" s="16"/>
      <c r="AL212" s="11"/>
      <c r="AM212" s="11"/>
      <c r="AN212" s="14"/>
      <c r="AO212" s="14"/>
      <c r="AP212" s="13"/>
      <c r="AQ212" s="14"/>
      <c r="AR212" s="11">
        <v>18</v>
      </c>
      <c r="AS212" s="14" t="s">
        <v>566</v>
      </c>
      <c r="AT212" s="14"/>
      <c r="AU212" s="11"/>
      <c r="AV212" s="14"/>
    </row>
    <row r="213" spans="1:49" s="45" customFormat="1" ht="15" x14ac:dyDescent="0.25">
      <c r="A213" s="13">
        <v>46071</v>
      </c>
      <c r="B213" s="13"/>
      <c r="C213" s="42" t="s">
        <v>49</v>
      </c>
      <c r="D213" s="42" t="s">
        <v>299</v>
      </c>
      <c r="E213" s="14"/>
      <c r="F213" s="71">
        <v>3669099</v>
      </c>
      <c r="G213" s="42" t="s">
        <v>50</v>
      </c>
      <c r="H213" s="31">
        <v>20101973922</v>
      </c>
      <c r="I213" s="43" t="str">
        <f>IF(H213="","",VLOOKUP(H213,ENTIDAD!$B$2:$C$613,2,0))</f>
        <v>ASOCIACION AUTOMOTRIZ DEL PERU</v>
      </c>
      <c r="J213" s="11"/>
      <c r="K213" s="11"/>
      <c r="L213" s="11"/>
      <c r="M213" s="11"/>
      <c r="N213" s="11">
        <v>0</v>
      </c>
      <c r="O213" s="11">
        <f t="shared" si="4"/>
        <v>0</v>
      </c>
      <c r="P213" s="11">
        <v>0</v>
      </c>
      <c r="Q213" s="11"/>
      <c r="R213" s="11">
        <v>66.8</v>
      </c>
      <c r="S213" s="11">
        <v>66.8</v>
      </c>
      <c r="T213" s="14"/>
      <c r="U213" s="14"/>
      <c r="V213" s="13"/>
      <c r="W213" s="15"/>
      <c r="X213" s="13"/>
      <c r="Y213" s="14"/>
      <c r="Z213" s="14"/>
      <c r="AA213" s="14"/>
      <c r="AB213" s="42" t="s">
        <v>224</v>
      </c>
      <c r="AC213" s="11"/>
      <c r="AD213" s="33">
        <v>46099</v>
      </c>
      <c r="AE213" s="34" t="s">
        <v>465</v>
      </c>
      <c r="AF213" s="37" t="s">
        <v>597</v>
      </c>
      <c r="AG213" s="14" t="s">
        <v>513</v>
      </c>
      <c r="AH213" s="14" t="s">
        <v>225</v>
      </c>
      <c r="AI213" s="14"/>
      <c r="AJ213" s="14"/>
      <c r="AK213" s="16"/>
      <c r="AL213" s="11"/>
      <c r="AM213" s="11"/>
      <c r="AN213" s="14"/>
      <c r="AO213" s="14"/>
      <c r="AP213" s="13"/>
      <c r="AQ213" s="14"/>
      <c r="AR213" s="11">
        <v>18</v>
      </c>
      <c r="AS213" s="14" t="s">
        <v>566</v>
      </c>
      <c r="AT213" s="14"/>
      <c r="AU213" s="11"/>
      <c r="AV213" s="14"/>
    </row>
    <row r="214" spans="1:49" s="45" customFormat="1" ht="15" x14ac:dyDescent="0.25">
      <c r="A214" s="13">
        <v>46071</v>
      </c>
      <c r="B214" s="13"/>
      <c r="C214" s="42" t="s">
        <v>49</v>
      </c>
      <c r="D214" s="42" t="s">
        <v>299</v>
      </c>
      <c r="E214" s="14"/>
      <c r="F214" s="71">
        <v>3669100</v>
      </c>
      <c r="G214" s="42" t="s">
        <v>50</v>
      </c>
      <c r="H214" s="31">
        <v>20101973922</v>
      </c>
      <c r="I214" s="43" t="str">
        <f>IF(H214="","",VLOOKUP(H214,ENTIDAD!$B$2:$C$613,2,0))</f>
        <v>ASOCIACION AUTOMOTRIZ DEL PERU</v>
      </c>
      <c r="J214" s="11"/>
      <c r="K214" s="11"/>
      <c r="L214" s="11"/>
      <c r="M214" s="11"/>
      <c r="N214" s="11">
        <v>0</v>
      </c>
      <c r="O214" s="11">
        <f t="shared" si="4"/>
        <v>0</v>
      </c>
      <c r="P214" s="11">
        <v>0</v>
      </c>
      <c r="Q214" s="11"/>
      <c r="R214" s="11">
        <v>66.8</v>
      </c>
      <c r="S214" s="11">
        <v>66.8</v>
      </c>
      <c r="T214" s="14"/>
      <c r="U214" s="14"/>
      <c r="V214" s="13"/>
      <c r="W214" s="15"/>
      <c r="X214" s="13"/>
      <c r="Y214" s="14"/>
      <c r="Z214" s="14"/>
      <c r="AA214" s="14"/>
      <c r="AB214" s="42" t="s">
        <v>224</v>
      </c>
      <c r="AC214" s="11"/>
      <c r="AD214" s="33">
        <v>46099</v>
      </c>
      <c r="AE214" s="34" t="s">
        <v>465</v>
      </c>
      <c r="AF214" s="37" t="s">
        <v>597</v>
      </c>
      <c r="AG214" s="14" t="s">
        <v>513</v>
      </c>
      <c r="AH214" s="14" t="s">
        <v>225</v>
      </c>
      <c r="AI214" s="14"/>
      <c r="AJ214" s="14"/>
      <c r="AK214" s="16"/>
      <c r="AL214" s="11"/>
      <c r="AM214" s="11"/>
      <c r="AN214" s="14"/>
      <c r="AO214" s="14"/>
      <c r="AP214" s="13"/>
      <c r="AQ214" s="14"/>
      <c r="AR214" s="11">
        <v>18</v>
      </c>
      <c r="AS214" s="14" t="s">
        <v>566</v>
      </c>
      <c r="AT214" s="14"/>
      <c r="AU214" s="11"/>
      <c r="AV214" s="14"/>
    </row>
    <row r="215" spans="1:49" s="45" customFormat="1" ht="15" x14ac:dyDescent="0.25">
      <c r="A215" s="13">
        <v>46071</v>
      </c>
      <c r="B215" s="13"/>
      <c r="C215" s="42" t="s">
        <v>49</v>
      </c>
      <c r="D215" s="42" t="s">
        <v>299</v>
      </c>
      <c r="E215" s="14"/>
      <c r="F215" s="71">
        <v>3669101</v>
      </c>
      <c r="G215" s="42" t="s">
        <v>50</v>
      </c>
      <c r="H215" s="31">
        <v>20101973922</v>
      </c>
      <c r="I215" s="43" t="str">
        <f>IF(H215="","",VLOOKUP(H215,ENTIDAD!$B$2:$C$613,2,0))</f>
        <v>ASOCIACION AUTOMOTRIZ DEL PERU</v>
      </c>
      <c r="J215" s="11"/>
      <c r="K215" s="11"/>
      <c r="L215" s="11"/>
      <c r="M215" s="11"/>
      <c r="N215" s="11">
        <v>0</v>
      </c>
      <c r="O215" s="11">
        <f t="shared" si="4"/>
        <v>0</v>
      </c>
      <c r="P215" s="11">
        <v>0</v>
      </c>
      <c r="Q215" s="11"/>
      <c r="R215" s="11">
        <v>66.8</v>
      </c>
      <c r="S215" s="11">
        <v>66.8</v>
      </c>
      <c r="T215" s="14"/>
      <c r="U215" s="14"/>
      <c r="V215" s="13"/>
      <c r="W215" s="15"/>
      <c r="X215" s="13"/>
      <c r="Y215" s="14"/>
      <c r="Z215" s="14"/>
      <c r="AA215" s="14"/>
      <c r="AB215" s="42" t="s">
        <v>224</v>
      </c>
      <c r="AC215" s="11"/>
      <c r="AD215" s="33">
        <v>46099</v>
      </c>
      <c r="AE215" s="34" t="s">
        <v>465</v>
      </c>
      <c r="AF215" s="37" t="s">
        <v>597</v>
      </c>
      <c r="AG215" s="14" t="s">
        <v>513</v>
      </c>
      <c r="AH215" s="14" t="s">
        <v>225</v>
      </c>
      <c r="AI215" s="14"/>
      <c r="AJ215" s="14"/>
      <c r="AK215" s="16"/>
      <c r="AL215" s="11"/>
      <c r="AM215" s="11"/>
      <c r="AN215" s="14"/>
      <c r="AO215" s="14"/>
      <c r="AP215" s="13"/>
      <c r="AQ215" s="14"/>
      <c r="AR215" s="11">
        <v>18</v>
      </c>
      <c r="AS215" s="14" t="s">
        <v>566</v>
      </c>
      <c r="AT215" s="14"/>
      <c r="AU215" s="11"/>
      <c r="AV215" s="14"/>
    </row>
    <row r="216" spans="1:49" s="45" customFormat="1" ht="15" x14ac:dyDescent="0.25">
      <c r="A216" s="13">
        <v>46071</v>
      </c>
      <c r="B216" s="13"/>
      <c r="C216" s="42" t="s">
        <v>49</v>
      </c>
      <c r="D216" s="42" t="s">
        <v>299</v>
      </c>
      <c r="E216" s="14"/>
      <c r="F216" s="71">
        <v>3669102</v>
      </c>
      <c r="G216" s="42" t="s">
        <v>50</v>
      </c>
      <c r="H216" s="31">
        <v>20101973922</v>
      </c>
      <c r="I216" s="43" t="str">
        <f>IF(H216="","",VLOOKUP(H216,ENTIDAD!$B$2:$C$613,2,0))</f>
        <v>ASOCIACION AUTOMOTRIZ DEL PERU</v>
      </c>
      <c r="J216" s="11"/>
      <c r="K216" s="11"/>
      <c r="L216" s="11"/>
      <c r="M216" s="11"/>
      <c r="N216" s="11">
        <v>0</v>
      </c>
      <c r="O216" s="11">
        <f t="shared" si="4"/>
        <v>0</v>
      </c>
      <c r="P216" s="11">
        <v>0</v>
      </c>
      <c r="Q216" s="11"/>
      <c r="R216" s="11">
        <v>66.8</v>
      </c>
      <c r="S216" s="11">
        <v>66.8</v>
      </c>
      <c r="T216" s="14"/>
      <c r="U216" s="14"/>
      <c r="V216" s="13"/>
      <c r="W216" s="15"/>
      <c r="X216" s="13"/>
      <c r="Y216" s="14"/>
      <c r="Z216" s="14"/>
      <c r="AA216" s="14"/>
      <c r="AB216" s="42" t="s">
        <v>224</v>
      </c>
      <c r="AC216" s="11"/>
      <c r="AD216" s="33">
        <v>46099</v>
      </c>
      <c r="AE216" s="34" t="s">
        <v>465</v>
      </c>
      <c r="AF216" s="37" t="s">
        <v>597</v>
      </c>
      <c r="AG216" s="14" t="s">
        <v>513</v>
      </c>
      <c r="AH216" s="14" t="s">
        <v>225</v>
      </c>
      <c r="AI216" s="14"/>
      <c r="AJ216" s="14"/>
      <c r="AK216" s="16"/>
      <c r="AL216" s="11"/>
      <c r="AM216" s="11"/>
      <c r="AN216" s="14"/>
      <c r="AO216" s="14"/>
      <c r="AP216" s="13"/>
      <c r="AQ216" s="14"/>
      <c r="AR216" s="11">
        <v>18</v>
      </c>
      <c r="AS216" s="14" t="s">
        <v>566</v>
      </c>
      <c r="AT216" s="14"/>
      <c r="AU216" s="11"/>
      <c r="AV216" s="14"/>
    </row>
    <row r="217" spans="1:49" s="45" customFormat="1" ht="15" x14ac:dyDescent="0.25">
      <c r="A217" s="13">
        <v>46071</v>
      </c>
      <c r="B217" s="13"/>
      <c r="C217" s="42" t="s">
        <v>49</v>
      </c>
      <c r="D217" s="42" t="s">
        <v>299</v>
      </c>
      <c r="E217" s="14"/>
      <c r="F217" s="71">
        <v>3669103</v>
      </c>
      <c r="G217" s="42" t="s">
        <v>50</v>
      </c>
      <c r="H217" s="31">
        <v>20101973922</v>
      </c>
      <c r="I217" s="43" t="str">
        <f>IF(H217="","",VLOOKUP(H217,ENTIDAD!$B$2:$C$613,2,0))</f>
        <v>ASOCIACION AUTOMOTRIZ DEL PERU</v>
      </c>
      <c r="J217" s="11"/>
      <c r="K217" s="11"/>
      <c r="L217" s="11"/>
      <c r="M217" s="11"/>
      <c r="N217" s="11">
        <v>0</v>
      </c>
      <c r="O217" s="11">
        <f t="shared" si="4"/>
        <v>0</v>
      </c>
      <c r="P217" s="11">
        <v>0</v>
      </c>
      <c r="Q217" s="11"/>
      <c r="R217" s="11">
        <v>66.8</v>
      </c>
      <c r="S217" s="11">
        <v>66.8</v>
      </c>
      <c r="T217" s="14"/>
      <c r="U217" s="14"/>
      <c r="V217" s="13"/>
      <c r="W217" s="15"/>
      <c r="X217" s="13"/>
      <c r="Y217" s="14"/>
      <c r="Z217" s="14"/>
      <c r="AA217" s="14"/>
      <c r="AB217" s="42" t="s">
        <v>224</v>
      </c>
      <c r="AC217" s="11"/>
      <c r="AD217" s="33">
        <v>46099</v>
      </c>
      <c r="AE217" s="34" t="s">
        <v>465</v>
      </c>
      <c r="AF217" s="37" t="s">
        <v>597</v>
      </c>
      <c r="AG217" s="14" t="s">
        <v>513</v>
      </c>
      <c r="AH217" s="14" t="s">
        <v>225</v>
      </c>
      <c r="AI217" s="14"/>
      <c r="AJ217" s="14"/>
      <c r="AK217" s="16"/>
      <c r="AL217" s="11"/>
      <c r="AM217" s="11"/>
      <c r="AN217" s="14"/>
      <c r="AO217" s="14"/>
      <c r="AP217" s="13"/>
      <c r="AQ217" s="14"/>
      <c r="AR217" s="11">
        <v>18</v>
      </c>
      <c r="AS217" s="14" t="s">
        <v>566</v>
      </c>
      <c r="AT217" s="14"/>
      <c r="AU217" s="11"/>
      <c r="AV217" s="14"/>
    </row>
    <row r="218" spans="1:49" s="45" customFormat="1" ht="15" x14ac:dyDescent="0.25">
      <c r="A218" s="13">
        <v>46071</v>
      </c>
      <c r="B218" s="13"/>
      <c r="C218" s="42" t="s">
        <v>49</v>
      </c>
      <c r="D218" s="42" t="s">
        <v>299</v>
      </c>
      <c r="E218" s="14"/>
      <c r="F218" s="71">
        <v>3669104</v>
      </c>
      <c r="G218" s="42" t="s">
        <v>50</v>
      </c>
      <c r="H218" s="31">
        <v>20101973922</v>
      </c>
      <c r="I218" s="43" t="str">
        <f>IF(H218="","",VLOOKUP(H218,ENTIDAD!$B$2:$C$613,2,0))</f>
        <v>ASOCIACION AUTOMOTRIZ DEL PERU</v>
      </c>
      <c r="J218" s="11"/>
      <c r="K218" s="11"/>
      <c r="L218" s="11"/>
      <c r="M218" s="11"/>
      <c r="N218" s="11">
        <v>0</v>
      </c>
      <c r="O218" s="11">
        <f t="shared" si="4"/>
        <v>0</v>
      </c>
      <c r="P218" s="11">
        <v>0</v>
      </c>
      <c r="Q218" s="11"/>
      <c r="R218" s="11">
        <v>66.8</v>
      </c>
      <c r="S218" s="11">
        <v>66.8</v>
      </c>
      <c r="T218" s="14"/>
      <c r="U218" s="14"/>
      <c r="V218" s="13"/>
      <c r="W218" s="15"/>
      <c r="X218" s="13"/>
      <c r="Y218" s="14"/>
      <c r="Z218" s="14"/>
      <c r="AA218" s="14"/>
      <c r="AB218" s="42" t="s">
        <v>224</v>
      </c>
      <c r="AC218" s="11"/>
      <c r="AD218" s="33">
        <v>46099</v>
      </c>
      <c r="AE218" s="34" t="s">
        <v>465</v>
      </c>
      <c r="AF218" s="37" t="s">
        <v>597</v>
      </c>
      <c r="AG218" s="14" t="s">
        <v>513</v>
      </c>
      <c r="AH218" s="14" t="s">
        <v>225</v>
      </c>
      <c r="AI218" s="14"/>
      <c r="AJ218" s="14"/>
      <c r="AK218" s="16"/>
      <c r="AL218" s="11"/>
      <c r="AM218" s="11"/>
      <c r="AN218" s="14"/>
      <c r="AO218" s="14"/>
      <c r="AP218" s="13"/>
      <c r="AQ218" s="14"/>
      <c r="AR218" s="11">
        <v>18</v>
      </c>
      <c r="AS218" s="14" t="s">
        <v>566</v>
      </c>
      <c r="AT218" s="14"/>
      <c r="AU218" s="11"/>
      <c r="AV218" s="14"/>
    </row>
    <row r="219" spans="1:49" s="45" customFormat="1" ht="15" x14ac:dyDescent="0.25">
      <c r="A219" s="13">
        <v>46071</v>
      </c>
      <c r="B219" s="13"/>
      <c r="C219" s="42" t="s">
        <v>49</v>
      </c>
      <c r="D219" s="42" t="s">
        <v>299</v>
      </c>
      <c r="E219" s="34"/>
      <c r="F219" s="71">
        <v>3669105</v>
      </c>
      <c r="G219" s="48" t="s">
        <v>50</v>
      </c>
      <c r="H219" s="31">
        <v>20101973922</v>
      </c>
      <c r="I219" s="49" t="str">
        <f>IF(H219="","",VLOOKUP(H219,ENTIDAD!$B$2:$C$613,2,0))</f>
        <v>ASOCIACION AUTOMOTRIZ DEL PERU</v>
      </c>
      <c r="J219" s="35"/>
      <c r="K219" s="35"/>
      <c r="L219" s="35"/>
      <c r="M219" s="35"/>
      <c r="N219" s="11">
        <v>0</v>
      </c>
      <c r="O219" s="11">
        <f t="shared" si="4"/>
        <v>0</v>
      </c>
      <c r="P219" s="11">
        <v>0</v>
      </c>
      <c r="Q219" s="35"/>
      <c r="R219" s="11">
        <v>66.8</v>
      </c>
      <c r="S219" s="11">
        <v>66.8</v>
      </c>
      <c r="T219" s="34"/>
      <c r="U219" s="34"/>
      <c r="V219" s="33"/>
      <c r="W219" s="36"/>
      <c r="X219" s="33"/>
      <c r="Y219" s="34"/>
      <c r="Z219" s="34"/>
      <c r="AA219" s="34"/>
      <c r="AB219" s="42" t="s">
        <v>224</v>
      </c>
      <c r="AC219" s="35"/>
      <c r="AD219" s="33">
        <v>46099</v>
      </c>
      <c r="AE219" s="34" t="s">
        <v>465</v>
      </c>
      <c r="AF219" s="37" t="s">
        <v>597</v>
      </c>
      <c r="AG219" s="14" t="s">
        <v>513</v>
      </c>
      <c r="AH219" s="14" t="s">
        <v>225</v>
      </c>
      <c r="AI219" s="14"/>
      <c r="AJ219" s="14"/>
      <c r="AK219" s="16"/>
      <c r="AL219" s="11"/>
      <c r="AM219" s="11"/>
      <c r="AN219" s="14"/>
      <c r="AO219" s="14"/>
      <c r="AP219" s="13"/>
      <c r="AQ219" s="14"/>
      <c r="AR219" s="11">
        <v>18</v>
      </c>
      <c r="AS219" s="14" t="s">
        <v>566</v>
      </c>
      <c r="AT219" s="34"/>
      <c r="AU219" s="35"/>
      <c r="AV219" s="34"/>
      <c r="AW219"/>
    </row>
    <row r="220" spans="1:49" s="45" customFormat="1" ht="15" x14ac:dyDescent="0.25">
      <c r="A220" s="13">
        <v>46071</v>
      </c>
      <c r="B220" s="13"/>
      <c r="C220" s="42" t="s">
        <v>49</v>
      </c>
      <c r="D220" s="42" t="s">
        <v>299</v>
      </c>
      <c r="E220" s="14"/>
      <c r="F220" s="71">
        <v>3669106</v>
      </c>
      <c r="G220" s="42" t="s">
        <v>50</v>
      </c>
      <c r="H220" s="31">
        <v>20101973922</v>
      </c>
      <c r="I220" s="43" t="str">
        <f>IF(H220="","",VLOOKUP(H220,ENTIDAD!$B$2:$C$613,2,0))</f>
        <v>ASOCIACION AUTOMOTRIZ DEL PERU</v>
      </c>
      <c r="J220" s="11"/>
      <c r="K220" s="11"/>
      <c r="L220" s="11"/>
      <c r="M220" s="11"/>
      <c r="N220" s="11">
        <v>0</v>
      </c>
      <c r="O220" s="11">
        <f t="shared" si="4"/>
        <v>0</v>
      </c>
      <c r="P220" s="11">
        <v>0</v>
      </c>
      <c r="Q220" s="11"/>
      <c r="R220" s="11">
        <v>66.8</v>
      </c>
      <c r="S220" s="11">
        <v>66.8</v>
      </c>
      <c r="T220" s="14"/>
      <c r="U220" s="14"/>
      <c r="V220" s="13"/>
      <c r="W220" s="15"/>
      <c r="X220" s="13"/>
      <c r="Y220" s="14"/>
      <c r="Z220" s="14"/>
      <c r="AA220" s="14"/>
      <c r="AB220" s="42" t="s">
        <v>224</v>
      </c>
      <c r="AC220" s="11"/>
      <c r="AD220" s="33">
        <v>46099</v>
      </c>
      <c r="AE220" s="34" t="s">
        <v>465</v>
      </c>
      <c r="AF220" s="37" t="s">
        <v>597</v>
      </c>
      <c r="AG220" s="14" t="s">
        <v>513</v>
      </c>
      <c r="AH220" s="14" t="s">
        <v>225</v>
      </c>
      <c r="AI220" s="14"/>
      <c r="AJ220" s="14"/>
      <c r="AK220" s="16"/>
      <c r="AL220" s="11"/>
      <c r="AM220" s="11"/>
      <c r="AN220" s="14"/>
      <c r="AO220" s="14"/>
      <c r="AP220" s="13"/>
      <c r="AQ220" s="14"/>
      <c r="AR220" s="11">
        <v>18</v>
      </c>
      <c r="AS220" s="14" t="s">
        <v>566</v>
      </c>
      <c r="AT220" s="14"/>
      <c r="AU220" s="11"/>
      <c r="AV220" s="14"/>
    </row>
    <row r="221" spans="1:49" s="45" customFormat="1" ht="15" x14ac:dyDescent="0.25">
      <c r="A221" s="13">
        <v>46071</v>
      </c>
      <c r="B221" s="13"/>
      <c r="C221" s="42" t="s">
        <v>49</v>
      </c>
      <c r="D221" s="42" t="s">
        <v>299</v>
      </c>
      <c r="E221" s="14"/>
      <c r="F221" s="71">
        <v>3669107</v>
      </c>
      <c r="G221" s="42" t="s">
        <v>50</v>
      </c>
      <c r="H221" s="31">
        <v>20101973922</v>
      </c>
      <c r="I221" s="43" t="str">
        <f>IF(H221="","",VLOOKUP(H221,ENTIDAD!$B$2:$C$613,2,0))</f>
        <v>ASOCIACION AUTOMOTRIZ DEL PERU</v>
      </c>
      <c r="J221" s="11"/>
      <c r="K221" s="11"/>
      <c r="L221" s="11"/>
      <c r="M221" s="11"/>
      <c r="N221" s="11">
        <v>0</v>
      </c>
      <c r="O221" s="11">
        <f t="shared" si="4"/>
        <v>0</v>
      </c>
      <c r="P221" s="11">
        <v>0</v>
      </c>
      <c r="Q221" s="11"/>
      <c r="R221" s="11">
        <v>66.8</v>
      </c>
      <c r="S221" s="11">
        <v>66.8</v>
      </c>
      <c r="T221" s="14"/>
      <c r="U221" s="14"/>
      <c r="V221" s="13"/>
      <c r="W221" s="15"/>
      <c r="X221" s="13"/>
      <c r="Y221" s="14"/>
      <c r="Z221" s="14"/>
      <c r="AA221" s="14"/>
      <c r="AB221" s="42" t="s">
        <v>224</v>
      </c>
      <c r="AC221" s="11"/>
      <c r="AD221" s="33">
        <v>46099</v>
      </c>
      <c r="AE221" s="34" t="s">
        <v>465</v>
      </c>
      <c r="AF221" s="37" t="s">
        <v>597</v>
      </c>
      <c r="AG221" s="14" t="s">
        <v>513</v>
      </c>
      <c r="AH221" s="14" t="s">
        <v>225</v>
      </c>
      <c r="AI221" s="14"/>
      <c r="AJ221" s="14"/>
      <c r="AK221" s="16"/>
      <c r="AL221" s="11"/>
      <c r="AM221" s="11"/>
      <c r="AN221" s="14"/>
      <c r="AO221" s="14"/>
      <c r="AP221" s="13"/>
      <c r="AQ221" s="14"/>
      <c r="AR221" s="11">
        <v>18</v>
      </c>
      <c r="AS221" s="14" t="s">
        <v>566</v>
      </c>
      <c r="AT221" s="14"/>
      <c r="AU221" s="11"/>
      <c r="AV221" s="14"/>
    </row>
    <row r="222" spans="1:49" s="45" customFormat="1" ht="15" x14ac:dyDescent="0.25">
      <c r="A222" s="13">
        <v>46071</v>
      </c>
      <c r="B222" s="13"/>
      <c r="C222" s="42" t="s">
        <v>49</v>
      </c>
      <c r="D222" s="42" t="s">
        <v>299</v>
      </c>
      <c r="E222" s="14"/>
      <c r="F222" s="71">
        <v>3669108</v>
      </c>
      <c r="G222" s="42" t="s">
        <v>50</v>
      </c>
      <c r="H222" s="31">
        <v>20101973922</v>
      </c>
      <c r="I222" s="43" t="str">
        <f>IF(H222="","",VLOOKUP(H222,ENTIDAD!$B$2:$C$613,2,0))</f>
        <v>ASOCIACION AUTOMOTRIZ DEL PERU</v>
      </c>
      <c r="J222" s="11"/>
      <c r="K222" s="11"/>
      <c r="L222" s="11"/>
      <c r="M222" s="11"/>
      <c r="N222" s="11">
        <v>0</v>
      </c>
      <c r="O222" s="11">
        <f t="shared" si="4"/>
        <v>0</v>
      </c>
      <c r="P222" s="11">
        <v>0</v>
      </c>
      <c r="Q222" s="11"/>
      <c r="R222" s="11">
        <v>66.8</v>
      </c>
      <c r="S222" s="11">
        <v>66.8</v>
      </c>
      <c r="T222" s="14"/>
      <c r="U222" s="14"/>
      <c r="V222" s="13"/>
      <c r="W222" s="15"/>
      <c r="X222" s="13"/>
      <c r="Y222" s="14"/>
      <c r="Z222" s="14"/>
      <c r="AA222" s="14"/>
      <c r="AB222" s="42" t="s">
        <v>224</v>
      </c>
      <c r="AC222" s="11"/>
      <c r="AD222" s="33">
        <v>46099</v>
      </c>
      <c r="AE222" s="34" t="s">
        <v>465</v>
      </c>
      <c r="AF222" s="37" t="s">
        <v>597</v>
      </c>
      <c r="AG222" s="14" t="s">
        <v>513</v>
      </c>
      <c r="AH222" s="14" t="s">
        <v>225</v>
      </c>
      <c r="AI222" s="14"/>
      <c r="AJ222" s="14"/>
      <c r="AK222" s="16"/>
      <c r="AL222" s="11"/>
      <c r="AM222" s="11"/>
      <c r="AN222" s="14"/>
      <c r="AO222" s="14"/>
      <c r="AP222" s="13"/>
      <c r="AQ222" s="14"/>
      <c r="AR222" s="11">
        <v>18</v>
      </c>
      <c r="AS222" s="14" t="s">
        <v>566</v>
      </c>
      <c r="AT222" s="14"/>
      <c r="AU222" s="11"/>
      <c r="AV222" s="14"/>
    </row>
    <row r="223" spans="1:49" s="45" customFormat="1" ht="15" x14ac:dyDescent="0.25">
      <c r="A223" s="46">
        <v>46071</v>
      </c>
      <c r="B223" s="13"/>
      <c r="C223" s="42" t="s">
        <v>49</v>
      </c>
      <c r="D223" s="42" t="s">
        <v>441</v>
      </c>
      <c r="E223" s="14"/>
      <c r="F223" s="71">
        <v>42647056</v>
      </c>
      <c r="G223" s="42" t="s">
        <v>50</v>
      </c>
      <c r="H223" s="31">
        <v>20100047218</v>
      </c>
      <c r="I223" s="43" t="str">
        <f>IF(H223="","",VLOOKUP(H223,ENTIDAD!$B$2:$C$613,2,0))</f>
        <v>BANCO DE CREDITO DEL PERU</v>
      </c>
      <c r="J223" s="11"/>
      <c r="K223" s="11"/>
      <c r="L223" s="11"/>
      <c r="M223" s="11"/>
      <c r="N223" s="11">
        <f t="shared" ref="N223:N254" si="5">(S223-P223)/1.18</f>
        <v>0</v>
      </c>
      <c r="O223" s="11">
        <f t="shared" si="4"/>
        <v>0</v>
      </c>
      <c r="P223" s="11">
        <v>10</v>
      </c>
      <c r="Q223" s="11"/>
      <c r="R223" s="11"/>
      <c r="S223" s="11">
        <v>10</v>
      </c>
      <c r="T223" s="14"/>
      <c r="U223" s="14"/>
      <c r="V223" s="13"/>
      <c r="W223" s="15"/>
      <c r="X223" s="13"/>
      <c r="Y223" s="14"/>
      <c r="Z223" s="14"/>
      <c r="AA223" s="14"/>
      <c r="AB223" s="42" t="s">
        <v>224</v>
      </c>
      <c r="AC223" s="11"/>
      <c r="AD223" s="13">
        <v>46099</v>
      </c>
      <c r="AE223" s="14" t="s">
        <v>465</v>
      </c>
      <c r="AF223" s="19" t="s">
        <v>494</v>
      </c>
      <c r="AG223" s="14"/>
      <c r="AH223" s="14" t="s">
        <v>225</v>
      </c>
      <c r="AI223" s="14"/>
      <c r="AJ223" s="14"/>
      <c r="AK223" s="16"/>
      <c r="AL223" s="11"/>
      <c r="AM223" s="11"/>
      <c r="AN223" s="14"/>
      <c r="AO223" s="14"/>
      <c r="AP223" s="13"/>
      <c r="AQ223" s="14"/>
      <c r="AR223" s="11">
        <v>18</v>
      </c>
      <c r="AS223" s="14" t="s">
        <v>495</v>
      </c>
      <c r="AT223" s="14"/>
      <c r="AU223" s="11"/>
      <c r="AV223" s="14"/>
    </row>
    <row r="224" spans="1:49" s="45" customFormat="1" ht="15" x14ac:dyDescent="0.25">
      <c r="A224" s="46">
        <v>46071</v>
      </c>
      <c r="B224" s="13"/>
      <c r="C224" s="42" t="s">
        <v>49</v>
      </c>
      <c r="D224" s="42" t="s">
        <v>441</v>
      </c>
      <c r="E224" s="14"/>
      <c r="F224" s="71">
        <v>42647089</v>
      </c>
      <c r="G224" s="42" t="s">
        <v>50</v>
      </c>
      <c r="H224" s="31">
        <v>20100047218</v>
      </c>
      <c r="I224" s="43" t="str">
        <f>IF(H224="","",VLOOKUP(H224,ENTIDAD!$B$2:$C$613,2,0))</f>
        <v>BANCO DE CREDITO DEL PERU</v>
      </c>
      <c r="J224" s="11"/>
      <c r="K224" s="11"/>
      <c r="L224" s="11"/>
      <c r="M224" s="11"/>
      <c r="N224" s="11">
        <f t="shared" si="5"/>
        <v>0</v>
      </c>
      <c r="O224" s="11">
        <f t="shared" si="4"/>
        <v>0</v>
      </c>
      <c r="P224" s="11">
        <v>10</v>
      </c>
      <c r="Q224" s="11"/>
      <c r="R224" s="11"/>
      <c r="S224" s="11">
        <v>10</v>
      </c>
      <c r="T224" s="14"/>
      <c r="U224" s="14"/>
      <c r="V224" s="13"/>
      <c r="W224" s="15"/>
      <c r="X224" s="13"/>
      <c r="Y224" s="14"/>
      <c r="Z224" s="14"/>
      <c r="AA224" s="14"/>
      <c r="AB224" s="42" t="s">
        <v>224</v>
      </c>
      <c r="AC224" s="11"/>
      <c r="AD224" s="13">
        <v>46099</v>
      </c>
      <c r="AE224" s="14" t="s">
        <v>465</v>
      </c>
      <c r="AF224" s="19" t="s">
        <v>494</v>
      </c>
      <c r="AG224" s="14"/>
      <c r="AH224" s="14" t="s">
        <v>225</v>
      </c>
      <c r="AI224" s="14"/>
      <c r="AJ224" s="14"/>
      <c r="AK224" s="16"/>
      <c r="AL224" s="11"/>
      <c r="AM224" s="11"/>
      <c r="AN224" s="14"/>
      <c r="AO224" s="14"/>
      <c r="AP224" s="13"/>
      <c r="AQ224" s="14"/>
      <c r="AR224" s="11">
        <v>18</v>
      </c>
      <c r="AS224" s="14" t="s">
        <v>495</v>
      </c>
      <c r="AT224" s="14"/>
      <c r="AU224" s="11"/>
      <c r="AV224" s="14"/>
    </row>
    <row r="225" spans="1:48" s="45" customFormat="1" ht="15" x14ac:dyDescent="0.25">
      <c r="A225" s="46">
        <v>46071</v>
      </c>
      <c r="B225" s="13"/>
      <c r="C225" s="42" t="s">
        <v>49</v>
      </c>
      <c r="D225" s="42" t="s">
        <v>294</v>
      </c>
      <c r="E225" s="14"/>
      <c r="F225" s="71">
        <v>174</v>
      </c>
      <c r="G225" s="42" t="s">
        <v>50</v>
      </c>
      <c r="H225" s="31">
        <v>10733892469</v>
      </c>
      <c r="I225" s="43" t="str">
        <f>IF(H225="","",VLOOKUP(H225,ENTIDAD!$B$2:$C$613,2,0))</f>
        <v>TAIPE AYLLON EMILY MARGORY</v>
      </c>
      <c r="J225" s="11"/>
      <c r="K225" s="11"/>
      <c r="L225" s="11"/>
      <c r="M225" s="11"/>
      <c r="N225" s="11">
        <f t="shared" si="5"/>
        <v>0</v>
      </c>
      <c r="O225" s="11">
        <f t="shared" si="4"/>
        <v>0</v>
      </c>
      <c r="P225" s="11">
        <v>107</v>
      </c>
      <c r="Q225" s="11"/>
      <c r="R225" s="11"/>
      <c r="S225" s="11">
        <v>107</v>
      </c>
      <c r="T225" s="14"/>
      <c r="U225" s="14"/>
      <c r="V225" s="13"/>
      <c r="W225" s="15"/>
      <c r="X225" s="13"/>
      <c r="Y225" s="14"/>
      <c r="Z225" s="14"/>
      <c r="AA225" s="14"/>
      <c r="AB225" s="42" t="s">
        <v>224</v>
      </c>
      <c r="AC225" s="11"/>
      <c r="AD225" s="13">
        <v>46099</v>
      </c>
      <c r="AE225" s="14" t="s">
        <v>465</v>
      </c>
      <c r="AF225" s="19" t="s">
        <v>602</v>
      </c>
      <c r="AG225" s="14"/>
      <c r="AH225" s="14" t="s">
        <v>225</v>
      </c>
      <c r="AI225" s="14"/>
      <c r="AJ225" s="14"/>
      <c r="AK225" s="16"/>
      <c r="AL225" s="11"/>
      <c r="AM225" s="11"/>
      <c r="AN225" s="14"/>
      <c r="AO225" s="14"/>
      <c r="AP225" s="13"/>
      <c r="AQ225" s="14"/>
      <c r="AR225" s="11">
        <v>18</v>
      </c>
      <c r="AS225" s="14" t="s">
        <v>580</v>
      </c>
      <c r="AT225" s="14"/>
      <c r="AU225" s="11"/>
      <c r="AV225" s="14"/>
    </row>
    <row r="226" spans="1:48" s="45" customFormat="1" ht="15" x14ac:dyDescent="0.25">
      <c r="A226" s="46">
        <v>46071</v>
      </c>
      <c r="B226" s="13"/>
      <c r="C226" s="42" t="s">
        <v>49</v>
      </c>
      <c r="D226" s="42" t="s">
        <v>543</v>
      </c>
      <c r="E226" s="14"/>
      <c r="F226" s="71">
        <v>4613</v>
      </c>
      <c r="G226" s="42" t="s">
        <v>50</v>
      </c>
      <c r="H226" s="31">
        <v>20601012261</v>
      </c>
      <c r="I226" s="43" t="str">
        <f>IF(H226="","",VLOOKUP(H226,ENTIDAD!$B$2:$C$613,2,0))</f>
        <v>IMPORTADORA DE REPUESTOS LA ROCA E.I.R.L.</v>
      </c>
      <c r="J226" s="11"/>
      <c r="K226" s="11"/>
      <c r="L226" s="11"/>
      <c r="M226" s="11"/>
      <c r="N226" s="11">
        <f t="shared" si="5"/>
        <v>0</v>
      </c>
      <c r="O226" s="11">
        <f t="shared" si="4"/>
        <v>0</v>
      </c>
      <c r="P226" s="11">
        <v>52</v>
      </c>
      <c r="Q226" s="11"/>
      <c r="R226" s="11"/>
      <c r="S226" s="11">
        <v>52</v>
      </c>
      <c r="T226" s="14"/>
      <c r="U226" s="14"/>
      <c r="V226" s="13"/>
      <c r="W226" s="15"/>
      <c r="X226" s="13"/>
      <c r="Y226" s="14"/>
      <c r="Z226" s="14"/>
      <c r="AA226" s="14"/>
      <c r="AB226" s="42" t="s">
        <v>224</v>
      </c>
      <c r="AC226" s="11"/>
      <c r="AD226" s="13"/>
      <c r="AE226" s="14" t="s">
        <v>262</v>
      </c>
      <c r="AF226" s="19" t="s">
        <v>603</v>
      </c>
      <c r="AG226" s="14"/>
      <c r="AH226" s="14" t="s">
        <v>225</v>
      </c>
      <c r="AI226" s="14"/>
      <c r="AJ226" s="14"/>
      <c r="AK226" s="16"/>
      <c r="AL226" s="11"/>
      <c r="AM226" s="11"/>
      <c r="AN226" s="14"/>
      <c r="AO226" s="14"/>
      <c r="AP226" s="13"/>
      <c r="AQ226" s="14"/>
      <c r="AR226" s="11">
        <v>18</v>
      </c>
      <c r="AS226" s="14" t="s">
        <v>582</v>
      </c>
      <c r="AT226" s="14"/>
      <c r="AU226" s="11"/>
      <c r="AV226" s="14"/>
    </row>
    <row r="227" spans="1:48" s="45" customFormat="1" ht="15" x14ac:dyDescent="0.25">
      <c r="A227" s="46">
        <v>46071</v>
      </c>
      <c r="B227" s="13"/>
      <c r="C227" s="42" t="s">
        <v>49</v>
      </c>
      <c r="D227" s="42" t="s">
        <v>301</v>
      </c>
      <c r="E227" s="14"/>
      <c r="F227" s="71">
        <v>16761</v>
      </c>
      <c r="G227" s="42" t="s">
        <v>50</v>
      </c>
      <c r="H227" s="31">
        <v>20493508645</v>
      </c>
      <c r="I227" s="43" t="str">
        <f>IF(H227="","",VLOOKUP(H227,ENTIDAD!$B$2:$C$613,2,0))</f>
        <v>HONDA SELVA DEL PERU S.A.</v>
      </c>
      <c r="J227" s="11"/>
      <c r="K227" s="11"/>
      <c r="L227" s="11"/>
      <c r="M227" s="11"/>
      <c r="N227" s="11">
        <f t="shared" si="5"/>
        <v>2.0338983045741954E-3</v>
      </c>
      <c r="O227" s="11">
        <f t="shared" si="4"/>
        <v>3.6610169482335518E-4</v>
      </c>
      <c r="P227" s="11">
        <v>9897.69</v>
      </c>
      <c r="Q227" s="11"/>
      <c r="R227" s="11"/>
      <c r="S227" s="11">
        <f t="shared" ref="S227:S232" si="6">W227*AC227</f>
        <v>9897.6923999999999</v>
      </c>
      <c r="T227" s="14"/>
      <c r="U227" s="14"/>
      <c r="V227" s="13"/>
      <c r="W227" s="15">
        <v>3.3479999999999999</v>
      </c>
      <c r="X227" s="13"/>
      <c r="Y227" s="14"/>
      <c r="Z227" s="14"/>
      <c r="AA227" s="14"/>
      <c r="AB227" s="42" t="s">
        <v>383</v>
      </c>
      <c r="AC227" s="11">
        <v>2956.3</v>
      </c>
      <c r="AD227" s="46">
        <v>46099</v>
      </c>
      <c r="AE227" s="34" t="s">
        <v>465</v>
      </c>
      <c r="AF227" s="19" t="s">
        <v>532</v>
      </c>
      <c r="AG227" s="14"/>
      <c r="AH227" s="14" t="s">
        <v>225</v>
      </c>
      <c r="AI227" s="14"/>
      <c r="AJ227" s="14"/>
      <c r="AK227" s="16"/>
      <c r="AL227" s="11"/>
      <c r="AM227" s="11"/>
      <c r="AN227" s="14"/>
      <c r="AO227" s="14"/>
      <c r="AP227" s="13"/>
      <c r="AQ227" s="14"/>
      <c r="AR227" s="11">
        <v>18</v>
      </c>
      <c r="AS227" s="14" t="s">
        <v>201</v>
      </c>
      <c r="AT227" s="14"/>
      <c r="AU227" s="11"/>
      <c r="AV227" s="14"/>
    </row>
    <row r="228" spans="1:48" s="45" customFormat="1" ht="15" x14ac:dyDescent="0.25">
      <c r="A228" s="46">
        <v>46071</v>
      </c>
      <c r="B228" s="13"/>
      <c r="C228" s="42" t="s">
        <v>49</v>
      </c>
      <c r="D228" s="42" t="s">
        <v>301</v>
      </c>
      <c r="E228" s="14"/>
      <c r="F228" s="71">
        <v>16762</v>
      </c>
      <c r="G228" s="42" t="s">
        <v>50</v>
      </c>
      <c r="H228" s="31">
        <v>20493508645</v>
      </c>
      <c r="I228" s="43" t="str">
        <f>IF(H228="","",VLOOKUP(H228,ENTIDAD!$B$2:$C$613,2,0))</f>
        <v>HONDA SELVA DEL PERU S.A.</v>
      </c>
      <c r="J228" s="11"/>
      <c r="K228" s="11"/>
      <c r="L228" s="11"/>
      <c r="M228" s="11"/>
      <c r="N228" s="11">
        <f t="shared" si="5"/>
        <v>-2.9491525434053277E-3</v>
      </c>
      <c r="O228" s="11">
        <f t="shared" si="4"/>
        <v>-5.3084745781295896E-4</v>
      </c>
      <c r="P228" s="11">
        <v>8679.66</v>
      </c>
      <c r="Q228" s="11"/>
      <c r="R228" s="11"/>
      <c r="S228" s="11">
        <f t="shared" si="6"/>
        <v>8679.6565199999986</v>
      </c>
      <c r="T228" s="14"/>
      <c r="U228" s="14"/>
      <c r="V228" s="13"/>
      <c r="W228" s="15">
        <v>3.3479999999999999</v>
      </c>
      <c r="X228" s="13"/>
      <c r="Y228" s="14"/>
      <c r="Z228" s="14"/>
      <c r="AA228" s="14"/>
      <c r="AB228" s="42" t="s">
        <v>383</v>
      </c>
      <c r="AC228" s="11">
        <v>2592.4899999999998</v>
      </c>
      <c r="AD228" s="46">
        <v>46099</v>
      </c>
      <c r="AE228" s="34" t="s">
        <v>465</v>
      </c>
      <c r="AF228" s="19" t="s">
        <v>532</v>
      </c>
      <c r="AG228" s="14"/>
      <c r="AH228" s="14" t="s">
        <v>225</v>
      </c>
      <c r="AI228" s="14"/>
      <c r="AJ228" s="14"/>
      <c r="AK228" s="16"/>
      <c r="AL228" s="11"/>
      <c r="AM228" s="11"/>
      <c r="AN228" s="14"/>
      <c r="AO228" s="14"/>
      <c r="AP228" s="13"/>
      <c r="AQ228" s="14"/>
      <c r="AR228" s="11">
        <v>18</v>
      </c>
      <c r="AS228" s="14" t="s">
        <v>201</v>
      </c>
      <c r="AT228" s="14"/>
      <c r="AU228" s="11"/>
      <c r="AV228" s="14"/>
    </row>
    <row r="229" spans="1:48" s="45" customFormat="1" ht="15" x14ac:dyDescent="0.25">
      <c r="A229" s="46">
        <v>46071</v>
      </c>
      <c r="B229" s="13"/>
      <c r="C229" s="42" t="s">
        <v>49</v>
      </c>
      <c r="D229" s="42" t="s">
        <v>301</v>
      </c>
      <c r="E229" s="14"/>
      <c r="F229" s="71">
        <v>16763</v>
      </c>
      <c r="G229" s="42" t="s">
        <v>50</v>
      </c>
      <c r="H229" s="31">
        <v>20493508645</v>
      </c>
      <c r="I229" s="43" t="str">
        <f>IF(H229="","",VLOOKUP(H229,ENTIDAD!$B$2:$C$613,2,0))</f>
        <v>HONDA SELVA DEL PERU S.A.</v>
      </c>
      <c r="J229" s="11"/>
      <c r="K229" s="11"/>
      <c r="L229" s="11"/>
      <c r="M229" s="11"/>
      <c r="N229" s="11">
        <f t="shared" si="5"/>
        <v>-2.9491525434053277E-3</v>
      </c>
      <c r="O229" s="11">
        <f t="shared" si="4"/>
        <v>-5.3084745781295896E-4</v>
      </c>
      <c r="P229" s="11">
        <v>8679.66</v>
      </c>
      <c r="Q229" s="11"/>
      <c r="R229" s="11"/>
      <c r="S229" s="11">
        <f t="shared" si="6"/>
        <v>8679.6565199999986</v>
      </c>
      <c r="T229" s="14"/>
      <c r="U229" s="14"/>
      <c r="V229" s="13"/>
      <c r="W229" s="15">
        <v>3.3479999999999999</v>
      </c>
      <c r="X229" s="13"/>
      <c r="Y229" s="14"/>
      <c r="Z229" s="14"/>
      <c r="AA229" s="14"/>
      <c r="AB229" s="42" t="s">
        <v>383</v>
      </c>
      <c r="AC229" s="11">
        <v>2592.4899999999998</v>
      </c>
      <c r="AD229" s="46">
        <v>46099</v>
      </c>
      <c r="AE229" s="34" t="s">
        <v>465</v>
      </c>
      <c r="AF229" s="19" t="s">
        <v>532</v>
      </c>
      <c r="AG229" s="14"/>
      <c r="AH229" s="14" t="s">
        <v>225</v>
      </c>
      <c r="AI229" s="14"/>
      <c r="AJ229" s="14"/>
      <c r="AK229" s="16"/>
      <c r="AL229" s="11"/>
      <c r="AM229" s="11"/>
      <c r="AN229" s="14"/>
      <c r="AO229" s="14"/>
      <c r="AP229" s="13"/>
      <c r="AQ229" s="14"/>
      <c r="AR229" s="11">
        <v>18</v>
      </c>
      <c r="AS229" s="14" t="s">
        <v>201</v>
      </c>
      <c r="AT229" s="14"/>
      <c r="AU229" s="11"/>
      <c r="AV229" s="14"/>
    </row>
    <row r="230" spans="1:48" s="45" customFormat="1" ht="15" x14ac:dyDescent="0.25">
      <c r="A230" s="46">
        <v>46071</v>
      </c>
      <c r="B230" s="13"/>
      <c r="C230" s="42" t="s">
        <v>49</v>
      </c>
      <c r="D230" s="42" t="s">
        <v>301</v>
      </c>
      <c r="E230" s="14"/>
      <c r="F230" s="71">
        <v>16764</v>
      </c>
      <c r="G230" s="42" t="s">
        <v>50</v>
      </c>
      <c r="H230" s="31">
        <v>20493508645</v>
      </c>
      <c r="I230" s="43" t="str">
        <f>IF(H230="","",VLOOKUP(H230,ENTIDAD!$B$2:$C$613,2,0))</f>
        <v>HONDA SELVA DEL PERU S.A.</v>
      </c>
      <c r="J230" s="11"/>
      <c r="K230" s="11"/>
      <c r="L230" s="11"/>
      <c r="M230" s="11"/>
      <c r="N230" s="11">
        <f t="shared" si="5"/>
        <v>3.5593220303071884E-3</v>
      </c>
      <c r="O230" s="11">
        <f t="shared" si="4"/>
        <v>6.4067796545529392E-4</v>
      </c>
      <c r="P230" s="11">
        <v>40842.75</v>
      </c>
      <c r="Q230" s="11"/>
      <c r="R230" s="11"/>
      <c r="S230" s="11">
        <f t="shared" si="6"/>
        <v>40842.754199999996</v>
      </c>
      <c r="T230" s="14"/>
      <c r="U230" s="14"/>
      <c r="V230" s="13"/>
      <c r="W230" s="15">
        <v>3.3479999999999999</v>
      </c>
      <c r="X230" s="13"/>
      <c r="Y230" s="14"/>
      <c r="Z230" s="14"/>
      <c r="AA230" s="14"/>
      <c r="AB230" s="42" t="s">
        <v>383</v>
      </c>
      <c r="AC230" s="11">
        <v>12199.15</v>
      </c>
      <c r="AD230" s="46">
        <v>46099</v>
      </c>
      <c r="AE230" s="34" t="s">
        <v>465</v>
      </c>
      <c r="AF230" s="19" t="s">
        <v>532</v>
      </c>
      <c r="AG230" s="14"/>
      <c r="AH230" s="14" t="s">
        <v>225</v>
      </c>
      <c r="AI230" s="14"/>
      <c r="AJ230" s="14"/>
      <c r="AK230" s="16"/>
      <c r="AL230" s="11"/>
      <c r="AM230" s="11"/>
      <c r="AN230" s="14"/>
      <c r="AO230" s="14"/>
      <c r="AP230" s="13"/>
      <c r="AQ230" s="14"/>
      <c r="AR230" s="11">
        <v>18</v>
      </c>
      <c r="AS230" s="14" t="s">
        <v>201</v>
      </c>
      <c r="AT230" s="14"/>
      <c r="AU230" s="11"/>
      <c r="AV230" s="14"/>
    </row>
    <row r="231" spans="1:48" s="45" customFormat="1" ht="15" x14ac:dyDescent="0.25">
      <c r="A231" s="46">
        <v>46071</v>
      </c>
      <c r="B231" s="13"/>
      <c r="C231" s="42" t="s">
        <v>49</v>
      </c>
      <c r="D231" s="42" t="s">
        <v>301</v>
      </c>
      <c r="E231" s="14"/>
      <c r="F231" s="71">
        <v>16771</v>
      </c>
      <c r="G231" s="42" t="s">
        <v>50</v>
      </c>
      <c r="H231" s="31">
        <v>20493508645</v>
      </c>
      <c r="I231" s="43" t="str">
        <f>IF(H231="","",VLOOKUP(H231,ENTIDAD!$B$2:$C$613,2,0))</f>
        <v>HONDA SELVA DEL PERU S.A.</v>
      </c>
      <c r="J231" s="11"/>
      <c r="K231" s="11"/>
      <c r="L231" s="11"/>
      <c r="M231" s="11"/>
      <c r="N231" s="11">
        <f t="shared" si="5"/>
        <v>2.5762711830192514E-3</v>
      </c>
      <c r="O231" s="11">
        <f t="shared" si="4"/>
        <v>4.6372881294346526E-4</v>
      </c>
      <c r="P231" s="11">
        <v>26039</v>
      </c>
      <c r="Q231" s="11"/>
      <c r="R231" s="11"/>
      <c r="S231" s="11">
        <f t="shared" si="6"/>
        <v>26039.003039999996</v>
      </c>
      <c r="T231" s="14"/>
      <c r="U231" s="14"/>
      <c r="V231" s="13"/>
      <c r="W231" s="15">
        <v>3.3479999999999999</v>
      </c>
      <c r="X231" s="13"/>
      <c r="Y231" s="14"/>
      <c r="Z231" s="14"/>
      <c r="AA231" s="14"/>
      <c r="AB231" s="42" t="s">
        <v>383</v>
      </c>
      <c r="AC231" s="11">
        <v>7777.48</v>
      </c>
      <c r="AD231" s="46">
        <v>46099</v>
      </c>
      <c r="AE231" s="34" t="s">
        <v>465</v>
      </c>
      <c r="AF231" s="19" t="s">
        <v>532</v>
      </c>
      <c r="AG231" s="14"/>
      <c r="AH231" s="14" t="s">
        <v>225</v>
      </c>
      <c r="AI231" s="14"/>
      <c r="AJ231" s="14"/>
      <c r="AK231" s="16"/>
      <c r="AL231" s="11"/>
      <c r="AM231" s="11"/>
      <c r="AN231" s="14"/>
      <c r="AO231" s="14"/>
      <c r="AP231" s="13"/>
      <c r="AQ231" s="14"/>
      <c r="AR231" s="11">
        <v>18</v>
      </c>
      <c r="AS231" s="14" t="s">
        <v>201</v>
      </c>
      <c r="AT231" s="14"/>
      <c r="AU231" s="11"/>
      <c r="AV231" s="14"/>
    </row>
    <row r="232" spans="1:48" s="45" customFormat="1" ht="15" x14ac:dyDescent="0.25">
      <c r="A232" s="46">
        <v>46071</v>
      </c>
      <c r="B232" s="13"/>
      <c r="C232" s="42" t="s">
        <v>49</v>
      </c>
      <c r="D232" s="42" t="s">
        <v>301</v>
      </c>
      <c r="E232" s="14"/>
      <c r="F232" s="71">
        <v>16793</v>
      </c>
      <c r="G232" s="42" t="s">
        <v>50</v>
      </c>
      <c r="H232" s="31">
        <v>20493508645</v>
      </c>
      <c r="I232" s="43" t="str">
        <f>IF(H232="","",VLOOKUP(H232,ENTIDAD!$B$2:$C$613,2,0))</f>
        <v>HONDA SELVA DEL PERU S.A.</v>
      </c>
      <c r="J232" s="11"/>
      <c r="K232" s="11"/>
      <c r="L232" s="11"/>
      <c r="M232" s="11"/>
      <c r="N232" s="11">
        <f t="shared" si="5"/>
        <v>-7.7966102191752179E-4</v>
      </c>
      <c r="O232" s="11">
        <f t="shared" si="4"/>
        <v>-1.4033898394515392E-4</v>
      </c>
      <c r="P232" s="11">
        <v>58563.92</v>
      </c>
      <c r="Q232" s="11"/>
      <c r="R232" s="11"/>
      <c r="S232" s="11">
        <f t="shared" si="6"/>
        <v>58563.919079999992</v>
      </c>
      <c r="T232" s="14"/>
      <c r="U232" s="14"/>
      <c r="V232" s="13"/>
      <c r="W232" s="15">
        <v>3.3479999999999999</v>
      </c>
      <c r="X232" s="13"/>
      <c r="Y232" s="14"/>
      <c r="Z232" s="14"/>
      <c r="AA232" s="14"/>
      <c r="AB232" s="42" t="s">
        <v>383</v>
      </c>
      <c r="AC232" s="11">
        <v>17492.21</v>
      </c>
      <c r="AD232" s="46">
        <v>46099</v>
      </c>
      <c r="AE232" s="34" t="s">
        <v>465</v>
      </c>
      <c r="AF232" s="19" t="s">
        <v>532</v>
      </c>
      <c r="AG232" s="14"/>
      <c r="AH232" s="14" t="s">
        <v>225</v>
      </c>
      <c r="AI232" s="14"/>
      <c r="AJ232" s="14"/>
      <c r="AK232" s="16"/>
      <c r="AL232" s="11"/>
      <c r="AM232" s="11"/>
      <c r="AN232" s="14"/>
      <c r="AO232" s="14"/>
      <c r="AP232" s="13"/>
      <c r="AQ232" s="14"/>
      <c r="AR232" s="11">
        <v>18</v>
      </c>
      <c r="AS232" s="14" t="s">
        <v>201</v>
      </c>
      <c r="AT232" s="14"/>
      <c r="AU232" s="11"/>
      <c r="AV232" s="14"/>
    </row>
    <row r="233" spans="1:48" s="45" customFormat="1" ht="15" x14ac:dyDescent="0.25">
      <c r="A233" s="46">
        <v>46072</v>
      </c>
      <c r="B233" s="13"/>
      <c r="C233" s="42" t="s">
        <v>49</v>
      </c>
      <c r="D233" s="42" t="s">
        <v>294</v>
      </c>
      <c r="E233" s="14"/>
      <c r="F233" s="71">
        <v>12612</v>
      </c>
      <c r="G233" s="42" t="s">
        <v>50</v>
      </c>
      <c r="H233" s="31">
        <v>10209907327</v>
      </c>
      <c r="I233" s="43" t="str">
        <f>IF(H233="","",VLOOKUP(H233,ENTIDAD!$B$2:$C$613,2,0))</f>
        <v>TORPOCO,MAYTA,HECTOR,ALFONSO</v>
      </c>
      <c r="J233" s="11"/>
      <c r="K233" s="11"/>
      <c r="L233" s="11"/>
      <c r="M233" s="11"/>
      <c r="N233" s="11">
        <f t="shared" si="5"/>
        <v>0</v>
      </c>
      <c r="O233" s="11">
        <f t="shared" si="4"/>
        <v>0</v>
      </c>
      <c r="P233" s="11">
        <v>20</v>
      </c>
      <c r="Q233" s="11"/>
      <c r="R233" s="11"/>
      <c r="S233" s="11">
        <v>20</v>
      </c>
      <c r="T233" s="14"/>
      <c r="U233" s="14"/>
      <c r="V233" s="13"/>
      <c r="W233" s="15"/>
      <c r="X233" s="13"/>
      <c r="Y233" s="14"/>
      <c r="Z233" s="14"/>
      <c r="AA233" s="14"/>
      <c r="AB233" s="42" t="s">
        <v>224</v>
      </c>
      <c r="AC233" s="11"/>
      <c r="AD233" s="13"/>
      <c r="AE233" s="14" t="s">
        <v>262</v>
      </c>
      <c r="AF233" s="19" t="s">
        <v>486</v>
      </c>
      <c r="AG233" s="14"/>
      <c r="AH233" s="14" t="s">
        <v>225</v>
      </c>
      <c r="AI233" s="14"/>
      <c r="AJ233" s="14"/>
      <c r="AK233" s="16"/>
      <c r="AL233" s="11"/>
      <c r="AM233" s="11"/>
      <c r="AN233" s="14"/>
      <c r="AO233" s="14"/>
      <c r="AP233" s="13"/>
      <c r="AQ233" s="14"/>
      <c r="AR233" s="11">
        <v>18</v>
      </c>
      <c r="AS233" s="14" t="s">
        <v>487</v>
      </c>
      <c r="AT233" s="14"/>
      <c r="AU233" s="11"/>
      <c r="AV233" s="14"/>
    </row>
    <row r="234" spans="1:48" s="45" customFormat="1" ht="15" x14ac:dyDescent="0.25">
      <c r="A234" s="46">
        <v>46072</v>
      </c>
      <c r="B234" s="13"/>
      <c r="C234" s="42" t="s">
        <v>49</v>
      </c>
      <c r="D234" s="42" t="s">
        <v>292</v>
      </c>
      <c r="E234" s="14"/>
      <c r="F234" s="71">
        <v>4907</v>
      </c>
      <c r="G234" s="42" t="s">
        <v>50</v>
      </c>
      <c r="H234" s="31">
        <v>20568610092</v>
      </c>
      <c r="I234" s="43" t="str">
        <f>IF(H234="","",VLOOKUP(H234,ENTIDAD!$B$2:$C$613,2,0))</f>
        <v>GRUPO FERRETERO RODRIGUEZ E.I.R.L.</v>
      </c>
      <c r="J234" s="11"/>
      <c r="K234" s="11"/>
      <c r="L234" s="11"/>
      <c r="M234" s="11"/>
      <c r="N234" s="11">
        <f t="shared" si="5"/>
        <v>0</v>
      </c>
      <c r="O234" s="11">
        <f t="shared" si="4"/>
        <v>0</v>
      </c>
      <c r="P234" s="11">
        <v>5</v>
      </c>
      <c r="Q234" s="11"/>
      <c r="R234" s="11"/>
      <c r="S234" s="11">
        <v>5</v>
      </c>
      <c r="T234" s="14"/>
      <c r="U234" s="14"/>
      <c r="V234" s="13"/>
      <c r="W234" s="15"/>
      <c r="X234" s="13"/>
      <c r="Y234" s="14"/>
      <c r="Z234" s="14"/>
      <c r="AA234" s="14"/>
      <c r="AB234" s="42" t="s">
        <v>224</v>
      </c>
      <c r="AC234" s="11"/>
      <c r="AD234" s="13"/>
      <c r="AE234" s="14" t="s">
        <v>262</v>
      </c>
      <c r="AF234" s="19" t="s">
        <v>486</v>
      </c>
      <c r="AG234" s="14"/>
      <c r="AH234" s="14" t="s">
        <v>225</v>
      </c>
      <c r="AI234" s="14"/>
      <c r="AJ234" s="14"/>
      <c r="AK234" s="16"/>
      <c r="AL234" s="11"/>
      <c r="AM234" s="11"/>
      <c r="AN234" s="14"/>
      <c r="AO234" s="14"/>
      <c r="AP234" s="13"/>
      <c r="AQ234" s="14"/>
      <c r="AR234" s="11">
        <v>18</v>
      </c>
      <c r="AS234" s="14" t="s">
        <v>578</v>
      </c>
      <c r="AT234" s="14"/>
      <c r="AU234" s="11"/>
      <c r="AV234" s="14"/>
    </row>
    <row r="235" spans="1:48" s="45" customFormat="1" ht="15" x14ac:dyDescent="0.25">
      <c r="A235" s="46">
        <v>46072</v>
      </c>
      <c r="B235" s="13"/>
      <c r="C235" s="42" t="s">
        <v>49</v>
      </c>
      <c r="D235" s="42" t="s">
        <v>294</v>
      </c>
      <c r="E235" s="14"/>
      <c r="F235" s="71">
        <v>6043</v>
      </c>
      <c r="G235" s="42" t="s">
        <v>50</v>
      </c>
      <c r="H235" s="31">
        <v>20486549328</v>
      </c>
      <c r="I235" s="43" t="str">
        <f>IF(H235="","",VLOOKUP(H235,ENTIDAD!$B$2:$C$613,2,0))</f>
        <v>SANTISIMA TRINIDAD E.I.R.L.</v>
      </c>
      <c r="J235" s="11"/>
      <c r="K235" s="11"/>
      <c r="L235" s="11"/>
      <c r="M235" s="11"/>
      <c r="N235" s="11">
        <f t="shared" si="5"/>
        <v>0</v>
      </c>
      <c r="O235" s="11">
        <f t="shared" si="4"/>
        <v>0</v>
      </c>
      <c r="P235" s="11">
        <v>9</v>
      </c>
      <c r="Q235" s="11"/>
      <c r="R235" s="11"/>
      <c r="S235" s="11">
        <v>9</v>
      </c>
      <c r="T235" s="14"/>
      <c r="U235" s="14"/>
      <c r="V235" s="13"/>
      <c r="W235" s="15"/>
      <c r="X235" s="13"/>
      <c r="Y235" s="14"/>
      <c r="Z235" s="14"/>
      <c r="AA235" s="14"/>
      <c r="AB235" s="42" t="s">
        <v>224</v>
      </c>
      <c r="AC235" s="11"/>
      <c r="AD235" s="13"/>
      <c r="AE235" s="14" t="s">
        <v>262</v>
      </c>
      <c r="AF235" s="19" t="s">
        <v>604</v>
      </c>
      <c r="AG235" s="14"/>
      <c r="AH235" s="14" t="s">
        <v>225</v>
      </c>
      <c r="AI235" s="14"/>
      <c r="AJ235" s="14"/>
      <c r="AK235" s="16"/>
      <c r="AL235" s="11"/>
      <c r="AM235" s="11"/>
      <c r="AN235" s="14"/>
      <c r="AO235" s="14"/>
      <c r="AP235" s="13"/>
      <c r="AQ235" s="14"/>
      <c r="AR235" s="11">
        <v>18</v>
      </c>
      <c r="AS235" s="14" t="s">
        <v>579</v>
      </c>
      <c r="AT235" s="14"/>
      <c r="AU235" s="11"/>
      <c r="AV235" s="14"/>
    </row>
    <row r="236" spans="1:48" s="45" customFormat="1" ht="15" x14ac:dyDescent="0.25">
      <c r="A236" s="46">
        <v>46072</v>
      </c>
      <c r="B236" s="13"/>
      <c r="C236" s="42" t="s">
        <v>49</v>
      </c>
      <c r="D236" s="42" t="s">
        <v>292</v>
      </c>
      <c r="E236" s="14"/>
      <c r="F236" s="71">
        <v>2670</v>
      </c>
      <c r="G236" s="42" t="s">
        <v>50</v>
      </c>
      <c r="H236" s="31">
        <v>20609912651</v>
      </c>
      <c r="I236" s="43" t="str">
        <f>IF(H236="","",VLOOKUP(H236,ENTIDAD!$B$2:$C$613,2,0))</f>
        <v>CONSORCIOS Y SERVICIOS GENERALES SALOME SOCIEDAD ANONIMA CERRADA</v>
      </c>
      <c r="J236" s="11"/>
      <c r="K236" s="11"/>
      <c r="L236" s="11"/>
      <c r="M236" s="11"/>
      <c r="N236" s="11">
        <f t="shared" si="5"/>
        <v>0</v>
      </c>
      <c r="O236" s="11">
        <f t="shared" si="4"/>
        <v>0</v>
      </c>
      <c r="P236" s="11">
        <v>547</v>
      </c>
      <c r="Q236" s="11"/>
      <c r="R236" s="11"/>
      <c r="S236" s="11">
        <v>547</v>
      </c>
      <c r="T236" s="14"/>
      <c r="U236" s="14"/>
      <c r="V236" s="13"/>
      <c r="W236" s="15"/>
      <c r="X236" s="13"/>
      <c r="Y236" s="14"/>
      <c r="Z236" s="14"/>
      <c r="AA236" s="14"/>
      <c r="AB236" s="42" t="s">
        <v>224</v>
      </c>
      <c r="AC236" s="11"/>
      <c r="AD236" s="13">
        <v>46100</v>
      </c>
      <c r="AE236" s="14" t="s">
        <v>465</v>
      </c>
      <c r="AF236" s="19" t="s">
        <v>602</v>
      </c>
      <c r="AG236" s="14"/>
      <c r="AH236" s="14" t="s">
        <v>225</v>
      </c>
      <c r="AI236" s="14"/>
      <c r="AJ236" s="14"/>
      <c r="AK236" s="16"/>
      <c r="AL236" s="11"/>
      <c r="AM236" s="11"/>
      <c r="AN236" s="14"/>
      <c r="AO236" s="14"/>
      <c r="AP236" s="13"/>
      <c r="AQ236" s="14"/>
      <c r="AR236" s="11">
        <v>18</v>
      </c>
      <c r="AS236" s="14" t="s">
        <v>581</v>
      </c>
      <c r="AT236" s="14"/>
      <c r="AU236" s="11"/>
      <c r="AV236" s="14"/>
    </row>
    <row r="237" spans="1:48" s="45" customFormat="1" ht="15" x14ac:dyDescent="0.25">
      <c r="A237" s="46">
        <v>46074</v>
      </c>
      <c r="B237" s="13"/>
      <c r="C237" s="42" t="s">
        <v>49</v>
      </c>
      <c r="D237" s="42" t="s">
        <v>569</v>
      </c>
      <c r="E237" s="14"/>
      <c r="F237" s="71">
        <v>10632</v>
      </c>
      <c r="G237" s="42" t="s">
        <v>50</v>
      </c>
      <c r="H237" s="31">
        <v>20505365217</v>
      </c>
      <c r="I237" s="43" t="str">
        <f>IF(H237="","",VLOOKUP(H237,ENTIDAD!$B$2:$C$613,2,0))</f>
        <v>EMPRESA DE TRANSPORTES Y TURISMO RARAZ S.A.C.</v>
      </c>
      <c r="J237" s="11"/>
      <c r="K237" s="11"/>
      <c r="L237" s="11"/>
      <c r="M237" s="11"/>
      <c r="N237" s="11">
        <v>0</v>
      </c>
      <c r="O237" s="11">
        <f t="shared" si="4"/>
        <v>0</v>
      </c>
      <c r="P237" s="11">
        <v>0</v>
      </c>
      <c r="Q237" s="11"/>
      <c r="R237" s="11">
        <v>120</v>
      </c>
      <c r="S237" s="11">
        <v>120</v>
      </c>
      <c r="T237" s="14"/>
      <c r="U237" s="14"/>
      <c r="V237" s="13"/>
      <c r="W237" s="15"/>
      <c r="X237" s="13"/>
      <c r="Y237" s="14"/>
      <c r="Z237" s="14"/>
      <c r="AA237" s="14"/>
      <c r="AB237" s="42" t="s">
        <v>224</v>
      </c>
      <c r="AC237" s="11"/>
      <c r="AD237" s="13"/>
      <c r="AE237" s="14" t="s">
        <v>262</v>
      </c>
      <c r="AF237" s="19">
        <v>6311295</v>
      </c>
      <c r="AG237" s="14"/>
      <c r="AH237" s="14" t="s">
        <v>225</v>
      </c>
      <c r="AI237" s="14"/>
      <c r="AJ237" s="14"/>
      <c r="AK237" s="16"/>
      <c r="AL237" s="11"/>
      <c r="AM237" s="11"/>
      <c r="AN237" s="14"/>
      <c r="AO237" s="14"/>
      <c r="AP237" s="13"/>
      <c r="AQ237" s="14"/>
      <c r="AR237" s="11">
        <v>18</v>
      </c>
      <c r="AS237" s="14" t="s">
        <v>516</v>
      </c>
      <c r="AT237" s="14"/>
      <c r="AU237" s="11"/>
      <c r="AV237" s="14"/>
    </row>
    <row r="238" spans="1:48" s="45" customFormat="1" ht="15" x14ac:dyDescent="0.25">
      <c r="A238" s="46">
        <v>46074</v>
      </c>
      <c r="B238" s="13"/>
      <c r="C238" s="42" t="s">
        <v>49</v>
      </c>
      <c r="D238" s="42" t="s">
        <v>301</v>
      </c>
      <c r="E238" s="14"/>
      <c r="F238" s="71">
        <v>16912</v>
      </c>
      <c r="G238" s="42" t="s">
        <v>50</v>
      </c>
      <c r="H238" s="31">
        <v>20493508645</v>
      </c>
      <c r="I238" s="43" t="str">
        <f>IF(H238="","",VLOOKUP(H238,ENTIDAD!$B$2:$C$613,2,0))</f>
        <v>HONDA SELVA DEL PERU S.A.</v>
      </c>
      <c r="J238" s="11"/>
      <c r="K238" s="11"/>
      <c r="L238" s="11"/>
      <c r="M238" s="11"/>
      <c r="N238" s="11">
        <f t="shared" si="5"/>
        <v>-6.7796610306624836E-4</v>
      </c>
      <c r="O238" s="11">
        <f t="shared" si="4"/>
        <v>-1.2203389855192469E-4</v>
      </c>
      <c r="P238" s="11">
        <v>34843.1</v>
      </c>
      <c r="Q238" s="11"/>
      <c r="R238" s="11"/>
      <c r="S238" s="11">
        <f>W238*AC238</f>
        <v>34843.099199999997</v>
      </c>
      <c r="T238" s="14"/>
      <c r="U238" s="14"/>
      <c r="V238" s="13"/>
      <c r="W238" s="15">
        <v>3.36</v>
      </c>
      <c r="X238" s="13"/>
      <c r="Y238" s="14"/>
      <c r="Z238" s="14"/>
      <c r="AA238" s="14"/>
      <c r="AB238" s="42" t="s">
        <v>383</v>
      </c>
      <c r="AC238" s="11">
        <v>10369.969999999999</v>
      </c>
      <c r="AD238" s="46">
        <v>46102</v>
      </c>
      <c r="AE238" s="34" t="s">
        <v>465</v>
      </c>
      <c r="AF238" s="19" t="s">
        <v>532</v>
      </c>
      <c r="AG238" s="14"/>
      <c r="AH238" s="14" t="s">
        <v>225</v>
      </c>
      <c r="AI238" s="14"/>
      <c r="AJ238" s="14"/>
      <c r="AK238" s="16"/>
      <c r="AL238" s="11"/>
      <c r="AM238" s="11"/>
      <c r="AN238" s="14"/>
      <c r="AO238" s="14"/>
      <c r="AP238" s="13"/>
      <c r="AQ238" s="14"/>
      <c r="AR238" s="11">
        <v>18</v>
      </c>
      <c r="AS238" s="14" t="s">
        <v>201</v>
      </c>
      <c r="AT238" s="14"/>
      <c r="AU238" s="11"/>
      <c r="AV238" s="14"/>
    </row>
    <row r="239" spans="1:48" s="45" customFormat="1" ht="15" x14ac:dyDescent="0.25">
      <c r="A239" s="46">
        <v>46074</v>
      </c>
      <c r="B239" s="13"/>
      <c r="C239" s="42" t="s">
        <v>49</v>
      </c>
      <c r="D239" s="42" t="s">
        <v>301</v>
      </c>
      <c r="E239" s="14"/>
      <c r="F239" s="71">
        <v>16895</v>
      </c>
      <c r="G239" s="42" t="s">
        <v>50</v>
      </c>
      <c r="H239" s="31">
        <v>20493508645</v>
      </c>
      <c r="I239" s="43" t="str">
        <f>IF(H239="","",VLOOKUP(H239,ENTIDAD!$B$2:$C$613,2,0))</f>
        <v>HONDA SELVA DEL PERU S.A.</v>
      </c>
      <c r="J239" s="11"/>
      <c r="K239" s="11"/>
      <c r="L239" s="11"/>
      <c r="M239" s="11"/>
      <c r="N239" s="11">
        <f t="shared" si="5"/>
        <v>4.0677966122314238E-3</v>
      </c>
      <c r="O239" s="11">
        <f t="shared" si="4"/>
        <v>7.3220339020165621E-4</v>
      </c>
      <c r="P239" s="11">
        <v>39732.6</v>
      </c>
      <c r="Q239" s="11"/>
      <c r="R239" s="11"/>
      <c r="S239" s="11">
        <f>W239*AC239</f>
        <v>39732.604800000001</v>
      </c>
      <c r="T239" s="14"/>
      <c r="U239" s="14"/>
      <c r="V239" s="13"/>
      <c r="W239" s="15">
        <v>3.36</v>
      </c>
      <c r="X239" s="13"/>
      <c r="Y239" s="14"/>
      <c r="Z239" s="14"/>
      <c r="AA239" s="14"/>
      <c r="AB239" s="42" t="s">
        <v>383</v>
      </c>
      <c r="AC239" s="11">
        <v>11825.18</v>
      </c>
      <c r="AD239" s="46">
        <v>46102</v>
      </c>
      <c r="AE239" s="34" t="s">
        <v>465</v>
      </c>
      <c r="AF239" s="19" t="s">
        <v>532</v>
      </c>
      <c r="AG239" s="14"/>
      <c r="AH239" s="14" t="s">
        <v>225</v>
      </c>
      <c r="AI239" s="14"/>
      <c r="AJ239" s="14"/>
      <c r="AK239" s="16"/>
      <c r="AL239" s="11"/>
      <c r="AM239" s="11"/>
      <c r="AN239" s="14"/>
      <c r="AO239" s="14"/>
      <c r="AP239" s="13"/>
      <c r="AQ239" s="14"/>
      <c r="AR239" s="11">
        <v>18</v>
      </c>
      <c r="AS239" s="14" t="s">
        <v>201</v>
      </c>
      <c r="AT239" s="14"/>
      <c r="AU239" s="11"/>
      <c r="AV239" s="14"/>
    </row>
    <row r="240" spans="1:48" s="45" customFormat="1" ht="15" x14ac:dyDescent="0.25">
      <c r="A240" s="46">
        <v>46076</v>
      </c>
      <c r="B240" s="13"/>
      <c r="C240" s="42" t="s">
        <v>49</v>
      </c>
      <c r="D240" s="42" t="s">
        <v>301</v>
      </c>
      <c r="E240" s="14"/>
      <c r="F240" s="71">
        <v>16958</v>
      </c>
      <c r="G240" s="42" t="s">
        <v>50</v>
      </c>
      <c r="H240" s="31">
        <v>20493508645</v>
      </c>
      <c r="I240" s="43" t="str">
        <f>IF(H240="","",VLOOKUP(H240,ENTIDAD!$B$2:$C$613,2,0))</f>
        <v>HONDA SELVA DEL PERU S.A.</v>
      </c>
      <c r="J240" s="11"/>
      <c r="K240" s="11"/>
      <c r="L240" s="11"/>
      <c r="M240" s="11"/>
      <c r="N240" s="11">
        <f t="shared" si="5"/>
        <v>-1.7457627140082246E-3</v>
      </c>
      <c r="O240" s="11">
        <f t="shared" si="4"/>
        <v>-3.142372885214804E-4</v>
      </c>
      <c r="P240" s="11">
        <v>17385.240000000002</v>
      </c>
      <c r="Q240" s="11"/>
      <c r="R240" s="11"/>
      <c r="S240" s="11">
        <f>W240*AC240</f>
        <v>17385.237939999999</v>
      </c>
      <c r="T240" s="14"/>
      <c r="U240" s="14"/>
      <c r="V240" s="13"/>
      <c r="W240" s="15">
        <v>3.3530000000000002</v>
      </c>
      <c r="X240" s="13"/>
      <c r="Y240" s="14"/>
      <c r="Z240" s="14"/>
      <c r="AA240" s="14"/>
      <c r="AB240" s="42" t="s">
        <v>383</v>
      </c>
      <c r="AC240" s="11">
        <v>5184.9799999999996</v>
      </c>
      <c r="AD240" s="46">
        <v>46104</v>
      </c>
      <c r="AE240" s="34" t="s">
        <v>465</v>
      </c>
      <c r="AF240" s="19" t="s">
        <v>532</v>
      </c>
      <c r="AG240" s="14"/>
      <c r="AH240" s="14" t="s">
        <v>225</v>
      </c>
      <c r="AI240" s="14"/>
      <c r="AJ240" s="14"/>
      <c r="AK240" s="16"/>
      <c r="AL240" s="11"/>
      <c r="AM240" s="11"/>
      <c r="AN240" s="14"/>
      <c r="AO240" s="14"/>
      <c r="AP240" s="13"/>
      <c r="AQ240" s="14"/>
      <c r="AR240" s="11">
        <v>18</v>
      </c>
      <c r="AS240" s="14" t="s">
        <v>201</v>
      </c>
      <c r="AT240" s="14"/>
      <c r="AU240" s="11"/>
      <c r="AV240" s="14"/>
    </row>
    <row r="241" spans="1:49" s="45" customFormat="1" ht="15" x14ac:dyDescent="0.25">
      <c r="A241" s="46">
        <v>46076</v>
      </c>
      <c r="B241" s="13"/>
      <c r="C241" s="42" t="s">
        <v>49</v>
      </c>
      <c r="D241" s="42" t="s">
        <v>301</v>
      </c>
      <c r="E241" s="14"/>
      <c r="F241" s="71">
        <v>16957</v>
      </c>
      <c r="G241" s="42" t="s">
        <v>50</v>
      </c>
      <c r="H241" s="31">
        <v>20493508645</v>
      </c>
      <c r="I241" s="43" t="str">
        <f>IF(H241="","",VLOOKUP(H241,ENTIDAD!$B$2:$C$613,2,0))</f>
        <v>HONDA SELVA DEL PERU S.A.</v>
      </c>
      <c r="J241" s="11"/>
      <c r="K241" s="11"/>
      <c r="L241" s="11"/>
      <c r="M241" s="11"/>
      <c r="N241" s="11">
        <f t="shared" si="5"/>
        <v>-3.0508474591735683E-3</v>
      </c>
      <c r="O241" s="11">
        <f t="shared" si="4"/>
        <v>-5.4915254265124232E-4</v>
      </c>
      <c r="P241" s="11">
        <v>8710.77</v>
      </c>
      <c r="Q241" s="11"/>
      <c r="R241" s="11"/>
      <c r="S241" s="11">
        <f>W241*AC241</f>
        <v>8710.7663999999986</v>
      </c>
      <c r="T241" s="14"/>
      <c r="U241" s="14"/>
      <c r="V241" s="13"/>
      <c r="W241" s="15">
        <v>3.36</v>
      </c>
      <c r="X241" s="13"/>
      <c r="Y241" s="14"/>
      <c r="Z241" s="14"/>
      <c r="AA241" s="14"/>
      <c r="AB241" s="42" t="s">
        <v>383</v>
      </c>
      <c r="AC241" s="11">
        <v>2592.4899999999998</v>
      </c>
      <c r="AD241" s="46">
        <v>46104</v>
      </c>
      <c r="AE241" s="34" t="s">
        <v>465</v>
      </c>
      <c r="AF241" s="19" t="s">
        <v>532</v>
      </c>
      <c r="AG241" s="14"/>
      <c r="AH241" s="14" t="s">
        <v>225</v>
      </c>
      <c r="AI241" s="14"/>
      <c r="AJ241" s="14"/>
      <c r="AK241" s="16"/>
      <c r="AL241" s="11"/>
      <c r="AM241" s="11"/>
      <c r="AN241" s="14"/>
      <c r="AO241" s="14"/>
      <c r="AP241" s="13"/>
      <c r="AQ241" s="14"/>
      <c r="AR241" s="11">
        <v>18</v>
      </c>
      <c r="AS241" s="14" t="s">
        <v>201</v>
      </c>
      <c r="AT241" s="14"/>
      <c r="AU241" s="11"/>
      <c r="AV241" s="14"/>
    </row>
    <row r="242" spans="1:49" s="45" customFormat="1" ht="15" x14ac:dyDescent="0.25">
      <c r="A242" s="46">
        <v>46077</v>
      </c>
      <c r="B242" s="13"/>
      <c r="C242" s="42" t="s">
        <v>49</v>
      </c>
      <c r="D242" s="42" t="s">
        <v>294</v>
      </c>
      <c r="E242" s="14"/>
      <c r="F242" s="71">
        <v>5188</v>
      </c>
      <c r="G242" s="42" t="s">
        <v>50</v>
      </c>
      <c r="H242" s="31">
        <v>10061702071</v>
      </c>
      <c r="I242" s="43" t="str">
        <f>IF(H242="","",VLOOKUP(H242,ENTIDAD!$B$2:$C$613,2,0))</f>
        <v>CORAL FLORES IVAN MARTIN</v>
      </c>
      <c r="J242" s="11"/>
      <c r="K242" s="11"/>
      <c r="L242" s="11"/>
      <c r="M242" s="11"/>
      <c r="N242" s="11">
        <v>0</v>
      </c>
      <c r="O242" s="11">
        <f t="shared" si="4"/>
        <v>0</v>
      </c>
      <c r="P242" s="11"/>
      <c r="Q242" s="11"/>
      <c r="R242" s="11">
        <v>430</v>
      </c>
      <c r="S242" s="11">
        <v>430</v>
      </c>
      <c r="T242" s="14"/>
      <c r="U242" s="14"/>
      <c r="V242" s="13"/>
      <c r="W242" s="15"/>
      <c r="X242" s="13"/>
      <c r="Y242" s="14"/>
      <c r="Z242" s="14"/>
      <c r="AA242" s="14"/>
      <c r="AB242" s="42" t="s">
        <v>224</v>
      </c>
      <c r="AC242" s="11"/>
      <c r="AD242" s="13">
        <v>46105</v>
      </c>
      <c r="AE242" s="14" t="s">
        <v>465</v>
      </c>
      <c r="AF242" s="37" t="s">
        <v>597</v>
      </c>
      <c r="AG242" s="34" t="s">
        <v>513</v>
      </c>
      <c r="AH242" s="34" t="s">
        <v>225</v>
      </c>
      <c r="AI242" s="34"/>
      <c r="AJ242" s="34"/>
      <c r="AK242" s="38"/>
      <c r="AL242" s="35"/>
      <c r="AM242" s="35"/>
      <c r="AN242" s="34"/>
      <c r="AO242" s="34"/>
      <c r="AP242" s="33"/>
      <c r="AQ242" s="34"/>
      <c r="AR242" s="35">
        <v>18</v>
      </c>
      <c r="AS242" s="34" t="s">
        <v>514</v>
      </c>
      <c r="AT242" s="14"/>
      <c r="AU242" s="11"/>
      <c r="AV242" s="14"/>
    </row>
    <row r="243" spans="1:49" s="45" customFormat="1" ht="15" x14ac:dyDescent="0.25">
      <c r="A243" s="46">
        <v>46077</v>
      </c>
      <c r="B243" s="13"/>
      <c r="C243" s="42" t="s">
        <v>49</v>
      </c>
      <c r="D243" s="42" t="s">
        <v>301</v>
      </c>
      <c r="E243" s="14"/>
      <c r="F243" s="71">
        <v>546</v>
      </c>
      <c r="G243" s="42" t="s">
        <v>50</v>
      </c>
      <c r="H243" s="31">
        <v>20602109225</v>
      </c>
      <c r="I243" s="43" t="str">
        <f>IF(H243="","",VLOOKUP(H243,ENTIDAD!$B$2:$C$613,2,0))</f>
        <v>SISTEMA ECOLÓGICO INTEGRAL DE TECNOLOGÍAS E INFORMÁTICA SOCIEDAD ANONIMA CERRADA - ECO SITI S.A.C.</v>
      </c>
      <c r="J243" s="11"/>
      <c r="K243" s="11"/>
      <c r="L243" s="11"/>
      <c r="M243" s="11"/>
      <c r="N243" s="11">
        <f t="shared" si="5"/>
        <v>0</v>
      </c>
      <c r="O243" s="11">
        <f t="shared" si="4"/>
        <v>0</v>
      </c>
      <c r="P243" s="11">
        <v>119.7</v>
      </c>
      <c r="Q243" s="11"/>
      <c r="R243" s="11"/>
      <c r="S243" s="11">
        <v>119.7</v>
      </c>
      <c r="T243" s="14"/>
      <c r="U243" s="14"/>
      <c r="V243" s="13"/>
      <c r="W243" s="15"/>
      <c r="X243" s="13"/>
      <c r="Y243" s="14"/>
      <c r="Z243" s="14"/>
      <c r="AA243" s="14"/>
      <c r="AB243" s="42" t="s">
        <v>224</v>
      </c>
      <c r="AC243" s="11"/>
      <c r="AD243" s="13"/>
      <c r="AE243" s="14" t="s">
        <v>262</v>
      </c>
      <c r="AF243" s="19">
        <v>6364095</v>
      </c>
      <c r="AG243" s="14"/>
      <c r="AH243" s="14" t="s">
        <v>225</v>
      </c>
      <c r="AI243" s="14"/>
      <c r="AJ243" s="14"/>
      <c r="AK243" s="16"/>
      <c r="AL243" s="11"/>
      <c r="AM243" s="11"/>
      <c r="AN243" s="14"/>
      <c r="AO243" s="14"/>
      <c r="AP243" s="13"/>
      <c r="AQ243" s="14"/>
      <c r="AR243" s="11">
        <v>18</v>
      </c>
      <c r="AS243" s="14" t="s">
        <v>511</v>
      </c>
      <c r="AT243" s="14"/>
      <c r="AU243" s="11"/>
      <c r="AV243" s="14"/>
    </row>
    <row r="244" spans="1:49" s="45" customFormat="1" ht="15" x14ac:dyDescent="0.25">
      <c r="A244" s="46">
        <v>46078</v>
      </c>
      <c r="B244" s="13"/>
      <c r="C244" s="42" t="s">
        <v>49</v>
      </c>
      <c r="D244" s="42" t="s">
        <v>292</v>
      </c>
      <c r="E244" s="14"/>
      <c r="F244" s="71">
        <v>6348</v>
      </c>
      <c r="G244" s="42" t="s">
        <v>50</v>
      </c>
      <c r="H244" s="31">
        <v>20486556537</v>
      </c>
      <c r="I244" s="43" t="str">
        <f>IF(H244="","",VLOOKUP(H244,ENTIDAD!$B$2:$C$613,2,0))</f>
        <v>PARAISO SOCIEDAD ANONIMA CERRADA</v>
      </c>
      <c r="J244" s="11"/>
      <c r="K244" s="11"/>
      <c r="L244" s="11"/>
      <c r="M244" s="11"/>
      <c r="N244" s="11">
        <v>0</v>
      </c>
      <c r="O244" s="11">
        <f t="shared" si="4"/>
        <v>0</v>
      </c>
      <c r="P244" s="11"/>
      <c r="Q244" s="11"/>
      <c r="R244" s="11">
        <v>40</v>
      </c>
      <c r="S244" s="11">
        <v>40</v>
      </c>
      <c r="T244" s="14"/>
      <c r="U244" s="14"/>
      <c r="V244" s="13"/>
      <c r="W244" s="15"/>
      <c r="X244" s="13"/>
      <c r="Y244" s="14"/>
      <c r="Z244" s="14"/>
      <c r="AA244" s="14"/>
      <c r="AB244" s="42" t="s">
        <v>224</v>
      </c>
      <c r="AC244" s="11"/>
      <c r="AD244" s="13">
        <v>46106</v>
      </c>
      <c r="AE244" s="14" t="s">
        <v>465</v>
      </c>
      <c r="AF244" s="37" t="s">
        <v>597</v>
      </c>
      <c r="AG244" s="14" t="s">
        <v>513</v>
      </c>
      <c r="AH244" s="14" t="s">
        <v>225</v>
      </c>
      <c r="AI244" s="14"/>
      <c r="AJ244" s="14"/>
      <c r="AK244" s="16"/>
      <c r="AL244" s="11"/>
      <c r="AM244" s="11"/>
      <c r="AN244" s="14"/>
      <c r="AO244" s="14"/>
      <c r="AP244" s="13"/>
      <c r="AQ244" s="14"/>
      <c r="AR244" s="11">
        <v>18</v>
      </c>
      <c r="AS244" s="14" t="s">
        <v>516</v>
      </c>
      <c r="AT244" s="14"/>
      <c r="AU244" s="11"/>
      <c r="AV244" s="14"/>
    </row>
    <row r="245" spans="1:49" s="45" customFormat="1" ht="15" x14ac:dyDescent="0.25">
      <c r="A245" s="46">
        <v>46078</v>
      </c>
      <c r="B245" s="13"/>
      <c r="C245" s="42" t="s">
        <v>49</v>
      </c>
      <c r="D245" s="42" t="s">
        <v>568</v>
      </c>
      <c r="E245" s="14"/>
      <c r="F245" s="71">
        <v>19059</v>
      </c>
      <c r="G245" s="42" t="s">
        <v>50</v>
      </c>
      <c r="H245" s="31">
        <v>20485981536</v>
      </c>
      <c r="I245" s="43" t="str">
        <f>IF(H245="","",VLOOKUP(H245,ENTIDAD!$B$2:$C$613,2,0))</f>
        <v>EMPRESA DE TRANSPORTES TURISMO Y SERVICIOS MULTIPLES SHIMA E.I.R.L.</v>
      </c>
      <c r="J245" s="11"/>
      <c r="K245" s="11"/>
      <c r="L245" s="11"/>
      <c r="M245" s="11"/>
      <c r="N245" s="11">
        <v>0</v>
      </c>
      <c r="O245" s="11">
        <f t="shared" si="4"/>
        <v>0</v>
      </c>
      <c r="P245" s="11"/>
      <c r="Q245" s="11"/>
      <c r="R245" s="11">
        <v>40</v>
      </c>
      <c r="S245" s="11">
        <v>40</v>
      </c>
      <c r="T245" s="14"/>
      <c r="U245" s="14"/>
      <c r="V245" s="13"/>
      <c r="W245" s="15"/>
      <c r="X245" s="13"/>
      <c r="Y245" s="14"/>
      <c r="Z245" s="14"/>
      <c r="AA245" s="14"/>
      <c r="AB245" s="42" t="s">
        <v>224</v>
      </c>
      <c r="AC245" s="11"/>
      <c r="AD245" s="13">
        <v>46106</v>
      </c>
      <c r="AE245" s="14" t="s">
        <v>465</v>
      </c>
      <c r="AF245" s="37" t="s">
        <v>597</v>
      </c>
      <c r="AG245" s="14" t="s">
        <v>513</v>
      </c>
      <c r="AH245" s="14" t="s">
        <v>225</v>
      </c>
      <c r="AI245" s="14"/>
      <c r="AJ245" s="14"/>
      <c r="AK245" s="16"/>
      <c r="AL245" s="11"/>
      <c r="AM245" s="11"/>
      <c r="AN245" s="14"/>
      <c r="AO245" s="14"/>
      <c r="AP245" s="13"/>
      <c r="AQ245" s="14"/>
      <c r="AR245" s="11">
        <v>18</v>
      </c>
      <c r="AS245" s="14" t="s">
        <v>516</v>
      </c>
      <c r="AT245" s="14"/>
      <c r="AU245" s="11"/>
      <c r="AV245" s="14"/>
    </row>
    <row r="246" spans="1:49" s="45" customFormat="1" ht="15" x14ac:dyDescent="0.25">
      <c r="A246" s="46">
        <v>46078</v>
      </c>
      <c r="B246" s="13"/>
      <c r="C246" s="42" t="s">
        <v>49</v>
      </c>
      <c r="D246" s="42" t="s">
        <v>441</v>
      </c>
      <c r="E246" s="14"/>
      <c r="F246" s="71">
        <v>43048364</v>
      </c>
      <c r="G246" s="42" t="s">
        <v>50</v>
      </c>
      <c r="H246" s="31">
        <v>20100047218</v>
      </c>
      <c r="I246" s="43" t="str">
        <f>IF(H246="","",VLOOKUP(H246,ENTIDAD!$B$2:$C$613,2,0))</f>
        <v>BANCO DE CREDITO DEL PERU</v>
      </c>
      <c r="J246" s="11"/>
      <c r="K246" s="11"/>
      <c r="L246" s="11"/>
      <c r="M246" s="11"/>
      <c r="N246" s="11">
        <f t="shared" si="5"/>
        <v>0</v>
      </c>
      <c r="O246" s="11">
        <f t="shared" si="4"/>
        <v>0</v>
      </c>
      <c r="P246" s="11">
        <v>32</v>
      </c>
      <c r="Q246" s="11"/>
      <c r="R246" s="11"/>
      <c r="S246" s="11">
        <v>32</v>
      </c>
      <c r="T246" s="14"/>
      <c r="U246" s="14"/>
      <c r="V246" s="13"/>
      <c r="W246" s="15"/>
      <c r="X246" s="13"/>
      <c r="Y246" s="14"/>
      <c r="Z246" s="14"/>
      <c r="AA246" s="14"/>
      <c r="AB246" s="42" t="s">
        <v>224</v>
      </c>
      <c r="AC246" s="11"/>
      <c r="AD246" s="13">
        <v>46106</v>
      </c>
      <c r="AE246" s="14" t="s">
        <v>465</v>
      </c>
      <c r="AF246" s="19" t="s">
        <v>494</v>
      </c>
      <c r="AG246" s="14"/>
      <c r="AH246" s="14" t="s">
        <v>225</v>
      </c>
      <c r="AI246" s="14"/>
      <c r="AJ246" s="14"/>
      <c r="AK246" s="16"/>
      <c r="AL246" s="11"/>
      <c r="AM246" s="11"/>
      <c r="AN246" s="14"/>
      <c r="AO246" s="14"/>
      <c r="AP246" s="13"/>
      <c r="AQ246" s="14"/>
      <c r="AR246" s="11">
        <v>18</v>
      </c>
      <c r="AS246" s="14" t="s">
        <v>495</v>
      </c>
      <c r="AT246" s="14"/>
      <c r="AU246" s="11"/>
      <c r="AV246" s="14"/>
    </row>
    <row r="247" spans="1:49" s="45" customFormat="1" ht="15" x14ac:dyDescent="0.25">
      <c r="A247" s="46">
        <v>46078</v>
      </c>
      <c r="B247" s="13"/>
      <c r="C247" s="42" t="s">
        <v>49</v>
      </c>
      <c r="D247" s="42" t="s">
        <v>439</v>
      </c>
      <c r="E247" s="14"/>
      <c r="F247" s="71">
        <v>14979</v>
      </c>
      <c r="G247" s="42" t="s">
        <v>50</v>
      </c>
      <c r="H247" s="31">
        <v>20493508645</v>
      </c>
      <c r="I247" s="43" t="str">
        <f>IF(H247="","",VLOOKUP(H247,ENTIDAD!$B$2:$C$613,2,0))</f>
        <v>HONDA SELVA DEL PERU S.A.</v>
      </c>
      <c r="J247" s="11"/>
      <c r="K247" s="11"/>
      <c r="L247" s="11"/>
      <c r="M247" s="11"/>
      <c r="N247" s="11">
        <f t="shared" si="5"/>
        <v>-6.1864406758351095E-4</v>
      </c>
      <c r="O247" s="11">
        <f t="shared" si="4"/>
        <v>-1.1135593216503197E-4</v>
      </c>
      <c r="P247" s="11">
        <v>18288.97</v>
      </c>
      <c r="Q247" s="11"/>
      <c r="R247" s="11"/>
      <c r="S247" s="11">
        <f>W247*AC247</f>
        <v>18288.969270000001</v>
      </c>
      <c r="T247" s="14"/>
      <c r="U247" s="14"/>
      <c r="V247" s="13"/>
      <c r="W247" s="15">
        <v>3.363</v>
      </c>
      <c r="X247" s="13"/>
      <c r="Y247" s="14"/>
      <c r="Z247" s="14"/>
      <c r="AA247" s="14"/>
      <c r="AB247" s="42" t="s">
        <v>383</v>
      </c>
      <c r="AC247" s="11">
        <v>5438.29</v>
      </c>
      <c r="AD247" s="46">
        <v>46106</v>
      </c>
      <c r="AE247" s="34" t="s">
        <v>465</v>
      </c>
      <c r="AF247" s="19" t="s">
        <v>532</v>
      </c>
      <c r="AG247" s="14"/>
      <c r="AH247" s="14" t="s">
        <v>225</v>
      </c>
      <c r="AI247" s="14"/>
      <c r="AJ247" s="14"/>
      <c r="AK247" s="16"/>
      <c r="AL247" s="11"/>
      <c r="AM247" s="11"/>
      <c r="AN247" s="14"/>
      <c r="AO247" s="14"/>
      <c r="AP247" s="13"/>
      <c r="AQ247" s="14"/>
      <c r="AR247" s="11">
        <v>18</v>
      </c>
      <c r="AS247" s="14" t="s">
        <v>201</v>
      </c>
      <c r="AT247" s="14"/>
      <c r="AU247" s="11"/>
      <c r="AV247" s="14"/>
    </row>
    <row r="248" spans="1:49" s="45" customFormat="1" ht="15" x14ac:dyDescent="0.25">
      <c r="A248" s="46">
        <v>46078</v>
      </c>
      <c r="B248" s="13"/>
      <c r="C248" s="42" t="s">
        <v>49</v>
      </c>
      <c r="D248" s="42" t="s">
        <v>301</v>
      </c>
      <c r="E248" s="14"/>
      <c r="F248" s="71">
        <v>16991</v>
      </c>
      <c r="G248" s="42" t="s">
        <v>50</v>
      </c>
      <c r="H248" s="31">
        <v>20493508645</v>
      </c>
      <c r="I248" s="43" t="str">
        <f>IF(H248="","",VLOOKUP(H248,ENTIDAD!$B$2:$C$613,2,0))</f>
        <v>HONDA SELVA DEL PERU S.A.</v>
      </c>
      <c r="J248" s="11"/>
      <c r="K248" s="11"/>
      <c r="L248" s="11"/>
      <c r="M248" s="11"/>
      <c r="N248" s="11">
        <f t="shared" si="5"/>
        <v>-4.491525464414982E-4</v>
      </c>
      <c r="O248" s="11">
        <f t="shared" si="4"/>
        <v>-8.0847458359469676E-5</v>
      </c>
      <c r="P248" s="11">
        <v>98043.86</v>
      </c>
      <c r="Q248" s="11"/>
      <c r="R248" s="11"/>
      <c r="S248" s="11">
        <f>W248*AC248</f>
        <v>98043.859469999996</v>
      </c>
      <c r="T248" s="14"/>
      <c r="U248" s="14"/>
      <c r="V248" s="13"/>
      <c r="W248" s="15">
        <v>3.363</v>
      </c>
      <c r="X248" s="13"/>
      <c r="Y248" s="14"/>
      <c r="Z248" s="14"/>
      <c r="AA248" s="14"/>
      <c r="AB248" s="42" t="s">
        <v>383</v>
      </c>
      <c r="AC248" s="11">
        <v>29153.69</v>
      </c>
      <c r="AD248" s="46">
        <v>46106</v>
      </c>
      <c r="AE248" s="34" t="s">
        <v>465</v>
      </c>
      <c r="AF248" s="19" t="s">
        <v>532</v>
      </c>
      <c r="AG248" s="14"/>
      <c r="AH248" s="14" t="s">
        <v>225</v>
      </c>
      <c r="AI248" s="14"/>
      <c r="AJ248" s="14"/>
      <c r="AK248" s="16"/>
      <c r="AL248" s="11"/>
      <c r="AM248" s="11"/>
      <c r="AN248" s="14"/>
      <c r="AO248" s="14"/>
      <c r="AP248" s="13"/>
      <c r="AQ248" s="14"/>
      <c r="AR248" s="11">
        <v>18</v>
      </c>
      <c r="AS248" s="14" t="s">
        <v>201</v>
      </c>
      <c r="AT248" s="14"/>
      <c r="AU248" s="11"/>
      <c r="AV248" s="14"/>
    </row>
    <row r="249" spans="1:49" s="45" customFormat="1" ht="15" x14ac:dyDescent="0.25">
      <c r="A249" s="46">
        <v>46078</v>
      </c>
      <c r="B249" s="13"/>
      <c r="C249" s="42" t="s">
        <v>49</v>
      </c>
      <c r="D249" s="42" t="s">
        <v>292</v>
      </c>
      <c r="E249" s="14"/>
      <c r="F249" s="71">
        <v>6023</v>
      </c>
      <c r="G249" s="42" t="s">
        <v>50</v>
      </c>
      <c r="H249" s="31">
        <v>20602783341</v>
      </c>
      <c r="I249" s="43" t="str">
        <f>IF(H249="","",VLOOKUP(H249,ENTIDAD!$B$2:$C$613,2,0))</f>
        <v>CODISSER VRAEM E.I.R.L.</v>
      </c>
      <c r="J249" s="11"/>
      <c r="K249" s="11"/>
      <c r="L249" s="11"/>
      <c r="M249" s="11"/>
      <c r="N249" s="11">
        <f t="shared" si="5"/>
        <v>0</v>
      </c>
      <c r="O249" s="11">
        <f t="shared" si="4"/>
        <v>0</v>
      </c>
      <c r="P249" s="11">
        <v>8</v>
      </c>
      <c r="Q249" s="11"/>
      <c r="R249" s="11"/>
      <c r="S249" s="11">
        <v>8</v>
      </c>
      <c r="T249" s="14"/>
      <c r="U249" s="14"/>
      <c r="V249" s="13"/>
      <c r="W249" s="15"/>
      <c r="X249" s="13"/>
      <c r="Y249" s="14"/>
      <c r="Z249" s="14"/>
      <c r="AA249" s="14"/>
      <c r="AB249" s="42" t="s">
        <v>224</v>
      </c>
      <c r="AC249" s="11"/>
      <c r="AD249" s="13">
        <v>46106</v>
      </c>
      <c r="AE249" s="14" t="s">
        <v>262</v>
      </c>
      <c r="AF249" s="19" t="s">
        <v>601</v>
      </c>
      <c r="AG249" s="14"/>
      <c r="AH249" s="14" t="s">
        <v>225</v>
      </c>
      <c r="AI249" s="14"/>
      <c r="AJ249" s="14"/>
      <c r="AK249" s="16"/>
      <c r="AL249" s="11"/>
      <c r="AM249" s="11"/>
      <c r="AN249" s="14"/>
      <c r="AO249" s="14"/>
      <c r="AP249" s="13"/>
      <c r="AQ249" s="14"/>
      <c r="AR249" s="11">
        <v>18</v>
      </c>
      <c r="AS249" s="14" t="s">
        <v>493</v>
      </c>
      <c r="AT249" s="14"/>
      <c r="AU249" s="11"/>
      <c r="AV249" s="14"/>
    </row>
    <row r="250" spans="1:49" s="45" customFormat="1" ht="15" x14ac:dyDescent="0.25">
      <c r="A250" s="46">
        <v>46079</v>
      </c>
      <c r="B250" s="13"/>
      <c r="C250" s="42" t="s">
        <v>49</v>
      </c>
      <c r="D250" s="42" t="s">
        <v>441</v>
      </c>
      <c r="E250" s="14"/>
      <c r="F250" s="71">
        <v>43112690</v>
      </c>
      <c r="G250" s="42" t="s">
        <v>50</v>
      </c>
      <c r="H250" s="31">
        <v>20100047218</v>
      </c>
      <c r="I250" s="43" t="str">
        <f>IF(H250="","",VLOOKUP(H250,ENTIDAD!$B$2:$C$613,2,0))</f>
        <v>BANCO DE CREDITO DEL PERU</v>
      </c>
      <c r="J250" s="11"/>
      <c r="K250" s="11"/>
      <c r="L250" s="11"/>
      <c r="M250" s="11"/>
      <c r="N250" s="11">
        <f t="shared" si="5"/>
        <v>0</v>
      </c>
      <c r="O250" s="11">
        <f t="shared" si="4"/>
        <v>0</v>
      </c>
      <c r="P250" s="11">
        <v>10.5</v>
      </c>
      <c r="Q250" s="11"/>
      <c r="R250" s="11"/>
      <c r="S250" s="11">
        <v>10.5</v>
      </c>
      <c r="T250" s="14"/>
      <c r="U250" s="14"/>
      <c r="V250" s="13"/>
      <c r="W250" s="15"/>
      <c r="X250" s="13"/>
      <c r="Y250" s="14"/>
      <c r="Z250" s="14"/>
      <c r="AA250" s="14"/>
      <c r="AB250" s="42" t="s">
        <v>224</v>
      </c>
      <c r="AC250" s="11"/>
      <c r="AD250" s="13">
        <v>46107</v>
      </c>
      <c r="AE250" s="14" t="s">
        <v>465</v>
      </c>
      <c r="AF250" s="19" t="s">
        <v>494</v>
      </c>
      <c r="AG250" s="14"/>
      <c r="AH250" s="14" t="s">
        <v>225</v>
      </c>
      <c r="AI250" s="14"/>
      <c r="AJ250" s="14"/>
      <c r="AK250" s="16"/>
      <c r="AL250" s="11"/>
      <c r="AM250" s="11"/>
      <c r="AN250" s="14"/>
      <c r="AO250" s="14"/>
      <c r="AP250" s="13"/>
      <c r="AQ250" s="14"/>
      <c r="AR250" s="11">
        <v>18</v>
      </c>
      <c r="AS250" s="14" t="s">
        <v>495</v>
      </c>
      <c r="AT250" s="14"/>
      <c r="AU250" s="11"/>
      <c r="AV250" s="14"/>
    </row>
    <row r="251" spans="1:49" s="45" customFormat="1" ht="15" x14ac:dyDescent="0.25">
      <c r="A251" s="46">
        <v>46079</v>
      </c>
      <c r="B251" s="13"/>
      <c r="C251" s="42" t="s">
        <v>49</v>
      </c>
      <c r="D251" s="42" t="s">
        <v>301</v>
      </c>
      <c r="E251" s="14"/>
      <c r="F251" s="71">
        <v>17061</v>
      </c>
      <c r="G251" s="42" t="s">
        <v>50</v>
      </c>
      <c r="H251" s="31">
        <v>20493508645</v>
      </c>
      <c r="I251" s="43" t="str">
        <f>IF(H251="","",VLOOKUP(H251,ENTIDAD!$B$2:$C$613,2,0))</f>
        <v>HONDA SELVA DEL PERU S.A.</v>
      </c>
      <c r="J251" s="11"/>
      <c r="K251" s="11"/>
      <c r="L251" s="11"/>
      <c r="M251" s="11"/>
      <c r="N251" s="11">
        <f t="shared" si="5"/>
        <v>2.4406779661056413E-3</v>
      </c>
      <c r="O251" s="11">
        <f t="shared" si="4"/>
        <v>4.393220338990154E-4</v>
      </c>
      <c r="P251" s="11">
        <v>120024.66</v>
      </c>
      <c r="Q251" s="11"/>
      <c r="R251" s="11"/>
      <c r="S251" s="11">
        <f>W251*AC251</f>
        <v>120024.66288</v>
      </c>
      <c r="T251" s="14"/>
      <c r="U251" s="14"/>
      <c r="V251" s="13"/>
      <c r="W251" s="15">
        <v>3.363</v>
      </c>
      <c r="X251" s="13"/>
      <c r="Y251" s="14"/>
      <c r="Z251" s="14"/>
      <c r="AA251" s="14"/>
      <c r="AB251" s="42" t="s">
        <v>383</v>
      </c>
      <c r="AC251" s="11">
        <v>35689.760000000002</v>
      </c>
      <c r="AD251" s="46">
        <v>46107</v>
      </c>
      <c r="AE251" s="34" t="s">
        <v>465</v>
      </c>
      <c r="AF251" s="19" t="s">
        <v>532</v>
      </c>
      <c r="AG251" s="14"/>
      <c r="AH251" s="14" t="s">
        <v>225</v>
      </c>
      <c r="AI251" s="14"/>
      <c r="AJ251" s="14"/>
      <c r="AK251" s="16"/>
      <c r="AL251" s="11"/>
      <c r="AM251" s="11"/>
      <c r="AN251" s="14"/>
      <c r="AO251" s="14"/>
      <c r="AP251" s="13"/>
      <c r="AQ251" s="14"/>
      <c r="AR251" s="11">
        <v>18</v>
      </c>
      <c r="AS251" s="14" t="s">
        <v>201</v>
      </c>
      <c r="AT251" s="14"/>
      <c r="AU251" s="11"/>
      <c r="AV251" s="14"/>
    </row>
    <row r="252" spans="1:49" s="45" customFormat="1" ht="15" x14ac:dyDescent="0.25">
      <c r="A252" s="46">
        <v>46079</v>
      </c>
      <c r="B252" s="13"/>
      <c r="C252" s="42" t="s">
        <v>49</v>
      </c>
      <c r="D252" s="42" t="s">
        <v>301</v>
      </c>
      <c r="E252" s="14"/>
      <c r="F252" s="71">
        <v>17062</v>
      </c>
      <c r="G252" s="42" t="s">
        <v>50</v>
      </c>
      <c r="H252" s="31">
        <v>20493508645</v>
      </c>
      <c r="I252" s="43" t="str">
        <f>IF(H252="","",VLOOKUP(H252,ENTIDAD!$B$2:$C$613,2,0))</f>
        <v>HONDA SELVA DEL PERU S.A.</v>
      </c>
      <c r="J252" s="11"/>
      <c r="K252" s="11"/>
      <c r="L252" s="11"/>
      <c r="M252" s="11"/>
      <c r="N252" s="11">
        <f t="shared" si="5"/>
        <v>-2.6271186439864045E-3</v>
      </c>
      <c r="O252" s="11">
        <f t="shared" si="4"/>
        <v>-4.7288135591755278E-4</v>
      </c>
      <c r="P252" s="11">
        <v>9942.0400000000009</v>
      </c>
      <c r="Q252" s="11"/>
      <c r="R252" s="11"/>
      <c r="S252" s="11">
        <f>W252*AC252</f>
        <v>9942.036900000001</v>
      </c>
      <c r="T252" s="14"/>
      <c r="U252" s="14"/>
      <c r="V252" s="13"/>
      <c r="W252" s="15">
        <v>3.363</v>
      </c>
      <c r="X252" s="13"/>
      <c r="Y252" s="14"/>
      <c r="Z252" s="14"/>
      <c r="AA252" s="14"/>
      <c r="AB252" s="42" t="s">
        <v>383</v>
      </c>
      <c r="AC252" s="11">
        <v>2956.3</v>
      </c>
      <c r="AD252" s="46">
        <v>46107</v>
      </c>
      <c r="AE252" s="34" t="s">
        <v>465</v>
      </c>
      <c r="AF252" s="19" t="s">
        <v>532</v>
      </c>
      <c r="AG252" s="14"/>
      <c r="AH252" s="14" t="s">
        <v>225</v>
      </c>
      <c r="AI252" s="14"/>
      <c r="AJ252" s="14"/>
      <c r="AK252" s="16"/>
      <c r="AL252" s="11"/>
      <c r="AM252" s="11"/>
      <c r="AN252" s="14"/>
      <c r="AO252" s="14"/>
      <c r="AP252" s="13"/>
      <c r="AQ252" s="14"/>
      <c r="AR252" s="11">
        <v>18</v>
      </c>
      <c r="AS252" s="14" t="s">
        <v>201</v>
      </c>
      <c r="AT252" s="14"/>
      <c r="AU252" s="11"/>
      <c r="AV252" s="14"/>
    </row>
    <row r="253" spans="1:49" s="45" customFormat="1" ht="15" x14ac:dyDescent="0.25">
      <c r="A253" s="68">
        <v>46079</v>
      </c>
      <c r="B253" s="50"/>
      <c r="C253" s="52" t="s">
        <v>300</v>
      </c>
      <c r="D253" s="52" t="s">
        <v>389</v>
      </c>
      <c r="E253" s="53"/>
      <c r="F253" s="64">
        <v>13162</v>
      </c>
      <c r="G253" s="52" t="s">
        <v>50</v>
      </c>
      <c r="H253" s="69">
        <v>20103733015</v>
      </c>
      <c r="I253" s="54" t="str">
        <f>IF(H253="","",VLOOKUP(H253,ENTIDAD!$B$2:$C$613,2,0))</f>
        <v>HONDA DEL PERU S.A</v>
      </c>
      <c r="J253" s="55"/>
      <c r="K253" s="55"/>
      <c r="L253" s="55"/>
      <c r="M253" s="55"/>
      <c r="N253" s="55">
        <f t="shared" si="5"/>
        <v>-72.333661016949151</v>
      </c>
      <c r="O253" s="55">
        <f t="shared" si="4"/>
        <v>-13.020058983050847</v>
      </c>
      <c r="P253" s="55">
        <v>0</v>
      </c>
      <c r="Q253" s="55"/>
      <c r="R253" s="55"/>
      <c r="S253" s="55">
        <f>-W253*AC253</f>
        <v>-85.353719999999996</v>
      </c>
      <c r="T253" s="53"/>
      <c r="U253" s="53"/>
      <c r="V253" s="50"/>
      <c r="W253" s="25">
        <v>3.371</v>
      </c>
      <c r="X253" s="50"/>
      <c r="Y253" s="53"/>
      <c r="Z253" s="53"/>
      <c r="AA253" s="53"/>
      <c r="AB253" s="52" t="s">
        <v>383</v>
      </c>
      <c r="AC253" s="55">
        <v>25.32</v>
      </c>
      <c r="AD253" s="68">
        <v>46107</v>
      </c>
      <c r="AE253" s="53" t="s">
        <v>465</v>
      </c>
      <c r="AF253" s="60" t="s">
        <v>533</v>
      </c>
      <c r="AG253" s="53"/>
      <c r="AH253" s="53" t="s">
        <v>225</v>
      </c>
      <c r="AI253" s="53"/>
      <c r="AJ253" s="53"/>
      <c r="AK253" s="61"/>
      <c r="AL253" s="55"/>
      <c r="AM253" s="55"/>
      <c r="AN253" s="53"/>
      <c r="AO253" s="53"/>
      <c r="AP253" s="50"/>
      <c r="AQ253" s="53"/>
      <c r="AR253" s="55">
        <v>18</v>
      </c>
      <c r="AS253" s="53" t="s">
        <v>534</v>
      </c>
      <c r="AT253" s="53"/>
      <c r="AU253" s="55"/>
      <c r="AV253" s="53"/>
      <c r="AW253" s="47"/>
    </row>
    <row r="254" spans="1:49" s="45" customFormat="1" ht="15" x14ac:dyDescent="0.25">
      <c r="A254" s="68">
        <v>46079</v>
      </c>
      <c r="B254" s="50"/>
      <c r="C254" s="52" t="s">
        <v>300</v>
      </c>
      <c r="D254" s="52" t="s">
        <v>301</v>
      </c>
      <c r="E254" s="53"/>
      <c r="F254" s="64">
        <v>2320</v>
      </c>
      <c r="G254" s="52" t="s">
        <v>50</v>
      </c>
      <c r="H254" s="69">
        <v>20493508645</v>
      </c>
      <c r="I254" s="54" t="str">
        <f>IF(H254="","",VLOOKUP(H254,ENTIDAD!$B$2:$C$613,2,0))</f>
        <v>HONDA SELVA DEL PERU S.A.</v>
      </c>
      <c r="J254" s="55"/>
      <c r="K254" s="55"/>
      <c r="L254" s="55"/>
      <c r="M254" s="55"/>
      <c r="N254" s="55">
        <f t="shared" si="5"/>
        <v>7.5706214729353194E-4</v>
      </c>
      <c r="O254" s="55">
        <f t="shared" si="4"/>
        <v>1.3627118651283573E-4</v>
      </c>
      <c r="P254" s="55">
        <v>-6250.61</v>
      </c>
      <c r="Q254" s="55"/>
      <c r="R254" s="55"/>
      <c r="S254" s="55">
        <f>-W254*AC254</f>
        <v>-6250.6091066666659</v>
      </c>
      <c r="T254" s="53"/>
      <c r="U254" s="53"/>
      <c r="V254" s="50"/>
      <c r="W254" s="25">
        <v>3.4218787878787875</v>
      </c>
      <c r="X254" s="50"/>
      <c r="Y254" s="53"/>
      <c r="Z254" s="53"/>
      <c r="AA254" s="53"/>
      <c r="AB254" s="52" t="s">
        <v>383</v>
      </c>
      <c r="AC254" s="55">
        <v>1826.66</v>
      </c>
      <c r="AD254" s="68">
        <v>46107</v>
      </c>
      <c r="AE254" s="53" t="s">
        <v>465</v>
      </c>
      <c r="AF254" s="60" t="s">
        <v>533</v>
      </c>
      <c r="AG254" s="53"/>
      <c r="AH254" s="53" t="s">
        <v>225</v>
      </c>
      <c r="AI254" s="53"/>
      <c r="AJ254" s="53"/>
      <c r="AK254" s="61"/>
      <c r="AL254" s="55"/>
      <c r="AM254" s="55"/>
      <c r="AN254" s="53"/>
      <c r="AO254" s="53"/>
      <c r="AP254" s="50"/>
      <c r="AQ254" s="53"/>
      <c r="AR254" s="55">
        <v>18</v>
      </c>
      <c r="AS254" s="53" t="s">
        <v>534</v>
      </c>
      <c r="AT254" s="53"/>
      <c r="AU254" s="55"/>
      <c r="AV254" s="53"/>
      <c r="AW254" s="47"/>
    </row>
    <row r="255" spans="1:49" s="45" customFormat="1" ht="15" x14ac:dyDescent="0.25">
      <c r="A255" s="68">
        <v>46079</v>
      </c>
      <c r="B255" s="50"/>
      <c r="C255" s="52" t="s">
        <v>300</v>
      </c>
      <c r="D255" s="52" t="s">
        <v>301</v>
      </c>
      <c r="E255" s="53"/>
      <c r="F255" s="64">
        <v>2290</v>
      </c>
      <c r="G255" s="52" t="s">
        <v>50</v>
      </c>
      <c r="H255" s="69">
        <v>20493508645</v>
      </c>
      <c r="I255" s="54" t="str">
        <f>IF(H255="","",VLOOKUP(H255,ENTIDAD!$B$2:$C$613,2,0))</f>
        <v>HONDA SELVA DEL PERU S.A.</v>
      </c>
      <c r="J255" s="55"/>
      <c r="K255" s="55"/>
      <c r="L255" s="55"/>
      <c r="M255" s="55"/>
      <c r="N255" s="55">
        <f t="shared" ref="N255:N273" si="7">(S255-P255)/1.18</f>
        <v>-1.7326656396077036E-3</v>
      </c>
      <c r="O255" s="55">
        <f t="shared" si="4"/>
        <v>-3.1187981512938661E-4</v>
      </c>
      <c r="P255" s="55">
        <v>-8026.24</v>
      </c>
      <c r="Q255" s="55"/>
      <c r="R255" s="55"/>
      <c r="S255" s="55">
        <f>-W255*AC255</f>
        <v>-8026.2420445454545</v>
      </c>
      <c r="T255" s="53"/>
      <c r="U255" s="53"/>
      <c r="V255" s="50"/>
      <c r="W255" s="25">
        <v>3.3908636363636364</v>
      </c>
      <c r="X255" s="50"/>
      <c r="Y255" s="53"/>
      <c r="Z255" s="53"/>
      <c r="AA255" s="53"/>
      <c r="AB255" s="52" t="s">
        <v>383</v>
      </c>
      <c r="AC255" s="55">
        <v>2367.02</v>
      </c>
      <c r="AD255" s="68">
        <v>46107</v>
      </c>
      <c r="AE255" s="53" t="s">
        <v>465</v>
      </c>
      <c r="AF255" s="60" t="s">
        <v>533</v>
      </c>
      <c r="AG255" s="53"/>
      <c r="AH255" s="53" t="s">
        <v>225</v>
      </c>
      <c r="AI255" s="53"/>
      <c r="AJ255" s="53"/>
      <c r="AK255" s="61"/>
      <c r="AL255" s="55"/>
      <c r="AM255" s="55"/>
      <c r="AN255" s="53"/>
      <c r="AO255" s="53"/>
      <c r="AP255" s="50"/>
      <c r="AQ255" s="53"/>
      <c r="AR255" s="55">
        <v>18</v>
      </c>
      <c r="AS255" s="53" t="s">
        <v>534</v>
      </c>
      <c r="AT255" s="53"/>
      <c r="AU255" s="55"/>
      <c r="AV255" s="53"/>
      <c r="AW255" s="47"/>
    </row>
    <row r="256" spans="1:49" s="45" customFormat="1" ht="15" x14ac:dyDescent="0.25">
      <c r="A256" s="46">
        <v>46079</v>
      </c>
      <c r="B256" s="13"/>
      <c r="C256" s="42" t="s">
        <v>49</v>
      </c>
      <c r="D256" s="42" t="s">
        <v>292</v>
      </c>
      <c r="E256" s="14"/>
      <c r="F256" s="71">
        <v>608</v>
      </c>
      <c r="G256" s="42" t="s">
        <v>50</v>
      </c>
      <c r="H256" s="31">
        <v>20601358892</v>
      </c>
      <c r="I256" s="43" t="str">
        <f>IF(H256="","",VLOOKUP(H256,ENTIDAD!$B$2:$C$613,2,0))</f>
        <v>ARAUCO CONDE SOLUCIONES INMOBILIARIAS S.A.C.</v>
      </c>
      <c r="J256" s="11"/>
      <c r="K256" s="11"/>
      <c r="L256" s="11"/>
      <c r="M256" s="11"/>
      <c r="N256" s="11">
        <f t="shared" si="7"/>
        <v>0</v>
      </c>
      <c r="O256" s="11">
        <f t="shared" si="4"/>
        <v>0</v>
      </c>
      <c r="P256" s="11">
        <v>2000</v>
      </c>
      <c r="Q256" s="11"/>
      <c r="R256" s="11"/>
      <c r="S256" s="11">
        <v>2000</v>
      </c>
      <c r="T256" s="14"/>
      <c r="U256" s="14"/>
      <c r="V256" s="13"/>
      <c r="W256" s="15"/>
      <c r="X256" s="13"/>
      <c r="Y256" s="14"/>
      <c r="Z256" s="14"/>
      <c r="AA256" s="14"/>
      <c r="AB256" s="42" t="s">
        <v>224</v>
      </c>
      <c r="AC256" s="11"/>
      <c r="AD256" s="13">
        <v>46107</v>
      </c>
      <c r="AE256" s="34" t="s">
        <v>465</v>
      </c>
      <c r="AF256" s="19" t="s">
        <v>203</v>
      </c>
      <c r="AG256" s="14"/>
      <c r="AH256" s="14" t="s">
        <v>225</v>
      </c>
      <c r="AI256" s="14"/>
      <c r="AJ256" s="14"/>
      <c r="AK256" s="16"/>
      <c r="AL256" s="11"/>
      <c r="AM256" s="11"/>
      <c r="AN256" s="14"/>
      <c r="AO256" s="14"/>
      <c r="AP256" s="13"/>
      <c r="AQ256" s="14"/>
      <c r="AR256" s="11">
        <v>18</v>
      </c>
      <c r="AS256" s="14" t="s">
        <v>608</v>
      </c>
      <c r="AT256" s="14"/>
      <c r="AU256" s="11"/>
      <c r="AV256" s="14"/>
    </row>
    <row r="257" spans="1:49" s="81" customFormat="1" ht="15" x14ac:dyDescent="0.25">
      <c r="A257" s="46">
        <v>46079</v>
      </c>
      <c r="B257" s="13"/>
      <c r="C257" s="42" t="s">
        <v>49</v>
      </c>
      <c r="D257" s="42" t="s">
        <v>292</v>
      </c>
      <c r="E257" s="14"/>
      <c r="F257" s="71">
        <v>607</v>
      </c>
      <c r="G257" s="42" t="s">
        <v>50</v>
      </c>
      <c r="H257" s="31">
        <v>20601358892</v>
      </c>
      <c r="I257" s="43" t="str">
        <f>IF(H257="","",VLOOKUP(H257,ENTIDAD!$B$2:$C$613,2,0))</f>
        <v>ARAUCO CONDE SOLUCIONES INMOBILIARIAS S.A.C.</v>
      </c>
      <c r="J257" s="11"/>
      <c r="K257" s="11"/>
      <c r="L257" s="11"/>
      <c r="M257" s="11"/>
      <c r="N257" s="11">
        <f t="shared" si="7"/>
        <v>0</v>
      </c>
      <c r="O257" s="11">
        <f t="shared" si="4"/>
        <v>0</v>
      </c>
      <c r="P257" s="11">
        <v>2000</v>
      </c>
      <c r="Q257" s="11"/>
      <c r="R257" s="11"/>
      <c r="S257" s="11">
        <v>2000</v>
      </c>
      <c r="T257" s="14"/>
      <c r="U257" s="14"/>
      <c r="V257" s="13"/>
      <c r="W257" s="15"/>
      <c r="X257" s="13"/>
      <c r="Y257" s="14"/>
      <c r="Z257" s="14"/>
      <c r="AA257" s="14"/>
      <c r="AB257" s="42" t="s">
        <v>224</v>
      </c>
      <c r="AC257" s="11"/>
      <c r="AD257" s="13">
        <v>46107</v>
      </c>
      <c r="AE257" s="34" t="s">
        <v>465</v>
      </c>
      <c r="AF257" s="19" t="s">
        <v>203</v>
      </c>
      <c r="AG257" s="14"/>
      <c r="AH257" s="14" t="s">
        <v>225</v>
      </c>
      <c r="AI257" s="14"/>
      <c r="AJ257" s="14"/>
      <c r="AK257" s="16"/>
      <c r="AL257" s="11"/>
      <c r="AM257" s="11"/>
      <c r="AN257" s="14"/>
      <c r="AO257" s="14"/>
      <c r="AP257" s="13"/>
      <c r="AQ257" s="14"/>
      <c r="AR257" s="11">
        <v>18</v>
      </c>
      <c r="AS257" s="14" t="s">
        <v>609</v>
      </c>
      <c r="AT257" s="14"/>
      <c r="AU257" s="11"/>
      <c r="AV257" s="14"/>
      <c r="AW257" s="45"/>
    </row>
    <row r="258" spans="1:49" s="45" customFormat="1" ht="15" x14ac:dyDescent="0.25">
      <c r="A258" s="46">
        <v>46079</v>
      </c>
      <c r="B258" s="13"/>
      <c r="C258" s="42" t="s">
        <v>49</v>
      </c>
      <c r="D258" s="42" t="s">
        <v>292</v>
      </c>
      <c r="E258" s="14"/>
      <c r="F258" s="71">
        <v>602</v>
      </c>
      <c r="G258" s="42" t="s">
        <v>50</v>
      </c>
      <c r="H258" s="31">
        <v>20601358892</v>
      </c>
      <c r="I258" s="43" t="str">
        <f>IF(H258="","",VLOOKUP(H258,ENTIDAD!$B$2:$C$613,2,0))</f>
        <v>ARAUCO CONDE SOLUCIONES INMOBILIARIAS S.A.C.</v>
      </c>
      <c r="J258" s="11"/>
      <c r="K258" s="11"/>
      <c r="L258" s="11"/>
      <c r="M258" s="11"/>
      <c r="N258" s="11">
        <f t="shared" si="7"/>
        <v>0</v>
      </c>
      <c r="O258" s="11">
        <f t="shared" si="4"/>
        <v>0</v>
      </c>
      <c r="P258" s="11">
        <v>2000</v>
      </c>
      <c r="Q258" s="11"/>
      <c r="R258" s="11"/>
      <c r="S258" s="11">
        <v>2000</v>
      </c>
      <c r="T258" s="14"/>
      <c r="U258" s="14"/>
      <c r="V258" s="13"/>
      <c r="W258" s="15"/>
      <c r="X258" s="13"/>
      <c r="Y258" s="14"/>
      <c r="Z258" s="14"/>
      <c r="AA258" s="14"/>
      <c r="AB258" s="42" t="s">
        <v>224</v>
      </c>
      <c r="AC258" s="11"/>
      <c r="AD258" s="13">
        <v>46107</v>
      </c>
      <c r="AE258" s="34" t="s">
        <v>465</v>
      </c>
      <c r="AF258" s="19" t="s">
        <v>203</v>
      </c>
      <c r="AG258" s="14"/>
      <c r="AH258" s="14" t="s">
        <v>225</v>
      </c>
      <c r="AI258" s="14"/>
      <c r="AJ258" s="14"/>
      <c r="AK258" s="16"/>
      <c r="AL258" s="11"/>
      <c r="AM258" s="11"/>
      <c r="AN258" s="14"/>
      <c r="AO258" s="14"/>
      <c r="AP258" s="13"/>
      <c r="AQ258" s="14"/>
      <c r="AR258" s="11">
        <v>18</v>
      </c>
      <c r="AS258" s="14" t="s">
        <v>607</v>
      </c>
      <c r="AT258" s="14"/>
      <c r="AU258" s="11"/>
      <c r="AV258" s="14"/>
    </row>
    <row r="259" spans="1:49" s="45" customFormat="1" ht="15" x14ac:dyDescent="0.25">
      <c r="A259" s="46">
        <v>46079</v>
      </c>
      <c r="B259" s="13"/>
      <c r="C259" s="42" t="s">
        <v>49</v>
      </c>
      <c r="D259" s="42" t="s">
        <v>292</v>
      </c>
      <c r="E259" s="14"/>
      <c r="F259" s="71">
        <v>601</v>
      </c>
      <c r="G259" s="42" t="s">
        <v>50</v>
      </c>
      <c r="H259" s="31">
        <v>20601358892</v>
      </c>
      <c r="I259" s="43" t="str">
        <f>IF(H259="","",VLOOKUP(H259,ENTIDAD!$B$2:$C$613,2,0))</f>
        <v>ARAUCO CONDE SOLUCIONES INMOBILIARIAS S.A.C.</v>
      </c>
      <c r="J259" s="11"/>
      <c r="K259" s="11"/>
      <c r="L259" s="11"/>
      <c r="M259" s="11"/>
      <c r="N259" s="11">
        <f t="shared" si="7"/>
        <v>0</v>
      </c>
      <c r="O259" s="11">
        <f t="shared" ref="O259:O273" si="8">N259*0.18</f>
        <v>0</v>
      </c>
      <c r="P259" s="11">
        <v>3000</v>
      </c>
      <c r="Q259" s="11"/>
      <c r="R259" s="11"/>
      <c r="S259" s="11">
        <v>3000</v>
      </c>
      <c r="T259" s="14"/>
      <c r="U259" s="14"/>
      <c r="V259" s="13"/>
      <c r="W259" s="15"/>
      <c r="X259" s="13"/>
      <c r="Y259" s="14"/>
      <c r="Z259" s="14"/>
      <c r="AA259" s="14"/>
      <c r="AB259" s="42" t="s">
        <v>224</v>
      </c>
      <c r="AC259" s="11"/>
      <c r="AD259" s="13">
        <v>46107</v>
      </c>
      <c r="AE259" s="34" t="s">
        <v>465</v>
      </c>
      <c r="AF259" s="19" t="s">
        <v>203</v>
      </c>
      <c r="AG259" s="14"/>
      <c r="AH259" s="14" t="s">
        <v>225</v>
      </c>
      <c r="AI259" s="14"/>
      <c r="AJ259" s="14"/>
      <c r="AK259" s="16"/>
      <c r="AL259" s="11"/>
      <c r="AM259" s="11"/>
      <c r="AN259" s="14"/>
      <c r="AO259" s="14"/>
      <c r="AP259" s="13"/>
      <c r="AQ259" s="14"/>
      <c r="AR259" s="11">
        <v>18</v>
      </c>
      <c r="AS259" s="14" t="s">
        <v>607</v>
      </c>
      <c r="AT259" s="14"/>
      <c r="AU259" s="11"/>
      <c r="AV259" s="14"/>
    </row>
    <row r="260" spans="1:49" s="45" customFormat="1" ht="15" x14ac:dyDescent="0.25">
      <c r="A260" s="68">
        <v>46079</v>
      </c>
      <c r="B260" s="50"/>
      <c r="C260" s="52" t="s">
        <v>300</v>
      </c>
      <c r="D260" s="52" t="s">
        <v>292</v>
      </c>
      <c r="E260" s="53"/>
      <c r="F260" s="64">
        <v>34</v>
      </c>
      <c r="G260" s="52" t="s">
        <v>50</v>
      </c>
      <c r="H260" s="69">
        <v>20601358892</v>
      </c>
      <c r="I260" s="54" t="str">
        <f>IF(H260="","",VLOOKUP(H260,ENTIDAD!$B$2:$C$613,2,0))</f>
        <v>ARAUCO CONDE SOLUCIONES INMOBILIARIAS S.A.C.</v>
      </c>
      <c r="J260" s="55"/>
      <c r="K260" s="55"/>
      <c r="L260" s="55"/>
      <c r="M260" s="55"/>
      <c r="N260" s="55">
        <f t="shared" si="7"/>
        <v>0</v>
      </c>
      <c r="O260" s="55">
        <f t="shared" si="8"/>
        <v>0</v>
      </c>
      <c r="P260" s="55">
        <v>2000</v>
      </c>
      <c r="Q260" s="55"/>
      <c r="R260" s="55"/>
      <c r="S260" s="55">
        <v>2000</v>
      </c>
      <c r="T260" s="53"/>
      <c r="U260" s="53"/>
      <c r="V260" s="50"/>
      <c r="W260" s="25"/>
      <c r="X260" s="50">
        <v>46079</v>
      </c>
      <c r="Y260" s="53" t="s">
        <v>49</v>
      </c>
      <c r="Z260" s="53" t="s">
        <v>292</v>
      </c>
      <c r="AA260" s="53" t="s">
        <v>592</v>
      </c>
      <c r="AB260" s="52" t="s">
        <v>224</v>
      </c>
      <c r="AC260" s="55"/>
      <c r="AD260" s="50">
        <v>46107</v>
      </c>
      <c r="AE260" s="53" t="s">
        <v>465</v>
      </c>
      <c r="AF260" s="60" t="s">
        <v>203</v>
      </c>
      <c r="AG260" s="53"/>
      <c r="AH260" s="53" t="s">
        <v>225</v>
      </c>
      <c r="AI260" s="53"/>
      <c r="AJ260" s="53"/>
      <c r="AK260" s="61"/>
      <c r="AL260" s="55"/>
      <c r="AM260" s="55"/>
      <c r="AN260" s="53"/>
      <c r="AO260" s="53"/>
      <c r="AP260" s="50"/>
      <c r="AQ260" s="53"/>
      <c r="AR260" s="55">
        <v>18</v>
      </c>
      <c r="AS260" s="53" t="s">
        <v>547</v>
      </c>
      <c r="AT260" s="53"/>
      <c r="AU260" s="55"/>
      <c r="AV260" s="53"/>
      <c r="AW260" s="47"/>
    </row>
    <row r="261" spans="1:49" s="45" customFormat="1" ht="15" x14ac:dyDescent="0.25">
      <c r="A261" s="46">
        <v>46080</v>
      </c>
      <c r="B261" s="13"/>
      <c r="C261" s="42" t="s">
        <v>49</v>
      </c>
      <c r="D261" s="42" t="s">
        <v>567</v>
      </c>
      <c r="E261" s="14"/>
      <c r="F261" s="71">
        <v>10924</v>
      </c>
      <c r="G261" s="42" t="s">
        <v>50</v>
      </c>
      <c r="H261" s="31">
        <v>20485981536</v>
      </c>
      <c r="I261" s="43" t="str">
        <f>IF(H261="","",VLOOKUP(H261,ENTIDAD!$B$2:$C$613,2,0))</f>
        <v>EMPRESA DE TRANSPORTES TURISMO Y SERVICIOS MULTIPLES SHIMA E.I.R.L.</v>
      </c>
      <c r="J261" s="11"/>
      <c r="K261" s="11"/>
      <c r="L261" s="11"/>
      <c r="M261" s="11"/>
      <c r="N261" s="11">
        <v>0</v>
      </c>
      <c r="O261" s="11">
        <f t="shared" si="8"/>
        <v>0</v>
      </c>
      <c r="P261" s="11"/>
      <c r="Q261" s="11"/>
      <c r="R261" s="11">
        <v>40</v>
      </c>
      <c r="S261" s="11">
        <v>40</v>
      </c>
      <c r="T261" s="14"/>
      <c r="U261" s="14"/>
      <c r="V261" s="13"/>
      <c r="W261" s="15"/>
      <c r="X261" s="13"/>
      <c r="Y261" s="14"/>
      <c r="Z261" s="14"/>
      <c r="AA261" s="14"/>
      <c r="AB261" s="42" t="s">
        <v>224</v>
      </c>
      <c r="AC261" s="11"/>
      <c r="AD261" s="46">
        <v>46108</v>
      </c>
      <c r="AE261" s="14" t="s">
        <v>465</v>
      </c>
      <c r="AF261" s="37" t="s">
        <v>597</v>
      </c>
      <c r="AG261" s="14" t="s">
        <v>513</v>
      </c>
      <c r="AH261" s="14" t="s">
        <v>225</v>
      </c>
      <c r="AI261" s="14"/>
      <c r="AJ261" s="14"/>
      <c r="AK261" s="16"/>
      <c r="AL261" s="11"/>
      <c r="AM261" s="11"/>
      <c r="AN261" s="14"/>
      <c r="AO261" s="14"/>
      <c r="AP261" s="13"/>
      <c r="AQ261" s="14"/>
      <c r="AR261" s="11">
        <v>18</v>
      </c>
      <c r="AS261" s="14" t="s">
        <v>516</v>
      </c>
      <c r="AT261" s="14"/>
      <c r="AU261" s="11"/>
      <c r="AV261" s="14"/>
    </row>
    <row r="262" spans="1:49" s="45" customFormat="1" ht="15" x14ac:dyDescent="0.25">
      <c r="A262" s="46">
        <v>46080</v>
      </c>
      <c r="B262" s="13"/>
      <c r="C262" s="42" t="s">
        <v>49</v>
      </c>
      <c r="D262" s="42" t="s">
        <v>567</v>
      </c>
      <c r="E262" s="14"/>
      <c r="F262" s="71">
        <v>10923</v>
      </c>
      <c r="G262" s="42" t="s">
        <v>50</v>
      </c>
      <c r="H262" s="31">
        <v>20485981536</v>
      </c>
      <c r="I262" s="43" t="str">
        <f>IF(H262="","",VLOOKUP(H262,ENTIDAD!$B$2:$C$613,2,0))</f>
        <v>EMPRESA DE TRANSPORTES TURISMO Y SERVICIOS MULTIPLES SHIMA E.I.R.L.</v>
      </c>
      <c r="J262" s="11"/>
      <c r="K262" s="11"/>
      <c r="L262" s="11"/>
      <c r="M262" s="11"/>
      <c r="N262" s="11">
        <v>0</v>
      </c>
      <c r="O262" s="11">
        <f t="shared" si="8"/>
        <v>0</v>
      </c>
      <c r="P262" s="11"/>
      <c r="Q262" s="11"/>
      <c r="R262" s="11">
        <v>40</v>
      </c>
      <c r="S262" s="11">
        <v>40</v>
      </c>
      <c r="T262" s="14"/>
      <c r="U262" s="14"/>
      <c r="V262" s="13"/>
      <c r="W262" s="15"/>
      <c r="X262" s="13"/>
      <c r="Y262" s="14"/>
      <c r="Z262" s="14"/>
      <c r="AA262" s="14"/>
      <c r="AB262" s="42" t="s">
        <v>224</v>
      </c>
      <c r="AC262" s="11"/>
      <c r="AD262" s="46">
        <v>46108</v>
      </c>
      <c r="AE262" s="14" t="s">
        <v>465</v>
      </c>
      <c r="AF262" s="37" t="s">
        <v>597</v>
      </c>
      <c r="AG262" s="14" t="s">
        <v>513</v>
      </c>
      <c r="AH262" s="14" t="s">
        <v>225</v>
      </c>
      <c r="AI262" s="14"/>
      <c r="AJ262" s="14"/>
      <c r="AK262" s="16"/>
      <c r="AL262" s="11"/>
      <c r="AM262" s="11"/>
      <c r="AN262" s="14"/>
      <c r="AO262" s="14"/>
      <c r="AP262" s="13"/>
      <c r="AQ262" s="14"/>
      <c r="AR262" s="11">
        <v>18</v>
      </c>
      <c r="AS262" s="14" t="s">
        <v>516</v>
      </c>
      <c r="AT262" s="14"/>
      <c r="AU262" s="11"/>
      <c r="AV262" s="14"/>
    </row>
    <row r="263" spans="1:49" s="45" customFormat="1" ht="15" x14ac:dyDescent="0.25">
      <c r="A263" s="13">
        <v>46080</v>
      </c>
      <c r="B263" s="13"/>
      <c r="C263" s="42" t="s">
        <v>49</v>
      </c>
      <c r="D263" s="42" t="s">
        <v>294</v>
      </c>
      <c r="E263" s="14"/>
      <c r="F263" s="71">
        <v>655</v>
      </c>
      <c r="G263" s="42" t="s">
        <v>50</v>
      </c>
      <c r="H263" s="31">
        <v>10733910921</v>
      </c>
      <c r="I263" s="43" t="str">
        <f>IF(H263="","",VLOOKUP(H263,ENTIDAD!$B$2:$C$613,2,0))</f>
        <v>MADUEÑO HUAMAN LILI CLISSELY</v>
      </c>
      <c r="J263" s="11"/>
      <c r="K263" s="11"/>
      <c r="L263" s="11"/>
      <c r="M263" s="11"/>
      <c r="N263" s="11">
        <f t="shared" si="7"/>
        <v>0</v>
      </c>
      <c r="O263" s="11">
        <f t="shared" si="8"/>
        <v>0</v>
      </c>
      <c r="P263" s="11">
        <v>27.2</v>
      </c>
      <c r="Q263" s="11"/>
      <c r="R263" s="11"/>
      <c r="S263" s="11">
        <v>27.2</v>
      </c>
      <c r="T263" s="14"/>
      <c r="U263" s="14"/>
      <c r="V263" s="13"/>
      <c r="W263" s="15"/>
      <c r="X263" s="13"/>
      <c r="Y263" s="14"/>
      <c r="Z263" s="14"/>
      <c r="AA263" s="14"/>
      <c r="AB263" s="42" t="s">
        <v>224</v>
      </c>
      <c r="AC263" s="11"/>
      <c r="AD263" s="13">
        <v>46108</v>
      </c>
      <c r="AE263" s="34" t="s">
        <v>465</v>
      </c>
      <c r="AF263" s="99" t="s">
        <v>598</v>
      </c>
      <c r="AG263" s="34"/>
      <c r="AH263" s="34" t="s">
        <v>225</v>
      </c>
      <c r="AI263" s="34"/>
      <c r="AJ263" s="34"/>
      <c r="AK263" s="38"/>
      <c r="AL263" s="35"/>
      <c r="AM263" s="35"/>
      <c r="AN263" s="34"/>
      <c r="AO263" s="34"/>
      <c r="AP263" s="33"/>
      <c r="AQ263" s="34"/>
      <c r="AR263" s="35">
        <v>18</v>
      </c>
      <c r="AS263" s="34" t="s">
        <v>575</v>
      </c>
      <c r="AT263" s="14"/>
      <c r="AU263" s="11"/>
      <c r="AV263" s="14"/>
    </row>
    <row r="264" spans="1:49" s="45" customFormat="1" ht="15" x14ac:dyDescent="0.25">
      <c r="A264" s="46">
        <v>46080</v>
      </c>
      <c r="B264" s="13"/>
      <c r="C264" s="42" t="s">
        <v>49</v>
      </c>
      <c r="D264" s="42" t="s">
        <v>294</v>
      </c>
      <c r="E264" s="14"/>
      <c r="F264" s="71">
        <v>117883</v>
      </c>
      <c r="G264" s="42" t="s">
        <v>50</v>
      </c>
      <c r="H264" s="31">
        <v>20568499043</v>
      </c>
      <c r="I264" s="43" t="str">
        <f>IF(H264="","",VLOOKUP(H264,ENTIDAD!$B$2:$C$613,2,0))</f>
        <v>SURTIDORES SAN MIGUEL E.I.R.L.</v>
      </c>
      <c r="J264" s="11"/>
      <c r="K264" s="11"/>
      <c r="L264" s="11"/>
      <c r="M264" s="11"/>
      <c r="N264" s="11">
        <f t="shared" si="7"/>
        <v>0</v>
      </c>
      <c r="O264" s="11">
        <f t="shared" si="8"/>
        <v>0</v>
      </c>
      <c r="P264" s="11">
        <v>100</v>
      </c>
      <c r="Q264" s="11"/>
      <c r="R264" s="11"/>
      <c r="S264" s="11">
        <v>100</v>
      </c>
      <c r="T264" s="14"/>
      <c r="U264" s="14"/>
      <c r="V264" s="13"/>
      <c r="W264" s="15"/>
      <c r="X264" s="13"/>
      <c r="Y264" s="14"/>
      <c r="Z264" s="14"/>
      <c r="AA264" s="14"/>
      <c r="AB264" s="42" t="s">
        <v>224</v>
      </c>
      <c r="AC264" s="11"/>
      <c r="AD264" s="13"/>
      <c r="AE264" s="14" t="s">
        <v>262</v>
      </c>
      <c r="AF264" s="73" t="s">
        <v>488</v>
      </c>
      <c r="AG264" s="14"/>
      <c r="AH264" s="14" t="s">
        <v>225</v>
      </c>
      <c r="AI264" s="14"/>
      <c r="AJ264" s="14"/>
      <c r="AK264" s="16"/>
      <c r="AL264" s="11"/>
      <c r="AM264" s="11"/>
      <c r="AN264" s="14"/>
      <c r="AO264" s="14"/>
      <c r="AP264" s="13"/>
      <c r="AQ264" s="14"/>
      <c r="AR264" s="11">
        <v>18</v>
      </c>
      <c r="AS264" s="14" t="s">
        <v>487</v>
      </c>
      <c r="AT264" s="14"/>
      <c r="AU264" s="11"/>
      <c r="AV264" s="14"/>
    </row>
    <row r="265" spans="1:49" s="45" customFormat="1" ht="15" x14ac:dyDescent="0.25">
      <c r="A265" s="46">
        <v>46080</v>
      </c>
      <c r="B265" s="13"/>
      <c r="C265" s="42" t="s">
        <v>49</v>
      </c>
      <c r="D265" s="42" t="s">
        <v>439</v>
      </c>
      <c r="E265" s="14"/>
      <c r="F265" s="71">
        <v>15067</v>
      </c>
      <c r="G265" s="42" t="s">
        <v>50</v>
      </c>
      <c r="H265" s="31">
        <v>20493508645</v>
      </c>
      <c r="I265" s="43" t="str">
        <f>IF(H265="","",VLOOKUP(H265,ENTIDAD!$B$2:$C$613,2,0))</f>
        <v>HONDA SELVA DEL PERU S.A.</v>
      </c>
      <c r="J265" s="11"/>
      <c r="K265" s="11"/>
      <c r="L265" s="11"/>
      <c r="M265" s="11"/>
      <c r="N265" s="11">
        <f t="shared" si="7"/>
        <v>3.3898304845009127E-4</v>
      </c>
      <c r="O265" s="11">
        <f t="shared" si="8"/>
        <v>6.1016948721016427E-5</v>
      </c>
      <c r="P265" s="11">
        <v>29799.47</v>
      </c>
      <c r="Q265" s="11"/>
      <c r="R265" s="11"/>
      <c r="S265" s="11">
        <f t="shared" ref="S265:S270" si="9">W265*AC265</f>
        <v>29799.470399999998</v>
      </c>
      <c r="T265" s="14"/>
      <c r="U265" s="14"/>
      <c r="V265" s="13"/>
      <c r="W265" s="15">
        <v>3.36</v>
      </c>
      <c r="X265" s="13"/>
      <c r="Y265" s="14"/>
      <c r="Z265" s="14"/>
      <c r="AA265" s="14"/>
      <c r="AB265" s="42" t="s">
        <v>383</v>
      </c>
      <c r="AC265" s="11">
        <v>8868.89</v>
      </c>
      <c r="AD265" s="46">
        <v>46108</v>
      </c>
      <c r="AE265" s="34" t="s">
        <v>465</v>
      </c>
      <c r="AF265" s="73" t="s">
        <v>532</v>
      </c>
      <c r="AG265" s="14"/>
      <c r="AH265" s="14" t="s">
        <v>225</v>
      </c>
      <c r="AI265" s="14"/>
      <c r="AJ265" s="14"/>
      <c r="AK265" s="16"/>
      <c r="AL265" s="11"/>
      <c r="AM265" s="11"/>
      <c r="AN265" s="14"/>
      <c r="AO265" s="14"/>
      <c r="AP265" s="13"/>
      <c r="AQ265" s="14"/>
      <c r="AR265" s="11">
        <v>18</v>
      </c>
      <c r="AS265" s="14" t="s">
        <v>201</v>
      </c>
      <c r="AT265" s="14"/>
      <c r="AU265" s="11"/>
      <c r="AV265" s="14"/>
    </row>
    <row r="266" spans="1:49" s="45" customFormat="1" ht="15" x14ac:dyDescent="0.25">
      <c r="A266" s="46">
        <v>46080</v>
      </c>
      <c r="B266" s="13"/>
      <c r="C266" s="42" t="s">
        <v>49</v>
      </c>
      <c r="D266" s="42" t="s">
        <v>301</v>
      </c>
      <c r="E266" s="14"/>
      <c r="F266" s="71">
        <v>17099</v>
      </c>
      <c r="G266" s="42" t="s">
        <v>50</v>
      </c>
      <c r="H266" s="31">
        <v>20493508645</v>
      </c>
      <c r="I266" s="43" t="str">
        <f>IF(H266="","",VLOOKUP(H266,ENTIDAD!$B$2:$C$613,2,0))</f>
        <v>HONDA SELVA DEL PERU S.A.</v>
      </c>
      <c r="J266" s="11"/>
      <c r="K266" s="11"/>
      <c r="L266" s="11"/>
      <c r="M266" s="11"/>
      <c r="N266" s="11">
        <f t="shared" si="7"/>
        <v>-3.0508474591735683E-3</v>
      </c>
      <c r="O266" s="11">
        <f t="shared" si="8"/>
        <v>-5.4915254265124232E-4</v>
      </c>
      <c r="P266" s="11">
        <v>8710.77</v>
      </c>
      <c r="Q266" s="11"/>
      <c r="R266" s="11"/>
      <c r="S266" s="11">
        <f t="shared" si="9"/>
        <v>8710.7663999999986</v>
      </c>
      <c r="T266" s="14"/>
      <c r="U266" s="14"/>
      <c r="V266" s="13"/>
      <c r="W266" s="15">
        <v>3.36</v>
      </c>
      <c r="X266" s="13"/>
      <c r="Y266" s="14"/>
      <c r="Z266" s="14"/>
      <c r="AA266" s="14"/>
      <c r="AB266" s="42" t="s">
        <v>383</v>
      </c>
      <c r="AC266" s="11">
        <v>2592.4899999999998</v>
      </c>
      <c r="AD266" s="46">
        <v>46108</v>
      </c>
      <c r="AE266" s="34" t="s">
        <v>465</v>
      </c>
      <c r="AF266" s="73" t="s">
        <v>532</v>
      </c>
      <c r="AG266" s="14"/>
      <c r="AH266" s="14" t="s">
        <v>225</v>
      </c>
      <c r="AI266" s="14"/>
      <c r="AJ266" s="14"/>
      <c r="AK266" s="16"/>
      <c r="AL266" s="11"/>
      <c r="AM266" s="11"/>
      <c r="AN266" s="14"/>
      <c r="AO266" s="14"/>
      <c r="AP266" s="13"/>
      <c r="AQ266" s="14"/>
      <c r="AR266" s="11">
        <v>18</v>
      </c>
      <c r="AS266" s="14" t="s">
        <v>201</v>
      </c>
      <c r="AT266" s="14"/>
      <c r="AU266" s="11"/>
      <c r="AV266" s="14"/>
    </row>
    <row r="267" spans="1:49" s="45" customFormat="1" ht="15" x14ac:dyDescent="0.25">
      <c r="A267" s="46">
        <v>46080</v>
      </c>
      <c r="B267" s="13"/>
      <c r="C267" s="42" t="s">
        <v>49</v>
      </c>
      <c r="D267" s="42" t="s">
        <v>439</v>
      </c>
      <c r="E267" s="14"/>
      <c r="F267" s="71">
        <v>15076</v>
      </c>
      <c r="G267" s="42" t="s">
        <v>50</v>
      </c>
      <c r="H267" s="31">
        <v>20493508645</v>
      </c>
      <c r="I267" s="43" t="str">
        <f>IF(H267="","",VLOOKUP(H267,ENTIDAD!$B$2:$C$613,2,0))</f>
        <v>HONDA SELVA DEL PERU S.A.</v>
      </c>
      <c r="J267" s="11"/>
      <c r="K267" s="11"/>
      <c r="L267" s="11"/>
      <c r="M267" s="11"/>
      <c r="N267" s="11">
        <f t="shared" si="7"/>
        <v>3.728813557615267E-3</v>
      </c>
      <c r="O267" s="11">
        <f t="shared" si="8"/>
        <v>6.7118644037074805E-4</v>
      </c>
      <c r="P267" s="11">
        <v>18272.650000000001</v>
      </c>
      <c r="Q267" s="11"/>
      <c r="R267" s="11"/>
      <c r="S267" s="11">
        <f t="shared" si="9"/>
        <v>18272.654399999999</v>
      </c>
      <c r="T267" s="14"/>
      <c r="U267" s="14"/>
      <c r="V267" s="13"/>
      <c r="W267" s="15">
        <v>3.36</v>
      </c>
      <c r="X267" s="13"/>
      <c r="Y267" s="14"/>
      <c r="Z267" s="14"/>
      <c r="AA267" s="14"/>
      <c r="AB267" s="42" t="s">
        <v>383</v>
      </c>
      <c r="AC267" s="11">
        <v>5438.29</v>
      </c>
      <c r="AD267" s="46">
        <v>46108</v>
      </c>
      <c r="AE267" s="34" t="s">
        <v>465</v>
      </c>
      <c r="AF267" s="19" t="s">
        <v>532</v>
      </c>
      <c r="AG267" s="14"/>
      <c r="AH267" s="14" t="s">
        <v>225</v>
      </c>
      <c r="AI267" s="14"/>
      <c r="AJ267" s="14"/>
      <c r="AK267" s="16"/>
      <c r="AL267" s="11"/>
      <c r="AM267" s="11"/>
      <c r="AN267" s="14"/>
      <c r="AO267" s="14"/>
      <c r="AP267" s="13"/>
      <c r="AQ267" s="14"/>
      <c r="AR267" s="11">
        <v>18</v>
      </c>
      <c r="AS267" s="14" t="s">
        <v>201</v>
      </c>
      <c r="AT267" s="14"/>
      <c r="AU267" s="11"/>
      <c r="AV267" s="14"/>
    </row>
    <row r="268" spans="1:49" s="45" customFormat="1" ht="15" x14ac:dyDescent="0.25">
      <c r="A268" s="46">
        <v>46080</v>
      </c>
      <c r="B268" s="13"/>
      <c r="C268" s="42" t="s">
        <v>49</v>
      </c>
      <c r="D268" s="42" t="s">
        <v>439</v>
      </c>
      <c r="E268" s="14"/>
      <c r="F268" s="71">
        <v>15058</v>
      </c>
      <c r="G268" s="42" t="s">
        <v>50</v>
      </c>
      <c r="H268" s="31">
        <v>20493508645</v>
      </c>
      <c r="I268" s="43" t="str">
        <f>IF(H268="","",VLOOKUP(H268,ENTIDAD!$B$2:$C$613,2,0))</f>
        <v>HONDA SELVA DEL PERU S.A.</v>
      </c>
      <c r="J268" s="11"/>
      <c r="K268" s="11"/>
      <c r="L268" s="11"/>
      <c r="M268" s="11"/>
      <c r="N268" s="11">
        <f t="shared" si="7"/>
        <v>-3.0508474591735683E-3</v>
      </c>
      <c r="O268" s="11">
        <f t="shared" si="8"/>
        <v>-5.4915254265124232E-4</v>
      </c>
      <c r="P268" s="11">
        <v>8710.77</v>
      </c>
      <c r="Q268" s="11"/>
      <c r="R268" s="11"/>
      <c r="S268" s="11">
        <f t="shared" si="9"/>
        <v>8710.7663999999986</v>
      </c>
      <c r="T268" s="14"/>
      <c r="U268" s="14"/>
      <c r="V268" s="13"/>
      <c r="W268" s="15">
        <v>3.36</v>
      </c>
      <c r="X268" s="13"/>
      <c r="Y268" s="14"/>
      <c r="Z268" s="14"/>
      <c r="AA268" s="14"/>
      <c r="AB268" s="42" t="s">
        <v>383</v>
      </c>
      <c r="AC268" s="11">
        <v>2592.4899999999998</v>
      </c>
      <c r="AD268" s="46">
        <v>46108</v>
      </c>
      <c r="AE268" s="34" t="s">
        <v>465</v>
      </c>
      <c r="AF268" s="19" t="s">
        <v>532</v>
      </c>
      <c r="AG268" s="14"/>
      <c r="AH268" s="14" t="s">
        <v>225</v>
      </c>
      <c r="AI268" s="14"/>
      <c r="AJ268" s="14"/>
      <c r="AK268" s="16"/>
      <c r="AL268" s="11"/>
      <c r="AM268" s="11"/>
      <c r="AN268" s="14"/>
      <c r="AO268" s="14"/>
      <c r="AP268" s="13"/>
      <c r="AQ268" s="14"/>
      <c r="AR268" s="11">
        <v>18</v>
      </c>
      <c r="AS268" s="14" t="s">
        <v>201</v>
      </c>
      <c r="AT268" s="14"/>
      <c r="AU268" s="11"/>
      <c r="AV268" s="14"/>
    </row>
    <row r="269" spans="1:49" s="45" customFormat="1" ht="15" x14ac:dyDescent="0.25">
      <c r="A269" s="46">
        <v>46080</v>
      </c>
      <c r="B269" s="13"/>
      <c r="C269" s="42" t="s">
        <v>49</v>
      </c>
      <c r="D269" s="42" t="s">
        <v>301</v>
      </c>
      <c r="E269" s="14"/>
      <c r="F269" s="71">
        <v>17089</v>
      </c>
      <c r="G269" s="42" t="s">
        <v>50</v>
      </c>
      <c r="H269" s="31">
        <v>20493508645</v>
      </c>
      <c r="I269" s="43" t="str">
        <f>IF(H269="","",VLOOKUP(H269,ENTIDAD!$B$2:$C$613,2,0))</f>
        <v>HONDA SELVA DEL PERU S.A.</v>
      </c>
      <c r="J269" s="11"/>
      <c r="K269" s="11"/>
      <c r="L269" s="11"/>
      <c r="M269" s="11"/>
      <c r="N269" s="11">
        <f t="shared" si="7"/>
        <v>-2.0338983061157119E-3</v>
      </c>
      <c r="O269" s="11">
        <f t="shared" si="8"/>
        <v>-3.661016951008281E-4</v>
      </c>
      <c r="P269" s="11">
        <v>13060.86</v>
      </c>
      <c r="Q269" s="11"/>
      <c r="R269" s="11"/>
      <c r="S269" s="11">
        <f t="shared" si="9"/>
        <v>13060.857599999999</v>
      </c>
      <c r="T269" s="14"/>
      <c r="U269" s="14"/>
      <c r="V269" s="13"/>
      <c r="W269" s="15">
        <v>3.36</v>
      </c>
      <c r="X269" s="13"/>
      <c r="Y269" s="14"/>
      <c r="Z269" s="14"/>
      <c r="AA269" s="14"/>
      <c r="AB269" s="42" t="s">
        <v>383</v>
      </c>
      <c r="AC269" s="11">
        <v>3887.16</v>
      </c>
      <c r="AD269" s="46">
        <v>46108</v>
      </c>
      <c r="AE269" s="34" t="s">
        <v>465</v>
      </c>
      <c r="AF269" s="19" t="s">
        <v>532</v>
      </c>
      <c r="AG269" s="14"/>
      <c r="AH269" s="14" t="s">
        <v>225</v>
      </c>
      <c r="AI269" s="14"/>
      <c r="AJ269" s="14"/>
      <c r="AK269" s="16"/>
      <c r="AL269" s="11"/>
      <c r="AM269" s="11"/>
      <c r="AN269" s="14"/>
      <c r="AO269" s="14"/>
      <c r="AP269" s="13"/>
      <c r="AQ269" s="14"/>
      <c r="AR269" s="11">
        <v>18</v>
      </c>
      <c r="AS269" s="14" t="s">
        <v>201</v>
      </c>
      <c r="AT269" s="14"/>
      <c r="AU269" s="11"/>
      <c r="AV269" s="14"/>
    </row>
    <row r="270" spans="1:49" s="47" customFormat="1" ht="15" x14ac:dyDescent="0.25">
      <c r="A270" s="46">
        <v>46080</v>
      </c>
      <c r="B270" s="13"/>
      <c r="C270" s="42" t="s">
        <v>49</v>
      </c>
      <c r="D270" s="42" t="s">
        <v>301</v>
      </c>
      <c r="E270" s="14"/>
      <c r="F270" s="71">
        <v>17078</v>
      </c>
      <c r="G270" s="42" t="s">
        <v>50</v>
      </c>
      <c r="H270" s="31">
        <v>20493508645</v>
      </c>
      <c r="I270" s="43" t="str">
        <f>IF(H270="","",VLOOKUP(H270,ENTIDAD!$B$2:$C$613,2,0))</f>
        <v>HONDA SELVA DEL PERU S.A.</v>
      </c>
      <c r="J270" s="11"/>
      <c r="K270" s="11"/>
      <c r="L270" s="11"/>
      <c r="M270" s="11"/>
      <c r="N270" s="11">
        <f t="shared" si="7"/>
        <v>-3.0508474591735683E-3</v>
      </c>
      <c r="O270" s="11">
        <f t="shared" si="8"/>
        <v>-5.4915254265124232E-4</v>
      </c>
      <c r="P270" s="11">
        <v>8710.77</v>
      </c>
      <c r="Q270" s="11"/>
      <c r="R270" s="11"/>
      <c r="S270" s="11">
        <f t="shared" si="9"/>
        <v>8710.7663999999986</v>
      </c>
      <c r="T270" s="14"/>
      <c r="U270" s="14"/>
      <c r="V270" s="13"/>
      <c r="W270" s="15">
        <v>3.36</v>
      </c>
      <c r="X270" s="13"/>
      <c r="Y270" s="14"/>
      <c r="Z270" s="14"/>
      <c r="AA270" s="14"/>
      <c r="AB270" s="42" t="s">
        <v>383</v>
      </c>
      <c r="AC270" s="11">
        <v>2592.4899999999998</v>
      </c>
      <c r="AD270" s="46">
        <v>46108</v>
      </c>
      <c r="AE270" s="34" t="s">
        <v>465</v>
      </c>
      <c r="AF270" s="19" t="s">
        <v>532</v>
      </c>
      <c r="AG270" s="14"/>
      <c r="AH270" s="14" t="s">
        <v>225</v>
      </c>
      <c r="AI270" s="14"/>
      <c r="AJ270" s="14"/>
      <c r="AK270" s="16"/>
      <c r="AL270" s="11"/>
      <c r="AM270" s="11"/>
      <c r="AN270" s="14"/>
      <c r="AO270" s="14"/>
      <c r="AP270" s="13"/>
      <c r="AQ270" s="14"/>
      <c r="AR270" s="11">
        <v>18</v>
      </c>
      <c r="AS270" s="14" t="s">
        <v>201</v>
      </c>
      <c r="AT270" s="14"/>
      <c r="AU270" s="11"/>
      <c r="AV270" s="14"/>
      <c r="AW270" s="45"/>
    </row>
    <row r="271" spans="1:49" s="45" customFormat="1" ht="15" x14ac:dyDescent="0.25">
      <c r="A271" s="46">
        <v>46080</v>
      </c>
      <c r="B271" s="13"/>
      <c r="C271" s="42" t="s">
        <v>49</v>
      </c>
      <c r="D271" s="42" t="s">
        <v>567</v>
      </c>
      <c r="E271" s="14"/>
      <c r="F271" s="71">
        <v>10926</v>
      </c>
      <c r="G271" s="42" t="s">
        <v>50</v>
      </c>
      <c r="H271" s="31">
        <v>20485981536</v>
      </c>
      <c r="I271" s="43" t="str">
        <f>IF(H271="","",VLOOKUP(H271,ENTIDAD!$B$2:$C$613,2,0))</f>
        <v>EMPRESA DE TRANSPORTES TURISMO Y SERVICIOS MULTIPLES SHIMA E.I.R.L.</v>
      </c>
      <c r="J271" s="11"/>
      <c r="K271" s="11"/>
      <c r="L271" s="11"/>
      <c r="M271" s="11"/>
      <c r="N271" s="11">
        <v>0</v>
      </c>
      <c r="O271" s="11">
        <f t="shared" si="8"/>
        <v>0</v>
      </c>
      <c r="P271" s="11"/>
      <c r="Q271" s="11"/>
      <c r="R271" s="11">
        <v>35</v>
      </c>
      <c r="S271" s="11">
        <v>35</v>
      </c>
      <c r="T271" s="14"/>
      <c r="U271" s="14"/>
      <c r="V271" s="13"/>
      <c r="W271" s="15"/>
      <c r="X271" s="13"/>
      <c r="Y271" s="14"/>
      <c r="Z271" s="14"/>
      <c r="AA271" s="14"/>
      <c r="AB271" s="42" t="s">
        <v>224</v>
      </c>
      <c r="AC271" s="11"/>
      <c r="AD271" s="13">
        <v>46108</v>
      </c>
      <c r="AE271" s="14" t="s">
        <v>465</v>
      </c>
      <c r="AF271" s="37" t="s">
        <v>597</v>
      </c>
      <c r="AG271" s="14" t="s">
        <v>513</v>
      </c>
      <c r="AH271" s="14" t="s">
        <v>225</v>
      </c>
      <c r="AI271" s="14"/>
      <c r="AJ271" s="14"/>
      <c r="AK271" s="16"/>
      <c r="AL271" s="11"/>
      <c r="AM271" s="11"/>
      <c r="AN271" s="14"/>
      <c r="AO271" s="14"/>
      <c r="AP271" s="13"/>
      <c r="AQ271" s="14"/>
      <c r="AR271" s="11">
        <v>18</v>
      </c>
      <c r="AS271" s="14" t="s">
        <v>516</v>
      </c>
      <c r="AT271" s="14"/>
      <c r="AU271" s="11"/>
      <c r="AV271" s="14"/>
    </row>
    <row r="272" spans="1:49" s="45" customFormat="1" ht="15" x14ac:dyDescent="0.25">
      <c r="A272" s="46">
        <v>46080</v>
      </c>
      <c r="B272" s="13"/>
      <c r="C272" s="42" t="s">
        <v>49</v>
      </c>
      <c r="D272" s="42" t="s">
        <v>590</v>
      </c>
      <c r="E272" s="14"/>
      <c r="F272" s="71">
        <v>26078094</v>
      </c>
      <c r="G272" s="42" t="s">
        <v>50</v>
      </c>
      <c r="H272" s="31">
        <v>20100130204</v>
      </c>
      <c r="I272" s="43" t="str">
        <f>IF(H272="","",VLOOKUP(H272,ENTIDAD!$B$2:$C$613,2,0))</f>
        <v>BANCO BBVA PERU</v>
      </c>
      <c r="J272" s="11"/>
      <c r="K272" s="11"/>
      <c r="L272" s="11"/>
      <c r="M272" s="11"/>
      <c r="N272" s="11">
        <f t="shared" si="7"/>
        <v>0</v>
      </c>
      <c r="O272" s="11">
        <f t="shared" si="8"/>
        <v>0</v>
      </c>
      <c r="P272" s="11">
        <v>81.5</v>
      </c>
      <c r="Q272" s="11"/>
      <c r="R272" s="11"/>
      <c r="S272" s="11">
        <v>81.5</v>
      </c>
      <c r="T272" s="14"/>
      <c r="U272" s="14"/>
      <c r="V272" s="13"/>
      <c r="W272" s="15"/>
      <c r="X272" s="13"/>
      <c r="Y272" s="14"/>
      <c r="Z272" s="14"/>
      <c r="AA272" s="14"/>
      <c r="AB272" s="42" t="s">
        <v>224</v>
      </c>
      <c r="AC272" s="11"/>
      <c r="AD272" s="13">
        <v>46108</v>
      </c>
      <c r="AE272" s="14" t="s">
        <v>465</v>
      </c>
      <c r="AF272" s="19" t="s">
        <v>494</v>
      </c>
      <c r="AG272" s="14"/>
      <c r="AH272" s="14" t="s">
        <v>225</v>
      </c>
      <c r="AI272" s="14"/>
      <c r="AJ272" s="14"/>
      <c r="AK272" s="16"/>
      <c r="AL272" s="11"/>
      <c r="AM272" s="11"/>
      <c r="AN272" s="14"/>
      <c r="AO272" s="14"/>
      <c r="AP272" s="13"/>
      <c r="AQ272" s="14"/>
      <c r="AR272" s="11">
        <v>18</v>
      </c>
      <c r="AS272" s="14" t="s">
        <v>495</v>
      </c>
      <c r="AT272" s="14"/>
      <c r="AU272" s="11"/>
      <c r="AV272" s="14"/>
    </row>
    <row r="273" spans="1:48" s="45" customFormat="1" ht="15" x14ac:dyDescent="0.25">
      <c r="A273" s="46">
        <v>46081</v>
      </c>
      <c r="B273" s="13"/>
      <c r="C273" s="42" t="s">
        <v>49</v>
      </c>
      <c r="D273" s="42" t="s">
        <v>294</v>
      </c>
      <c r="E273" s="14"/>
      <c r="F273" s="71">
        <v>1117604</v>
      </c>
      <c r="G273" s="42" t="s">
        <v>50</v>
      </c>
      <c r="H273" s="31">
        <v>20265681299</v>
      </c>
      <c r="I273" s="43" t="str">
        <f>IF(H273="","",VLOOKUP(H273,ENTIDAD!$B$2:$C$613,2,0))</f>
        <v>EQUIFAX PERU S.A.</v>
      </c>
      <c r="J273" s="11"/>
      <c r="K273" s="11"/>
      <c r="L273" s="11"/>
      <c r="M273" s="11"/>
      <c r="N273" s="11">
        <f t="shared" si="7"/>
        <v>252.00000000000003</v>
      </c>
      <c r="O273" s="11">
        <f t="shared" si="8"/>
        <v>45.360000000000007</v>
      </c>
      <c r="P273" s="11">
        <v>0</v>
      </c>
      <c r="Q273" s="11"/>
      <c r="R273" s="11"/>
      <c r="S273" s="11">
        <v>297.36</v>
      </c>
      <c r="T273" s="14"/>
      <c r="U273" s="14"/>
      <c r="V273" s="13"/>
      <c r="W273" s="15"/>
      <c r="X273" s="13"/>
      <c r="Y273" s="14"/>
      <c r="Z273" s="14"/>
      <c r="AA273" s="14"/>
      <c r="AB273" s="42" t="s">
        <v>224</v>
      </c>
      <c r="AC273" s="11"/>
      <c r="AD273" s="13">
        <v>46086</v>
      </c>
      <c r="AE273" s="34" t="s">
        <v>465</v>
      </c>
      <c r="AF273" s="73" t="s">
        <v>600</v>
      </c>
      <c r="AG273" s="14"/>
      <c r="AH273" s="14" t="s">
        <v>225</v>
      </c>
      <c r="AI273" s="14"/>
      <c r="AJ273" s="14"/>
      <c r="AK273" s="16"/>
      <c r="AL273" s="11"/>
      <c r="AM273" s="11"/>
      <c r="AN273" s="14"/>
      <c r="AO273" s="14"/>
      <c r="AP273" s="13"/>
      <c r="AQ273" s="14"/>
      <c r="AR273" s="11">
        <v>18</v>
      </c>
      <c r="AS273" s="14" t="s">
        <v>551</v>
      </c>
      <c r="AT273" s="14"/>
      <c r="AU273" s="11"/>
      <c r="AV273" s="14"/>
    </row>
    <row r="274" spans="1:48" customFormat="1" ht="1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10">
        <f>SUM(J4:J74)</f>
        <v>0</v>
      </c>
      <c r="K274" s="10">
        <f>SUM(K4:K74)</f>
        <v>0</v>
      </c>
      <c r="L274" s="10">
        <f>SUM(L4:L74)</f>
        <v>0</v>
      </c>
      <c r="M274" s="10">
        <f>SUM(M4:M74)</f>
        <v>0</v>
      </c>
      <c r="N274" s="10">
        <f>SUM(N4:N273)</f>
        <v>2061.2735582947803</v>
      </c>
      <c r="O274" s="10">
        <f>SUM(O4:O273)</f>
        <v>371.02924049306051</v>
      </c>
      <c r="P274" s="10">
        <f>SUM(P4:P273)</f>
        <v>630769.95000000007</v>
      </c>
      <c r="Q274" s="10">
        <f>SUM(Q4:Q74)</f>
        <v>0</v>
      </c>
      <c r="R274" s="10">
        <f>SUM(R4:R74)</f>
        <v>2538.4000000000005</v>
      </c>
      <c r="S274" s="10">
        <f>SUM(S4:S273)</f>
        <v>646038.0527987876</v>
      </c>
      <c r="T274" s="9"/>
      <c r="U274" s="9"/>
      <c r="V274" s="9"/>
      <c r="W274" s="17"/>
      <c r="X274" s="9"/>
      <c r="Y274" s="18"/>
      <c r="Z274" s="18"/>
      <c r="AA274" s="18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6" spans="1:48" x14ac:dyDescent="0.2">
      <c r="P276" s="23"/>
    </row>
    <row r="277" spans="1:48" x14ac:dyDescent="0.2">
      <c r="AR277" s="4"/>
    </row>
  </sheetData>
  <autoFilter ref="A3:AW274" xr:uid="{00000000-0009-0000-0000-000001000000}"/>
  <mergeCells count="39">
    <mergeCell ref="J1:K2"/>
    <mergeCell ref="A1:A3"/>
    <mergeCell ref="B1:B3"/>
    <mergeCell ref="C1:E2"/>
    <mergeCell ref="F1:F3"/>
    <mergeCell ref="G1:I1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AE1:AE3"/>
    <mergeCell ref="AF1:AF3"/>
    <mergeCell ref="AG1:AG3"/>
    <mergeCell ref="AH1:AH3"/>
    <mergeCell ref="AI1:AI3"/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</mergeCells>
  <conditionalFormatting sqref="F4">
    <cfRule type="duplicateValues" dxfId="607" priority="33"/>
    <cfRule type="duplicateValues" dxfId="606" priority="32"/>
    <cfRule type="duplicateValues" dxfId="605" priority="31"/>
    <cfRule type="duplicateValues" dxfId="604" priority="28"/>
    <cfRule type="duplicateValues" dxfId="603" priority="29"/>
    <cfRule type="duplicateValues" dxfId="602" priority="30"/>
    <cfRule type="duplicateValues" dxfId="601" priority="34"/>
    <cfRule type="duplicateValues" dxfId="600" priority="35"/>
  </conditionalFormatting>
  <conditionalFormatting sqref="F5:F6">
    <cfRule type="duplicateValues" dxfId="599" priority="26"/>
    <cfRule type="duplicateValues" dxfId="598" priority="20"/>
    <cfRule type="duplicateValues" dxfId="597" priority="19"/>
    <cfRule type="duplicateValues" dxfId="596" priority="21"/>
    <cfRule type="duplicateValues" dxfId="595" priority="22"/>
    <cfRule type="duplicateValues" dxfId="594" priority="23"/>
    <cfRule type="duplicateValues" dxfId="593" priority="24"/>
    <cfRule type="duplicateValues" dxfId="592" priority="25"/>
    <cfRule type="duplicateValues" dxfId="591" priority="27"/>
  </conditionalFormatting>
  <conditionalFormatting sqref="F7">
    <cfRule type="duplicateValues" dxfId="590" priority="8040"/>
    <cfRule type="duplicateValues" dxfId="589" priority="8039"/>
    <cfRule type="duplicateValues" dxfId="588" priority="8037"/>
    <cfRule type="duplicateValues" dxfId="587" priority="8036"/>
    <cfRule type="duplicateValues" dxfId="586" priority="8035"/>
    <cfRule type="duplicateValues" dxfId="585" priority="8038"/>
    <cfRule type="duplicateValues" dxfId="584" priority="8034"/>
    <cfRule type="duplicateValues" dxfId="583" priority="8033"/>
  </conditionalFormatting>
  <conditionalFormatting sqref="F8">
    <cfRule type="duplicateValues" dxfId="582" priority="37"/>
    <cfRule type="duplicateValues" dxfId="581" priority="38"/>
    <cfRule type="duplicateValues" dxfId="580" priority="39"/>
    <cfRule type="duplicateValues" dxfId="579" priority="40"/>
    <cfRule type="duplicateValues" dxfId="578" priority="41"/>
    <cfRule type="duplicateValues" dxfId="577" priority="42"/>
    <cfRule type="duplicateValues" dxfId="576" priority="43"/>
    <cfRule type="duplicateValues" dxfId="575" priority="44"/>
    <cfRule type="duplicateValues" dxfId="574" priority="36"/>
  </conditionalFormatting>
  <conditionalFormatting sqref="F9:F34">
    <cfRule type="duplicateValues" dxfId="573" priority="8061"/>
    <cfRule type="duplicateValues" dxfId="572" priority="8062"/>
    <cfRule type="duplicateValues" dxfId="571" priority="8068"/>
    <cfRule type="duplicateValues" dxfId="570" priority="8067"/>
    <cfRule type="duplicateValues" dxfId="569" priority="8066"/>
    <cfRule type="duplicateValues" dxfId="568" priority="8065"/>
    <cfRule type="duplicateValues" dxfId="567" priority="8064"/>
    <cfRule type="duplicateValues" dxfId="566" priority="8063"/>
  </conditionalFormatting>
  <conditionalFormatting sqref="F35:F54">
    <cfRule type="duplicateValues" dxfId="565" priority="495"/>
    <cfRule type="duplicateValues" dxfId="564" priority="494"/>
    <cfRule type="duplicateValues" dxfId="563" priority="501"/>
    <cfRule type="duplicateValues" dxfId="562" priority="500"/>
    <cfRule type="duplicateValues" dxfId="561" priority="499"/>
    <cfRule type="duplicateValues" dxfId="560" priority="498"/>
    <cfRule type="duplicateValues" dxfId="559" priority="497"/>
    <cfRule type="duplicateValues" dxfId="558" priority="496"/>
  </conditionalFormatting>
  <conditionalFormatting sqref="F55:F74">
    <cfRule type="duplicateValues" dxfId="557" priority="488"/>
    <cfRule type="duplicateValues" dxfId="556" priority="491"/>
    <cfRule type="duplicateValues" dxfId="555" priority="493"/>
    <cfRule type="duplicateValues" dxfId="554" priority="492"/>
    <cfRule type="duplicateValues" dxfId="553" priority="490"/>
    <cfRule type="duplicateValues" dxfId="552" priority="489"/>
    <cfRule type="duplicateValues" dxfId="551" priority="487"/>
    <cfRule type="duplicateValues" dxfId="550" priority="486"/>
  </conditionalFormatting>
  <conditionalFormatting sqref="F95 F97 F99 F101 F103 F105 F107 F110 F112">
    <cfRule type="duplicateValues" dxfId="549" priority="463"/>
    <cfRule type="duplicateValues" dxfId="548" priority="462"/>
    <cfRule type="duplicateValues" dxfId="547" priority="469"/>
    <cfRule type="duplicateValues" dxfId="546" priority="468"/>
    <cfRule type="duplicateValues" dxfId="545" priority="467"/>
    <cfRule type="duplicateValues" dxfId="544" priority="466"/>
    <cfRule type="duplicateValues" dxfId="543" priority="465"/>
    <cfRule type="duplicateValues" dxfId="542" priority="464"/>
  </conditionalFormatting>
  <conditionalFormatting sqref="F114:F117">
    <cfRule type="duplicateValues" dxfId="541" priority="7508"/>
    <cfRule type="duplicateValues" dxfId="540" priority="7507"/>
    <cfRule type="duplicateValues" dxfId="539" priority="7506"/>
    <cfRule type="duplicateValues" dxfId="538" priority="7505"/>
    <cfRule type="duplicateValues" dxfId="537" priority="7504"/>
    <cfRule type="duplicateValues" dxfId="536" priority="7503"/>
    <cfRule type="duplicateValues" dxfId="535" priority="7502"/>
    <cfRule type="duplicateValues" dxfId="534" priority="7501"/>
  </conditionalFormatting>
  <conditionalFormatting sqref="F118:F122">
    <cfRule type="duplicateValues" dxfId="533" priority="422"/>
    <cfRule type="duplicateValues" dxfId="532" priority="423"/>
    <cfRule type="duplicateValues" dxfId="531" priority="424"/>
    <cfRule type="duplicateValues" dxfId="530" priority="425"/>
    <cfRule type="duplicateValues" dxfId="529" priority="426"/>
    <cfRule type="duplicateValues" dxfId="528" priority="427"/>
    <cfRule type="duplicateValues" dxfId="527" priority="428"/>
    <cfRule type="duplicateValues" dxfId="526" priority="429"/>
  </conditionalFormatting>
  <conditionalFormatting sqref="F123:F127">
    <cfRule type="duplicateValues" dxfId="525" priority="431"/>
    <cfRule type="duplicateValues" dxfId="524" priority="430"/>
    <cfRule type="duplicateValues" dxfId="523" priority="437"/>
    <cfRule type="duplicateValues" dxfId="522" priority="436"/>
    <cfRule type="duplicateValues" dxfId="521" priority="435"/>
    <cfRule type="duplicateValues" dxfId="520" priority="434"/>
    <cfRule type="duplicateValues" dxfId="519" priority="433"/>
    <cfRule type="duplicateValues" dxfId="518" priority="432"/>
  </conditionalFormatting>
  <conditionalFormatting sqref="F128:F132">
    <cfRule type="duplicateValues" dxfId="517" priority="411"/>
    <cfRule type="duplicateValues" dxfId="516" priority="406"/>
    <cfRule type="duplicateValues" dxfId="515" priority="407"/>
    <cfRule type="duplicateValues" dxfId="514" priority="408"/>
    <cfRule type="duplicateValues" dxfId="513" priority="410"/>
    <cfRule type="duplicateValues" dxfId="512" priority="409"/>
    <cfRule type="duplicateValues" dxfId="511" priority="413"/>
    <cfRule type="duplicateValues" dxfId="510" priority="412"/>
  </conditionalFormatting>
  <conditionalFormatting sqref="F133:F134 F143">
    <cfRule type="duplicateValues" dxfId="509" priority="421"/>
    <cfRule type="duplicateValues" dxfId="508" priority="420"/>
    <cfRule type="duplicateValues" dxfId="507" priority="419"/>
    <cfRule type="duplicateValues" dxfId="506" priority="418"/>
    <cfRule type="duplicateValues" dxfId="505" priority="417"/>
    <cfRule type="duplicateValues" dxfId="504" priority="416"/>
    <cfRule type="duplicateValues" dxfId="503" priority="415"/>
    <cfRule type="duplicateValues" dxfId="502" priority="414"/>
  </conditionalFormatting>
  <conditionalFormatting sqref="F135:F137">
    <cfRule type="duplicateValues" dxfId="501" priority="397"/>
    <cfRule type="duplicateValues" dxfId="500" priority="390"/>
    <cfRule type="duplicateValues" dxfId="499" priority="392"/>
    <cfRule type="duplicateValues" dxfId="498" priority="391"/>
    <cfRule type="duplicateValues" dxfId="497" priority="396"/>
    <cfRule type="duplicateValues" dxfId="496" priority="395"/>
    <cfRule type="duplicateValues" dxfId="495" priority="394"/>
    <cfRule type="duplicateValues" dxfId="494" priority="393"/>
  </conditionalFormatting>
  <conditionalFormatting sqref="F138:F142">
    <cfRule type="duplicateValues" dxfId="493" priority="401"/>
    <cfRule type="duplicateValues" dxfId="492" priority="400"/>
    <cfRule type="duplicateValues" dxfId="491" priority="399"/>
    <cfRule type="duplicateValues" dxfId="490" priority="398"/>
    <cfRule type="duplicateValues" dxfId="489" priority="402"/>
    <cfRule type="duplicateValues" dxfId="488" priority="405"/>
    <cfRule type="duplicateValues" dxfId="487" priority="404"/>
    <cfRule type="duplicateValues" dxfId="486" priority="403"/>
  </conditionalFormatting>
  <conditionalFormatting sqref="F144:F145">
    <cfRule type="duplicateValues" dxfId="485" priority="360"/>
    <cfRule type="duplicateValues" dxfId="484" priority="361"/>
    <cfRule type="duplicateValues" dxfId="483" priority="359"/>
    <cfRule type="duplicateValues" dxfId="482" priority="362"/>
    <cfRule type="duplicateValues" dxfId="481" priority="365"/>
    <cfRule type="duplicateValues" dxfId="480" priority="363"/>
    <cfRule type="duplicateValues" dxfId="479" priority="364"/>
    <cfRule type="duplicateValues" dxfId="478" priority="358"/>
  </conditionalFormatting>
  <conditionalFormatting sqref="F146:F150">
    <cfRule type="duplicateValues" dxfId="477" priority="372"/>
    <cfRule type="duplicateValues" dxfId="476" priority="373"/>
    <cfRule type="duplicateValues" dxfId="475" priority="366"/>
    <cfRule type="duplicateValues" dxfId="474" priority="367"/>
    <cfRule type="duplicateValues" dxfId="473" priority="368"/>
    <cfRule type="duplicateValues" dxfId="472" priority="369"/>
    <cfRule type="duplicateValues" dxfId="471" priority="370"/>
    <cfRule type="duplicateValues" dxfId="470" priority="371"/>
  </conditionalFormatting>
  <conditionalFormatting sqref="F151:F152">
    <cfRule type="duplicateValues" dxfId="469" priority="378"/>
    <cfRule type="duplicateValues" dxfId="468" priority="380"/>
    <cfRule type="duplicateValues" dxfId="467" priority="381"/>
    <cfRule type="duplicateValues" dxfId="466" priority="374"/>
    <cfRule type="duplicateValues" dxfId="465" priority="375"/>
    <cfRule type="duplicateValues" dxfId="464" priority="376"/>
    <cfRule type="duplicateValues" dxfId="463" priority="377"/>
    <cfRule type="duplicateValues" dxfId="462" priority="379"/>
  </conditionalFormatting>
  <conditionalFormatting sqref="F153:F157">
    <cfRule type="duplicateValues" dxfId="461" priority="382"/>
    <cfRule type="duplicateValues" dxfId="460" priority="389"/>
    <cfRule type="duplicateValues" dxfId="459" priority="384"/>
    <cfRule type="duplicateValues" dxfId="458" priority="385"/>
    <cfRule type="duplicateValues" dxfId="457" priority="383"/>
    <cfRule type="duplicateValues" dxfId="456" priority="386"/>
    <cfRule type="duplicateValues" dxfId="455" priority="387"/>
    <cfRule type="duplicateValues" dxfId="454" priority="388"/>
  </conditionalFormatting>
  <conditionalFormatting sqref="F158:F159">
    <cfRule type="duplicateValues" dxfId="453" priority="346"/>
    <cfRule type="duplicateValues" dxfId="452" priority="345"/>
    <cfRule type="duplicateValues" dxfId="451" priority="344"/>
    <cfRule type="duplicateValues" dxfId="450" priority="343"/>
    <cfRule type="duplicateValues" dxfId="449" priority="342"/>
    <cfRule type="duplicateValues" dxfId="448" priority="347"/>
    <cfRule type="duplicateValues" dxfId="447" priority="349"/>
    <cfRule type="duplicateValues" dxfId="446" priority="348"/>
  </conditionalFormatting>
  <conditionalFormatting sqref="F160:F163">
    <cfRule type="duplicateValues" dxfId="445" priority="352"/>
    <cfRule type="duplicateValues" dxfId="444" priority="350"/>
    <cfRule type="duplicateValues" dxfId="443" priority="357"/>
    <cfRule type="duplicateValues" dxfId="442" priority="356"/>
    <cfRule type="duplicateValues" dxfId="441" priority="355"/>
    <cfRule type="duplicateValues" dxfId="440" priority="354"/>
    <cfRule type="duplicateValues" dxfId="439" priority="351"/>
    <cfRule type="duplicateValues" dxfId="438" priority="353"/>
  </conditionalFormatting>
  <conditionalFormatting sqref="F164:F184 F186 F188 F190:F191 F193 F195">
    <cfRule type="duplicateValues" dxfId="437" priority="327"/>
    <cfRule type="duplicateValues" dxfId="436" priority="325"/>
    <cfRule type="duplicateValues" dxfId="435" priority="326"/>
    <cfRule type="duplicateValues" dxfId="434" priority="332"/>
    <cfRule type="duplicateValues" dxfId="433" priority="331"/>
    <cfRule type="duplicateValues" dxfId="432" priority="330"/>
    <cfRule type="duplicateValues" dxfId="431" priority="329"/>
    <cfRule type="duplicateValues" dxfId="430" priority="328"/>
  </conditionalFormatting>
  <conditionalFormatting sqref="F164:F184">
    <cfRule type="duplicateValues" dxfId="429" priority="324"/>
  </conditionalFormatting>
  <conditionalFormatting sqref="F165 F167 F169 F171 F173 F175 F177 F179 F181 F183">
    <cfRule type="duplicateValues" dxfId="428" priority="334"/>
    <cfRule type="duplicateValues" dxfId="427" priority="340"/>
    <cfRule type="duplicateValues" dxfId="426" priority="339"/>
    <cfRule type="duplicateValues" dxfId="425" priority="337"/>
    <cfRule type="duplicateValues" dxfId="424" priority="338"/>
    <cfRule type="duplicateValues" dxfId="423" priority="336"/>
    <cfRule type="duplicateValues" dxfId="422" priority="335"/>
    <cfRule type="duplicateValues" dxfId="421" priority="333"/>
  </conditionalFormatting>
  <conditionalFormatting sqref="F185 F187 F189 F192 F194 F196">
    <cfRule type="duplicateValues" dxfId="420" priority="287"/>
    <cfRule type="duplicateValues" dxfId="419" priority="286"/>
    <cfRule type="duplicateValues" dxfId="418" priority="285"/>
    <cfRule type="duplicateValues" dxfId="417" priority="284"/>
    <cfRule type="duplicateValues" dxfId="416" priority="282"/>
    <cfRule type="duplicateValues" dxfId="415" priority="281"/>
    <cfRule type="duplicateValues" dxfId="414" priority="283"/>
    <cfRule type="duplicateValues" dxfId="413" priority="280"/>
  </conditionalFormatting>
  <conditionalFormatting sqref="F185">
    <cfRule type="duplicateValues" dxfId="412" priority="279"/>
  </conditionalFormatting>
  <conditionalFormatting sqref="F197:F216">
    <cfRule type="duplicateValues" dxfId="411" priority="190"/>
    <cfRule type="duplicateValues" dxfId="410" priority="191"/>
    <cfRule type="duplicateValues" dxfId="409" priority="189"/>
    <cfRule type="duplicateValues" dxfId="408" priority="197"/>
    <cfRule type="duplicateValues" dxfId="407" priority="196"/>
    <cfRule type="duplicateValues" dxfId="406" priority="195"/>
    <cfRule type="duplicateValues" dxfId="405" priority="194"/>
    <cfRule type="duplicateValues" dxfId="404" priority="193"/>
    <cfRule type="duplicateValues" dxfId="403" priority="192"/>
  </conditionalFormatting>
  <conditionalFormatting sqref="F217:F236">
    <cfRule type="duplicateValues" dxfId="402" priority="241"/>
    <cfRule type="duplicateValues" dxfId="401" priority="236"/>
    <cfRule type="duplicateValues" dxfId="400" priority="235"/>
    <cfRule type="duplicateValues" dxfId="399" priority="234"/>
    <cfRule type="duplicateValues" dxfId="398" priority="240"/>
    <cfRule type="duplicateValues" dxfId="397" priority="242"/>
    <cfRule type="duplicateValues" dxfId="396" priority="239"/>
    <cfRule type="duplicateValues" dxfId="395" priority="238"/>
    <cfRule type="duplicateValues" dxfId="394" priority="237"/>
  </conditionalFormatting>
  <conditionalFormatting sqref="F237:F256">
    <cfRule type="duplicateValues" dxfId="393" priority="186"/>
    <cfRule type="duplicateValues" dxfId="392" priority="180"/>
    <cfRule type="duplicateValues" dxfId="391" priority="188"/>
    <cfRule type="duplicateValues" dxfId="390" priority="187"/>
    <cfRule type="duplicateValues" dxfId="389" priority="181"/>
    <cfRule type="duplicateValues" dxfId="388" priority="185"/>
    <cfRule type="duplicateValues" dxfId="387" priority="184"/>
    <cfRule type="duplicateValues" dxfId="386" priority="183"/>
    <cfRule type="duplicateValues" dxfId="385" priority="182"/>
  </conditionalFormatting>
  <conditionalFormatting sqref="F258:F259">
    <cfRule type="duplicateValues" dxfId="384" priority="7607"/>
    <cfRule type="duplicateValues" dxfId="383" priority="7600"/>
    <cfRule type="duplicateValues" dxfId="382" priority="7606"/>
    <cfRule type="duplicateValues" dxfId="381" priority="7605"/>
    <cfRule type="duplicateValues" dxfId="380" priority="7604"/>
    <cfRule type="duplicateValues" dxfId="379" priority="7603"/>
    <cfRule type="duplicateValues" dxfId="378" priority="7601"/>
    <cfRule type="duplicateValues" dxfId="377" priority="7602"/>
  </conditionalFormatting>
  <conditionalFormatting sqref="F260:F262">
    <cfRule type="duplicateValues" dxfId="376" priority="54"/>
    <cfRule type="duplicateValues" dxfId="375" priority="55"/>
    <cfRule type="duplicateValues" dxfId="374" priority="62"/>
    <cfRule type="duplicateValues" dxfId="373" priority="61"/>
    <cfRule type="duplicateValues" dxfId="372" priority="60"/>
    <cfRule type="duplicateValues" dxfId="371" priority="59"/>
    <cfRule type="duplicateValues" dxfId="370" priority="58"/>
    <cfRule type="duplicateValues" dxfId="369" priority="57"/>
    <cfRule type="duplicateValues" dxfId="368" priority="56"/>
  </conditionalFormatting>
  <conditionalFormatting sqref="F263:F265">
    <cfRule type="duplicateValues" dxfId="367" priority="63"/>
    <cfRule type="duplicateValues" dxfId="366" priority="64"/>
    <cfRule type="duplicateValues" dxfId="365" priority="65"/>
    <cfRule type="duplicateValues" dxfId="364" priority="67"/>
    <cfRule type="duplicateValues" dxfId="363" priority="69"/>
    <cfRule type="duplicateValues" dxfId="362" priority="70"/>
    <cfRule type="duplicateValues" dxfId="361" priority="68"/>
    <cfRule type="duplicateValues" dxfId="360" priority="66"/>
    <cfRule type="duplicateValues" dxfId="359" priority="71"/>
  </conditionalFormatting>
  <conditionalFormatting sqref="F266:F268">
    <cfRule type="duplicateValues" dxfId="358" priority="72"/>
    <cfRule type="duplicateValues" dxfId="357" priority="78"/>
    <cfRule type="duplicateValues" dxfId="356" priority="80"/>
    <cfRule type="duplicateValues" dxfId="355" priority="79"/>
    <cfRule type="duplicateValues" dxfId="354" priority="77"/>
    <cfRule type="duplicateValues" dxfId="353" priority="76"/>
    <cfRule type="duplicateValues" dxfId="352" priority="75"/>
    <cfRule type="duplicateValues" dxfId="351" priority="74"/>
    <cfRule type="duplicateValues" dxfId="350" priority="73"/>
  </conditionalFormatting>
  <conditionalFormatting sqref="F269:F270">
    <cfRule type="duplicateValues" dxfId="349" priority="7709"/>
    <cfRule type="duplicateValues" dxfId="348" priority="7710"/>
    <cfRule type="duplicateValues" dxfId="347" priority="7711"/>
    <cfRule type="duplicateValues" dxfId="346" priority="7712"/>
    <cfRule type="duplicateValues" dxfId="345" priority="7713"/>
    <cfRule type="duplicateValues" dxfId="344" priority="7714"/>
    <cfRule type="duplicateValues" dxfId="343" priority="7715"/>
    <cfRule type="duplicateValues" dxfId="342" priority="7716"/>
  </conditionalFormatting>
  <conditionalFormatting sqref="F271">
    <cfRule type="duplicateValues" dxfId="341" priority="7704"/>
    <cfRule type="duplicateValues" dxfId="340" priority="7705"/>
    <cfRule type="duplicateValues" dxfId="339" priority="7706"/>
    <cfRule type="duplicateValues" dxfId="338" priority="7707"/>
    <cfRule type="duplicateValues" dxfId="337" priority="7701"/>
    <cfRule type="duplicateValues" dxfId="336" priority="7703"/>
    <cfRule type="duplicateValues" dxfId="335" priority="7700"/>
    <cfRule type="duplicateValues" dxfId="334" priority="7702"/>
  </conditionalFormatting>
  <conditionalFormatting sqref="F272">
    <cfRule type="duplicateValues" dxfId="333" priority="5"/>
    <cfRule type="duplicateValues" dxfId="332" priority="9"/>
    <cfRule type="duplicateValues" dxfId="331" priority="8"/>
    <cfRule type="duplicateValues" dxfId="330" priority="7"/>
    <cfRule type="duplicateValues" dxfId="329" priority="6"/>
    <cfRule type="duplicateValues" dxfId="328" priority="4"/>
    <cfRule type="duplicateValues" dxfId="327" priority="3"/>
    <cfRule type="duplicateValues" dxfId="326" priority="2"/>
    <cfRule type="duplicateValues" dxfId="325" priority="1"/>
  </conditionalFormatting>
  <conditionalFormatting sqref="F273 F75:F94 F96 F98 F100 F102 F104 F106 F108:F109 F111 F113 F257">
    <cfRule type="duplicateValues" dxfId="324" priority="8057"/>
    <cfRule type="duplicateValues" dxfId="323" priority="8058"/>
    <cfRule type="duplicateValues" dxfId="322" priority="8059"/>
    <cfRule type="duplicateValues" dxfId="321" priority="8060"/>
    <cfRule type="duplicateValues" dxfId="320" priority="8042"/>
    <cfRule type="duplicateValues" dxfId="319" priority="8054"/>
    <cfRule type="duplicateValues" dxfId="318" priority="8055"/>
    <cfRule type="duplicateValues" dxfId="317" priority="8056"/>
  </conditionalFormatting>
  <conditionalFormatting sqref="F273:F1048576 F257 F1:F3 F9:F163">
    <cfRule type="duplicateValues" dxfId="316" priority="341"/>
  </conditionalFormatting>
  <conditionalFormatting sqref="F274:F1048576 F1:F3">
    <cfRule type="duplicateValues" dxfId="315" priority="698"/>
  </conditionalFormatting>
  <conditionalFormatting sqref="F274:F1048576">
    <cfRule type="duplicateValues" dxfId="314" priority="649"/>
    <cfRule type="duplicateValues" dxfId="313" priority="528"/>
  </conditionalFormatting>
  <pageMargins left="0.7" right="0.7" top="0.75" bottom="0.75" header="0.3" footer="0.3"/>
  <pageSetup paperSize="9" scale="26" orientation="portrait" horizontalDpi="360" verticalDpi="360" r:id="rId1"/>
  <rowBreaks count="1" manualBreakCount="1">
    <brk id="53" max="16383" man="1"/>
  </rowBreaks>
  <colBreaks count="2" manualBreakCount="2">
    <brk id="8" max="1048575" man="1"/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B3"/>
    <pageSetUpPr fitToPage="1"/>
  </sheetPr>
  <dimension ref="A1:AW162"/>
  <sheetViews>
    <sheetView zoomScale="98" zoomScaleNormal="98" zoomScaleSheetLayoutView="100" workbookViewId="0">
      <pane xSplit="13" ySplit="3" topLeftCell="N154" activePane="bottomRight" state="frozenSplit"/>
      <selection pane="topRight" activeCell="N1" sqref="N1"/>
      <selection pane="bottomLeft" activeCell="A4" sqref="A4"/>
      <selection pane="bottomRight" activeCell="N159" sqref="N159"/>
    </sheetView>
  </sheetViews>
  <sheetFormatPr baseColWidth="10" defaultRowHeight="14.25" x14ac:dyDescent="0.2"/>
  <cols>
    <col min="1" max="1" width="11.7109375" style="3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7.28515625" style="4" customWidth="1"/>
    <col min="7" max="7" width="2.85546875" style="6" customWidth="1"/>
    <col min="8" max="8" width="15.140625" style="1" customWidth="1"/>
    <col min="9" max="9" width="27.85546875" style="4" customWidth="1"/>
    <col min="10" max="10" width="4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124" customWidth="1"/>
    <col min="31" max="31" width="7" style="2" customWidth="1"/>
    <col min="32" max="32" width="9.5703125" style="4" customWidth="1"/>
    <col min="33" max="33" width="10.8554687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298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310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298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310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290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311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13">
        <v>46079</v>
      </c>
      <c r="B4" s="13"/>
      <c r="C4" s="42" t="s">
        <v>388</v>
      </c>
      <c r="D4" s="42" t="s">
        <v>557</v>
      </c>
      <c r="E4" s="14"/>
      <c r="F4" s="71">
        <v>5692682</v>
      </c>
      <c r="G4" s="42" t="s">
        <v>50</v>
      </c>
      <c r="H4" s="31">
        <v>20129646099</v>
      </c>
      <c r="I4" s="43" t="str">
        <f>IF(H4="","",VLOOKUP(H4,ENTIDAD!$B$2:$C$613,2,0))</f>
        <v>ELECTROCENTRO S.A.</v>
      </c>
      <c r="J4" s="11"/>
      <c r="K4" s="11"/>
      <c r="L4" s="11"/>
      <c r="M4" s="11"/>
      <c r="N4" s="11">
        <v>0</v>
      </c>
      <c r="O4" s="11">
        <f t="shared" ref="O4:O35" si="0">N4*0.18</f>
        <v>0</v>
      </c>
      <c r="P4" s="11">
        <v>375.4</v>
      </c>
      <c r="Q4" s="11"/>
      <c r="R4" s="11"/>
      <c r="S4" s="11">
        <v>375.4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13">
        <v>46095</v>
      </c>
      <c r="AE4" s="34" t="s">
        <v>465</v>
      </c>
      <c r="AF4" s="19" t="s">
        <v>559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560</v>
      </c>
      <c r="AT4" s="14"/>
      <c r="AU4" s="11"/>
      <c r="AV4" s="14"/>
    </row>
    <row r="5" spans="1:49" s="45" customFormat="1" ht="15" x14ac:dyDescent="0.25">
      <c r="A5" s="46">
        <v>46079</v>
      </c>
      <c r="B5" s="13"/>
      <c r="C5" s="41" t="s">
        <v>388</v>
      </c>
      <c r="D5" s="42" t="s">
        <v>557</v>
      </c>
      <c r="E5" s="14"/>
      <c r="F5" s="71">
        <v>5692906</v>
      </c>
      <c r="G5" s="42" t="s">
        <v>50</v>
      </c>
      <c r="H5" s="31">
        <v>20129646099</v>
      </c>
      <c r="I5" s="43" t="str">
        <f>IF(H5="","",VLOOKUP(H5,ENTIDAD!$B$2:$C$613,2,0))</f>
        <v>ELECTROCENTRO S.A.</v>
      </c>
      <c r="J5" s="11"/>
      <c r="K5" s="11"/>
      <c r="L5" s="11"/>
      <c r="M5" s="11"/>
      <c r="N5" s="11">
        <f>(S5-P5)/1.18</f>
        <v>0</v>
      </c>
      <c r="O5" s="11">
        <f t="shared" si="0"/>
        <v>0</v>
      </c>
      <c r="P5" s="11">
        <v>484.8</v>
      </c>
      <c r="Q5" s="11"/>
      <c r="R5" s="11"/>
      <c r="S5" s="11">
        <v>484.8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46">
        <v>46095</v>
      </c>
      <c r="AE5" s="34" t="s">
        <v>465</v>
      </c>
      <c r="AF5" s="19" t="s">
        <v>559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560</v>
      </c>
      <c r="AT5" s="14"/>
      <c r="AU5" s="11"/>
      <c r="AV5" s="14"/>
    </row>
    <row r="6" spans="1:49" s="45" customFormat="1" ht="15" x14ac:dyDescent="0.25">
      <c r="A6" s="13">
        <v>46079</v>
      </c>
      <c r="B6" s="13"/>
      <c r="C6" s="41" t="s">
        <v>388</v>
      </c>
      <c r="D6" s="42" t="s">
        <v>557</v>
      </c>
      <c r="E6" s="14"/>
      <c r="F6" s="71">
        <v>5692687</v>
      </c>
      <c r="G6" s="42" t="s">
        <v>50</v>
      </c>
      <c r="H6" s="31">
        <v>20129646099</v>
      </c>
      <c r="I6" s="43" t="str">
        <f>IF(H6="","",VLOOKUP(H6,ENTIDAD!$B$2:$C$613,2,0))</f>
        <v>ELECTROCENTRO S.A.</v>
      </c>
      <c r="J6" s="11"/>
      <c r="K6" s="11"/>
      <c r="L6" s="11"/>
      <c r="M6" s="11"/>
      <c r="N6" s="11">
        <v>0</v>
      </c>
      <c r="O6" s="11">
        <f t="shared" si="0"/>
        <v>0</v>
      </c>
      <c r="P6" s="11">
        <v>83.2</v>
      </c>
      <c r="Q6" s="11"/>
      <c r="R6" s="11"/>
      <c r="S6" s="11">
        <v>83.2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13">
        <v>46095</v>
      </c>
      <c r="AE6" s="14" t="s">
        <v>465</v>
      </c>
      <c r="AF6" s="73" t="s">
        <v>559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560</v>
      </c>
      <c r="AT6" s="14"/>
      <c r="AU6" s="11"/>
      <c r="AV6" s="14"/>
    </row>
    <row r="7" spans="1:49" s="45" customFormat="1" ht="15" x14ac:dyDescent="0.25">
      <c r="A7" s="13">
        <v>46081</v>
      </c>
      <c r="B7" s="13"/>
      <c r="C7" s="41" t="s">
        <v>388</v>
      </c>
      <c r="D7" s="42" t="s">
        <v>626</v>
      </c>
      <c r="E7" s="14"/>
      <c r="F7" s="71">
        <v>1056363</v>
      </c>
      <c r="G7" s="42" t="s">
        <v>50</v>
      </c>
      <c r="H7" s="31">
        <v>20121876290</v>
      </c>
      <c r="I7" s="43" t="str">
        <f>IF(H7="","",VLOOKUP(H7,ENTIDAD!$B$2:$C$613,2,0))</f>
        <v>ENT.PREST.SERV.SANEAM.SELVA CENTRAL S.A</v>
      </c>
      <c r="J7" s="11"/>
      <c r="K7" s="11"/>
      <c r="L7" s="11"/>
      <c r="M7" s="11"/>
      <c r="N7" s="11">
        <v>0</v>
      </c>
      <c r="O7" s="11">
        <f t="shared" si="0"/>
        <v>0</v>
      </c>
      <c r="P7" s="11">
        <v>46.8</v>
      </c>
      <c r="Q7" s="11"/>
      <c r="R7" s="11"/>
      <c r="S7" s="11">
        <v>46.8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13">
        <v>46112</v>
      </c>
      <c r="AE7" s="14" t="s">
        <v>465</v>
      </c>
      <c r="AF7" s="19" t="s">
        <v>561</v>
      </c>
      <c r="AG7" s="14"/>
      <c r="AH7" s="14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4" t="s">
        <v>562</v>
      </c>
      <c r="AT7" s="14"/>
      <c r="AU7" s="11"/>
      <c r="AV7" s="14"/>
    </row>
    <row r="8" spans="1:49" s="45" customFormat="1" ht="15" x14ac:dyDescent="0.25">
      <c r="A8" s="13">
        <v>46081</v>
      </c>
      <c r="B8" s="13"/>
      <c r="C8" s="41" t="s">
        <v>388</v>
      </c>
      <c r="D8" s="42" t="s">
        <v>626</v>
      </c>
      <c r="E8" s="14"/>
      <c r="F8" s="71">
        <v>1057146</v>
      </c>
      <c r="G8" s="41" t="s">
        <v>50</v>
      </c>
      <c r="H8" s="31">
        <v>20121876290</v>
      </c>
      <c r="I8" s="43" t="str">
        <f>IF(H8="","",VLOOKUP(H8,ENTIDAD!$B$2:$C$613,2,0))</f>
        <v>ENT.PREST.SERV.SANEAM.SELVA CENTRAL S.A</v>
      </c>
      <c r="J8" s="11"/>
      <c r="K8" s="11"/>
      <c r="L8" s="11"/>
      <c r="M8" s="11"/>
      <c r="N8" s="44">
        <v>0</v>
      </c>
      <c r="O8" s="44">
        <f t="shared" si="0"/>
        <v>0</v>
      </c>
      <c r="P8" s="11">
        <v>46.8</v>
      </c>
      <c r="Q8" s="11"/>
      <c r="R8" s="11"/>
      <c r="S8" s="11">
        <v>46.8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13">
        <v>46112</v>
      </c>
      <c r="AE8" s="14" t="s">
        <v>465</v>
      </c>
      <c r="AF8" s="19" t="s">
        <v>561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562</v>
      </c>
      <c r="AT8" s="14"/>
      <c r="AU8" s="11"/>
      <c r="AV8" s="14"/>
    </row>
    <row r="9" spans="1:49" s="45" customFormat="1" ht="15" x14ac:dyDescent="0.25">
      <c r="A9" s="46">
        <v>46081</v>
      </c>
      <c r="B9" s="13"/>
      <c r="C9" s="41" t="s">
        <v>388</v>
      </c>
      <c r="D9" s="42" t="s">
        <v>626</v>
      </c>
      <c r="E9" s="14"/>
      <c r="F9" s="71">
        <v>1057941</v>
      </c>
      <c r="G9" s="42" t="s">
        <v>50</v>
      </c>
      <c r="H9" s="31">
        <v>20121876290</v>
      </c>
      <c r="I9" s="43" t="str">
        <f>IF(H9="","",VLOOKUP(H9,ENTIDAD!$B$2:$C$613,2,0))</f>
        <v>ENT.PREST.SERV.SANEAM.SELVA CENTRAL S.A</v>
      </c>
      <c r="J9" s="11"/>
      <c r="K9" s="11"/>
      <c r="L9" s="11"/>
      <c r="M9" s="11"/>
      <c r="N9" s="44">
        <f t="shared" ref="N9:N16" si="1">(S9-P9)/1.18</f>
        <v>0</v>
      </c>
      <c r="O9" s="44">
        <f t="shared" si="0"/>
        <v>0</v>
      </c>
      <c r="P9" s="11">
        <v>39.4</v>
      </c>
      <c r="Q9" s="11"/>
      <c r="R9" s="11"/>
      <c r="S9" s="11">
        <v>39.4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46">
        <v>46112</v>
      </c>
      <c r="AE9" s="14" t="s">
        <v>465</v>
      </c>
      <c r="AF9" s="19" t="s">
        <v>561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562</v>
      </c>
      <c r="AT9" s="14"/>
      <c r="AU9" s="11"/>
      <c r="AV9" s="14"/>
    </row>
    <row r="10" spans="1:49" s="47" customFormat="1" ht="15" x14ac:dyDescent="0.25">
      <c r="A10" s="46">
        <v>46082</v>
      </c>
      <c r="B10" s="13"/>
      <c r="C10" s="41" t="s">
        <v>388</v>
      </c>
      <c r="D10" s="42" t="s">
        <v>595</v>
      </c>
      <c r="E10" s="14"/>
      <c r="F10" s="71">
        <v>608275570</v>
      </c>
      <c r="G10" s="42" t="s">
        <v>50</v>
      </c>
      <c r="H10" s="31">
        <v>20467534026</v>
      </c>
      <c r="I10" s="43" t="str">
        <f>IF(H10="","",VLOOKUP(H10,ENTIDAD!$B$2:$C$613,2,0))</f>
        <v>AMERICA MOVIL PERU S.A.C.</v>
      </c>
      <c r="J10" s="11"/>
      <c r="K10" s="11"/>
      <c r="L10" s="11"/>
      <c r="M10" s="11"/>
      <c r="N10" s="44">
        <f t="shared" si="1"/>
        <v>75.423728813559322</v>
      </c>
      <c r="O10" s="44">
        <f t="shared" si="0"/>
        <v>13.576271186440678</v>
      </c>
      <c r="P10" s="11">
        <v>0</v>
      </c>
      <c r="Q10" s="11"/>
      <c r="R10" s="11"/>
      <c r="S10" s="11">
        <v>89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46">
        <v>46100</v>
      </c>
      <c r="AE10" s="34" t="s">
        <v>465</v>
      </c>
      <c r="AF10" s="19">
        <v>6365095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596</v>
      </c>
      <c r="AT10" s="14"/>
      <c r="AU10" s="11"/>
      <c r="AV10" s="14"/>
      <c r="AW10" s="45"/>
    </row>
    <row r="11" spans="1:49" s="45" customFormat="1" ht="14.25" customHeight="1" x14ac:dyDescent="0.25">
      <c r="A11" s="46">
        <v>46083</v>
      </c>
      <c r="B11" s="13"/>
      <c r="C11" s="41" t="s">
        <v>49</v>
      </c>
      <c r="D11" s="42" t="s">
        <v>292</v>
      </c>
      <c r="E11" s="14"/>
      <c r="F11" s="71">
        <v>1805</v>
      </c>
      <c r="G11" s="42" t="s">
        <v>50</v>
      </c>
      <c r="H11" s="31">
        <v>20486339510</v>
      </c>
      <c r="I11" s="43" t="str">
        <f>IF(H11="","",VLOOKUP(H11,ENTIDAD!$B$2:$C$613,2,0))</f>
        <v>SERVICIOS CONTABLES Y AUDITORIA INTERNA S.A.</v>
      </c>
      <c r="J11" s="11"/>
      <c r="K11" s="11"/>
      <c r="L11" s="11"/>
      <c r="M11" s="11"/>
      <c r="N11" s="44">
        <f t="shared" si="1"/>
        <v>1694.9152542372883</v>
      </c>
      <c r="O11" s="44">
        <f t="shared" si="0"/>
        <v>305.08474576271186</v>
      </c>
      <c r="P11" s="11">
        <v>0</v>
      </c>
      <c r="Q11" s="11"/>
      <c r="R11" s="11"/>
      <c r="S11" s="11">
        <v>2000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46">
        <v>46114</v>
      </c>
      <c r="AE11" s="14" t="s">
        <v>465</v>
      </c>
      <c r="AF11" s="19" t="s">
        <v>576</v>
      </c>
      <c r="AG11" s="34"/>
      <c r="AH11" s="34" t="s">
        <v>225</v>
      </c>
      <c r="AI11" s="34"/>
      <c r="AJ11" s="34"/>
      <c r="AK11" s="38"/>
      <c r="AL11" s="35"/>
      <c r="AM11" s="35"/>
      <c r="AN11" s="34"/>
      <c r="AO11" s="34"/>
      <c r="AP11" s="33"/>
      <c r="AQ11" s="34"/>
      <c r="AR11" s="35">
        <v>18</v>
      </c>
      <c r="AS11" s="34" t="s">
        <v>577</v>
      </c>
      <c r="AT11" s="14"/>
      <c r="AU11" s="11"/>
      <c r="AV11" s="14"/>
    </row>
    <row r="12" spans="1:49" s="121" customFormat="1" ht="15" x14ac:dyDescent="0.25">
      <c r="A12" s="109">
        <v>46083</v>
      </c>
      <c r="B12" s="109"/>
      <c r="C12" s="110" t="s">
        <v>49</v>
      </c>
      <c r="D12" s="111" t="s">
        <v>292</v>
      </c>
      <c r="E12" s="112"/>
      <c r="F12" s="113">
        <v>174</v>
      </c>
      <c r="G12" s="111" t="s">
        <v>50</v>
      </c>
      <c r="H12" s="114">
        <v>10447422951</v>
      </c>
      <c r="I12" s="115" t="str">
        <f>IF(H12="","",VLOOKUP(H12,ENTIDAD!$B$2:$C$613,2,0))</f>
        <v>ZEGARRA AZAÑERO JORGE KEY</v>
      </c>
      <c r="J12" s="116"/>
      <c r="K12" s="116"/>
      <c r="L12" s="116"/>
      <c r="M12" s="116"/>
      <c r="N12" s="117">
        <f t="shared" si="1"/>
        <v>0</v>
      </c>
      <c r="O12" s="117">
        <f t="shared" si="0"/>
        <v>0</v>
      </c>
      <c r="P12" s="116">
        <v>450</v>
      </c>
      <c r="Q12" s="116"/>
      <c r="R12" s="116"/>
      <c r="S12" s="116">
        <v>450</v>
      </c>
      <c r="T12" s="112"/>
      <c r="U12" s="112"/>
      <c r="V12" s="109"/>
      <c r="W12" s="118"/>
      <c r="X12" s="109"/>
      <c r="Y12" s="112"/>
      <c r="Z12" s="112"/>
      <c r="AA12" s="112"/>
      <c r="AB12" s="111" t="s">
        <v>224</v>
      </c>
      <c r="AC12" s="116"/>
      <c r="AD12" s="136">
        <v>46114</v>
      </c>
      <c r="AE12" s="127" t="s">
        <v>465</v>
      </c>
      <c r="AF12" s="119" t="s">
        <v>606</v>
      </c>
      <c r="AG12" s="112"/>
      <c r="AH12" s="112" t="s">
        <v>225</v>
      </c>
      <c r="AI12" s="112"/>
      <c r="AJ12" s="112"/>
      <c r="AK12" s="120"/>
      <c r="AL12" s="116"/>
      <c r="AM12" s="116"/>
      <c r="AN12" s="112"/>
      <c r="AO12" s="112"/>
      <c r="AP12" s="109"/>
      <c r="AQ12" s="112"/>
      <c r="AR12" s="116">
        <v>18</v>
      </c>
      <c r="AS12" s="112" t="s">
        <v>490</v>
      </c>
      <c r="AT12" s="112"/>
      <c r="AU12" s="116"/>
      <c r="AV12" s="112"/>
    </row>
    <row r="13" spans="1:49" s="45" customFormat="1" ht="15" x14ac:dyDescent="0.25">
      <c r="A13" s="13">
        <v>46083</v>
      </c>
      <c r="B13" s="13"/>
      <c r="C13" s="41" t="s">
        <v>49</v>
      </c>
      <c r="D13" s="42" t="s">
        <v>590</v>
      </c>
      <c r="E13" s="14"/>
      <c r="F13" s="71">
        <v>26256669</v>
      </c>
      <c r="G13" s="41" t="s">
        <v>50</v>
      </c>
      <c r="H13" s="31">
        <v>20100130204</v>
      </c>
      <c r="I13" s="43" t="str">
        <f>IF(H13="","",VLOOKUP(H13,ENTIDAD!$B$2:$C$613,2,0))</f>
        <v>BANCO BBVA PERU</v>
      </c>
      <c r="J13" s="11"/>
      <c r="K13" s="11"/>
      <c r="L13" s="11"/>
      <c r="M13" s="11"/>
      <c r="N13" s="44">
        <f t="shared" si="1"/>
        <v>0</v>
      </c>
      <c r="O13" s="44">
        <f t="shared" si="0"/>
        <v>0</v>
      </c>
      <c r="P13" s="11">
        <v>10</v>
      </c>
      <c r="Q13" s="11"/>
      <c r="R13" s="11"/>
      <c r="S13" s="11">
        <v>10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72">
        <v>46114</v>
      </c>
      <c r="AE13" s="14" t="s">
        <v>465</v>
      </c>
      <c r="AF13" s="19" t="s">
        <v>494</v>
      </c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495</v>
      </c>
      <c r="AT13" s="14"/>
      <c r="AU13" s="11"/>
      <c r="AV13" s="14"/>
    </row>
    <row r="14" spans="1:49" s="45" customFormat="1" ht="15" x14ac:dyDescent="0.25">
      <c r="A14" s="46">
        <v>46084</v>
      </c>
      <c r="B14" s="13"/>
      <c r="C14" s="41" t="s">
        <v>49</v>
      </c>
      <c r="D14" s="42" t="s">
        <v>538</v>
      </c>
      <c r="E14" s="14"/>
      <c r="F14" s="71">
        <v>880</v>
      </c>
      <c r="G14" s="42" t="s">
        <v>50</v>
      </c>
      <c r="H14" s="31">
        <v>20601012261</v>
      </c>
      <c r="I14" s="43" t="str">
        <f>IF(H14="","",VLOOKUP(H14,ENTIDAD!$B$2:$C$613,2,0))</f>
        <v>IMPORTADORA DE REPUESTOS LA ROCA E.I.R.L.</v>
      </c>
      <c r="J14" s="11"/>
      <c r="K14" s="11"/>
      <c r="L14" s="11"/>
      <c r="M14" s="11"/>
      <c r="N14" s="44">
        <f t="shared" si="1"/>
        <v>0</v>
      </c>
      <c r="O14" s="44">
        <f t="shared" si="0"/>
        <v>0</v>
      </c>
      <c r="P14" s="11">
        <v>50</v>
      </c>
      <c r="Q14" s="11"/>
      <c r="R14" s="11"/>
      <c r="S14" s="11">
        <v>50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46"/>
      <c r="AE14" s="14" t="s">
        <v>262</v>
      </c>
      <c r="AF14" s="19" t="s">
        <v>621</v>
      </c>
      <c r="AG14" s="34"/>
      <c r="AH14" s="34" t="s">
        <v>225</v>
      </c>
      <c r="AI14" s="34"/>
      <c r="AJ14" s="34"/>
      <c r="AK14" s="38"/>
      <c r="AL14" s="35"/>
      <c r="AM14" s="35"/>
      <c r="AN14" s="34"/>
      <c r="AO14" s="34"/>
      <c r="AP14" s="33"/>
      <c r="AQ14" s="34"/>
      <c r="AR14" s="35">
        <v>18</v>
      </c>
      <c r="AS14" s="34" t="s">
        <v>624</v>
      </c>
      <c r="AT14" s="14"/>
      <c r="AU14" s="11"/>
      <c r="AV14" s="14"/>
    </row>
    <row r="15" spans="1:49" s="45" customFormat="1" ht="15" x14ac:dyDescent="0.25">
      <c r="A15" s="13">
        <v>46084</v>
      </c>
      <c r="B15" s="13"/>
      <c r="C15" s="41" t="s">
        <v>49</v>
      </c>
      <c r="D15" s="42" t="s">
        <v>456</v>
      </c>
      <c r="E15" s="14"/>
      <c r="F15" s="71">
        <v>4872628</v>
      </c>
      <c r="G15" s="42" t="s">
        <v>50</v>
      </c>
      <c r="H15" s="31">
        <v>20100130204</v>
      </c>
      <c r="I15" s="43" t="str">
        <f>IF(H15="","",VLOOKUP(H15,ENTIDAD!$B$2:$C$613,2,0))</f>
        <v>BANCO BBVA PERU</v>
      </c>
      <c r="J15" s="11"/>
      <c r="K15" s="11"/>
      <c r="L15" s="11"/>
      <c r="M15" s="11"/>
      <c r="N15" s="44">
        <f t="shared" si="1"/>
        <v>0</v>
      </c>
      <c r="O15" s="44">
        <f t="shared" si="0"/>
        <v>0</v>
      </c>
      <c r="P15" s="11">
        <v>40</v>
      </c>
      <c r="Q15" s="11"/>
      <c r="R15" s="11"/>
      <c r="S15" s="11">
        <v>40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72">
        <v>46115</v>
      </c>
      <c r="AE15" s="14" t="s">
        <v>465</v>
      </c>
      <c r="AF15" s="19" t="s">
        <v>494</v>
      </c>
      <c r="AG15" s="14"/>
      <c r="AH15" s="14" t="s">
        <v>225</v>
      </c>
      <c r="AI15" s="14"/>
      <c r="AJ15" s="14"/>
      <c r="AK15" s="16"/>
      <c r="AL15" s="11"/>
      <c r="AM15" s="11"/>
      <c r="AN15" s="14"/>
      <c r="AO15" s="14"/>
      <c r="AP15" s="13"/>
      <c r="AQ15" s="14"/>
      <c r="AR15" s="11">
        <v>18</v>
      </c>
      <c r="AS15" s="14" t="s">
        <v>495</v>
      </c>
      <c r="AT15" s="14"/>
      <c r="AU15" s="11"/>
      <c r="AV15" s="14"/>
    </row>
    <row r="16" spans="1:49" s="45" customFormat="1" ht="15" x14ac:dyDescent="0.25">
      <c r="A16" s="13">
        <v>46084</v>
      </c>
      <c r="B16" s="13"/>
      <c r="C16" s="41" t="s">
        <v>49</v>
      </c>
      <c r="D16" s="42" t="s">
        <v>294</v>
      </c>
      <c r="E16" s="14"/>
      <c r="F16" s="71">
        <v>5209</v>
      </c>
      <c r="G16" s="41" t="s">
        <v>50</v>
      </c>
      <c r="H16" s="31">
        <v>10061702071</v>
      </c>
      <c r="I16" s="43" t="str">
        <f>IF(H16="","",VLOOKUP(H16,ENTIDAD!$B$2:$C$613,2,0))</f>
        <v>CORAL FLORES IVAN MARTIN</v>
      </c>
      <c r="J16" s="11"/>
      <c r="K16" s="11"/>
      <c r="L16" s="11"/>
      <c r="M16" s="11"/>
      <c r="N16" s="44">
        <f t="shared" si="1"/>
        <v>0</v>
      </c>
      <c r="O16" s="44">
        <f t="shared" si="0"/>
        <v>0</v>
      </c>
      <c r="P16" s="11">
        <v>190</v>
      </c>
      <c r="Q16" s="11"/>
      <c r="R16" s="11"/>
      <c r="S16" s="11">
        <v>190</v>
      </c>
      <c r="T16" s="14"/>
      <c r="U16" s="14"/>
      <c r="V16" s="13"/>
      <c r="W16" s="15"/>
      <c r="X16" s="13"/>
      <c r="Y16" s="14"/>
      <c r="Z16" s="14"/>
      <c r="AA16" s="14"/>
      <c r="AB16" s="42" t="s">
        <v>224</v>
      </c>
      <c r="AC16" s="11"/>
      <c r="AD16" s="72">
        <v>46115</v>
      </c>
      <c r="AE16" s="14" t="s">
        <v>465</v>
      </c>
      <c r="AF16" s="37" t="s">
        <v>597</v>
      </c>
      <c r="AG16" s="34" t="s">
        <v>513</v>
      </c>
      <c r="AH16" s="34" t="s">
        <v>225</v>
      </c>
      <c r="AI16" s="34"/>
      <c r="AJ16" s="34"/>
      <c r="AK16" s="38"/>
      <c r="AL16" s="35"/>
      <c r="AM16" s="35"/>
      <c r="AN16" s="34"/>
      <c r="AO16" s="34"/>
      <c r="AP16" s="33"/>
      <c r="AQ16" s="34"/>
      <c r="AR16" s="35">
        <v>18</v>
      </c>
      <c r="AS16" s="34" t="s">
        <v>514</v>
      </c>
      <c r="AT16" s="14"/>
      <c r="AU16" s="11"/>
      <c r="AV16" s="14"/>
    </row>
    <row r="17" spans="1:49" s="45" customFormat="1" ht="15" x14ac:dyDescent="0.25">
      <c r="A17" s="13">
        <v>46084</v>
      </c>
      <c r="B17" s="13"/>
      <c r="C17" s="41" t="s">
        <v>49</v>
      </c>
      <c r="D17" s="42" t="s">
        <v>294</v>
      </c>
      <c r="E17" s="14"/>
      <c r="F17" s="71">
        <v>5208</v>
      </c>
      <c r="G17" s="41" t="s">
        <v>50</v>
      </c>
      <c r="H17" s="31">
        <v>10061702071</v>
      </c>
      <c r="I17" s="43" t="str">
        <f>IF(H17="","",VLOOKUP(H17,ENTIDAD!$B$2:$C$613,2,0))</f>
        <v>CORAL FLORES IVAN MARTIN</v>
      </c>
      <c r="J17" s="11"/>
      <c r="K17" s="11"/>
      <c r="L17" s="11"/>
      <c r="M17" s="11"/>
      <c r="N17" s="44">
        <v>0</v>
      </c>
      <c r="O17" s="44">
        <f t="shared" si="0"/>
        <v>0</v>
      </c>
      <c r="P17" s="11">
        <v>150</v>
      </c>
      <c r="Q17" s="11"/>
      <c r="R17" s="11"/>
      <c r="S17" s="11">
        <v>150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72">
        <v>46115</v>
      </c>
      <c r="AE17" s="14" t="s">
        <v>465</v>
      </c>
      <c r="AF17" s="37" t="s">
        <v>597</v>
      </c>
      <c r="AG17" s="34" t="s">
        <v>513</v>
      </c>
      <c r="AH17" s="34" t="s">
        <v>225</v>
      </c>
      <c r="AI17" s="34"/>
      <c r="AJ17" s="34"/>
      <c r="AK17" s="38"/>
      <c r="AL17" s="35"/>
      <c r="AM17" s="35"/>
      <c r="AN17" s="34"/>
      <c r="AO17" s="34"/>
      <c r="AP17" s="33"/>
      <c r="AQ17" s="34"/>
      <c r="AR17" s="35">
        <v>18</v>
      </c>
      <c r="AS17" s="34" t="s">
        <v>514</v>
      </c>
      <c r="AT17" s="14"/>
      <c r="AU17" s="11"/>
      <c r="AV17" s="14"/>
    </row>
    <row r="18" spans="1:49" s="47" customFormat="1" ht="15" x14ac:dyDescent="0.25">
      <c r="A18" s="13">
        <v>46085</v>
      </c>
      <c r="B18" s="13"/>
      <c r="C18" s="41" t="s">
        <v>49</v>
      </c>
      <c r="D18" s="42" t="s">
        <v>299</v>
      </c>
      <c r="E18" s="14"/>
      <c r="F18" s="71">
        <v>3712044</v>
      </c>
      <c r="G18" s="42" t="s">
        <v>50</v>
      </c>
      <c r="H18" s="31">
        <v>20101973922</v>
      </c>
      <c r="I18" s="43" t="str">
        <f>IF(H18="","",VLOOKUP(H18,ENTIDAD!$B$2:$C$613,2,0))</f>
        <v>ASOCIACION AUTOMOTRIZ DEL PERU</v>
      </c>
      <c r="J18" s="11"/>
      <c r="K18" s="11"/>
      <c r="L18" s="11"/>
      <c r="M18" s="11"/>
      <c r="N18" s="44">
        <v>0</v>
      </c>
      <c r="O18" s="44">
        <f t="shared" si="0"/>
        <v>0</v>
      </c>
      <c r="P18" s="11">
        <v>0</v>
      </c>
      <c r="Q18" s="11"/>
      <c r="R18" s="11">
        <v>66.8</v>
      </c>
      <c r="S18" s="11">
        <v>66.8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72">
        <v>46116</v>
      </c>
      <c r="AE18" s="34" t="s">
        <v>465</v>
      </c>
      <c r="AF18" s="37" t="s">
        <v>550</v>
      </c>
      <c r="AG18" s="14" t="s">
        <v>513</v>
      </c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566</v>
      </c>
      <c r="AT18" s="14"/>
      <c r="AU18" s="11"/>
      <c r="AV18" s="14"/>
      <c r="AW18" s="45"/>
    </row>
    <row r="19" spans="1:49" s="45" customFormat="1" ht="15" x14ac:dyDescent="0.25">
      <c r="A19" s="13">
        <v>46085</v>
      </c>
      <c r="B19" s="13"/>
      <c r="C19" s="41" t="s">
        <v>49</v>
      </c>
      <c r="D19" s="42" t="s">
        <v>299</v>
      </c>
      <c r="E19" s="14"/>
      <c r="F19" s="71">
        <v>3712045</v>
      </c>
      <c r="G19" s="41" t="s">
        <v>50</v>
      </c>
      <c r="H19" s="31">
        <v>20101973922</v>
      </c>
      <c r="I19" s="43" t="str">
        <f>IF(H19="","",VLOOKUP(H19,ENTIDAD!$B$2:$C$613,2,0))</f>
        <v>ASOCIACION AUTOMOTRIZ DEL PERU</v>
      </c>
      <c r="J19" s="11"/>
      <c r="K19" s="11"/>
      <c r="L19" s="11"/>
      <c r="M19" s="11"/>
      <c r="N19" s="44">
        <v>0</v>
      </c>
      <c r="O19" s="44">
        <f t="shared" si="0"/>
        <v>0</v>
      </c>
      <c r="P19" s="11">
        <v>0</v>
      </c>
      <c r="Q19" s="11"/>
      <c r="R19" s="11">
        <v>66.8</v>
      </c>
      <c r="S19" s="11">
        <v>66.8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72">
        <v>46116</v>
      </c>
      <c r="AE19" s="34" t="s">
        <v>465</v>
      </c>
      <c r="AF19" s="37" t="s">
        <v>550</v>
      </c>
      <c r="AG19" s="14" t="s">
        <v>513</v>
      </c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566</v>
      </c>
      <c r="AT19" s="14"/>
      <c r="AU19" s="11"/>
      <c r="AV19" s="14"/>
    </row>
    <row r="20" spans="1:49" s="45" customFormat="1" ht="15" x14ac:dyDescent="0.25">
      <c r="A20" s="13">
        <v>46085</v>
      </c>
      <c r="B20" s="13"/>
      <c r="C20" s="41" t="s">
        <v>49</v>
      </c>
      <c r="D20" s="42" t="s">
        <v>299</v>
      </c>
      <c r="E20" s="14"/>
      <c r="F20" s="71">
        <v>3712046</v>
      </c>
      <c r="G20" s="42" t="s">
        <v>50</v>
      </c>
      <c r="H20" s="31">
        <v>20101973922</v>
      </c>
      <c r="I20" s="43" t="str">
        <f>IF(H20="","",VLOOKUP(H20,ENTIDAD!$B$2:$C$613,2,0))</f>
        <v>ASOCIACION AUTOMOTRIZ DEL PERU</v>
      </c>
      <c r="J20" s="11"/>
      <c r="K20" s="11"/>
      <c r="L20" s="11"/>
      <c r="M20" s="11"/>
      <c r="N20" s="44">
        <v>0</v>
      </c>
      <c r="O20" s="44">
        <f t="shared" si="0"/>
        <v>0</v>
      </c>
      <c r="P20" s="11">
        <v>0</v>
      </c>
      <c r="Q20" s="11"/>
      <c r="R20" s="11">
        <v>66.8</v>
      </c>
      <c r="S20" s="11">
        <v>66.8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72">
        <v>46116</v>
      </c>
      <c r="AE20" s="34" t="s">
        <v>465</v>
      </c>
      <c r="AF20" s="37" t="s">
        <v>550</v>
      </c>
      <c r="AG20" s="14" t="s">
        <v>513</v>
      </c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566</v>
      </c>
      <c r="AT20" s="14"/>
      <c r="AU20" s="11"/>
      <c r="AV20" s="14"/>
    </row>
    <row r="21" spans="1:49" s="45" customFormat="1" ht="15" x14ac:dyDescent="0.25">
      <c r="A21" s="13">
        <v>46085</v>
      </c>
      <c r="B21" s="13"/>
      <c r="C21" s="41" t="s">
        <v>49</v>
      </c>
      <c r="D21" s="42" t="s">
        <v>299</v>
      </c>
      <c r="E21" s="14"/>
      <c r="F21" s="71">
        <v>3712047</v>
      </c>
      <c r="G21" s="42" t="s">
        <v>50</v>
      </c>
      <c r="H21" s="31">
        <v>20101973922</v>
      </c>
      <c r="I21" s="43" t="str">
        <f>IF(H21="","",VLOOKUP(H21,ENTIDAD!$B$2:$C$613,2,0))</f>
        <v>ASOCIACION AUTOMOTRIZ DEL PERU</v>
      </c>
      <c r="J21" s="11"/>
      <c r="K21" s="11"/>
      <c r="L21" s="11"/>
      <c r="M21" s="11"/>
      <c r="N21" s="44">
        <v>0</v>
      </c>
      <c r="O21" s="44">
        <f t="shared" si="0"/>
        <v>0</v>
      </c>
      <c r="P21" s="11">
        <v>0</v>
      </c>
      <c r="Q21" s="11"/>
      <c r="R21" s="11">
        <v>66.8</v>
      </c>
      <c r="S21" s="11">
        <v>66.8</v>
      </c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72">
        <v>46116</v>
      </c>
      <c r="AE21" s="34" t="s">
        <v>465</v>
      </c>
      <c r="AF21" s="37" t="s">
        <v>550</v>
      </c>
      <c r="AG21" s="14" t="s">
        <v>513</v>
      </c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566</v>
      </c>
      <c r="AT21" s="14"/>
      <c r="AU21" s="11"/>
      <c r="AV21" s="14"/>
    </row>
    <row r="22" spans="1:49" s="47" customFormat="1" ht="15" x14ac:dyDescent="0.25">
      <c r="A22" s="13">
        <v>46085</v>
      </c>
      <c r="B22" s="13"/>
      <c r="C22" s="41" t="s">
        <v>49</v>
      </c>
      <c r="D22" s="42" t="s">
        <v>299</v>
      </c>
      <c r="E22" s="14"/>
      <c r="F22" s="71">
        <v>3712048</v>
      </c>
      <c r="G22" s="41" t="s">
        <v>50</v>
      </c>
      <c r="H22" s="31">
        <v>20101973922</v>
      </c>
      <c r="I22" s="43" t="str">
        <f>IF(H22="","",VLOOKUP(H22,ENTIDAD!$B$2:$C$613,2,0))</f>
        <v>ASOCIACION AUTOMOTRIZ DEL PERU</v>
      </c>
      <c r="J22" s="11"/>
      <c r="K22" s="11"/>
      <c r="L22" s="11"/>
      <c r="M22" s="11"/>
      <c r="N22" s="44">
        <v>0</v>
      </c>
      <c r="O22" s="44">
        <f t="shared" si="0"/>
        <v>0</v>
      </c>
      <c r="P22" s="11">
        <v>0</v>
      </c>
      <c r="Q22" s="11"/>
      <c r="R22" s="11">
        <v>66.8</v>
      </c>
      <c r="S22" s="11">
        <v>66.8</v>
      </c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72">
        <v>46116</v>
      </c>
      <c r="AE22" s="34" t="s">
        <v>465</v>
      </c>
      <c r="AF22" s="37" t="s">
        <v>550</v>
      </c>
      <c r="AG22" s="14" t="s">
        <v>513</v>
      </c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566</v>
      </c>
      <c r="AT22" s="14"/>
      <c r="AU22" s="11"/>
      <c r="AV22" s="14"/>
      <c r="AW22" s="45"/>
    </row>
    <row r="23" spans="1:49" s="107" customFormat="1" ht="15" x14ac:dyDescent="0.25">
      <c r="A23" s="13">
        <v>46085</v>
      </c>
      <c r="B23" s="13"/>
      <c r="C23" s="41" t="s">
        <v>49</v>
      </c>
      <c r="D23" s="42" t="s">
        <v>299</v>
      </c>
      <c r="E23" s="14"/>
      <c r="F23" s="71">
        <v>3712049</v>
      </c>
      <c r="G23" s="42" t="s">
        <v>50</v>
      </c>
      <c r="H23" s="31">
        <v>20101973922</v>
      </c>
      <c r="I23" s="43" t="str">
        <f>IF(H23="","",VLOOKUP(H23,ENTIDAD!$B$2:$C$613,2,0))</f>
        <v>ASOCIACION AUTOMOTRIZ DEL PERU</v>
      </c>
      <c r="J23" s="11"/>
      <c r="K23" s="11"/>
      <c r="L23" s="11"/>
      <c r="M23" s="11"/>
      <c r="N23" s="44">
        <v>0</v>
      </c>
      <c r="O23" s="44">
        <f t="shared" si="0"/>
        <v>0</v>
      </c>
      <c r="P23" s="11">
        <v>0</v>
      </c>
      <c r="Q23" s="11"/>
      <c r="R23" s="11">
        <v>66.8</v>
      </c>
      <c r="S23" s="11">
        <v>66.8</v>
      </c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72">
        <v>46116</v>
      </c>
      <c r="AE23" s="34" t="s">
        <v>465</v>
      </c>
      <c r="AF23" s="37" t="s">
        <v>550</v>
      </c>
      <c r="AG23" s="14" t="s">
        <v>513</v>
      </c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566</v>
      </c>
      <c r="AT23" s="14"/>
      <c r="AU23" s="11"/>
      <c r="AV23" s="14"/>
      <c r="AW23" s="45"/>
    </row>
    <row r="24" spans="1:49" s="45" customFormat="1" ht="15" x14ac:dyDescent="0.25">
      <c r="A24" s="13">
        <v>46085</v>
      </c>
      <c r="B24" s="13"/>
      <c r="C24" s="41" t="s">
        <v>49</v>
      </c>
      <c r="D24" s="42" t="s">
        <v>299</v>
      </c>
      <c r="E24" s="14"/>
      <c r="F24" s="71">
        <v>3712050</v>
      </c>
      <c r="G24" s="41" t="s">
        <v>50</v>
      </c>
      <c r="H24" s="31">
        <v>20101973922</v>
      </c>
      <c r="I24" s="43" t="str">
        <f>IF(H24="","",VLOOKUP(H24,ENTIDAD!$B$2:$C$613,2,0))</f>
        <v>ASOCIACION AUTOMOTRIZ DEL PERU</v>
      </c>
      <c r="J24" s="11"/>
      <c r="K24" s="11"/>
      <c r="L24" s="11"/>
      <c r="M24" s="11"/>
      <c r="N24" s="44">
        <v>0</v>
      </c>
      <c r="O24" s="44">
        <f t="shared" si="0"/>
        <v>0</v>
      </c>
      <c r="P24" s="11">
        <v>0</v>
      </c>
      <c r="Q24" s="11"/>
      <c r="R24" s="11">
        <v>66.8</v>
      </c>
      <c r="S24" s="11">
        <v>66.8</v>
      </c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72">
        <v>46116</v>
      </c>
      <c r="AE24" s="34" t="s">
        <v>465</v>
      </c>
      <c r="AF24" s="37" t="s">
        <v>550</v>
      </c>
      <c r="AG24" s="14" t="s">
        <v>513</v>
      </c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 t="s">
        <v>566</v>
      </c>
      <c r="AT24" s="14"/>
      <c r="AU24" s="11"/>
      <c r="AV24" s="14"/>
    </row>
    <row r="25" spans="1:49" s="45" customFormat="1" ht="15" x14ac:dyDescent="0.25">
      <c r="A25" s="13">
        <v>46085</v>
      </c>
      <c r="B25" s="13"/>
      <c r="C25" s="41" t="s">
        <v>49</v>
      </c>
      <c r="D25" s="42" t="s">
        <v>299</v>
      </c>
      <c r="E25" s="14"/>
      <c r="F25" s="71">
        <v>3712051</v>
      </c>
      <c r="G25" s="42" t="s">
        <v>50</v>
      </c>
      <c r="H25" s="31">
        <v>20101973922</v>
      </c>
      <c r="I25" s="43" t="str">
        <f>IF(H25="","",VLOOKUP(H25,ENTIDAD!$B$2:$C$613,2,0))</f>
        <v>ASOCIACION AUTOMOTRIZ DEL PERU</v>
      </c>
      <c r="J25" s="11"/>
      <c r="K25" s="11"/>
      <c r="L25" s="11"/>
      <c r="M25" s="11"/>
      <c r="N25" s="44">
        <v>0</v>
      </c>
      <c r="O25" s="44">
        <f t="shared" si="0"/>
        <v>0</v>
      </c>
      <c r="P25" s="11">
        <v>0</v>
      </c>
      <c r="Q25" s="11"/>
      <c r="R25" s="11">
        <v>66.8</v>
      </c>
      <c r="S25" s="11">
        <v>66.8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72">
        <v>46116</v>
      </c>
      <c r="AE25" s="34" t="s">
        <v>465</v>
      </c>
      <c r="AF25" s="37" t="s">
        <v>550</v>
      </c>
      <c r="AG25" s="14" t="s">
        <v>513</v>
      </c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566</v>
      </c>
      <c r="AT25" s="14"/>
      <c r="AU25" s="11"/>
      <c r="AV25" s="14"/>
    </row>
    <row r="26" spans="1:49" customFormat="1" ht="15" x14ac:dyDescent="0.25">
      <c r="A26" s="13">
        <v>46085</v>
      </c>
      <c r="B26" s="13"/>
      <c r="C26" s="70" t="s">
        <v>697</v>
      </c>
      <c r="D26" s="42" t="s">
        <v>299</v>
      </c>
      <c r="E26" s="14"/>
      <c r="F26" s="71">
        <v>3712052</v>
      </c>
      <c r="G26" s="42" t="s">
        <v>50</v>
      </c>
      <c r="H26" s="31">
        <v>20101973922</v>
      </c>
      <c r="I26" s="43" t="str">
        <f>IF(H26="","",VLOOKUP(H26,ENTIDAD!$B$2:$C$613,2,0))</f>
        <v>ASOCIACION AUTOMOTRIZ DEL PERU</v>
      </c>
      <c r="J26" s="11"/>
      <c r="K26" s="11"/>
      <c r="L26" s="11"/>
      <c r="M26" s="11"/>
      <c r="N26" s="44">
        <v>0</v>
      </c>
      <c r="O26" s="44">
        <f t="shared" si="0"/>
        <v>0</v>
      </c>
      <c r="P26" s="11">
        <v>0</v>
      </c>
      <c r="Q26" s="11"/>
      <c r="R26" s="11">
        <v>66.8</v>
      </c>
      <c r="S26" s="11">
        <v>66.8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72">
        <v>46116</v>
      </c>
      <c r="AE26" s="34" t="s">
        <v>465</v>
      </c>
      <c r="AF26" s="37" t="s">
        <v>550</v>
      </c>
      <c r="AG26" s="14" t="s">
        <v>513</v>
      </c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566</v>
      </c>
      <c r="AT26" s="14"/>
      <c r="AU26" s="11"/>
      <c r="AV26" s="14"/>
      <c r="AW26" s="45"/>
    </row>
    <row r="27" spans="1:49" s="45" customFormat="1" ht="15" x14ac:dyDescent="0.25">
      <c r="A27" s="13">
        <v>46085</v>
      </c>
      <c r="B27" s="13"/>
      <c r="C27" s="41" t="s">
        <v>49</v>
      </c>
      <c r="D27" s="42" t="s">
        <v>299</v>
      </c>
      <c r="E27" s="14"/>
      <c r="F27" s="71">
        <v>3712053</v>
      </c>
      <c r="G27" s="42" t="s">
        <v>50</v>
      </c>
      <c r="H27" s="31">
        <v>20101973922</v>
      </c>
      <c r="I27" s="43" t="str">
        <f>IF(H27="","",VLOOKUP(H27,ENTIDAD!$B$2:$C$613,2,0))</f>
        <v>ASOCIACION AUTOMOTRIZ DEL PERU</v>
      </c>
      <c r="J27" s="11"/>
      <c r="K27" s="11"/>
      <c r="L27" s="11"/>
      <c r="M27" s="11"/>
      <c r="N27" s="44">
        <v>0</v>
      </c>
      <c r="O27" s="44">
        <f t="shared" si="0"/>
        <v>0</v>
      </c>
      <c r="P27" s="11">
        <v>0</v>
      </c>
      <c r="Q27" s="11"/>
      <c r="R27" s="11">
        <v>66.8</v>
      </c>
      <c r="S27" s="11">
        <v>66.8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72">
        <v>46116</v>
      </c>
      <c r="AE27" s="34" t="s">
        <v>465</v>
      </c>
      <c r="AF27" s="37" t="s">
        <v>550</v>
      </c>
      <c r="AG27" s="14" t="s">
        <v>513</v>
      </c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566</v>
      </c>
      <c r="AT27" s="14"/>
      <c r="AU27" s="11"/>
      <c r="AV27" s="14"/>
    </row>
    <row r="28" spans="1:49" s="45" customFormat="1" ht="15" x14ac:dyDescent="0.25">
      <c r="A28" s="13">
        <v>46085</v>
      </c>
      <c r="B28" s="13"/>
      <c r="C28" s="41" t="s">
        <v>49</v>
      </c>
      <c r="D28" s="42" t="s">
        <v>299</v>
      </c>
      <c r="E28" s="14"/>
      <c r="F28" s="71">
        <v>3712054</v>
      </c>
      <c r="G28" s="42" t="s">
        <v>50</v>
      </c>
      <c r="H28" s="31">
        <v>20101973922</v>
      </c>
      <c r="I28" s="43" t="str">
        <f>IF(H28="","",VLOOKUP(H28,ENTIDAD!$B$2:$C$613,2,0))</f>
        <v>ASOCIACION AUTOMOTRIZ DEL PERU</v>
      </c>
      <c r="J28" s="11"/>
      <c r="K28" s="11"/>
      <c r="L28" s="11"/>
      <c r="M28" s="11"/>
      <c r="N28" s="44">
        <v>0</v>
      </c>
      <c r="O28" s="44">
        <f t="shared" si="0"/>
        <v>0</v>
      </c>
      <c r="P28" s="11">
        <v>0</v>
      </c>
      <c r="Q28" s="11"/>
      <c r="R28" s="11">
        <v>66.8</v>
      </c>
      <c r="S28" s="11">
        <v>66.8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72">
        <v>46116</v>
      </c>
      <c r="AE28" s="34" t="s">
        <v>465</v>
      </c>
      <c r="AF28" s="37" t="s">
        <v>550</v>
      </c>
      <c r="AG28" s="14" t="s">
        <v>513</v>
      </c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566</v>
      </c>
      <c r="AT28" s="14"/>
      <c r="AU28" s="11"/>
      <c r="AV28" s="14"/>
    </row>
    <row r="29" spans="1:49" s="45" customFormat="1" ht="15" x14ac:dyDescent="0.25">
      <c r="A29" s="13">
        <v>46085</v>
      </c>
      <c r="B29" s="13"/>
      <c r="C29" s="41" t="s">
        <v>49</v>
      </c>
      <c r="D29" s="42" t="s">
        <v>299</v>
      </c>
      <c r="E29" s="14"/>
      <c r="F29" s="71">
        <v>3712055</v>
      </c>
      <c r="G29" s="41" t="s">
        <v>50</v>
      </c>
      <c r="H29" s="31">
        <v>20101973922</v>
      </c>
      <c r="I29" s="43" t="str">
        <f>IF(H29="","",VLOOKUP(H29,ENTIDAD!$B$2:$C$613,2,0))</f>
        <v>ASOCIACION AUTOMOTRIZ DEL PERU</v>
      </c>
      <c r="J29" s="11"/>
      <c r="K29" s="11"/>
      <c r="L29" s="11"/>
      <c r="M29" s="11"/>
      <c r="N29" s="44">
        <v>0</v>
      </c>
      <c r="O29" s="44">
        <f t="shared" si="0"/>
        <v>0</v>
      </c>
      <c r="P29" s="11">
        <v>0</v>
      </c>
      <c r="Q29" s="11"/>
      <c r="R29" s="11">
        <v>66.8</v>
      </c>
      <c r="S29" s="11">
        <v>66.8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72">
        <v>46116</v>
      </c>
      <c r="AE29" s="34" t="s">
        <v>465</v>
      </c>
      <c r="AF29" s="37" t="s">
        <v>550</v>
      </c>
      <c r="AG29" s="14" t="s">
        <v>513</v>
      </c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566</v>
      </c>
      <c r="AT29" s="14"/>
      <c r="AU29" s="11"/>
      <c r="AV29" s="14"/>
    </row>
    <row r="30" spans="1:49" s="45" customFormat="1" ht="15" x14ac:dyDescent="0.25">
      <c r="A30" s="13">
        <v>46085</v>
      </c>
      <c r="B30" s="13"/>
      <c r="C30" s="41" t="s">
        <v>49</v>
      </c>
      <c r="D30" s="42" t="s">
        <v>299</v>
      </c>
      <c r="E30" s="14"/>
      <c r="F30" s="71">
        <v>3712056</v>
      </c>
      <c r="G30" s="42" t="s">
        <v>50</v>
      </c>
      <c r="H30" s="31">
        <v>20101973922</v>
      </c>
      <c r="I30" s="43" t="str">
        <f>IF(H30="","",VLOOKUP(H30,ENTIDAD!$B$2:$C$613,2,0))</f>
        <v>ASOCIACION AUTOMOTRIZ DEL PERU</v>
      </c>
      <c r="J30" s="11"/>
      <c r="K30" s="11"/>
      <c r="L30" s="11"/>
      <c r="M30" s="11"/>
      <c r="N30" s="44">
        <v>0</v>
      </c>
      <c r="O30" s="44">
        <f t="shared" si="0"/>
        <v>0</v>
      </c>
      <c r="P30" s="11">
        <v>0</v>
      </c>
      <c r="Q30" s="11"/>
      <c r="R30" s="11">
        <v>66.8</v>
      </c>
      <c r="S30" s="11">
        <v>66.8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72">
        <v>46116</v>
      </c>
      <c r="AE30" s="34" t="s">
        <v>465</v>
      </c>
      <c r="AF30" s="37" t="s">
        <v>550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566</v>
      </c>
      <c r="AT30" s="14"/>
      <c r="AU30" s="11"/>
      <c r="AV30" s="14"/>
    </row>
    <row r="31" spans="1:49" s="45" customFormat="1" ht="15" x14ac:dyDescent="0.25">
      <c r="A31" s="13">
        <v>46085</v>
      </c>
      <c r="B31" s="13"/>
      <c r="C31" s="41" t="s">
        <v>49</v>
      </c>
      <c r="D31" s="42" t="s">
        <v>299</v>
      </c>
      <c r="E31" s="14"/>
      <c r="F31" s="71">
        <v>3712057</v>
      </c>
      <c r="G31" s="41" t="s">
        <v>50</v>
      </c>
      <c r="H31" s="31">
        <v>20101973922</v>
      </c>
      <c r="I31" s="43" t="str">
        <f>IF(H31="","",VLOOKUP(H31,ENTIDAD!$B$2:$C$613,2,0))</f>
        <v>ASOCIACION AUTOMOTRIZ DEL PERU</v>
      </c>
      <c r="J31" s="11"/>
      <c r="K31" s="11"/>
      <c r="L31" s="11"/>
      <c r="M31" s="11"/>
      <c r="N31" s="44">
        <v>0</v>
      </c>
      <c r="O31" s="44">
        <f t="shared" si="0"/>
        <v>0</v>
      </c>
      <c r="P31" s="11">
        <v>0</v>
      </c>
      <c r="Q31" s="11"/>
      <c r="R31" s="11">
        <v>66.8</v>
      </c>
      <c r="S31" s="11">
        <v>66.8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72">
        <v>46116</v>
      </c>
      <c r="AE31" s="34" t="s">
        <v>465</v>
      </c>
      <c r="AF31" s="37" t="s">
        <v>550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566</v>
      </c>
      <c r="AT31" s="14"/>
      <c r="AU31" s="11"/>
      <c r="AV31" s="14"/>
    </row>
    <row r="32" spans="1:49" s="45" customFormat="1" ht="15" x14ac:dyDescent="0.25">
      <c r="A32" s="13">
        <v>46085</v>
      </c>
      <c r="B32" s="13"/>
      <c r="C32" s="41" t="s">
        <v>49</v>
      </c>
      <c r="D32" s="42" t="s">
        <v>299</v>
      </c>
      <c r="E32" s="14"/>
      <c r="F32" s="71">
        <v>3712058</v>
      </c>
      <c r="G32" s="42" t="s">
        <v>50</v>
      </c>
      <c r="H32" s="31">
        <v>20101973922</v>
      </c>
      <c r="I32" s="43" t="str">
        <f>IF(H32="","",VLOOKUP(H32,ENTIDAD!$B$2:$C$613,2,0))</f>
        <v>ASOCIACION AUTOMOTRIZ DEL PERU</v>
      </c>
      <c r="J32" s="11"/>
      <c r="K32" s="11"/>
      <c r="L32" s="11"/>
      <c r="M32" s="11"/>
      <c r="N32" s="44">
        <v>0</v>
      </c>
      <c r="O32" s="44">
        <f t="shared" si="0"/>
        <v>0</v>
      </c>
      <c r="P32" s="11">
        <v>0</v>
      </c>
      <c r="Q32" s="11"/>
      <c r="R32" s="11">
        <v>66.8</v>
      </c>
      <c r="S32" s="11">
        <v>66.8</v>
      </c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72">
        <v>46116</v>
      </c>
      <c r="AE32" s="34" t="s">
        <v>465</v>
      </c>
      <c r="AF32" s="37" t="s">
        <v>550</v>
      </c>
      <c r="AG32" s="14" t="s">
        <v>513</v>
      </c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566</v>
      </c>
      <c r="AT32" s="14"/>
      <c r="AU32" s="11"/>
      <c r="AV32" s="14"/>
    </row>
    <row r="33" spans="1:49" s="45" customFormat="1" ht="15" x14ac:dyDescent="0.25">
      <c r="A33" s="13">
        <v>46085</v>
      </c>
      <c r="B33" s="13"/>
      <c r="C33" s="41" t="s">
        <v>49</v>
      </c>
      <c r="D33" s="42" t="s">
        <v>299</v>
      </c>
      <c r="E33" s="14"/>
      <c r="F33" s="71">
        <v>3712059</v>
      </c>
      <c r="G33" s="41" t="s">
        <v>50</v>
      </c>
      <c r="H33" s="31">
        <v>20101973922</v>
      </c>
      <c r="I33" s="43" t="str">
        <f>IF(H33="","",VLOOKUP(H33,ENTIDAD!$B$2:$C$613,2,0))</f>
        <v>ASOCIACION AUTOMOTRIZ DEL PERU</v>
      </c>
      <c r="J33" s="11"/>
      <c r="K33" s="11"/>
      <c r="L33" s="11"/>
      <c r="M33" s="11"/>
      <c r="N33" s="44">
        <v>0</v>
      </c>
      <c r="O33" s="44">
        <f t="shared" si="0"/>
        <v>0</v>
      </c>
      <c r="P33" s="11">
        <v>0</v>
      </c>
      <c r="Q33" s="11"/>
      <c r="R33" s="11">
        <v>66.8</v>
      </c>
      <c r="S33" s="11">
        <v>66.8</v>
      </c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72">
        <v>46116</v>
      </c>
      <c r="AE33" s="34" t="s">
        <v>465</v>
      </c>
      <c r="AF33" s="37" t="s">
        <v>550</v>
      </c>
      <c r="AG33" s="14" t="s">
        <v>513</v>
      </c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566</v>
      </c>
      <c r="AT33" s="14"/>
      <c r="AU33" s="11"/>
      <c r="AV33" s="14"/>
    </row>
    <row r="34" spans="1:49" s="47" customFormat="1" ht="15" x14ac:dyDescent="0.25">
      <c r="A34" s="13">
        <v>46085</v>
      </c>
      <c r="B34" s="13"/>
      <c r="C34" s="41" t="s">
        <v>49</v>
      </c>
      <c r="D34" s="42" t="s">
        <v>299</v>
      </c>
      <c r="E34" s="14"/>
      <c r="F34" s="71">
        <v>3712060</v>
      </c>
      <c r="G34" s="42" t="s">
        <v>50</v>
      </c>
      <c r="H34" s="31">
        <v>20101973922</v>
      </c>
      <c r="I34" s="43" t="str">
        <f>IF(H34="","",VLOOKUP(H34,ENTIDAD!$B$2:$C$613,2,0))</f>
        <v>ASOCIACION AUTOMOTRIZ DEL PERU</v>
      </c>
      <c r="J34" s="11"/>
      <c r="K34" s="11"/>
      <c r="L34" s="11"/>
      <c r="M34" s="11"/>
      <c r="N34" s="44">
        <v>0</v>
      </c>
      <c r="O34" s="44">
        <f t="shared" si="0"/>
        <v>0</v>
      </c>
      <c r="P34" s="11">
        <v>0</v>
      </c>
      <c r="Q34" s="11"/>
      <c r="R34" s="11">
        <v>66.8</v>
      </c>
      <c r="S34" s="11">
        <v>66.8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72">
        <v>46116</v>
      </c>
      <c r="AE34" s="34" t="s">
        <v>465</v>
      </c>
      <c r="AF34" s="37" t="s">
        <v>550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566</v>
      </c>
      <c r="AT34" s="14"/>
      <c r="AU34" s="11"/>
      <c r="AV34" s="14"/>
      <c r="AW34" s="45"/>
    </row>
    <row r="35" spans="1:49" s="45" customFormat="1" ht="15" x14ac:dyDescent="0.25">
      <c r="A35" s="13">
        <v>46085</v>
      </c>
      <c r="B35" s="13"/>
      <c r="C35" s="41" t="s">
        <v>49</v>
      </c>
      <c r="D35" s="42" t="s">
        <v>299</v>
      </c>
      <c r="E35" s="14"/>
      <c r="F35" s="71">
        <v>3712061</v>
      </c>
      <c r="G35" s="41" t="s">
        <v>50</v>
      </c>
      <c r="H35" s="31">
        <v>20101973922</v>
      </c>
      <c r="I35" s="43" t="str">
        <f>IF(H35="","",VLOOKUP(H35,ENTIDAD!$B$2:$C$613,2,0))</f>
        <v>ASOCIACION AUTOMOTRIZ DEL PERU</v>
      </c>
      <c r="J35" s="11"/>
      <c r="K35" s="11"/>
      <c r="L35" s="11"/>
      <c r="M35" s="11"/>
      <c r="N35" s="44">
        <v>0</v>
      </c>
      <c r="O35" s="44">
        <f t="shared" si="0"/>
        <v>0</v>
      </c>
      <c r="P35" s="11">
        <v>0</v>
      </c>
      <c r="Q35" s="11"/>
      <c r="R35" s="11">
        <v>66.8</v>
      </c>
      <c r="S35" s="11">
        <v>66.8</v>
      </c>
      <c r="T35" s="14"/>
      <c r="U35" s="14"/>
      <c r="V35" s="13"/>
      <c r="W35" s="15"/>
      <c r="X35" s="13"/>
      <c r="Y35" s="14"/>
      <c r="Z35" s="14"/>
      <c r="AA35" s="14"/>
      <c r="AB35" s="42" t="s">
        <v>224</v>
      </c>
      <c r="AC35" s="11"/>
      <c r="AD35" s="72">
        <v>46116</v>
      </c>
      <c r="AE35" s="34" t="s">
        <v>465</v>
      </c>
      <c r="AF35" s="37" t="s">
        <v>550</v>
      </c>
      <c r="AG35" s="14" t="s">
        <v>513</v>
      </c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566</v>
      </c>
      <c r="AT35" s="14"/>
      <c r="AU35" s="11"/>
      <c r="AV35" s="14"/>
    </row>
    <row r="36" spans="1:49" s="45" customFormat="1" ht="15" x14ac:dyDescent="0.25">
      <c r="A36" s="13">
        <v>46085</v>
      </c>
      <c r="B36" s="13"/>
      <c r="C36" s="41" t="s">
        <v>49</v>
      </c>
      <c r="D36" s="42" t="s">
        <v>299</v>
      </c>
      <c r="E36" s="14"/>
      <c r="F36" s="71">
        <v>3712062</v>
      </c>
      <c r="G36" s="42" t="s">
        <v>50</v>
      </c>
      <c r="H36" s="31">
        <v>20101973922</v>
      </c>
      <c r="I36" s="43" t="str">
        <f>IF(H36="","",VLOOKUP(H36,ENTIDAD!$B$2:$C$613,2,0))</f>
        <v>ASOCIACION AUTOMOTRIZ DEL PERU</v>
      </c>
      <c r="J36" s="11"/>
      <c r="K36" s="11"/>
      <c r="L36" s="11"/>
      <c r="M36" s="11"/>
      <c r="N36" s="44">
        <v>0</v>
      </c>
      <c r="O36" s="44">
        <f t="shared" ref="O36:O67" si="2">N36*0.18</f>
        <v>0</v>
      </c>
      <c r="P36" s="11">
        <v>0</v>
      </c>
      <c r="Q36" s="11"/>
      <c r="R36" s="11">
        <v>66.8</v>
      </c>
      <c r="S36" s="11">
        <v>66.8</v>
      </c>
      <c r="T36" s="14"/>
      <c r="U36" s="14"/>
      <c r="V36" s="13"/>
      <c r="W36" s="15"/>
      <c r="X36" s="13"/>
      <c r="Y36" s="14"/>
      <c r="Z36" s="14"/>
      <c r="AA36" s="14"/>
      <c r="AB36" s="42" t="s">
        <v>224</v>
      </c>
      <c r="AC36" s="11"/>
      <c r="AD36" s="72">
        <v>46116</v>
      </c>
      <c r="AE36" s="34" t="s">
        <v>465</v>
      </c>
      <c r="AF36" s="37" t="s">
        <v>550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4"/>
      <c r="AU36" s="11"/>
      <c r="AV36" s="14"/>
    </row>
    <row r="37" spans="1:49" s="45" customFormat="1" ht="15" x14ac:dyDescent="0.25">
      <c r="A37" s="13">
        <v>46085</v>
      </c>
      <c r="B37" s="13"/>
      <c r="C37" s="41" t="s">
        <v>49</v>
      </c>
      <c r="D37" s="42" t="s">
        <v>299</v>
      </c>
      <c r="E37" s="14"/>
      <c r="F37" s="71">
        <v>3712063</v>
      </c>
      <c r="G37" s="41" t="s">
        <v>50</v>
      </c>
      <c r="H37" s="31">
        <v>20101973922</v>
      </c>
      <c r="I37" s="43" t="str">
        <f>IF(H37="","",VLOOKUP(H37,ENTIDAD!$B$2:$C$613,2,0))</f>
        <v>ASOCIACION AUTOMOTRIZ DEL PERU</v>
      </c>
      <c r="J37" s="11"/>
      <c r="K37" s="11"/>
      <c r="L37" s="11"/>
      <c r="M37" s="11"/>
      <c r="N37" s="44">
        <v>0</v>
      </c>
      <c r="O37" s="44">
        <f t="shared" si="2"/>
        <v>0</v>
      </c>
      <c r="P37" s="11">
        <v>0</v>
      </c>
      <c r="Q37" s="11"/>
      <c r="R37" s="11">
        <v>66.8</v>
      </c>
      <c r="S37" s="11">
        <v>66.8</v>
      </c>
      <c r="T37" s="14"/>
      <c r="U37" s="14"/>
      <c r="V37" s="13"/>
      <c r="W37" s="15"/>
      <c r="X37" s="13"/>
      <c r="Y37" s="14"/>
      <c r="Z37" s="14"/>
      <c r="AA37" s="14"/>
      <c r="AB37" s="42" t="s">
        <v>224</v>
      </c>
      <c r="AC37" s="11"/>
      <c r="AD37" s="72">
        <v>46116</v>
      </c>
      <c r="AE37" s="34" t="s">
        <v>465</v>
      </c>
      <c r="AF37" s="37" t="s">
        <v>550</v>
      </c>
      <c r="AG37" s="14" t="s">
        <v>513</v>
      </c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566</v>
      </c>
      <c r="AT37" s="14"/>
      <c r="AU37" s="11"/>
      <c r="AV37" s="14"/>
    </row>
    <row r="38" spans="1:49" s="45" customFormat="1" ht="15" x14ac:dyDescent="0.25">
      <c r="A38" s="74">
        <v>46086</v>
      </c>
      <c r="B38" s="26"/>
      <c r="C38" s="75" t="s">
        <v>49</v>
      </c>
      <c r="D38" s="76" t="s">
        <v>613</v>
      </c>
      <c r="E38" s="27"/>
      <c r="F38" s="86">
        <v>1325589</v>
      </c>
      <c r="G38" s="76" t="s">
        <v>50</v>
      </c>
      <c r="H38" s="32">
        <v>20100047218</v>
      </c>
      <c r="I38" s="78" t="str">
        <f>IF(H38="","",VLOOKUP(H38,ENTIDAD!$B$2:$C$613,2,0))</f>
        <v>BANCO DE CREDITO DEL PERU</v>
      </c>
      <c r="J38" s="28"/>
      <c r="K38" s="28"/>
      <c r="L38" s="28"/>
      <c r="M38" s="28"/>
      <c r="N38" s="79">
        <f>(S38-P38)/1.18</f>
        <v>0</v>
      </c>
      <c r="O38" s="79">
        <f t="shared" si="2"/>
        <v>0</v>
      </c>
      <c r="P38" s="28">
        <v>143.5</v>
      </c>
      <c r="Q38" s="28"/>
      <c r="R38" s="28"/>
      <c r="S38" s="28">
        <v>143.5</v>
      </c>
      <c r="T38" s="27"/>
      <c r="U38" s="27"/>
      <c r="V38" s="26"/>
      <c r="W38" s="80"/>
      <c r="X38" s="26"/>
      <c r="Y38" s="27"/>
      <c r="Z38" s="27"/>
      <c r="AA38" s="27"/>
      <c r="AB38" s="76" t="s">
        <v>224</v>
      </c>
      <c r="AC38" s="28"/>
      <c r="AD38" s="74"/>
      <c r="AE38" s="27" t="s">
        <v>262</v>
      </c>
      <c r="AF38" s="29"/>
      <c r="AG38" s="27"/>
      <c r="AH38" s="27" t="s">
        <v>225</v>
      </c>
      <c r="AI38" s="27"/>
      <c r="AJ38" s="27"/>
      <c r="AK38" s="30"/>
      <c r="AL38" s="28"/>
      <c r="AM38" s="28"/>
      <c r="AN38" s="27"/>
      <c r="AO38" s="27"/>
      <c r="AP38" s="26"/>
      <c r="AQ38" s="27"/>
      <c r="AR38" s="28">
        <v>18</v>
      </c>
      <c r="AS38" s="27"/>
      <c r="AT38" s="27"/>
      <c r="AU38" s="28"/>
      <c r="AV38" s="27"/>
      <c r="AW38" s="81"/>
    </row>
    <row r="39" spans="1:49" s="45" customFormat="1" ht="15" x14ac:dyDescent="0.25">
      <c r="A39" s="46">
        <v>46086</v>
      </c>
      <c r="B39" s="13"/>
      <c r="C39" s="41" t="s">
        <v>49</v>
      </c>
      <c r="D39" s="42" t="s">
        <v>294</v>
      </c>
      <c r="E39" s="14"/>
      <c r="F39" s="71">
        <v>274</v>
      </c>
      <c r="G39" s="41" t="s">
        <v>50</v>
      </c>
      <c r="H39" s="31">
        <v>20613928830</v>
      </c>
      <c r="I39" s="43" t="str">
        <f>IF(H39="","",VLOOKUP(H39,ENTIDAD!$B$2:$C$613,2,0))</f>
        <v>EE.SS. TORRES EMPRESA INDIVIDUAL DE RESPONSABILIDAD LIMITADA</v>
      </c>
      <c r="J39" s="11"/>
      <c r="K39" s="11"/>
      <c r="L39" s="11"/>
      <c r="M39" s="11"/>
      <c r="N39" s="44">
        <f>(S39-P39)/1.18</f>
        <v>0</v>
      </c>
      <c r="O39" s="44">
        <f t="shared" si="2"/>
        <v>0</v>
      </c>
      <c r="P39" s="11">
        <v>10</v>
      </c>
      <c r="Q39" s="11"/>
      <c r="R39" s="11"/>
      <c r="S39" s="11">
        <v>10</v>
      </c>
      <c r="T39" s="14"/>
      <c r="U39" s="14"/>
      <c r="V39" s="13"/>
      <c r="W39" s="15"/>
      <c r="X39" s="13"/>
      <c r="Y39" s="14"/>
      <c r="Z39" s="14"/>
      <c r="AA39" s="14"/>
      <c r="AB39" s="42" t="s">
        <v>224</v>
      </c>
      <c r="AC39" s="11"/>
      <c r="AD39" s="46"/>
      <c r="AE39" s="14" t="s">
        <v>262</v>
      </c>
      <c r="AF39" s="19" t="s">
        <v>486</v>
      </c>
      <c r="AG39" s="14"/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487</v>
      </c>
      <c r="AT39" s="14"/>
      <c r="AU39" s="11"/>
      <c r="AV39" s="14"/>
    </row>
    <row r="40" spans="1:49" s="45" customFormat="1" ht="15" x14ac:dyDescent="0.25">
      <c r="A40" s="46">
        <v>46087</v>
      </c>
      <c r="B40" s="13"/>
      <c r="C40" s="41" t="s">
        <v>49</v>
      </c>
      <c r="D40" s="42" t="s">
        <v>440</v>
      </c>
      <c r="E40" s="14"/>
      <c r="F40" s="71">
        <v>2766087</v>
      </c>
      <c r="G40" s="42" t="s">
        <v>50</v>
      </c>
      <c r="H40" s="31">
        <v>20100047218</v>
      </c>
      <c r="I40" s="43" t="str">
        <f>IF(H40="","",VLOOKUP(H40,ENTIDAD!$B$2:$C$613,2,0))</f>
        <v>BANCO DE CREDITO DEL PERU</v>
      </c>
      <c r="J40" s="11"/>
      <c r="K40" s="11"/>
      <c r="L40" s="11"/>
      <c r="M40" s="11"/>
      <c r="N40" s="44">
        <f>(S40-P40)/1.18</f>
        <v>0</v>
      </c>
      <c r="O40" s="44">
        <f t="shared" si="2"/>
        <v>0</v>
      </c>
      <c r="P40" s="11">
        <v>120.12</v>
      </c>
      <c r="Q40" s="11"/>
      <c r="R40" s="11"/>
      <c r="S40" s="11">
        <f>W40*AC40</f>
        <v>120.12</v>
      </c>
      <c r="T40" s="14"/>
      <c r="U40" s="14"/>
      <c r="V40" s="13"/>
      <c r="W40" s="15">
        <v>3.4319999999999999</v>
      </c>
      <c r="X40" s="13"/>
      <c r="Y40" s="14"/>
      <c r="Z40" s="14"/>
      <c r="AA40" s="14"/>
      <c r="AB40" s="42" t="s">
        <v>383</v>
      </c>
      <c r="AC40" s="11">
        <v>35</v>
      </c>
      <c r="AD40" s="46">
        <v>46118</v>
      </c>
      <c r="AE40" s="14" t="s">
        <v>465</v>
      </c>
      <c r="AF40" s="19" t="s">
        <v>494</v>
      </c>
      <c r="AG40" s="14"/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495</v>
      </c>
      <c r="AT40" s="14"/>
      <c r="AU40" s="11"/>
      <c r="AV40" s="14"/>
    </row>
    <row r="41" spans="1:49" s="45" customFormat="1" ht="15" x14ac:dyDescent="0.25">
      <c r="A41" s="46">
        <v>46088</v>
      </c>
      <c r="B41" s="13"/>
      <c r="C41" s="41" t="s">
        <v>49</v>
      </c>
      <c r="D41" s="42" t="s">
        <v>442</v>
      </c>
      <c r="E41" s="14"/>
      <c r="F41" s="71">
        <v>18900536</v>
      </c>
      <c r="G41" s="41" t="s">
        <v>50</v>
      </c>
      <c r="H41" s="31">
        <v>20100047218</v>
      </c>
      <c r="I41" s="43" t="str">
        <f>IF(H41="","",VLOOKUP(H41,ENTIDAD!$B$2:$C$613,2,0))</f>
        <v>BANCO DE CREDITO DEL PERU</v>
      </c>
      <c r="J41" s="11"/>
      <c r="K41" s="11"/>
      <c r="L41" s="11"/>
      <c r="M41" s="11"/>
      <c r="N41" s="44">
        <f>(S41-P41)/1.18</f>
        <v>0</v>
      </c>
      <c r="O41" s="44">
        <f t="shared" si="2"/>
        <v>0</v>
      </c>
      <c r="P41" s="11">
        <v>566.5</v>
      </c>
      <c r="Q41" s="11"/>
      <c r="R41" s="11"/>
      <c r="S41" s="11">
        <v>566.5</v>
      </c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46">
        <v>46119</v>
      </c>
      <c r="AE41" s="14" t="s">
        <v>465</v>
      </c>
      <c r="AF41" s="19" t="s">
        <v>494</v>
      </c>
      <c r="AG41" s="14"/>
      <c r="AH41" s="14" t="s">
        <v>225</v>
      </c>
      <c r="AI41" s="14"/>
      <c r="AJ41" s="14"/>
      <c r="AK41" s="16"/>
      <c r="AL41" s="11"/>
      <c r="AM41" s="11"/>
      <c r="AN41" s="14"/>
      <c r="AO41" s="14"/>
      <c r="AP41" s="13"/>
      <c r="AQ41" s="14"/>
      <c r="AR41" s="11">
        <v>18</v>
      </c>
      <c r="AS41" s="14" t="s">
        <v>495</v>
      </c>
      <c r="AT41" s="14"/>
      <c r="AU41" s="11"/>
      <c r="AV41" s="14"/>
    </row>
    <row r="42" spans="1:49" s="45" customFormat="1" ht="15" x14ac:dyDescent="0.25">
      <c r="A42" s="46">
        <v>46088</v>
      </c>
      <c r="B42" s="13"/>
      <c r="C42" s="41" t="s">
        <v>49</v>
      </c>
      <c r="D42" s="42" t="s">
        <v>299</v>
      </c>
      <c r="E42" s="14"/>
      <c r="F42" s="71">
        <v>3719364</v>
      </c>
      <c r="G42" s="42" t="s">
        <v>50</v>
      </c>
      <c r="H42" s="31">
        <v>20101973922</v>
      </c>
      <c r="I42" s="43" t="str">
        <f>IF(H42="","",VLOOKUP(H42,ENTIDAD!$B$2:$C$613,2,0))</f>
        <v>ASOCIACION AUTOMOTRIZ DEL PERU</v>
      </c>
      <c r="J42" s="11"/>
      <c r="K42" s="11"/>
      <c r="L42" s="11"/>
      <c r="M42" s="11"/>
      <c r="N42" s="44">
        <v>0</v>
      </c>
      <c r="O42" s="44">
        <f t="shared" si="2"/>
        <v>0</v>
      </c>
      <c r="P42" s="11">
        <v>0</v>
      </c>
      <c r="Q42" s="11"/>
      <c r="R42" s="11">
        <v>66.8</v>
      </c>
      <c r="S42" s="11">
        <v>66.8</v>
      </c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72">
        <v>46119</v>
      </c>
      <c r="AE42" s="34" t="s">
        <v>465</v>
      </c>
      <c r="AF42" s="37" t="s">
        <v>597</v>
      </c>
      <c r="AG42" s="14" t="s">
        <v>513</v>
      </c>
      <c r="AH42" s="14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 t="s">
        <v>566</v>
      </c>
      <c r="AT42" s="14"/>
      <c r="AU42" s="11"/>
      <c r="AV42" s="14"/>
    </row>
    <row r="43" spans="1:49" s="45" customFormat="1" ht="15" x14ac:dyDescent="0.25">
      <c r="A43" s="46">
        <v>46088</v>
      </c>
      <c r="B43" s="13"/>
      <c r="C43" s="41" t="s">
        <v>49</v>
      </c>
      <c r="D43" s="42" t="s">
        <v>299</v>
      </c>
      <c r="E43" s="14"/>
      <c r="F43" s="71">
        <v>3719365</v>
      </c>
      <c r="G43" s="41" t="s">
        <v>50</v>
      </c>
      <c r="H43" s="31">
        <v>20101973922</v>
      </c>
      <c r="I43" s="43" t="str">
        <f>IF(H43="","",VLOOKUP(H43,ENTIDAD!$B$2:$C$613,2,0))</f>
        <v>ASOCIACION AUTOMOTRIZ DEL PERU</v>
      </c>
      <c r="J43" s="11"/>
      <c r="K43" s="11"/>
      <c r="L43" s="11"/>
      <c r="M43" s="11"/>
      <c r="N43" s="44">
        <v>0</v>
      </c>
      <c r="O43" s="44">
        <f t="shared" si="2"/>
        <v>0</v>
      </c>
      <c r="P43" s="11">
        <v>0</v>
      </c>
      <c r="Q43" s="11"/>
      <c r="R43" s="11">
        <v>66.8</v>
      </c>
      <c r="S43" s="11">
        <v>66.8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72">
        <v>46119</v>
      </c>
      <c r="AE43" s="34" t="s">
        <v>465</v>
      </c>
      <c r="AF43" s="37" t="s">
        <v>597</v>
      </c>
      <c r="AG43" s="14" t="s">
        <v>513</v>
      </c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566</v>
      </c>
      <c r="AT43" s="14"/>
      <c r="AU43" s="11"/>
      <c r="AV43" s="14"/>
    </row>
    <row r="44" spans="1:49" s="45" customFormat="1" ht="15" x14ac:dyDescent="0.25">
      <c r="A44" s="46">
        <v>46088</v>
      </c>
      <c r="B44" s="13"/>
      <c r="C44" s="41" t="s">
        <v>49</v>
      </c>
      <c r="D44" s="42" t="s">
        <v>299</v>
      </c>
      <c r="E44" s="14"/>
      <c r="F44" s="71">
        <v>3719366</v>
      </c>
      <c r="G44" s="42" t="s">
        <v>50</v>
      </c>
      <c r="H44" s="31">
        <v>20101973922</v>
      </c>
      <c r="I44" s="43" t="str">
        <f>IF(H44="","",VLOOKUP(H44,ENTIDAD!$B$2:$C$613,2,0))</f>
        <v>ASOCIACION AUTOMOTRIZ DEL PERU</v>
      </c>
      <c r="J44" s="11"/>
      <c r="K44" s="11"/>
      <c r="L44" s="11"/>
      <c r="M44" s="11"/>
      <c r="N44" s="44">
        <v>0</v>
      </c>
      <c r="O44" s="44">
        <f t="shared" si="2"/>
        <v>0</v>
      </c>
      <c r="P44" s="11">
        <v>0</v>
      </c>
      <c r="Q44" s="11"/>
      <c r="R44" s="11">
        <v>66.8</v>
      </c>
      <c r="S44" s="11">
        <v>66.8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72">
        <v>46119</v>
      </c>
      <c r="AE44" s="34" t="s">
        <v>465</v>
      </c>
      <c r="AF44" s="37" t="s">
        <v>597</v>
      </c>
      <c r="AG44" s="14" t="s">
        <v>513</v>
      </c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566</v>
      </c>
      <c r="AT44" s="14"/>
      <c r="AU44" s="11"/>
      <c r="AV44" s="14"/>
    </row>
    <row r="45" spans="1:49" s="45" customFormat="1" ht="15" x14ac:dyDescent="0.25">
      <c r="A45" s="46">
        <v>46088</v>
      </c>
      <c r="B45" s="13"/>
      <c r="C45" s="41" t="s">
        <v>49</v>
      </c>
      <c r="D45" s="42" t="s">
        <v>299</v>
      </c>
      <c r="E45" s="14"/>
      <c r="F45" s="71">
        <v>3719367</v>
      </c>
      <c r="G45" s="41" t="s">
        <v>50</v>
      </c>
      <c r="H45" s="31">
        <v>20101973922</v>
      </c>
      <c r="I45" s="43" t="str">
        <f>IF(H45="","",VLOOKUP(H45,ENTIDAD!$B$2:$C$613,2,0))</f>
        <v>ASOCIACION AUTOMOTRIZ DEL PERU</v>
      </c>
      <c r="J45" s="11"/>
      <c r="K45" s="11"/>
      <c r="L45" s="11"/>
      <c r="M45" s="11"/>
      <c r="N45" s="44">
        <v>0</v>
      </c>
      <c r="O45" s="44">
        <f t="shared" si="2"/>
        <v>0</v>
      </c>
      <c r="P45" s="11">
        <v>0</v>
      </c>
      <c r="Q45" s="11"/>
      <c r="R45" s="11">
        <v>66.8</v>
      </c>
      <c r="S45" s="11">
        <v>66.8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72">
        <v>46119</v>
      </c>
      <c r="AE45" s="34" t="s">
        <v>465</v>
      </c>
      <c r="AF45" s="37" t="s">
        <v>550</v>
      </c>
      <c r="AG45" s="14" t="s">
        <v>513</v>
      </c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566</v>
      </c>
      <c r="AT45" s="14"/>
      <c r="AU45" s="11"/>
      <c r="AV45" s="14"/>
    </row>
    <row r="46" spans="1:49" s="45" customFormat="1" ht="15" x14ac:dyDescent="0.25">
      <c r="A46" s="46">
        <v>46088</v>
      </c>
      <c r="B46" s="13"/>
      <c r="C46" s="41" t="s">
        <v>49</v>
      </c>
      <c r="D46" s="42" t="s">
        <v>299</v>
      </c>
      <c r="E46" s="14"/>
      <c r="F46" s="71">
        <v>3719368</v>
      </c>
      <c r="G46" s="42" t="s">
        <v>50</v>
      </c>
      <c r="H46" s="31">
        <v>20101973922</v>
      </c>
      <c r="I46" s="43" t="str">
        <f>IF(H46="","",VLOOKUP(H46,ENTIDAD!$B$2:$C$613,2,0))</f>
        <v>ASOCIACION AUTOMOTRIZ DEL PERU</v>
      </c>
      <c r="J46" s="11"/>
      <c r="K46" s="11"/>
      <c r="L46" s="11"/>
      <c r="M46" s="11"/>
      <c r="N46" s="44">
        <v>0</v>
      </c>
      <c r="O46" s="44">
        <f t="shared" si="2"/>
        <v>0</v>
      </c>
      <c r="P46" s="11">
        <v>0</v>
      </c>
      <c r="Q46" s="11"/>
      <c r="R46" s="11">
        <v>66.8</v>
      </c>
      <c r="S46" s="11">
        <v>66.8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72">
        <v>46119</v>
      </c>
      <c r="AE46" s="34" t="s">
        <v>465</v>
      </c>
      <c r="AF46" s="37" t="s">
        <v>550</v>
      </c>
      <c r="AG46" s="14" t="s">
        <v>513</v>
      </c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566</v>
      </c>
      <c r="AT46" s="14"/>
      <c r="AU46" s="11"/>
      <c r="AV46" s="14"/>
    </row>
    <row r="47" spans="1:49" s="45" customFormat="1" ht="15" x14ac:dyDescent="0.25">
      <c r="A47" s="46">
        <v>46088</v>
      </c>
      <c r="B47" s="13"/>
      <c r="C47" s="41" t="s">
        <v>49</v>
      </c>
      <c r="D47" s="42" t="s">
        <v>299</v>
      </c>
      <c r="E47" s="14"/>
      <c r="F47" s="71">
        <v>3719369</v>
      </c>
      <c r="G47" s="42" t="s">
        <v>50</v>
      </c>
      <c r="H47" s="31">
        <v>20101973922</v>
      </c>
      <c r="I47" s="43" t="str">
        <f>IF(H47="","",VLOOKUP(H47,ENTIDAD!$B$2:$C$613,2,0))</f>
        <v>ASOCIACION AUTOMOTRIZ DEL PERU</v>
      </c>
      <c r="J47" s="11"/>
      <c r="K47" s="11"/>
      <c r="L47" s="11"/>
      <c r="M47" s="11"/>
      <c r="N47" s="44">
        <v>0</v>
      </c>
      <c r="O47" s="44">
        <f t="shared" si="2"/>
        <v>0</v>
      </c>
      <c r="P47" s="11">
        <v>0</v>
      </c>
      <c r="Q47" s="11"/>
      <c r="R47" s="11">
        <v>66.8</v>
      </c>
      <c r="S47" s="11">
        <v>66.8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72">
        <v>46119</v>
      </c>
      <c r="AE47" s="34" t="s">
        <v>465</v>
      </c>
      <c r="AF47" s="37" t="s">
        <v>550</v>
      </c>
      <c r="AG47" s="14" t="s">
        <v>513</v>
      </c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566</v>
      </c>
      <c r="AT47" s="14"/>
      <c r="AU47" s="11"/>
      <c r="AV47" s="14"/>
    </row>
    <row r="48" spans="1:49" s="45" customFormat="1" ht="15" x14ac:dyDescent="0.25">
      <c r="A48" s="46">
        <v>46088</v>
      </c>
      <c r="B48" s="13"/>
      <c r="C48" s="41" t="s">
        <v>49</v>
      </c>
      <c r="D48" s="42" t="s">
        <v>299</v>
      </c>
      <c r="E48" s="14"/>
      <c r="F48" s="71">
        <v>3719370</v>
      </c>
      <c r="G48" s="41" t="s">
        <v>50</v>
      </c>
      <c r="H48" s="31">
        <v>20101973922</v>
      </c>
      <c r="I48" s="43" t="str">
        <f>IF(H48="","",VLOOKUP(H48,ENTIDAD!$B$2:$C$613,2,0))</f>
        <v>ASOCIACION AUTOMOTRIZ DEL PERU</v>
      </c>
      <c r="J48" s="11"/>
      <c r="K48" s="11"/>
      <c r="L48" s="11"/>
      <c r="M48" s="11"/>
      <c r="N48" s="44">
        <v>0</v>
      </c>
      <c r="O48" s="44">
        <f t="shared" si="2"/>
        <v>0</v>
      </c>
      <c r="P48" s="11">
        <v>0</v>
      </c>
      <c r="Q48" s="11"/>
      <c r="R48" s="11">
        <v>66.8</v>
      </c>
      <c r="S48" s="11">
        <v>66.8</v>
      </c>
      <c r="T48" s="14"/>
      <c r="U48" s="14"/>
      <c r="V48" s="13"/>
      <c r="W48" s="15"/>
      <c r="X48" s="13"/>
      <c r="Y48" s="14"/>
      <c r="Z48" s="14"/>
      <c r="AA48" s="14"/>
      <c r="AB48" s="42" t="s">
        <v>224</v>
      </c>
      <c r="AC48" s="11"/>
      <c r="AD48" s="72">
        <v>46119</v>
      </c>
      <c r="AE48" s="34" t="s">
        <v>465</v>
      </c>
      <c r="AF48" s="37" t="s">
        <v>550</v>
      </c>
      <c r="AG48" s="14" t="s">
        <v>513</v>
      </c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566</v>
      </c>
      <c r="AT48" s="14"/>
      <c r="AU48" s="11"/>
      <c r="AV48" s="14"/>
    </row>
    <row r="49" spans="1:49" s="45" customFormat="1" ht="15" x14ac:dyDescent="0.25">
      <c r="A49" s="46">
        <v>46088</v>
      </c>
      <c r="B49" s="13"/>
      <c r="C49" s="41" t="s">
        <v>49</v>
      </c>
      <c r="D49" s="42" t="s">
        <v>299</v>
      </c>
      <c r="E49" s="14"/>
      <c r="F49" s="71">
        <v>3719371</v>
      </c>
      <c r="G49" s="42" t="s">
        <v>50</v>
      </c>
      <c r="H49" s="31">
        <v>20101973922</v>
      </c>
      <c r="I49" s="43" t="str">
        <f>IF(H49="","",VLOOKUP(H49,ENTIDAD!$B$2:$C$613,2,0))</f>
        <v>ASOCIACION AUTOMOTRIZ DEL PERU</v>
      </c>
      <c r="J49" s="11"/>
      <c r="K49" s="11"/>
      <c r="L49" s="11"/>
      <c r="M49" s="11"/>
      <c r="N49" s="44">
        <v>0</v>
      </c>
      <c r="O49" s="44">
        <f t="shared" si="2"/>
        <v>0</v>
      </c>
      <c r="P49" s="11">
        <v>0</v>
      </c>
      <c r="Q49" s="11"/>
      <c r="R49" s="11">
        <v>66.8</v>
      </c>
      <c r="S49" s="11">
        <v>66.8</v>
      </c>
      <c r="T49" s="14"/>
      <c r="U49" s="14"/>
      <c r="V49" s="13"/>
      <c r="W49" s="15"/>
      <c r="X49" s="13"/>
      <c r="Y49" s="14"/>
      <c r="Z49" s="14"/>
      <c r="AA49" s="14"/>
      <c r="AB49" s="42" t="s">
        <v>224</v>
      </c>
      <c r="AC49" s="11"/>
      <c r="AD49" s="72">
        <v>46119</v>
      </c>
      <c r="AE49" s="34" t="s">
        <v>465</v>
      </c>
      <c r="AF49" s="37" t="s">
        <v>550</v>
      </c>
      <c r="AG49" s="14" t="s">
        <v>513</v>
      </c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566</v>
      </c>
      <c r="AT49" s="14"/>
      <c r="AU49" s="11"/>
      <c r="AV49" s="14"/>
    </row>
    <row r="50" spans="1:49" s="47" customFormat="1" ht="15" x14ac:dyDescent="0.25">
      <c r="A50" s="46">
        <v>46088</v>
      </c>
      <c r="B50" s="13"/>
      <c r="C50" s="41" t="s">
        <v>49</v>
      </c>
      <c r="D50" s="42" t="s">
        <v>299</v>
      </c>
      <c r="E50" s="14"/>
      <c r="F50" s="71">
        <v>3719372</v>
      </c>
      <c r="G50" s="41" t="s">
        <v>50</v>
      </c>
      <c r="H50" s="31">
        <v>20101973922</v>
      </c>
      <c r="I50" s="43" t="str">
        <f>IF(H50="","",VLOOKUP(H50,ENTIDAD!$B$2:$C$613,2,0))</f>
        <v>ASOCIACION AUTOMOTRIZ DEL PERU</v>
      </c>
      <c r="J50" s="11"/>
      <c r="K50" s="11"/>
      <c r="L50" s="11"/>
      <c r="M50" s="11"/>
      <c r="N50" s="44">
        <v>0</v>
      </c>
      <c r="O50" s="44">
        <f t="shared" si="2"/>
        <v>0</v>
      </c>
      <c r="P50" s="11">
        <v>0</v>
      </c>
      <c r="Q50" s="11"/>
      <c r="R50" s="11">
        <v>66.8</v>
      </c>
      <c r="S50" s="11">
        <v>66.8</v>
      </c>
      <c r="T50" s="14"/>
      <c r="U50" s="14"/>
      <c r="V50" s="13"/>
      <c r="W50" s="15"/>
      <c r="X50" s="13"/>
      <c r="Y50" s="14"/>
      <c r="Z50" s="14"/>
      <c r="AA50" s="14"/>
      <c r="AB50" s="42" t="s">
        <v>224</v>
      </c>
      <c r="AC50" s="11"/>
      <c r="AD50" s="72">
        <v>46119</v>
      </c>
      <c r="AE50" s="34" t="s">
        <v>465</v>
      </c>
      <c r="AF50" s="37" t="s">
        <v>550</v>
      </c>
      <c r="AG50" s="14" t="s">
        <v>513</v>
      </c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566</v>
      </c>
      <c r="AT50" s="14"/>
      <c r="AU50" s="11"/>
      <c r="AV50" s="14"/>
      <c r="AW50" s="45"/>
    </row>
    <row r="51" spans="1:49" s="47" customFormat="1" ht="15" x14ac:dyDescent="0.25">
      <c r="A51" s="46">
        <v>46088</v>
      </c>
      <c r="B51" s="13"/>
      <c r="C51" s="41" t="s">
        <v>49</v>
      </c>
      <c r="D51" s="42" t="s">
        <v>299</v>
      </c>
      <c r="E51" s="14"/>
      <c r="F51" s="71">
        <v>3719373</v>
      </c>
      <c r="G51" s="42" t="s">
        <v>50</v>
      </c>
      <c r="H51" s="31">
        <v>20101973922</v>
      </c>
      <c r="I51" s="43" t="str">
        <f>IF(H51="","",VLOOKUP(H51,ENTIDAD!$B$2:$C$613,2,0))</f>
        <v>ASOCIACION AUTOMOTRIZ DEL PERU</v>
      </c>
      <c r="J51" s="11"/>
      <c r="K51" s="11"/>
      <c r="L51" s="11"/>
      <c r="M51" s="11"/>
      <c r="N51" s="44">
        <v>0</v>
      </c>
      <c r="O51" s="44">
        <f t="shared" si="2"/>
        <v>0</v>
      </c>
      <c r="P51" s="11">
        <v>0</v>
      </c>
      <c r="Q51" s="11"/>
      <c r="R51" s="11">
        <v>66.8</v>
      </c>
      <c r="S51" s="11">
        <v>66.8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72">
        <v>46119</v>
      </c>
      <c r="AE51" s="34" t="s">
        <v>465</v>
      </c>
      <c r="AF51" s="37" t="s">
        <v>550</v>
      </c>
      <c r="AG51" s="14" t="s">
        <v>513</v>
      </c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566</v>
      </c>
      <c r="AT51" s="14"/>
      <c r="AU51" s="11"/>
      <c r="AV51" s="14"/>
      <c r="AW51" s="45"/>
    </row>
    <row r="52" spans="1:49" s="45" customFormat="1" ht="15" x14ac:dyDescent="0.25">
      <c r="A52" s="46">
        <v>46088</v>
      </c>
      <c r="B52" s="13"/>
      <c r="C52" s="41" t="s">
        <v>49</v>
      </c>
      <c r="D52" s="42" t="s">
        <v>299</v>
      </c>
      <c r="E52" s="14"/>
      <c r="F52" s="71">
        <v>3719374</v>
      </c>
      <c r="G52" s="41" t="s">
        <v>50</v>
      </c>
      <c r="H52" s="31">
        <v>20101973922</v>
      </c>
      <c r="I52" s="43" t="str">
        <f>IF(H52="","",VLOOKUP(H52,ENTIDAD!$B$2:$C$613,2,0))</f>
        <v>ASOCIACION AUTOMOTRIZ DEL PERU</v>
      </c>
      <c r="J52" s="11"/>
      <c r="K52" s="11"/>
      <c r="L52" s="11"/>
      <c r="M52" s="11"/>
      <c r="N52" s="44">
        <v>0</v>
      </c>
      <c r="O52" s="44">
        <f t="shared" si="2"/>
        <v>0</v>
      </c>
      <c r="P52" s="11">
        <v>0</v>
      </c>
      <c r="Q52" s="11"/>
      <c r="R52" s="11">
        <v>66.8</v>
      </c>
      <c r="S52" s="11">
        <v>66.8</v>
      </c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72">
        <v>46119</v>
      </c>
      <c r="AE52" s="34" t="s">
        <v>465</v>
      </c>
      <c r="AF52" s="37" t="s">
        <v>550</v>
      </c>
      <c r="AG52" s="14" t="s">
        <v>513</v>
      </c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566</v>
      </c>
      <c r="AT52" s="14"/>
      <c r="AU52" s="11"/>
      <c r="AV52" s="14"/>
    </row>
    <row r="53" spans="1:49" s="47" customFormat="1" ht="15" x14ac:dyDescent="0.25">
      <c r="A53" s="46">
        <v>46088</v>
      </c>
      <c r="B53" s="13"/>
      <c r="C53" s="41" t="s">
        <v>49</v>
      </c>
      <c r="D53" s="42" t="s">
        <v>299</v>
      </c>
      <c r="E53" s="14"/>
      <c r="F53" s="71">
        <v>3719375</v>
      </c>
      <c r="G53" s="42" t="s">
        <v>50</v>
      </c>
      <c r="H53" s="31">
        <v>20101973922</v>
      </c>
      <c r="I53" s="43" t="str">
        <f>IF(H53="","",VLOOKUP(H53,ENTIDAD!$B$2:$C$613,2,0))</f>
        <v>ASOCIACION AUTOMOTRIZ DEL PERU</v>
      </c>
      <c r="J53" s="11"/>
      <c r="K53" s="11"/>
      <c r="L53" s="11"/>
      <c r="M53" s="11"/>
      <c r="N53" s="44">
        <v>0</v>
      </c>
      <c r="O53" s="44">
        <f t="shared" si="2"/>
        <v>0</v>
      </c>
      <c r="P53" s="11">
        <v>0</v>
      </c>
      <c r="Q53" s="11"/>
      <c r="R53" s="11">
        <v>66.8</v>
      </c>
      <c r="S53" s="11">
        <v>66.8</v>
      </c>
      <c r="T53" s="14"/>
      <c r="U53" s="14"/>
      <c r="V53" s="13"/>
      <c r="W53" s="15"/>
      <c r="X53" s="13"/>
      <c r="Y53" s="14"/>
      <c r="Z53" s="14"/>
      <c r="AA53" s="14"/>
      <c r="AB53" s="42" t="s">
        <v>224</v>
      </c>
      <c r="AC53" s="11"/>
      <c r="AD53" s="72">
        <v>46119</v>
      </c>
      <c r="AE53" s="34" t="s">
        <v>465</v>
      </c>
      <c r="AF53" s="37" t="s">
        <v>550</v>
      </c>
      <c r="AG53" s="14" t="s">
        <v>513</v>
      </c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566</v>
      </c>
      <c r="AT53" s="14"/>
      <c r="AU53" s="11"/>
      <c r="AV53" s="14"/>
      <c r="AW53" s="45"/>
    </row>
    <row r="54" spans="1:49" s="45" customFormat="1" ht="15" x14ac:dyDescent="0.25">
      <c r="A54" s="46">
        <v>46088</v>
      </c>
      <c r="B54" s="13"/>
      <c r="C54" s="41" t="s">
        <v>49</v>
      </c>
      <c r="D54" s="42" t="s">
        <v>299</v>
      </c>
      <c r="E54" s="14"/>
      <c r="F54" s="71">
        <v>3719376</v>
      </c>
      <c r="G54" s="41" t="s">
        <v>50</v>
      </c>
      <c r="H54" s="31">
        <v>20101973922</v>
      </c>
      <c r="I54" s="43" t="str">
        <f>IF(H54="","",VLOOKUP(H54,ENTIDAD!$B$2:$C$613,2,0))</f>
        <v>ASOCIACION AUTOMOTRIZ DEL PERU</v>
      </c>
      <c r="J54" s="11"/>
      <c r="K54" s="11"/>
      <c r="L54" s="11"/>
      <c r="M54" s="11"/>
      <c r="N54" s="44">
        <v>0</v>
      </c>
      <c r="O54" s="44">
        <f t="shared" si="2"/>
        <v>0</v>
      </c>
      <c r="P54" s="11">
        <v>0</v>
      </c>
      <c r="Q54" s="11"/>
      <c r="R54" s="11">
        <v>66.8</v>
      </c>
      <c r="S54" s="11">
        <v>66.8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72">
        <v>46119</v>
      </c>
      <c r="AE54" s="34" t="s">
        <v>465</v>
      </c>
      <c r="AF54" s="37" t="s">
        <v>550</v>
      </c>
      <c r="AG54" s="14" t="s">
        <v>513</v>
      </c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566</v>
      </c>
      <c r="AT54" s="14"/>
      <c r="AU54" s="11"/>
      <c r="AV54" s="14"/>
    </row>
    <row r="55" spans="1:49" s="45" customFormat="1" ht="15" x14ac:dyDescent="0.25">
      <c r="A55" s="46">
        <v>46088</v>
      </c>
      <c r="B55" s="13"/>
      <c r="C55" s="41" t="s">
        <v>49</v>
      </c>
      <c r="D55" s="42" t="s">
        <v>299</v>
      </c>
      <c r="E55" s="14"/>
      <c r="F55" s="71">
        <v>3719377</v>
      </c>
      <c r="G55" s="42" t="s">
        <v>50</v>
      </c>
      <c r="H55" s="31">
        <v>20101973922</v>
      </c>
      <c r="I55" s="43" t="str">
        <f>IF(H55="","",VLOOKUP(H55,ENTIDAD!$B$2:$C$613,2,0))</f>
        <v>ASOCIACION AUTOMOTRIZ DEL PERU</v>
      </c>
      <c r="J55" s="11"/>
      <c r="K55" s="11"/>
      <c r="L55" s="11"/>
      <c r="M55" s="11"/>
      <c r="N55" s="44">
        <v>0</v>
      </c>
      <c r="O55" s="44">
        <f t="shared" si="2"/>
        <v>0</v>
      </c>
      <c r="P55" s="11">
        <v>0</v>
      </c>
      <c r="Q55" s="11"/>
      <c r="R55" s="11">
        <v>66.8</v>
      </c>
      <c r="S55" s="11">
        <v>66.8</v>
      </c>
      <c r="T55" s="14"/>
      <c r="U55" s="14"/>
      <c r="V55" s="13"/>
      <c r="W55" s="15"/>
      <c r="X55" s="13"/>
      <c r="Y55" s="14"/>
      <c r="Z55" s="14"/>
      <c r="AA55" s="14"/>
      <c r="AB55" s="42" t="s">
        <v>224</v>
      </c>
      <c r="AC55" s="11"/>
      <c r="AD55" s="72">
        <v>46119</v>
      </c>
      <c r="AE55" s="34" t="s">
        <v>465</v>
      </c>
      <c r="AF55" s="37" t="s">
        <v>550</v>
      </c>
      <c r="AG55" s="14" t="s">
        <v>513</v>
      </c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 t="s">
        <v>566</v>
      </c>
      <c r="AT55" s="14"/>
      <c r="AU55" s="11"/>
      <c r="AV55" s="14"/>
    </row>
    <row r="56" spans="1:49" s="45" customFormat="1" ht="15" x14ac:dyDescent="0.25">
      <c r="A56" s="46">
        <v>46088</v>
      </c>
      <c r="B56" s="13"/>
      <c r="C56" s="41" t="s">
        <v>49</v>
      </c>
      <c r="D56" s="42" t="s">
        <v>299</v>
      </c>
      <c r="E56" s="14"/>
      <c r="F56" s="71">
        <v>3719378</v>
      </c>
      <c r="G56" s="41" t="s">
        <v>50</v>
      </c>
      <c r="H56" s="31">
        <v>20101973922</v>
      </c>
      <c r="I56" s="43" t="str">
        <f>IF(H56="","",VLOOKUP(H56,ENTIDAD!$B$2:$C$613,2,0))</f>
        <v>ASOCIACION AUTOMOTRIZ DEL PERU</v>
      </c>
      <c r="J56" s="11"/>
      <c r="K56" s="11"/>
      <c r="L56" s="11"/>
      <c r="M56" s="11"/>
      <c r="N56" s="44">
        <v>0</v>
      </c>
      <c r="O56" s="44">
        <f t="shared" si="2"/>
        <v>0</v>
      </c>
      <c r="P56" s="11">
        <v>0</v>
      </c>
      <c r="Q56" s="11"/>
      <c r="R56" s="11">
        <v>66.8</v>
      </c>
      <c r="S56" s="11">
        <v>66.8</v>
      </c>
      <c r="T56" s="14"/>
      <c r="U56" s="14"/>
      <c r="V56" s="13"/>
      <c r="W56" s="15"/>
      <c r="X56" s="13"/>
      <c r="Y56" s="14"/>
      <c r="Z56" s="14"/>
      <c r="AA56" s="14"/>
      <c r="AB56" s="42" t="s">
        <v>224</v>
      </c>
      <c r="AC56" s="11"/>
      <c r="AD56" s="72">
        <v>46119</v>
      </c>
      <c r="AE56" s="34" t="s">
        <v>465</v>
      </c>
      <c r="AF56" s="37" t="s">
        <v>550</v>
      </c>
      <c r="AG56" s="14" t="s">
        <v>513</v>
      </c>
      <c r="AH56" s="14" t="s">
        <v>225</v>
      </c>
      <c r="AI56" s="14"/>
      <c r="AJ56" s="14"/>
      <c r="AK56" s="16"/>
      <c r="AL56" s="11"/>
      <c r="AM56" s="11"/>
      <c r="AN56" s="14"/>
      <c r="AO56" s="14"/>
      <c r="AP56" s="13"/>
      <c r="AQ56" s="14"/>
      <c r="AR56" s="11">
        <v>18</v>
      </c>
      <c r="AS56" s="14" t="s">
        <v>566</v>
      </c>
      <c r="AT56" s="14"/>
      <c r="AU56" s="11"/>
      <c r="AV56" s="14"/>
    </row>
    <row r="57" spans="1:49" s="45" customFormat="1" ht="15" x14ac:dyDescent="0.25">
      <c r="A57" s="46">
        <v>46088</v>
      </c>
      <c r="B57" s="13"/>
      <c r="C57" s="41" t="s">
        <v>49</v>
      </c>
      <c r="D57" s="42" t="s">
        <v>299</v>
      </c>
      <c r="E57" s="14"/>
      <c r="F57" s="71">
        <v>3719379</v>
      </c>
      <c r="G57" s="42" t="s">
        <v>50</v>
      </c>
      <c r="H57" s="31">
        <v>20101973922</v>
      </c>
      <c r="I57" s="43" t="str">
        <f>IF(H57="","",VLOOKUP(H57,ENTIDAD!$B$2:$C$613,2,0))</f>
        <v>ASOCIACION AUTOMOTRIZ DEL PERU</v>
      </c>
      <c r="J57" s="11"/>
      <c r="K57" s="11"/>
      <c r="L57" s="11"/>
      <c r="M57" s="11"/>
      <c r="N57" s="44">
        <v>0</v>
      </c>
      <c r="O57" s="44">
        <f t="shared" si="2"/>
        <v>0</v>
      </c>
      <c r="P57" s="11">
        <v>0</v>
      </c>
      <c r="Q57" s="11"/>
      <c r="R57" s="11">
        <v>66.8</v>
      </c>
      <c r="S57" s="11">
        <v>66.8</v>
      </c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72">
        <v>46119</v>
      </c>
      <c r="AE57" s="34" t="s">
        <v>465</v>
      </c>
      <c r="AF57" s="37" t="s">
        <v>550</v>
      </c>
      <c r="AG57" s="14" t="s">
        <v>513</v>
      </c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 t="s">
        <v>566</v>
      </c>
      <c r="AT57" s="14"/>
      <c r="AU57" s="11"/>
      <c r="AV57" s="14"/>
    </row>
    <row r="58" spans="1:49" s="45" customFormat="1" ht="15" x14ac:dyDescent="0.25">
      <c r="A58" s="46">
        <v>46088</v>
      </c>
      <c r="B58" s="13"/>
      <c r="C58" s="41" t="s">
        <v>49</v>
      </c>
      <c r="D58" s="42" t="s">
        <v>299</v>
      </c>
      <c r="E58" s="14"/>
      <c r="F58" s="71">
        <v>3719380</v>
      </c>
      <c r="G58" s="41" t="s">
        <v>50</v>
      </c>
      <c r="H58" s="31">
        <v>20101973922</v>
      </c>
      <c r="I58" s="43" t="str">
        <f>IF(H58="","",VLOOKUP(H58,ENTIDAD!$B$2:$C$613,2,0))</f>
        <v>ASOCIACION AUTOMOTRIZ DEL PERU</v>
      </c>
      <c r="J58" s="11"/>
      <c r="K58" s="11"/>
      <c r="L58" s="11"/>
      <c r="M58" s="11"/>
      <c r="N58" s="44">
        <v>0</v>
      </c>
      <c r="O58" s="44">
        <f t="shared" si="2"/>
        <v>0</v>
      </c>
      <c r="P58" s="11">
        <v>0</v>
      </c>
      <c r="Q58" s="11"/>
      <c r="R58" s="11">
        <v>66.8</v>
      </c>
      <c r="S58" s="11">
        <v>66.8</v>
      </c>
      <c r="T58" s="14"/>
      <c r="U58" s="14"/>
      <c r="V58" s="13"/>
      <c r="W58" s="15"/>
      <c r="X58" s="13"/>
      <c r="Y58" s="14"/>
      <c r="Z58" s="14"/>
      <c r="AA58" s="14"/>
      <c r="AB58" s="42" t="s">
        <v>224</v>
      </c>
      <c r="AC58" s="11"/>
      <c r="AD58" s="72">
        <v>46119</v>
      </c>
      <c r="AE58" s="34" t="s">
        <v>465</v>
      </c>
      <c r="AF58" s="37" t="s">
        <v>550</v>
      </c>
      <c r="AG58" s="14" t="s">
        <v>513</v>
      </c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566</v>
      </c>
      <c r="AT58" s="14"/>
      <c r="AU58" s="11"/>
      <c r="AV58" s="14"/>
    </row>
    <row r="59" spans="1:49" s="45" customFormat="1" ht="15" x14ac:dyDescent="0.25">
      <c r="A59" s="46">
        <v>46088</v>
      </c>
      <c r="B59" s="13"/>
      <c r="C59" s="41" t="s">
        <v>49</v>
      </c>
      <c r="D59" s="42" t="s">
        <v>299</v>
      </c>
      <c r="E59" s="14"/>
      <c r="F59" s="71">
        <v>3719381</v>
      </c>
      <c r="G59" s="42" t="s">
        <v>50</v>
      </c>
      <c r="H59" s="31">
        <v>20101973922</v>
      </c>
      <c r="I59" s="43" t="str">
        <f>IF(H59="","",VLOOKUP(H59,ENTIDAD!$B$2:$C$613,2,0))</f>
        <v>ASOCIACION AUTOMOTRIZ DEL PERU</v>
      </c>
      <c r="J59" s="11"/>
      <c r="K59" s="11"/>
      <c r="L59" s="11"/>
      <c r="M59" s="11"/>
      <c r="N59" s="44">
        <v>0</v>
      </c>
      <c r="O59" s="44">
        <f t="shared" si="2"/>
        <v>0</v>
      </c>
      <c r="P59" s="11">
        <v>0</v>
      </c>
      <c r="Q59" s="11"/>
      <c r="R59" s="11">
        <v>66.8</v>
      </c>
      <c r="S59" s="11">
        <v>66.8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72">
        <v>46119</v>
      </c>
      <c r="AE59" s="34" t="s">
        <v>465</v>
      </c>
      <c r="AF59" s="37" t="s">
        <v>550</v>
      </c>
      <c r="AG59" s="14" t="s">
        <v>513</v>
      </c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566</v>
      </c>
      <c r="AT59" s="14"/>
      <c r="AU59" s="11"/>
      <c r="AV59" s="14"/>
    </row>
    <row r="60" spans="1:49" s="45" customFormat="1" ht="15" x14ac:dyDescent="0.25">
      <c r="A60" s="46">
        <v>46088</v>
      </c>
      <c r="B60" s="13"/>
      <c r="C60" s="41" t="s">
        <v>49</v>
      </c>
      <c r="D60" s="42" t="s">
        <v>299</v>
      </c>
      <c r="E60" s="14"/>
      <c r="F60" s="71">
        <v>3719382</v>
      </c>
      <c r="G60" s="41" t="s">
        <v>50</v>
      </c>
      <c r="H60" s="31">
        <v>20101973922</v>
      </c>
      <c r="I60" s="43" t="str">
        <f>IF(H60="","",VLOOKUP(H60,ENTIDAD!$B$2:$C$613,2,0))</f>
        <v>ASOCIACION AUTOMOTRIZ DEL PERU</v>
      </c>
      <c r="J60" s="11"/>
      <c r="K60" s="11"/>
      <c r="L60" s="11"/>
      <c r="M60" s="11"/>
      <c r="N60" s="44">
        <v>0</v>
      </c>
      <c r="O60" s="44">
        <f t="shared" si="2"/>
        <v>0</v>
      </c>
      <c r="P60" s="11">
        <v>0</v>
      </c>
      <c r="Q60" s="11"/>
      <c r="R60" s="11">
        <v>66.8</v>
      </c>
      <c r="S60" s="11">
        <v>66.8</v>
      </c>
      <c r="T60" s="14"/>
      <c r="U60" s="14"/>
      <c r="V60" s="13"/>
      <c r="W60" s="15"/>
      <c r="X60" s="13"/>
      <c r="Y60" s="14"/>
      <c r="Z60" s="14"/>
      <c r="AA60" s="14"/>
      <c r="AB60" s="42" t="s">
        <v>224</v>
      </c>
      <c r="AC60" s="11"/>
      <c r="AD60" s="72">
        <v>46119</v>
      </c>
      <c r="AE60" s="34" t="s">
        <v>465</v>
      </c>
      <c r="AF60" s="37" t="s">
        <v>550</v>
      </c>
      <c r="AG60" s="14" t="s">
        <v>513</v>
      </c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566</v>
      </c>
      <c r="AT60" s="14"/>
      <c r="AU60" s="11"/>
      <c r="AV60" s="14"/>
    </row>
    <row r="61" spans="1:49" s="45" customFormat="1" ht="14.25" customHeight="1" x14ac:dyDescent="0.25">
      <c r="A61" s="46">
        <v>46088</v>
      </c>
      <c r="B61" s="13"/>
      <c r="C61" s="41" t="s">
        <v>49</v>
      </c>
      <c r="D61" s="42" t="s">
        <v>299</v>
      </c>
      <c r="E61" s="14"/>
      <c r="F61" s="71">
        <v>3719383</v>
      </c>
      <c r="G61" s="41" t="s">
        <v>50</v>
      </c>
      <c r="H61" s="31">
        <v>20101973922</v>
      </c>
      <c r="I61" s="43" t="str">
        <f>IF(H61="","",VLOOKUP(H61,ENTIDAD!$B$2:$C$613,2,0))</f>
        <v>ASOCIACION AUTOMOTRIZ DEL PERU</v>
      </c>
      <c r="J61" s="11"/>
      <c r="K61" s="11"/>
      <c r="L61" s="11"/>
      <c r="M61" s="11"/>
      <c r="N61" s="44">
        <v>0</v>
      </c>
      <c r="O61" s="44">
        <f t="shared" si="2"/>
        <v>0</v>
      </c>
      <c r="P61" s="11">
        <v>0</v>
      </c>
      <c r="Q61" s="11"/>
      <c r="R61" s="11">
        <v>66.8</v>
      </c>
      <c r="S61" s="11">
        <v>66.8</v>
      </c>
      <c r="T61" s="14"/>
      <c r="U61" s="14"/>
      <c r="V61" s="13"/>
      <c r="W61" s="15"/>
      <c r="X61" s="13"/>
      <c r="Y61" s="14"/>
      <c r="Z61" s="14"/>
      <c r="AA61" s="14"/>
      <c r="AB61" s="42" t="s">
        <v>224</v>
      </c>
      <c r="AC61" s="11"/>
      <c r="AD61" s="72">
        <v>46119</v>
      </c>
      <c r="AE61" s="34" t="s">
        <v>465</v>
      </c>
      <c r="AF61" s="37" t="s">
        <v>550</v>
      </c>
      <c r="AG61" s="14" t="s">
        <v>513</v>
      </c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566</v>
      </c>
      <c r="AT61" s="14"/>
      <c r="AU61" s="11"/>
      <c r="AV61" s="14"/>
    </row>
    <row r="62" spans="1:49" s="45" customFormat="1" ht="15" x14ac:dyDescent="0.25">
      <c r="A62" s="46">
        <v>46088</v>
      </c>
      <c r="B62" s="13"/>
      <c r="C62" s="41" t="s">
        <v>49</v>
      </c>
      <c r="D62" s="42" t="s">
        <v>299</v>
      </c>
      <c r="E62" s="14"/>
      <c r="F62" s="71">
        <v>3719384</v>
      </c>
      <c r="G62" s="41" t="s">
        <v>50</v>
      </c>
      <c r="H62" s="31">
        <v>20101973922</v>
      </c>
      <c r="I62" s="43" t="str">
        <f>IF(H62="","",VLOOKUP(H62,ENTIDAD!$B$2:$C$613,2,0))</f>
        <v>ASOCIACION AUTOMOTRIZ DEL PERU</v>
      </c>
      <c r="J62" s="11"/>
      <c r="K62" s="11"/>
      <c r="L62" s="11"/>
      <c r="M62" s="11"/>
      <c r="N62" s="44">
        <v>0</v>
      </c>
      <c r="O62" s="44">
        <f t="shared" si="2"/>
        <v>0</v>
      </c>
      <c r="P62" s="11">
        <v>0</v>
      </c>
      <c r="Q62" s="11"/>
      <c r="R62" s="11">
        <v>66.8</v>
      </c>
      <c r="S62" s="11">
        <v>66.8</v>
      </c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72">
        <v>46119</v>
      </c>
      <c r="AE62" s="34" t="s">
        <v>465</v>
      </c>
      <c r="AF62" s="37" t="s">
        <v>550</v>
      </c>
      <c r="AG62" s="14" t="s">
        <v>513</v>
      </c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566</v>
      </c>
      <c r="AT62" s="14"/>
      <c r="AU62" s="11"/>
      <c r="AV62" s="14"/>
    </row>
    <row r="63" spans="1:49" s="45" customFormat="1" ht="15" x14ac:dyDescent="0.25">
      <c r="A63" s="46">
        <v>46088</v>
      </c>
      <c r="B63" s="13"/>
      <c r="C63" s="41" t="s">
        <v>49</v>
      </c>
      <c r="D63" s="42" t="s">
        <v>299</v>
      </c>
      <c r="E63" s="14"/>
      <c r="F63" s="71">
        <v>3719385</v>
      </c>
      <c r="G63" s="42" t="s">
        <v>50</v>
      </c>
      <c r="H63" s="31">
        <v>20101973922</v>
      </c>
      <c r="I63" s="43" t="str">
        <f>IF(H63="","",VLOOKUP(H63,ENTIDAD!$B$2:$C$613,2,0))</f>
        <v>ASOCIACION AUTOMOTRIZ DEL PERU</v>
      </c>
      <c r="J63" s="11"/>
      <c r="K63" s="11"/>
      <c r="L63" s="11"/>
      <c r="M63" s="11"/>
      <c r="N63" s="44">
        <v>0</v>
      </c>
      <c r="O63" s="44">
        <f t="shared" si="2"/>
        <v>0</v>
      </c>
      <c r="P63" s="11">
        <v>0</v>
      </c>
      <c r="Q63" s="11"/>
      <c r="R63" s="11">
        <v>66.8</v>
      </c>
      <c r="S63" s="11">
        <v>66.8</v>
      </c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72">
        <v>46119</v>
      </c>
      <c r="AE63" s="34" t="s">
        <v>465</v>
      </c>
      <c r="AF63" s="37" t="s">
        <v>550</v>
      </c>
      <c r="AG63" s="14" t="s">
        <v>513</v>
      </c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566</v>
      </c>
      <c r="AT63" s="14"/>
      <c r="AU63" s="11"/>
      <c r="AV63" s="14"/>
    </row>
    <row r="64" spans="1:49" s="45" customFormat="1" ht="15" x14ac:dyDescent="0.25">
      <c r="A64" s="46">
        <v>46088</v>
      </c>
      <c r="B64" s="13"/>
      <c r="C64" s="41" t="s">
        <v>49</v>
      </c>
      <c r="D64" s="42" t="s">
        <v>299</v>
      </c>
      <c r="E64" s="14"/>
      <c r="F64" s="71">
        <v>3719386</v>
      </c>
      <c r="G64" s="41" t="s">
        <v>50</v>
      </c>
      <c r="H64" s="31">
        <v>20101973922</v>
      </c>
      <c r="I64" s="43" t="str">
        <f>IF(H64="","",VLOOKUP(H64,ENTIDAD!$B$2:$C$613,2,0))</f>
        <v>ASOCIACION AUTOMOTRIZ DEL PERU</v>
      </c>
      <c r="J64" s="11"/>
      <c r="K64" s="11"/>
      <c r="L64" s="11"/>
      <c r="M64" s="11"/>
      <c r="N64" s="44">
        <v>0</v>
      </c>
      <c r="O64" s="44">
        <f t="shared" si="2"/>
        <v>0</v>
      </c>
      <c r="P64" s="11">
        <v>0</v>
      </c>
      <c r="Q64" s="11"/>
      <c r="R64" s="11">
        <v>66.8</v>
      </c>
      <c r="S64" s="11">
        <v>66.8</v>
      </c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72">
        <v>46119</v>
      </c>
      <c r="AE64" s="34" t="s">
        <v>465</v>
      </c>
      <c r="AF64" s="37" t="s">
        <v>550</v>
      </c>
      <c r="AG64" s="14" t="s">
        <v>513</v>
      </c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566</v>
      </c>
      <c r="AT64" s="14"/>
      <c r="AU64" s="11"/>
      <c r="AV64" s="14"/>
    </row>
    <row r="65" spans="1:49" s="45" customFormat="1" ht="15" x14ac:dyDescent="0.25">
      <c r="A65" s="46">
        <v>46088</v>
      </c>
      <c r="B65" s="13"/>
      <c r="C65" s="41" t="s">
        <v>49</v>
      </c>
      <c r="D65" s="42" t="s">
        <v>299</v>
      </c>
      <c r="E65" s="14"/>
      <c r="F65" s="71">
        <v>3719387</v>
      </c>
      <c r="G65" s="41" t="s">
        <v>50</v>
      </c>
      <c r="H65" s="31">
        <v>20101973922</v>
      </c>
      <c r="I65" s="43" t="str">
        <f>IF(H65="","",VLOOKUP(H65,ENTIDAD!$B$2:$C$613,2,0))</f>
        <v>ASOCIACION AUTOMOTRIZ DEL PERU</v>
      </c>
      <c r="J65" s="11"/>
      <c r="K65" s="11"/>
      <c r="L65" s="11"/>
      <c r="M65" s="11"/>
      <c r="N65" s="44">
        <v>0</v>
      </c>
      <c r="O65" s="44">
        <f t="shared" si="2"/>
        <v>0</v>
      </c>
      <c r="P65" s="11">
        <v>0</v>
      </c>
      <c r="Q65" s="11"/>
      <c r="R65" s="11">
        <v>66.8</v>
      </c>
      <c r="S65" s="11">
        <v>66.8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72">
        <v>46119</v>
      </c>
      <c r="AE65" s="34" t="s">
        <v>465</v>
      </c>
      <c r="AF65" s="37" t="s">
        <v>550</v>
      </c>
      <c r="AG65" s="14" t="s">
        <v>513</v>
      </c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566</v>
      </c>
      <c r="AT65" s="14"/>
      <c r="AU65" s="11"/>
      <c r="AV65" s="14"/>
    </row>
    <row r="66" spans="1:49" s="45" customFormat="1" ht="15" x14ac:dyDescent="0.25">
      <c r="A66" s="46">
        <v>46088</v>
      </c>
      <c r="B66" s="13"/>
      <c r="C66" s="41" t="s">
        <v>49</v>
      </c>
      <c r="D66" s="42" t="s">
        <v>299</v>
      </c>
      <c r="E66" s="14"/>
      <c r="F66" s="71">
        <v>3719388</v>
      </c>
      <c r="G66" s="42" t="s">
        <v>50</v>
      </c>
      <c r="H66" s="31">
        <v>20101973922</v>
      </c>
      <c r="I66" s="43" t="str">
        <f>IF(H66="","",VLOOKUP(H66,ENTIDAD!$B$2:$C$613,2,0))</f>
        <v>ASOCIACION AUTOMOTRIZ DEL PERU</v>
      </c>
      <c r="J66" s="11"/>
      <c r="K66" s="11"/>
      <c r="L66" s="11"/>
      <c r="M66" s="11"/>
      <c r="N66" s="44">
        <v>0</v>
      </c>
      <c r="O66" s="44">
        <f t="shared" si="2"/>
        <v>0</v>
      </c>
      <c r="P66" s="11">
        <v>0</v>
      </c>
      <c r="Q66" s="11"/>
      <c r="R66" s="11">
        <v>66.8</v>
      </c>
      <c r="S66" s="11">
        <v>66.8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72">
        <v>46119</v>
      </c>
      <c r="AE66" s="34" t="s">
        <v>465</v>
      </c>
      <c r="AF66" s="37" t="s">
        <v>550</v>
      </c>
      <c r="AG66" s="14" t="s">
        <v>513</v>
      </c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566</v>
      </c>
      <c r="AT66" s="14"/>
      <c r="AU66" s="11"/>
      <c r="AV66" s="14"/>
    </row>
    <row r="67" spans="1:49" s="45" customFormat="1" ht="15" x14ac:dyDescent="0.25">
      <c r="A67" s="13">
        <v>46090</v>
      </c>
      <c r="B67" s="13"/>
      <c r="C67" s="41" t="s">
        <v>49</v>
      </c>
      <c r="D67" s="42" t="s">
        <v>451</v>
      </c>
      <c r="E67" s="14"/>
      <c r="F67" s="71">
        <v>136</v>
      </c>
      <c r="G67" s="41" t="s">
        <v>50</v>
      </c>
      <c r="H67" s="31">
        <v>20600454065</v>
      </c>
      <c r="I67" s="43" t="str">
        <f>IF(H67="","",VLOOKUP(H67,ENTIDAD!$B$2:$C$613,2,0))</f>
        <v>REPUESTOS Y SERVICIOS ARAUCO E.I.R.L.</v>
      </c>
      <c r="J67" s="11"/>
      <c r="K67" s="11"/>
      <c r="L67" s="11"/>
      <c r="M67" s="11"/>
      <c r="N67" s="44">
        <v>0</v>
      </c>
      <c r="O67" s="44">
        <f t="shared" si="2"/>
        <v>0</v>
      </c>
      <c r="P67" s="11">
        <v>1825</v>
      </c>
      <c r="Q67" s="11"/>
      <c r="R67" s="11"/>
      <c r="S67" s="11">
        <v>1825</v>
      </c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72">
        <v>46121</v>
      </c>
      <c r="AE67" s="112" t="s">
        <v>465</v>
      </c>
      <c r="AF67" s="119" t="s">
        <v>616</v>
      </c>
      <c r="AG67" s="112"/>
      <c r="AH67" s="112" t="s">
        <v>225</v>
      </c>
      <c r="AI67" s="112"/>
      <c r="AJ67" s="112"/>
      <c r="AK67" s="120"/>
      <c r="AL67" s="116"/>
      <c r="AM67" s="116"/>
      <c r="AN67" s="112"/>
      <c r="AO67" s="112"/>
      <c r="AP67" s="109"/>
      <c r="AQ67" s="112"/>
      <c r="AR67" s="116">
        <v>18</v>
      </c>
      <c r="AS67" s="112" t="s">
        <v>617</v>
      </c>
      <c r="AT67" s="14"/>
      <c r="AU67" s="11"/>
      <c r="AV67" s="14"/>
    </row>
    <row r="68" spans="1:49" s="45" customFormat="1" ht="15" x14ac:dyDescent="0.25">
      <c r="A68" s="46">
        <v>46092</v>
      </c>
      <c r="B68" s="13"/>
      <c r="C68" s="41" t="s">
        <v>49</v>
      </c>
      <c r="D68" s="42" t="s">
        <v>294</v>
      </c>
      <c r="E68" s="14"/>
      <c r="F68" s="71">
        <v>5224</v>
      </c>
      <c r="G68" s="41" t="s">
        <v>50</v>
      </c>
      <c r="H68" s="31">
        <v>10061702071</v>
      </c>
      <c r="I68" s="43" t="str">
        <f>IF(H68="","",VLOOKUP(H68,ENTIDAD!$B$2:$C$613,2,0))</f>
        <v>CORAL FLORES IVAN MARTIN</v>
      </c>
      <c r="J68" s="11"/>
      <c r="K68" s="11"/>
      <c r="L68" s="11"/>
      <c r="M68" s="11"/>
      <c r="N68" s="44">
        <f>(S68-P68)/1.18</f>
        <v>0</v>
      </c>
      <c r="O68" s="44">
        <f t="shared" ref="O68:O99" si="3">N68*0.18</f>
        <v>0</v>
      </c>
      <c r="P68" s="11">
        <v>280</v>
      </c>
      <c r="Q68" s="11"/>
      <c r="R68" s="11"/>
      <c r="S68" s="11">
        <v>280</v>
      </c>
      <c r="T68" s="14"/>
      <c r="U68" s="14"/>
      <c r="V68" s="13"/>
      <c r="W68" s="15"/>
      <c r="X68" s="13"/>
      <c r="Y68" s="14"/>
      <c r="Z68" s="14"/>
      <c r="AA68" s="14"/>
      <c r="AB68" s="42" t="s">
        <v>224</v>
      </c>
      <c r="AC68" s="11"/>
      <c r="AD68" s="46">
        <v>46123</v>
      </c>
      <c r="AE68" s="14" t="s">
        <v>465</v>
      </c>
      <c r="AF68" s="19" t="s">
        <v>597</v>
      </c>
      <c r="AG68" s="14" t="s">
        <v>513</v>
      </c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514</v>
      </c>
      <c r="AT68" s="14"/>
      <c r="AU68" s="11"/>
      <c r="AV68" s="14"/>
    </row>
    <row r="69" spans="1:49" s="45" customFormat="1" ht="15" x14ac:dyDescent="0.25">
      <c r="A69" s="46">
        <v>46092</v>
      </c>
      <c r="B69" s="13"/>
      <c r="C69" s="41" t="s">
        <v>49</v>
      </c>
      <c r="D69" s="42" t="s">
        <v>292</v>
      </c>
      <c r="E69" s="14"/>
      <c r="F69" s="71">
        <v>251</v>
      </c>
      <c r="G69" s="42" t="s">
        <v>50</v>
      </c>
      <c r="H69" s="31">
        <v>10434454501</v>
      </c>
      <c r="I69" s="43" t="str">
        <f>IF(H69="","",VLOOKUP(H69,ENTIDAD!$B$2:$C$613,2,0))</f>
        <v>PEREZ MARTICORENA LEO DAN</v>
      </c>
      <c r="J69" s="11"/>
      <c r="K69" s="11"/>
      <c r="L69" s="11"/>
      <c r="M69" s="11"/>
      <c r="N69" s="44">
        <f>(S69-P69)/1.18</f>
        <v>0</v>
      </c>
      <c r="O69" s="44">
        <f t="shared" si="3"/>
        <v>0</v>
      </c>
      <c r="P69" s="11">
        <v>170</v>
      </c>
      <c r="Q69" s="11"/>
      <c r="R69" s="11"/>
      <c r="S69" s="11">
        <v>170</v>
      </c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46"/>
      <c r="AE69" s="14" t="s">
        <v>262</v>
      </c>
      <c r="AF69" s="19" t="s">
        <v>496</v>
      </c>
      <c r="AG69" s="14"/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623</v>
      </c>
      <c r="AT69" s="14"/>
      <c r="AU69" s="11"/>
      <c r="AV69" s="14"/>
    </row>
    <row r="70" spans="1:49" s="45" customFormat="1" ht="15" x14ac:dyDescent="0.25">
      <c r="A70" s="13">
        <v>46092</v>
      </c>
      <c r="B70" s="13"/>
      <c r="C70" s="41" t="s">
        <v>49</v>
      </c>
      <c r="D70" s="42" t="s">
        <v>301</v>
      </c>
      <c r="E70" s="14"/>
      <c r="F70" s="71">
        <v>17193</v>
      </c>
      <c r="G70" s="41" t="s">
        <v>50</v>
      </c>
      <c r="H70" s="31">
        <v>20493508645</v>
      </c>
      <c r="I70" s="43" t="str">
        <f>IF(H70="","",VLOOKUP(H70,ENTIDAD!$B$2:$C$613,2,0))</f>
        <v>HONDA SELVA DEL PERU S.A.</v>
      </c>
      <c r="J70" s="11"/>
      <c r="K70" s="11"/>
      <c r="L70" s="11"/>
      <c r="M70" s="11"/>
      <c r="N70" s="44">
        <f>(S70-P70)/1.18</f>
        <v>1.3305084748781617E-3</v>
      </c>
      <c r="O70" s="44">
        <f t="shared" si="3"/>
        <v>2.3949152547806911E-4</v>
      </c>
      <c r="P70" s="11">
        <v>47244.43</v>
      </c>
      <c r="Q70" s="11"/>
      <c r="R70" s="11"/>
      <c r="S70" s="11">
        <f>W70*AC70</f>
        <v>47244.431570000001</v>
      </c>
      <c r="T70" s="14"/>
      <c r="U70" s="14"/>
      <c r="V70" s="13"/>
      <c r="W70" s="15">
        <v>3.4510000000000001</v>
      </c>
      <c r="X70" s="13"/>
      <c r="Y70" s="14"/>
      <c r="Z70" s="14"/>
      <c r="AA70" s="14"/>
      <c r="AB70" s="42" t="s">
        <v>383</v>
      </c>
      <c r="AC70" s="11">
        <v>13690.07</v>
      </c>
      <c r="AD70" s="72">
        <v>46123</v>
      </c>
      <c r="AE70" s="34" t="s">
        <v>465</v>
      </c>
      <c r="AF70" s="19" t="s">
        <v>532</v>
      </c>
      <c r="AG70" s="14"/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201</v>
      </c>
      <c r="AT70" s="14"/>
      <c r="AU70" s="11"/>
      <c r="AV70" s="14"/>
    </row>
    <row r="71" spans="1:49" s="45" customFormat="1" ht="15" x14ac:dyDescent="0.25">
      <c r="A71" s="46">
        <v>46092</v>
      </c>
      <c r="B71" s="13"/>
      <c r="C71" s="41" t="s">
        <v>49</v>
      </c>
      <c r="D71" s="42" t="s">
        <v>292</v>
      </c>
      <c r="E71" s="14"/>
      <c r="F71" s="71">
        <v>6053</v>
      </c>
      <c r="G71" s="42" t="s">
        <v>50</v>
      </c>
      <c r="H71" s="31">
        <v>20602783341</v>
      </c>
      <c r="I71" s="43" t="str">
        <f>IF(H71="","",VLOOKUP(H71,ENTIDAD!$B$2:$C$613,2,0))</f>
        <v>CODISSER VRAEM E.I.R.L.</v>
      </c>
      <c r="J71" s="11"/>
      <c r="K71" s="11"/>
      <c r="L71" s="11"/>
      <c r="M71" s="11"/>
      <c r="N71" s="44">
        <f>(S71-P71)/1.18</f>
        <v>0</v>
      </c>
      <c r="O71" s="44">
        <f t="shared" si="3"/>
        <v>0</v>
      </c>
      <c r="P71" s="11">
        <v>8</v>
      </c>
      <c r="Q71" s="11"/>
      <c r="R71" s="11"/>
      <c r="S71" s="11">
        <v>8</v>
      </c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46"/>
      <c r="AE71" s="14" t="s">
        <v>262</v>
      </c>
      <c r="AF71" s="19" t="s">
        <v>601</v>
      </c>
      <c r="AG71" s="14"/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493</v>
      </c>
      <c r="AT71" s="14"/>
      <c r="AU71" s="11"/>
      <c r="AV71" s="14"/>
    </row>
    <row r="72" spans="1:49" s="45" customFormat="1" ht="15" x14ac:dyDescent="0.25">
      <c r="A72" s="46">
        <v>46093</v>
      </c>
      <c r="B72" s="13"/>
      <c r="C72" s="41" t="s">
        <v>49</v>
      </c>
      <c r="D72" s="42" t="s">
        <v>294</v>
      </c>
      <c r="E72" s="14"/>
      <c r="F72" s="71">
        <v>12640</v>
      </c>
      <c r="G72" s="42" t="s">
        <v>50</v>
      </c>
      <c r="H72" s="31">
        <v>10209907327</v>
      </c>
      <c r="I72" s="43" t="str">
        <f>IF(H72="","",VLOOKUP(H72,ENTIDAD!$B$2:$C$613,2,0))</f>
        <v>TORPOCO,MAYTA,HECTOR,ALFONSO</v>
      </c>
      <c r="J72" s="11"/>
      <c r="K72" s="11"/>
      <c r="L72" s="11"/>
      <c r="M72" s="11"/>
      <c r="N72" s="44">
        <f>(S72-P72)/1.18</f>
        <v>0</v>
      </c>
      <c r="O72" s="44">
        <f t="shared" si="3"/>
        <v>0</v>
      </c>
      <c r="P72" s="11">
        <v>10</v>
      </c>
      <c r="Q72" s="11"/>
      <c r="R72" s="11"/>
      <c r="S72" s="11">
        <v>10</v>
      </c>
      <c r="T72" s="14"/>
      <c r="U72" s="14"/>
      <c r="V72" s="13"/>
      <c r="W72" s="15"/>
      <c r="X72" s="13"/>
      <c r="Y72" s="14"/>
      <c r="Z72" s="14"/>
      <c r="AA72" s="14"/>
      <c r="AB72" s="42" t="s">
        <v>224</v>
      </c>
      <c r="AC72" s="11"/>
      <c r="AD72" s="46"/>
      <c r="AE72" s="14" t="s">
        <v>262</v>
      </c>
      <c r="AF72" s="19" t="s">
        <v>486</v>
      </c>
      <c r="AG72" s="14"/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487</v>
      </c>
      <c r="AT72" s="14"/>
      <c r="AU72" s="11"/>
      <c r="AV72" s="14"/>
    </row>
    <row r="73" spans="1:49" s="45" customFormat="1" ht="15" x14ac:dyDescent="0.25">
      <c r="A73" s="46">
        <v>46093</v>
      </c>
      <c r="B73" s="13"/>
      <c r="C73" s="41" t="s">
        <v>49</v>
      </c>
      <c r="D73" s="42" t="s">
        <v>292</v>
      </c>
      <c r="E73" s="14"/>
      <c r="F73" s="71">
        <v>1271</v>
      </c>
      <c r="G73" s="41" t="s">
        <v>50</v>
      </c>
      <c r="H73" s="31">
        <v>20485903811</v>
      </c>
      <c r="I73" s="43" t="str">
        <f>IF(H73="","",VLOOKUP(H73,ENTIDAD!$B$2:$C$613,2,0))</f>
        <v>EMPRESA DE TRANSPORTES ECO TURISTICO SA</v>
      </c>
      <c r="J73" s="11"/>
      <c r="K73" s="11"/>
      <c r="L73" s="11"/>
      <c r="M73" s="11"/>
      <c r="N73" s="44">
        <v>0</v>
      </c>
      <c r="O73" s="44">
        <f t="shared" si="3"/>
        <v>0</v>
      </c>
      <c r="P73" s="11">
        <v>40</v>
      </c>
      <c r="Q73" s="11"/>
      <c r="R73" s="11"/>
      <c r="S73" s="11">
        <v>40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72">
        <v>46124</v>
      </c>
      <c r="AE73" s="14" t="s">
        <v>465</v>
      </c>
      <c r="AF73" s="37" t="s">
        <v>597</v>
      </c>
      <c r="AG73" s="14" t="s">
        <v>513</v>
      </c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516</v>
      </c>
      <c r="AT73" s="14"/>
      <c r="AU73" s="11"/>
      <c r="AV73" s="14"/>
    </row>
    <row r="74" spans="1:49" s="45" customFormat="1" ht="15" x14ac:dyDescent="0.25">
      <c r="A74" s="46">
        <v>46093</v>
      </c>
      <c r="B74" s="13"/>
      <c r="C74" s="41" t="s">
        <v>49</v>
      </c>
      <c r="D74" s="42" t="s">
        <v>567</v>
      </c>
      <c r="E74" s="14"/>
      <c r="F74" s="71">
        <v>11074</v>
      </c>
      <c r="G74" s="42" t="s">
        <v>50</v>
      </c>
      <c r="H74" s="31">
        <v>20485981536</v>
      </c>
      <c r="I74" s="43" t="str">
        <f>IF(H74="","",VLOOKUP(H74,ENTIDAD!$B$2:$C$613,2,0))</f>
        <v>EMPRESA DE TRANSPORTES TURISMO Y SERVICIOS MULTIPLES SHIMA E.I.R.L.</v>
      </c>
      <c r="J74" s="11"/>
      <c r="K74" s="11"/>
      <c r="L74" s="11"/>
      <c r="M74" s="11"/>
      <c r="N74" s="44">
        <v>0</v>
      </c>
      <c r="O74" s="44">
        <f t="shared" si="3"/>
        <v>0</v>
      </c>
      <c r="P74" s="11">
        <v>40</v>
      </c>
      <c r="Q74" s="11"/>
      <c r="R74" s="11"/>
      <c r="S74" s="11">
        <v>40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72">
        <v>46124</v>
      </c>
      <c r="AE74" s="14" t="s">
        <v>465</v>
      </c>
      <c r="AF74" s="37" t="s">
        <v>597</v>
      </c>
      <c r="AG74" s="14" t="s">
        <v>513</v>
      </c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516</v>
      </c>
      <c r="AT74" s="14"/>
      <c r="AU74" s="11"/>
      <c r="AV74" s="14"/>
    </row>
    <row r="75" spans="1:49" s="45" customFormat="1" ht="15" x14ac:dyDescent="0.25">
      <c r="A75" s="46">
        <v>46094</v>
      </c>
      <c r="B75" s="13"/>
      <c r="C75" s="41" t="s">
        <v>49</v>
      </c>
      <c r="D75" s="42" t="s">
        <v>301</v>
      </c>
      <c r="E75" s="14"/>
      <c r="F75" s="71">
        <v>17241</v>
      </c>
      <c r="G75" s="42" t="s">
        <v>50</v>
      </c>
      <c r="H75" s="31">
        <v>20493508645</v>
      </c>
      <c r="I75" s="43" t="str">
        <f>IF(H75="","",VLOOKUP(H75,ENTIDAD!$B$2:$C$613,2,0))</f>
        <v>HONDA SELVA DEL PERU S.A.</v>
      </c>
      <c r="J75" s="11"/>
      <c r="K75" s="11"/>
      <c r="L75" s="11"/>
      <c r="M75" s="11"/>
      <c r="N75" s="44">
        <f t="shared" ref="N75:N86" si="4">(S75-P75)/1.18</f>
        <v>-1.0338983067135737E-3</v>
      </c>
      <c r="O75" s="44">
        <f t="shared" si="3"/>
        <v>-1.8610169520844326E-4</v>
      </c>
      <c r="P75" s="11">
        <v>22384.77</v>
      </c>
      <c r="Q75" s="11"/>
      <c r="R75" s="11"/>
      <c r="S75" s="11">
        <f>W75*AC75</f>
        <v>22384.768779999999</v>
      </c>
      <c r="T75" s="14"/>
      <c r="U75" s="14"/>
      <c r="V75" s="13"/>
      <c r="W75" s="15">
        <v>3.4489999999999998</v>
      </c>
      <c r="X75" s="13"/>
      <c r="Y75" s="14"/>
      <c r="Z75" s="14"/>
      <c r="AA75" s="14"/>
      <c r="AB75" s="42" t="s">
        <v>383</v>
      </c>
      <c r="AC75" s="11">
        <v>6490.22</v>
      </c>
      <c r="AD75" s="46">
        <v>46125</v>
      </c>
      <c r="AE75" s="34" t="s">
        <v>465</v>
      </c>
      <c r="AF75" s="19" t="s">
        <v>532</v>
      </c>
      <c r="AG75" s="14"/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201</v>
      </c>
      <c r="AT75" s="14"/>
      <c r="AU75" s="11"/>
      <c r="AV75" s="14"/>
    </row>
    <row r="76" spans="1:49" s="45" customFormat="1" ht="15" x14ac:dyDescent="0.25">
      <c r="A76" s="46">
        <v>46094</v>
      </c>
      <c r="B76" s="13"/>
      <c r="C76" s="41" t="s">
        <v>49</v>
      </c>
      <c r="D76" s="42" t="s">
        <v>301</v>
      </c>
      <c r="E76" s="14"/>
      <c r="F76" s="71">
        <v>17240</v>
      </c>
      <c r="G76" s="42" t="s">
        <v>50</v>
      </c>
      <c r="H76" s="31">
        <v>20493508645</v>
      </c>
      <c r="I76" s="43" t="str">
        <f>IF(H76="","",VLOOKUP(H76,ENTIDAD!$B$2:$C$613,2,0))</f>
        <v>HONDA SELVA DEL PERU S.A.</v>
      </c>
      <c r="J76" s="11"/>
      <c r="K76" s="11"/>
      <c r="L76" s="11"/>
      <c r="M76" s="11"/>
      <c r="N76" s="44">
        <f t="shared" si="4"/>
        <v>-2.7118644307631904E-4</v>
      </c>
      <c r="O76" s="44">
        <f t="shared" si="3"/>
        <v>-4.8813559753737429E-5</v>
      </c>
      <c r="P76" s="11">
        <v>26813.63</v>
      </c>
      <c r="Q76" s="11"/>
      <c r="R76" s="11"/>
      <c r="S76" s="11">
        <f>W76*AC76</f>
        <v>26813.629679999998</v>
      </c>
      <c r="T76" s="14"/>
      <c r="U76" s="14"/>
      <c r="V76" s="13"/>
      <c r="W76" s="15">
        <v>3.4489999999999998</v>
      </c>
      <c r="X76" s="13"/>
      <c r="Y76" s="14"/>
      <c r="Z76" s="14"/>
      <c r="AA76" s="14"/>
      <c r="AB76" s="42" t="s">
        <v>383</v>
      </c>
      <c r="AC76" s="11">
        <v>7774.32</v>
      </c>
      <c r="AD76" s="46">
        <v>46125</v>
      </c>
      <c r="AE76" s="34" t="s">
        <v>465</v>
      </c>
      <c r="AF76" s="19" t="s">
        <v>532</v>
      </c>
      <c r="AG76" s="14"/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201</v>
      </c>
      <c r="AT76" s="14"/>
      <c r="AU76" s="11"/>
      <c r="AV76" s="14"/>
    </row>
    <row r="77" spans="1:49" s="45" customFormat="1" ht="15" x14ac:dyDescent="0.25">
      <c r="A77" s="46">
        <v>46095</v>
      </c>
      <c r="B77" s="13"/>
      <c r="C77" s="41" t="s">
        <v>49</v>
      </c>
      <c r="D77" s="42" t="s">
        <v>610</v>
      </c>
      <c r="E77" s="14"/>
      <c r="F77" s="71">
        <v>97</v>
      </c>
      <c r="G77" s="42" t="s">
        <v>50</v>
      </c>
      <c r="H77" s="31">
        <v>20611975491</v>
      </c>
      <c r="I77" s="43" t="str">
        <f>IF(H77="","",VLOOKUP(H77,ENTIDAD!$B$2:$C$613,2,0))</f>
        <v>GRUPO VTA S.A.C.</v>
      </c>
      <c r="J77" s="11"/>
      <c r="K77" s="11"/>
      <c r="L77" s="11"/>
      <c r="M77" s="11"/>
      <c r="N77" s="44">
        <f t="shared" si="4"/>
        <v>0</v>
      </c>
      <c r="O77" s="44">
        <f t="shared" si="3"/>
        <v>0</v>
      </c>
      <c r="P77" s="11">
        <v>120</v>
      </c>
      <c r="Q77" s="11"/>
      <c r="R77" s="11"/>
      <c r="S77" s="11">
        <v>120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46">
        <v>46126</v>
      </c>
      <c r="AE77" s="14" t="s">
        <v>465</v>
      </c>
      <c r="AF77" s="119" t="s">
        <v>619</v>
      </c>
      <c r="AG77" s="14"/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620</v>
      </c>
      <c r="AT77" s="14"/>
      <c r="AU77" s="11"/>
      <c r="AV77" s="14"/>
    </row>
    <row r="78" spans="1:49" s="45" customFormat="1" ht="15" x14ac:dyDescent="0.25">
      <c r="A78" s="74">
        <v>46095</v>
      </c>
      <c r="B78" s="26"/>
      <c r="C78" s="75" t="s">
        <v>49</v>
      </c>
      <c r="D78" s="76" t="s">
        <v>615</v>
      </c>
      <c r="E78" s="27"/>
      <c r="F78" s="86">
        <v>507880</v>
      </c>
      <c r="G78" s="76" t="s">
        <v>50</v>
      </c>
      <c r="H78" s="32">
        <v>20100210909</v>
      </c>
      <c r="I78" s="78" t="str">
        <f>IF(H78="","",VLOOKUP(H78,ENTIDAD!$B$2:$C$613,2,0))</f>
        <v>LA POSITIVA SEGUROS Y REASEGUROS S.A.A.</v>
      </c>
      <c r="J78" s="28"/>
      <c r="K78" s="28"/>
      <c r="L78" s="28"/>
      <c r="M78" s="28"/>
      <c r="N78" s="79">
        <f t="shared" si="4"/>
        <v>144.06779661016949</v>
      </c>
      <c r="O78" s="79">
        <f t="shared" si="3"/>
        <v>25.932203389830509</v>
      </c>
      <c r="P78" s="28">
        <v>0</v>
      </c>
      <c r="Q78" s="28"/>
      <c r="R78" s="28"/>
      <c r="S78" s="28">
        <v>170</v>
      </c>
      <c r="T78" s="27"/>
      <c r="U78" s="27"/>
      <c r="V78" s="26"/>
      <c r="W78" s="80"/>
      <c r="X78" s="26"/>
      <c r="Y78" s="27"/>
      <c r="Z78" s="27"/>
      <c r="AA78" s="27"/>
      <c r="AB78" s="76" t="s">
        <v>224</v>
      </c>
      <c r="AC78" s="28"/>
      <c r="AD78" s="74">
        <v>46126</v>
      </c>
      <c r="AE78" s="27" t="s">
        <v>465</v>
      </c>
      <c r="AF78" s="29"/>
      <c r="AG78" s="27"/>
      <c r="AH78" s="27" t="s">
        <v>225</v>
      </c>
      <c r="AI78" s="27"/>
      <c r="AJ78" s="27"/>
      <c r="AK78" s="30"/>
      <c r="AL78" s="28"/>
      <c r="AM78" s="28"/>
      <c r="AN78" s="27"/>
      <c r="AO78" s="27"/>
      <c r="AP78" s="26"/>
      <c r="AQ78" s="27"/>
      <c r="AR78" s="28">
        <v>18</v>
      </c>
      <c r="AS78" s="27"/>
      <c r="AT78" s="27"/>
      <c r="AU78" s="28"/>
      <c r="AV78" s="27"/>
      <c r="AW78" s="81"/>
    </row>
    <row r="79" spans="1:49" s="45" customFormat="1" ht="15" x14ac:dyDescent="0.25">
      <c r="A79" s="46">
        <v>46097</v>
      </c>
      <c r="B79" s="13"/>
      <c r="C79" s="41" t="s">
        <v>49</v>
      </c>
      <c r="D79" s="42" t="s">
        <v>294</v>
      </c>
      <c r="E79" s="14"/>
      <c r="F79" s="71">
        <v>6123</v>
      </c>
      <c r="G79" s="42" t="s">
        <v>50</v>
      </c>
      <c r="H79" s="31">
        <v>20486549328</v>
      </c>
      <c r="I79" s="43" t="str">
        <f>IF(H79="","",VLOOKUP(H79,ENTIDAD!$B$2:$C$613,2,0))</f>
        <v>SANTISIMA TRINIDAD E.I.R.L.</v>
      </c>
      <c r="J79" s="11"/>
      <c r="K79" s="11"/>
      <c r="L79" s="11"/>
      <c r="M79" s="11"/>
      <c r="N79" s="44">
        <f t="shared" si="4"/>
        <v>0</v>
      </c>
      <c r="O79" s="44">
        <f t="shared" si="3"/>
        <v>0</v>
      </c>
      <c r="P79" s="11">
        <v>15</v>
      </c>
      <c r="Q79" s="11"/>
      <c r="R79" s="11"/>
      <c r="S79" s="11">
        <v>15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46">
        <v>46128</v>
      </c>
      <c r="AE79" s="14" t="s">
        <v>465</v>
      </c>
      <c r="AF79" s="19" t="s">
        <v>521</v>
      </c>
      <c r="AG79" s="14"/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618</v>
      </c>
      <c r="AT79" s="14"/>
      <c r="AU79" s="11"/>
      <c r="AV79" s="14"/>
    </row>
    <row r="80" spans="1:49" s="45" customFormat="1" ht="15" x14ac:dyDescent="0.25">
      <c r="A80" s="46">
        <v>46097</v>
      </c>
      <c r="B80" s="13"/>
      <c r="C80" s="41" t="s">
        <v>49</v>
      </c>
      <c r="D80" s="42" t="s">
        <v>294</v>
      </c>
      <c r="E80" s="14"/>
      <c r="F80" s="71">
        <v>685</v>
      </c>
      <c r="G80" s="42" t="s">
        <v>50</v>
      </c>
      <c r="H80" s="31">
        <v>10733910921</v>
      </c>
      <c r="I80" s="43" t="str">
        <f>IF(H80="","",VLOOKUP(H80,ENTIDAD!$B$2:$C$613,2,0))</f>
        <v>MADUEÑO HUAMAN LILI CLISSELY</v>
      </c>
      <c r="J80" s="11"/>
      <c r="K80" s="11"/>
      <c r="L80" s="11"/>
      <c r="M80" s="11"/>
      <c r="N80" s="44">
        <f t="shared" si="4"/>
        <v>0</v>
      </c>
      <c r="O80" s="44">
        <f t="shared" si="3"/>
        <v>0</v>
      </c>
      <c r="P80" s="11">
        <v>10</v>
      </c>
      <c r="Q80" s="11"/>
      <c r="R80" s="11"/>
      <c r="S80" s="11">
        <v>10</v>
      </c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46"/>
      <c r="AE80" s="14" t="s">
        <v>262</v>
      </c>
      <c r="AF80" s="19" t="s">
        <v>621</v>
      </c>
      <c r="AG80" s="14"/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 t="s">
        <v>622</v>
      </c>
      <c r="AT80" s="14"/>
      <c r="AU80" s="11"/>
      <c r="AV80" s="14"/>
    </row>
    <row r="81" spans="1:49" s="45" customFormat="1" ht="15.75" customHeight="1" x14ac:dyDescent="0.25">
      <c r="A81" s="46">
        <v>46097</v>
      </c>
      <c r="B81" s="13"/>
      <c r="C81" s="41" t="s">
        <v>49</v>
      </c>
      <c r="D81" s="42" t="s">
        <v>294</v>
      </c>
      <c r="E81" s="14"/>
      <c r="F81" s="71">
        <v>683</v>
      </c>
      <c r="G81" s="42" t="s">
        <v>50</v>
      </c>
      <c r="H81" s="31">
        <v>10733910921</v>
      </c>
      <c r="I81" s="43" t="str">
        <f>IF(H81="","",VLOOKUP(H81,ENTIDAD!$B$2:$C$613,2,0))</f>
        <v>MADUEÑO HUAMAN LILI CLISSELY</v>
      </c>
      <c r="J81" s="11"/>
      <c r="K81" s="11"/>
      <c r="L81" s="11"/>
      <c r="M81" s="11"/>
      <c r="N81" s="44">
        <f t="shared" si="4"/>
        <v>0</v>
      </c>
      <c r="O81" s="44">
        <f t="shared" si="3"/>
        <v>0</v>
      </c>
      <c r="P81" s="11">
        <v>7</v>
      </c>
      <c r="Q81" s="11"/>
      <c r="R81" s="11"/>
      <c r="S81" s="11">
        <v>7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46"/>
      <c r="AE81" s="14" t="s">
        <v>262</v>
      </c>
      <c r="AF81" s="19" t="s">
        <v>621</v>
      </c>
      <c r="AG81" s="14"/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625</v>
      </c>
      <c r="AT81" s="14"/>
      <c r="AU81" s="11"/>
      <c r="AV81" s="14"/>
    </row>
    <row r="82" spans="1:49" s="45" customFormat="1" ht="15" x14ac:dyDescent="0.25">
      <c r="A82" s="46">
        <v>46097</v>
      </c>
      <c r="B82" s="13"/>
      <c r="C82" s="42" t="s">
        <v>49</v>
      </c>
      <c r="D82" s="42" t="s">
        <v>294</v>
      </c>
      <c r="E82" s="14"/>
      <c r="F82" s="71">
        <v>118245</v>
      </c>
      <c r="G82" s="42" t="s">
        <v>50</v>
      </c>
      <c r="H82" s="31">
        <v>20568499043</v>
      </c>
      <c r="I82" s="43" t="str">
        <f>IF(H82="","",VLOOKUP(H82,ENTIDAD!$B$2:$C$613,2,0))</f>
        <v>SURTIDORES SAN MIGUEL E.I.R.L.</v>
      </c>
      <c r="J82" s="11"/>
      <c r="K82" s="11"/>
      <c r="L82" s="11"/>
      <c r="M82" s="11"/>
      <c r="N82" s="11">
        <f t="shared" si="4"/>
        <v>0</v>
      </c>
      <c r="O82" s="11">
        <f t="shared" si="3"/>
        <v>0</v>
      </c>
      <c r="P82" s="11">
        <v>100</v>
      </c>
      <c r="Q82" s="11"/>
      <c r="R82" s="11"/>
      <c r="S82" s="11">
        <v>100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46"/>
      <c r="AE82" s="14" t="s">
        <v>262</v>
      </c>
      <c r="AF82" s="19" t="s">
        <v>488</v>
      </c>
      <c r="AG82" s="14"/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487</v>
      </c>
      <c r="AT82" s="14"/>
      <c r="AU82" s="11"/>
      <c r="AV82" s="14"/>
    </row>
    <row r="83" spans="1:49" s="45" customFormat="1" ht="15" x14ac:dyDescent="0.25">
      <c r="A83" s="46">
        <v>46099</v>
      </c>
      <c r="B83" s="13"/>
      <c r="C83" s="42" t="s">
        <v>49</v>
      </c>
      <c r="D83" s="42" t="s">
        <v>294</v>
      </c>
      <c r="E83" s="14"/>
      <c r="F83" s="71">
        <v>32572</v>
      </c>
      <c r="G83" s="42" t="s">
        <v>50</v>
      </c>
      <c r="H83" s="31">
        <v>20573866909</v>
      </c>
      <c r="I83" s="43" t="str">
        <f>IF(H83="","",VLOOKUP(H83,ENTIDAD!$B$2:$C$613,2,0))</f>
        <v>ESTACION DE SERVICIOS GASOCENTRO MISABEL E.I.R.L.</v>
      </c>
      <c r="J83" s="11"/>
      <c r="K83" s="11"/>
      <c r="L83" s="11"/>
      <c r="M83" s="11"/>
      <c r="N83" s="11">
        <f t="shared" si="4"/>
        <v>0</v>
      </c>
      <c r="O83" s="11">
        <f t="shared" si="3"/>
        <v>0</v>
      </c>
      <c r="P83" s="11">
        <v>10</v>
      </c>
      <c r="Q83" s="11"/>
      <c r="R83" s="11"/>
      <c r="S83" s="11">
        <v>10</v>
      </c>
      <c r="T83" s="14"/>
      <c r="U83" s="14"/>
      <c r="V83" s="13"/>
      <c r="W83" s="15"/>
      <c r="X83" s="13"/>
      <c r="Y83" s="14"/>
      <c r="Z83" s="14"/>
      <c r="AA83" s="14"/>
      <c r="AB83" s="42" t="s">
        <v>224</v>
      </c>
      <c r="AC83" s="11"/>
      <c r="AD83" s="46"/>
      <c r="AE83" s="14" t="s">
        <v>262</v>
      </c>
      <c r="AF83" s="19" t="s">
        <v>486</v>
      </c>
      <c r="AG83" s="14"/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487</v>
      </c>
      <c r="AT83" s="14"/>
      <c r="AU83" s="11"/>
      <c r="AV83" s="14"/>
    </row>
    <row r="84" spans="1:49" s="81" customFormat="1" ht="15" x14ac:dyDescent="0.25">
      <c r="A84" s="46">
        <v>46099</v>
      </c>
      <c r="B84" s="13"/>
      <c r="C84" s="42" t="s">
        <v>49</v>
      </c>
      <c r="D84" s="42" t="s">
        <v>301</v>
      </c>
      <c r="E84" s="14"/>
      <c r="F84" s="71">
        <v>556</v>
      </c>
      <c r="G84" s="42" t="s">
        <v>50</v>
      </c>
      <c r="H84" s="31">
        <v>20602109225</v>
      </c>
      <c r="I84" s="43" t="str">
        <f>IF(H84="","",VLOOKUP(H84,ENTIDAD!$B$2:$C$613,2,0))</f>
        <v>SISTEMA ECOLÓGICO INTEGRAL DE TECNOLOGÍAS E INFORMÁTICA SOCIEDAD ANONIMA CERRADA - ECO SITI S.A.C.</v>
      </c>
      <c r="J84" s="11"/>
      <c r="K84" s="11"/>
      <c r="L84" s="11"/>
      <c r="M84" s="11"/>
      <c r="N84" s="11">
        <f t="shared" si="4"/>
        <v>0</v>
      </c>
      <c r="O84" s="11">
        <f t="shared" si="3"/>
        <v>0</v>
      </c>
      <c r="P84" s="11">
        <v>119.7</v>
      </c>
      <c r="Q84" s="11"/>
      <c r="R84" s="11"/>
      <c r="S84" s="11">
        <v>119.7</v>
      </c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46"/>
      <c r="AE84" s="14" t="s">
        <v>262</v>
      </c>
      <c r="AF84" s="19">
        <v>6364095</v>
      </c>
      <c r="AG84" s="14"/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511</v>
      </c>
      <c r="AT84" s="14"/>
      <c r="AU84" s="11"/>
      <c r="AV84" s="14"/>
      <c r="AW84" s="45"/>
    </row>
    <row r="85" spans="1:49" s="45" customFormat="1" ht="15" x14ac:dyDescent="0.25">
      <c r="A85" s="46">
        <v>46099</v>
      </c>
      <c r="B85" s="13"/>
      <c r="C85" s="42" t="s">
        <v>49</v>
      </c>
      <c r="D85" s="42" t="s">
        <v>301</v>
      </c>
      <c r="E85" s="14"/>
      <c r="F85" s="71">
        <v>17300</v>
      </c>
      <c r="G85" s="42" t="s">
        <v>50</v>
      </c>
      <c r="H85" s="31">
        <v>20493508645</v>
      </c>
      <c r="I85" s="43" t="str">
        <f>IF(H85="","",VLOOKUP(H85,ENTIDAD!$B$2:$C$613,2,0))</f>
        <v>HONDA SELVA DEL PERU S.A.</v>
      </c>
      <c r="J85" s="11"/>
      <c r="K85" s="11"/>
      <c r="L85" s="11"/>
      <c r="M85" s="11"/>
      <c r="N85" s="11">
        <f t="shared" si="4"/>
        <v>2.8389830438724042E-3</v>
      </c>
      <c r="O85" s="11">
        <f t="shared" si="3"/>
        <v>5.1101694789703277E-4</v>
      </c>
      <c r="P85" s="11">
        <v>64931.71</v>
      </c>
      <c r="Q85" s="11"/>
      <c r="R85" s="11"/>
      <c r="S85" s="11">
        <f>W85*AC85</f>
        <v>64931.713349999991</v>
      </c>
      <c r="T85" s="14"/>
      <c r="U85" s="14"/>
      <c r="V85" s="13"/>
      <c r="W85" s="15">
        <v>3.4169999999999998</v>
      </c>
      <c r="X85" s="13"/>
      <c r="Y85" s="14"/>
      <c r="Z85" s="14"/>
      <c r="AA85" s="14"/>
      <c r="AB85" s="42" t="s">
        <v>383</v>
      </c>
      <c r="AC85" s="11">
        <v>19002.55</v>
      </c>
      <c r="AD85" s="46">
        <v>46130</v>
      </c>
      <c r="AE85" s="34" t="s">
        <v>465</v>
      </c>
      <c r="AF85" s="19" t="s">
        <v>532</v>
      </c>
      <c r="AG85" s="14"/>
      <c r="AH85" s="1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 t="s">
        <v>201</v>
      </c>
      <c r="AT85" s="14"/>
      <c r="AU85" s="11"/>
      <c r="AV85" s="14"/>
    </row>
    <row r="86" spans="1:49" s="45" customFormat="1" ht="15" x14ac:dyDescent="0.25">
      <c r="A86" s="46">
        <v>46099</v>
      </c>
      <c r="B86" s="13"/>
      <c r="C86" s="42" t="s">
        <v>49</v>
      </c>
      <c r="D86" s="42" t="s">
        <v>441</v>
      </c>
      <c r="E86" s="14"/>
      <c r="F86" s="71">
        <v>44001063</v>
      </c>
      <c r="G86" s="42" t="s">
        <v>50</v>
      </c>
      <c r="H86" s="31">
        <v>20100047218</v>
      </c>
      <c r="I86" s="43" t="str">
        <f>IF(H86="","",VLOOKUP(H86,ENTIDAD!$B$2:$C$613,2,0))</f>
        <v>BANCO DE CREDITO DEL PERU</v>
      </c>
      <c r="J86" s="11"/>
      <c r="K86" s="11"/>
      <c r="L86" s="11"/>
      <c r="M86" s="11"/>
      <c r="N86" s="11">
        <f t="shared" si="4"/>
        <v>0</v>
      </c>
      <c r="O86" s="11">
        <f t="shared" si="3"/>
        <v>0</v>
      </c>
      <c r="P86" s="11">
        <v>10</v>
      </c>
      <c r="Q86" s="11"/>
      <c r="R86" s="11"/>
      <c r="S86" s="11">
        <v>10</v>
      </c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46">
        <v>46130</v>
      </c>
      <c r="AE86" s="14" t="s">
        <v>465</v>
      </c>
      <c r="AF86" s="73" t="s">
        <v>494</v>
      </c>
      <c r="AG86" s="14"/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495</v>
      </c>
      <c r="AT86" s="14"/>
      <c r="AU86" s="11"/>
      <c r="AV86" s="14"/>
    </row>
    <row r="87" spans="1:49" s="45" customFormat="1" ht="15" x14ac:dyDescent="0.25">
      <c r="A87" s="13">
        <v>46099</v>
      </c>
      <c r="B87" s="13"/>
      <c r="C87" s="42" t="s">
        <v>49</v>
      </c>
      <c r="D87" s="42" t="s">
        <v>441</v>
      </c>
      <c r="E87" s="14"/>
      <c r="F87" s="71">
        <v>44001163</v>
      </c>
      <c r="G87" s="42" t="s">
        <v>50</v>
      </c>
      <c r="H87" s="31">
        <v>20100047218</v>
      </c>
      <c r="I87" s="43" t="str">
        <f>IF(H87="","",VLOOKUP(H87,ENTIDAD!$B$2:$C$613,2,0))</f>
        <v>BANCO DE CREDITO DEL PERU</v>
      </c>
      <c r="J87" s="11"/>
      <c r="K87" s="11"/>
      <c r="L87" s="11"/>
      <c r="M87" s="11"/>
      <c r="N87" s="11">
        <v>0</v>
      </c>
      <c r="O87" s="11">
        <f t="shared" si="3"/>
        <v>0</v>
      </c>
      <c r="P87" s="11">
        <v>10</v>
      </c>
      <c r="Q87" s="11"/>
      <c r="R87" s="11"/>
      <c r="S87" s="11">
        <v>10</v>
      </c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72">
        <v>46130</v>
      </c>
      <c r="AE87" s="14" t="s">
        <v>465</v>
      </c>
      <c r="AF87" s="73" t="s">
        <v>494</v>
      </c>
      <c r="AG87" s="14"/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 t="s">
        <v>495</v>
      </c>
      <c r="AT87" s="14"/>
      <c r="AU87" s="11"/>
      <c r="AV87" s="14"/>
    </row>
    <row r="88" spans="1:49" s="45" customFormat="1" ht="15" x14ac:dyDescent="0.25">
      <c r="A88" s="46">
        <v>46100</v>
      </c>
      <c r="B88" s="13"/>
      <c r="C88" s="42" t="s">
        <v>49</v>
      </c>
      <c r="D88" s="42" t="s">
        <v>574</v>
      </c>
      <c r="E88" s="14"/>
      <c r="F88" s="71">
        <v>218</v>
      </c>
      <c r="G88" s="42" t="s">
        <v>50</v>
      </c>
      <c r="H88" s="31">
        <v>10421947665</v>
      </c>
      <c r="I88" s="43" t="str">
        <f>IF(H88="","",VLOOKUP(H88,ENTIDAD!$B$2:$C$613,2,0))</f>
        <v>MAYTA,MADUEÑO,SAUL,JESUS</v>
      </c>
      <c r="J88" s="11"/>
      <c r="K88" s="11"/>
      <c r="L88" s="11"/>
      <c r="M88" s="11"/>
      <c r="N88" s="11">
        <f>(S88-P88)/1.18</f>
        <v>0</v>
      </c>
      <c r="O88" s="11">
        <f t="shared" si="3"/>
        <v>0</v>
      </c>
      <c r="P88" s="11">
        <v>45</v>
      </c>
      <c r="Q88" s="11"/>
      <c r="R88" s="11"/>
      <c r="S88" s="11">
        <v>45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46"/>
      <c r="AE88" s="14" t="s">
        <v>262</v>
      </c>
      <c r="AF88" s="19" t="s">
        <v>515</v>
      </c>
      <c r="AG88" s="14"/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187</v>
      </c>
      <c r="AT88" s="14"/>
      <c r="AU88" s="11"/>
      <c r="AV88" s="14"/>
    </row>
    <row r="89" spans="1:49" s="45" customFormat="1" ht="15" x14ac:dyDescent="0.25">
      <c r="A89" s="46">
        <v>46100</v>
      </c>
      <c r="B89" s="13"/>
      <c r="C89" s="42" t="s">
        <v>49</v>
      </c>
      <c r="D89" s="42" t="s">
        <v>301</v>
      </c>
      <c r="E89" s="14"/>
      <c r="F89" s="71">
        <v>17318</v>
      </c>
      <c r="G89" s="42" t="s">
        <v>50</v>
      </c>
      <c r="H89" s="31">
        <v>20493508645</v>
      </c>
      <c r="I89" s="43" t="str">
        <f>IF(H89="","",VLOOKUP(H89,ENTIDAD!$B$2:$C$613,2,0))</f>
        <v>HONDA SELVA DEL PERU S.A.</v>
      </c>
      <c r="J89" s="11"/>
      <c r="K89" s="11"/>
      <c r="L89" s="11"/>
      <c r="M89" s="11"/>
      <c r="N89" s="11">
        <f>(S89-P89)/1.18</f>
        <v>1.7796610182366271E-3</v>
      </c>
      <c r="O89" s="11">
        <f t="shared" si="3"/>
        <v>3.2033898328259286E-4</v>
      </c>
      <c r="P89" s="11">
        <v>16720.41</v>
      </c>
      <c r="Q89" s="11"/>
      <c r="R89" s="11"/>
      <c r="S89" s="11">
        <f>W89*AC89</f>
        <v>16720.412100000001</v>
      </c>
      <c r="T89" s="14"/>
      <c r="U89" s="14"/>
      <c r="V89" s="13"/>
      <c r="W89" s="15">
        <v>3.4350000000000001</v>
      </c>
      <c r="X89" s="13"/>
      <c r="Y89" s="14"/>
      <c r="Z89" s="14"/>
      <c r="AA89" s="14"/>
      <c r="AB89" s="42" t="s">
        <v>383</v>
      </c>
      <c r="AC89" s="11">
        <v>4867.66</v>
      </c>
      <c r="AD89" s="46">
        <v>46131</v>
      </c>
      <c r="AE89" s="34" t="s">
        <v>465</v>
      </c>
      <c r="AF89" s="19" t="s">
        <v>532</v>
      </c>
      <c r="AG89" s="14"/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201</v>
      </c>
      <c r="AT89" s="14"/>
      <c r="AU89" s="11"/>
      <c r="AV89" s="14"/>
    </row>
    <row r="90" spans="1:49" s="45" customFormat="1" ht="15" x14ac:dyDescent="0.25">
      <c r="A90" s="46">
        <v>46100</v>
      </c>
      <c r="B90" s="13"/>
      <c r="C90" s="42" t="s">
        <v>49</v>
      </c>
      <c r="D90" s="42" t="s">
        <v>301</v>
      </c>
      <c r="E90" s="14"/>
      <c r="F90" s="71">
        <v>17317</v>
      </c>
      <c r="G90" s="42" t="s">
        <v>50</v>
      </c>
      <c r="H90" s="31">
        <v>20493508645</v>
      </c>
      <c r="I90" s="43" t="str">
        <f>IF(H90="","",VLOOKUP(H90,ENTIDAD!$B$2:$C$613,2,0))</f>
        <v>HONDA SELVA DEL PERU S.A.</v>
      </c>
      <c r="J90" s="11"/>
      <c r="K90" s="11"/>
      <c r="L90" s="11"/>
      <c r="M90" s="11"/>
      <c r="N90" s="11">
        <f>(S90-P90)/1.18</f>
        <v>-2.9661016939780123E-3</v>
      </c>
      <c r="O90" s="11">
        <f t="shared" si="3"/>
        <v>-5.3389830491604217E-4</v>
      </c>
      <c r="P90" s="11">
        <v>33380.99</v>
      </c>
      <c r="Q90" s="11"/>
      <c r="R90" s="11"/>
      <c r="S90" s="11">
        <f>W90*AC90</f>
        <v>33380.986499999999</v>
      </c>
      <c r="T90" s="14"/>
      <c r="U90" s="14"/>
      <c r="V90" s="13"/>
      <c r="W90" s="15">
        <v>3.4350000000000001</v>
      </c>
      <c r="X90" s="13"/>
      <c r="Y90" s="14"/>
      <c r="Z90" s="14"/>
      <c r="AA90" s="14"/>
      <c r="AB90" s="42" t="s">
        <v>383</v>
      </c>
      <c r="AC90" s="11">
        <v>9717.9</v>
      </c>
      <c r="AD90" s="46">
        <v>46131</v>
      </c>
      <c r="AE90" s="34" t="s">
        <v>465</v>
      </c>
      <c r="AF90" s="19" t="s">
        <v>532</v>
      </c>
      <c r="AG90" s="14"/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201</v>
      </c>
      <c r="AT90" s="14"/>
      <c r="AU90" s="11"/>
      <c r="AV90" s="14"/>
    </row>
    <row r="91" spans="1:49" s="45" customFormat="1" ht="15" x14ac:dyDescent="0.25">
      <c r="A91" s="13">
        <v>46101</v>
      </c>
      <c r="B91" s="13"/>
      <c r="C91" s="42" t="s">
        <v>49</v>
      </c>
      <c r="D91" s="42" t="s">
        <v>299</v>
      </c>
      <c r="E91" s="14"/>
      <c r="F91" s="71">
        <v>3746869</v>
      </c>
      <c r="G91" s="42" t="s">
        <v>50</v>
      </c>
      <c r="H91" s="31">
        <v>20101973922</v>
      </c>
      <c r="I91" s="43" t="str">
        <f>IF(H91="","",VLOOKUP(H91,ENTIDAD!$B$2:$C$613,2,0))</f>
        <v>ASOCIACION AUTOMOTRIZ DEL PERU</v>
      </c>
      <c r="J91" s="11"/>
      <c r="K91" s="11"/>
      <c r="L91" s="11"/>
      <c r="M91" s="11"/>
      <c r="N91" s="11">
        <v>0</v>
      </c>
      <c r="O91" s="11">
        <f t="shared" si="3"/>
        <v>0</v>
      </c>
      <c r="P91" s="11">
        <v>0</v>
      </c>
      <c r="Q91" s="11"/>
      <c r="R91" s="11">
        <v>66.8</v>
      </c>
      <c r="S91" s="11">
        <v>66.8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72">
        <v>46116</v>
      </c>
      <c r="AE91" s="34" t="s">
        <v>465</v>
      </c>
      <c r="AF91" s="37" t="s">
        <v>550</v>
      </c>
      <c r="AG91" s="14" t="s">
        <v>513</v>
      </c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566</v>
      </c>
      <c r="AT91" s="14"/>
      <c r="AU91" s="11"/>
      <c r="AV91" s="14"/>
    </row>
    <row r="92" spans="1:49" s="45" customFormat="1" ht="15" x14ac:dyDescent="0.25">
      <c r="A92" s="46">
        <v>46101</v>
      </c>
      <c r="B92" s="13"/>
      <c r="C92" s="42" t="s">
        <v>49</v>
      </c>
      <c r="D92" s="42" t="s">
        <v>299</v>
      </c>
      <c r="E92" s="14"/>
      <c r="F92" s="71">
        <v>3746870</v>
      </c>
      <c r="G92" s="42" t="s">
        <v>50</v>
      </c>
      <c r="H92" s="31">
        <v>20101973922</v>
      </c>
      <c r="I92" s="43" t="str">
        <f>IF(H92="","",VLOOKUP(H92,ENTIDAD!$B$2:$C$613,2,0))</f>
        <v>ASOCIACION AUTOMOTRIZ DEL PERU</v>
      </c>
      <c r="J92" s="11"/>
      <c r="K92" s="11"/>
      <c r="L92" s="11"/>
      <c r="M92" s="11"/>
      <c r="N92" s="11">
        <v>0</v>
      </c>
      <c r="O92" s="11">
        <f t="shared" si="3"/>
        <v>0</v>
      </c>
      <c r="P92" s="11">
        <v>0</v>
      </c>
      <c r="Q92" s="11"/>
      <c r="R92" s="11">
        <v>66.8</v>
      </c>
      <c r="S92" s="11">
        <v>66.8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72">
        <v>46116</v>
      </c>
      <c r="AE92" s="34" t="s">
        <v>465</v>
      </c>
      <c r="AF92" s="37" t="s">
        <v>550</v>
      </c>
      <c r="AG92" s="14" t="s">
        <v>513</v>
      </c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566</v>
      </c>
      <c r="AT92" s="14"/>
      <c r="AU92" s="11"/>
      <c r="AV92" s="14"/>
    </row>
    <row r="93" spans="1:49" s="45" customFormat="1" ht="15" x14ac:dyDescent="0.25">
      <c r="A93" s="13">
        <v>46101</v>
      </c>
      <c r="B93" s="13"/>
      <c r="C93" s="42" t="s">
        <v>49</v>
      </c>
      <c r="D93" s="42" t="s">
        <v>299</v>
      </c>
      <c r="E93" s="14"/>
      <c r="F93" s="71">
        <v>3746871</v>
      </c>
      <c r="G93" s="42" t="s">
        <v>50</v>
      </c>
      <c r="H93" s="31">
        <v>20101973922</v>
      </c>
      <c r="I93" s="43" t="str">
        <f>IF(H93="","",VLOOKUP(H93,ENTIDAD!$B$2:$C$613,2,0))</f>
        <v>ASOCIACION AUTOMOTRIZ DEL PERU</v>
      </c>
      <c r="J93" s="11"/>
      <c r="K93" s="11"/>
      <c r="L93" s="11"/>
      <c r="M93" s="11"/>
      <c r="N93" s="11">
        <v>0</v>
      </c>
      <c r="O93" s="11">
        <f t="shared" si="3"/>
        <v>0</v>
      </c>
      <c r="P93" s="11">
        <v>0</v>
      </c>
      <c r="Q93" s="11"/>
      <c r="R93" s="11">
        <v>66.8</v>
      </c>
      <c r="S93" s="11">
        <v>66.8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72">
        <v>46116</v>
      </c>
      <c r="AE93" s="34" t="s">
        <v>465</v>
      </c>
      <c r="AF93" s="37" t="s">
        <v>550</v>
      </c>
      <c r="AG93" s="14" t="s">
        <v>513</v>
      </c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566</v>
      </c>
      <c r="AT93" s="14"/>
      <c r="AU93" s="11"/>
      <c r="AV93" s="14"/>
    </row>
    <row r="94" spans="1:49" s="45" customFormat="1" ht="15" x14ac:dyDescent="0.25">
      <c r="A94" s="46">
        <v>46101</v>
      </c>
      <c r="B94" s="13"/>
      <c r="C94" s="42" t="s">
        <v>49</v>
      </c>
      <c r="D94" s="42" t="s">
        <v>299</v>
      </c>
      <c r="E94" s="14"/>
      <c r="F94" s="71">
        <v>3746872</v>
      </c>
      <c r="G94" s="42" t="s">
        <v>50</v>
      </c>
      <c r="H94" s="31">
        <v>20101973922</v>
      </c>
      <c r="I94" s="43" t="str">
        <f>IF(H94="","",VLOOKUP(H94,ENTIDAD!$B$2:$C$613,2,0))</f>
        <v>ASOCIACION AUTOMOTRIZ DEL PERU</v>
      </c>
      <c r="J94" s="11"/>
      <c r="K94" s="11"/>
      <c r="L94" s="11"/>
      <c r="M94" s="11"/>
      <c r="N94" s="11">
        <v>0</v>
      </c>
      <c r="O94" s="11">
        <f t="shared" si="3"/>
        <v>0</v>
      </c>
      <c r="P94" s="11">
        <v>0</v>
      </c>
      <c r="Q94" s="11"/>
      <c r="R94" s="11">
        <v>66.8</v>
      </c>
      <c r="S94" s="11">
        <v>66.8</v>
      </c>
      <c r="T94" s="14"/>
      <c r="U94" s="14"/>
      <c r="V94" s="13"/>
      <c r="W94" s="15"/>
      <c r="X94" s="13"/>
      <c r="Y94" s="14"/>
      <c r="Z94" s="14"/>
      <c r="AA94" s="14"/>
      <c r="AB94" s="42" t="s">
        <v>224</v>
      </c>
      <c r="AC94" s="11"/>
      <c r="AD94" s="72">
        <v>46116</v>
      </c>
      <c r="AE94" s="34" t="s">
        <v>465</v>
      </c>
      <c r="AF94" s="37" t="s">
        <v>550</v>
      </c>
      <c r="AG94" s="14" t="s">
        <v>513</v>
      </c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566</v>
      </c>
      <c r="AT94" s="14"/>
      <c r="AU94" s="11"/>
      <c r="AV94" s="14"/>
    </row>
    <row r="95" spans="1:49" s="45" customFormat="1" ht="15" x14ac:dyDescent="0.25">
      <c r="A95" s="13">
        <v>46101</v>
      </c>
      <c r="B95" s="13"/>
      <c r="C95" s="42" t="s">
        <v>49</v>
      </c>
      <c r="D95" s="42" t="s">
        <v>299</v>
      </c>
      <c r="E95" s="14"/>
      <c r="F95" s="71">
        <v>3746873</v>
      </c>
      <c r="G95" s="42" t="s">
        <v>50</v>
      </c>
      <c r="H95" s="31">
        <v>20101973922</v>
      </c>
      <c r="I95" s="43" t="str">
        <f>IF(H95="","",VLOOKUP(H95,ENTIDAD!$B$2:$C$613,2,0))</f>
        <v>ASOCIACION AUTOMOTRIZ DEL PERU</v>
      </c>
      <c r="J95" s="11"/>
      <c r="K95" s="11"/>
      <c r="L95" s="11"/>
      <c r="M95" s="11"/>
      <c r="N95" s="11">
        <v>0</v>
      </c>
      <c r="O95" s="11">
        <f t="shared" si="3"/>
        <v>0</v>
      </c>
      <c r="P95" s="11">
        <v>0</v>
      </c>
      <c r="Q95" s="11"/>
      <c r="R95" s="11">
        <v>66.8</v>
      </c>
      <c r="S95" s="11">
        <v>66.8</v>
      </c>
      <c r="T95" s="14"/>
      <c r="U95" s="14"/>
      <c r="V95" s="13"/>
      <c r="W95" s="15"/>
      <c r="X95" s="13"/>
      <c r="Y95" s="14"/>
      <c r="Z95" s="14"/>
      <c r="AA95" s="14"/>
      <c r="AB95" s="42" t="s">
        <v>224</v>
      </c>
      <c r="AC95" s="11"/>
      <c r="AD95" s="72">
        <v>46116</v>
      </c>
      <c r="AE95" s="34" t="s">
        <v>465</v>
      </c>
      <c r="AF95" s="37" t="s">
        <v>550</v>
      </c>
      <c r="AG95" s="14" t="s">
        <v>513</v>
      </c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566</v>
      </c>
      <c r="AT95" s="14"/>
      <c r="AU95" s="11"/>
      <c r="AV95" s="14"/>
    </row>
    <row r="96" spans="1:49" s="45" customFormat="1" ht="15" x14ac:dyDescent="0.25">
      <c r="A96" s="46">
        <v>46101</v>
      </c>
      <c r="B96" s="13"/>
      <c r="C96" s="42" t="s">
        <v>49</v>
      </c>
      <c r="D96" s="42" t="s">
        <v>299</v>
      </c>
      <c r="E96" s="14"/>
      <c r="F96" s="71">
        <v>3746874</v>
      </c>
      <c r="G96" s="42" t="s">
        <v>50</v>
      </c>
      <c r="H96" s="31">
        <v>20101973922</v>
      </c>
      <c r="I96" s="43" t="str">
        <f>IF(H96="","",VLOOKUP(H96,ENTIDAD!$B$2:$C$613,2,0))</f>
        <v>ASOCIACION AUTOMOTRIZ DEL PERU</v>
      </c>
      <c r="J96" s="11"/>
      <c r="K96" s="11"/>
      <c r="L96" s="11"/>
      <c r="M96" s="11"/>
      <c r="N96" s="11">
        <v>0</v>
      </c>
      <c r="O96" s="11">
        <f t="shared" si="3"/>
        <v>0</v>
      </c>
      <c r="P96" s="11">
        <v>0</v>
      </c>
      <c r="Q96" s="11"/>
      <c r="R96" s="11">
        <v>66.8</v>
      </c>
      <c r="S96" s="11">
        <v>66.8</v>
      </c>
      <c r="T96" s="14"/>
      <c r="U96" s="14"/>
      <c r="V96" s="13"/>
      <c r="W96" s="15"/>
      <c r="X96" s="13"/>
      <c r="Y96" s="14"/>
      <c r="Z96" s="14"/>
      <c r="AA96" s="14"/>
      <c r="AB96" s="42" t="s">
        <v>224</v>
      </c>
      <c r="AC96" s="11"/>
      <c r="AD96" s="72">
        <v>46116</v>
      </c>
      <c r="AE96" s="34" t="s">
        <v>465</v>
      </c>
      <c r="AF96" s="37" t="s">
        <v>550</v>
      </c>
      <c r="AG96" s="14" t="s">
        <v>513</v>
      </c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566</v>
      </c>
      <c r="AT96" s="14"/>
      <c r="AU96" s="11"/>
      <c r="AV96" s="14"/>
    </row>
    <row r="97" spans="1:48" s="45" customFormat="1" ht="15" x14ac:dyDescent="0.25">
      <c r="A97" s="13">
        <v>46101</v>
      </c>
      <c r="B97" s="13"/>
      <c r="C97" s="42" t="s">
        <v>49</v>
      </c>
      <c r="D97" s="42" t="s">
        <v>299</v>
      </c>
      <c r="E97" s="14"/>
      <c r="F97" s="71">
        <v>3746875</v>
      </c>
      <c r="G97" s="42" t="s">
        <v>50</v>
      </c>
      <c r="H97" s="31">
        <v>20101973922</v>
      </c>
      <c r="I97" s="43" t="str">
        <f>IF(H97="","",VLOOKUP(H97,ENTIDAD!$B$2:$C$613,2,0))</f>
        <v>ASOCIACION AUTOMOTRIZ DEL PERU</v>
      </c>
      <c r="J97" s="11"/>
      <c r="K97" s="11"/>
      <c r="L97" s="11"/>
      <c r="M97" s="11"/>
      <c r="N97" s="11">
        <v>0</v>
      </c>
      <c r="O97" s="11">
        <f t="shared" si="3"/>
        <v>0</v>
      </c>
      <c r="P97" s="11">
        <v>0</v>
      </c>
      <c r="Q97" s="11"/>
      <c r="R97" s="11">
        <v>66.8</v>
      </c>
      <c r="S97" s="11">
        <v>66.8</v>
      </c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72">
        <v>46116</v>
      </c>
      <c r="AE97" s="34" t="s">
        <v>465</v>
      </c>
      <c r="AF97" s="37" t="s">
        <v>550</v>
      </c>
      <c r="AG97" s="14" t="s">
        <v>513</v>
      </c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566</v>
      </c>
      <c r="AT97" s="14"/>
      <c r="AU97" s="11"/>
      <c r="AV97" s="14"/>
    </row>
    <row r="98" spans="1:48" s="45" customFormat="1" ht="15" x14ac:dyDescent="0.25">
      <c r="A98" s="13">
        <v>46101</v>
      </c>
      <c r="B98" s="13"/>
      <c r="C98" s="42" t="s">
        <v>49</v>
      </c>
      <c r="D98" s="42" t="s">
        <v>299</v>
      </c>
      <c r="E98" s="14"/>
      <c r="F98" s="71">
        <v>3746876</v>
      </c>
      <c r="G98" s="42" t="s">
        <v>50</v>
      </c>
      <c r="H98" s="31">
        <v>20101973922</v>
      </c>
      <c r="I98" s="43" t="str">
        <f>IF(H98="","",VLOOKUP(H98,ENTIDAD!$B$2:$C$613,2,0))</f>
        <v>ASOCIACION AUTOMOTRIZ DEL PERU</v>
      </c>
      <c r="J98" s="11"/>
      <c r="K98" s="11"/>
      <c r="L98" s="11"/>
      <c r="M98" s="11"/>
      <c r="N98" s="11">
        <v>0</v>
      </c>
      <c r="O98" s="11">
        <f t="shared" si="3"/>
        <v>0</v>
      </c>
      <c r="P98" s="11">
        <v>0</v>
      </c>
      <c r="Q98" s="11"/>
      <c r="R98" s="11">
        <v>66.8</v>
      </c>
      <c r="S98" s="11">
        <v>66.8</v>
      </c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72">
        <v>46116</v>
      </c>
      <c r="AE98" s="34" t="s">
        <v>465</v>
      </c>
      <c r="AF98" s="37" t="s">
        <v>550</v>
      </c>
      <c r="AG98" s="14" t="s">
        <v>513</v>
      </c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566</v>
      </c>
      <c r="AT98" s="14"/>
      <c r="AU98" s="11"/>
      <c r="AV98" s="14"/>
    </row>
    <row r="99" spans="1:48" s="45" customFormat="1" ht="15" x14ac:dyDescent="0.25">
      <c r="A99" s="46">
        <v>46101</v>
      </c>
      <c r="B99" s="13"/>
      <c r="C99" s="42" t="s">
        <v>49</v>
      </c>
      <c r="D99" s="42" t="s">
        <v>299</v>
      </c>
      <c r="E99" s="14"/>
      <c r="F99" s="71">
        <v>3746877</v>
      </c>
      <c r="G99" s="42" t="s">
        <v>50</v>
      </c>
      <c r="H99" s="31">
        <v>20101973922</v>
      </c>
      <c r="I99" s="43" t="str">
        <f>IF(H99="","",VLOOKUP(H99,ENTIDAD!$B$2:$C$613,2,0))</f>
        <v>ASOCIACION AUTOMOTRIZ DEL PERU</v>
      </c>
      <c r="J99" s="11"/>
      <c r="K99" s="11"/>
      <c r="L99" s="11"/>
      <c r="M99" s="11"/>
      <c r="N99" s="11">
        <v>0</v>
      </c>
      <c r="O99" s="11">
        <f t="shared" si="3"/>
        <v>0</v>
      </c>
      <c r="P99" s="11">
        <v>0</v>
      </c>
      <c r="Q99" s="11"/>
      <c r="R99" s="11">
        <v>66.8</v>
      </c>
      <c r="S99" s="11">
        <v>66.8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72">
        <v>46116</v>
      </c>
      <c r="AE99" s="34" t="s">
        <v>465</v>
      </c>
      <c r="AF99" s="37" t="s">
        <v>550</v>
      </c>
      <c r="AG99" s="14" t="s">
        <v>513</v>
      </c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566</v>
      </c>
      <c r="AT99" s="14"/>
      <c r="AU99" s="11"/>
      <c r="AV99" s="14"/>
    </row>
    <row r="100" spans="1:48" s="45" customFormat="1" ht="15" x14ac:dyDescent="0.25">
      <c r="A100" s="13">
        <v>46101</v>
      </c>
      <c r="B100" s="13"/>
      <c r="C100" s="42" t="s">
        <v>49</v>
      </c>
      <c r="D100" s="42" t="s">
        <v>299</v>
      </c>
      <c r="E100" s="14"/>
      <c r="F100" s="71">
        <v>3746878</v>
      </c>
      <c r="G100" s="42" t="s">
        <v>50</v>
      </c>
      <c r="H100" s="31">
        <v>20101973922</v>
      </c>
      <c r="I100" s="43" t="str">
        <f>IF(H100="","",VLOOKUP(H100,ENTIDAD!$B$2:$C$613,2,0))</f>
        <v>ASOCIACION AUTOMOTRIZ DEL PERU</v>
      </c>
      <c r="J100" s="11"/>
      <c r="K100" s="11"/>
      <c r="L100" s="11"/>
      <c r="M100" s="11"/>
      <c r="N100" s="11">
        <v>0</v>
      </c>
      <c r="O100" s="11">
        <f t="shared" ref="O100:O131" si="5">N100*0.18</f>
        <v>0</v>
      </c>
      <c r="P100" s="11">
        <v>0</v>
      </c>
      <c r="Q100" s="11"/>
      <c r="R100" s="11">
        <v>66.8</v>
      </c>
      <c r="S100" s="11">
        <v>66.8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72">
        <v>46116</v>
      </c>
      <c r="AE100" s="34" t="s">
        <v>465</v>
      </c>
      <c r="AF100" s="37" t="s">
        <v>550</v>
      </c>
      <c r="AG100" s="14" t="s">
        <v>513</v>
      </c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566</v>
      </c>
      <c r="AT100" s="14"/>
      <c r="AU100" s="11"/>
      <c r="AV100" s="14"/>
    </row>
    <row r="101" spans="1:48" s="45" customFormat="1" ht="15" x14ac:dyDescent="0.25">
      <c r="A101" s="46">
        <v>46101</v>
      </c>
      <c r="B101" s="13"/>
      <c r="C101" s="42" t="s">
        <v>49</v>
      </c>
      <c r="D101" s="42" t="s">
        <v>299</v>
      </c>
      <c r="E101" s="14"/>
      <c r="F101" s="71">
        <v>3746879</v>
      </c>
      <c r="G101" s="42" t="s">
        <v>50</v>
      </c>
      <c r="H101" s="31">
        <v>20101973922</v>
      </c>
      <c r="I101" s="43" t="str">
        <f>IF(H101="","",VLOOKUP(H101,ENTIDAD!$B$2:$C$613,2,0))</f>
        <v>ASOCIACION AUTOMOTRIZ DEL PERU</v>
      </c>
      <c r="J101" s="11"/>
      <c r="K101" s="11"/>
      <c r="L101" s="11"/>
      <c r="M101" s="11"/>
      <c r="N101" s="11">
        <v>0</v>
      </c>
      <c r="O101" s="11">
        <f t="shared" si="5"/>
        <v>0</v>
      </c>
      <c r="P101" s="11">
        <v>0</v>
      </c>
      <c r="Q101" s="11"/>
      <c r="R101" s="11">
        <v>66.8</v>
      </c>
      <c r="S101" s="11">
        <v>66.8</v>
      </c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72">
        <v>46116</v>
      </c>
      <c r="AE101" s="34" t="s">
        <v>465</v>
      </c>
      <c r="AF101" s="37" t="s">
        <v>550</v>
      </c>
      <c r="AG101" s="14" t="s">
        <v>513</v>
      </c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566</v>
      </c>
      <c r="AT101" s="14"/>
      <c r="AU101" s="11"/>
      <c r="AV101" s="14"/>
    </row>
    <row r="102" spans="1:48" s="45" customFormat="1" ht="15" x14ac:dyDescent="0.25">
      <c r="A102" s="13">
        <v>46101</v>
      </c>
      <c r="B102" s="13"/>
      <c r="C102" s="42" t="s">
        <v>49</v>
      </c>
      <c r="D102" s="42" t="s">
        <v>299</v>
      </c>
      <c r="E102" s="14"/>
      <c r="F102" s="71">
        <v>3746880</v>
      </c>
      <c r="G102" s="42" t="s">
        <v>50</v>
      </c>
      <c r="H102" s="31">
        <v>20101973922</v>
      </c>
      <c r="I102" s="43" t="str">
        <f>IF(H102="","",VLOOKUP(H102,ENTIDAD!$B$2:$C$613,2,0))</f>
        <v>ASOCIACION AUTOMOTRIZ DEL PERU</v>
      </c>
      <c r="J102" s="11"/>
      <c r="K102" s="11"/>
      <c r="L102" s="11"/>
      <c r="M102" s="11"/>
      <c r="N102" s="11">
        <v>0</v>
      </c>
      <c r="O102" s="11">
        <f t="shared" si="5"/>
        <v>0</v>
      </c>
      <c r="P102" s="11">
        <v>0</v>
      </c>
      <c r="Q102" s="11"/>
      <c r="R102" s="11">
        <v>66.8</v>
      </c>
      <c r="S102" s="11">
        <v>66.8</v>
      </c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72">
        <v>46116</v>
      </c>
      <c r="AE102" s="34" t="s">
        <v>465</v>
      </c>
      <c r="AF102" s="37" t="s">
        <v>550</v>
      </c>
      <c r="AG102" s="14" t="s">
        <v>513</v>
      </c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566</v>
      </c>
      <c r="AT102" s="14"/>
      <c r="AU102" s="11"/>
      <c r="AV102" s="14"/>
    </row>
    <row r="103" spans="1:48" s="45" customFormat="1" ht="15" x14ac:dyDescent="0.25">
      <c r="A103" s="46">
        <v>46101</v>
      </c>
      <c r="B103" s="13"/>
      <c r="C103" s="42" t="s">
        <v>49</v>
      </c>
      <c r="D103" s="42" t="s">
        <v>299</v>
      </c>
      <c r="E103" s="14"/>
      <c r="F103" s="71">
        <v>3746881</v>
      </c>
      <c r="G103" s="42" t="s">
        <v>50</v>
      </c>
      <c r="H103" s="31">
        <v>20101973922</v>
      </c>
      <c r="I103" s="43" t="str">
        <f>IF(H103="","",VLOOKUP(H103,ENTIDAD!$B$2:$C$613,2,0))</f>
        <v>ASOCIACION AUTOMOTRIZ DEL PERU</v>
      </c>
      <c r="J103" s="11"/>
      <c r="K103" s="11"/>
      <c r="L103" s="11"/>
      <c r="M103" s="11"/>
      <c r="N103" s="11">
        <v>0</v>
      </c>
      <c r="O103" s="11">
        <f t="shared" si="5"/>
        <v>0</v>
      </c>
      <c r="P103" s="11">
        <v>0</v>
      </c>
      <c r="Q103" s="11"/>
      <c r="R103" s="11">
        <v>66.8</v>
      </c>
      <c r="S103" s="11">
        <v>66.8</v>
      </c>
      <c r="T103" s="14"/>
      <c r="U103" s="14"/>
      <c r="V103" s="13"/>
      <c r="W103" s="15"/>
      <c r="X103" s="13"/>
      <c r="Y103" s="14"/>
      <c r="Z103" s="14"/>
      <c r="AA103" s="14"/>
      <c r="AB103" s="42" t="s">
        <v>224</v>
      </c>
      <c r="AC103" s="11"/>
      <c r="AD103" s="72">
        <v>46116</v>
      </c>
      <c r="AE103" s="34" t="s">
        <v>465</v>
      </c>
      <c r="AF103" s="37" t="s">
        <v>550</v>
      </c>
      <c r="AG103" s="14" t="s">
        <v>513</v>
      </c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 t="s">
        <v>566</v>
      </c>
      <c r="AT103" s="14"/>
      <c r="AU103" s="11"/>
      <c r="AV103" s="14"/>
    </row>
    <row r="104" spans="1:48" s="45" customFormat="1" ht="15" x14ac:dyDescent="0.25">
      <c r="A104" s="13">
        <v>46101</v>
      </c>
      <c r="B104" s="13"/>
      <c r="C104" s="42" t="s">
        <v>49</v>
      </c>
      <c r="D104" s="42" t="s">
        <v>299</v>
      </c>
      <c r="E104" s="14"/>
      <c r="F104" s="71">
        <v>3746882</v>
      </c>
      <c r="G104" s="42" t="s">
        <v>50</v>
      </c>
      <c r="H104" s="31">
        <v>20101973922</v>
      </c>
      <c r="I104" s="43" t="str">
        <f>IF(H104="","",VLOOKUP(H104,ENTIDAD!$B$2:$C$613,2,0))</f>
        <v>ASOCIACION AUTOMOTRIZ DEL PERU</v>
      </c>
      <c r="J104" s="11"/>
      <c r="K104" s="11"/>
      <c r="L104" s="11"/>
      <c r="M104" s="11"/>
      <c r="N104" s="11">
        <v>0</v>
      </c>
      <c r="O104" s="11">
        <f t="shared" si="5"/>
        <v>0</v>
      </c>
      <c r="P104" s="11">
        <v>0</v>
      </c>
      <c r="Q104" s="11"/>
      <c r="R104" s="11">
        <v>66.8</v>
      </c>
      <c r="S104" s="11">
        <v>66.8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72">
        <v>46116</v>
      </c>
      <c r="AE104" s="34" t="s">
        <v>465</v>
      </c>
      <c r="AF104" s="37" t="s">
        <v>550</v>
      </c>
      <c r="AG104" s="14" t="s">
        <v>513</v>
      </c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566</v>
      </c>
      <c r="AT104" s="14"/>
      <c r="AU104" s="11"/>
      <c r="AV104" s="14"/>
    </row>
    <row r="105" spans="1:48" s="45" customFormat="1" ht="15" x14ac:dyDescent="0.25">
      <c r="A105" s="13">
        <v>46101</v>
      </c>
      <c r="B105" s="13"/>
      <c r="C105" s="42" t="s">
        <v>49</v>
      </c>
      <c r="D105" s="42" t="s">
        <v>299</v>
      </c>
      <c r="E105" s="14"/>
      <c r="F105" s="71">
        <v>3746883</v>
      </c>
      <c r="G105" s="42" t="s">
        <v>50</v>
      </c>
      <c r="H105" s="31">
        <v>20101973922</v>
      </c>
      <c r="I105" s="43" t="str">
        <f>IF(H105="","",VLOOKUP(H105,ENTIDAD!$B$2:$C$613,2,0))</f>
        <v>ASOCIACION AUTOMOTRIZ DEL PERU</v>
      </c>
      <c r="J105" s="11"/>
      <c r="K105" s="11"/>
      <c r="L105" s="11"/>
      <c r="M105" s="11"/>
      <c r="N105" s="11">
        <v>0</v>
      </c>
      <c r="O105" s="11">
        <f t="shared" si="5"/>
        <v>0</v>
      </c>
      <c r="P105" s="11">
        <v>0</v>
      </c>
      <c r="Q105" s="11"/>
      <c r="R105" s="11">
        <v>66.8</v>
      </c>
      <c r="S105" s="11">
        <v>66.8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72">
        <v>46116</v>
      </c>
      <c r="AE105" s="34" t="s">
        <v>465</v>
      </c>
      <c r="AF105" s="37" t="s">
        <v>550</v>
      </c>
      <c r="AG105" s="14" t="s">
        <v>513</v>
      </c>
      <c r="AH105" s="1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566</v>
      </c>
      <c r="AT105" s="14"/>
      <c r="AU105" s="11"/>
      <c r="AV105" s="14"/>
    </row>
    <row r="106" spans="1:48" s="45" customFormat="1" ht="15" x14ac:dyDescent="0.25">
      <c r="A106" s="13">
        <v>46101</v>
      </c>
      <c r="B106" s="13"/>
      <c r="C106" s="42" t="s">
        <v>49</v>
      </c>
      <c r="D106" s="42" t="s">
        <v>299</v>
      </c>
      <c r="E106" s="14"/>
      <c r="F106" s="71">
        <v>3746884</v>
      </c>
      <c r="G106" s="42" t="s">
        <v>50</v>
      </c>
      <c r="H106" s="31">
        <v>20101973922</v>
      </c>
      <c r="I106" s="43" t="str">
        <f>IF(H106="","",VLOOKUP(H106,ENTIDAD!$B$2:$C$613,2,0))</f>
        <v>ASOCIACION AUTOMOTRIZ DEL PERU</v>
      </c>
      <c r="J106" s="11"/>
      <c r="K106" s="11"/>
      <c r="L106" s="11"/>
      <c r="M106" s="11"/>
      <c r="N106" s="11">
        <v>0</v>
      </c>
      <c r="O106" s="11">
        <f t="shared" si="5"/>
        <v>0</v>
      </c>
      <c r="P106" s="11">
        <v>0</v>
      </c>
      <c r="Q106" s="11"/>
      <c r="R106" s="11">
        <v>66.8</v>
      </c>
      <c r="S106" s="11">
        <v>66.8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72">
        <v>46116</v>
      </c>
      <c r="AE106" s="34" t="s">
        <v>465</v>
      </c>
      <c r="AF106" s="37" t="s">
        <v>550</v>
      </c>
      <c r="AG106" s="14" t="s">
        <v>513</v>
      </c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566</v>
      </c>
      <c r="AT106" s="14"/>
      <c r="AU106" s="11"/>
      <c r="AV106" s="14"/>
    </row>
    <row r="107" spans="1:48" s="45" customFormat="1" ht="15" x14ac:dyDescent="0.25">
      <c r="A107" s="46">
        <v>46101</v>
      </c>
      <c r="B107" s="13"/>
      <c r="C107" s="42" t="s">
        <v>49</v>
      </c>
      <c r="D107" s="42" t="s">
        <v>299</v>
      </c>
      <c r="E107" s="14"/>
      <c r="F107" s="71">
        <v>3746885</v>
      </c>
      <c r="G107" s="42" t="s">
        <v>50</v>
      </c>
      <c r="H107" s="31">
        <v>20101973922</v>
      </c>
      <c r="I107" s="43" t="str">
        <f>IF(H107="","",VLOOKUP(H107,ENTIDAD!$B$2:$C$613,2,0))</f>
        <v>ASOCIACION AUTOMOTRIZ DEL PERU</v>
      </c>
      <c r="J107" s="11"/>
      <c r="K107" s="11"/>
      <c r="L107" s="11"/>
      <c r="M107" s="11"/>
      <c r="N107" s="11">
        <v>0</v>
      </c>
      <c r="O107" s="11">
        <f t="shared" si="5"/>
        <v>0</v>
      </c>
      <c r="P107" s="11">
        <v>0</v>
      </c>
      <c r="Q107" s="11"/>
      <c r="R107" s="11">
        <v>66.8</v>
      </c>
      <c r="S107" s="11">
        <v>66.8</v>
      </c>
      <c r="T107" s="14"/>
      <c r="U107" s="14"/>
      <c r="V107" s="13"/>
      <c r="W107" s="15"/>
      <c r="X107" s="13"/>
      <c r="Y107" s="14"/>
      <c r="Z107" s="14"/>
      <c r="AA107" s="14"/>
      <c r="AB107" s="42" t="s">
        <v>224</v>
      </c>
      <c r="AC107" s="11"/>
      <c r="AD107" s="72">
        <v>46116</v>
      </c>
      <c r="AE107" s="34" t="s">
        <v>465</v>
      </c>
      <c r="AF107" s="37" t="s">
        <v>550</v>
      </c>
      <c r="AG107" s="14" t="s">
        <v>513</v>
      </c>
      <c r="AH107" s="14" t="s">
        <v>225</v>
      </c>
      <c r="AI107" s="14"/>
      <c r="AJ107" s="14"/>
      <c r="AK107" s="16"/>
      <c r="AL107" s="11"/>
      <c r="AM107" s="11"/>
      <c r="AN107" s="14"/>
      <c r="AO107" s="14"/>
      <c r="AP107" s="13"/>
      <c r="AQ107" s="14"/>
      <c r="AR107" s="11">
        <v>18</v>
      </c>
      <c r="AS107" s="14" t="s">
        <v>566</v>
      </c>
      <c r="AT107" s="14"/>
      <c r="AU107" s="11"/>
      <c r="AV107" s="14"/>
    </row>
    <row r="108" spans="1:48" s="45" customFormat="1" ht="15" x14ac:dyDescent="0.25">
      <c r="A108" s="13">
        <v>46101</v>
      </c>
      <c r="B108" s="13"/>
      <c r="C108" s="42" t="s">
        <v>49</v>
      </c>
      <c r="D108" s="42" t="s">
        <v>299</v>
      </c>
      <c r="E108" s="14"/>
      <c r="F108" s="71">
        <v>3746886</v>
      </c>
      <c r="G108" s="42" t="s">
        <v>50</v>
      </c>
      <c r="H108" s="31">
        <v>20101973922</v>
      </c>
      <c r="I108" s="43" t="str">
        <f>IF(H108="","",VLOOKUP(H108,ENTIDAD!$B$2:$C$613,2,0))</f>
        <v>ASOCIACION AUTOMOTRIZ DEL PERU</v>
      </c>
      <c r="J108" s="11"/>
      <c r="K108" s="11"/>
      <c r="L108" s="11"/>
      <c r="M108" s="11"/>
      <c r="N108" s="11">
        <v>0</v>
      </c>
      <c r="O108" s="11">
        <f t="shared" si="5"/>
        <v>0</v>
      </c>
      <c r="P108" s="11">
        <v>0</v>
      </c>
      <c r="Q108" s="11"/>
      <c r="R108" s="11">
        <v>66.8</v>
      </c>
      <c r="S108" s="11">
        <v>66.8</v>
      </c>
      <c r="T108" s="14"/>
      <c r="U108" s="14"/>
      <c r="V108" s="13"/>
      <c r="W108" s="15"/>
      <c r="X108" s="13"/>
      <c r="Y108" s="14"/>
      <c r="Z108" s="14"/>
      <c r="AA108" s="14"/>
      <c r="AB108" s="42" t="s">
        <v>224</v>
      </c>
      <c r="AC108" s="11"/>
      <c r="AD108" s="72">
        <v>46116</v>
      </c>
      <c r="AE108" s="34" t="s">
        <v>465</v>
      </c>
      <c r="AF108" s="37" t="s">
        <v>550</v>
      </c>
      <c r="AG108" s="14" t="s">
        <v>513</v>
      </c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566</v>
      </c>
      <c r="AT108" s="14"/>
      <c r="AU108" s="11"/>
      <c r="AV108" s="14"/>
    </row>
    <row r="109" spans="1:48" s="45" customFormat="1" ht="15" x14ac:dyDescent="0.25">
      <c r="A109" s="46">
        <v>46101</v>
      </c>
      <c r="B109" s="13"/>
      <c r="C109" s="42" t="s">
        <v>49</v>
      </c>
      <c r="D109" s="42" t="s">
        <v>299</v>
      </c>
      <c r="E109" s="14"/>
      <c r="F109" s="71">
        <v>3746887</v>
      </c>
      <c r="G109" s="42" t="s">
        <v>50</v>
      </c>
      <c r="H109" s="31">
        <v>20101973922</v>
      </c>
      <c r="I109" s="43" t="str">
        <f>IF(H109="","",VLOOKUP(H109,ENTIDAD!$B$2:$C$613,2,0))</f>
        <v>ASOCIACION AUTOMOTRIZ DEL PERU</v>
      </c>
      <c r="J109" s="11"/>
      <c r="K109" s="11"/>
      <c r="L109" s="11"/>
      <c r="M109" s="11"/>
      <c r="N109" s="11">
        <v>0</v>
      </c>
      <c r="O109" s="11">
        <f t="shared" si="5"/>
        <v>0</v>
      </c>
      <c r="P109" s="11">
        <v>0</v>
      </c>
      <c r="Q109" s="11"/>
      <c r="R109" s="11">
        <v>66.8</v>
      </c>
      <c r="S109" s="11">
        <v>66.8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72">
        <v>46116</v>
      </c>
      <c r="AE109" s="34" t="s">
        <v>465</v>
      </c>
      <c r="AF109" s="37" t="s">
        <v>550</v>
      </c>
      <c r="AG109" s="14" t="s">
        <v>513</v>
      </c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 t="s">
        <v>566</v>
      </c>
      <c r="AT109" s="14"/>
      <c r="AU109" s="11"/>
      <c r="AV109" s="14"/>
    </row>
    <row r="110" spans="1:48" s="45" customFormat="1" ht="15" x14ac:dyDescent="0.25">
      <c r="A110" s="13">
        <v>46101</v>
      </c>
      <c r="B110" s="13"/>
      <c r="C110" s="42" t="s">
        <v>49</v>
      </c>
      <c r="D110" s="42" t="s">
        <v>299</v>
      </c>
      <c r="E110" s="14"/>
      <c r="F110" s="71">
        <v>3746888</v>
      </c>
      <c r="G110" s="42" t="s">
        <v>50</v>
      </c>
      <c r="H110" s="31">
        <v>20101973922</v>
      </c>
      <c r="I110" s="43" t="str">
        <f>IF(H110="","",VLOOKUP(H110,ENTIDAD!$B$2:$C$613,2,0))</f>
        <v>ASOCIACION AUTOMOTRIZ DEL PERU</v>
      </c>
      <c r="J110" s="11"/>
      <c r="K110" s="11"/>
      <c r="L110" s="11"/>
      <c r="M110" s="11"/>
      <c r="N110" s="11">
        <v>0</v>
      </c>
      <c r="O110" s="11">
        <f t="shared" si="5"/>
        <v>0</v>
      </c>
      <c r="P110" s="11">
        <v>0</v>
      </c>
      <c r="Q110" s="11"/>
      <c r="R110" s="11">
        <v>66.8</v>
      </c>
      <c r="S110" s="11">
        <v>66.8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72">
        <v>46116</v>
      </c>
      <c r="AE110" s="34" t="s">
        <v>465</v>
      </c>
      <c r="AF110" s="37" t="s">
        <v>550</v>
      </c>
      <c r="AG110" s="14" t="s">
        <v>513</v>
      </c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 t="s">
        <v>566</v>
      </c>
      <c r="AT110" s="14"/>
      <c r="AU110" s="11"/>
      <c r="AV110" s="14"/>
    </row>
    <row r="111" spans="1:48" s="45" customFormat="1" ht="15" x14ac:dyDescent="0.25">
      <c r="A111" s="46">
        <v>46101</v>
      </c>
      <c r="B111" s="13"/>
      <c r="C111" s="42" t="s">
        <v>49</v>
      </c>
      <c r="D111" s="42" t="s">
        <v>299</v>
      </c>
      <c r="E111" s="14"/>
      <c r="F111" s="71">
        <v>3746889</v>
      </c>
      <c r="G111" s="42" t="s">
        <v>50</v>
      </c>
      <c r="H111" s="31">
        <v>20101973922</v>
      </c>
      <c r="I111" s="43" t="str">
        <f>IF(H111="","",VLOOKUP(H111,ENTIDAD!$B$2:$C$613,2,0))</f>
        <v>ASOCIACION AUTOMOTRIZ DEL PERU</v>
      </c>
      <c r="J111" s="11"/>
      <c r="K111" s="11"/>
      <c r="L111" s="11"/>
      <c r="M111" s="11"/>
      <c r="N111" s="11">
        <v>0</v>
      </c>
      <c r="O111" s="11">
        <f t="shared" si="5"/>
        <v>0</v>
      </c>
      <c r="P111" s="11">
        <v>0</v>
      </c>
      <c r="Q111" s="11"/>
      <c r="R111" s="11">
        <v>66.8</v>
      </c>
      <c r="S111" s="11">
        <v>66.8</v>
      </c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72">
        <v>46116</v>
      </c>
      <c r="AE111" s="34" t="s">
        <v>465</v>
      </c>
      <c r="AF111" s="37" t="s">
        <v>550</v>
      </c>
      <c r="AG111" s="14" t="s">
        <v>513</v>
      </c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566</v>
      </c>
      <c r="AT111" s="14"/>
      <c r="AU111" s="11"/>
      <c r="AV111" s="14"/>
    </row>
    <row r="112" spans="1:48" s="45" customFormat="1" ht="15" x14ac:dyDescent="0.25">
      <c r="A112" s="13">
        <v>46101</v>
      </c>
      <c r="B112" s="13"/>
      <c r="C112" s="42" t="s">
        <v>49</v>
      </c>
      <c r="D112" s="42" t="s">
        <v>299</v>
      </c>
      <c r="E112" s="14"/>
      <c r="F112" s="71">
        <v>3746890</v>
      </c>
      <c r="G112" s="42" t="s">
        <v>50</v>
      </c>
      <c r="H112" s="31">
        <v>20101973922</v>
      </c>
      <c r="I112" s="43" t="str">
        <f>IF(H112="","",VLOOKUP(H112,ENTIDAD!$B$2:$C$613,2,0))</f>
        <v>ASOCIACION AUTOMOTRIZ DEL PERU</v>
      </c>
      <c r="J112" s="11"/>
      <c r="K112" s="11"/>
      <c r="L112" s="11"/>
      <c r="M112" s="11"/>
      <c r="N112" s="11">
        <v>0</v>
      </c>
      <c r="O112" s="11">
        <f t="shared" si="5"/>
        <v>0</v>
      </c>
      <c r="P112" s="11">
        <v>0</v>
      </c>
      <c r="Q112" s="11"/>
      <c r="R112" s="11">
        <v>66.8</v>
      </c>
      <c r="S112" s="11">
        <v>66.8</v>
      </c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72">
        <v>46116</v>
      </c>
      <c r="AE112" s="34" t="s">
        <v>465</v>
      </c>
      <c r="AF112" s="37" t="s">
        <v>550</v>
      </c>
      <c r="AG112" s="14" t="s">
        <v>513</v>
      </c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566</v>
      </c>
      <c r="AT112" s="14"/>
      <c r="AU112" s="11"/>
      <c r="AV112" s="14"/>
    </row>
    <row r="113" spans="1:48" s="45" customFormat="1" ht="15" x14ac:dyDescent="0.25">
      <c r="A113" s="46">
        <v>46102</v>
      </c>
      <c r="B113" s="13"/>
      <c r="C113" s="42" t="s">
        <v>49</v>
      </c>
      <c r="D113" s="42" t="s">
        <v>292</v>
      </c>
      <c r="E113" s="14"/>
      <c r="F113" s="71">
        <v>1053</v>
      </c>
      <c r="G113" s="42" t="s">
        <v>50</v>
      </c>
      <c r="H113" s="31">
        <v>20541377612</v>
      </c>
      <c r="I113" s="43" t="str">
        <f>IF(H113="","",VLOOKUP(H113,ENTIDAD!$B$2:$C$613,2,0))</f>
        <v>SERVICIOS MULTIPLES NINA E.I.R.L.</v>
      </c>
      <c r="J113" s="11"/>
      <c r="K113" s="11"/>
      <c r="L113" s="11"/>
      <c r="M113" s="11"/>
      <c r="N113" s="11">
        <f>(S113-P113)/1.18</f>
        <v>67.79661016949153</v>
      </c>
      <c r="O113" s="11">
        <f t="shared" si="5"/>
        <v>12.203389830508474</v>
      </c>
      <c r="P113" s="11">
        <v>0</v>
      </c>
      <c r="Q113" s="11"/>
      <c r="R113" s="11"/>
      <c r="S113" s="11">
        <v>80</v>
      </c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46"/>
      <c r="AE113" s="14" t="s">
        <v>262</v>
      </c>
      <c r="AF113" s="19" t="s">
        <v>488</v>
      </c>
      <c r="AG113" s="14"/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487</v>
      </c>
      <c r="AT113" s="14"/>
      <c r="AU113" s="11"/>
      <c r="AV113" s="14"/>
    </row>
    <row r="114" spans="1:48" s="45" customFormat="1" ht="15" x14ac:dyDescent="0.25">
      <c r="A114" s="13">
        <v>46102</v>
      </c>
      <c r="B114" s="13"/>
      <c r="C114" s="42" t="s">
        <v>49</v>
      </c>
      <c r="D114" s="42" t="s">
        <v>292</v>
      </c>
      <c r="E114" s="14"/>
      <c r="F114" s="71">
        <v>523</v>
      </c>
      <c r="G114" s="42" t="s">
        <v>50</v>
      </c>
      <c r="H114" s="31">
        <v>10469834986</v>
      </c>
      <c r="I114" s="43" t="str">
        <f>IF(H114="","",VLOOKUP(H114,ENTIDAD!$B$2:$C$613,2,0))</f>
        <v>UNCHUPAICO LAUREANO DEISY LUZ</v>
      </c>
      <c r="J114" s="11"/>
      <c r="K114" s="11"/>
      <c r="L114" s="11"/>
      <c r="M114" s="11"/>
      <c r="N114" s="11">
        <v>0</v>
      </c>
      <c r="O114" s="11">
        <f t="shared" si="5"/>
        <v>0</v>
      </c>
      <c r="P114" s="11">
        <v>360</v>
      </c>
      <c r="Q114" s="11"/>
      <c r="R114" s="11"/>
      <c r="S114" s="11">
        <v>360</v>
      </c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72">
        <v>46133</v>
      </c>
      <c r="AE114" s="34" t="s">
        <v>465</v>
      </c>
      <c r="AF114" s="19" t="s">
        <v>496</v>
      </c>
      <c r="AG114" s="14"/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627</v>
      </c>
      <c r="AT114" s="14"/>
      <c r="AU114" s="11"/>
      <c r="AV114" s="14"/>
    </row>
    <row r="115" spans="1:48" s="45" customFormat="1" ht="15" x14ac:dyDescent="0.25">
      <c r="A115" s="46">
        <v>46104</v>
      </c>
      <c r="B115" s="13"/>
      <c r="C115" s="42" t="s">
        <v>49</v>
      </c>
      <c r="D115" s="42" t="s">
        <v>294</v>
      </c>
      <c r="E115" s="14"/>
      <c r="F115" s="71">
        <v>12651</v>
      </c>
      <c r="G115" s="42" t="s">
        <v>50</v>
      </c>
      <c r="H115" s="31">
        <v>10209907327</v>
      </c>
      <c r="I115" s="43" t="str">
        <f>IF(H115="","",VLOOKUP(H115,ENTIDAD!$B$2:$C$613,2,0))</f>
        <v>TORPOCO,MAYTA,HECTOR,ALFONSO</v>
      </c>
      <c r="J115" s="11"/>
      <c r="K115" s="11"/>
      <c r="L115" s="11"/>
      <c r="M115" s="11"/>
      <c r="N115" s="11">
        <f>(S115-P115)/1.18</f>
        <v>0</v>
      </c>
      <c r="O115" s="11">
        <f t="shared" si="5"/>
        <v>0</v>
      </c>
      <c r="P115" s="11">
        <v>20</v>
      </c>
      <c r="Q115" s="11"/>
      <c r="R115" s="11"/>
      <c r="S115" s="11">
        <v>20</v>
      </c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46"/>
      <c r="AE115" s="14" t="s">
        <v>262</v>
      </c>
      <c r="AF115" s="19" t="s">
        <v>486</v>
      </c>
      <c r="AG115" s="14"/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487</v>
      </c>
      <c r="AT115" s="14"/>
      <c r="AU115" s="11"/>
      <c r="AV115" s="14"/>
    </row>
    <row r="116" spans="1:48" s="45" customFormat="1" ht="15" x14ac:dyDescent="0.25">
      <c r="A116" s="13">
        <v>46104</v>
      </c>
      <c r="B116" s="13"/>
      <c r="C116" s="42" t="s">
        <v>49</v>
      </c>
      <c r="D116" s="42" t="s">
        <v>294</v>
      </c>
      <c r="E116" s="14"/>
      <c r="F116" s="71">
        <v>5239</v>
      </c>
      <c r="G116" s="42" t="s">
        <v>50</v>
      </c>
      <c r="H116" s="31">
        <v>10061702071</v>
      </c>
      <c r="I116" s="43" t="str">
        <f>IF(H116="","",VLOOKUP(H116,ENTIDAD!$B$2:$C$613,2,0))</f>
        <v>CORAL FLORES IVAN MARTIN</v>
      </c>
      <c r="J116" s="11"/>
      <c r="K116" s="11"/>
      <c r="L116" s="11"/>
      <c r="M116" s="11"/>
      <c r="N116" s="11">
        <v>0</v>
      </c>
      <c r="O116" s="11">
        <f t="shared" si="5"/>
        <v>0</v>
      </c>
      <c r="P116" s="11">
        <v>445</v>
      </c>
      <c r="Q116" s="11"/>
      <c r="R116" s="11"/>
      <c r="S116" s="11">
        <v>445</v>
      </c>
      <c r="T116" s="14"/>
      <c r="U116" s="14"/>
      <c r="V116" s="13"/>
      <c r="W116" s="15"/>
      <c r="X116" s="13"/>
      <c r="Y116" s="14"/>
      <c r="Z116" s="14"/>
      <c r="AA116" s="14"/>
      <c r="AB116" s="42" t="s">
        <v>224</v>
      </c>
      <c r="AC116" s="11"/>
      <c r="AD116" s="72">
        <v>46135</v>
      </c>
      <c r="AE116" s="34" t="s">
        <v>465</v>
      </c>
      <c r="AF116" s="19" t="s">
        <v>597</v>
      </c>
      <c r="AG116" s="14" t="s">
        <v>513</v>
      </c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514</v>
      </c>
      <c r="AT116" s="14"/>
      <c r="AU116" s="11"/>
      <c r="AV116" s="14"/>
    </row>
    <row r="117" spans="1:48" s="45" customFormat="1" ht="15" x14ac:dyDescent="0.25">
      <c r="A117" s="13">
        <v>46104</v>
      </c>
      <c r="B117" s="13"/>
      <c r="C117" s="42" t="s">
        <v>49</v>
      </c>
      <c r="D117" s="42" t="s">
        <v>630</v>
      </c>
      <c r="E117" s="14"/>
      <c r="F117" s="71">
        <v>116</v>
      </c>
      <c r="G117" s="42" t="s">
        <v>50</v>
      </c>
      <c r="H117" s="31">
        <v>10446330441</v>
      </c>
      <c r="I117" s="43" t="str">
        <f>IF(H117="","",VLOOKUP(H117,ENTIDAD!$B$2:$C$613,2,0))</f>
        <v> TELLO LIMACHE JUANA</v>
      </c>
      <c r="J117" s="11"/>
      <c r="K117" s="11"/>
      <c r="L117" s="11"/>
      <c r="M117" s="11"/>
      <c r="N117" s="11">
        <v>0</v>
      </c>
      <c r="O117" s="11">
        <f t="shared" si="5"/>
        <v>0</v>
      </c>
      <c r="P117" s="11">
        <v>224</v>
      </c>
      <c r="Q117" s="11"/>
      <c r="R117" s="11"/>
      <c r="S117" s="11">
        <v>224</v>
      </c>
      <c r="T117" s="34"/>
      <c r="U117" s="34"/>
      <c r="V117" s="33"/>
      <c r="W117" s="36"/>
      <c r="X117" s="33"/>
      <c r="Y117" s="34"/>
      <c r="Z117" s="34"/>
      <c r="AA117" s="34"/>
      <c r="AB117" s="42" t="s">
        <v>224</v>
      </c>
      <c r="AC117" s="35"/>
      <c r="AD117" s="72">
        <v>46135</v>
      </c>
      <c r="AE117" s="14" t="s">
        <v>465</v>
      </c>
      <c r="AF117" s="19" t="s">
        <v>602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581</v>
      </c>
      <c r="AT117" s="14"/>
      <c r="AU117" s="11"/>
      <c r="AV117" s="14"/>
    </row>
    <row r="118" spans="1:48" s="45" customFormat="1" ht="15" x14ac:dyDescent="0.25">
      <c r="A118" s="46">
        <v>46105</v>
      </c>
      <c r="B118" s="13"/>
      <c r="C118" s="42" t="s">
        <v>49</v>
      </c>
      <c r="D118" s="42" t="s">
        <v>301</v>
      </c>
      <c r="E118" s="14"/>
      <c r="F118" s="71">
        <v>17409</v>
      </c>
      <c r="G118" s="42" t="s">
        <v>50</v>
      </c>
      <c r="H118" s="31">
        <v>20493508645</v>
      </c>
      <c r="I118" s="43" t="str">
        <f>IF(H118="","",VLOOKUP(H118,ENTIDAD!$B$2:$C$613,2,0))</f>
        <v>HONDA SELVA DEL PERU S.A.</v>
      </c>
      <c r="J118" s="11"/>
      <c r="K118" s="11"/>
      <c r="L118" s="11"/>
      <c r="M118" s="11"/>
      <c r="N118" s="11">
        <f>(S118-P118)/1.18</f>
        <v>-5.7627118729800778E-4</v>
      </c>
      <c r="O118" s="11">
        <f t="shared" si="5"/>
        <v>-1.037288137136414E-4</v>
      </c>
      <c r="P118" s="11">
        <v>18512.150000000001</v>
      </c>
      <c r="Q118" s="11"/>
      <c r="R118" s="11"/>
      <c r="S118" s="11">
        <f>W118*AC118</f>
        <v>18512.14932</v>
      </c>
      <c r="T118" s="14"/>
      <c r="U118" s="14"/>
      <c r="V118" s="13"/>
      <c r="W118" s="15">
        <v>3.468</v>
      </c>
      <c r="X118" s="13"/>
      <c r="Y118" s="14"/>
      <c r="Z118" s="14"/>
      <c r="AA118" s="14"/>
      <c r="AB118" s="42" t="s">
        <v>383</v>
      </c>
      <c r="AC118" s="11">
        <v>5337.99</v>
      </c>
      <c r="AD118" s="46">
        <v>46136</v>
      </c>
      <c r="AE118" s="34" t="s">
        <v>465</v>
      </c>
      <c r="AF118" s="19" t="s">
        <v>532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201</v>
      </c>
      <c r="AT118" s="14"/>
      <c r="AU118" s="11"/>
      <c r="AV118" s="14"/>
    </row>
    <row r="119" spans="1:48" s="45" customFormat="1" ht="15" x14ac:dyDescent="0.25">
      <c r="A119" s="46">
        <v>46105</v>
      </c>
      <c r="B119" s="13"/>
      <c r="C119" s="42" t="s">
        <v>49</v>
      </c>
      <c r="D119" s="42" t="s">
        <v>301</v>
      </c>
      <c r="E119" s="14"/>
      <c r="F119" s="71">
        <v>17421</v>
      </c>
      <c r="G119" s="42" t="s">
        <v>50</v>
      </c>
      <c r="H119" s="31">
        <v>20493508645</v>
      </c>
      <c r="I119" s="43" t="str">
        <f>IF(H119="","",VLOOKUP(H119,ENTIDAD!$B$2:$C$613,2,0))</f>
        <v>HONDA SELVA DEL PERU S.A.</v>
      </c>
      <c r="J119" s="11"/>
      <c r="K119" s="11"/>
      <c r="L119" s="11"/>
      <c r="M119" s="11"/>
      <c r="N119" s="11">
        <f>(S119-P119)/1.18</f>
        <v>-2.3728813576488362E-4</v>
      </c>
      <c r="O119" s="11">
        <f t="shared" si="5"/>
        <v>-4.2711864437679049E-5</v>
      </c>
      <c r="P119" s="11">
        <v>20628.669999999998</v>
      </c>
      <c r="Q119" s="11"/>
      <c r="R119" s="11"/>
      <c r="S119" s="11">
        <f>W119*AC119</f>
        <v>20628.669719999998</v>
      </c>
      <c r="T119" s="14"/>
      <c r="U119" s="14"/>
      <c r="V119" s="13"/>
      <c r="W119" s="15">
        <v>3.468</v>
      </c>
      <c r="X119" s="13"/>
      <c r="Y119" s="14"/>
      <c r="Z119" s="14"/>
      <c r="AA119" s="14"/>
      <c r="AB119" s="42" t="s">
        <v>383</v>
      </c>
      <c r="AC119" s="11">
        <v>5948.29</v>
      </c>
      <c r="AD119" s="46">
        <v>46136</v>
      </c>
      <c r="AE119" s="34" t="s">
        <v>465</v>
      </c>
      <c r="AF119" s="19" t="s">
        <v>532</v>
      </c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 t="s">
        <v>201</v>
      </c>
      <c r="AT119" s="14"/>
      <c r="AU119" s="11"/>
      <c r="AV119" s="14"/>
    </row>
    <row r="120" spans="1:48" s="45" customFormat="1" ht="15" x14ac:dyDescent="0.25">
      <c r="A120" s="46">
        <v>46105</v>
      </c>
      <c r="B120" s="13"/>
      <c r="C120" s="42" t="s">
        <v>49</v>
      </c>
      <c r="D120" s="42" t="s">
        <v>301</v>
      </c>
      <c r="E120" s="14"/>
      <c r="F120" s="71">
        <v>17429</v>
      </c>
      <c r="G120" s="42" t="s">
        <v>50</v>
      </c>
      <c r="H120" s="31">
        <v>20493508645</v>
      </c>
      <c r="I120" s="43" t="str">
        <f>IF(H120="","",VLOOKUP(H120,ENTIDAD!$B$2:$C$613,2,0))</f>
        <v>HONDA SELVA DEL PERU S.A.</v>
      </c>
      <c r="J120" s="11"/>
      <c r="K120" s="11"/>
      <c r="L120" s="11"/>
      <c r="M120" s="11"/>
      <c r="N120" s="11">
        <f>(S120-P120)/1.18</f>
        <v>3.4915254218503833E-3</v>
      </c>
      <c r="O120" s="11">
        <f t="shared" si="5"/>
        <v>6.2847457593306899E-4</v>
      </c>
      <c r="P120" s="11">
        <v>41257.370000000003</v>
      </c>
      <c r="Q120" s="11"/>
      <c r="R120" s="11"/>
      <c r="S120" s="11">
        <f>W120*AC120</f>
        <v>41257.37412</v>
      </c>
      <c r="T120" s="14"/>
      <c r="U120" s="14"/>
      <c r="V120" s="13"/>
      <c r="W120" s="15">
        <v>3.468</v>
      </c>
      <c r="X120" s="13"/>
      <c r="Y120" s="14"/>
      <c r="Z120" s="14"/>
      <c r="AA120" s="14"/>
      <c r="AB120" s="42" t="s">
        <v>383</v>
      </c>
      <c r="AC120" s="11">
        <v>11896.59</v>
      </c>
      <c r="AD120" s="46">
        <v>46136</v>
      </c>
      <c r="AE120" s="34" t="s">
        <v>465</v>
      </c>
      <c r="AF120" s="19" t="s">
        <v>532</v>
      </c>
      <c r="AG120" s="14"/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 t="s">
        <v>201</v>
      </c>
      <c r="AT120" s="14"/>
      <c r="AU120" s="11"/>
      <c r="AV120" s="14"/>
    </row>
    <row r="121" spans="1:48" s="45" customFormat="1" ht="15" x14ac:dyDescent="0.25">
      <c r="A121" s="46">
        <v>46105</v>
      </c>
      <c r="B121" s="13"/>
      <c r="C121" s="42" t="s">
        <v>49</v>
      </c>
      <c r="D121" s="42" t="s">
        <v>301</v>
      </c>
      <c r="E121" s="14"/>
      <c r="F121" s="71">
        <v>17422</v>
      </c>
      <c r="G121" s="42" t="s">
        <v>50</v>
      </c>
      <c r="H121" s="31">
        <v>20493508645</v>
      </c>
      <c r="I121" s="43" t="str">
        <f>IF(H121="","",VLOOKUP(H121,ENTIDAD!$B$2:$C$613,2,0))</f>
        <v>HONDA SELVA DEL PERU S.A.</v>
      </c>
      <c r="J121" s="11"/>
      <c r="K121" s="11"/>
      <c r="L121" s="11"/>
      <c r="M121" s="11"/>
      <c r="N121" s="11">
        <f>(S121-P121)/1.18</f>
        <v>-4.7457627152976725E-4</v>
      </c>
      <c r="O121" s="11">
        <f t="shared" si="5"/>
        <v>-8.5423728875358098E-5</v>
      </c>
      <c r="P121" s="11">
        <v>41257.339999999997</v>
      </c>
      <c r="Q121" s="11"/>
      <c r="R121" s="11"/>
      <c r="S121" s="11">
        <f>W121*AC121</f>
        <v>41257.339439999996</v>
      </c>
      <c r="T121" s="14"/>
      <c r="U121" s="14"/>
      <c r="V121" s="13"/>
      <c r="W121" s="15">
        <v>3.468</v>
      </c>
      <c r="X121" s="13"/>
      <c r="Y121" s="14"/>
      <c r="Z121" s="14"/>
      <c r="AA121" s="14"/>
      <c r="AB121" s="42" t="s">
        <v>383</v>
      </c>
      <c r="AC121" s="11">
        <v>11896.58</v>
      </c>
      <c r="AD121" s="46">
        <v>46136</v>
      </c>
      <c r="AE121" s="34" t="s">
        <v>465</v>
      </c>
      <c r="AF121" s="19" t="s">
        <v>532</v>
      </c>
      <c r="AG121" s="14"/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201</v>
      </c>
      <c r="AT121" s="14"/>
      <c r="AU121" s="11"/>
      <c r="AV121" s="14"/>
    </row>
    <row r="122" spans="1:48" s="45" customFormat="1" ht="15" x14ac:dyDescent="0.25">
      <c r="A122" s="46">
        <v>46105</v>
      </c>
      <c r="B122" s="13"/>
      <c r="C122" s="42" t="s">
        <v>49</v>
      </c>
      <c r="D122" s="42" t="s">
        <v>439</v>
      </c>
      <c r="E122" s="14"/>
      <c r="F122" s="71">
        <v>15260</v>
      </c>
      <c r="G122" s="42" t="s">
        <v>50</v>
      </c>
      <c r="H122" s="31">
        <v>20493508645</v>
      </c>
      <c r="I122" s="43" t="str">
        <f>IF(H122="","",VLOOKUP(H122,ENTIDAD!$B$2:$C$613,2,0))</f>
        <v>HONDA SELVA DEL PERU S.A.</v>
      </c>
      <c r="J122" s="11"/>
      <c r="K122" s="11"/>
      <c r="L122" s="11"/>
      <c r="M122" s="11"/>
      <c r="N122" s="11">
        <f>(S122-P122)/1.18</f>
        <v>0</v>
      </c>
      <c r="O122" s="11">
        <f t="shared" si="5"/>
        <v>0</v>
      </c>
      <c r="P122" s="11">
        <v>0</v>
      </c>
      <c r="Q122" s="11"/>
      <c r="R122" s="11"/>
      <c r="S122" s="11">
        <v>0</v>
      </c>
      <c r="T122" s="14"/>
      <c r="U122" s="14"/>
      <c r="V122" s="13"/>
      <c r="W122" s="15">
        <v>3.468</v>
      </c>
      <c r="X122" s="13"/>
      <c r="Y122" s="14"/>
      <c r="Z122" s="14"/>
      <c r="AA122" s="14"/>
      <c r="AB122" s="42" t="s">
        <v>383</v>
      </c>
      <c r="AC122" s="11">
        <v>3874.31</v>
      </c>
      <c r="AD122" s="46">
        <v>46136</v>
      </c>
      <c r="AE122" s="34" t="s">
        <v>465</v>
      </c>
      <c r="AF122" s="19" t="s">
        <v>532</v>
      </c>
      <c r="AG122" s="14"/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201</v>
      </c>
      <c r="AT122" s="14"/>
      <c r="AU122" s="11"/>
      <c r="AV122" s="14"/>
    </row>
    <row r="123" spans="1:48" s="45" customFormat="1" ht="15" x14ac:dyDescent="0.25">
      <c r="A123" s="13">
        <v>46106</v>
      </c>
      <c r="B123" s="13"/>
      <c r="C123" s="42" t="s">
        <v>49</v>
      </c>
      <c r="D123" s="42" t="s">
        <v>292</v>
      </c>
      <c r="E123" s="14"/>
      <c r="F123" s="71">
        <v>6085</v>
      </c>
      <c r="G123" s="42" t="s">
        <v>50</v>
      </c>
      <c r="H123" s="31">
        <v>20602783341</v>
      </c>
      <c r="I123" s="43" t="str">
        <f>IF(H123="","",VLOOKUP(H123,ENTIDAD!$B$2:$C$613,2,0))</f>
        <v>CODISSER VRAEM E.I.R.L.</v>
      </c>
      <c r="J123" s="11"/>
      <c r="K123" s="11"/>
      <c r="L123" s="11"/>
      <c r="M123" s="11"/>
      <c r="N123" s="11">
        <v>0</v>
      </c>
      <c r="O123" s="11">
        <f t="shared" si="5"/>
        <v>0</v>
      </c>
      <c r="P123" s="11">
        <v>8</v>
      </c>
      <c r="Q123" s="11"/>
      <c r="R123" s="11"/>
      <c r="S123" s="11">
        <v>8</v>
      </c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72"/>
      <c r="AE123" s="14" t="s">
        <v>262</v>
      </c>
      <c r="AF123" s="19" t="s">
        <v>601</v>
      </c>
      <c r="AG123" s="14"/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493</v>
      </c>
      <c r="AT123" s="14"/>
      <c r="AU123" s="11"/>
      <c r="AV123" s="14"/>
    </row>
    <row r="124" spans="1:48" s="45" customFormat="1" ht="15" x14ac:dyDescent="0.25">
      <c r="A124" s="13">
        <v>46106</v>
      </c>
      <c r="B124" s="13"/>
      <c r="C124" s="42" t="s">
        <v>49</v>
      </c>
      <c r="D124" s="42" t="s">
        <v>301</v>
      </c>
      <c r="E124" s="14"/>
      <c r="F124" s="71">
        <v>17441</v>
      </c>
      <c r="G124" s="42" t="s">
        <v>50</v>
      </c>
      <c r="H124" s="31">
        <v>20493508645</v>
      </c>
      <c r="I124" s="43" t="str">
        <f>IF(H124="","",VLOOKUP(H124,ENTIDAD!$B$2:$C$613,2,0))</f>
        <v>HONDA SELVA DEL PERU S.A.</v>
      </c>
      <c r="J124" s="11"/>
      <c r="K124" s="11"/>
      <c r="L124" s="11"/>
      <c r="M124" s="11"/>
      <c r="N124" s="11">
        <v>0</v>
      </c>
      <c r="O124" s="11">
        <f t="shared" si="5"/>
        <v>0</v>
      </c>
      <c r="P124" s="11">
        <v>51203.05</v>
      </c>
      <c r="Q124" s="11"/>
      <c r="R124" s="11"/>
      <c r="S124" s="11">
        <f>W124*AC124</f>
        <v>51203.046719999998</v>
      </c>
      <c r="T124" s="14"/>
      <c r="U124" s="14"/>
      <c r="V124" s="13"/>
      <c r="W124" s="15">
        <v>3.464</v>
      </c>
      <c r="X124" s="13"/>
      <c r="Y124" s="14"/>
      <c r="Z124" s="14"/>
      <c r="AA124" s="14"/>
      <c r="AB124" s="42" t="s">
        <v>383</v>
      </c>
      <c r="AC124" s="62">
        <v>14781.48</v>
      </c>
      <c r="AD124" s="72">
        <v>46137</v>
      </c>
      <c r="AE124" s="34" t="s">
        <v>465</v>
      </c>
      <c r="AF124" s="19" t="s">
        <v>532</v>
      </c>
      <c r="AG124" s="14"/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201</v>
      </c>
      <c r="AT124" s="14"/>
      <c r="AU124" s="11"/>
      <c r="AV124" s="14"/>
    </row>
    <row r="125" spans="1:48" s="45" customFormat="1" ht="15" x14ac:dyDescent="0.25">
      <c r="A125" s="46">
        <v>46106</v>
      </c>
      <c r="B125" s="13"/>
      <c r="C125" s="42" t="s">
        <v>49</v>
      </c>
      <c r="D125" s="42" t="s">
        <v>294</v>
      </c>
      <c r="E125" s="14"/>
      <c r="F125" s="71">
        <v>16118</v>
      </c>
      <c r="G125" s="42" t="s">
        <v>50</v>
      </c>
      <c r="H125" s="31">
        <v>20444766906</v>
      </c>
      <c r="I125" s="43" t="str">
        <f>IF(H125="","",VLOOKUP(H125,ENTIDAD!$B$2:$C$613,2,0))</f>
        <v> EMPRESA DE TRANSPORTES PROFAMSE SRL</v>
      </c>
      <c r="J125" s="11"/>
      <c r="K125" s="11"/>
      <c r="L125" s="11"/>
      <c r="M125" s="11"/>
      <c r="N125" s="11">
        <v>0</v>
      </c>
      <c r="O125" s="11">
        <f t="shared" si="5"/>
        <v>0</v>
      </c>
      <c r="P125" s="11">
        <v>40</v>
      </c>
      <c r="Q125" s="11"/>
      <c r="R125" s="11"/>
      <c r="S125" s="11">
        <v>40</v>
      </c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72"/>
      <c r="AE125" s="34" t="s">
        <v>465</v>
      </c>
      <c r="AF125" s="37" t="s">
        <v>597</v>
      </c>
      <c r="AG125" s="14" t="s">
        <v>513</v>
      </c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 t="s">
        <v>516</v>
      </c>
      <c r="AT125" s="14"/>
      <c r="AU125" s="11"/>
      <c r="AV125" s="14"/>
    </row>
    <row r="126" spans="1:48" s="45" customFormat="1" ht="15" x14ac:dyDescent="0.25">
      <c r="A126" s="13">
        <v>46106</v>
      </c>
      <c r="B126" s="13"/>
      <c r="C126" s="42" t="s">
        <v>49</v>
      </c>
      <c r="D126" s="42" t="s">
        <v>567</v>
      </c>
      <c r="E126" s="14"/>
      <c r="F126" s="71">
        <v>11230</v>
      </c>
      <c r="G126" s="42" t="s">
        <v>50</v>
      </c>
      <c r="H126" s="31">
        <v>20485981536</v>
      </c>
      <c r="I126" s="43" t="str">
        <f>IF(H126="","",VLOOKUP(H126,ENTIDAD!$B$2:$C$613,2,0))</f>
        <v>EMPRESA DE TRANSPORTES TURISMO Y SERVICIOS MULTIPLES SHIMA E.I.R.L.</v>
      </c>
      <c r="J126" s="11"/>
      <c r="K126" s="11"/>
      <c r="L126" s="11"/>
      <c r="M126" s="11"/>
      <c r="N126" s="11">
        <f>(S126-P126)/1.18</f>
        <v>0</v>
      </c>
      <c r="O126" s="11">
        <f t="shared" si="5"/>
        <v>0</v>
      </c>
      <c r="P126" s="11">
        <v>40</v>
      </c>
      <c r="Q126" s="11"/>
      <c r="R126" s="11"/>
      <c r="S126" s="11">
        <v>40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72">
        <v>46137</v>
      </c>
      <c r="AE126" s="34" t="s">
        <v>465</v>
      </c>
      <c r="AF126" s="37" t="s">
        <v>597</v>
      </c>
      <c r="AG126" s="14" t="s">
        <v>513</v>
      </c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516</v>
      </c>
      <c r="AT126" s="14"/>
      <c r="AU126" s="11"/>
      <c r="AV126" s="14"/>
    </row>
    <row r="127" spans="1:48" s="45" customFormat="1" ht="15" x14ac:dyDescent="0.25">
      <c r="A127" s="46">
        <v>46107</v>
      </c>
      <c r="B127" s="13"/>
      <c r="C127" s="42" t="s">
        <v>49</v>
      </c>
      <c r="D127" s="42" t="s">
        <v>294</v>
      </c>
      <c r="E127" s="14"/>
      <c r="F127" s="71">
        <v>12654</v>
      </c>
      <c r="G127" s="42" t="s">
        <v>50</v>
      </c>
      <c r="H127" s="31">
        <v>10209907327</v>
      </c>
      <c r="I127" s="43" t="str">
        <f>IF(H127="","",VLOOKUP(H127,ENTIDAD!$B$2:$C$613,2,0))</f>
        <v>TORPOCO,MAYTA,HECTOR,ALFONSO</v>
      </c>
      <c r="J127" s="11"/>
      <c r="K127" s="11"/>
      <c r="L127" s="11"/>
      <c r="M127" s="11"/>
      <c r="N127" s="11">
        <f>(S127-P127)/1.18</f>
        <v>0</v>
      </c>
      <c r="O127" s="11">
        <f t="shared" si="5"/>
        <v>0</v>
      </c>
      <c r="P127" s="11">
        <v>10</v>
      </c>
      <c r="Q127" s="11"/>
      <c r="R127" s="11"/>
      <c r="S127" s="11">
        <v>10</v>
      </c>
      <c r="T127" s="14"/>
      <c r="U127" s="14"/>
      <c r="V127" s="13"/>
      <c r="W127" s="15"/>
      <c r="X127" s="13"/>
      <c r="Y127" s="14"/>
      <c r="Z127" s="14"/>
      <c r="AA127" s="14"/>
      <c r="AB127" s="42" t="s">
        <v>224</v>
      </c>
      <c r="AC127" s="11"/>
      <c r="AD127" s="46"/>
      <c r="AE127" s="14" t="s">
        <v>262</v>
      </c>
      <c r="AF127" s="19" t="s">
        <v>486</v>
      </c>
      <c r="AG127" s="14"/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487</v>
      </c>
      <c r="AT127" s="14"/>
      <c r="AU127" s="11"/>
      <c r="AV127" s="14"/>
    </row>
    <row r="128" spans="1:48" s="45" customFormat="1" ht="15" x14ac:dyDescent="0.25">
      <c r="A128" s="13">
        <v>46108</v>
      </c>
      <c r="B128" s="13"/>
      <c r="C128" s="42" t="s">
        <v>49</v>
      </c>
      <c r="D128" s="42" t="s">
        <v>292</v>
      </c>
      <c r="E128" s="14"/>
      <c r="F128" s="71">
        <v>718</v>
      </c>
      <c r="G128" s="42" t="s">
        <v>50</v>
      </c>
      <c r="H128" s="31">
        <v>20319194798</v>
      </c>
      <c r="I128" s="43" t="str">
        <f>IF(H128="","",VLOOKUP(H128,ENTIDAD!$B$2:$C$613,2,0))</f>
        <v>EMPRESA RADIODIFUSION NUEVA SENAL EIRLTD</v>
      </c>
      <c r="J128" s="11"/>
      <c r="K128" s="11"/>
      <c r="L128" s="11"/>
      <c r="M128" s="11"/>
      <c r="N128" s="11">
        <v>0</v>
      </c>
      <c r="O128" s="11">
        <f t="shared" si="5"/>
        <v>0</v>
      </c>
      <c r="P128" s="11">
        <v>100</v>
      </c>
      <c r="Q128" s="11"/>
      <c r="R128" s="11"/>
      <c r="S128" s="11">
        <v>100</v>
      </c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72">
        <v>46139</v>
      </c>
      <c r="AE128" s="34" t="s">
        <v>465</v>
      </c>
      <c r="AF128" s="34" t="s">
        <v>499</v>
      </c>
      <c r="AG128" s="14"/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634</v>
      </c>
      <c r="AT128" s="14"/>
      <c r="AU128" s="11"/>
      <c r="AV128" s="14"/>
    </row>
    <row r="129" spans="1:49" s="45" customFormat="1" ht="15" x14ac:dyDescent="0.25">
      <c r="A129" s="13">
        <v>46108</v>
      </c>
      <c r="B129" s="13"/>
      <c r="C129" s="42" t="s">
        <v>300</v>
      </c>
      <c r="D129" s="42" t="s">
        <v>389</v>
      </c>
      <c r="E129" s="14"/>
      <c r="F129" s="71">
        <v>13224</v>
      </c>
      <c r="G129" s="42" t="s">
        <v>50</v>
      </c>
      <c r="H129" s="31">
        <v>20103733015</v>
      </c>
      <c r="I129" s="43" t="str">
        <f>IF(H129="","",VLOOKUP(H129,ENTIDAD!$B$2:$C$613,2,0))</f>
        <v>HONDA DEL PERU S.A</v>
      </c>
      <c r="J129" s="11"/>
      <c r="K129" s="11"/>
      <c r="L129" s="11"/>
      <c r="M129" s="11"/>
      <c r="N129" s="11">
        <f t="shared" ref="N129:N134" si="6">(S129-P129)/1.18</f>
        <v>-124.87620338983051</v>
      </c>
      <c r="O129" s="11">
        <f t="shared" si="5"/>
        <v>-22.477716610169491</v>
      </c>
      <c r="P129" s="11">
        <v>0</v>
      </c>
      <c r="Q129" s="11"/>
      <c r="R129" s="11"/>
      <c r="S129" s="11">
        <f>-W129*AC129</f>
        <v>-147.35391999999999</v>
      </c>
      <c r="T129" s="14"/>
      <c r="U129" s="14"/>
      <c r="V129" s="13"/>
      <c r="W129" s="15">
        <v>3.3519999999999999</v>
      </c>
      <c r="X129" s="13"/>
      <c r="Y129" s="14"/>
      <c r="Z129" s="14"/>
      <c r="AA129" s="14"/>
      <c r="AB129" s="42" t="s">
        <v>383</v>
      </c>
      <c r="AC129" s="11">
        <v>43.96</v>
      </c>
      <c r="AD129" s="72">
        <v>46139</v>
      </c>
      <c r="AE129" s="34" t="s">
        <v>465</v>
      </c>
      <c r="AF129" s="19" t="s">
        <v>532</v>
      </c>
      <c r="AG129" s="14"/>
      <c r="AH129" s="1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201</v>
      </c>
      <c r="AT129" s="14"/>
      <c r="AU129" s="11"/>
      <c r="AV129" s="14"/>
    </row>
    <row r="130" spans="1:49" s="45" customFormat="1" ht="15" x14ac:dyDescent="0.25">
      <c r="A130" s="46">
        <v>46108</v>
      </c>
      <c r="B130" s="13"/>
      <c r="C130" s="42" t="s">
        <v>49</v>
      </c>
      <c r="D130" s="42" t="s">
        <v>292</v>
      </c>
      <c r="E130" s="14"/>
      <c r="F130" s="71">
        <v>615</v>
      </c>
      <c r="G130" s="42" t="s">
        <v>50</v>
      </c>
      <c r="H130" s="31">
        <v>20601358892</v>
      </c>
      <c r="I130" s="43" t="str">
        <f>IF(H130="","",VLOOKUP(H130,ENTIDAD!$B$2:$C$613,2,0))</f>
        <v>ARAUCO CONDE SOLUCIONES INMOBILIARIAS S.A.C.</v>
      </c>
      <c r="J130" s="11"/>
      <c r="K130" s="11"/>
      <c r="L130" s="11"/>
      <c r="M130" s="11"/>
      <c r="N130" s="11">
        <f t="shared" si="6"/>
        <v>0</v>
      </c>
      <c r="O130" s="11">
        <f t="shared" si="5"/>
        <v>0</v>
      </c>
      <c r="P130" s="11">
        <v>2000</v>
      </c>
      <c r="Q130" s="11"/>
      <c r="R130" s="11"/>
      <c r="S130" s="11">
        <v>2000</v>
      </c>
      <c r="T130" s="14"/>
      <c r="U130" s="14"/>
      <c r="V130" s="13"/>
      <c r="W130" s="15"/>
      <c r="X130" s="13"/>
      <c r="Y130" s="14"/>
      <c r="Z130" s="14"/>
      <c r="AA130" s="14"/>
      <c r="AB130" s="42" t="s">
        <v>224</v>
      </c>
      <c r="AC130" s="11"/>
      <c r="AD130" s="46">
        <v>46139</v>
      </c>
      <c r="AE130" s="34" t="s">
        <v>465</v>
      </c>
      <c r="AF130" s="19" t="s">
        <v>203</v>
      </c>
      <c r="AG130" s="14"/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 t="s">
        <v>635</v>
      </c>
      <c r="AT130" s="14"/>
      <c r="AU130" s="11"/>
      <c r="AV130" s="14"/>
    </row>
    <row r="131" spans="1:49" s="45" customFormat="1" ht="15" x14ac:dyDescent="0.25">
      <c r="A131" s="46">
        <v>46108</v>
      </c>
      <c r="B131" s="13"/>
      <c r="C131" s="42" t="s">
        <v>49</v>
      </c>
      <c r="D131" s="42" t="s">
        <v>292</v>
      </c>
      <c r="E131" s="14"/>
      <c r="F131" s="71">
        <v>614</v>
      </c>
      <c r="G131" s="42" t="s">
        <v>50</v>
      </c>
      <c r="H131" s="31">
        <v>20601358892</v>
      </c>
      <c r="I131" s="43" t="str">
        <f>IF(H131="","",VLOOKUP(H131,ENTIDAD!$B$2:$C$613,2,0))</f>
        <v>ARAUCO CONDE SOLUCIONES INMOBILIARIAS S.A.C.</v>
      </c>
      <c r="J131" s="11"/>
      <c r="K131" s="11"/>
      <c r="L131" s="11"/>
      <c r="M131" s="11"/>
      <c r="N131" s="11">
        <f t="shared" si="6"/>
        <v>0</v>
      </c>
      <c r="O131" s="11">
        <f t="shared" si="5"/>
        <v>0</v>
      </c>
      <c r="P131" s="11">
        <v>2000</v>
      </c>
      <c r="Q131" s="11"/>
      <c r="R131" s="11"/>
      <c r="S131" s="11">
        <v>2000</v>
      </c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46">
        <v>46139</v>
      </c>
      <c r="AE131" s="34" t="s">
        <v>465</v>
      </c>
      <c r="AF131" s="19" t="s">
        <v>203</v>
      </c>
      <c r="AG131" s="14"/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636</v>
      </c>
      <c r="AT131" s="14"/>
      <c r="AU131" s="11"/>
      <c r="AV131" s="14"/>
    </row>
    <row r="132" spans="1:49" s="45" customFormat="1" ht="15" x14ac:dyDescent="0.25">
      <c r="A132" s="46">
        <v>46108</v>
      </c>
      <c r="B132" s="13"/>
      <c r="C132" s="42" t="s">
        <v>49</v>
      </c>
      <c r="D132" s="42" t="s">
        <v>292</v>
      </c>
      <c r="E132" s="14"/>
      <c r="F132" s="71">
        <v>611</v>
      </c>
      <c r="G132" s="42" t="s">
        <v>50</v>
      </c>
      <c r="H132" s="31">
        <v>20601358892</v>
      </c>
      <c r="I132" s="43" t="str">
        <f>IF(H132="","",VLOOKUP(H132,ENTIDAD!$B$2:$C$613,2,0))</f>
        <v>ARAUCO CONDE SOLUCIONES INMOBILIARIAS S.A.C.</v>
      </c>
      <c r="J132" s="11"/>
      <c r="K132" s="11"/>
      <c r="L132" s="11"/>
      <c r="M132" s="11"/>
      <c r="N132" s="11">
        <f t="shared" si="6"/>
        <v>0</v>
      </c>
      <c r="O132" s="11">
        <f t="shared" ref="O132:O151" si="7">N132*0.18</f>
        <v>0</v>
      </c>
      <c r="P132" s="11">
        <v>3000</v>
      </c>
      <c r="Q132" s="11"/>
      <c r="R132" s="11"/>
      <c r="S132" s="11">
        <v>3000</v>
      </c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46">
        <v>46139</v>
      </c>
      <c r="AE132" s="34" t="s">
        <v>465</v>
      </c>
      <c r="AF132" s="19" t="s">
        <v>203</v>
      </c>
      <c r="AG132" s="14"/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 t="s">
        <v>637</v>
      </c>
      <c r="AT132" s="14"/>
      <c r="AU132" s="11"/>
      <c r="AV132" s="14"/>
    </row>
    <row r="133" spans="1:49" s="45" customFormat="1" ht="15" x14ac:dyDescent="0.25">
      <c r="A133" s="68">
        <v>46108</v>
      </c>
      <c r="B133" s="50"/>
      <c r="C133" s="52" t="s">
        <v>300</v>
      </c>
      <c r="D133" s="52" t="s">
        <v>292</v>
      </c>
      <c r="E133" s="53"/>
      <c r="F133" s="64">
        <v>38</v>
      </c>
      <c r="G133" s="52" t="s">
        <v>50</v>
      </c>
      <c r="H133" s="69">
        <v>20601358892</v>
      </c>
      <c r="I133" s="54" t="str">
        <f>IF(H133="","",VLOOKUP(H133,ENTIDAD!$B$2:$C$613,2,0))</f>
        <v>ARAUCO CONDE SOLUCIONES INMOBILIARIAS S.A.C.</v>
      </c>
      <c r="J133" s="55"/>
      <c r="K133" s="55"/>
      <c r="L133" s="55"/>
      <c r="M133" s="55"/>
      <c r="N133" s="125">
        <f t="shared" si="6"/>
        <v>0</v>
      </c>
      <c r="O133" s="125">
        <f t="shared" si="7"/>
        <v>0</v>
      </c>
      <c r="P133" s="55">
        <v>-2000</v>
      </c>
      <c r="Q133" s="55"/>
      <c r="R133" s="55"/>
      <c r="S133" s="55">
        <v>-2000</v>
      </c>
      <c r="T133" s="53"/>
      <c r="U133" s="53"/>
      <c r="V133" s="50"/>
      <c r="W133" s="25"/>
      <c r="X133" s="50"/>
      <c r="Y133" s="53"/>
      <c r="Z133" s="53"/>
      <c r="AA133" s="53"/>
      <c r="AB133" s="52" t="s">
        <v>224</v>
      </c>
      <c r="AC133" s="55"/>
      <c r="AD133" s="68">
        <v>46139</v>
      </c>
      <c r="AE133" s="53" t="s">
        <v>465</v>
      </c>
      <c r="AF133" s="60" t="s">
        <v>203</v>
      </c>
      <c r="AG133" s="53"/>
      <c r="AH133" s="53" t="s">
        <v>225</v>
      </c>
      <c r="AI133" s="53"/>
      <c r="AJ133" s="53"/>
      <c r="AK133" s="61"/>
      <c r="AL133" s="55"/>
      <c r="AM133" s="55"/>
      <c r="AN133" s="53"/>
      <c r="AO133" s="53"/>
      <c r="AP133" s="50"/>
      <c r="AQ133" s="53"/>
      <c r="AR133" s="55">
        <v>18</v>
      </c>
      <c r="AS133" s="53" t="s">
        <v>638</v>
      </c>
      <c r="AT133" s="53"/>
      <c r="AU133" s="55"/>
      <c r="AV133" s="53"/>
      <c r="AW133" s="47"/>
    </row>
    <row r="134" spans="1:49" s="45" customFormat="1" ht="15" x14ac:dyDescent="0.25">
      <c r="A134" s="68">
        <v>46108</v>
      </c>
      <c r="B134" s="50"/>
      <c r="C134" s="52" t="s">
        <v>300</v>
      </c>
      <c r="D134" s="52" t="s">
        <v>301</v>
      </c>
      <c r="E134" s="53"/>
      <c r="F134" s="64">
        <v>2365</v>
      </c>
      <c r="G134" s="52" t="s">
        <v>50</v>
      </c>
      <c r="H134" s="69">
        <v>20493508645</v>
      </c>
      <c r="I134" s="54" t="str">
        <f>IF(H134="","",VLOOKUP(H134,ENTIDAD!$B$2:$C$613,2,0))</f>
        <v>HONDA SELVA DEL PERU S.A.</v>
      </c>
      <c r="J134" s="55"/>
      <c r="K134" s="55"/>
      <c r="L134" s="55"/>
      <c r="M134" s="55"/>
      <c r="N134" s="125">
        <f t="shared" si="6"/>
        <v>-4.4157002668140135E-4</v>
      </c>
      <c r="O134" s="125">
        <f t="shared" si="7"/>
        <v>-7.9482604802652237E-5</v>
      </c>
      <c r="P134" s="55">
        <v>-7383.46</v>
      </c>
      <c r="Q134" s="55"/>
      <c r="R134" s="55"/>
      <c r="S134" s="55">
        <f>-W134*AC134</f>
        <v>-7383.4605210526315</v>
      </c>
      <c r="T134" s="53"/>
      <c r="U134" s="53"/>
      <c r="V134" s="50"/>
      <c r="W134" s="25">
        <v>3.3721052631578945</v>
      </c>
      <c r="X134" s="50"/>
      <c r="Y134" s="53"/>
      <c r="Z134" s="53"/>
      <c r="AA134" s="53"/>
      <c r="AB134" s="52" t="s">
        <v>383</v>
      </c>
      <c r="AC134" s="55">
        <v>2189.5700000000002</v>
      </c>
      <c r="AD134" s="68">
        <v>46139</v>
      </c>
      <c r="AE134" s="53" t="s">
        <v>465</v>
      </c>
      <c r="AF134" s="60" t="s">
        <v>533</v>
      </c>
      <c r="AG134" s="53"/>
      <c r="AH134" s="53" t="s">
        <v>225</v>
      </c>
      <c r="AI134" s="53"/>
      <c r="AJ134" s="53"/>
      <c r="AK134" s="61"/>
      <c r="AL134" s="55"/>
      <c r="AM134" s="55"/>
      <c r="AN134" s="53"/>
      <c r="AO134" s="53"/>
      <c r="AP134" s="50"/>
      <c r="AQ134" s="53"/>
      <c r="AR134" s="55">
        <v>18</v>
      </c>
      <c r="AS134" s="53" t="s">
        <v>534</v>
      </c>
      <c r="AT134" s="53"/>
      <c r="AU134" s="55"/>
      <c r="AV134" s="53"/>
      <c r="AW134" s="47"/>
    </row>
    <row r="135" spans="1:49" s="45" customFormat="1" ht="15" x14ac:dyDescent="0.25">
      <c r="A135" s="13">
        <v>46109</v>
      </c>
      <c r="B135" s="13"/>
      <c r="C135" s="42" t="s">
        <v>49</v>
      </c>
      <c r="D135" s="42" t="s">
        <v>444</v>
      </c>
      <c r="E135" s="14"/>
      <c r="F135" s="71">
        <v>826</v>
      </c>
      <c r="G135" s="42" t="s">
        <v>50</v>
      </c>
      <c r="H135" s="31">
        <v>20611526572</v>
      </c>
      <c r="I135" s="43" t="str">
        <f>IF(H135="","",VLOOKUP(H135,ENTIDAD!$B$2:$C$613,2,0))</f>
        <v>GRUPO SUKKIE E.I.R.L.</v>
      </c>
      <c r="J135" s="11"/>
      <c r="K135" s="11"/>
      <c r="L135" s="11"/>
      <c r="M135" s="11"/>
      <c r="N135" s="44">
        <v>0</v>
      </c>
      <c r="O135" s="44">
        <f t="shared" si="7"/>
        <v>0</v>
      </c>
      <c r="P135" s="11">
        <v>58</v>
      </c>
      <c r="Q135" s="11"/>
      <c r="R135" s="11"/>
      <c r="S135" s="11">
        <v>58</v>
      </c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72"/>
      <c r="AE135" s="34" t="s">
        <v>262</v>
      </c>
      <c r="AF135" s="37" t="s">
        <v>515</v>
      </c>
      <c r="AG135" s="14"/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628</v>
      </c>
      <c r="AT135" s="14"/>
      <c r="AU135" s="11"/>
      <c r="AV135" s="14"/>
    </row>
    <row r="136" spans="1:49" s="45" customFormat="1" ht="15" x14ac:dyDescent="0.25">
      <c r="A136" s="13">
        <v>46109</v>
      </c>
      <c r="B136" s="13"/>
      <c r="C136" s="42" t="s">
        <v>49</v>
      </c>
      <c r="D136" s="42" t="s">
        <v>294</v>
      </c>
      <c r="E136" s="14"/>
      <c r="F136" s="71">
        <v>6163</v>
      </c>
      <c r="G136" s="42" t="s">
        <v>50</v>
      </c>
      <c r="H136" s="31">
        <v>20486549328</v>
      </c>
      <c r="I136" s="43" t="str">
        <f>IF(H136="","",VLOOKUP(H136,ENTIDAD!$B$2:$C$613,2,0))</f>
        <v>SANTISIMA TRINIDAD E.I.R.L.</v>
      </c>
      <c r="J136" s="11"/>
      <c r="K136" s="11"/>
      <c r="L136" s="11"/>
      <c r="M136" s="11"/>
      <c r="N136" s="44">
        <v>0</v>
      </c>
      <c r="O136" s="44">
        <f t="shared" si="7"/>
        <v>0</v>
      </c>
      <c r="P136" s="11">
        <v>143</v>
      </c>
      <c r="Q136" s="11"/>
      <c r="R136" s="11"/>
      <c r="S136" s="11">
        <v>143</v>
      </c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72"/>
      <c r="AE136" s="34" t="s">
        <v>262</v>
      </c>
      <c r="AF136" s="37" t="s">
        <v>521</v>
      </c>
      <c r="AG136" s="14"/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629</v>
      </c>
      <c r="AT136" s="14"/>
      <c r="AU136" s="11"/>
      <c r="AV136" s="14"/>
    </row>
    <row r="137" spans="1:49" s="45" customFormat="1" ht="15" x14ac:dyDescent="0.25">
      <c r="A137" s="13">
        <v>46109</v>
      </c>
      <c r="B137" s="13"/>
      <c r="C137" s="42" t="s">
        <v>49</v>
      </c>
      <c r="D137" s="42" t="s">
        <v>451</v>
      </c>
      <c r="E137" s="14"/>
      <c r="F137" s="71">
        <v>223</v>
      </c>
      <c r="G137" s="42" t="s">
        <v>50</v>
      </c>
      <c r="H137" s="31">
        <v>10209907327</v>
      </c>
      <c r="I137" s="43" t="str">
        <f>IF(H137="","",VLOOKUP(H137,ENTIDAD!$B$2:$C$613,2,0))</f>
        <v>TORPOCO,MAYTA,HECTOR,ALFONSO</v>
      </c>
      <c r="J137" s="11"/>
      <c r="K137" s="11"/>
      <c r="L137" s="11"/>
      <c r="M137" s="11"/>
      <c r="N137" s="44">
        <v>0</v>
      </c>
      <c r="O137" s="44">
        <f t="shared" si="7"/>
        <v>0</v>
      </c>
      <c r="P137" s="11">
        <v>10</v>
      </c>
      <c r="Q137" s="11"/>
      <c r="R137" s="11"/>
      <c r="S137" s="11">
        <v>10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72"/>
      <c r="AE137" s="14" t="s">
        <v>262</v>
      </c>
      <c r="AF137" s="19" t="s">
        <v>486</v>
      </c>
      <c r="AG137" s="14"/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487</v>
      </c>
      <c r="AT137" s="14"/>
      <c r="AU137" s="11"/>
      <c r="AV137" s="14"/>
    </row>
    <row r="138" spans="1:49" s="45" customFormat="1" ht="15" x14ac:dyDescent="0.25">
      <c r="A138" s="13">
        <v>46109</v>
      </c>
      <c r="B138" s="13"/>
      <c r="C138" s="42" t="s">
        <v>49</v>
      </c>
      <c r="D138" s="42" t="s">
        <v>294</v>
      </c>
      <c r="E138" s="14"/>
      <c r="F138" s="71">
        <v>118542</v>
      </c>
      <c r="G138" s="42" t="s">
        <v>50</v>
      </c>
      <c r="H138" s="31">
        <v>20568499043</v>
      </c>
      <c r="I138" s="43" t="str">
        <f>IF(H138="","",VLOOKUP(H138,ENTIDAD!$B$2:$C$613,2,0))</f>
        <v>SURTIDORES SAN MIGUEL E.I.R.L.</v>
      </c>
      <c r="J138" s="11"/>
      <c r="K138" s="11"/>
      <c r="L138" s="11"/>
      <c r="M138" s="11"/>
      <c r="N138" s="44">
        <v>0</v>
      </c>
      <c r="O138" s="44">
        <f t="shared" si="7"/>
        <v>0</v>
      </c>
      <c r="P138" s="11">
        <v>100</v>
      </c>
      <c r="Q138" s="11"/>
      <c r="R138" s="11"/>
      <c r="S138" s="11">
        <v>100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72"/>
      <c r="AE138" s="14" t="s">
        <v>262</v>
      </c>
      <c r="AF138" s="19" t="s">
        <v>488</v>
      </c>
      <c r="AG138" s="14"/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487</v>
      </c>
      <c r="AT138" s="14"/>
      <c r="AU138" s="11"/>
      <c r="AV138" s="14"/>
    </row>
    <row r="139" spans="1:49" s="45" customFormat="1" ht="15" x14ac:dyDescent="0.25">
      <c r="A139" s="13">
        <v>46109</v>
      </c>
      <c r="B139" s="13"/>
      <c r="C139" s="42" t="s">
        <v>49</v>
      </c>
      <c r="D139" s="42" t="s">
        <v>301</v>
      </c>
      <c r="E139" s="14"/>
      <c r="F139" s="71">
        <v>17538</v>
      </c>
      <c r="G139" s="42" t="s">
        <v>50</v>
      </c>
      <c r="H139" s="31">
        <v>20493508645</v>
      </c>
      <c r="I139" s="43" t="str">
        <f>IF(H139="","",VLOOKUP(H139,ENTIDAD!$B$2:$C$613,2,0))</f>
        <v>HONDA SELVA DEL PERU S.A.</v>
      </c>
      <c r="J139" s="11"/>
      <c r="K139" s="11"/>
      <c r="L139" s="11"/>
      <c r="M139" s="11"/>
      <c r="N139" s="44">
        <v>0</v>
      </c>
      <c r="O139" s="44">
        <f t="shared" si="7"/>
        <v>0</v>
      </c>
      <c r="P139" s="11">
        <v>35249.040000000001</v>
      </c>
      <c r="Q139" s="11"/>
      <c r="R139" s="11"/>
      <c r="S139" s="11">
        <f>W139*AC139</f>
        <v>35249.037600000003</v>
      </c>
      <c r="T139" s="14"/>
      <c r="U139" s="14"/>
      <c r="V139" s="13"/>
      <c r="W139" s="15">
        <v>3.4860000000000002</v>
      </c>
      <c r="X139" s="13"/>
      <c r="Y139" s="14"/>
      <c r="Z139" s="14"/>
      <c r="AA139" s="14"/>
      <c r="AB139" s="42" t="s">
        <v>383</v>
      </c>
      <c r="AC139" s="11">
        <v>10111.6</v>
      </c>
      <c r="AD139" s="72">
        <v>46140</v>
      </c>
      <c r="AE139" s="34" t="s">
        <v>465</v>
      </c>
      <c r="AF139" s="19" t="s">
        <v>532</v>
      </c>
      <c r="AG139" s="14"/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201</v>
      </c>
      <c r="AT139" s="14"/>
      <c r="AU139" s="11"/>
      <c r="AV139" s="14"/>
    </row>
    <row r="140" spans="1:49" s="45" customFormat="1" ht="15" x14ac:dyDescent="0.25">
      <c r="A140" s="13">
        <v>46111</v>
      </c>
      <c r="B140" s="13"/>
      <c r="C140" s="42" t="s">
        <v>49</v>
      </c>
      <c r="D140" s="42" t="s">
        <v>292</v>
      </c>
      <c r="E140" s="14"/>
      <c r="F140" s="71">
        <v>2819</v>
      </c>
      <c r="G140" s="42" t="s">
        <v>50</v>
      </c>
      <c r="H140" s="31">
        <v>20609912651</v>
      </c>
      <c r="I140" s="43" t="str">
        <f>IF(H140="","",VLOOKUP(H140,ENTIDAD!$B$2:$C$613,2,0))</f>
        <v>CONSORCIOS Y SERVICIOS GENERALES SALOME SOCIEDAD ANONIMA CERRADA</v>
      </c>
      <c r="J140" s="11"/>
      <c r="K140" s="11"/>
      <c r="L140" s="11"/>
      <c r="M140" s="11"/>
      <c r="N140" s="44">
        <v>0</v>
      </c>
      <c r="O140" s="44">
        <f t="shared" si="7"/>
        <v>0</v>
      </c>
      <c r="P140" s="11">
        <v>313</v>
      </c>
      <c r="Q140" s="11"/>
      <c r="R140" s="11"/>
      <c r="S140" s="11">
        <v>313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72">
        <v>46142</v>
      </c>
      <c r="AE140" s="34" t="s">
        <v>465</v>
      </c>
      <c r="AF140" s="19" t="s">
        <v>602</v>
      </c>
      <c r="AG140" s="14"/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632</v>
      </c>
      <c r="AT140" s="14"/>
      <c r="AU140" s="11"/>
      <c r="AV140" s="14"/>
    </row>
    <row r="141" spans="1:49" s="45" customFormat="1" ht="15" x14ac:dyDescent="0.25">
      <c r="A141" s="13">
        <v>46111</v>
      </c>
      <c r="B141" s="13"/>
      <c r="C141" s="42" t="s">
        <v>49</v>
      </c>
      <c r="D141" s="42" t="s">
        <v>292</v>
      </c>
      <c r="E141" s="14"/>
      <c r="F141" s="71">
        <v>177</v>
      </c>
      <c r="G141" s="42" t="s">
        <v>50</v>
      </c>
      <c r="H141" s="31">
        <v>20444327066</v>
      </c>
      <c r="I141" s="43" t="str">
        <f>IF(H141="","",VLOOKUP(H141,ENTIDAD!$B$2:$C$613,2,0))</f>
        <v>CAMARA DE COMERCIO E INDUSTRIAS SATIPO</v>
      </c>
      <c r="J141" s="11"/>
      <c r="K141" s="11"/>
      <c r="L141" s="11"/>
      <c r="M141" s="11"/>
      <c r="N141" s="44">
        <v>0</v>
      </c>
      <c r="O141" s="44">
        <f t="shared" si="7"/>
        <v>0</v>
      </c>
      <c r="P141" s="11">
        <v>211</v>
      </c>
      <c r="Q141" s="11"/>
      <c r="R141" s="11"/>
      <c r="S141" s="11">
        <v>211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72">
        <v>46142</v>
      </c>
      <c r="AE141" s="14" t="s">
        <v>465</v>
      </c>
      <c r="AF141" s="19" t="s">
        <v>565</v>
      </c>
      <c r="AG141" s="14"/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34" t="s">
        <v>564</v>
      </c>
      <c r="AT141" s="14"/>
      <c r="AU141" s="11"/>
      <c r="AV141" s="14"/>
    </row>
    <row r="142" spans="1:49" s="45" customFormat="1" ht="15" x14ac:dyDescent="0.25">
      <c r="A142" s="13">
        <v>46111</v>
      </c>
      <c r="B142" s="13"/>
      <c r="C142" s="42" t="s">
        <v>49</v>
      </c>
      <c r="D142" s="42" t="s">
        <v>294</v>
      </c>
      <c r="E142" s="14"/>
      <c r="F142" s="71">
        <v>5250</v>
      </c>
      <c r="G142" s="42" t="s">
        <v>50</v>
      </c>
      <c r="H142" s="31">
        <v>10061702071</v>
      </c>
      <c r="I142" s="43" t="str">
        <f>IF(H142="","",VLOOKUP(H142,ENTIDAD!$B$2:$C$613,2,0))</f>
        <v>CORAL FLORES IVAN MARTIN</v>
      </c>
      <c r="J142" s="11"/>
      <c r="K142" s="11"/>
      <c r="L142" s="11"/>
      <c r="M142" s="11"/>
      <c r="N142" s="44">
        <v>0</v>
      </c>
      <c r="O142" s="44">
        <f t="shared" si="7"/>
        <v>0</v>
      </c>
      <c r="P142" s="11">
        <v>275</v>
      </c>
      <c r="Q142" s="11"/>
      <c r="R142" s="11"/>
      <c r="S142" s="11">
        <v>275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72">
        <v>46142</v>
      </c>
      <c r="AE142" s="14" t="s">
        <v>465</v>
      </c>
      <c r="AF142" s="37" t="s">
        <v>597</v>
      </c>
      <c r="AG142" s="34" t="s">
        <v>513</v>
      </c>
      <c r="AH142" s="34" t="s">
        <v>225</v>
      </c>
      <c r="AI142" s="34"/>
      <c r="AJ142" s="34"/>
      <c r="AK142" s="38"/>
      <c r="AL142" s="35"/>
      <c r="AM142" s="35"/>
      <c r="AN142" s="34"/>
      <c r="AO142" s="34"/>
      <c r="AP142" s="33"/>
      <c r="AQ142" s="34"/>
      <c r="AR142" s="35">
        <v>18</v>
      </c>
      <c r="AS142" s="34" t="s">
        <v>514</v>
      </c>
      <c r="AT142" s="14"/>
      <c r="AU142" s="11"/>
      <c r="AV142" s="14"/>
    </row>
    <row r="143" spans="1:49" s="45" customFormat="1" ht="15" x14ac:dyDescent="0.25">
      <c r="A143" s="13">
        <v>46111</v>
      </c>
      <c r="B143" s="13"/>
      <c r="C143" s="42" t="s">
        <v>49</v>
      </c>
      <c r="D143" s="42" t="s">
        <v>301</v>
      </c>
      <c r="E143" s="14"/>
      <c r="F143" s="71">
        <v>17582</v>
      </c>
      <c r="G143" s="42" t="s">
        <v>50</v>
      </c>
      <c r="H143" s="31">
        <v>20493508645</v>
      </c>
      <c r="I143" s="43" t="str">
        <f>IF(H143="","",VLOOKUP(H143,ENTIDAD!$B$2:$C$613,2,0))</f>
        <v>HONDA SELVA DEL PERU S.A.</v>
      </c>
      <c r="J143" s="11"/>
      <c r="K143" s="11"/>
      <c r="L143" s="11"/>
      <c r="M143" s="11"/>
      <c r="N143" s="44">
        <v>0</v>
      </c>
      <c r="O143" s="44">
        <f t="shared" si="7"/>
        <v>0</v>
      </c>
      <c r="P143" s="11">
        <v>20325.96</v>
      </c>
      <c r="Q143" s="11"/>
      <c r="R143" s="11"/>
      <c r="S143" s="11">
        <f>W143*AC143</f>
        <v>20325.959640000001</v>
      </c>
      <c r="T143" s="14"/>
      <c r="U143" s="14"/>
      <c r="V143" s="13"/>
      <c r="W143" s="15">
        <v>3.4860000000000002</v>
      </c>
      <c r="X143" s="13"/>
      <c r="Y143" s="14"/>
      <c r="Z143" s="14"/>
      <c r="AA143" s="14"/>
      <c r="AB143" s="42" t="s">
        <v>383</v>
      </c>
      <c r="AC143" s="11">
        <v>5830.74</v>
      </c>
      <c r="AD143" s="72">
        <v>46142</v>
      </c>
      <c r="AE143" s="34" t="s">
        <v>465</v>
      </c>
      <c r="AF143" s="19" t="s">
        <v>532</v>
      </c>
      <c r="AG143" s="14"/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201</v>
      </c>
      <c r="AT143" s="14"/>
      <c r="AU143" s="11"/>
      <c r="AV143" s="14"/>
    </row>
    <row r="144" spans="1:49" s="45" customFormat="1" ht="15" x14ac:dyDescent="0.25">
      <c r="A144" s="13">
        <v>46111</v>
      </c>
      <c r="B144" s="13"/>
      <c r="C144" s="42" t="s">
        <v>49</v>
      </c>
      <c r="D144" s="42" t="s">
        <v>301</v>
      </c>
      <c r="E144" s="14"/>
      <c r="F144" s="71">
        <v>17564</v>
      </c>
      <c r="G144" s="42" t="s">
        <v>50</v>
      </c>
      <c r="H144" s="31">
        <v>20493508645</v>
      </c>
      <c r="I144" s="43" t="str">
        <f>IF(H144="","",VLOOKUP(H144,ENTIDAD!$B$2:$C$613,2,0))</f>
        <v>HONDA SELVA DEL PERU S.A.</v>
      </c>
      <c r="J144" s="11"/>
      <c r="K144" s="11"/>
      <c r="L144" s="11"/>
      <c r="M144" s="11"/>
      <c r="N144" s="44">
        <v>0</v>
      </c>
      <c r="O144" s="44">
        <f t="shared" si="7"/>
        <v>0</v>
      </c>
      <c r="P144" s="11">
        <v>10305.66</v>
      </c>
      <c r="Q144" s="11"/>
      <c r="R144" s="11"/>
      <c r="S144" s="11">
        <f>W144*AC144</f>
        <v>10305.661800000002</v>
      </c>
      <c r="T144" s="14"/>
      <c r="U144" s="14"/>
      <c r="V144" s="13"/>
      <c r="W144" s="15">
        <v>3.4860000000000002</v>
      </c>
      <c r="X144" s="13"/>
      <c r="Y144" s="14"/>
      <c r="Z144" s="14"/>
      <c r="AA144" s="14"/>
      <c r="AB144" s="42" t="s">
        <v>383</v>
      </c>
      <c r="AC144" s="11">
        <v>2956.3</v>
      </c>
      <c r="AD144" s="72">
        <v>46142</v>
      </c>
      <c r="AE144" s="34" t="s">
        <v>465</v>
      </c>
      <c r="AF144" s="19" t="s">
        <v>532</v>
      </c>
      <c r="AG144" s="14"/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201</v>
      </c>
      <c r="AT144" s="14"/>
      <c r="AU144" s="11"/>
      <c r="AV144" s="14"/>
    </row>
    <row r="145" spans="1:49" s="45" customFormat="1" ht="15" x14ac:dyDescent="0.25">
      <c r="A145" s="13">
        <v>46111</v>
      </c>
      <c r="B145" s="13"/>
      <c r="C145" s="42" t="s">
        <v>49</v>
      </c>
      <c r="D145" s="42" t="s">
        <v>301</v>
      </c>
      <c r="E145" s="14"/>
      <c r="F145" s="71">
        <v>17576</v>
      </c>
      <c r="G145" s="42" t="s">
        <v>50</v>
      </c>
      <c r="H145" s="31">
        <v>20493508645</v>
      </c>
      <c r="I145" s="43" t="str">
        <f>IF(H145="","",VLOOKUP(H145,ENTIDAD!$B$2:$C$613,2,0))</f>
        <v>HONDA SELVA DEL PERU S.A.</v>
      </c>
      <c r="J145" s="11"/>
      <c r="K145" s="11"/>
      <c r="L145" s="11"/>
      <c r="M145" s="11"/>
      <c r="N145" s="44">
        <v>0</v>
      </c>
      <c r="O145" s="44">
        <f t="shared" si="7"/>
        <v>0</v>
      </c>
      <c r="P145" s="11">
        <v>67753.16</v>
      </c>
      <c r="Q145" s="11"/>
      <c r="R145" s="11"/>
      <c r="S145" s="11">
        <f>W145*AC145</f>
        <v>67753.163940000013</v>
      </c>
      <c r="T145" s="14"/>
      <c r="U145" s="14"/>
      <c r="V145" s="13"/>
      <c r="W145" s="15">
        <v>3.4860000000000002</v>
      </c>
      <c r="X145" s="13"/>
      <c r="Y145" s="14"/>
      <c r="Z145" s="14"/>
      <c r="AA145" s="14"/>
      <c r="AB145" s="42" t="s">
        <v>383</v>
      </c>
      <c r="AC145" s="11">
        <v>19435.79</v>
      </c>
      <c r="AD145" s="72">
        <v>46142</v>
      </c>
      <c r="AE145" s="34" t="s">
        <v>465</v>
      </c>
      <c r="AF145" s="19" t="s">
        <v>532</v>
      </c>
      <c r="AG145" s="14"/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 t="s">
        <v>201</v>
      </c>
      <c r="AT145" s="14"/>
      <c r="AU145" s="11"/>
      <c r="AV145" s="14"/>
    </row>
    <row r="146" spans="1:49" s="45" customFormat="1" ht="15" x14ac:dyDescent="0.25">
      <c r="A146" s="13">
        <v>46111</v>
      </c>
      <c r="B146" s="13"/>
      <c r="C146" s="42" t="s">
        <v>49</v>
      </c>
      <c r="D146" s="42" t="s">
        <v>301</v>
      </c>
      <c r="E146" s="14"/>
      <c r="F146" s="71">
        <v>17577</v>
      </c>
      <c r="G146" s="42" t="s">
        <v>50</v>
      </c>
      <c r="H146" s="31">
        <v>20493508645</v>
      </c>
      <c r="I146" s="43" t="str">
        <f>IF(H146="","",VLOOKUP(H146,ENTIDAD!$B$2:$C$613,2,0))</f>
        <v>HONDA SELVA DEL PERU S.A.</v>
      </c>
      <c r="J146" s="11"/>
      <c r="K146" s="11"/>
      <c r="L146" s="11"/>
      <c r="M146" s="11"/>
      <c r="N146" s="44">
        <f>(S146-P146)/1.18</f>
        <v>3.6440677970442609E-3</v>
      </c>
      <c r="O146" s="44">
        <f t="shared" si="7"/>
        <v>6.5593220346796689E-4</v>
      </c>
      <c r="P146" s="11">
        <v>47427.199999999997</v>
      </c>
      <c r="Q146" s="11"/>
      <c r="R146" s="11"/>
      <c r="S146" s="11">
        <f>W146*AC146</f>
        <v>47427.204299999998</v>
      </c>
      <c r="T146" s="14"/>
      <c r="U146" s="14"/>
      <c r="V146" s="13"/>
      <c r="W146" s="15">
        <v>3.4860000000000002</v>
      </c>
      <c r="X146" s="13"/>
      <c r="Y146" s="14"/>
      <c r="Z146" s="14"/>
      <c r="AA146" s="14"/>
      <c r="AB146" s="42" t="s">
        <v>383</v>
      </c>
      <c r="AC146" s="11">
        <v>13605.05</v>
      </c>
      <c r="AD146" s="72">
        <v>46142</v>
      </c>
      <c r="AE146" s="34" t="s">
        <v>465</v>
      </c>
      <c r="AF146" s="19" t="s">
        <v>532</v>
      </c>
      <c r="AG146" s="14"/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201</v>
      </c>
      <c r="AT146" s="14"/>
      <c r="AU146" s="11"/>
      <c r="AV146" s="14"/>
    </row>
    <row r="147" spans="1:49" s="45" customFormat="1" ht="15" x14ac:dyDescent="0.25">
      <c r="A147" s="13">
        <v>46111</v>
      </c>
      <c r="B147" s="13"/>
      <c r="C147" s="42" t="s">
        <v>49</v>
      </c>
      <c r="D147" s="42" t="s">
        <v>301</v>
      </c>
      <c r="E147" s="14"/>
      <c r="F147" s="71">
        <v>17578</v>
      </c>
      <c r="G147" s="42" t="s">
        <v>50</v>
      </c>
      <c r="H147" s="31">
        <v>20493508645</v>
      </c>
      <c r="I147" s="43" t="str">
        <f>IF(H147="","",VLOOKUP(H147,ENTIDAD!$B$2:$C$613,2,0))</f>
        <v>HONDA SELVA DEL PERU S.A.</v>
      </c>
      <c r="J147" s="11"/>
      <c r="K147" s="11"/>
      <c r="L147" s="11"/>
      <c r="M147" s="11"/>
      <c r="N147" s="44">
        <f>(S147-P147)/1.18</f>
        <v>-5.0847457575816984E-4</v>
      </c>
      <c r="O147" s="44">
        <f t="shared" si="7"/>
        <v>-9.1525423636470564E-5</v>
      </c>
      <c r="P147" s="11">
        <v>33876.6</v>
      </c>
      <c r="Q147" s="11"/>
      <c r="R147" s="11"/>
      <c r="S147" s="11">
        <f>W147*AC147</f>
        <v>33876.599399999999</v>
      </c>
      <c r="T147" s="14"/>
      <c r="U147" s="14"/>
      <c r="V147" s="13"/>
      <c r="W147" s="15">
        <v>3.4860000000000002</v>
      </c>
      <c r="X147" s="13"/>
      <c r="Y147" s="14"/>
      <c r="Z147" s="14"/>
      <c r="AA147" s="14"/>
      <c r="AB147" s="42" t="s">
        <v>383</v>
      </c>
      <c r="AC147" s="11">
        <v>9717.9</v>
      </c>
      <c r="AD147" s="72">
        <v>46142</v>
      </c>
      <c r="AE147" s="34" t="s">
        <v>465</v>
      </c>
      <c r="AF147" s="19" t="s">
        <v>532</v>
      </c>
      <c r="AG147" s="14"/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 t="s">
        <v>201</v>
      </c>
      <c r="AT147" s="14"/>
      <c r="AU147" s="11"/>
      <c r="AV147" s="14"/>
    </row>
    <row r="148" spans="1:49" s="45" customFormat="1" ht="15" x14ac:dyDescent="0.25">
      <c r="A148" s="13">
        <v>46111</v>
      </c>
      <c r="B148" s="13"/>
      <c r="C148" s="42" t="s">
        <v>49</v>
      </c>
      <c r="D148" s="42" t="s">
        <v>441</v>
      </c>
      <c r="E148" s="14"/>
      <c r="F148" s="71">
        <v>44305313</v>
      </c>
      <c r="G148" s="42" t="s">
        <v>50</v>
      </c>
      <c r="H148" s="31">
        <v>20100047218</v>
      </c>
      <c r="I148" s="43" t="str">
        <f>IF(H148="","",VLOOKUP(H148,ENTIDAD!$B$2:$C$613,2,0))</f>
        <v>BANCO DE CREDITO DEL PERU</v>
      </c>
      <c r="J148" s="11"/>
      <c r="K148" s="11"/>
      <c r="L148" s="11"/>
      <c r="M148" s="11"/>
      <c r="N148" s="44">
        <f>(S148-P148)/1.18</f>
        <v>0</v>
      </c>
      <c r="O148" s="44">
        <f t="shared" si="7"/>
        <v>0</v>
      </c>
      <c r="P148" s="11">
        <v>4.3</v>
      </c>
      <c r="Q148" s="11"/>
      <c r="R148" s="11"/>
      <c r="S148" s="11">
        <v>4.3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72">
        <v>46142</v>
      </c>
      <c r="AE148" s="14" t="s">
        <v>465</v>
      </c>
      <c r="AF148" s="19" t="s">
        <v>494</v>
      </c>
      <c r="AG148" s="14"/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495</v>
      </c>
      <c r="AT148" s="14"/>
      <c r="AU148" s="11"/>
      <c r="AV148" s="14"/>
    </row>
    <row r="149" spans="1:49" s="45" customFormat="1" ht="15" x14ac:dyDescent="0.25">
      <c r="A149" s="13">
        <v>46112</v>
      </c>
      <c r="B149" s="13"/>
      <c r="C149" s="42" t="s">
        <v>49</v>
      </c>
      <c r="D149" s="42" t="s">
        <v>292</v>
      </c>
      <c r="E149" s="14"/>
      <c r="F149" s="71">
        <v>6098</v>
      </c>
      <c r="G149" s="42" t="s">
        <v>50</v>
      </c>
      <c r="H149" s="31">
        <v>20602783341</v>
      </c>
      <c r="I149" s="43" t="str">
        <f>IF(H149="","",VLOOKUP(H149,ENTIDAD!$B$2:$C$613,2,0))</f>
        <v>CODISSER VRAEM E.I.R.L.</v>
      </c>
      <c r="J149" s="11"/>
      <c r="K149" s="11"/>
      <c r="L149" s="11"/>
      <c r="M149" s="11"/>
      <c r="N149" s="44">
        <v>0</v>
      </c>
      <c r="O149" s="44">
        <f t="shared" si="7"/>
        <v>0</v>
      </c>
      <c r="P149" s="11">
        <v>8</v>
      </c>
      <c r="Q149" s="11"/>
      <c r="R149" s="11"/>
      <c r="S149" s="11">
        <v>8</v>
      </c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72"/>
      <c r="AE149" s="14" t="s">
        <v>262</v>
      </c>
      <c r="AF149" s="19" t="s">
        <v>601</v>
      </c>
      <c r="AG149" s="14"/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493</v>
      </c>
      <c r="AT149" s="14"/>
      <c r="AU149" s="11"/>
      <c r="AV149" s="14"/>
    </row>
    <row r="150" spans="1:49" s="45" customFormat="1" ht="15" x14ac:dyDescent="0.25">
      <c r="A150" s="46">
        <v>46112</v>
      </c>
      <c r="B150" s="13"/>
      <c r="C150" s="42" t="s">
        <v>49</v>
      </c>
      <c r="D150" s="42" t="s">
        <v>567</v>
      </c>
      <c r="E150" s="14"/>
      <c r="F150" s="71">
        <v>11288</v>
      </c>
      <c r="G150" s="42" t="s">
        <v>50</v>
      </c>
      <c r="H150" s="31">
        <v>20485981536</v>
      </c>
      <c r="I150" s="43" t="str">
        <f>IF(H150="","",VLOOKUP(H150,ENTIDAD!$B$2:$C$613,2,0))</f>
        <v>EMPRESA DE TRANSPORTES TURISMO Y SERVICIOS MULTIPLES SHIMA E.I.R.L.</v>
      </c>
      <c r="J150" s="11"/>
      <c r="K150" s="11"/>
      <c r="L150" s="11"/>
      <c r="M150" s="11"/>
      <c r="N150" s="44">
        <v>0</v>
      </c>
      <c r="O150" s="44">
        <f t="shared" si="7"/>
        <v>0</v>
      </c>
      <c r="P150" s="11">
        <v>40</v>
      </c>
      <c r="Q150" s="11"/>
      <c r="R150" s="11"/>
      <c r="S150" s="11">
        <v>40</v>
      </c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72">
        <v>46142</v>
      </c>
      <c r="AE150" s="34" t="s">
        <v>465</v>
      </c>
      <c r="AF150" s="37" t="s">
        <v>597</v>
      </c>
      <c r="AG150" s="14" t="s">
        <v>513</v>
      </c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516</v>
      </c>
      <c r="AT150" s="14"/>
      <c r="AU150" s="11"/>
      <c r="AV150" s="14"/>
    </row>
    <row r="151" spans="1:49" s="45" customFormat="1" ht="15" x14ac:dyDescent="0.25">
      <c r="A151" s="46">
        <v>46112</v>
      </c>
      <c r="B151" s="13"/>
      <c r="C151" s="42" t="s">
        <v>49</v>
      </c>
      <c r="D151" s="42" t="s">
        <v>567</v>
      </c>
      <c r="E151" s="14"/>
      <c r="F151" s="71">
        <v>11289</v>
      </c>
      <c r="G151" s="42" t="s">
        <v>50</v>
      </c>
      <c r="H151" s="31">
        <v>20485981536</v>
      </c>
      <c r="I151" s="43" t="str">
        <f>IF(H151="","",VLOOKUP(H151,ENTIDAD!$B$2:$C$613,2,0))</f>
        <v>EMPRESA DE TRANSPORTES TURISMO Y SERVICIOS MULTIPLES SHIMA E.I.R.L.</v>
      </c>
      <c r="J151" s="11"/>
      <c r="K151" s="11"/>
      <c r="L151" s="11"/>
      <c r="M151" s="11"/>
      <c r="N151" s="44">
        <f>(S151-P151)/1.18</f>
        <v>0</v>
      </c>
      <c r="O151" s="44">
        <f t="shared" si="7"/>
        <v>0</v>
      </c>
      <c r="P151" s="11">
        <v>40</v>
      </c>
      <c r="Q151" s="11"/>
      <c r="R151" s="11"/>
      <c r="S151" s="11">
        <v>40</v>
      </c>
      <c r="T151" s="14"/>
      <c r="U151" s="14"/>
      <c r="V151" s="13"/>
      <c r="W151" s="15"/>
      <c r="X151" s="13"/>
      <c r="Y151" s="14"/>
      <c r="Z151" s="14"/>
      <c r="AA151" s="14"/>
      <c r="AB151" s="42" t="s">
        <v>224</v>
      </c>
      <c r="AC151" s="11"/>
      <c r="AD151" s="72">
        <v>46142</v>
      </c>
      <c r="AE151" s="34" t="s">
        <v>465</v>
      </c>
      <c r="AF151" s="37" t="s">
        <v>597</v>
      </c>
      <c r="AG151" s="14" t="s">
        <v>513</v>
      </c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516</v>
      </c>
      <c r="AT151" s="14"/>
      <c r="AU151" s="11"/>
      <c r="AV151" s="14"/>
    </row>
    <row r="152" spans="1:49" s="47" customFormat="1" ht="15" x14ac:dyDescent="0.25">
      <c r="A152" s="46">
        <v>46112</v>
      </c>
      <c r="B152" s="13"/>
      <c r="C152" s="42" t="s">
        <v>49</v>
      </c>
      <c r="D152" s="42" t="s">
        <v>299</v>
      </c>
      <c r="E152" s="14"/>
      <c r="F152" s="71">
        <v>3764578</v>
      </c>
      <c r="G152" s="42" t="s">
        <v>50</v>
      </c>
      <c r="H152" s="31">
        <v>20101973922</v>
      </c>
      <c r="I152" s="43" t="str">
        <f>IF(H152="","",VLOOKUP(H152,ENTIDAD!$B$2:$C$613,2,0))</f>
        <v>ASOCIACION AUTOMOTRIZ DEL PERU</v>
      </c>
      <c r="J152" s="11"/>
      <c r="K152" s="11"/>
      <c r="L152" s="11"/>
      <c r="M152" s="11"/>
      <c r="N152" s="44">
        <v>0</v>
      </c>
      <c r="O152" s="44">
        <v>0</v>
      </c>
      <c r="P152" s="11">
        <v>0</v>
      </c>
      <c r="Q152" s="11"/>
      <c r="R152" s="11">
        <v>66.8</v>
      </c>
      <c r="S152" s="11">
        <v>66.8</v>
      </c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11"/>
      <c r="AD152" s="72">
        <v>46142</v>
      </c>
      <c r="AE152" s="34" t="s">
        <v>465</v>
      </c>
      <c r="AF152" s="37" t="s">
        <v>550</v>
      </c>
      <c r="AG152" s="14" t="s">
        <v>513</v>
      </c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566</v>
      </c>
      <c r="AT152" s="14"/>
      <c r="AU152" s="11"/>
      <c r="AV152" s="14"/>
      <c r="AW152" s="45"/>
    </row>
    <row r="153" spans="1:49" s="47" customFormat="1" ht="15" x14ac:dyDescent="0.25">
      <c r="A153" s="13">
        <v>46112</v>
      </c>
      <c r="B153" s="13"/>
      <c r="C153" s="42" t="s">
        <v>49</v>
      </c>
      <c r="D153" s="42" t="s">
        <v>301</v>
      </c>
      <c r="E153" s="14"/>
      <c r="F153" s="71">
        <v>17665</v>
      </c>
      <c r="G153" s="42" t="s">
        <v>50</v>
      </c>
      <c r="H153" s="31">
        <v>20493508645</v>
      </c>
      <c r="I153" s="43" t="str">
        <f>IF(H153="","",VLOOKUP(H153,ENTIDAD!$B$2:$C$613,2,0))</f>
        <v>HONDA SELVA DEL PERU S.A.</v>
      </c>
      <c r="J153" s="11"/>
      <c r="K153" s="11"/>
      <c r="L153" s="11"/>
      <c r="M153" s="11"/>
      <c r="N153" s="44">
        <v>0</v>
      </c>
      <c r="O153" s="44">
        <f t="shared" ref="O153:O158" si="8">N153*0.18</f>
        <v>0</v>
      </c>
      <c r="P153" s="11">
        <v>27171.25</v>
      </c>
      <c r="Q153" s="11"/>
      <c r="R153" s="11"/>
      <c r="S153" s="11">
        <f>W153*AC153</f>
        <v>27171.2484</v>
      </c>
      <c r="T153" s="14"/>
      <c r="U153" s="14"/>
      <c r="V153" s="13"/>
      <c r="W153" s="15">
        <v>3.4950000000000001</v>
      </c>
      <c r="X153" s="13"/>
      <c r="Y153" s="14"/>
      <c r="Z153" s="14"/>
      <c r="AA153" s="14"/>
      <c r="AB153" s="42" t="s">
        <v>383</v>
      </c>
      <c r="AC153" s="11">
        <v>7774.32</v>
      </c>
      <c r="AD153" s="72">
        <v>46142</v>
      </c>
      <c r="AE153" s="34" t="s">
        <v>465</v>
      </c>
      <c r="AF153" s="19" t="s">
        <v>532</v>
      </c>
      <c r="AG153" s="14"/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201</v>
      </c>
      <c r="AT153" s="14"/>
      <c r="AU153" s="11"/>
      <c r="AV153" s="14"/>
      <c r="AW153" s="45"/>
    </row>
    <row r="154" spans="1:49" s="45" customFormat="1" ht="15" x14ac:dyDescent="0.25">
      <c r="A154" s="13">
        <v>46112</v>
      </c>
      <c r="B154" s="13"/>
      <c r="C154" s="42" t="s">
        <v>49</v>
      </c>
      <c r="D154" s="42" t="s">
        <v>301</v>
      </c>
      <c r="E154" s="14"/>
      <c r="F154" s="71">
        <v>17636</v>
      </c>
      <c r="G154" s="42" t="s">
        <v>50</v>
      </c>
      <c r="H154" s="31">
        <v>20493508645</v>
      </c>
      <c r="I154" s="43" t="str">
        <f>IF(H154="","",VLOOKUP(H154,ENTIDAD!$B$2:$C$613,2,0))</f>
        <v>HONDA SELVA DEL PERU S.A.</v>
      </c>
      <c r="J154" s="11"/>
      <c r="K154" s="11"/>
      <c r="L154" s="11"/>
      <c r="M154" s="11"/>
      <c r="N154" s="44">
        <f>(S154-P154)/1.18</f>
        <v>4.6610169238963371E-4</v>
      </c>
      <c r="O154" s="44">
        <f t="shared" si="8"/>
        <v>8.3898304630134068E-5</v>
      </c>
      <c r="P154" s="11">
        <v>30996.77</v>
      </c>
      <c r="Q154" s="11"/>
      <c r="R154" s="11"/>
      <c r="S154" s="11">
        <f>W154*AC154</f>
        <v>30996.770549999997</v>
      </c>
      <c r="T154" s="14"/>
      <c r="U154" s="14"/>
      <c r="V154" s="13"/>
      <c r="W154" s="15">
        <v>3.4950000000000001</v>
      </c>
      <c r="X154" s="13"/>
      <c r="Y154" s="14"/>
      <c r="Z154" s="14"/>
      <c r="AA154" s="14"/>
      <c r="AB154" s="42" t="s">
        <v>383</v>
      </c>
      <c r="AC154" s="11">
        <v>8868.89</v>
      </c>
      <c r="AD154" s="72">
        <v>46142</v>
      </c>
      <c r="AE154" s="34" t="s">
        <v>465</v>
      </c>
      <c r="AF154" s="73" t="s">
        <v>532</v>
      </c>
      <c r="AG154" s="14"/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 t="s">
        <v>201</v>
      </c>
      <c r="AT154" s="14"/>
      <c r="AU154" s="11"/>
      <c r="AV154" s="14"/>
    </row>
    <row r="155" spans="1:49" s="45" customFormat="1" ht="15" x14ac:dyDescent="0.25">
      <c r="A155" s="13">
        <v>46112</v>
      </c>
      <c r="B155" s="13"/>
      <c r="C155" s="42" t="s">
        <v>49</v>
      </c>
      <c r="D155" s="42" t="s">
        <v>294</v>
      </c>
      <c r="E155" s="14"/>
      <c r="F155" s="71">
        <v>32738</v>
      </c>
      <c r="G155" s="42" t="s">
        <v>50</v>
      </c>
      <c r="H155" s="31">
        <v>20573866909</v>
      </c>
      <c r="I155" s="43" t="str">
        <f>IF(H155="","",VLOOKUP(H155,ENTIDAD!$B$2:$C$613,2,0))</f>
        <v>ESTACION DE SERVICIOS GASOCENTRO MISABEL E.I.R.L.</v>
      </c>
      <c r="J155" s="11"/>
      <c r="K155" s="11"/>
      <c r="L155" s="11"/>
      <c r="M155" s="11"/>
      <c r="N155" s="44">
        <v>0</v>
      </c>
      <c r="O155" s="44">
        <f t="shared" si="8"/>
        <v>0</v>
      </c>
      <c r="P155" s="11">
        <v>10</v>
      </c>
      <c r="Q155" s="11"/>
      <c r="R155" s="11"/>
      <c r="S155" s="11">
        <v>10</v>
      </c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72"/>
      <c r="AE155" s="14" t="s">
        <v>262</v>
      </c>
      <c r="AF155" s="19" t="s">
        <v>486</v>
      </c>
      <c r="AG155" s="14"/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 t="s">
        <v>487</v>
      </c>
      <c r="AT155" s="14"/>
      <c r="AU155" s="11"/>
      <c r="AV155" s="14"/>
    </row>
    <row r="156" spans="1:49" s="45" customFormat="1" ht="15" x14ac:dyDescent="0.25">
      <c r="A156" s="46">
        <v>46112</v>
      </c>
      <c r="B156" s="13"/>
      <c r="C156" s="42" t="s">
        <v>49</v>
      </c>
      <c r="D156" s="42" t="s">
        <v>294</v>
      </c>
      <c r="E156" s="14"/>
      <c r="F156" s="71">
        <v>1128796</v>
      </c>
      <c r="G156" s="42" t="s">
        <v>50</v>
      </c>
      <c r="H156" s="31">
        <v>20265681299</v>
      </c>
      <c r="I156" s="43" t="str">
        <f>IF(H156="","",VLOOKUP(H156,ENTIDAD!$B$2:$C$613,2,0))</f>
        <v>EQUIFAX PERU S.A.</v>
      </c>
      <c r="J156" s="11"/>
      <c r="K156" s="11"/>
      <c r="L156" s="11"/>
      <c r="M156" s="11"/>
      <c r="N156" s="44">
        <f>(S156-P156)/1.18</f>
        <v>252.00000000000003</v>
      </c>
      <c r="O156" s="44">
        <f t="shared" si="8"/>
        <v>45.360000000000007</v>
      </c>
      <c r="P156" s="11">
        <v>0</v>
      </c>
      <c r="Q156" s="11"/>
      <c r="R156" s="11"/>
      <c r="S156" s="11">
        <v>297.36</v>
      </c>
      <c r="T156" s="14"/>
      <c r="U156" s="14"/>
      <c r="V156" s="13"/>
      <c r="W156" s="15"/>
      <c r="X156" s="13"/>
      <c r="Y156" s="14"/>
      <c r="Z156" s="14"/>
      <c r="AA156" s="14"/>
      <c r="AB156" s="42" t="s">
        <v>224</v>
      </c>
      <c r="AC156" s="11"/>
      <c r="AD156" s="46">
        <v>46112</v>
      </c>
      <c r="AE156" s="34" t="s">
        <v>465</v>
      </c>
      <c r="AF156" s="73" t="s">
        <v>600</v>
      </c>
      <c r="AG156" s="14"/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 t="s">
        <v>551</v>
      </c>
      <c r="AT156" s="14"/>
      <c r="AU156" s="11"/>
      <c r="AV156" s="14"/>
    </row>
    <row r="157" spans="1:49" s="45" customFormat="1" ht="15" x14ac:dyDescent="0.25">
      <c r="A157" s="46">
        <v>46112</v>
      </c>
      <c r="B157" s="13"/>
      <c r="C157" s="42" t="s">
        <v>49</v>
      </c>
      <c r="D157" s="42" t="s">
        <v>590</v>
      </c>
      <c r="E157" s="14"/>
      <c r="F157" s="71">
        <v>26547272</v>
      </c>
      <c r="G157" s="42" t="s">
        <v>50</v>
      </c>
      <c r="H157" s="31">
        <v>20100130204</v>
      </c>
      <c r="I157" s="43" t="str">
        <f>IF(H157="","",VLOOKUP(H157,ENTIDAD!$B$2:$C$613,2,0))</f>
        <v>BANCO BBVA PERU</v>
      </c>
      <c r="J157" s="11"/>
      <c r="K157" s="11"/>
      <c r="L157" s="11"/>
      <c r="M157" s="11"/>
      <c r="N157" s="44">
        <f>(S157-P157)/1.18</f>
        <v>0</v>
      </c>
      <c r="O157" s="44">
        <f t="shared" si="8"/>
        <v>0</v>
      </c>
      <c r="P157" s="11">
        <v>40</v>
      </c>
      <c r="Q157" s="11"/>
      <c r="R157" s="11"/>
      <c r="S157" s="11">
        <v>40</v>
      </c>
      <c r="T157" s="14"/>
      <c r="U157" s="14"/>
      <c r="V157" s="13"/>
      <c r="W157" s="15"/>
      <c r="X157" s="13"/>
      <c r="Y157" s="14"/>
      <c r="Z157" s="14"/>
      <c r="AA157" s="14"/>
      <c r="AB157" s="42" t="s">
        <v>224</v>
      </c>
      <c r="AC157" s="11"/>
      <c r="AD157" s="72">
        <v>46142</v>
      </c>
      <c r="AE157" s="14" t="s">
        <v>465</v>
      </c>
      <c r="AF157" s="19" t="s">
        <v>494</v>
      </c>
      <c r="AG157" s="14"/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495</v>
      </c>
      <c r="AT157" s="14"/>
      <c r="AU157" s="11"/>
      <c r="AV157" s="14"/>
    </row>
    <row r="158" spans="1:49" s="45" customFormat="1" ht="15" x14ac:dyDescent="0.25">
      <c r="A158" s="46"/>
      <c r="B158" s="13"/>
      <c r="C158" s="42" t="s">
        <v>49</v>
      </c>
      <c r="D158" s="42"/>
      <c r="E158" s="14"/>
      <c r="F158" s="71">
        <v>0</v>
      </c>
      <c r="G158" s="42" t="s">
        <v>50</v>
      </c>
      <c r="H158" s="31">
        <v>0</v>
      </c>
      <c r="I158" s="43" t="e">
        <f>IF(H158="","",VLOOKUP(H158,ENTIDAD!$B$2:$C$613,2,0))</f>
        <v>#N/A</v>
      </c>
      <c r="J158" s="11"/>
      <c r="K158" s="11"/>
      <c r="L158" s="11"/>
      <c r="M158" s="11"/>
      <c r="N158" s="44">
        <f>(S158-P158)/1.18</f>
        <v>0</v>
      </c>
      <c r="O158" s="44">
        <f t="shared" si="8"/>
        <v>0</v>
      </c>
      <c r="P158" s="11">
        <v>0</v>
      </c>
      <c r="Q158" s="11"/>
      <c r="R158" s="11"/>
      <c r="S158" s="11">
        <v>0</v>
      </c>
      <c r="T158" s="14"/>
      <c r="U158" s="14"/>
      <c r="V158" s="13"/>
      <c r="W158" s="15"/>
      <c r="X158" s="13"/>
      <c r="Y158" s="14"/>
      <c r="Z158" s="14"/>
      <c r="AA158" s="14"/>
      <c r="AB158" s="42" t="s">
        <v>224</v>
      </c>
      <c r="AC158" s="11"/>
      <c r="AD158" s="46"/>
      <c r="AE158" s="34"/>
      <c r="AF158" s="73"/>
      <c r="AG158" s="14"/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/>
      <c r="AS158" s="14"/>
      <c r="AT158" s="14"/>
      <c r="AU158" s="11"/>
      <c r="AV158" s="14"/>
    </row>
    <row r="159" spans="1:49" customFormat="1" ht="1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10">
        <f>SUM(J4:J73)</f>
        <v>0</v>
      </c>
      <c r="K159" s="10">
        <f>SUM(K4:K73)</f>
        <v>0</v>
      </c>
      <c r="L159" s="10">
        <f>SUM(L4:L73)</f>
        <v>0</v>
      </c>
      <c r="M159" s="10">
        <f>SUM(M4:M73)</f>
        <v>0</v>
      </c>
      <c r="N159" s="10">
        <f>SUM(N4:N158)</f>
        <v>2109.3342279214853</v>
      </c>
      <c r="O159" s="10">
        <f>SUM(O4:O158)</f>
        <v>379.68016102586745</v>
      </c>
      <c r="P159" s="10">
        <f>SUM(P4:P158)</f>
        <v>663182.21999999986</v>
      </c>
      <c r="Q159" s="10">
        <f>SUM(Q4:Q73)</f>
        <v>0</v>
      </c>
      <c r="R159" s="10">
        <f>SUM(R4:R73)</f>
        <v>3006.0000000000018</v>
      </c>
      <c r="S159" s="10">
        <f>SUM(S4:S158)</f>
        <v>670213.63248894713</v>
      </c>
      <c r="T159" s="9"/>
      <c r="U159" s="9"/>
      <c r="V159" s="9"/>
      <c r="W159" s="17"/>
      <c r="X159" s="9"/>
      <c r="Y159" s="18"/>
      <c r="Z159" s="18"/>
      <c r="AA159" s="18"/>
      <c r="AB159" s="9"/>
      <c r="AC159" s="9"/>
      <c r="AD159" s="12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1" spans="16:44" x14ac:dyDescent="0.2">
      <c r="P161" s="23"/>
    </row>
    <row r="162" spans="16:44" x14ac:dyDescent="0.2">
      <c r="AR162" s="4"/>
    </row>
  </sheetData>
  <autoFilter ref="A3:AW159" xr:uid="{90AE9F53-FE1E-4DD1-8F60-929AF160FD56}"/>
  <mergeCells count="39"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J1:K2"/>
    <mergeCell ref="A1:A3"/>
    <mergeCell ref="B1:B3"/>
    <mergeCell ref="C1:E2"/>
    <mergeCell ref="F1:F3"/>
    <mergeCell ref="G1:I1"/>
  </mergeCells>
  <conditionalFormatting sqref="F4:F153 F158">
    <cfRule type="duplicateValues" dxfId="312" priority="8247"/>
    <cfRule type="duplicateValues" dxfId="311" priority="8251"/>
    <cfRule type="duplicateValues" dxfId="310" priority="8250"/>
    <cfRule type="duplicateValues" dxfId="309" priority="8249"/>
    <cfRule type="duplicateValues" dxfId="308" priority="8248"/>
    <cfRule type="duplicateValues" dxfId="307" priority="8252"/>
    <cfRule type="duplicateValues" dxfId="306" priority="8246"/>
    <cfRule type="duplicateValues" dxfId="305" priority="8245"/>
  </conditionalFormatting>
  <conditionalFormatting sqref="F154">
    <cfRule type="duplicateValues" dxfId="304" priority="17"/>
    <cfRule type="duplicateValues" dxfId="303" priority="18"/>
    <cfRule type="duplicateValues" dxfId="302" priority="19"/>
    <cfRule type="duplicateValues" dxfId="301" priority="20"/>
    <cfRule type="duplicateValues" dxfId="300" priority="21"/>
    <cfRule type="duplicateValues" dxfId="299" priority="22"/>
    <cfRule type="duplicateValues" dxfId="298" priority="23"/>
    <cfRule type="duplicateValues" dxfId="297" priority="24"/>
  </conditionalFormatting>
  <conditionalFormatting sqref="F155">
    <cfRule type="duplicateValues" dxfId="296" priority="25"/>
    <cfRule type="duplicateValues" dxfId="295" priority="26"/>
    <cfRule type="duplicateValues" dxfId="294" priority="27"/>
    <cfRule type="duplicateValues" dxfId="293" priority="28"/>
    <cfRule type="duplicateValues" dxfId="292" priority="29"/>
    <cfRule type="duplicateValues" dxfId="291" priority="30"/>
    <cfRule type="duplicateValues" dxfId="290" priority="31"/>
    <cfRule type="duplicateValues" dxfId="289" priority="32"/>
  </conditionalFormatting>
  <conditionalFormatting sqref="F156">
    <cfRule type="duplicateValues" dxfId="288" priority="11"/>
    <cfRule type="duplicateValues" dxfId="287" priority="9"/>
    <cfRule type="duplicateValues" dxfId="286" priority="16"/>
    <cfRule type="duplicateValues" dxfId="285" priority="15"/>
    <cfRule type="duplicateValues" dxfId="284" priority="14"/>
    <cfRule type="duplicateValues" dxfId="283" priority="13"/>
    <cfRule type="duplicateValues" dxfId="282" priority="12"/>
    <cfRule type="duplicateValues" dxfId="281" priority="10"/>
  </conditionalFormatting>
  <conditionalFormatting sqref="F157">
    <cfRule type="duplicateValues" dxfId="280" priority="2"/>
    <cfRule type="duplicateValues" dxfId="279" priority="3"/>
    <cfRule type="duplicateValues" dxfId="278" priority="4"/>
    <cfRule type="duplicateValues" dxfId="277" priority="5"/>
    <cfRule type="duplicateValues" dxfId="276" priority="7"/>
    <cfRule type="duplicateValues" dxfId="275" priority="8"/>
    <cfRule type="duplicateValues" dxfId="274" priority="1"/>
    <cfRule type="duplicateValues" dxfId="273" priority="6"/>
  </conditionalFormatting>
  <conditionalFormatting sqref="F159:F1048576 F1:F3">
    <cfRule type="duplicateValues" dxfId="272" priority="148"/>
  </conditionalFormatting>
  <conditionalFormatting sqref="F159:F1048576">
    <cfRule type="duplicateValues" dxfId="271" priority="270"/>
    <cfRule type="duplicateValues" dxfId="270" priority="271"/>
    <cfRule type="duplicateValues" dxfId="269" priority="269"/>
  </conditionalFormatting>
  <pageMargins left="0.7" right="0.7" top="0.75" bottom="0.75" header="0.3" footer="0.3"/>
  <pageSetup paperSize="9" scale="24" orientation="portrait" horizontalDpi="360" verticalDpi="360" r:id="rId1"/>
  <rowBreaks count="1" manualBreakCount="1">
    <brk id="52" max="16383" man="1"/>
  </rowBreaks>
  <colBreaks count="2" manualBreakCount="2">
    <brk id="8" max="1048575" man="1"/>
    <brk id="17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B3"/>
    <pageSetUpPr fitToPage="1"/>
  </sheetPr>
  <dimension ref="A1:AW179"/>
  <sheetViews>
    <sheetView zoomScale="96" zoomScaleNormal="96" zoomScaleSheetLayoutView="100" workbookViewId="0">
      <pane xSplit="9" ySplit="2" topLeftCell="AC3" activePane="bottomRight" state="frozen"/>
      <selection pane="topRight" activeCell="J1" sqref="J1"/>
      <selection pane="bottomLeft" activeCell="A3" sqref="A3"/>
      <selection pane="bottomRight" activeCell="AE53" sqref="AE53:AH53"/>
    </sheetView>
  </sheetViews>
  <sheetFormatPr baseColWidth="10" defaultRowHeight="14.25" x14ac:dyDescent="0.2"/>
  <cols>
    <col min="1" max="1" width="11.140625" style="3" customWidth="1"/>
    <col min="2" max="2" width="11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7109375" style="4" customWidth="1"/>
    <col min="7" max="7" width="2.85546875" style="6" customWidth="1"/>
    <col min="8" max="8" width="13" style="1" customWidth="1"/>
    <col min="9" max="9" width="23.85546875" style="4" customWidth="1"/>
    <col min="10" max="10" width="6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0.140625" style="4" customWidth="1"/>
    <col min="28" max="28" width="3.85546875" style="2" customWidth="1"/>
    <col min="29" max="29" width="10.7109375" style="2" customWidth="1"/>
    <col min="30" max="30" width="11.85546875" style="2" customWidth="1"/>
    <col min="31" max="31" width="7" style="2" customWidth="1"/>
    <col min="32" max="32" width="10" style="4" customWidth="1"/>
    <col min="33" max="33" width="10.8554687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298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298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290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13">
        <v>46101</v>
      </c>
      <c r="B4" s="26">
        <v>46120</v>
      </c>
      <c r="C4" s="42" t="s">
        <v>388</v>
      </c>
      <c r="D4" s="42" t="s">
        <v>645</v>
      </c>
      <c r="E4" s="14"/>
      <c r="F4" s="71">
        <v>275541604</v>
      </c>
      <c r="G4" s="42" t="s">
        <v>50</v>
      </c>
      <c r="H4" s="31">
        <v>20467534026</v>
      </c>
      <c r="I4" s="138" t="s">
        <v>349</v>
      </c>
      <c r="J4" s="11"/>
      <c r="K4" s="11"/>
      <c r="L4" s="11"/>
      <c r="M4" s="11"/>
      <c r="N4" s="116">
        <v>25.338983050847457</v>
      </c>
      <c r="O4" s="116">
        <v>4.5610169491525419</v>
      </c>
      <c r="P4" s="11">
        <v>0</v>
      </c>
      <c r="Q4" s="11"/>
      <c r="R4" s="11"/>
      <c r="S4" s="11">
        <v>29.9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33">
        <v>46131</v>
      </c>
      <c r="AE4" s="34" t="s">
        <v>465</v>
      </c>
      <c r="AF4" s="19">
        <v>6365095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651</v>
      </c>
      <c r="AT4" s="14"/>
      <c r="AU4" s="11"/>
      <c r="AV4" s="14"/>
    </row>
    <row r="5" spans="1:49" s="45" customFormat="1" ht="15" x14ac:dyDescent="0.25">
      <c r="A5" s="108">
        <v>46109</v>
      </c>
      <c r="B5" s="109">
        <v>46125</v>
      </c>
      <c r="C5" s="111" t="s">
        <v>388</v>
      </c>
      <c r="D5" s="111" t="s">
        <v>557</v>
      </c>
      <c r="E5" s="112"/>
      <c r="F5" s="71">
        <v>5730536</v>
      </c>
      <c r="G5" s="111" t="s">
        <v>50</v>
      </c>
      <c r="H5" s="114">
        <v>20129646099</v>
      </c>
      <c r="I5" s="139" t="s">
        <v>61</v>
      </c>
      <c r="J5" s="116"/>
      <c r="K5" s="116"/>
      <c r="L5" s="116"/>
      <c r="M5" s="116"/>
      <c r="N5" s="11">
        <v>0</v>
      </c>
      <c r="O5" s="11">
        <v>0</v>
      </c>
      <c r="P5" s="116">
        <v>435.2</v>
      </c>
      <c r="Q5" s="116"/>
      <c r="R5" s="116"/>
      <c r="S5" s="116">
        <v>435.2</v>
      </c>
      <c r="T5" s="112"/>
      <c r="U5" s="112"/>
      <c r="V5" s="109"/>
      <c r="W5" s="118"/>
      <c r="X5" s="109"/>
      <c r="Y5" s="112"/>
      <c r="Z5" s="112"/>
      <c r="AA5" s="112"/>
      <c r="AB5" s="111" t="s">
        <v>224</v>
      </c>
      <c r="AC5" s="116"/>
      <c r="AD5" s="109">
        <v>46125</v>
      </c>
      <c r="AE5" s="34" t="s">
        <v>465</v>
      </c>
      <c r="AF5" s="19" t="s">
        <v>559</v>
      </c>
      <c r="AG5" s="14"/>
      <c r="AH5" s="14" t="s">
        <v>225</v>
      </c>
      <c r="AI5" s="112"/>
      <c r="AJ5" s="112"/>
      <c r="AK5" s="120"/>
      <c r="AL5" s="116"/>
      <c r="AM5" s="116"/>
      <c r="AN5" s="112"/>
      <c r="AO5" s="112"/>
      <c r="AP5" s="109"/>
      <c r="AQ5" s="112"/>
      <c r="AR5" s="116">
        <v>18</v>
      </c>
      <c r="AS5" s="112" t="s">
        <v>665</v>
      </c>
      <c r="AT5" s="112"/>
      <c r="AU5" s="116"/>
      <c r="AV5" s="112"/>
      <c r="AW5" s="121"/>
    </row>
    <row r="6" spans="1:49" s="45" customFormat="1" ht="15" x14ac:dyDescent="0.25">
      <c r="A6" s="46">
        <v>46109</v>
      </c>
      <c r="B6" s="13">
        <v>46125</v>
      </c>
      <c r="C6" s="42" t="s">
        <v>388</v>
      </c>
      <c r="D6" s="42" t="s">
        <v>557</v>
      </c>
      <c r="E6" s="14"/>
      <c r="F6" s="71">
        <v>5730541</v>
      </c>
      <c r="G6" s="42" t="s">
        <v>50</v>
      </c>
      <c r="H6" s="31">
        <v>20129646099</v>
      </c>
      <c r="I6" s="138" t="s">
        <v>61</v>
      </c>
      <c r="J6" s="11"/>
      <c r="K6" s="11"/>
      <c r="L6" s="11"/>
      <c r="M6" s="11"/>
      <c r="N6" s="11">
        <v>0</v>
      </c>
      <c r="O6" s="11">
        <v>0</v>
      </c>
      <c r="P6" s="11">
        <v>99.6</v>
      </c>
      <c r="Q6" s="11"/>
      <c r="R6" s="11"/>
      <c r="S6" s="11">
        <v>99.6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46">
        <v>46125</v>
      </c>
      <c r="AE6" s="34" t="s">
        <v>465</v>
      </c>
      <c r="AF6" s="19" t="s">
        <v>559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665</v>
      </c>
      <c r="AT6" s="14"/>
      <c r="AU6" s="11"/>
      <c r="AV6" s="14"/>
    </row>
    <row r="7" spans="1:49" s="45" customFormat="1" ht="14.25" customHeight="1" x14ac:dyDescent="0.25">
      <c r="A7" s="46">
        <v>46109</v>
      </c>
      <c r="B7" s="13">
        <v>46125</v>
      </c>
      <c r="C7" s="42" t="s">
        <v>388</v>
      </c>
      <c r="D7" s="42" t="s">
        <v>557</v>
      </c>
      <c r="E7" s="14"/>
      <c r="F7" s="71">
        <v>5730759</v>
      </c>
      <c r="G7" s="42" t="s">
        <v>50</v>
      </c>
      <c r="H7" s="31">
        <v>20129646099</v>
      </c>
      <c r="I7" s="138" t="s">
        <v>61</v>
      </c>
      <c r="J7" s="11"/>
      <c r="K7" s="11"/>
      <c r="L7" s="11"/>
      <c r="M7" s="11"/>
      <c r="N7" s="11">
        <v>0</v>
      </c>
      <c r="O7" s="11">
        <v>0</v>
      </c>
      <c r="P7" s="11">
        <v>584.4</v>
      </c>
      <c r="Q7" s="11"/>
      <c r="R7" s="11"/>
      <c r="S7" s="11">
        <v>584.4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33">
        <v>46125</v>
      </c>
      <c r="AE7" s="34" t="s">
        <v>465</v>
      </c>
      <c r="AF7" s="19" t="s">
        <v>559</v>
      </c>
      <c r="AG7" s="14"/>
      <c r="AH7" s="14" t="s">
        <v>225</v>
      </c>
      <c r="AI7" s="112"/>
      <c r="AJ7" s="112"/>
      <c r="AK7" s="120"/>
      <c r="AL7" s="116"/>
      <c r="AM7" s="116"/>
      <c r="AN7" s="112"/>
      <c r="AO7" s="112"/>
      <c r="AP7" s="109"/>
      <c r="AQ7" s="112"/>
      <c r="AR7" s="116">
        <v>18</v>
      </c>
      <c r="AS7" s="112" t="s">
        <v>665</v>
      </c>
      <c r="AT7" s="112"/>
      <c r="AU7" s="11"/>
      <c r="AV7" s="14"/>
    </row>
    <row r="8" spans="1:49" s="45" customFormat="1" ht="15" x14ac:dyDescent="0.25">
      <c r="A8" s="46">
        <v>46112</v>
      </c>
      <c r="B8" s="13">
        <v>46142</v>
      </c>
      <c r="C8" s="42" t="s">
        <v>388</v>
      </c>
      <c r="D8" s="42" t="s">
        <v>626</v>
      </c>
      <c r="E8" s="14"/>
      <c r="F8" s="71">
        <v>1061880</v>
      </c>
      <c r="G8" s="42" t="s">
        <v>50</v>
      </c>
      <c r="H8" s="31">
        <v>20121876290</v>
      </c>
      <c r="I8" s="138" t="s">
        <v>62</v>
      </c>
      <c r="J8" s="11"/>
      <c r="K8" s="11"/>
      <c r="L8" s="11"/>
      <c r="M8" s="11"/>
      <c r="N8" s="11">
        <v>0</v>
      </c>
      <c r="O8" s="11">
        <v>0</v>
      </c>
      <c r="P8" s="11">
        <v>23.4</v>
      </c>
      <c r="Q8" s="11"/>
      <c r="R8" s="11"/>
      <c r="S8" s="11">
        <v>23.4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33">
        <v>46142</v>
      </c>
      <c r="AE8" s="34" t="s">
        <v>465</v>
      </c>
      <c r="AF8" s="37" t="s">
        <v>561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652</v>
      </c>
      <c r="AT8" s="14"/>
      <c r="AU8" s="11"/>
      <c r="AV8" s="14"/>
    </row>
    <row r="9" spans="1:49" s="45" customFormat="1" ht="15" x14ac:dyDescent="0.25">
      <c r="A9" s="46">
        <v>46112</v>
      </c>
      <c r="B9" s="13">
        <v>46142</v>
      </c>
      <c r="C9" s="42" t="s">
        <v>388</v>
      </c>
      <c r="D9" s="42" t="s">
        <v>626</v>
      </c>
      <c r="E9" s="14"/>
      <c r="F9" s="71">
        <v>1063470</v>
      </c>
      <c r="G9" s="42" t="s">
        <v>50</v>
      </c>
      <c r="H9" s="31">
        <v>20121876290</v>
      </c>
      <c r="I9" s="138" t="s">
        <v>62</v>
      </c>
      <c r="J9" s="11"/>
      <c r="K9" s="11"/>
      <c r="L9" s="11"/>
      <c r="M9" s="11"/>
      <c r="N9" s="11">
        <v>0</v>
      </c>
      <c r="O9" s="11">
        <v>0</v>
      </c>
      <c r="P9" s="11">
        <v>44.2</v>
      </c>
      <c r="Q9" s="11"/>
      <c r="R9" s="11"/>
      <c r="S9" s="11">
        <v>44.2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33">
        <v>46142</v>
      </c>
      <c r="AE9" s="34" t="s">
        <v>465</v>
      </c>
      <c r="AF9" s="37" t="s">
        <v>561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652</v>
      </c>
      <c r="AT9" s="14"/>
      <c r="AU9" s="11"/>
      <c r="AV9" s="14"/>
    </row>
    <row r="10" spans="1:49" s="45" customFormat="1" ht="15" x14ac:dyDescent="0.25">
      <c r="A10" s="46">
        <v>46112</v>
      </c>
      <c r="B10" s="13">
        <v>46142</v>
      </c>
      <c r="C10" s="42" t="s">
        <v>388</v>
      </c>
      <c r="D10" s="42" t="s">
        <v>626</v>
      </c>
      <c r="E10" s="14"/>
      <c r="F10" s="71">
        <v>1062629</v>
      </c>
      <c r="G10" s="42" t="s">
        <v>50</v>
      </c>
      <c r="H10" s="31">
        <v>20121876290</v>
      </c>
      <c r="I10" s="138" t="s">
        <v>62</v>
      </c>
      <c r="J10" s="11"/>
      <c r="K10" s="11"/>
      <c r="L10" s="11"/>
      <c r="M10" s="11"/>
      <c r="N10" s="11">
        <v>0</v>
      </c>
      <c r="O10" s="11">
        <v>0</v>
      </c>
      <c r="P10" s="11">
        <v>31.4</v>
      </c>
      <c r="Q10" s="11"/>
      <c r="R10" s="11"/>
      <c r="S10" s="11">
        <v>31.4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33">
        <v>46142</v>
      </c>
      <c r="AE10" s="34" t="s">
        <v>465</v>
      </c>
      <c r="AF10" s="37" t="s">
        <v>561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652</v>
      </c>
      <c r="AT10" s="14"/>
      <c r="AU10" s="11"/>
      <c r="AV10" s="14"/>
    </row>
    <row r="11" spans="1:49" s="45" customFormat="1" ht="15" x14ac:dyDescent="0.25">
      <c r="A11" s="46">
        <v>46113</v>
      </c>
      <c r="B11" s="13">
        <v>46142</v>
      </c>
      <c r="C11" s="42" t="s">
        <v>49</v>
      </c>
      <c r="D11" s="42" t="s">
        <v>568</v>
      </c>
      <c r="E11" s="14"/>
      <c r="F11" s="71">
        <v>19570</v>
      </c>
      <c r="G11" s="42" t="s">
        <v>50</v>
      </c>
      <c r="H11" s="31">
        <v>20485981536</v>
      </c>
      <c r="I11" s="138" t="s">
        <v>102</v>
      </c>
      <c r="J11" s="11"/>
      <c r="K11" s="11"/>
      <c r="L11" s="11"/>
      <c r="M11" s="11"/>
      <c r="N11" s="11">
        <v>0</v>
      </c>
      <c r="O11" s="11">
        <v>0</v>
      </c>
      <c r="P11" s="11">
        <v>0</v>
      </c>
      <c r="Q11" s="11"/>
      <c r="R11" s="11">
        <v>40</v>
      </c>
      <c r="S11" s="11">
        <v>40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13">
        <v>46142</v>
      </c>
      <c r="AE11" s="14" t="s">
        <v>465</v>
      </c>
      <c r="AF11" s="37" t="s">
        <v>597</v>
      </c>
      <c r="AG11" s="14" t="s">
        <v>513</v>
      </c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516</v>
      </c>
      <c r="AT11" s="14"/>
      <c r="AU11" s="11"/>
      <c r="AV11" s="14"/>
    </row>
    <row r="12" spans="1:49" s="121" customFormat="1" ht="15" x14ac:dyDescent="0.25">
      <c r="A12" s="46">
        <v>46113</v>
      </c>
      <c r="B12" s="13"/>
      <c r="C12" s="42" t="s">
        <v>49</v>
      </c>
      <c r="D12" s="42" t="s">
        <v>292</v>
      </c>
      <c r="E12" s="14"/>
      <c r="F12" s="71">
        <v>1675</v>
      </c>
      <c r="G12" s="42" t="s">
        <v>50</v>
      </c>
      <c r="H12" s="31">
        <v>20611910887</v>
      </c>
      <c r="I12" s="138" t="s">
        <v>411</v>
      </c>
      <c r="J12" s="11"/>
      <c r="K12" s="11"/>
      <c r="L12" s="11"/>
      <c r="M12" s="11"/>
      <c r="N12" s="11">
        <v>0</v>
      </c>
      <c r="O12" s="11">
        <v>0</v>
      </c>
      <c r="P12" s="11">
        <v>24</v>
      </c>
      <c r="Q12" s="11"/>
      <c r="R12" s="11"/>
      <c r="S12" s="11">
        <v>24</v>
      </c>
      <c r="T12" s="14"/>
      <c r="U12" s="14"/>
      <c r="V12" s="13"/>
      <c r="W12" s="15"/>
      <c r="X12" s="13"/>
      <c r="Y12" s="14"/>
      <c r="Z12" s="14"/>
      <c r="AA12" s="14"/>
      <c r="AB12" s="42" t="s">
        <v>224</v>
      </c>
      <c r="AC12" s="11"/>
      <c r="AD12" s="13"/>
      <c r="AE12" s="34" t="s">
        <v>262</v>
      </c>
      <c r="AF12" s="37" t="s">
        <v>521</v>
      </c>
      <c r="AG12" s="14"/>
      <c r="AH12" s="14" t="s">
        <v>225</v>
      </c>
      <c r="AI12" s="14"/>
      <c r="AJ12" s="14"/>
      <c r="AK12" s="16"/>
      <c r="AL12" s="11"/>
      <c r="AM12" s="11"/>
      <c r="AN12" s="14"/>
      <c r="AO12" s="14"/>
      <c r="AP12" s="13"/>
      <c r="AQ12" s="14"/>
      <c r="AR12" s="11">
        <v>18</v>
      </c>
      <c r="AS12" s="14" t="s">
        <v>653</v>
      </c>
      <c r="AT12" s="14"/>
      <c r="AU12" s="11"/>
      <c r="AV12" s="14"/>
      <c r="AW12" s="45"/>
    </row>
    <row r="13" spans="1:49" s="45" customFormat="1" ht="15" x14ac:dyDescent="0.25">
      <c r="A13" s="13">
        <v>46113</v>
      </c>
      <c r="B13" s="13">
        <v>46132</v>
      </c>
      <c r="C13" s="42" t="s">
        <v>388</v>
      </c>
      <c r="D13" s="42" t="s">
        <v>595</v>
      </c>
      <c r="E13" s="14"/>
      <c r="F13" s="71">
        <v>615581813</v>
      </c>
      <c r="G13" s="42" t="s">
        <v>50</v>
      </c>
      <c r="H13" s="31">
        <v>20467534026</v>
      </c>
      <c r="I13" s="138" t="s">
        <v>349</v>
      </c>
      <c r="J13" s="11"/>
      <c r="K13" s="11"/>
      <c r="L13" s="11"/>
      <c r="M13" s="11"/>
      <c r="N13" s="116">
        <v>75.177966101694921</v>
      </c>
      <c r="O13" s="116">
        <v>13.532033898305086</v>
      </c>
      <c r="P13" s="11">
        <v>-0.02</v>
      </c>
      <c r="Q13" s="11"/>
      <c r="R13" s="11"/>
      <c r="S13" s="11">
        <v>88.69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13">
        <v>46132</v>
      </c>
      <c r="AE13" s="34" t="s">
        <v>465</v>
      </c>
      <c r="AF13" s="19">
        <v>6365095</v>
      </c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654</v>
      </c>
      <c r="AT13" s="14"/>
      <c r="AU13" s="11"/>
      <c r="AV13" s="14"/>
    </row>
    <row r="14" spans="1:49" s="47" customFormat="1" ht="15" x14ac:dyDescent="0.25">
      <c r="A14" s="46">
        <v>46113</v>
      </c>
      <c r="B14" s="13">
        <v>46143</v>
      </c>
      <c r="C14" s="42" t="s">
        <v>49</v>
      </c>
      <c r="D14" s="42" t="s">
        <v>299</v>
      </c>
      <c r="E14" s="14"/>
      <c r="F14" s="71">
        <v>3768125</v>
      </c>
      <c r="G14" s="42" t="s">
        <v>50</v>
      </c>
      <c r="H14" s="31">
        <v>20101973922</v>
      </c>
      <c r="I14" s="138" t="s">
        <v>54</v>
      </c>
      <c r="J14" s="11"/>
      <c r="K14" s="11"/>
      <c r="L14" s="11"/>
      <c r="M14" s="11"/>
      <c r="N14" s="116">
        <v>0</v>
      </c>
      <c r="O14" s="116">
        <v>0</v>
      </c>
      <c r="P14" s="11">
        <v>0</v>
      </c>
      <c r="Q14" s="11"/>
      <c r="R14" s="11">
        <v>66.8</v>
      </c>
      <c r="S14" s="11">
        <v>66.8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33">
        <v>46143</v>
      </c>
      <c r="AE14" s="34" t="s">
        <v>465</v>
      </c>
      <c r="AF14" s="37" t="s">
        <v>550</v>
      </c>
      <c r="AG14" s="14" t="s">
        <v>513</v>
      </c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566</v>
      </c>
      <c r="AT14" s="14"/>
      <c r="AU14" s="11"/>
      <c r="AV14" s="14"/>
      <c r="AW14" s="45"/>
    </row>
    <row r="15" spans="1:49" s="45" customFormat="1" ht="15" x14ac:dyDescent="0.25">
      <c r="A15" s="46">
        <v>46113</v>
      </c>
      <c r="B15" s="13">
        <v>46143</v>
      </c>
      <c r="C15" s="42" t="s">
        <v>49</v>
      </c>
      <c r="D15" s="42" t="s">
        <v>299</v>
      </c>
      <c r="E15" s="14"/>
      <c r="F15" s="71">
        <v>3768124</v>
      </c>
      <c r="G15" s="42" t="s">
        <v>50</v>
      </c>
      <c r="H15" s="31">
        <v>20101973922</v>
      </c>
      <c r="I15" s="138" t="s">
        <v>54</v>
      </c>
      <c r="J15" s="11"/>
      <c r="K15" s="11"/>
      <c r="L15" s="11"/>
      <c r="M15" s="11"/>
      <c r="N15" s="116">
        <v>0</v>
      </c>
      <c r="O15" s="116">
        <v>0</v>
      </c>
      <c r="P15" s="11">
        <v>0</v>
      </c>
      <c r="Q15" s="11"/>
      <c r="R15" s="11">
        <v>66.8</v>
      </c>
      <c r="S15" s="11">
        <v>66.8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33">
        <v>46143</v>
      </c>
      <c r="AE15" s="34" t="s">
        <v>465</v>
      </c>
      <c r="AF15" s="37" t="s">
        <v>550</v>
      </c>
      <c r="AG15" s="14" t="s">
        <v>513</v>
      </c>
      <c r="AH15" s="14" t="s">
        <v>225</v>
      </c>
      <c r="AI15" s="14"/>
      <c r="AJ15" s="14"/>
      <c r="AK15" s="16"/>
      <c r="AL15" s="11"/>
      <c r="AM15" s="11"/>
      <c r="AN15" s="14"/>
      <c r="AO15" s="14"/>
      <c r="AP15" s="13"/>
      <c r="AQ15" s="14"/>
      <c r="AR15" s="11">
        <v>18</v>
      </c>
      <c r="AS15" s="14" t="s">
        <v>566</v>
      </c>
      <c r="AT15" s="14"/>
      <c r="AU15" s="11"/>
      <c r="AV15" s="14"/>
    </row>
    <row r="16" spans="1:49" s="45" customFormat="1" ht="15" x14ac:dyDescent="0.25">
      <c r="A16" s="46">
        <v>46113</v>
      </c>
      <c r="B16" s="13">
        <v>46143</v>
      </c>
      <c r="C16" s="42" t="s">
        <v>49</v>
      </c>
      <c r="D16" s="42" t="s">
        <v>299</v>
      </c>
      <c r="E16" s="14"/>
      <c r="F16" s="71">
        <v>3768123</v>
      </c>
      <c r="G16" s="42" t="s">
        <v>50</v>
      </c>
      <c r="H16" s="31">
        <v>20101973922</v>
      </c>
      <c r="I16" s="138" t="s">
        <v>54</v>
      </c>
      <c r="J16" s="11"/>
      <c r="K16" s="11"/>
      <c r="L16" s="11"/>
      <c r="M16" s="11"/>
      <c r="N16" s="116">
        <v>0</v>
      </c>
      <c r="O16" s="116">
        <v>0</v>
      </c>
      <c r="P16" s="11">
        <v>0</v>
      </c>
      <c r="Q16" s="11"/>
      <c r="R16" s="11">
        <v>66.8</v>
      </c>
      <c r="S16" s="11">
        <v>66.8</v>
      </c>
      <c r="T16" s="14"/>
      <c r="U16" s="14"/>
      <c r="V16" s="13"/>
      <c r="W16" s="15"/>
      <c r="X16" s="13"/>
      <c r="Y16" s="14"/>
      <c r="Z16" s="14"/>
      <c r="AA16" s="14"/>
      <c r="AB16" s="42" t="s">
        <v>224</v>
      </c>
      <c r="AC16" s="11"/>
      <c r="AD16" s="33">
        <v>46143</v>
      </c>
      <c r="AE16" s="34" t="s">
        <v>465</v>
      </c>
      <c r="AF16" s="37" t="s">
        <v>550</v>
      </c>
      <c r="AG16" s="14" t="s">
        <v>513</v>
      </c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 t="s">
        <v>566</v>
      </c>
      <c r="AT16" s="14"/>
      <c r="AU16" s="11"/>
      <c r="AV16" s="14"/>
    </row>
    <row r="17" spans="1:49" s="45" customFormat="1" ht="15" x14ac:dyDescent="0.25">
      <c r="A17" s="46">
        <v>46113</v>
      </c>
      <c r="B17" s="13">
        <v>46143</v>
      </c>
      <c r="C17" s="42" t="s">
        <v>49</v>
      </c>
      <c r="D17" s="42" t="s">
        <v>299</v>
      </c>
      <c r="E17" s="14"/>
      <c r="F17" s="71">
        <v>3768122</v>
      </c>
      <c r="G17" s="42" t="s">
        <v>50</v>
      </c>
      <c r="H17" s="31">
        <v>20101973922</v>
      </c>
      <c r="I17" s="138" t="s">
        <v>54</v>
      </c>
      <c r="J17" s="11"/>
      <c r="K17" s="11"/>
      <c r="L17" s="11"/>
      <c r="M17" s="11"/>
      <c r="N17" s="116">
        <v>0</v>
      </c>
      <c r="O17" s="116">
        <v>0</v>
      </c>
      <c r="P17" s="11">
        <v>0</v>
      </c>
      <c r="Q17" s="11"/>
      <c r="R17" s="11">
        <v>66.8</v>
      </c>
      <c r="S17" s="11">
        <v>66.8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33">
        <v>46143</v>
      </c>
      <c r="AE17" s="34" t="s">
        <v>465</v>
      </c>
      <c r="AF17" s="37" t="s">
        <v>550</v>
      </c>
      <c r="AG17" s="14" t="s">
        <v>513</v>
      </c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4" t="s">
        <v>566</v>
      </c>
      <c r="AT17" s="14"/>
      <c r="AU17" s="11"/>
      <c r="AV17" s="14"/>
    </row>
    <row r="18" spans="1:49" s="47" customFormat="1" ht="15" x14ac:dyDescent="0.25">
      <c r="A18" s="46">
        <v>46113</v>
      </c>
      <c r="B18" s="13">
        <v>46143</v>
      </c>
      <c r="C18" s="42" t="s">
        <v>49</v>
      </c>
      <c r="D18" s="42" t="s">
        <v>299</v>
      </c>
      <c r="E18" s="14"/>
      <c r="F18" s="71">
        <v>3768121</v>
      </c>
      <c r="G18" s="42" t="s">
        <v>50</v>
      </c>
      <c r="H18" s="31">
        <v>20101973922</v>
      </c>
      <c r="I18" s="138" t="s">
        <v>54</v>
      </c>
      <c r="J18" s="11"/>
      <c r="K18" s="11"/>
      <c r="L18" s="11"/>
      <c r="M18" s="11"/>
      <c r="N18" s="116">
        <v>0</v>
      </c>
      <c r="O18" s="116">
        <v>0</v>
      </c>
      <c r="P18" s="11">
        <v>0</v>
      </c>
      <c r="Q18" s="11"/>
      <c r="R18" s="11">
        <v>66.8</v>
      </c>
      <c r="S18" s="11">
        <v>66.8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33">
        <v>46143</v>
      </c>
      <c r="AE18" s="34" t="s">
        <v>465</v>
      </c>
      <c r="AF18" s="37" t="s">
        <v>550</v>
      </c>
      <c r="AG18" s="14" t="s">
        <v>513</v>
      </c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566</v>
      </c>
      <c r="AT18" s="14"/>
      <c r="AU18" s="11"/>
      <c r="AV18" s="14"/>
      <c r="AW18" s="45"/>
    </row>
    <row r="19" spans="1:49" s="122" customFormat="1" ht="15" x14ac:dyDescent="0.25">
      <c r="A19" s="46">
        <v>46113</v>
      </c>
      <c r="B19" s="13">
        <v>46143</v>
      </c>
      <c r="C19" s="42" t="s">
        <v>49</v>
      </c>
      <c r="D19" s="42" t="s">
        <v>299</v>
      </c>
      <c r="E19" s="14"/>
      <c r="F19" s="71">
        <v>3768120</v>
      </c>
      <c r="G19" s="42" t="s">
        <v>50</v>
      </c>
      <c r="H19" s="31">
        <v>20101973922</v>
      </c>
      <c r="I19" s="138" t="s">
        <v>54</v>
      </c>
      <c r="J19" s="11"/>
      <c r="K19" s="11"/>
      <c r="L19" s="11"/>
      <c r="M19" s="11"/>
      <c r="N19" s="116">
        <v>0</v>
      </c>
      <c r="O19" s="116">
        <v>0</v>
      </c>
      <c r="P19" s="11">
        <v>0</v>
      </c>
      <c r="Q19" s="11"/>
      <c r="R19" s="11">
        <v>66.8</v>
      </c>
      <c r="S19" s="11">
        <v>66.8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33">
        <v>46143</v>
      </c>
      <c r="AE19" s="34" t="s">
        <v>465</v>
      </c>
      <c r="AF19" s="37" t="s">
        <v>550</v>
      </c>
      <c r="AG19" s="14" t="s">
        <v>513</v>
      </c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566</v>
      </c>
      <c r="AT19" s="14"/>
      <c r="AU19" s="11"/>
      <c r="AV19" s="14"/>
      <c r="AW19" s="45"/>
    </row>
    <row r="20" spans="1:49" s="45" customFormat="1" ht="15" x14ac:dyDescent="0.25">
      <c r="A20" s="46">
        <v>46113</v>
      </c>
      <c r="B20" s="13">
        <v>46143</v>
      </c>
      <c r="C20" s="42" t="s">
        <v>49</v>
      </c>
      <c r="D20" s="42" t="s">
        <v>299</v>
      </c>
      <c r="E20" s="14"/>
      <c r="F20" s="71">
        <v>3768119</v>
      </c>
      <c r="G20" s="42" t="s">
        <v>50</v>
      </c>
      <c r="H20" s="31">
        <v>20101973922</v>
      </c>
      <c r="I20" s="138" t="s">
        <v>54</v>
      </c>
      <c r="J20" s="11"/>
      <c r="K20" s="11"/>
      <c r="L20" s="11"/>
      <c r="M20" s="11"/>
      <c r="N20" s="116">
        <v>0</v>
      </c>
      <c r="O20" s="116">
        <v>0</v>
      </c>
      <c r="P20" s="11">
        <v>0</v>
      </c>
      <c r="Q20" s="11"/>
      <c r="R20" s="11">
        <v>66.8</v>
      </c>
      <c r="S20" s="11">
        <v>66.8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33">
        <v>46143</v>
      </c>
      <c r="AE20" s="34" t="s">
        <v>465</v>
      </c>
      <c r="AF20" s="37" t="s">
        <v>550</v>
      </c>
      <c r="AG20" s="14" t="s">
        <v>513</v>
      </c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566</v>
      </c>
      <c r="AT20" s="14"/>
      <c r="AU20" s="11"/>
      <c r="AV20" s="14"/>
    </row>
    <row r="21" spans="1:49" s="45" customFormat="1" ht="15" x14ac:dyDescent="0.25">
      <c r="A21" s="46">
        <v>46113</v>
      </c>
      <c r="B21" s="13">
        <v>46143</v>
      </c>
      <c r="C21" s="42" t="s">
        <v>49</v>
      </c>
      <c r="D21" s="42" t="s">
        <v>299</v>
      </c>
      <c r="E21" s="14"/>
      <c r="F21" s="71">
        <v>3768118</v>
      </c>
      <c r="G21" s="42" t="s">
        <v>50</v>
      </c>
      <c r="H21" s="31">
        <v>20101973922</v>
      </c>
      <c r="I21" s="138" t="s">
        <v>54</v>
      </c>
      <c r="J21" s="11"/>
      <c r="K21" s="11"/>
      <c r="L21" s="11"/>
      <c r="M21" s="11"/>
      <c r="N21" s="116">
        <v>0</v>
      </c>
      <c r="O21" s="116">
        <v>0</v>
      </c>
      <c r="P21" s="11">
        <v>0</v>
      </c>
      <c r="Q21" s="11"/>
      <c r="R21" s="11">
        <v>66.8</v>
      </c>
      <c r="S21" s="11">
        <v>66.8</v>
      </c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33">
        <v>46143</v>
      </c>
      <c r="AE21" s="34" t="s">
        <v>465</v>
      </c>
      <c r="AF21" s="37" t="s">
        <v>550</v>
      </c>
      <c r="AG21" s="14" t="s">
        <v>513</v>
      </c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566</v>
      </c>
      <c r="AT21" s="14"/>
      <c r="AU21" s="11"/>
      <c r="AV21" s="14"/>
    </row>
    <row r="22" spans="1:49" s="121" customFormat="1" ht="15" x14ac:dyDescent="0.25">
      <c r="A22" s="46">
        <v>46113</v>
      </c>
      <c r="B22" s="13">
        <v>46143</v>
      </c>
      <c r="C22" s="42" t="s">
        <v>49</v>
      </c>
      <c r="D22" s="42" t="s">
        <v>299</v>
      </c>
      <c r="E22" s="14"/>
      <c r="F22" s="71">
        <v>3768117</v>
      </c>
      <c r="G22" s="42" t="s">
        <v>50</v>
      </c>
      <c r="H22" s="31">
        <v>20101973922</v>
      </c>
      <c r="I22" s="138" t="s">
        <v>54</v>
      </c>
      <c r="J22" s="11"/>
      <c r="K22" s="11"/>
      <c r="L22" s="11"/>
      <c r="M22" s="11"/>
      <c r="N22" s="116">
        <v>0</v>
      </c>
      <c r="O22" s="116">
        <v>0</v>
      </c>
      <c r="P22" s="11">
        <v>0</v>
      </c>
      <c r="Q22" s="11"/>
      <c r="R22" s="11">
        <v>66.8</v>
      </c>
      <c r="S22" s="11">
        <v>66.8</v>
      </c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33">
        <v>46143</v>
      </c>
      <c r="AE22" s="34" t="s">
        <v>465</v>
      </c>
      <c r="AF22" s="37" t="s">
        <v>550</v>
      </c>
      <c r="AG22" s="14" t="s">
        <v>513</v>
      </c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566</v>
      </c>
      <c r="AT22" s="14"/>
      <c r="AU22" s="11"/>
      <c r="AV22" s="14"/>
      <c r="AW22" s="45"/>
    </row>
    <row r="23" spans="1:49" s="45" customFormat="1" ht="15" x14ac:dyDescent="0.25">
      <c r="A23" s="46">
        <v>46113</v>
      </c>
      <c r="B23" s="13">
        <v>46143</v>
      </c>
      <c r="C23" s="42" t="s">
        <v>49</v>
      </c>
      <c r="D23" s="42" t="s">
        <v>299</v>
      </c>
      <c r="E23" s="14"/>
      <c r="F23" s="71">
        <v>3768116</v>
      </c>
      <c r="G23" s="42" t="s">
        <v>50</v>
      </c>
      <c r="H23" s="31">
        <v>20101973922</v>
      </c>
      <c r="I23" s="138" t="s">
        <v>54</v>
      </c>
      <c r="J23" s="11"/>
      <c r="K23" s="11"/>
      <c r="L23" s="11"/>
      <c r="M23" s="11"/>
      <c r="N23" s="116">
        <v>0</v>
      </c>
      <c r="O23" s="116">
        <v>0</v>
      </c>
      <c r="P23" s="11">
        <v>0</v>
      </c>
      <c r="Q23" s="11"/>
      <c r="R23" s="11">
        <v>66.8</v>
      </c>
      <c r="S23" s="11">
        <v>66.8</v>
      </c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33">
        <v>46143</v>
      </c>
      <c r="AE23" s="34" t="s">
        <v>465</v>
      </c>
      <c r="AF23" s="37" t="s">
        <v>550</v>
      </c>
      <c r="AG23" s="14" t="s">
        <v>513</v>
      </c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566</v>
      </c>
      <c r="AT23" s="14"/>
      <c r="AU23" s="11"/>
      <c r="AV23" s="14"/>
    </row>
    <row r="24" spans="1:49" s="45" customFormat="1" ht="15" x14ac:dyDescent="0.25">
      <c r="A24" s="46">
        <v>46113</v>
      </c>
      <c r="B24" s="13">
        <v>46143</v>
      </c>
      <c r="C24" s="42" t="s">
        <v>49</v>
      </c>
      <c r="D24" s="42" t="s">
        <v>299</v>
      </c>
      <c r="E24" s="14"/>
      <c r="F24" s="71">
        <v>3768115</v>
      </c>
      <c r="G24" s="42" t="s">
        <v>50</v>
      </c>
      <c r="H24" s="31">
        <v>20101973922</v>
      </c>
      <c r="I24" s="138" t="s">
        <v>54</v>
      </c>
      <c r="J24" s="11"/>
      <c r="K24" s="11"/>
      <c r="L24" s="11"/>
      <c r="M24" s="11"/>
      <c r="N24" s="116">
        <v>0</v>
      </c>
      <c r="O24" s="116">
        <v>0</v>
      </c>
      <c r="P24" s="11">
        <v>0</v>
      </c>
      <c r="Q24" s="11"/>
      <c r="R24" s="11">
        <v>66.8</v>
      </c>
      <c r="S24" s="11">
        <v>66.8</v>
      </c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33">
        <v>46143</v>
      </c>
      <c r="AE24" s="34" t="s">
        <v>465</v>
      </c>
      <c r="AF24" s="37" t="s">
        <v>550</v>
      </c>
      <c r="AG24" s="14" t="s">
        <v>513</v>
      </c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 t="s">
        <v>566</v>
      </c>
      <c r="AT24" s="14"/>
      <c r="AU24" s="11"/>
      <c r="AV24" s="14"/>
    </row>
    <row r="25" spans="1:49" s="45" customFormat="1" ht="15" x14ac:dyDescent="0.25">
      <c r="A25" s="46">
        <v>46113</v>
      </c>
      <c r="B25" s="13">
        <v>46143</v>
      </c>
      <c r="C25" s="42" t="s">
        <v>49</v>
      </c>
      <c r="D25" s="42" t="s">
        <v>299</v>
      </c>
      <c r="E25" s="14"/>
      <c r="F25" s="71">
        <v>3768114</v>
      </c>
      <c r="G25" s="42" t="s">
        <v>50</v>
      </c>
      <c r="H25" s="31">
        <v>20101973922</v>
      </c>
      <c r="I25" s="138" t="s">
        <v>54</v>
      </c>
      <c r="J25" s="11"/>
      <c r="K25" s="11"/>
      <c r="L25" s="11"/>
      <c r="M25" s="11"/>
      <c r="N25" s="116">
        <v>0</v>
      </c>
      <c r="O25" s="116">
        <v>0</v>
      </c>
      <c r="P25" s="11">
        <v>0</v>
      </c>
      <c r="Q25" s="11"/>
      <c r="R25" s="11">
        <v>66.8</v>
      </c>
      <c r="S25" s="11">
        <v>66.8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33">
        <v>46143</v>
      </c>
      <c r="AE25" s="34" t="s">
        <v>465</v>
      </c>
      <c r="AF25" s="37" t="s">
        <v>550</v>
      </c>
      <c r="AG25" s="14" t="s">
        <v>513</v>
      </c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566</v>
      </c>
      <c r="AT25" s="14"/>
      <c r="AU25" s="11"/>
      <c r="AV25" s="14"/>
    </row>
    <row r="26" spans="1:49" s="45" customFormat="1" ht="15" x14ac:dyDescent="0.25">
      <c r="A26" s="46">
        <v>46113</v>
      </c>
      <c r="B26" s="13">
        <v>46143</v>
      </c>
      <c r="C26" s="42" t="s">
        <v>49</v>
      </c>
      <c r="D26" s="42" t="s">
        <v>299</v>
      </c>
      <c r="E26" s="14"/>
      <c r="F26" s="71">
        <v>3768112</v>
      </c>
      <c r="G26" s="42" t="s">
        <v>50</v>
      </c>
      <c r="H26" s="31">
        <v>20101973922</v>
      </c>
      <c r="I26" s="138" t="s">
        <v>54</v>
      </c>
      <c r="J26" s="11"/>
      <c r="K26" s="11"/>
      <c r="L26" s="11"/>
      <c r="M26" s="11"/>
      <c r="N26" s="116">
        <v>0</v>
      </c>
      <c r="O26" s="116">
        <v>0</v>
      </c>
      <c r="P26" s="11">
        <v>0</v>
      </c>
      <c r="Q26" s="11"/>
      <c r="R26" s="11">
        <v>66.8</v>
      </c>
      <c r="S26" s="11">
        <v>66.8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33">
        <v>46143</v>
      </c>
      <c r="AE26" s="34" t="s">
        <v>465</v>
      </c>
      <c r="AF26" s="37" t="s">
        <v>550</v>
      </c>
      <c r="AG26" s="14" t="s">
        <v>513</v>
      </c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566</v>
      </c>
      <c r="AT26" s="14"/>
      <c r="AU26" s="11"/>
      <c r="AV26" s="14"/>
    </row>
    <row r="27" spans="1:49" s="45" customFormat="1" ht="15" x14ac:dyDescent="0.25">
      <c r="A27" s="46">
        <v>46113</v>
      </c>
      <c r="B27" s="13">
        <v>46143</v>
      </c>
      <c r="C27" s="42" t="s">
        <v>49</v>
      </c>
      <c r="D27" s="42" t="s">
        <v>299</v>
      </c>
      <c r="E27" s="14"/>
      <c r="F27" s="71">
        <v>3768111</v>
      </c>
      <c r="G27" s="42" t="s">
        <v>50</v>
      </c>
      <c r="H27" s="31">
        <v>20101973922</v>
      </c>
      <c r="I27" s="138" t="s">
        <v>54</v>
      </c>
      <c r="J27" s="11"/>
      <c r="K27" s="11"/>
      <c r="L27" s="11"/>
      <c r="M27" s="11"/>
      <c r="N27" s="116">
        <v>0</v>
      </c>
      <c r="O27" s="116">
        <v>0</v>
      </c>
      <c r="P27" s="11">
        <v>0</v>
      </c>
      <c r="Q27" s="11"/>
      <c r="R27" s="11">
        <v>66.8</v>
      </c>
      <c r="S27" s="11">
        <v>66.8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33">
        <v>46143</v>
      </c>
      <c r="AE27" s="34" t="s">
        <v>465</v>
      </c>
      <c r="AF27" s="37" t="s">
        <v>550</v>
      </c>
      <c r="AG27" s="14" t="s">
        <v>513</v>
      </c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566</v>
      </c>
      <c r="AT27" s="14"/>
      <c r="AU27" s="11"/>
      <c r="AV27" s="14"/>
    </row>
    <row r="28" spans="1:49" s="45" customFormat="1" ht="15" x14ac:dyDescent="0.25">
      <c r="A28" s="46">
        <v>46113</v>
      </c>
      <c r="B28" s="13">
        <v>46143</v>
      </c>
      <c r="C28" s="42" t="s">
        <v>49</v>
      </c>
      <c r="D28" s="42" t="s">
        <v>299</v>
      </c>
      <c r="E28" s="14"/>
      <c r="F28" s="71">
        <v>3768110</v>
      </c>
      <c r="G28" s="42" t="s">
        <v>50</v>
      </c>
      <c r="H28" s="31">
        <v>20101973922</v>
      </c>
      <c r="I28" s="138" t="s">
        <v>54</v>
      </c>
      <c r="J28" s="11"/>
      <c r="K28" s="11"/>
      <c r="L28" s="11"/>
      <c r="M28" s="11"/>
      <c r="N28" s="116">
        <v>0</v>
      </c>
      <c r="O28" s="116">
        <v>0</v>
      </c>
      <c r="P28" s="11">
        <v>0</v>
      </c>
      <c r="Q28" s="11"/>
      <c r="R28" s="11">
        <v>66.8</v>
      </c>
      <c r="S28" s="11">
        <v>66.8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33">
        <v>46143</v>
      </c>
      <c r="AE28" s="34" t="s">
        <v>465</v>
      </c>
      <c r="AF28" s="37" t="s">
        <v>550</v>
      </c>
      <c r="AG28" s="14" t="s">
        <v>513</v>
      </c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566</v>
      </c>
      <c r="AT28" s="14"/>
      <c r="AU28" s="11"/>
      <c r="AV28" s="14"/>
    </row>
    <row r="29" spans="1:49" s="47" customFormat="1" ht="15" x14ac:dyDescent="0.25">
      <c r="A29" s="46">
        <v>46113</v>
      </c>
      <c r="B29" s="13">
        <v>46143</v>
      </c>
      <c r="C29" s="42" t="s">
        <v>49</v>
      </c>
      <c r="D29" s="42" t="s">
        <v>299</v>
      </c>
      <c r="E29" s="14"/>
      <c r="F29" s="71">
        <v>3768109</v>
      </c>
      <c r="G29" s="42" t="s">
        <v>50</v>
      </c>
      <c r="H29" s="31">
        <v>20101973922</v>
      </c>
      <c r="I29" s="138" t="s">
        <v>54</v>
      </c>
      <c r="J29" s="11"/>
      <c r="K29" s="11"/>
      <c r="L29" s="11"/>
      <c r="M29" s="11"/>
      <c r="N29" s="116">
        <v>0</v>
      </c>
      <c r="O29" s="116">
        <v>0</v>
      </c>
      <c r="P29" s="11">
        <v>0</v>
      </c>
      <c r="Q29" s="11"/>
      <c r="R29" s="11">
        <v>66.8</v>
      </c>
      <c r="S29" s="11">
        <v>66.8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33">
        <v>46143</v>
      </c>
      <c r="AE29" s="34" t="s">
        <v>465</v>
      </c>
      <c r="AF29" s="37" t="s">
        <v>550</v>
      </c>
      <c r="AG29" s="14" t="s">
        <v>513</v>
      </c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566</v>
      </c>
      <c r="AT29" s="14"/>
      <c r="AU29" s="11"/>
      <c r="AV29" s="14"/>
      <c r="AW29" s="45"/>
    </row>
    <row r="30" spans="1:49" s="45" customFormat="1" ht="15" x14ac:dyDescent="0.25">
      <c r="A30" s="46">
        <v>46113</v>
      </c>
      <c r="B30" s="13">
        <v>46143</v>
      </c>
      <c r="C30" s="42" t="s">
        <v>49</v>
      </c>
      <c r="D30" s="42" t="s">
        <v>299</v>
      </c>
      <c r="E30" s="14"/>
      <c r="F30" s="71">
        <v>3768108</v>
      </c>
      <c r="G30" s="42" t="s">
        <v>50</v>
      </c>
      <c r="H30" s="31">
        <v>20101973922</v>
      </c>
      <c r="I30" s="138" t="s">
        <v>54</v>
      </c>
      <c r="J30" s="11"/>
      <c r="K30" s="11"/>
      <c r="L30" s="11"/>
      <c r="M30" s="11"/>
      <c r="N30" s="116">
        <v>0</v>
      </c>
      <c r="O30" s="116">
        <v>0</v>
      </c>
      <c r="P30" s="11">
        <v>0</v>
      </c>
      <c r="Q30" s="11"/>
      <c r="R30" s="11">
        <v>66.8</v>
      </c>
      <c r="S30" s="11">
        <v>66.8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33">
        <v>46143</v>
      </c>
      <c r="AE30" s="34" t="s">
        <v>465</v>
      </c>
      <c r="AF30" s="37" t="s">
        <v>550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566</v>
      </c>
      <c r="AT30" s="14"/>
      <c r="AU30" s="11"/>
      <c r="AV30" s="14"/>
    </row>
    <row r="31" spans="1:49" s="45" customFormat="1" ht="15" x14ac:dyDescent="0.25">
      <c r="A31" s="46">
        <v>46113</v>
      </c>
      <c r="B31" s="13">
        <v>46143</v>
      </c>
      <c r="C31" s="42" t="s">
        <v>49</v>
      </c>
      <c r="D31" s="42" t="s">
        <v>299</v>
      </c>
      <c r="E31" s="14"/>
      <c r="F31" s="71">
        <v>3768107</v>
      </c>
      <c r="G31" s="42" t="s">
        <v>50</v>
      </c>
      <c r="H31" s="31">
        <v>20101973922</v>
      </c>
      <c r="I31" s="138" t="s">
        <v>54</v>
      </c>
      <c r="J31" s="11"/>
      <c r="K31" s="11"/>
      <c r="L31" s="11"/>
      <c r="M31" s="11"/>
      <c r="N31" s="116">
        <v>0</v>
      </c>
      <c r="O31" s="116">
        <v>0</v>
      </c>
      <c r="P31" s="11">
        <v>0</v>
      </c>
      <c r="Q31" s="11"/>
      <c r="R31" s="11">
        <v>66.8</v>
      </c>
      <c r="S31" s="11">
        <v>66.8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33">
        <v>46143</v>
      </c>
      <c r="AE31" s="34" t="s">
        <v>465</v>
      </c>
      <c r="AF31" s="37" t="s">
        <v>550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566</v>
      </c>
      <c r="AT31" s="14"/>
      <c r="AU31" s="11"/>
      <c r="AV31" s="14"/>
    </row>
    <row r="32" spans="1:49" s="45" customFormat="1" ht="15" x14ac:dyDescent="0.25">
      <c r="A32" s="46">
        <v>46113</v>
      </c>
      <c r="B32" s="13">
        <v>46143</v>
      </c>
      <c r="C32" s="42" t="s">
        <v>49</v>
      </c>
      <c r="D32" s="42" t="s">
        <v>299</v>
      </c>
      <c r="E32" s="14"/>
      <c r="F32" s="71">
        <v>3768106</v>
      </c>
      <c r="G32" s="42" t="s">
        <v>50</v>
      </c>
      <c r="H32" s="31">
        <v>20101973922</v>
      </c>
      <c r="I32" s="138" t="s">
        <v>54</v>
      </c>
      <c r="J32" s="11"/>
      <c r="K32" s="11"/>
      <c r="L32" s="11"/>
      <c r="M32" s="11"/>
      <c r="N32" s="116">
        <v>0</v>
      </c>
      <c r="O32" s="116">
        <v>0</v>
      </c>
      <c r="P32" s="11">
        <v>0</v>
      </c>
      <c r="Q32" s="11"/>
      <c r="R32" s="11">
        <v>66.8</v>
      </c>
      <c r="S32" s="11">
        <v>66.8</v>
      </c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33">
        <v>46143</v>
      </c>
      <c r="AE32" s="34" t="s">
        <v>465</v>
      </c>
      <c r="AF32" s="37" t="s">
        <v>550</v>
      </c>
      <c r="AG32" s="14" t="s">
        <v>513</v>
      </c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566</v>
      </c>
      <c r="AT32" s="14"/>
      <c r="AU32" s="11"/>
      <c r="AV32" s="14"/>
    </row>
    <row r="33" spans="1:49" s="45" customFormat="1" ht="15" x14ac:dyDescent="0.25">
      <c r="A33" s="46">
        <v>46113</v>
      </c>
      <c r="B33" s="13">
        <v>46143</v>
      </c>
      <c r="C33" s="42" t="s">
        <v>49</v>
      </c>
      <c r="D33" s="42" t="s">
        <v>299</v>
      </c>
      <c r="E33" s="14"/>
      <c r="F33" s="71">
        <v>3768105</v>
      </c>
      <c r="G33" s="42" t="s">
        <v>50</v>
      </c>
      <c r="H33" s="31">
        <v>20101973922</v>
      </c>
      <c r="I33" s="138" t="s">
        <v>54</v>
      </c>
      <c r="J33" s="11"/>
      <c r="K33" s="11"/>
      <c r="L33" s="11"/>
      <c r="M33" s="11"/>
      <c r="N33" s="116">
        <v>0</v>
      </c>
      <c r="O33" s="116">
        <v>0</v>
      </c>
      <c r="P33" s="11">
        <v>0</v>
      </c>
      <c r="Q33" s="11"/>
      <c r="R33" s="11">
        <v>66.8</v>
      </c>
      <c r="S33" s="11">
        <v>66.8</v>
      </c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33">
        <v>46143</v>
      </c>
      <c r="AE33" s="34" t="s">
        <v>465</v>
      </c>
      <c r="AF33" s="37" t="s">
        <v>550</v>
      </c>
      <c r="AG33" s="14" t="s">
        <v>513</v>
      </c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566</v>
      </c>
      <c r="AT33" s="14"/>
      <c r="AU33" s="11"/>
      <c r="AV33" s="14"/>
    </row>
    <row r="34" spans="1:49" s="45" customFormat="1" ht="15" x14ac:dyDescent="0.25">
      <c r="A34" s="46">
        <v>46113</v>
      </c>
      <c r="B34" s="13">
        <v>46143</v>
      </c>
      <c r="C34" s="42" t="s">
        <v>49</v>
      </c>
      <c r="D34" s="42" t="s">
        <v>299</v>
      </c>
      <c r="E34" s="14"/>
      <c r="F34" s="71">
        <v>3768104</v>
      </c>
      <c r="G34" s="42" t="s">
        <v>50</v>
      </c>
      <c r="H34" s="31">
        <v>20101973922</v>
      </c>
      <c r="I34" s="138" t="s">
        <v>54</v>
      </c>
      <c r="J34" s="11"/>
      <c r="K34" s="11"/>
      <c r="L34" s="11"/>
      <c r="M34" s="11"/>
      <c r="N34" s="116">
        <v>0</v>
      </c>
      <c r="O34" s="116">
        <v>0</v>
      </c>
      <c r="P34" s="11">
        <v>0</v>
      </c>
      <c r="Q34" s="11"/>
      <c r="R34" s="11">
        <v>66.8</v>
      </c>
      <c r="S34" s="11">
        <v>66.8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33">
        <v>46143</v>
      </c>
      <c r="AE34" s="34" t="s">
        <v>465</v>
      </c>
      <c r="AF34" s="37" t="s">
        <v>550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566</v>
      </c>
      <c r="AT34" s="14"/>
      <c r="AU34" s="11"/>
      <c r="AV34" s="14"/>
    </row>
    <row r="35" spans="1:49" s="45" customFormat="1" ht="15" x14ac:dyDescent="0.25">
      <c r="A35" s="46">
        <v>46113</v>
      </c>
      <c r="B35" s="13"/>
      <c r="C35" s="42" t="s">
        <v>49</v>
      </c>
      <c r="D35" s="42" t="s">
        <v>294</v>
      </c>
      <c r="E35" s="14"/>
      <c r="F35" s="71">
        <v>12661</v>
      </c>
      <c r="G35" s="42" t="s">
        <v>50</v>
      </c>
      <c r="H35" s="31">
        <v>10209907327</v>
      </c>
      <c r="I35" s="138" t="s">
        <v>107</v>
      </c>
      <c r="J35" s="11"/>
      <c r="K35" s="11"/>
      <c r="L35" s="11"/>
      <c r="M35" s="11"/>
      <c r="N35" s="116">
        <v>0</v>
      </c>
      <c r="O35" s="116">
        <v>0</v>
      </c>
      <c r="P35" s="11">
        <v>10</v>
      </c>
      <c r="Q35" s="11"/>
      <c r="R35" s="11"/>
      <c r="S35" s="11">
        <v>10</v>
      </c>
      <c r="T35" s="14"/>
      <c r="U35" s="14"/>
      <c r="V35" s="13"/>
      <c r="W35" s="15"/>
      <c r="X35" s="13"/>
      <c r="Y35" s="14"/>
      <c r="Z35" s="14"/>
      <c r="AA35" s="14"/>
      <c r="AB35" s="42" t="s">
        <v>224</v>
      </c>
      <c r="AC35" s="11"/>
      <c r="AD35" s="33"/>
      <c r="AE35" s="14" t="s">
        <v>262</v>
      </c>
      <c r="AF35" s="19" t="s">
        <v>486</v>
      </c>
      <c r="AG35" s="14"/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487</v>
      </c>
      <c r="AT35" s="14"/>
      <c r="AU35" s="11"/>
      <c r="AV35" s="14"/>
    </row>
    <row r="36" spans="1:49" s="45" customFormat="1" ht="15" x14ac:dyDescent="0.25">
      <c r="A36" s="46">
        <v>46113</v>
      </c>
      <c r="B36" s="13">
        <v>46143</v>
      </c>
      <c r="C36" s="42" t="s">
        <v>49</v>
      </c>
      <c r="D36" s="42" t="s">
        <v>299</v>
      </c>
      <c r="E36" s="14"/>
      <c r="F36" s="71">
        <v>3768113</v>
      </c>
      <c r="G36" s="42" t="s">
        <v>50</v>
      </c>
      <c r="H36" s="31">
        <v>20101973922</v>
      </c>
      <c r="I36" s="138" t="s">
        <v>54</v>
      </c>
      <c r="J36" s="11"/>
      <c r="K36" s="11"/>
      <c r="L36" s="11"/>
      <c r="M36" s="11"/>
      <c r="N36" s="116">
        <v>56.610169491525426</v>
      </c>
      <c r="O36" s="116">
        <v>10.189830508474577</v>
      </c>
      <c r="P36" s="11">
        <v>0</v>
      </c>
      <c r="Q36" s="11"/>
      <c r="R36" s="11"/>
      <c r="S36" s="11">
        <v>66.8</v>
      </c>
      <c r="T36" s="14"/>
      <c r="U36" s="14"/>
      <c r="V36" s="13"/>
      <c r="W36" s="15"/>
      <c r="X36" s="13"/>
      <c r="Y36" s="14"/>
      <c r="Z36" s="14"/>
      <c r="AA36" s="14"/>
      <c r="AB36" s="42" t="s">
        <v>224</v>
      </c>
      <c r="AC36" s="11"/>
      <c r="AD36" s="33">
        <v>46143</v>
      </c>
      <c r="AE36" s="34" t="s">
        <v>465</v>
      </c>
      <c r="AF36" s="37" t="s">
        <v>550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4"/>
      <c r="AU36" s="11"/>
      <c r="AV36" s="14"/>
    </row>
    <row r="37" spans="1:49" s="45" customFormat="1" ht="15" x14ac:dyDescent="0.25">
      <c r="A37" s="46">
        <v>46114</v>
      </c>
      <c r="B37" s="13"/>
      <c r="C37" s="42" t="s">
        <v>49</v>
      </c>
      <c r="D37" s="42" t="s">
        <v>294</v>
      </c>
      <c r="E37" s="14"/>
      <c r="F37" s="71">
        <v>118669</v>
      </c>
      <c r="G37" s="42" t="s">
        <v>50</v>
      </c>
      <c r="H37" s="31">
        <v>20568499043</v>
      </c>
      <c r="I37" s="138" t="s">
        <v>96</v>
      </c>
      <c r="J37" s="11"/>
      <c r="K37" s="11"/>
      <c r="L37" s="11"/>
      <c r="M37" s="11"/>
      <c r="N37" s="11">
        <v>0</v>
      </c>
      <c r="O37" s="11">
        <v>0</v>
      </c>
      <c r="P37" s="11">
        <v>100</v>
      </c>
      <c r="Q37" s="11"/>
      <c r="R37" s="11"/>
      <c r="S37" s="11">
        <v>100</v>
      </c>
      <c r="T37" s="14"/>
      <c r="U37" s="14"/>
      <c r="V37" s="13"/>
      <c r="W37" s="15"/>
      <c r="X37" s="13"/>
      <c r="Y37" s="14"/>
      <c r="Z37" s="14"/>
      <c r="AA37" s="14"/>
      <c r="AB37" s="42" t="s">
        <v>224</v>
      </c>
      <c r="AC37" s="11"/>
      <c r="AD37" s="13"/>
      <c r="AE37" s="14" t="s">
        <v>262</v>
      </c>
      <c r="AF37" s="19" t="s">
        <v>486</v>
      </c>
      <c r="AG37" s="14"/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487</v>
      </c>
      <c r="AT37" s="14"/>
      <c r="AU37" s="11"/>
      <c r="AV37" s="14"/>
    </row>
    <row r="38" spans="1:49" s="45" customFormat="1" ht="15" x14ac:dyDescent="0.25">
      <c r="A38" s="46">
        <v>46116</v>
      </c>
      <c r="B38" s="13">
        <v>46146</v>
      </c>
      <c r="C38" s="42" t="s">
        <v>49</v>
      </c>
      <c r="D38" s="42" t="s">
        <v>543</v>
      </c>
      <c r="E38" s="14"/>
      <c r="F38" s="71">
        <v>4817</v>
      </c>
      <c r="G38" s="42" t="s">
        <v>50</v>
      </c>
      <c r="H38" s="31">
        <v>20601012261</v>
      </c>
      <c r="I38" s="138" t="s">
        <v>160</v>
      </c>
      <c r="J38" s="11"/>
      <c r="K38" s="11"/>
      <c r="L38" s="11"/>
      <c r="M38" s="11"/>
      <c r="N38" s="116">
        <v>0</v>
      </c>
      <c r="O38" s="116">
        <v>0</v>
      </c>
      <c r="P38" s="11">
        <v>14</v>
      </c>
      <c r="Q38" s="11"/>
      <c r="R38" s="11"/>
      <c r="S38" s="11">
        <v>14</v>
      </c>
      <c r="T38" s="14"/>
      <c r="U38" s="14"/>
      <c r="V38" s="13"/>
      <c r="W38" s="15"/>
      <c r="X38" s="13"/>
      <c r="Y38" s="14"/>
      <c r="Z38" s="14"/>
      <c r="AA38" s="14"/>
      <c r="AB38" s="42" t="s">
        <v>224</v>
      </c>
      <c r="AC38" s="11"/>
      <c r="AD38" s="33">
        <v>46146</v>
      </c>
      <c r="AE38" s="34" t="s">
        <v>262</v>
      </c>
      <c r="AF38" s="37" t="s">
        <v>703</v>
      </c>
      <c r="AG38" s="14"/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655</v>
      </c>
      <c r="AT38" s="14"/>
      <c r="AU38" s="11"/>
      <c r="AV38" s="14"/>
    </row>
    <row r="39" spans="1:49" s="45" customFormat="1" ht="15" x14ac:dyDescent="0.25">
      <c r="A39" s="46">
        <v>46118</v>
      </c>
      <c r="B39" s="13">
        <v>46148</v>
      </c>
      <c r="C39" s="42" t="s">
        <v>49</v>
      </c>
      <c r="D39" s="42" t="s">
        <v>456</v>
      </c>
      <c r="E39" s="14"/>
      <c r="F39" s="71">
        <v>4964259</v>
      </c>
      <c r="G39" s="42" t="s">
        <v>50</v>
      </c>
      <c r="H39" s="31">
        <v>20100130204</v>
      </c>
      <c r="I39" s="138" t="s">
        <v>259</v>
      </c>
      <c r="J39" s="11"/>
      <c r="K39" s="11"/>
      <c r="L39" s="11"/>
      <c r="M39" s="11"/>
      <c r="N39" s="11">
        <v>0</v>
      </c>
      <c r="O39" s="11">
        <v>0</v>
      </c>
      <c r="P39" s="11">
        <v>40</v>
      </c>
      <c r="Q39" s="11"/>
      <c r="R39" s="11"/>
      <c r="S39" s="11">
        <v>40</v>
      </c>
      <c r="T39" s="14"/>
      <c r="U39" s="14"/>
      <c r="V39" s="13"/>
      <c r="W39" s="15"/>
      <c r="X39" s="13"/>
      <c r="Y39" s="14"/>
      <c r="Z39" s="14"/>
      <c r="AA39" s="14"/>
      <c r="AB39" s="42" t="s">
        <v>224</v>
      </c>
      <c r="AC39" s="11"/>
      <c r="AD39" s="13">
        <v>46148</v>
      </c>
      <c r="AE39" s="14" t="s">
        <v>465</v>
      </c>
      <c r="AF39" s="19" t="s">
        <v>494</v>
      </c>
      <c r="AG39" s="14"/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495</v>
      </c>
      <c r="AT39" s="14"/>
      <c r="AU39" s="11"/>
      <c r="AV39" s="14"/>
    </row>
    <row r="40" spans="1:49" s="45" customFormat="1" ht="15" x14ac:dyDescent="0.25">
      <c r="A40" s="46">
        <v>46118</v>
      </c>
      <c r="B40" s="13">
        <v>46148</v>
      </c>
      <c r="C40" s="42" t="s">
        <v>49</v>
      </c>
      <c r="D40" s="42" t="s">
        <v>590</v>
      </c>
      <c r="E40" s="14"/>
      <c r="F40" s="71">
        <v>26742968</v>
      </c>
      <c r="G40" s="42" t="s">
        <v>50</v>
      </c>
      <c r="H40" s="31">
        <v>20100130204</v>
      </c>
      <c r="I40" s="138" t="s">
        <v>259</v>
      </c>
      <c r="J40" s="11"/>
      <c r="K40" s="11"/>
      <c r="L40" s="11"/>
      <c r="M40" s="11"/>
      <c r="N40" s="11">
        <v>0</v>
      </c>
      <c r="O40" s="11">
        <v>0</v>
      </c>
      <c r="P40" s="11">
        <v>10</v>
      </c>
      <c r="Q40" s="11"/>
      <c r="R40" s="11"/>
      <c r="S40" s="11">
        <v>10</v>
      </c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13">
        <v>46148</v>
      </c>
      <c r="AE40" s="14" t="s">
        <v>465</v>
      </c>
      <c r="AF40" s="19" t="s">
        <v>494</v>
      </c>
      <c r="AG40" s="14"/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495</v>
      </c>
      <c r="AT40" s="14"/>
      <c r="AU40" s="11"/>
      <c r="AV40" s="14"/>
    </row>
    <row r="41" spans="1:49" s="45" customFormat="1" ht="15" x14ac:dyDescent="0.25">
      <c r="A41" s="46">
        <v>46118</v>
      </c>
      <c r="B41" s="13"/>
      <c r="C41" s="42" t="s">
        <v>49</v>
      </c>
      <c r="D41" s="42" t="s">
        <v>294</v>
      </c>
      <c r="E41" s="14"/>
      <c r="F41" s="71">
        <v>118745</v>
      </c>
      <c r="G41" s="42" t="s">
        <v>50</v>
      </c>
      <c r="H41" s="31">
        <v>20568499043</v>
      </c>
      <c r="I41" s="138" t="s">
        <v>96</v>
      </c>
      <c r="J41" s="11"/>
      <c r="K41" s="11"/>
      <c r="L41" s="11"/>
      <c r="M41" s="11"/>
      <c r="N41" s="11">
        <v>0</v>
      </c>
      <c r="O41" s="11">
        <v>0</v>
      </c>
      <c r="P41" s="11">
        <v>113.5</v>
      </c>
      <c r="Q41" s="11"/>
      <c r="R41" s="11"/>
      <c r="S41" s="11">
        <v>113.5</v>
      </c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13"/>
      <c r="AE41" s="14" t="s">
        <v>262</v>
      </c>
      <c r="AF41" s="19" t="s">
        <v>486</v>
      </c>
      <c r="AG41" s="14"/>
      <c r="AH41" s="14" t="s">
        <v>225</v>
      </c>
      <c r="AI41" s="34"/>
      <c r="AJ41" s="34"/>
      <c r="AK41" s="38"/>
      <c r="AL41" s="35"/>
      <c r="AM41" s="35"/>
      <c r="AN41" s="34"/>
      <c r="AO41" s="34"/>
      <c r="AP41" s="33"/>
      <c r="AQ41" s="34"/>
      <c r="AR41" s="35">
        <v>18</v>
      </c>
      <c r="AS41" s="14" t="s">
        <v>487</v>
      </c>
      <c r="AT41" s="14"/>
      <c r="AU41" s="11"/>
      <c r="AV41" s="14"/>
    </row>
    <row r="42" spans="1:49" s="45" customFormat="1" ht="16.5" customHeight="1" x14ac:dyDescent="0.25">
      <c r="A42" s="46">
        <v>46119</v>
      </c>
      <c r="B42" s="13">
        <v>46149</v>
      </c>
      <c r="C42" s="42" t="s">
        <v>49</v>
      </c>
      <c r="D42" s="42" t="s">
        <v>292</v>
      </c>
      <c r="E42" s="14"/>
      <c r="F42" s="71">
        <v>197</v>
      </c>
      <c r="G42" s="42" t="s">
        <v>50</v>
      </c>
      <c r="H42" s="31">
        <v>10447422951</v>
      </c>
      <c r="I42" s="138" t="s">
        <v>293</v>
      </c>
      <c r="J42" s="11"/>
      <c r="K42" s="11"/>
      <c r="L42" s="11"/>
      <c r="M42" s="11"/>
      <c r="N42" s="11">
        <v>0</v>
      </c>
      <c r="O42" s="11">
        <v>0</v>
      </c>
      <c r="P42" s="11">
        <v>450</v>
      </c>
      <c r="Q42" s="11"/>
      <c r="R42" s="11"/>
      <c r="S42" s="11">
        <v>450</v>
      </c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13">
        <v>46149</v>
      </c>
      <c r="AE42" s="127" t="s">
        <v>465</v>
      </c>
      <c r="AF42" s="119" t="s">
        <v>606</v>
      </c>
      <c r="AG42" s="112"/>
      <c r="AH42" s="112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 t="s">
        <v>490</v>
      </c>
      <c r="AT42" s="14"/>
      <c r="AU42" s="11"/>
      <c r="AV42" s="14"/>
    </row>
    <row r="43" spans="1:49" s="137" customFormat="1" ht="15" x14ac:dyDescent="0.25">
      <c r="A43" s="46">
        <v>46119</v>
      </c>
      <c r="B43" s="13">
        <v>46149</v>
      </c>
      <c r="C43" s="42" t="s">
        <v>49</v>
      </c>
      <c r="D43" s="42" t="s">
        <v>292</v>
      </c>
      <c r="E43" s="14"/>
      <c r="F43" s="71">
        <v>3</v>
      </c>
      <c r="G43" s="42" t="s">
        <v>50</v>
      </c>
      <c r="H43" s="31">
        <v>20615490548</v>
      </c>
      <c r="I43" s="138" t="s">
        <v>640</v>
      </c>
      <c r="J43" s="11"/>
      <c r="K43" s="11"/>
      <c r="L43" s="11"/>
      <c r="M43" s="11"/>
      <c r="N43" s="11">
        <v>0</v>
      </c>
      <c r="O43" s="11">
        <v>0</v>
      </c>
      <c r="P43" s="11">
        <v>270</v>
      </c>
      <c r="Q43" s="11"/>
      <c r="R43" s="11"/>
      <c r="S43" s="11">
        <v>270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13">
        <v>46149</v>
      </c>
      <c r="AE43" s="34" t="s">
        <v>465</v>
      </c>
      <c r="AF43" s="19" t="s">
        <v>501</v>
      </c>
      <c r="AG43" s="14"/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707</v>
      </c>
      <c r="AT43" s="14"/>
      <c r="AU43" s="11"/>
      <c r="AV43" s="14"/>
      <c r="AW43" s="45"/>
    </row>
    <row r="44" spans="1:49" s="45" customFormat="1" ht="15" x14ac:dyDescent="0.25">
      <c r="A44" s="46">
        <v>46119</v>
      </c>
      <c r="B44" s="13">
        <v>46149</v>
      </c>
      <c r="C44" s="42" t="s">
        <v>49</v>
      </c>
      <c r="D44" s="42" t="s">
        <v>543</v>
      </c>
      <c r="E44" s="14"/>
      <c r="F44" s="71">
        <v>4831</v>
      </c>
      <c r="G44" s="42" t="s">
        <v>50</v>
      </c>
      <c r="H44" s="31">
        <v>20601012261</v>
      </c>
      <c r="I44" s="138" t="s">
        <v>160</v>
      </c>
      <c r="J44" s="11"/>
      <c r="K44" s="11"/>
      <c r="L44" s="11"/>
      <c r="M44" s="11"/>
      <c r="N44" s="11">
        <v>0</v>
      </c>
      <c r="O44" s="11">
        <v>0</v>
      </c>
      <c r="P44" s="11">
        <v>3.5</v>
      </c>
      <c r="Q44" s="11"/>
      <c r="R44" s="11"/>
      <c r="S44" s="11">
        <v>3.5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13">
        <v>46149</v>
      </c>
      <c r="AE44" s="14" t="s">
        <v>465</v>
      </c>
      <c r="AF44" s="19" t="s">
        <v>703</v>
      </c>
      <c r="AG44" s="14"/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656</v>
      </c>
      <c r="AT44" s="14"/>
      <c r="AU44" s="11"/>
      <c r="AV44" s="14"/>
    </row>
    <row r="45" spans="1:49" s="47" customFormat="1" ht="15" x14ac:dyDescent="0.25">
      <c r="A45" s="46">
        <v>46120</v>
      </c>
      <c r="B45" s="13">
        <v>46150</v>
      </c>
      <c r="C45" s="42" t="s">
        <v>49</v>
      </c>
      <c r="D45" s="42" t="s">
        <v>590</v>
      </c>
      <c r="E45" s="14"/>
      <c r="F45" s="71">
        <v>26812174</v>
      </c>
      <c r="G45" s="42" t="s">
        <v>50</v>
      </c>
      <c r="H45" s="31">
        <v>20100130204</v>
      </c>
      <c r="I45" s="138" t="s">
        <v>259</v>
      </c>
      <c r="J45" s="11"/>
      <c r="K45" s="11"/>
      <c r="L45" s="11"/>
      <c r="M45" s="11"/>
      <c r="N45" s="11">
        <v>0</v>
      </c>
      <c r="O45" s="11">
        <v>0</v>
      </c>
      <c r="P45" s="11">
        <v>7.91</v>
      </c>
      <c r="Q45" s="11"/>
      <c r="R45" s="11"/>
      <c r="S45" s="11">
        <v>7.91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13">
        <v>46150</v>
      </c>
      <c r="AE45" s="14" t="s">
        <v>465</v>
      </c>
      <c r="AF45" s="19" t="s">
        <v>494</v>
      </c>
      <c r="AG45" s="14"/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495</v>
      </c>
      <c r="AT45" s="14"/>
      <c r="AU45" s="11"/>
      <c r="AV45" s="14"/>
      <c r="AW45" s="45"/>
    </row>
    <row r="46" spans="1:49" s="45" customFormat="1" ht="15" x14ac:dyDescent="0.25">
      <c r="A46" s="108">
        <v>46120</v>
      </c>
      <c r="B46" s="109">
        <v>46150</v>
      </c>
      <c r="C46" s="111" t="s">
        <v>49</v>
      </c>
      <c r="D46" s="111" t="s">
        <v>440</v>
      </c>
      <c r="E46" s="112"/>
      <c r="F46" s="113">
        <v>2804050</v>
      </c>
      <c r="G46" s="111" t="s">
        <v>50</v>
      </c>
      <c r="H46" s="114">
        <v>20100047218</v>
      </c>
      <c r="I46" s="139" t="s">
        <v>354</v>
      </c>
      <c r="J46" s="116"/>
      <c r="K46" s="116"/>
      <c r="L46" s="116"/>
      <c r="M46" s="116"/>
      <c r="N46" s="116">
        <v>1.2043097216272886E-14</v>
      </c>
      <c r="O46" s="116">
        <v>2.1677574989291194E-15</v>
      </c>
      <c r="P46" s="116">
        <v>120.33</v>
      </c>
      <c r="Q46" s="116"/>
      <c r="R46" s="116"/>
      <c r="S46" s="116">
        <v>120.33000000000001</v>
      </c>
      <c r="T46" s="112"/>
      <c r="U46" s="112"/>
      <c r="V46" s="109"/>
      <c r="W46" s="118">
        <v>3.4380000000000002</v>
      </c>
      <c r="X46" s="109"/>
      <c r="Y46" s="112"/>
      <c r="Z46" s="112"/>
      <c r="AA46" s="112"/>
      <c r="AB46" s="111" t="s">
        <v>383</v>
      </c>
      <c r="AC46" s="116">
        <v>35</v>
      </c>
      <c r="AD46" s="109">
        <v>46150</v>
      </c>
      <c r="AE46" s="14" t="s">
        <v>465</v>
      </c>
      <c r="AF46" s="19" t="s">
        <v>494</v>
      </c>
      <c r="AG46" s="14"/>
      <c r="AH46" s="14" t="s">
        <v>225</v>
      </c>
      <c r="AI46" s="112"/>
      <c r="AJ46" s="112"/>
      <c r="AK46" s="120"/>
      <c r="AL46" s="116"/>
      <c r="AM46" s="116"/>
      <c r="AN46" s="112"/>
      <c r="AO46" s="112"/>
      <c r="AP46" s="109"/>
      <c r="AQ46" s="112"/>
      <c r="AR46" s="116">
        <v>18</v>
      </c>
      <c r="AS46" s="112" t="s">
        <v>657</v>
      </c>
      <c r="AT46" s="112"/>
      <c r="AU46" s="116"/>
      <c r="AV46" s="112"/>
      <c r="AW46" s="121"/>
    </row>
    <row r="47" spans="1:49" s="121" customFormat="1" ht="15" x14ac:dyDescent="0.25">
      <c r="A47" s="46">
        <v>46120</v>
      </c>
      <c r="B47" s="13">
        <v>46150</v>
      </c>
      <c r="C47" s="42" t="s">
        <v>49</v>
      </c>
      <c r="D47" s="42" t="s">
        <v>451</v>
      </c>
      <c r="E47" s="14"/>
      <c r="F47" s="71">
        <v>140</v>
      </c>
      <c r="G47" s="42" t="s">
        <v>50</v>
      </c>
      <c r="H47" s="31">
        <v>20600454065</v>
      </c>
      <c r="I47" s="138" t="s">
        <v>110</v>
      </c>
      <c r="J47" s="11"/>
      <c r="K47" s="11"/>
      <c r="L47" s="11"/>
      <c r="M47" s="11"/>
      <c r="N47" s="11">
        <v>0</v>
      </c>
      <c r="O47" s="11">
        <v>0</v>
      </c>
      <c r="P47" s="11">
        <v>2075</v>
      </c>
      <c r="Q47" s="11"/>
      <c r="R47" s="11"/>
      <c r="S47" s="11">
        <v>2075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13">
        <v>46150</v>
      </c>
      <c r="AE47" s="112" t="s">
        <v>465</v>
      </c>
      <c r="AF47" s="119" t="s">
        <v>616</v>
      </c>
      <c r="AG47" s="112"/>
      <c r="AH47" s="112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12" t="s">
        <v>617</v>
      </c>
      <c r="AT47" s="14"/>
      <c r="AU47" s="11"/>
      <c r="AV47" s="14"/>
      <c r="AW47" s="45"/>
    </row>
    <row r="48" spans="1:49" s="121" customFormat="1" ht="15" x14ac:dyDescent="0.25">
      <c r="A48" s="46">
        <v>46121</v>
      </c>
      <c r="B48" s="13">
        <v>46151</v>
      </c>
      <c r="C48" s="42" t="s">
        <v>49</v>
      </c>
      <c r="D48" s="42" t="s">
        <v>639</v>
      </c>
      <c r="E48" s="14"/>
      <c r="F48" s="71">
        <v>1345247</v>
      </c>
      <c r="G48" s="42" t="s">
        <v>50</v>
      </c>
      <c r="H48" s="31">
        <v>20100047218</v>
      </c>
      <c r="I48" s="138" t="s">
        <v>354</v>
      </c>
      <c r="J48" s="11"/>
      <c r="K48" s="11"/>
      <c r="L48" s="11"/>
      <c r="M48" s="11"/>
      <c r="N48" s="11">
        <v>0</v>
      </c>
      <c r="O48" s="11">
        <v>0</v>
      </c>
      <c r="P48" s="11">
        <v>138</v>
      </c>
      <c r="Q48" s="11"/>
      <c r="R48" s="11"/>
      <c r="S48" s="11">
        <v>138</v>
      </c>
      <c r="T48" s="14"/>
      <c r="U48" s="14"/>
      <c r="V48" s="13"/>
      <c r="W48" s="15"/>
      <c r="X48" s="13"/>
      <c r="Y48" s="14"/>
      <c r="Z48" s="14"/>
      <c r="AA48" s="14"/>
      <c r="AB48" s="42" t="s">
        <v>224</v>
      </c>
      <c r="AC48" s="11"/>
      <c r="AD48" s="109">
        <v>46151</v>
      </c>
      <c r="AE48" s="14" t="s">
        <v>465</v>
      </c>
      <c r="AF48" s="19" t="s">
        <v>494</v>
      </c>
      <c r="AG48" s="14"/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658</v>
      </c>
      <c r="AT48" s="14"/>
      <c r="AU48" s="11"/>
      <c r="AV48" s="14"/>
      <c r="AW48" s="45"/>
    </row>
    <row r="49" spans="1:49" s="45" customFormat="1" ht="15" x14ac:dyDescent="0.25">
      <c r="A49" s="46">
        <v>46121</v>
      </c>
      <c r="B49" s="13">
        <v>46151</v>
      </c>
      <c r="C49" s="42" t="s">
        <v>49</v>
      </c>
      <c r="D49" s="42" t="s">
        <v>292</v>
      </c>
      <c r="E49" s="14"/>
      <c r="F49" s="71">
        <v>1840</v>
      </c>
      <c r="G49" s="42" t="s">
        <v>50</v>
      </c>
      <c r="H49" s="31">
        <v>20486339510</v>
      </c>
      <c r="I49" s="138" t="s">
        <v>462</v>
      </c>
      <c r="J49" s="11"/>
      <c r="K49" s="11"/>
      <c r="L49" s="11"/>
      <c r="M49" s="11"/>
      <c r="N49" s="11">
        <v>1694.9152542372883</v>
      </c>
      <c r="O49" s="11">
        <v>305.08474576271186</v>
      </c>
      <c r="P49" s="11">
        <v>0</v>
      </c>
      <c r="Q49" s="11"/>
      <c r="R49" s="11"/>
      <c r="S49" s="11">
        <v>2000</v>
      </c>
      <c r="T49" s="14"/>
      <c r="U49" s="14"/>
      <c r="V49" s="13"/>
      <c r="W49" s="15"/>
      <c r="X49" s="13"/>
      <c r="Y49" s="14"/>
      <c r="Z49" s="14"/>
      <c r="AA49" s="14"/>
      <c r="AB49" s="42" t="s">
        <v>224</v>
      </c>
      <c r="AC49" s="11"/>
      <c r="AD49" s="13">
        <v>46151</v>
      </c>
      <c r="AE49" s="14" t="s">
        <v>465</v>
      </c>
      <c r="AF49" s="19" t="s">
        <v>576</v>
      </c>
      <c r="AG49" s="34"/>
      <c r="AH49" s="3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577</v>
      </c>
      <c r="AT49" s="14"/>
      <c r="AU49" s="11"/>
      <c r="AV49" s="14"/>
    </row>
    <row r="50" spans="1:49" s="45" customFormat="1" ht="15" x14ac:dyDescent="0.25">
      <c r="A50" s="46">
        <v>46121</v>
      </c>
      <c r="B50" s="13">
        <v>46151</v>
      </c>
      <c r="C50" s="42" t="s">
        <v>49</v>
      </c>
      <c r="D50" s="42" t="s">
        <v>292</v>
      </c>
      <c r="E50" s="14"/>
      <c r="F50" s="71">
        <v>6117</v>
      </c>
      <c r="G50" s="42" t="s">
        <v>50</v>
      </c>
      <c r="H50" s="31">
        <v>20602783341</v>
      </c>
      <c r="I50" s="138" t="s">
        <v>79</v>
      </c>
      <c r="J50" s="11"/>
      <c r="K50" s="11"/>
      <c r="L50" s="11"/>
      <c r="M50" s="11"/>
      <c r="N50" s="116">
        <v>0</v>
      </c>
      <c r="O50" s="116">
        <v>0</v>
      </c>
      <c r="P50" s="11">
        <v>8</v>
      </c>
      <c r="Q50" s="11"/>
      <c r="R50" s="11"/>
      <c r="S50" s="11">
        <v>8</v>
      </c>
      <c r="T50" s="14"/>
      <c r="U50" s="14"/>
      <c r="V50" s="13"/>
      <c r="W50" s="15"/>
      <c r="X50" s="13"/>
      <c r="Y50" s="14"/>
      <c r="Z50" s="14"/>
      <c r="AA50" s="14"/>
      <c r="AB50" s="42" t="s">
        <v>224</v>
      </c>
      <c r="AC50" s="11"/>
      <c r="AD50" s="33">
        <v>46151</v>
      </c>
      <c r="AE50" s="14" t="s">
        <v>262</v>
      </c>
      <c r="AF50" s="19" t="s">
        <v>601</v>
      </c>
      <c r="AG50" s="14"/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659</v>
      </c>
      <c r="AT50" s="14"/>
      <c r="AU50" s="11"/>
      <c r="AV50" s="14"/>
    </row>
    <row r="51" spans="1:49" s="45" customFormat="1" ht="15" x14ac:dyDescent="0.25">
      <c r="A51" s="46">
        <v>46122</v>
      </c>
      <c r="B51" s="13">
        <v>46152</v>
      </c>
      <c r="C51" s="42" t="s">
        <v>49</v>
      </c>
      <c r="D51" s="42" t="s">
        <v>294</v>
      </c>
      <c r="E51" s="14"/>
      <c r="F51" s="71">
        <v>1066</v>
      </c>
      <c r="G51" s="42" t="s">
        <v>50</v>
      </c>
      <c r="H51" s="31">
        <v>20611936606</v>
      </c>
      <c r="I51" s="138" t="s">
        <v>469</v>
      </c>
      <c r="J51" s="11"/>
      <c r="K51" s="11"/>
      <c r="L51" s="11"/>
      <c r="M51" s="11"/>
      <c r="N51" s="11">
        <v>0</v>
      </c>
      <c r="O51" s="11">
        <v>0</v>
      </c>
      <c r="P51" s="11">
        <v>10</v>
      </c>
      <c r="Q51" s="11"/>
      <c r="R51" s="11"/>
      <c r="S51" s="11">
        <v>10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13">
        <v>46152</v>
      </c>
      <c r="AE51" s="14" t="s">
        <v>262</v>
      </c>
      <c r="AF51" s="19" t="s">
        <v>486</v>
      </c>
      <c r="AG51" s="14"/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487</v>
      </c>
      <c r="AT51" s="14"/>
      <c r="AU51" s="11"/>
      <c r="AV51" s="14"/>
    </row>
    <row r="52" spans="1:49" s="45" customFormat="1" ht="15" x14ac:dyDescent="0.25">
      <c r="A52" s="46">
        <v>46122</v>
      </c>
      <c r="B52" s="13">
        <v>46152</v>
      </c>
      <c r="C52" s="42" t="s">
        <v>49</v>
      </c>
      <c r="D52" s="42" t="s">
        <v>294</v>
      </c>
      <c r="E52" s="14"/>
      <c r="F52" s="71">
        <v>6199</v>
      </c>
      <c r="G52" s="42" t="s">
        <v>50</v>
      </c>
      <c r="H52" s="31">
        <v>20486549328</v>
      </c>
      <c r="I52" s="138" t="s">
        <v>68</v>
      </c>
      <c r="J52" s="11"/>
      <c r="K52" s="11"/>
      <c r="L52" s="11"/>
      <c r="M52" s="11"/>
      <c r="N52" s="11">
        <v>0</v>
      </c>
      <c r="O52" s="11">
        <v>0</v>
      </c>
      <c r="P52" s="11">
        <v>40</v>
      </c>
      <c r="Q52" s="11"/>
      <c r="R52" s="11"/>
      <c r="S52" s="11">
        <v>40</v>
      </c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13">
        <v>46152</v>
      </c>
      <c r="AE52" s="34" t="s">
        <v>262</v>
      </c>
      <c r="AF52" s="37" t="s">
        <v>521</v>
      </c>
      <c r="AG52" s="14"/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660</v>
      </c>
      <c r="AT52" s="14"/>
      <c r="AU52" s="11"/>
      <c r="AV52" s="14"/>
    </row>
    <row r="53" spans="1:49" s="45" customFormat="1" ht="15" x14ac:dyDescent="0.25">
      <c r="A53" s="108">
        <v>46122</v>
      </c>
      <c r="B53" s="109">
        <v>46152</v>
      </c>
      <c r="C53" s="111" t="s">
        <v>49</v>
      </c>
      <c r="D53" s="111" t="s">
        <v>292</v>
      </c>
      <c r="E53" s="112"/>
      <c r="F53" s="113">
        <v>528</v>
      </c>
      <c r="G53" s="111" t="s">
        <v>50</v>
      </c>
      <c r="H53" s="114">
        <v>10469834986</v>
      </c>
      <c r="I53" s="139" t="s">
        <v>366</v>
      </c>
      <c r="J53" s="116"/>
      <c r="K53" s="116"/>
      <c r="L53" s="116"/>
      <c r="M53" s="116"/>
      <c r="N53" s="116">
        <v>0</v>
      </c>
      <c r="O53" s="116">
        <v>0</v>
      </c>
      <c r="P53" s="116">
        <v>360</v>
      </c>
      <c r="Q53" s="116"/>
      <c r="R53" s="116"/>
      <c r="S53" s="116">
        <v>360</v>
      </c>
      <c r="T53" s="112"/>
      <c r="U53" s="112"/>
      <c r="V53" s="109"/>
      <c r="W53" s="118"/>
      <c r="X53" s="109"/>
      <c r="Y53" s="112"/>
      <c r="Z53" s="112"/>
      <c r="AA53" s="112"/>
      <c r="AB53" s="111" t="s">
        <v>224</v>
      </c>
      <c r="AC53" s="116"/>
      <c r="AD53" s="126">
        <v>46152</v>
      </c>
      <c r="AE53" s="34" t="s">
        <v>465</v>
      </c>
      <c r="AF53" s="19" t="s">
        <v>496</v>
      </c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221" t="s">
        <v>627</v>
      </c>
      <c r="AT53" s="112"/>
      <c r="AU53" s="116"/>
      <c r="AV53" s="112"/>
      <c r="AW53" s="121"/>
    </row>
    <row r="54" spans="1:49" s="45" customFormat="1" ht="14.25" customHeight="1" x14ac:dyDescent="0.25">
      <c r="A54" s="46">
        <v>46123</v>
      </c>
      <c r="B54" s="13">
        <v>46153</v>
      </c>
      <c r="C54" s="42" t="s">
        <v>49</v>
      </c>
      <c r="D54" s="42" t="s">
        <v>292</v>
      </c>
      <c r="E54" s="14"/>
      <c r="F54" s="71">
        <v>209</v>
      </c>
      <c r="G54" s="42" t="s">
        <v>50</v>
      </c>
      <c r="H54" s="31">
        <v>10447422951</v>
      </c>
      <c r="I54" s="138" t="s">
        <v>293</v>
      </c>
      <c r="J54" s="11"/>
      <c r="K54" s="11"/>
      <c r="L54" s="11"/>
      <c r="M54" s="11"/>
      <c r="N54" s="11">
        <v>0</v>
      </c>
      <c r="O54" s="11">
        <v>0</v>
      </c>
      <c r="P54" s="11">
        <v>700</v>
      </c>
      <c r="Q54" s="11"/>
      <c r="R54" s="11"/>
      <c r="S54" s="11">
        <v>700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13">
        <v>46153</v>
      </c>
      <c r="AE54" s="14" t="s">
        <v>465</v>
      </c>
      <c r="AF54" s="19" t="s">
        <v>606</v>
      </c>
      <c r="AG54" s="14"/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661</v>
      </c>
      <c r="AT54" s="14"/>
      <c r="AU54" s="11"/>
      <c r="AV54" s="14"/>
    </row>
    <row r="55" spans="1:49" s="45" customFormat="1" ht="15" x14ac:dyDescent="0.25">
      <c r="A55" s="46">
        <v>46123</v>
      </c>
      <c r="B55" s="13">
        <v>46153</v>
      </c>
      <c r="C55" s="42" t="s">
        <v>49</v>
      </c>
      <c r="D55" s="42" t="s">
        <v>442</v>
      </c>
      <c r="E55" s="14"/>
      <c r="F55" s="71">
        <v>19257831</v>
      </c>
      <c r="G55" s="42" t="s">
        <v>50</v>
      </c>
      <c r="H55" s="31">
        <v>20100047218</v>
      </c>
      <c r="I55" s="138" t="s">
        <v>354</v>
      </c>
      <c r="J55" s="11"/>
      <c r="K55" s="11"/>
      <c r="L55" s="11"/>
      <c r="M55" s="11"/>
      <c r="N55" s="11">
        <v>-2.118644067800705E-3</v>
      </c>
      <c r="O55" s="11">
        <v>-3.8135593220412688E-4</v>
      </c>
      <c r="P55" s="11">
        <v>59.24</v>
      </c>
      <c r="Q55" s="11"/>
      <c r="R55" s="11"/>
      <c r="S55" s="11">
        <v>59.237499999999997</v>
      </c>
      <c r="T55" s="14"/>
      <c r="U55" s="14"/>
      <c r="V55" s="13"/>
      <c r="W55" s="15">
        <v>3.3849999999999998</v>
      </c>
      <c r="X55" s="13"/>
      <c r="Y55" s="14"/>
      <c r="Z55" s="14"/>
      <c r="AA55" s="14"/>
      <c r="AB55" s="42" t="s">
        <v>383</v>
      </c>
      <c r="AC55" s="11">
        <v>17.5</v>
      </c>
      <c r="AD55" s="109">
        <v>46153</v>
      </c>
      <c r="AE55" s="14" t="s">
        <v>465</v>
      </c>
      <c r="AF55" s="19" t="s">
        <v>494</v>
      </c>
      <c r="AG55" s="14"/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 t="s">
        <v>662</v>
      </c>
      <c r="AT55" s="14"/>
      <c r="AU55" s="11"/>
      <c r="AV55" s="14"/>
    </row>
    <row r="56" spans="1:49" s="45" customFormat="1" ht="15" x14ac:dyDescent="0.25">
      <c r="A56" s="46">
        <v>46123</v>
      </c>
      <c r="B56" s="13">
        <v>46153</v>
      </c>
      <c r="C56" s="42" t="s">
        <v>49</v>
      </c>
      <c r="D56" s="42" t="s">
        <v>442</v>
      </c>
      <c r="E56" s="14"/>
      <c r="F56" s="71">
        <v>19147938</v>
      </c>
      <c r="G56" s="42" t="s">
        <v>50</v>
      </c>
      <c r="H56" s="31">
        <v>20100047218</v>
      </c>
      <c r="I56" s="138" t="s">
        <v>354</v>
      </c>
      <c r="J56" s="11"/>
      <c r="K56" s="11"/>
      <c r="L56" s="11"/>
      <c r="M56" s="11"/>
      <c r="N56" s="11">
        <v>0</v>
      </c>
      <c r="O56" s="11">
        <v>0</v>
      </c>
      <c r="P56" s="11">
        <v>758.25</v>
      </c>
      <c r="Q56" s="11"/>
      <c r="R56" s="11"/>
      <c r="S56" s="11">
        <v>758.25</v>
      </c>
      <c r="T56" s="14"/>
      <c r="U56" s="14"/>
      <c r="V56" s="13"/>
      <c r="W56" s="15"/>
      <c r="X56" s="13"/>
      <c r="Y56" s="14"/>
      <c r="Z56" s="14"/>
      <c r="AA56" s="14"/>
      <c r="AB56" s="42" t="s">
        <v>224</v>
      </c>
      <c r="AC56" s="11"/>
      <c r="AD56" s="109">
        <v>46153</v>
      </c>
      <c r="AE56" s="14" t="s">
        <v>465</v>
      </c>
      <c r="AF56" s="19" t="s">
        <v>494</v>
      </c>
      <c r="AG56" s="14"/>
      <c r="AH56" s="14" t="s">
        <v>225</v>
      </c>
      <c r="AI56" s="34"/>
      <c r="AJ56" s="34"/>
      <c r="AK56" s="38"/>
      <c r="AL56" s="35"/>
      <c r="AM56" s="35"/>
      <c r="AN56" s="34"/>
      <c r="AO56" s="34"/>
      <c r="AP56" s="33"/>
      <c r="AQ56" s="34"/>
      <c r="AR56" s="35">
        <v>18</v>
      </c>
      <c r="AS56" s="34" t="s">
        <v>663</v>
      </c>
      <c r="AT56" s="14"/>
      <c r="AU56" s="11"/>
      <c r="AV56" s="14"/>
    </row>
    <row r="57" spans="1:49" s="45" customFormat="1" ht="15" x14ac:dyDescent="0.25">
      <c r="A57" s="46">
        <v>46125</v>
      </c>
      <c r="B57" s="13"/>
      <c r="C57" s="42" t="s">
        <v>49</v>
      </c>
      <c r="D57" s="42" t="s">
        <v>543</v>
      </c>
      <c r="E57" s="14"/>
      <c r="F57" s="71">
        <v>4871</v>
      </c>
      <c r="G57" s="42" t="s">
        <v>50</v>
      </c>
      <c r="H57" s="31">
        <v>20601012261</v>
      </c>
      <c r="I57" s="138" t="s">
        <v>160</v>
      </c>
      <c r="J57" s="11"/>
      <c r="K57" s="11"/>
      <c r="L57" s="11"/>
      <c r="M57" s="11"/>
      <c r="N57" s="11">
        <v>0</v>
      </c>
      <c r="O57" s="11">
        <v>0</v>
      </c>
      <c r="P57" s="11">
        <v>13</v>
      </c>
      <c r="Q57" s="11"/>
      <c r="R57" s="11"/>
      <c r="S57" s="11">
        <v>13</v>
      </c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13"/>
      <c r="AE57" s="14" t="s">
        <v>262</v>
      </c>
      <c r="AF57" s="19" t="s">
        <v>701</v>
      </c>
      <c r="AG57" s="14"/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 t="s">
        <v>664</v>
      </c>
      <c r="AT57" s="14"/>
      <c r="AU57" s="11"/>
      <c r="AV57" s="14"/>
    </row>
    <row r="58" spans="1:49" s="45" customFormat="1" ht="15" x14ac:dyDescent="0.25">
      <c r="A58" s="46">
        <v>46125</v>
      </c>
      <c r="B58" s="13"/>
      <c r="C58" s="42" t="s">
        <v>49</v>
      </c>
      <c r="D58" s="42" t="s">
        <v>294</v>
      </c>
      <c r="E58" s="14"/>
      <c r="F58" s="71">
        <v>21595</v>
      </c>
      <c r="G58" s="42" t="s">
        <v>50</v>
      </c>
      <c r="H58" s="31">
        <v>20609711923</v>
      </c>
      <c r="I58" s="138" t="s">
        <v>641</v>
      </c>
      <c r="J58" s="11"/>
      <c r="K58" s="11"/>
      <c r="L58" s="11"/>
      <c r="M58" s="11"/>
      <c r="N58" s="11">
        <v>0</v>
      </c>
      <c r="O58" s="11">
        <v>0</v>
      </c>
      <c r="P58" s="11">
        <v>20</v>
      </c>
      <c r="Q58" s="11"/>
      <c r="R58" s="11"/>
      <c r="S58" s="11">
        <v>20</v>
      </c>
      <c r="T58" s="14"/>
      <c r="U58" s="14"/>
      <c r="V58" s="13"/>
      <c r="W58" s="15"/>
      <c r="X58" s="13"/>
      <c r="Y58" s="14"/>
      <c r="Z58" s="14"/>
      <c r="AA58" s="14"/>
      <c r="AB58" s="42" t="s">
        <v>224</v>
      </c>
      <c r="AC58" s="11"/>
      <c r="AD58" s="13"/>
      <c r="AE58" s="14" t="s">
        <v>262</v>
      </c>
      <c r="AF58" s="19" t="s">
        <v>486</v>
      </c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487</v>
      </c>
      <c r="AT58" s="14"/>
      <c r="AU58" s="11"/>
      <c r="AV58" s="14"/>
    </row>
    <row r="59" spans="1:49" s="45" customFormat="1" ht="15" x14ac:dyDescent="0.25">
      <c r="A59" s="46">
        <v>46125</v>
      </c>
      <c r="B59" s="13"/>
      <c r="C59" s="42" t="s">
        <v>49</v>
      </c>
      <c r="D59" s="42" t="s">
        <v>573</v>
      </c>
      <c r="E59" s="14"/>
      <c r="F59" s="71">
        <v>466</v>
      </c>
      <c r="G59" s="42" t="s">
        <v>50</v>
      </c>
      <c r="H59" s="31">
        <v>20568369000</v>
      </c>
      <c r="I59" s="138" t="s">
        <v>295</v>
      </c>
      <c r="J59" s="11"/>
      <c r="K59" s="11"/>
      <c r="L59" s="11"/>
      <c r="M59" s="11"/>
      <c r="N59" s="11">
        <v>0</v>
      </c>
      <c r="O59" s="11">
        <v>0</v>
      </c>
      <c r="P59" s="11">
        <v>40</v>
      </c>
      <c r="Q59" s="11"/>
      <c r="R59" s="11"/>
      <c r="S59" s="11">
        <v>40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13"/>
      <c r="AE59" s="34" t="s">
        <v>262</v>
      </c>
      <c r="AF59" s="37" t="s">
        <v>521</v>
      </c>
      <c r="AG59" s="14"/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666</v>
      </c>
      <c r="AT59" s="14"/>
      <c r="AU59" s="11"/>
      <c r="AV59" s="14"/>
    </row>
    <row r="60" spans="1:49" s="45" customFormat="1" ht="15" x14ac:dyDescent="0.25">
      <c r="A60" s="46">
        <v>46126</v>
      </c>
      <c r="B60" s="13">
        <v>46156</v>
      </c>
      <c r="C60" s="42" t="s">
        <v>49</v>
      </c>
      <c r="D60" s="42" t="s">
        <v>301</v>
      </c>
      <c r="E60" s="14"/>
      <c r="F60" s="71">
        <v>17745</v>
      </c>
      <c r="G60" s="42" t="s">
        <v>50</v>
      </c>
      <c r="H60" s="31">
        <v>20493508645</v>
      </c>
      <c r="I60" s="138" t="s">
        <v>52</v>
      </c>
      <c r="J60" s="11"/>
      <c r="K60" s="11"/>
      <c r="L60" s="11"/>
      <c r="M60" s="11"/>
      <c r="N60" s="11">
        <v>-5.8474576335510841E-4</v>
      </c>
      <c r="O60" s="11">
        <v>-1.0525423740391951E-4</v>
      </c>
      <c r="P60" s="11">
        <v>29967.98</v>
      </c>
      <c r="Q60" s="11"/>
      <c r="R60" s="11"/>
      <c r="S60" s="11">
        <v>29967.979309999999</v>
      </c>
      <c r="T60" s="14"/>
      <c r="U60" s="14"/>
      <c r="V60" s="13"/>
      <c r="W60" s="15">
        <v>3.379</v>
      </c>
      <c r="X60" s="13"/>
      <c r="Y60" s="14"/>
      <c r="Z60" s="14"/>
      <c r="AA60" s="14"/>
      <c r="AB60" s="42" t="s">
        <v>383</v>
      </c>
      <c r="AC60" s="11">
        <v>8868.89</v>
      </c>
      <c r="AD60" s="13">
        <v>46156</v>
      </c>
      <c r="AE60" s="34" t="s">
        <v>465</v>
      </c>
      <c r="AF60" s="19" t="s">
        <v>532</v>
      </c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201</v>
      </c>
      <c r="AT60" s="14"/>
      <c r="AU60" s="11"/>
      <c r="AV60" s="14"/>
    </row>
    <row r="61" spans="1:49" s="45" customFormat="1" ht="15" x14ac:dyDescent="0.25">
      <c r="A61" s="74">
        <v>46126</v>
      </c>
      <c r="B61" s="26">
        <v>46156</v>
      </c>
      <c r="C61" s="76" t="s">
        <v>49</v>
      </c>
      <c r="D61" s="76" t="s">
        <v>294</v>
      </c>
      <c r="E61" s="27"/>
      <c r="F61" s="86">
        <v>5272</v>
      </c>
      <c r="G61" s="76" t="s">
        <v>50</v>
      </c>
      <c r="H61" s="32">
        <v>10061702071</v>
      </c>
      <c r="I61" s="220" t="s">
        <v>369</v>
      </c>
      <c r="J61" s="28"/>
      <c r="K61" s="28"/>
      <c r="L61" s="28"/>
      <c r="M61" s="28"/>
      <c r="N61" s="28">
        <v>0</v>
      </c>
      <c r="O61" s="28">
        <v>0</v>
      </c>
      <c r="P61" s="28">
        <v>0</v>
      </c>
      <c r="Q61" s="28"/>
      <c r="R61" s="28">
        <v>495</v>
      </c>
      <c r="S61" s="28">
        <v>495</v>
      </c>
      <c r="T61" s="27"/>
      <c r="U61" s="27"/>
      <c r="V61" s="26"/>
      <c r="W61" s="80"/>
      <c r="X61" s="26"/>
      <c r="Y61" s="27"/>
      <c r="Z61" s="27"/>
      <c r="AA61" s="27"/>
      <c r="AB61" s="76" t="s">
        <v>224</v>
      </c>
      <c r="AC61" s="28"/>
      <c r="AD61" s="26">
        <v>46156</v>
      </c>
      <c r="AE61" s="27" t="s">
        <v>465</v>
      </c>
      <c r="AF61" s="89" t="s">
        <v>597</v>
      </c>
      <c r="AG61" s="85" t="s">
        <v>513</v>
      </c>
      <c r="AH61" s="85" t="s">
        <v>225</v>
      </c>
      <c r="AI61" s="27"/>
      <c r="AJ61" s="27"/>
      <c r="AK61" s="30"/>
      <c r="AL61" s="28"/>
      <c r="AM61" s="28"/>
      <c r="AN61" s="27"/>
      <c r="AO61" s="27"/>
      <c r="AP61" s="26"/>
      <c r="AQ61" s="27"/>
      <c r="AR61" s="28">
        <v>18</v>
      </c>
      <c r="AS61" s="27" t="s">
        <v>667</v>
      </c>
      <c r="AT61" s="27"/>
      <c r="AU61" s="28"/>
      <c r="AV61" s="27"/>
      <c r="AW61" s="81"/>
    </row>
    <row r="62" spans="1:49" s="45" customFormat="1" ht="15" x14ac:dyDescent="0.25">
      <c r="A62" s="46">
        <v>46126</v>
      </c>
      <c r="B62" s="13"/>
      <c r="C62" s="42" t="s">
        <v>49</v>
      </c>
      <c r="D62" s="42" t="s">
        <v>294</v>
      </c>
      <c r="E62" s="14"/>
      <c r="F62" s="71">
        <v>20387</v>
      </c>
      <c r="G62" s="42" t="s">
        <v>50</v>
      </c>
      <c r="H62" s="31">
        <v>20605377115</v>
      </c>
      <c r="I62" s="138" t="s">
        <v>269</v>
      </c>
      <c r="J62" s="11"/>
      <c r="K62" s="11"/>
      <c r="L62" s="11"/>
      <c r="M62" s="11"/>
      <c r="N62" s="11">
        <v>0</v>
      </c>
      <c r="O62" s="11">
        <v>0</v>
      </c>
      <c r="P62" s="11">
        <v>10</v>
      </c>
      <c r="Q62" s="11"/>
      <c r="R62" s="11"/>
      <c r="S62" s="11">
        <v>10</v>
      </c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33"/>
      <c r="AE62" s="14" t="s">
        <v>262</v>
      </c>
      <c r="AF62" s="19" t="s">
        <v>486</v>
      </c>
      <c r="AG62" s="14"/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487</v>
      </c>
      <c r="AT62" s="14"/>
      <c r="AU62" s="11"/>
      <c r="AV62" s="14"/>
    </row>
    <row r="63" spans="1:49" s="45" customFormat="1" ht="15" x14ac:dyDescent="0.25">
      <c r="A63" s="13">
        <v>46126</v>
      </c>
      <c r="B63" s="13">
        <v>46156</v>
      </c>
      <c r="C63" s="42" t="s">
        <v>49</v>
      </c>
      <c r="D63" s="42" t="s">
        <v>299</v>
      </c>
      <c r="E63" s="14"/>
      <c r="F63" s="71">
        <v>3790519</v>
      </c>
      <c r="G63" s="42" t="s">
        <v>50</v>
      </c>
      <c r="H63" s="31">
        <v>20101973922</v>
      </c>
      <c r="I63" s="138" t="s">
        <v>54</v>
      </c>
      <c r="J63" s="11"/>
      <c r="K63" s="11"/>
      <c r="L63" s="11"/>
      <c r="M63" s="11"/>
      <c r="N63" s="116">
        <v>0</v>
      </c>
      <c r="O63" s="116">
        <v>0</v>
      </c>
      <c r="P63" s="11">
        <v>0</v>
      </c>
      <c r="Q63" s="11"/>
      <c r="R63" s="11">
        <v>66.8</v>
      </c>
      <c r="S63" s="11">
        <v>66.8</v>
      </c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33">
        <v>46156</v>
      </c>
      <c r="AE63" s="34" t="s">
        <v>465</v>
      </c>
      <c r="AF63" s="37" t="s">
        <v>550</v>
      </c>
      <c r="AG63" s="14" t="s">
        <v>513</v>
      </c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566</v>
      </c>
      <c r="AT63" s="14"/>
      <c r="AU63" s="11"/>
      <c r="AV63" s="14"/>
    </row>
    <row r="64" spans="1:49" s="45" customFormat="1" ht="15" x14ac:dyDescent="0.25">
      <c r="A64" s="13">
        <v>46126</v>
      </c>
      <c r="B64" s="13">
        <v>46156</v>
      </c>
      <c r="C64" s="42" t="s">
        <v>49</v>
      </c>
      <c r="D64" s="42" t="s">
        <v>299</v>
      </c>
      <c r="E64" s="14"/>
      <c r="F64" s="71">
        <v>3790520</v>
      </c>
      <c r="G64" s="42" t="s">
        <v>50</v>
      </c>
      <c r="H64" s="31">
        <v>20101973922</v>
      </c>
      <c r="I64" s="138" t="s">
        <v>54</v>
      </c>
      <c r="J64" s="11"/>
      <c r="K64" s="11"/>
      <c r="L64" s="11"/>
      <c r="M64" s="11"/>
      <c r="N64" s="116">
        <v>0</v>
      </c>
      <c r="O64" s="116">
        <v>0</v>
      </c>
      <c r="P64" s="11">
        <v>0</v>
      </c>
      <c r="Q64" s="11"/>
      <c r="R64" s="11">
        <v>66.8</v>
      </c>
      <c r="S64" s="11">
        <v>66.8</v>
      </c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33">
        <v>46156</v>
      </c>
      <c r="AE64" s="34" t="s">
        <v>465</v>
      </c>
      <c r="AF64" s="37" t="s">
        <v>550</v>
      </c>
      <c r="AG64" s="14" t="s">
        <v>513</v>
      </c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566</v>
      </c>
      <c r="AT64" s="14"/>
      <c r="AU64" s="11"/>
      <c r="AV64" s="14"/>
    </row>
    <row r="65" spans="1:49" s="45" customFormat="1" ht="15" x14ac:dyDescent="0.25">
      <c r="A65" s="13">
        <v>46126</v>
      </c>
      <c r="B65" s="13">
        <v>46156</v>
      </c>
      <c r="C65" s="42" t="s">
        <v>49</v>
      </c>
      <c r="D65" s="42" t="s">
        <v>299</v>
      </c>
      <c r="E65" s="14"/>
      <c r="F65" s="71">
        <v>3790521</v>
      </c>
      <c r="G65" s="42" t="s">
        <v>50</v>
      </c>
      <c r="H65" s="31">
        <v>20101973922</v>
      </c>
      <c r="I65" s="138" t="s">
        <v>54</v>
      </c>
      <c r="J65" s="11"/>
      <c r="K65" s="11"/>
      <c r="L65" s="11"/>
      <c r="M65" s="11"/>
      <c r="N65" s="116">
        <v>0</v>
      </c>
      <c r="O65" s="116">
        <v>0</v>
      </c>
      <c r="P65" s="11">
        <v>0</v>
      </c>
      <c r="Q65" s="11"/>
      <c r="R65" s="11">
        <v>66.8</v>
      </c>
      <c r="S65" s="11">
        <v>66.8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33">
        <v>46156</v>
      </c>
      <c r="AE65" s="34" t="s">
        <v>465</v>
      </c>
      <c r="AF65" s="37" t="s">
        <v>550</v>
      </c>
      <c r="AG65" s="14" t="s">
        <v>513</v>
      </c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566</v>
      </c>
      <c r="AT65" s="14"/>
      <c r="AU65" s="11"/>
      <c r="AV65" s="14"/>
    </row>
    <row r="66" spans="1:49" s="45" customFormat="1" ht="15" x14ac:dyDescent="0.25">
      <c r="A66" s="13">
        <v>46126</v>
      </c>
      <c r="B66" s="13">
        <v>46156</v>
      </c>
      <c r="C66" s="42" t="s">
        <v>49</v>
      </c>
      <c r="D66" s="42" t="s">
        <v>299</v>
      </c>
      <c r="E66" s="14"/>
      <c r="F66" s="71">
        <v>3790522</v>
      </c>
      <c r="G66" s="42" t="s">
        <v>50</v>
      </c>
      <c r="H66" s="31">
        <v>20101973922</v>
      </c>
      <c r="I66" s="138" t="s">
        <v>54</v>
      </c>
      <c r="J66" s="11"/>
      <c r="K66" s="11"/>
      <c r="L66" s="11"/>
      <c r="M66" s="11"/>
      <c r="N66" s="116">
        <v>0</v>
      </c>
      <c r="O66" s="116">
        <v>0</v>
      </c>
      <c r="P66" s="11">
        <v>0</v>
      </c>
      <c r="Q66" s="11"/>
      <c r="R66" s="11">
        <v>66.8</v>
      </c>
      <c r="S66" s="11">
        <v>66.8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>
        <v>46156</v>
      </c>
      <c r="AE66" s="34" t="s">
        <v>465</v>
      </c>
      <c r="AF66" s="37" t="s">
        <v>550</v>
      </c>
      <c r="AG66" s="14" t="s">
        <v>513</v>
      </c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566</v>
      </c>
      <c r="AT66" s="14"/>
      <c r="AU66" s="11"/>
      <c r="AV66" s="14"/>
    </row>
    <row r="67" spans="1:49" s="45" customFormat="1" ht="15" x14ac:dyDescent="0.25">
      <c r="A67" s="13">
        <v>46126</v>
      </c>
      <c r="B67" s="13">
        <v>46156</v>
      </c>
      <c r="C67" s="42" t="s">
        <v>49</v>
      </c>
      <c r="D67" s="42" t="s">
        <v>299</v>
      </c>
      <c r="E67" s="14"/>
      <c r="F67" s="71">
        <v>3790523</v>
      </c>
      <c r="G67" s="42" t="s">
        <v>50</v>
      </c>
      <c r="H67" s="31">
        <v>20101973922</v>
      </c>
      <c r="I67" s="138" t="s">
        <v>54</v>
      </c>
      <c r="J67" s="11"/>
      <c r="K67" s="11"/>
      <c r="L67" s="11"/>
      <c r="M67" s="11"/>
      <c r="N67" s="116">
        <v>0</v>
      </c>
      <c r="O67" s="116">
        <v>0</v>
      </c>
      <c r="P67" s="11">
        <v>0</v>
      </c>
      <c r="Q67" s="11"/>
      <c r="R67" s="11">
        <v>66.8</v>
      </c>
      <c r="S67" s="11">
        <v>66.8</v>
      </c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33">
        <v>46156</v>
      </c>
      <c r="AE67" s="34" t="s">
        <v>465</v>
      </c>
      <c r="AF67" s="37" t="s">
        <v>550</v>
      </c>
      <c r="AG67" s="14" t="s">
        <v>513</v>
      </c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 t="s">
        <v>566</v>
      </c>
      <c r="AT67" s="14"/>
      <c r="AU67" s="11"/>
      <c r="AV67" s="14"/>
    </row>
    <row r="68" spans="1:49" s="45" customFormat="1" ht="15" x14ac:dyDescent="0.25">
      <c r="A68" s="13">
        <v>46126</v>
      </c>
      <c r="B68" s="13">
        <v>46156</v>
      </c>
      <c r="C68" s="42" t="s">
        <v>49</v>
      </c>
      <c r="D68" s="42" t="s">
        <v>299</v>
      </c>
      <c r="E68" s="14"/>
      <c r="F68" s="71">
        <v>3790524</v>
      </c>
      <c r="G68" s="42" t="s">
        <v>50</v>
      </c>
      <c r="H68" s="31">
        <v>20101973922</v>
      </c>
      <c r="I68" s="138" t="s">
        <v>54</v>
      </c>
      <c r="J68" s="11"/>
      <c r="K68" s="11"/>
      <c r="L68" s="11"/>
      <c r="M68" s="11"/>
      <c r="N68" s="116">
        <v>0</v>
      </c>
      <c r="O68" s="116">
        <v>0</v>
      </c>
      <c r="P68" s="11">
        <v>0</v>
      </c>
      <c r="Q68" s="11"/>
      <c r="R68" s="11">
        <v>66.8</v>
      </c>
      <c r="S68" s="11">
        <v>66.8</v>
      </c>
      <c r="T68" s="14"/>
      <c r="U68" s="14"/>
      <c r="V68" s="13"/>
      <c r="W68" s="15"/>
      <c r="X68" s="13"/>
      <c r="Y68" s="14"/>
      <c r="Z68" s="14"/>
      <c r="AA68" s="14"/>
      <c r="AB68" s="42" t="s">
        <v>224</v>
      </c>
      <c r="AC68" s="11"/>
      <c r="AD68" s="33">
        <v>46156</v>
      </c>
      <c r="AE68" s="34" t="s">
        <v>465</v>
      </c>
      <c r="AF68" s="37" t="s">
        <v>550</v>
      </c>
      <c r="AG68" s="14" t="s">
        <v>513</v>
      </c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566</v>
      </c>
      <c r="AT68" s="14"/>
      <c r="AU68" s="11"/>
      <c r="AV68" s="14"/>
    </row>
    <row r="69" spans="1:49" s="45" customFormat="1" ht="15" x14ac:dyDescent="0.25">
      <c r="A69" s="13">
        <v>46126</v>
      </c>
      <c r="B69" s="13">
        <v>46156</v>
      </c>
      <c r="C69" s="42" t="s">
        <v>49</v>
      </c>
      <c r="D69" s="42" t="s">
        <v>299</v>
      </c>
      <c r="E69" s="14"/>
      <c r="F69" s="71">
        <v>3790525</v>
      </c>
      <c r="G69" s="42" t="s">
        <v>50</v>
      </c>
      <c r="H69" s="31">
        <v>20101973922</v>
      </c>
      <c r="I69" s="138" t="s">
        <v>54</v>
      </c>
      <c r="J69" s="11"/>
      <c r="K69" s="11"/>
      <c r="L69" s="11"/>
      <c r="M69" s="11"/>
      <c r="N69" s="116">
        <v>0</v>
      </c>
      <c r="O69" s="116">
        <v>0</v>
      </c>
      <c r="P69" s="11">
        <v>0</v>
      </c>
      <c r="Q69" s="11"/>
      <c r="R69" s="11">
        <v>66.8</v>
      </c>
      <c r="S69" s="11">
        <v>66.8</v>
      </c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33">
        <v>46156</v>
      </c>
      <c r="AE69" s="34" t="s">
        <v>465</v>
      </c>
      <c r="AF69" s="37" t="s">
        <v>550</v>
      </c>
      <c r="AG69" s="14" t="s">
        <v>513</v>
      </c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566</v>
      </c>
      <c r="AT69" s="14"/>
      <c r="AU69" s="11"/>
      <c r="AV69" s="14"/>
    </row>
    <row r="70" spans="1:49" s="45" customFormat="1" ht="15" x14ac:dyDescent="0.25">
      <c r="A70" s="13">
        <v>46126</v>
      </c>
      <c r="B70" s="13">
        <v>46156</v>
      </c>
      <c r="C70" s="42" t="s">
        <v>49</v>
      </c>
      <c r="D70" s="42" t="s">
        <v>299</v>
      </c>
      <c r="E70" s="14"/>
      <c r="F70" s="71">
        <v>3790526</v>
      </c>
      <c r="G70" s="42" t="s">
        <v>50</v>
      </c>
      <c r="H70" s="31">
        <v>20101973922</v>
      </c>
      <c r="I70" s="138" t="s">
        <v>54</v>
      </c>
      <c r="J70" s="11"/>
      <c r="K70" s="11"/>
      <c r="L70" s="11"/>
      <c r="M70" s="11"/>
      <c r="N70" s="116">
        <v>0</v>
      </c>
      <c r="O70" s="116">
        <v>0</v>
      </c>
      <c r="P70" s="11">
        <v>0</v>
      </c>
      <c r="Q70" s="11"/>
      <c r="R70" s="11">
        <v>66.8</v>
      </c>
      <c r="S70" s="11">
        <v>66.8</v>
      </c>
      <c r="T70" s="14"/>
      <c r="U70" s="14"/>
      <c r="V70" s="13"/>
      <c r="W70" s="15"/>
      <c r="X70" s="13"/>
      <c r="Y70" s="14"/>
      <c r="Z70" s="14"/>
      <c r="AA70" s="14"/>
      <c r="AB70" s="42" t="s">
        <v>224</v>
      </c>
      <c r="AC70" s="11"/>
      <c r="AD70" s="33">
        <v>46156</v>
      </c>
      <c r="AE70" s="34" t="s">
        <v>465</v>
      </c>
      <c r="AF70" s="37" t="s">
        <v>550</v>
      </c>
      <c r="AG70" s="14" t="s">
        <v>513</v>
      </c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566</v>
      </c>
      <c r="AT70" s="14"/>
      <c r="AU70" s="11"/>
      <c r="AV70" s="14"/>
    </row>
    <row r="71" spans="1:49" s="45" customFormat="1" ht="15" x14ac:dyDescent="0.25">
      <c r="A71" s="13">
        <v>46126</v>
      </c>
      <c r="B71" s="13">
        <v>46156</v>
      </c>
      <c r="C71" s="42" t="s">
        <v>49</v>
      </c>
      <c r="D71" s="42" t="s">
        <v>299</v>
      </c>
      <c r="E71" s="14"/>
      <c r="F71" s="71">
        <v>3790527</v>
      </c>
      <c r="G71" s="42" t="s">
        <v>50</v>
      </c>
      <c r="H71" s="31">
        <v>20101973922</v>
      </c>
      <c r="I71" s="138" t="s">
        <v>54</v>
      </c>
      <c r="J71" s="11"/>
      <c r="K71" s="11"/>
      <c r="L71" s="11"/>
      <c r="M71" s="11"/>
      <c r="N71" s="116">
        <v>0</v>
      </c>
      <c r="O71" s="116">
        <v>0</v>
      </c>
      <c r="P71" s="11">
        <v>0</v>
      </c>
      <c r="Q71" s="11"/>
      <c r="R71" s="11">
        <v>66.8</v>
      </c>
      <c r="S71" s="11">
        <v>66.8</v>
      </c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33">
        <v>46156</v>
      </c>
      <c r="AE71" s="34" t="s">
        <v>465</v>
      </c>
      <c r="AF71" s="37" t="s">
        <v>550</v>
      </c>
      <c r="AG71" s="14" t="s">
        <v>513</v>
      </c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566</v>
      </c>
      <c r="AT71" s="14"/>
      <c r="AU71" s="11"/>
      <c r="AV71" s="14"/>
    </row>
    <row r="72" spans="1:49" s="45" customFormat="1" ht="15" x14ac:dyDescent="0.25">
      <c r="A72" s="13">
        <v>46126</v>
      </c>
      <c r="B72" s="13">
        <v>46156</v>
      </c>
      <c r="C72" s="42" t="s">
        <v>49</v>
      </c>
      <c r="D72" s="42" t="s">
        <v>299</v>
      </c>
      <c r="E72" s="14"/>
      <c r="F72" s="71">
        <v>3790528</v>
      </c>
      <c r="G72" s="42" t="s">
        <v>50</v>
      </c>
      <c r="H72" s="31">
        <v>20101973922</v>
      </c>
      <c r="I72" s="138" t="s">
        <v>54</v>
      </c>
      <c r="J72" s="11"/>
      <c r="K72" s="11"/>
      <c r="L72" s="11"/>
      <c r="M72" s="11"/>
      <c r="N72" s="116">
        <v>0</v>
      </c>
      <c r="O72" s="116">
        <v>0</v>
      </c>
      <c r="P72" s="11">
        <v>0</v>
      </c>
      <c r="Q72" s="11"/>
      <c r="R72" s="11">
        <v>66.8</v>
      </c>
      <c r="S72" s="11">
        <v>66.8</v>
      </c>
      <c r="T72" s="14"/>
      <c r="U72" s="14"/>
      <c r="V72" s="13"/>
      <c r="W72" s="15"/>
      <c r="X72" s="13"/>
      <c r="Y72" s="14"/>
      <c r="Z72" s="14"/>
      <c r="AA72" s="14"/>
      <c r="AB72" s="42" t="s">
        <v>224</v>
      </c>
      <c r="AC72" s="11"/>
      <c r="AD72" s="33">
        <v>46156</v>
      </c>
      <c r="AE72" s="34" t="s">
        <v>465</v>
      </c>
      <c r="AF72" s="37" t="s">
        <v>550</v>
      </c>
      <c r="AG72" s="14" t="s">
        <v>513</v>
      </c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566</v>
      </c>
      <c r="AT72" s="14"/>
      <c r="AU72" s="11"/>
      <c r="AV72" s="14"/>
    </row>
    <row r="73" spans="1:49" s="45" customFormat="1" ht="15" x14ac:dyDescent="0.25">
      <c r="A73" s="13">
        <v>46126</v>
      </c>
      <c r="B73" s="13">
        <v>46156</v>
      </c>
      <c r="C73" s="42" t="s">
        <v>49</v>
      </c>
      <c r="D73" s="42" t="s">
        <v>299</v>
      </c>
      <c r="E73" s="14"/>
      <c r="F73" s="71">
        <v>3790529</v>
      </c>
      <c r="G73" s="42" t="s">
        <v>50</v>
      </c>
      <c r="H73" s="31">
        <v>20101973922</v>
      </c>
      <c r="I73" s="138" t="s">
        <v>54</v>
      </c>
      <c r="J73" s="11"/>
      <c r="K73" s="11"/>
      <c r="L73" s="11"/>
      <c r="M73" s="11"/>
      <c r="N73" s="116">
        <v>0</v>
      </c>
      <c r="O73" s="116">
        <v>0</v>
      </c>
      <c r="P73" s="11">
        <v>0</v>
      </c>
      <c r="Q73" s="11"/>
      <c r="R73" s="11">
        <v>66.8</v>
      </c>
      <c r="S73" s="11">
        <v>66.8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>
        <v>46156</v>
      </c>
      <c r="AE73" s="34" t="s">
        <v>465</v>
      </c>
      <c r="AF73" s="37" t="s">
        <v>550</v>
      </c>
      <c r="AG73" s="14" t="s">
        <v>513</v>
      </c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566</v>
      </c>
      <c r="AT73" s="14"/>
      <c r="AU73" s="11"/>
      <c r="AV73" s="14"/>
    </row>
    <row r="74" spans="1:49" s="45" customFormat="1" ht="15.75" customHeight="1" x14ac:dyDescent="0.25">
      <c r="A74" s="13">
        <v>46126</v>
      </c>
      <c r="B74" s="13">
        <v>46156</v>
      </c>
      <c r="C74" s="42" t="s">
        <v>49</v>
      </c>
      <c r="D74" s="42" t="s">
        <v>299</v>
      </c>
      <c r="E74" s="14"/>
      <c r="F74" s="71">
        <v>3790530</v>
      </c>
      <c r="G74" s="42" t="s">
        <v>50</v>
      </c>
      <c r="H74" s="31">
        <v>20101973922</v>
      </c>
      <c r="I74" s="138" t="s">
        <v>54</v>
      </c>
      <c r="J74" s="11"/>
      <c r="K74" s="11"/>
      <c r="L74" s="11"/>
      <c r="M74" s="11"/>
      <c r="N74" s="116">
        <v>0</v>
      </c>
      <c r="O74" s="116">
        <v>0</v>
      </c>
      <c r="P74" s="11">
        <v>0</v>
      </c>
      <c r="Q74" s="11"/>
      <c r="R74" s="11">
        <v>66.8</v>
      </c>
      <c r="S74" s="11">
        <v>66.8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33">
        <v>46156</v>
      </c>
      <c r="AE74" s="34" t="s">
        <v>465</v>
      </c>
      <c r="AF74" s="37" t="s">
        <v>550</v>
      </c>
      <c r="AG74" s="14" t="s">
        <v>513</v>
      </c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566</v>
      </c>
      <c r="AT74" s="14"/>
      <c r="AU74" s="11"/>
      <c r="AV74" s="14"/>
    </row>
    <row r="75" spans="1:49" s="45" customFormat="1" ht="15" x14ac:dyDescent="0.25">
      <c r="A75" s="13">
        <v>46126</v>
      </c>
      <c r="B75" s="13">
        <v>46156</v>
      </c>
      <c r="C75" s="42" t="s">
        <v>49</v>
      </c>
      <c r="D75" s="42" t="s">
        <v>299</v>
      </c>
      <c r="E75" s="14"/>
      <c r="F75" s="71">
        <v>3790531</v>
      </c>
      <c r="G75" s="42" t="s">
        <v>50</v>
      </c>
      <c r="H75" s="31">
        <v>20101973922</v>
      </c>
      <c r="I75" s="138" t="s">
        <v>54</v>
      </c>
      <c r="J75" s="11"/>
      <c r="K75" s="11"/>
      <c r="L75" s="11"/>
      <c r="M75" s="11"/>
      <c r="N75" s="116">
        <v>0</v>
      </c>
      <c r="O75" s="116">
        <v>0</v>
      </c>
      <c r="P75" s="11">
        <v>0</v>
      </c>
      <c r="Q75" s="11"/>
      <c r="R75" s="11">
        <v>66.8</v>
      </c>
      <c r="S75" s="11">
        <v>66.8</v>
      </c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>
        <v>46156</v>
      </c>
      <c r="AE75" s="34" t="s">
        <v>465</v>
      </c>
      <c r="AF75" s="37" t="s">
        <v>550</v>
      </c>
      <c r="AG75" s="14" t="s">
        <v>513</v>
      </c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566</v>
      </c>
      <c r="AT75" s="14"/>
      <c r="AU75" s="11"/>
      <c r="AV75" s="14"/>
    </row>
    <row r="76" spans="1:49" s="45" customFormat="1" ht="15" x14ac:dyDescent="0.25">
      <c r="A76" s="13">
        <v>46126</v>
      </c>
      <c r="B76" s="13">
        <v>46156</v>
      </c>
      <c r="C76" s="42" t="s">
        <v>49</v>
      </c>
      <c r="D76" s="42" t="s">
        <v>299</v>
      </c>
      <c r="E76" s="14"/>
      <c r="F76" s="71">
        <v>3790532</v>
      </c>
      <c r="G76" s="42" t="s">
        <v>50</v>
      </c>
      <c r="H76" s="31">
        <v>20101973922</v>
      </c>
      <c r="I76" s="138" t="s">
        <v>54</v>
      </c>
      <c r="J76" s="11"/>
      <c r="K76" s="11"/>
      <c r="L76" s="11"/>
      <c r="M76" s="11"/>
      <c r="N76" s="116">
        <v>0</v>
      </c>
      <c r="O76" s="116">
        <v>0</v>
      </c>
      <c r="P76" s="11">
        <v>0</v>
      </c>
      <c r="Q76" s="11"/>
      <c r="R76" s="11">
        <v>66.8</v>
      </c>
      <c r="S76" s="11">
        <v>66.8</v>
      </c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>
        <v>46156</v>
      </c>
      <c r="AE76" s="34" t="s">
        <v>465</v>
      </c>
      <c r="AF76" s="37" t="s">
        <v>550</v>
      </c>
      <c r="AG76" s="14" t="s">
        <v>513</v>
      </c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566</v>
      </c>
      <c r="AT76" s="14"/>
      <c r="AU76" s="11"/>
      <c r="AV76" s="14"/>
    </row>
    <row r="77" spans="1:49" s="121" customFormat="1" ht="15" x14ac:dyDescent="0.25">
      <c r="A77" s="13">
        <v>46126</v>
      </c>
      <c r="B77" s="13">
        <v>46156</v>
      </c>
      <c r="C77" s="42" t="s">
        <v>49</v>
      </c>
      <c r="D77" s="42" t="s">
        <v>299</v>
      </c>
      <c r="E77" s="14"/>
      <c r="F77" s="71">
        <v>3790533</v>
      </c>
      <c r="G77" s="42" t="s">
        <v>50</v>
      </c>
      <c r="H77" s="31">
        <v>20101973922</v>
      </c>
      <c r="I77" s="138" t="s">
        <v>54</v>
      </c>
      <c r="J77" s="11"/>
      <c r="K77" s="11"/>
      <c r="L77" s="11"/>
      <c r="M77" s="11"/>
      <c r="N77" s="116">
        <v>0</v>
      </c>
      <c r="O77" s="116">
        <v>0</v>
      </c>
      <c r="P77" s="11">
        <v>0</v>
      </c>
      <c r="Q77" s="11"/>
      <c r="R77" s="11">
        <v>66.8</v>
      </c>
      <c r="S77" s="11">
        <v>66.8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>
        <v>46156</v>
      </c>
      <c r="AE77" s="34" t="s">
        <v>465</v>
      </c>
      <c r="AF77" s="37" t="s">
        <v>550</v>
      </c>
      <c r="AG77" s="14" t="s">
        <v>513</v>
      </c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566</v>
      </c>
      <c r="AT77" s="14"/>
      <c r="AU77" s="11"/>
      <c r="AV77" s="14"/>
      <c r="AW77" s="45"/>
    </row>
    <row r="78" spans="1:49" s="45" customFormat="1" ht="15" x14ac:dyDescent="0.25">
      <c r="A78" s="13">
        <v>46126</v>
      </c>
      <c r="B78" s="13">
        <v>46156</v>
      </c>
      <c r="C78" s="42" t="s">
        <v>49</v>
      </c>
      <c r="D78" s="42" t="s">
        <v>299</v>
      </c>
      <c r="E78" s="14"/>
      <c r="F78" s="71">
        <v>3790534</v>
      </c>
      <c r="G78" s="42" t="s">
        <v>50</v>
      </c>
      <c r="H78" s="31">
        <v>20101973922</v>
      </c>
      <c r="I78" s="138" t="s">
        <v>54</v>
      </c>
      <c r="J78" s="11"/>
      <c r="K78" s="11"/>
      <c r="L78" s="11"/>
      <c r="M78" s="11"/>
      <c r="N78" s="116">
        <v>0</v>
      </c>
      <c r="O78" s="116">
        <v>0</v>
      </c>
      <c r="P78" s="11">
        <v>0</v>
      </c>
      <c r="Q78" s="11"/>
      <c r="R78" s="11">
        <v>66.8</v>
      </c>
      <c r="S78" s="11">
        <v>66.8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>
        <v>46156</v>
      </c>
      <c r="AE78" s="34" t="s">
        <v>465</v>
      </c>
      <c r="AF78" s="37" t="s">
        <v>550</v>
      </c>
      <c r="AG78" s="14" t="s">
        <v>513</v>
      </c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 t="s">
        <v>566</v>
      </c>
      <c r="AT78" s="14"/>
      <c r="AU78" s="11"/>
      <c r="AV78" s="14"/>
    </row>
    <row r="79" spans="1:49" s="45" customFormat="1" ht="15" x14ac:dyDescent="0.25">
      <c r="A79" s="13">
        <v>46126</v>
      </c>
      <c r="B79" s="13">
        <v>46156</v>
      </c>
      <c r="C79" s="42" t="s">
        <v>49</v>
      </c>
      <c r="D79" s="42" t="s">
        <v>299</v>
      </c>
      <c r="E79" s="14"/>
      <c r="F79" s="71">
        <v>3790535</v>
      </c>
      <c r="G79" s="42" t="s">
        <v>50</v>
      </c>
      <c r="H79" s="31">
        <v>20101973922</v>
      </c>
      <c r="I79" s="138" t="s">
        <v>54</v>
      </c>
      <c r="J79" s="11"/>
      <c r="K79" s="11"/>
      <c r="L79" s="11"/>
      <c r="M79" s="11"/>
      <c r="N79" s="116">
        <v>0</v>
      </c>
      <c r="O79" s="116">
        <v>0</v>
      </c>
      <c r="P79" s="11">
        <v>0</v>
      </c>
      <c r="Q79" s="11"/>
      <c r="R79" s="11">
        <v>66.8</v>
      </c>
      <c r="S79" s="11">
        <v>66.8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>
        <v>46156</v>
      </c>
      <c r="AE79" s="34" t="s">
        <v>465</v>
      </c>
      <c r="AF79" s="37" t="s">
        <v>550</v>
      </c>
      <c r="AG79" s="14" t="s">
        <v>513</v>
      </c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566</v>
      </c>
      <c r="AT79" s="14"/>
      <c r="AU79" s="11"/>
      <c r="AV79" s="14"/>
    </row>
    <row r="80" spans="1:49" s="45" customFormat="1" ht="15" x14ac:dyDescent="0.25">
      <c r="A80" s="109">
        <v>46126</v>
      </c>
      <c r="B80" s="109">
        <v>46156</v>
      </c>
      <c r="C80" s="111" t="s">
        <v>49</v>
      </c>
      <c r="D80" s="111" t="s">
        <v>299</v>
      </c>
      <c r="E80" s="112"/>
      <c r="F80" s="113">
        <v>3790536</v>
      </c>
      <c r="G80" s="111" t="s">
        <v>50</v>
      </c>
      <c r="H80" s="114">
        <v>20101973922</v>
      </c>
      <c r="I80" s="139" t="s">
        <v>54</v>
      </c>
      <c r="J80" s="116"/>
      <c r="K80" s="116"/>
      <c r="L80" s="116"/>
      <c r="M80" s="116"/>
      <c r="N80" s="116">
        <v>0</v>
      </c>
      <c r="O80" s="116">
        <v>0</v>
      </c>
      <c r="P80" s="11">
        <v>0</v>
      </c>
      <c r="Q80" s="11"/>
      <c r="R80" s="11">
        <v>66.8</v>
      </c>
      <c r="S80" s="11">
        <v>66.8</v>
      </c>
      <c r="T80" s="112"/>
      <c r="U80" s="112"/>
      <c r="V80" s="109"/>
      <c r="W80" s="118"/>
      <c r="X80" s="109"/>
      <c r="Y80" s="112"/>
      <c r="Z80" s="112"/>
      <c r="AA80" s="112"/>
      <c r="AB80" s="111" t="s">
        <v>224</v>
      </c>
      <c r="AC80" s="116"/>
      <c r="AD80" s="33">
        <v>46156</v>
      </c>
      <c r="AE80" s="127" t="s">
        <v>465</v>
      </c>
      <c r="AF80" s="128" t="s">
        <v>550</v>
      </c>
      <c r="AG80" s="112" t="s">
        <v>513</v>
      </c>
      <c r="AH80" s="112" t="s">
        <v>225</v>
      </c>
      <c r="AI80" s="112"/>
      <c r="AJ80" s="112"/>
      <c r="AK80" s="120"/>
      <c r="AL80" s="116"/>
      <c r="AM80" s="116"/>
      <c r="AN80" s="112"/>
      <c r="AO80" s="112"/>
      <c r="AP80" s="109"/>
      <c r="AQ80" s="112"/>
      <c r="AR80" s="116">
        <v>18</v>
      </c>
      <c r="AS80" s="112" t="s">
        <v>566</v>
      </c>
      <c r="AT80" s="112"/>
      <c r="AU80" s="116"/>
      <c r="AV80" s="112"/>
      <c r="AW80" s="121"/>
    </row>
    <row r="81" spans="1:49" s="45" customFormat="1" ht="15" x14ac:dyDescent="0.25">
      <c r="A81" s="46">
        <v>46127</v>
      </c>
      <c r="B81" s="13">
        <v>46157</v>
      </c>
      <c r="C81" s="42" t="s">
        <v>49</v>
      </c>
      <c r="D81" s="42" t="s">
        <v>544</v>
      </c>
      <c r="E81" s="14"/>
      <c r="F81" s="71">
        <v>601369</v>
      </c>
      <c r="G81" s="42" t="s">
        <v>50</v>
      </c>
      <c r="H81" s="31">
        <v>20100047218</v>
      </c>
      <c r="I81" s="138" t="s">
        <v>354</v>
      </c>
      <c r="J81" s="11"/>
      <c r="K81" s="11"/>
      <c r="L81" s="11"/>
      <c r="M81" s="11"/>
      <c r="N81" s="11">
        <v>0</v>
      </c>
      <c r="O81" s="11">
        <v>0</v>
      </c>
      <c r="P81" s="11">
        <v>5503.5</v>
      </c>
      <c r="Q81" s="11"/>
      <c r="R81" s="11"/>
      <c r="S81" s="11">
        <v>5503.5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109">
        <v>46157</v>
      </c>
      <c r="AE81" s="14" t="s">
        <v>465</v>
      </c>
      <c r="AF81" s="19" t="s">
        <v>494</v>
      </c>
      <c r="AG81" s="14"/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668</v>
      </c>
      <c r="AT81" s="14"/>
      <c r="AU81" s="11"/>
      <c r="AV81" s="14"/>
    </row>
    <row r="82" spans="1:49" s="45" customFormat="1" ht="15" x14ac:dyDescent="0.25">
      <c r="A82" s="46">
        <v>46127</v>
      </c>
      <c r="B82" s="13">
        <v>46157</v>
      </c>
      <c r="C82" s="42" t="s">
        <v>49</v>
      </c>
      <c r="D82" s="42" t="s">
        <v>301</v>
      </c>
      <c r="E82" s="14"/>
      <c r="F82" s="71">
        <v>566</v>
      </c>
      <c r="G82" s="42" t="s">
        <v>50</v>
      </c>
      <c r="H82" s="31">
        <v>20602109225</v>
      </c>
      <c r="I82" s="138" t="s">
        <v>443</v>
      </c>
      <c r="J82" s="11"/>
      <c r="K82" s="11"/>
      <c r="L82" s="11"/>
      <c r="M82" s="11"/>
      <c r="N82" s="11">
        <v>0</v>
      </c>
      <c r="O82" s="11">
        <v>0</v>
      </c>
      <c r="P82" s="11">
        <v>120</v>
      </c>
      <c r="Q82" s="11"/>
      <c r="R82" s="11"/>
      <c r="S82" s="11">
        <v>120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13">
        <v>46157</v>
      </c>
      <c r="AE82" s="34" t="s">
        <v>465</v>
      </c>
      <c r="AF82" s="37" t="s">
        <v>696</v>
      </c>
      <c r="AG82" s="14" t="s">
        <v>513</v>
      </c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669</v>
      </c>
      <c r="AT82" s="14"/>
      <c r="AU82" s="11"/>
      <c r="AV82" s="14"/>
    </row>
    <row r="83" spans="1:49" s="45" customFormat="1" ht="15" x14ac:dyDescent="0.25">
      <c r="A83" s="46">
        <v>46127</v>
      </c>
      <c r="B83" s="13"/>
      <c r="C83" s="42" t="s">
        <v>49</v>
      </c>
      <c r="D83" s="42" t="s">
        <v>444</v>
      </c>
      <c r="E83" s="14"/>
      <c r="F83" s="71">
        <v>853</v>
      </c>
      <c r="G83" s="42" t="s">
        <v>50</v>
      </c>
      <c r="H83" s="31">
        <v>20611526572</v>
      </c>
      <c r="I83" s="138" t="s">
        <v>445</v>
      </c>
      <c r="J83" s="11"/>
      <c r="K83" s="11"/>
      <c r="L83" s="11"/>
      <c r="M83" s="11"/>
      <c r="N83" s="11">
        <v>0</v>
      </c>
      <c r="O83" s="11">
        <v>0</v>
      </c>
      <c r="P83" s="11">
        <v>90.9</v>
      </c>
      <c r="Q83" s="11"/>
      <c r="R83" s="11"/>
      <c r="S83" s="11">
        <v>90.9</v>
      </c>
      <c r="T83" s="14"/>
      <c r="U83" s="14"/>
      <c r="V83" s="13"/>
      <c r="W83" s="15"/>
      <c r="X83" s="13"/>
      <c r="Y83" s="14"/>
      <c r="Z83" s="14"/>
      <c r="AA83" s="14"/>
      <c r="AB83" s="42" t="s">
        <v>224</v>
      </c>
      <c r="AC83" s="11"/>
      <c r="AD83" s="13"/>
      <c r="AE83" s="14" t="s">
        <v>262</v>
      </c>
      <c r="AF83" s="19" t="s">
        <v>515</v>
      </c>
      <c r="AG83" s="14"/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670</v>
      </c>
      <c r="AT83" s="14"/>
      <c r="AU83" s="11"/>
      <c r="AV83" s="14"/>
    </row>
    <row r="84" spans="1:49" s="45" customFormat="1" ht="15" x14ac:dyDescent="0.25">
      <c r="A84" s="46">
        <v>46127</v>
      </c>
      <c r="B84" s="13">
        <v>46157</v>
      </c>
      <c r="C84" s="42" t="s">
        <v>49</v>
      </c>
      <c r="D84" s="42" t="s">
        <v>301</v>
      </c>
      <c r="E84" s="14"/>
      <c r="F84" s="71">
        <v>17768</v>
      </c>
      <c r="G84" s="42" t="s">
        <v>50</v>
      </c>
      <c r="H84" s="31">
        <v>20493508645</v>
      </c>
      <c r="I84" s="138" t="s">
        <v>52</v>
      </c>
      <c r="J84" s="11"/>
      <c r="K84" s="11"/>
      <c r="L84" s="11"/>
      <c r="M84" s="11"/>
      <c r="N84" s="11">
        <v>-1.1864406757413851E-3</v>
      </c>
      <c r="O84" s="11">
        <v>-2.135593216334493E-4</v>
      </c>
      <c r="P84" s="11">
        <v>19766.21</v>
      </c>
      <c r="Q84" s="11"/>
      <c r="R84" s="11"/>
      <c r="S84" s="11">
        <v>19766.208600000002</v>
      </c>
      <c r="T84" s="14"/>
      <c r="U84" s="14"/>
      <c r="V84" s="13"/>
      <c r="W84" s="15">
        <v>3.39</v>
      </c>
      <c r="X84" s="13"/>
      <c r="Y84" s="14"/>
      <c r="Z84" s="14"/>
      <c r="AA84" s="14"/>
      <c r="AB84" s="42" t="s">
        <v>383</v>
      </c>
      <c r="AC84" s="11">
        <v>5830.74</v>
      </c>
      <c r="AD84" s="13">
        <v>46157</v>
      </c>
      <c r="AE84" s="34" t="s">
        <v>465</v>
      </c>
      <c r="AF84" s="19" t="s">
        <v>532</v>
      </c>
      <c r="AG84" s="14"/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201</v>
      </c>
      <c r="AT84" s="14"/>
      <c r="AU84" s="11"/>
      <c r="AV84" s="14"/>
    </row>
    <row r="85" spans="1:49" s="45" customFormat="1" ht="15" x14ac:dyDescent="0.25">
      <c r="A85" s="46">
        <v>46127</v>
      </c>
      <c r="B85" s="13">
        <v>46157</v>
      </c>
      <c r="C85" s="42" t="s">
        <v>49</v>
      </c>
      <c r="D85" s="42" t="s">
        <v>292</v>
      </c>
      <c r="E85" s="14"/>
      <c r="F85" s="71">
        <v>210</v>
      </c>
      <c r="G85" s="42" t="s">
        <v>50</v>
      </c>
      <c r="H85" s="31">
        <v>10447422951</v>
      </c>
      <c r="I85" s="138" t="s">
        <v>293</v>
      </c>
      <c r="J85" s="11"/>
      <c r="K85" s="11"/>
      <c r="L85" s="11"/>
      <c r="M85" s="11"/>
      <c r="N85" s="11">
        <v>0</v>
      </c>
      <c r="O85" s="11">
        <v>0</v>
      </c>
      <c r="P85" s="11">
        <v>300</v>
      </c>
      <c r="Q85" s="11"/>
      <c r="R85" s="11"/>
      <c r="S85" s="11">
        <v>300</v>
      </c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>
        <v>46157</v>
      </c>
      <c r="AE85" s="127" t="s">
        <v>465</v>
      </c>
      <c r="AF85" s="119" t="s">
        <v>6466</v>
      </c>
      <c r="AG85" s="112"/>
      <c r="AH85" s="112" t="s">
        <v>225</v>
      </c>
      <c r="AI85" s="112"/>
      <c r="AJ85" s="112"/>
      <c r="AK85" s="120"/>
      <c r="AL85" s="116"/>
      <c r="AM85" s="116"/>
      <c r="AN85" s="112"/>
      <c r="AO85" s="112"/>
      <c r="AP85" s="109"/>
      <c r="AQ85" s="112"/>
      <c r="AR85" s="116">
        <v>18</v>
      </c>
      <c r="AS85" s="112" t="s">
        <v>6467</v>
      </c>
      <c r="AT85" s="14"/>
      <c r="AU85" s="11"/>
      <c r="AV85" s="14"/>
    </row>
    <row r="86" spans="1:49" s="45" customFormat="1" ht="15" x14ac:dyDescent="0.25">
      <c r="A86" s="46">
        <v>46127</v>
      </c>
      <c r="B86" s="13">
        <v>46157</v>
      </c>
      <c r="C86" s="42" t="s">
        <v>49</v>
      </c>
      <c r="D86" s="42" t="s">
        <v>567</v>
      </c>
      <c r="E86" s="14"/>
      <c r="F86" s="71">
        <v>11447</v>
      </c>
      <c r="G86" s="42" t="s">
        <v>50</v>
      </c>
      <c r="H86" s="31">
        <v>20485981536</v>
      </c>
      <c r="I86" s="138" t="s">
        <v>102</v>
      </c>
      <c r="J86" s="11"/>
      <c r="K86" s="11"/>
      <c r="L86" s="11"/>
      <c r="M86" s="11"/>
      <c r="N86" s="11">
        <v>0</v>
      </c>
      <c r="O86" s="11">
        <v>0</v>
      </c>
      <c r="P86" s="11">
        <v>0</v>
      </c>
      <c r="Q86" s="11"/>
      <c r="R86" s="11">
        <v>40</v>
      </c>
      <c r="S86" s="11">
        <v>40</v>
      </c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33">
        <v>46157</v>
      </c>
      <c r="AE86" s="14" t="s">
        <v>465</v>
      </c>
      <c r="AF86" s="37" t="s">
        <v>597</v>
      </c>
      <c r="AG86" s="14" t="s">
        <v>513</v>
      </c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671</v>
      </c>
      <c r="AT86" s="14"/>
      <c r="AU86" s="11"/>
      <c r="AV86" s="14"/>
    </row>
    <row r="87" spans="1:49" s="45" customFormat="1" ht="15" x14ac:dyDescent="0.25">
      <c r="A87" s="46">
        <v>46127</v>
      </c>
      <c r="B87" s="13">
        <v>46157</v>
      </c>
      <c r="C87" s="42" t="s">
        <v>49</v>
      </c>
      <c r="D87" s="42" t="s">
        <v>292</v>
      </c>
      <c r="E87" s="14"/>
      <c r="F87" s="71">
        <v>430</v>
      </c>
      <c r="G87" s="42" t="s">
        <v>50</v>
      </c>
      <c r="H87" s="31">
        <v>20402406161</v>
      </c>
      <c r="I87" s="138" t="s">
        <v>84</v>
      </c>
      <c r="J87" s="11"/>
      <c r="K87" s="11"/>
      <c r="L87" s="11"/>
      <c r="M87" s="11"/>
      <c r="N87" s="11">
        <v>0</v>
      </c>
      <c r="O87" s="11">
        <v>0</v>
      </c>
      <c r="P87" s="11">
        <v>0</v>
      </c>
      <c r="Q87" s="11"/>
      <c r="R87" s="11">
        <v>40</v>
      </c>
      <c r="S87" s="11">
        <v>40</v>
      </c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33">
        <v>46157</v>
      </c>
      <c r="AE87" s="14" t="s">
        <v>465</v>
      </c>
      <c r="AF87" s="37" t="s">
        <v>597</v>
      </c>
      <c r="AG87" s="14" t="s">
        <v>513</v>
      </c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 t="s">
        <v>671</v>
      </c>
      <c r="AT87" s="14"/>
      <c r="AU87" s="11"/>
      <c r="AV87" s="14"/>
    </row>
    <row r="88" spans="1:49" s="45" customFormat="1" ht="15" x14ac:dyDescent="0.25">
      <c r="A88" s="46">
        <v>46128</v>
      </c>
      <c r="B88" s="13">
        <v>46158</v>
      </c>
      <c r="C88" s="42" t="s">
        <v>49</v>
      </c>
      <c r="D88" s="42" t="s">
        <v>543</v>
      </c>
      <c r="E88" s="14"/>
      <c r="F88" s="71">
        <v>4885</v>
      </c>
      <c r="G88" s="42" t="s">
        <v>50</v>
      </c>
      <c r="H88" s="31">
        <v>20601012261</v>
      </c>
      <c r="I88" s="138" t="s">
        <v>160</v>
      </c>
      <c r="J88" s="11"/>
      <c r="K88" s="11"/>
      <c r="L88" s="11"/>
      <c r="M88" s="11"/>
      <c r="N88" s="11">
        <v>0</v>
      </c>
      <c r="O88" s="11">
        <v>0</v>
      </c>
      <c r="P88" s="11">
        <v>3.4</v>
      </c>
      <c r="Q88" s="11"/>
      <c r="R88" s="11"/>
      <c r="S88" s="11">
        <v>3.4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13">
        <v>46158</v>
      </c>
      <c r="AE88" s="14" t="s">
        <v>465</v>
      </c>
      <c r="AF88" s="19" t="s">
        <v>703</v>
      </c>
      <c r="AG88" s="14"/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673</v>
      </c>
      <c r="AT88" s="14"/>
      <c r="AU88" s="11"/>
      <c r="AV88" s="14"/>
    </row>
    <row r="89" spans="1:49" s="45" customFormat="1" ht="15" x14ac:dyDescent="0.25">
      <c r="A89" s="46">
        <v>46128</v>
      </c>
      <c r="B89" s="13">
        <v>46158</v>
      </c>
      <c r="C89" s="42" t="s">
        <v>49</v>
      </c>
      <c r="D89" s="42" t="s">
        <v>451</v>
      </c>
      <c r="E89" s="14"/>
      <c r="F89" s="71">
        <v>2237</v>
      </c>
      <c r="G89" s="42" t="s">
        <v>50</v>
      </c>
      <c r="H89" s="31">
        <v>20603851171</v>
      </c>
      <c r="I89" s="138" t="s">
        <v>241</v>
      </c>
      <c r="J89" s="11"/>
      <c r="K89" s="11"/>
      <c r="L89" s="11"/>
      <c r="M89" s="11"/>
      <c r="N89" s="11">
        <v>0</v>
      </c>
      <c r="O89" s="11">
        <v>0</v>
      </c>
      <c r="P89" s="11">
        <v>6</v>
      </c>
      <c r="Q89" s="11"/>
      <c r="R89" s="11"/>
      <c r="S89" s="11">
        <v>6</v>
      </c>
      <c r="T89" s="14"/>
      <c r="U89" s="14"/>
      <c r="V89" s="13"/>
      <c r="W89" s="15"/>
      <c r="X89" s="13"/>
      <c r="Y89" s="14"/>
      <c r="Z89" s="14"/>
      <c r="AA89" s="14"/>
      <c r="AB89" s="42" t="s">
        <v>224</v>
      </c>
      <c r="AC89" s="11"/>
      <c r="AD89" s="46">
        <v>46158</v>
      </c>
      <c r="AE89" s="34" t="s">
        <v>465</v>
      </c>
      <c r="AF89" s="19" t="s">
        <v>703</v>
      </c>
      <c r="AG89" s="14"/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698</v>
      </c>
      <c r="AT89" s="14"/>
      <c r="AU89" s="11"/>
      <c r="AV89" s="14"/>
    </row>
    <row r="90" spans="1:49" s="121" customFormat="1" ht="15" x14ac:dyDescent="0.25">
      <c r="A90" s="46">
        <v>46128</v>
      </c>
      <c r="B90" s="13"/>
      <c r="C90" s="42" t="s">
        <v>49</v>
      </c>
      <c r="D90" s="42" t="s">
        <v>294</v>
      </c>
      <c r="E90" s="14"/>
      <c r="F90" s="71">
        <v>740</v>
      </c>
      <c r="G90" s="42" t="s">
        <v>50</v>
      </c>
      <c r="H90" s="31">
        <v>10733910921</v>
      </c>
      <c r="I90" s="138" t="s">
        <v>477</v>
      </c>
      <c r="J90" s="11"/>
      <c r="K90" s="11"/>
      <c r="L90" s="11"/>
      <c r="M90" s="11"/>
      <c r="N90" s="11">
        <v>0</v>
      </c>
      <c r="O90" s="11">
        <v>0</v>
      </c>
      <c r="P90" s="11">
        <v>15</v>
      </c>
      <c r="Q90" s="11"/>
      <c r="R90" s="11"/>
      <c r="S90" s="11">
        <v>15</v>
      </c>
      <c r="T90" s="14"/>
      <c r="U90" s="14"/>
      <c r="V90" s="13"/>
      <c r="W90" s="15"/>
      <c r="X90" s="13"/>
      <c r="Y90" s="14"/>
      <c r="Z90" s="14"/>
      <c r="AA90" s="14"/>
      <c r="AB90" s="42" t="s">
        <v>224</v>
      </c>
      <c r="AC90" s="11"/>
      <c r="AD90" s="33"/>
      <c r="AE90" s="34" t="s">
        <v>262</v>
      </c>
      <c r="AF90" s="37" t="s">
        <v>521</v>
      </c>
      <c r="AG90" s="14"/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674</v>
      </c>
      <c r="AT90" s="14"/>
      <c r="AU90" s="11"/>
      <c r="AV90" s="14"/>
      <c r="AW90" s="45"/>
    </row>
    <row r="91" spans="1:49" s="121" customFormat="1" ht="15" x14ac:dyDescent="0.25">
      <c r="A91" s="46">
        <v>46128</v>
      </c>
      <c r="B91" s="13">
        <v>46158</v>
      </c>
      <c r="C91" s="42" t="s">
        <v>49</v>
      </c>
      <c r="D91" s="42" t="s">
        <v>292</v>
      </c>
      <c r="E91" s="14"/>
      <c r="F91" s="71">
        <v>1698</v>
      </c>
      <c r="G91" s="42" t="s">
        <v>50</v>
      </c>
      <c r="H91" s="31">
        <v>20611910887</v>
      </c>
      <c r="I91" s="138" t="s">
        <v>411</v>
      </c>
      <c r="J91" s="11"/>
      <c r="K91" s="11"/>
      <c r="L91" s="11"/>
      <c r="M91" s="11"/>
      <c r="N91" s="11">
        <v>0</v>
      </c>
      <c r="O91" s="11">
        <v>0</v>
      </c>
      <c r="P91" s="11">
        <v>80</v>
      </c>
      <c r="Q91" s="11"/>
      <c r="R91" s="11"/>
      <c r="S91" s="11">
        <v>80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>
        <v>46158</v>
      </c>
      <c r="AE91" s="34" t="s">
        <v>465</v>
      </c>
      <c r="AF91" s="19" t="s">
        <v>496</v>
      </c>
      <c r="AG91" s="14"/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675</v>
      </c>
      <c r="AT91" s="14"/>
      <c r="AU91" s="11"/>
      <c r="AV91" s="14"/>
      <c r="AW91" s="45"/>
    </row>
    <row r="92" spans="1:49" s="45" customFormat="1" ht="15" x14ac:dyDescent="0.25">
      <c r="A92" s="46">
        <v>46128</v>
      </c>
      <c r="B92" s="13"/>
      <c r="C92" s="42" t="s">
        <v>49</v>
      </c>
      <c r="D92" s="42" t="s">
        <v>543</v>
      </c>
      <c r="E92" s="14"/>
      <c r="F92" s="71">
        <v>4886</v>
      </c>
      <c r="G92" s="42" t="s">
        <v>50</v>
      </c>
      <c r="H92" s="31">
        <v>20601012261</v>
      </c>
      <c r="I92" s="138" t="s">
        <v>160</v>
      </c>
      <c r="J92" s="11"/>
      <c r="K92" s="11"/>
      <c r="L92" s="11"/>
      <c r="M92" s="11"/>
      <c r="N92" s="116">
        <v>0</v>
      </c>
      <c r="O92" s="116">
        <v>0</v>
      </c>
      <c r="P92" s="11">
        <v>0.8</v>
      </c>
      <c r="Q92" s="11"/>
      <c r="R92" s="11"/>
      <c r="S92" s="11">
        <v>0.8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/>
      <c r="AE92" s="34" t="s">
        <v>262</v>
      </c>
      <c r="AF92" s="37" t="s">
        <v>703</v>
      </c>
      <c r="AG92" s="14"/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676</v>
      </c>
      <c r="AT92" s="14"/>
      <c r="AU92" s="11"/>
      <c r="AV92" s="14"/>
    </row>
    <row r="93" spans="1:49" s="45" customFormat="1" ht="15" x14ac:dyDescent="0.25">
      <c r="A93" s="46">
        <v>46129</v>
      </c>
      <c r="B93" s="13">
        <v>46159</v>
      </c>
      <c r="C93" s="42" t="s">
        <v>49</v>
      </c>
      <c r="D93" s="42" t="s">
        <v>441</v>
      </c>
      <c r="E93" s="14"/>
      <c r="F93" s="71">
        <v>45011853</v>
      </c>
      <c r="G93" s="42" t="s">
        <v>50</v>
      </c>
      <c r="H93" s="31">
        <v>20100047218</v>
      </c>
      <c r="I93" s="138" t="s">
        <v>354</v>
      </c>
      <c r="J93" s="11"/>
      <c r="K93" s="11"/>
      <c r="L93" s="11"/>
      <c r="M93" s="11"/>
      <c r="N93" s="11">
        <v>0</v>
      </c>
      <c r="O93" s="11">
        <v>0</v>
      </c>
      <c r="P93" s="11">
        <v>10</v>
      </c>
      <c r="Q93" s="11"/>
      <c r="R93" s="11"/>
      <c r="S93" s="11">
        <v>10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109">
        <v>46159</v>
      </c>
      <c r="AE93" s="14" t="s">
        <v>465</v>
      </c>
      <c r="AF93" s="19" t="s">
        <v>494</v>
      </c>
      <c r="AG93" s="14"/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672</v>
      </c>
      <c r="AT93" s="14"/>
      <c r="AU93" s="11"/>
      <c r="AV93" s="14"/>
    </row>
    <row r="94" spans="1:49" s="45" customFormat="1" ht="15" x14ac:dyDescent="0.25">
      <c r="A94" s="108">
        <v>46129</v>
      </c>
      <c r="B94" s="13"/>
      <c r="C94" s="42" t="s">
        <v>49</v>
      </c>
      <c r="D94" s="42" t="s">
        <v>292</v>
      </c>
      <c r="E94" s="14"/>
      <c r="F94" s="71">
        <v>79</v>
      </c>
      <c r="G94" s="42" t="s">
        <v>50</v>
      </c>
      <c r="H94" s="31">
        <v>10733619207</v>
      </c>
      <c r="I94" s="138" t="s">
        <v>457</v>
      </c>
      <c r="J94" s="11"/>
      <c r="K94" s="11"/>
      <c r="L94" s="11"/>
      <c r="M94" s="11"/>
      <c r="N94" s="11">
        <v>0</v>
      </c>
      <c r="O94" s="11">
        <v>0</v>
      </c>
      <c r="P94" s="11">
        <v>20</v>
      </c>
      <c r="Q94" s="11"/>
      <c r="R94" s="11"/>
      <c r="S94" s="11">
        <v>20</v>
      </c>
      <c r="T94" s="14"/>
      <c r="U94" s="14"/>
      <c r="V94" s="13"/>
      <c r="W94" s="15"/>
      <c r="X94" s="13"/>
      <c r="Y94" s="14"/>
      <c r="Z94" s="14"/>
      <c r="AA94" s="14"/>
      <c r="AB94" s="42" t="s">
        <v>224</v>
      </c>
      <c r="AC94" s="11"/>
      <c r="AD94" s="33"/>
      <c r="AE94" s="34" t="s">
        <v>262</v>
      </c>
      <c r="AF94" s="19" t="s">
        <v>496</v>
      </c>
      <c r="AG94" s="14"/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677</v>
      </c>
      <c r="AT94" s="14"/>
      <c r="AU94" s="11"/>
      <c r="AV94" s="14"/>
    </row>
    <row r="95" spans="1:49" s="45" customFormat="1" ht="15" x14ac:dyDescent="0.25">
      <c r="A95" s="46">
        <v>46129</v>
      </c>
      <c r="B95" s="13">
        <v>46159</v>
      </c>
      <c r="C95" s="42" t="s">
        <v>49</v>
      </c>
      <c r="D95" s="42" t="s">
        <v>301</v>
      </c>
      <c r="E95" s="14"/>
      <c r="F95" s="71">
        <v>17807</v>
      </c>
      <c r="G95" s="42" t="s">
        <v>50</v>
      </c>
      <c r="H95" s="31">
        <v>20493508645</v>
      </c>
      <c r="I95" s="138" t="s">
        <v>52</v>
      </c>
      <c r="J95" s="11"/>
      <c r="K95" s="11"/>
      <c r="L95" s="11"/>
      <c r="M95" s="11"/>
      <c r="N95" s="11">
        <v>-1.7288135603525069E-3</v>
      </c>
      <c r="O95" s="11">
        <v>-3.1118644086345124E-4</v>
      </c>
      <c r="P95" s="11">
        <v>11150.2</v>
      </c>
      <c r="Q95" s="11"/>
      <c r="R95" s="11"/>
      <c r="S95" s="11">
        <v>11150.19796</v>
      </c>
      <c r="T95" s="14"/>
      <c r="U95" s="14"/>
      <c r="V95" s="13"/>
      <c r="W95" s="15">
        <v>3.4359999999999999</v>
      </c>
      <c r="X95" s="13"/>
      <c r="Y95" s="14"/>
      <c r="Z95" s="14"/>
      <c r="AA95" s="14"/>
      <c r="AB95" s="42" t="s">
        <v>383</v>
      </c>
      <c r="AC95" s="11">
        <v>3245.11</v>
      </c>
      <c r="AD95" s="13">
        <v>46159</v>
      </c>
      <c r="AE95" s="34" t="s">
        <v>465</v>
      </c>
      <c r="AF95" s="19" t="s">
        <v>532</v>
      </c>
      <c r="AG95" s="14"/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201</v>
      </c>
      <c r="AT95" s="14"/>
      <c r="AU95" s="11"/>
      <c r="AV95" s="14"/>
    </row>
    <row r="96" spans="1:49" s="45" customFormat="1" ht="15" x14ac:dyDescent="0.25">
      <c r="A96" s="46">
        <v>46129</v>
      </c>
      <c r="B96" s="13">
        <v>46159</v>
      </c>
      <c r="C96" s="42" t="s">
        <v>49</v>
      </c>
      <c r="D96" s="42" t="s">
        <v>301</v>
      </c>
      <c r="E96" s="14"/>
      <c r="F96" s="71">
        <v>17808</v>
      </c>
      <c r="G96" s="42" t="s">
        <v>50</v>
      </c>
      <c r="H96" s="31">
        <v>20493508645</v>
      </c>
      <c r="I96" s="138" t="s">
        <v>52</v>
      </c>
      <c r="J96" s="11"/>
      <c r="K96" s="11"/>
      <c r="L96" s="11"/>
      <c r="M96" s="11"/>
      <c r="N96" s="11">
        <v>-1.7288135603525069E-3</v>
      </c>
      <c r="O96" s="11">
        <v>-3.1118644086345124E-4</v>
      </c>
      <c r="P96" s="11">
        <v>11150.2</v>
      </c>
      <c r="Q96" s="11"/>
      <c r="R96" s="11"/>
      <c r="S96" s="11">
        <v>11150.19796</v>
      </c>
      <c r="T96" s="14"/>
      <c r="U96" s="14"/>
      <c r="V96" s="13"/>
      <c r="W96" s="15">
        <v>3.4359999999999999</v>
      </c>
      <c r="X96" s="13"/>
      <c r="Y96" s="14"/>
      <c r="Z96" s="14"/>
      <c r="AA96" s="14"/>
      <c r="AB96" s="42" t="s">
        <v>383</v>
      </c>
      <c r="AC96" s="11">
        <v>3245.11</v>
      </c>
      <c r="AD96" s="13">
        <v>46159</v>
      </c>
      <c r="AE96" s="34" t="s">
        <v>465</v>
      </c>
      <c r="AF96" s="19" t="s">
        <v>532</v>
      </c>
      <c r="AG96" s="14"/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201</v>
      </c>
      <c r="AT96" s="14"/>
      <c r="AU96" s="11"/>
      <c r="AV96" s="14"/>
    </row>
    <row r="97" spans="1:49" s="45" customFormat="1" ht="15" x14ac:dyDescent="0.25">
      <c r="A97" s="46">
        <v>46129</v>
      </c>
      <c r="B97" s="13">
        <v>46159</v>
      </c>
      <c r="C97" s="42" t="s">
        <v>49</v>
      </c>
      <c r="D97" s="42" t="s">
        <v>441</v>
      </c>
      <c r="E97" s="14"/>
      <c r="F97" s="71">
        <v>45011753</v>
      </c>
      <c r="G97" s="42" t="s">
        <v>50</v>
      </c>
      <c r="H97" s="31">
        <v>20100047218</v>
      </c>
      <c r="I97" s="138" t="s">
        <v>354</v>
      </c>
      <c r="J97" s="11"/>
      <c r="K97" s="11"/>
      <c r="L97" s="11"/>
      <c r="M97" s="11"/>
      <c r="N97" s="11">
        <v>0</v>
      </c>
      <c r="O97" s="11">
        <v>0</v>
      </c>
      <c r="P97" s="11">
        <v>10</v>
      </c>
      <c r="Q97" s="11"/>
      <c r="R97" s="11"/>
      <c r="S97" s="11">
        <v>10</v>
      </c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109">
        <v>46159</v>
      </c>
      <c r="AE97" s="14" t="s">
        <v>465</v>
      </c>
      <c r="AF97" s="19" t="s">
        <v>494</v>
      </c>
      <c r="AG97" s="14"/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672</v>
      </c>
      <c r="AT97" s="14"/>
      <c r="AU97" s="11"/>
      <c r="AV97" s="14"/>
    </row>
    <row r="98" spans="1:49" s="45" customFormat="1" ht="15" x14ac:dyDescent="0.25">
      <c r="A98" s="46">
        <v>46129</v>
      </c>
      <c r="B98" s="13"/>
      <c r="C98" s="42" t="s">
        <v>49</v>
      </c>
      <c r="D98" s="42" t="s">
        <v>294</v>
      </c>
      <c r="E98" s="14"/>
      <c r="F98" s="71">
        <v>12686</v>
      </c>
      <c r="G98" s="42" t="s">
        <v>50</v>
      </c>
      <c r="H98" s="31">
        <v>10209907327</v>
      </c>
      <c r="I98" s="138" t="s">
        <v>107</v>
      </c>
      <c r="J98" s="11"/>
      <c r="K98" s="11"/>
      <c r="L98" s="11"/>
      <c r="M98" s="11"/>
      <c r="N98" s="11">
        <v>0</v>
      </c>
      <c r="O98" s="11">
        <v>0</v>
      </c>
      <c r="P98" s="11">
        <v>10</v>
      </c>
      <c r="Q98" s="11"/>
      <c r="R98" s="11"/>
      <c r="S98" s="11">
        <v>10</v>
      </c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33"/>
      <c r="AE98" s="14" t="s">
        <v>262</v>
      </c>
      <c r="AF98" s="19" t="s">
        <v>486</v>
      </c>
      <c r="AG98" s="14"/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487</v>
      </c>
      <c r="AT98" s="14"/>
      <c r="AU98" s="11"/>
      <c r="AV98" s="14"/>
    </row>
    <row r="99" spans="1:49" s="45" customFormat="1" ht="15" x14ac:dyDescent="0.25">
      <c r="A99" s="46">
        <v>46129</v>
      </c>
      <c r="B99" s="13"/>
      <c r="C99" s="42" t="s">
        <v>49</v>
      </c>
      <c r="D99" s="42" t="s">
        <v>294</v>
      </c>
      <c r="E99" s="14"/>
      <c r="F99" s="71">
        <v>12687</v>
      </c>
      <c r="G99" s="42" t="s">
        <v>50</v>
      </c>
      <c r="H99" s="31">
        <v>10209907327</v>
      </c>
      <c r="I99" s="138" t="s">
        <v>107</v>
      </c>
      <c r="J99" s="11"/>
      <c r="K99" s="11"/>
      <c r="L99" s="11"/>
      <c r="M99" s="11"/>
      <c r="N99" s="11">
        <v>0</v>
      </c>
      <c r="O99" s="11">
        <v>0</v>
      </c>
      <c r="P99" s="11">
        <v>20</v>
      </c>
      <c r="Q99" s="11"/>
      <c r="R99" s="11"/>
      <c r="S99" s="11">
        <v>20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/>
      <c r="AE99" s="14" t="s">
        <v>262</v>
      </c>
      <c r="AF99" s="19" t="s">
        <v>486</v>
      </c>
      <c r="AG99" s="14"/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487</v>
      </c>
      <c r="AT99" s="14"/>
      <c r="AU99" s="11"/>
      <c r="AV99" s="14"/>
    </row>
    <row r="100" spans="1:49" s="45" customFormat="1" ht="15" x14ac:dyDescent="0.25">
      <c r="A100" s="46">
        <v>46129</v>
      </c>
      <c r="B100" s="13"/>
      <c r="C100" s="42" t="s">
        <v>49</v>
      </c>
      <c r="D100" s="42" t="s">
        <v>294</v>
      </c>
      <c r="E100" s="14"/>
      <c r="F100" s="71">
        <v>12688</v>
      </c>
      <c r="G100" s="42" t="s">
        <v>50</v>
      </c>
      <c r="H100" s="31">
        <v>10209907327</v>
      </c>
      <c r="I100" s="138" t="s">
        <v>107</v>
      </c>
      <c r="J100" s="11"/>
      <c r="K100" s="11"/>
      <c r="L100" s="11"/>
      <c r="M100" s="11"/>
      <c r="N100" s="11">
        <v>0</v>
      </c>
      <c r="O100" s="11">
        <v>0</v>
      </c>
      <c r="P100" s="11">
        <v>10</v>
      </c>
      <c r="Q100" s="11"/>
      <c r="R100" s="11"/>
      <c r="S100" s="11">
        <v>10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46"/>
      <c r="AE100" s="14" t="s">
        <v>262</v>
      </c>
      <c r="AF100" s="19" t="s">
        <v>486</v>
      </c>
      <c r="AG100" s="14"/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487</v>
      </c>
      <c r="AT100" s="14"/>
      <c r="AU100" s="11"/>
      <c r="AV100" s="14"/>
    </row>
    <row r="101" spans="1:49" s="45" customFormat="1" ht="15" x14ac:dyDescent="0.25">
      <c r="A101" s="13">
        <v>46130</v>
      </c>
      <c r="B101" s="13">
        <v>46160</v>
      </c>
      <c r="C101" s="42" t="s">
        <v>49</v>
      </c>
      <c r="D101" s="42" t="s">
        <v>294</v>
      </c>
      <c r="E101" s="14"/>
      <c r="F101" s="71">
        <v>5277</v>
      </c>
      <c r="G101" s="42" t="s">
        <v>50</v>
      </c>
      <c r="H101" s="31">
        <v>10061702071</v>
      </c>
      <c r="I101" s="138" t="s">
        <v>369</v>
      </c>
      <c r="J101" s="11"/>
      <c r="K101" s="11"/>
      <c r="L101" s="11"/>
      <c r="M101" s="11"/>
      <c r="N101" s="11">
        <v>0</v>
      </c>
      <c r="O101" s="11">
        <v>0</v>
      </c>
      <c r="P101" s="11">
        <v>0</v>
      </c>
      <c r="Q101" s="11"/>
      <c r="R101" s="11">
        <v>410</v>
      </c>
      <c r="S101" s="11">
        <v>410</v>
      </c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13">
        <v>46160</v>
      </c>
      <c r="AE101" s="14" t="s">
        <v>465</v>
      </c>
      <c r="AF101" s="37" t="s">
        <v>597</v>
      </c>
      <c r="AG101" s="34" t="s">
        <v>513</v>
      </c>
      <c r="AH101" s="3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667</v>
      </c>
      <c r="AT101" s="14"/>
      <c r="AU101" s="11"/>
      <c r="AV101" s="14"/>
    </row>
    <row r="102" spans="1:49" s="45" customFormat="1" ht="15" x14ac:dyDescent="0.25">
      <c r="A102" s="13">
        <v>46130</v>
      </c>
      <c r="B102" s="13"/>
      <c r="C102" s="42" t="s">
        <v>49</v>
      </c>
      <c r="D102" s="42" t="s">
        <v>294</v>
      </c>
      <c r="E102" s="14"/>
      <c r="F102" s="71">
        <v>119022</v>
      </c>
      <c r="G102" s="42" t="s">
        <v>50</v>
      </c>
      <c r="H102" s="31">
        <v>20568499043</v>
      </c>
      <c r="I102" s="138" t="s">
        <v>96</v>
      </c>
      <c r="J102" s="11"/>
      <c r="K102" s="11"/>
      <c r="L102" s="11"/>
      <c r="M102" s="11"/>
      <c r="N102" s="116">
        <v>0</v>
      </c>
      <c r="O102" s="116">
        <v>0</v>
      </c>
      <c r="P102" s="11">
        <v>112</v>
      </c>
      <c r="Q102" s="11"/>
      <c r="R102" s="11"/>
      <c r="S102" s="11">
        <v>112</v>
      </c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33"/>
      <c r="AE102" s="14" t="s">
        <v>262</v>
      </c>
      <c r="AF102" s="19" t="s">
        <v>488</v>
      </c>
      <c r="AG102" s="14"/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487</v>
      </c>
      <c r="AT102" s="14"/>
      <c r="AU102" s="11"/>
      <c r="AV102" s="14"/>
    </row>
    <row r="103" spans="1:49" s="45" customFormat="1" ht="15" x14ac:dyDescent="0.25">
      <c r="A103" s="108">
        <v>46132</v>
      </c>
      <c r="B103" s="109">
        <v>46162</v>
      </c>
      <c r="C103" s="111" t="s">
        <v>49</v>
      </c>
      <c r="D103" s="111" t="s">
        <v>642</v>
      </c>
      <c r="E103" s="112"/>
      <c r="F103" s="113">
        <v>17165</v>
      </c>
      <c r="G103" s="111" t="s">
        <v>50</v>
      </c>
      <c r="H103" s="114">
        <v>20487251985</v>
      </c>
      <c r="I103" s="139" t="s">
        <v>181</v>
      </c>
      <c r="J103" s="116"/>
      <c r="K103" s="116"/>
      <c r="L103" s="116"/>
      <c r="M103" s="116"/>
      <c r="N103" s="116">
        <v>847.45762711864415</v>
      </c>
      <c r="O103" s="116">
        <v>152.54237288135593</v>
      </c>
      <c r="P103" s="116">
        <v>0</v>
      </c>
      <c r="Q103" s="116"/>
      <c r="R103" s="116"/>
      <c r="S103" s="116">
        <v>1000</v>
      </c>
      <c r="T103" s="112"/>
      <c r="U103" s="112"/>
      <c r="V103" s="109"/>
      <c r="W103" s="118"/>
      <c r="X103" s="109"/>
      <c r="Y103" s="112"/>
      <c r="Z103" s="112"/>
      <c r="AA103" s="112"/>
      <c r="AB103" s="111" t="s">
        <v>224</v>
      </c>
      <c r="AC103" s="116"/>
      <c r="AD103" s="109">
        <v>46162</v>
      </c>
      <c r="AE103" s="127" t="s">
        <v>465</v>
      </c>
      <c r="AF103" s="119" t="s">
        <v>606</v>
      </c>
      <c r="AG103" s="112"/>
      <c r="AH103" s="112" t="s">
        <v>225</v>
      </c>
      <c r="AI103" s="112"/>
      <c r="AJ103" s="112"/>
      <c r="AK103" s="120"/>
      <c r="AL103" s="116"/>
      <c r="AM103" s="116"/>
      <c r="AN103" s="112"/>
      <c r="AO103" s="112"/>
      <c r="AP103" s="109"/>
      <c r="AQ103" s="112"/>
      <c r="AR103" s="116">
        <v>18</v>
      </c>
      <c r="AS103" s="112" t="s">
        <v>678</v>
      </c>
      <c r="AT103" s="112"/>
      <c r="AU103" s="116"/>
      <c r="AV103" s="112"/>
      <c r="AW103" s="121"/>
    </row>
    <row r="104" spans="1:49" s="45" customFormat="1" ht="15" x14ac:dyDescent="0.25">
      <c r="A104" s="13">
        <v>46132</v>
      </c>
      <c r="B104" s="13"/>
      <c r="C104" s="42" t="s">
        <v>49</v>
      </c>
      <c r="D104" s="42" t="s">
        <v>294</v>
      </c>
      <c r="E104" s="14"/>
      <c r="F104" s="71">
        <v>119079</v>
      </c>
      <c r="G104" s="42" t="s">
        <v>50</v>
      </c>
      <c r="H104" s="31">
        <v>20568499043</v>
      </c>
      <c r="I104" s="138" t="s">
        <v>96</v>
      </c>
      <c r="J104" s="11"/>
      <c r="K104" s="11"/>
      <c r="L104" s="11"/>
      <c r="M104" s="11"/>
      <c r="N104" s="116">
        <v>0</v>
      </c>
      <c r="O104" s="116">
        <v>0</v>
      </c>
      <c r="P104" s="11">
        <v>109.5</v>
      </c>
      <c r="Q104" s="11"/>
      <c r="R104" s="11"/>
      <c r="S104" s="11">
        <v>109.5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33"/>
      <c r="AE104" s="14" t="s">
        <v>262</v>
      </c>
      <c r="AF104" s="19" t="s">
        <v>488</v>
      </c>
      <c r="AG104" s="14"/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487</v>
      </c>
      <c r="AT104" s="14"/>
      <c r="AU104" s="11"/>
      <c r="AV104" s="14"/>
    </row>
    <row r="105" spans="1:49" s="45" customFormat="1" ht="15" x14ac:dyDescent="0.25">
      <c r="A105" s="13">
        <v>46133</v>
      </c>
      <c r="B105" s="13"/>
      <c r="C105" s="42" t="s">
        <v>49</v>
      </c>
      <c r="D105" s="42" t="s">
        <v>543</v>
      </c>
      <c r="E105" s="14"/>
      <c r="F105" s="71">
        <v>4908</v>
      </c>
      <c r="G105" s="42" t="s">
        <v>50</v>
      </c>
      <c r="H105" s="31">
        <v>20601012261</v>
      </c>
      <c r="I105" s="138" t="s">
        <v>160</v>
      </c>
      <c r="J105" s="11"/>
      <c r="K105" s="11"/>
      <c r="L105" s="11"/>
      <c r="M105" s="11"/>
      <c r="N105" s="116">
        <v>0</v>
      </c>
      <c r="O105" s="116">
        <v>0</v>
      </c>
      <c r="P105" s="11">
        <v>18</v>
      </c>
      <c r="Q105" s="11"/>
      <c r="R105" s="11"/>
      <c r="S105" s="11">
        <v>18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33"/>
      <c r="AE105" s="34" t="s">
        <v>262</v>
      </c>
      <c r="AF105" s="37" t="s">
        <v>701</v>
      </c>
      <c r="AG105" s="14"/>
      <c r="AH105" s="1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679</v>
      </c>
      <c r="AT105" s="14"/>
      <c r="AU105" s="11"/>
      <c r="AV105" s="14"/>
    </row>
    <row r="106" spans="1:49" s="45" customFormat="1" ht="15" x14ac:dyDescent="0.25">
      <c r="A106" s="13">
        <v>46133</v>
      </c>
      <c r="B106" s="13">
        <v>46163</v>
      </c>
      <c r="C106" s="42" t="s">
        <v>49</v>
      </c>
      <c r="D106" s="42" t="s">
        <v>574</v>
      </c>
      <c r="E106" s="14"/>
      <c r="F106" s="71">
        <v>7462</v>
      </c>
      <c r="G106" s="42" t="s">
        <v>50</v>
      </c>
      <c r="H106" s="31">
        <v>20485976028</v>
      </c>
      <c r="I106" s="138" t="s">
        <v>644</v>
      </c>
      <c r="J106" s="11"/>
      <c r="K106" s="11"/>
      <c r="L106" s="11"/>
      <c r="M106" s="11"/>
      <c r="N106" s="116">
        <v>0</v>
      </c>
      <c r="O106" s="116">
        <v>0</v>
      </c>
      <c r="P106" s="11">
        <v>0</v>
      </c>
      <c r="Q106" s="11"/>
      <c r="R106" s="11">
        <v>20</v>
      </c>
      <c r="S106" s="11">
        <v>20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33">
        <v>46163</v>
      </c>
      <c r="AE106" s="14" t="s">
        <v>465</v>
      </c>
      <c r="AF106" s="37" t="s">
        <v>597</v>
      </c>
      <c r="AG106" s="14" t="s">
        <v>513</v>
      </c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671</v>
      </c>
      <c r="AT106" s="14"/>
      <c r="AU106" s="11"/>
      <c r="AV106" s="14"/>
    </row>
    <row r="107" spans="1:49" s="45" customFormat="1" ht="15" x14ac:dyDescent="0.25">
      <c r="A107" s="13">
        <v>46133</v>
      </c>
      <c r="B107" s="13">
        <v>46163</v>
      </c>
      <c r="C107" s="42" t="s">
        <v>49</v>
      </c>
      <c r="D107" s="42" t="s">
        <v>292</v>
      </c>
      <c r="E107" s="14"/>
      <c r="F107" s="71">
        <v>12550</v>
      </c>
      <c r="G107" s="42" t="s">
        <v>50</v>
      </c>
      <c r="H107" s="31">
        <v>20568968051</v>
      </c>
      <c r="I107" s="138" t="s">
        <v>450</v>
      </c>
      <c r="J107" s="11"/>
      <c r="K107" s="11"/>
      <c r="L107" s="11"/>
      <c r="M107" s="11"/>
      <c r="N107" s="116">
        <v>0</v>
      </c>
      <c r="O107" s="116">
        <v>0</v>
      </c>
      <c r="P107" s="11">
        <v>0</v>
      </c>
      <c r="Q107" s="11"/>
      <c r="R107" s="11">
        <v>20</v>
      </c>
      <c r="S107" s="11">
        <v>20</v>
      </c>
      <c r="T107" s="14"/>
      <c r="U107" s="14"/>
      <c r="V107" s="13"/>
      <c r="W107" s="15"/>
      <c r="X107" s="13"/>
      <c r="Y107" s="14"/>
      <c r="Z107" s="14"/>
      <c r="AA107" s="14"/>
      <c r="AB107" s="42" t="s">
        <v>224</v>
      </c>
      <c r="AC107" s="11"/>
      <c r="AD107" s="33">
        <v>46163</v>
      </c>
      <c r="AE107" s="34" t="s">
        <v>465</v>
      </c>
      <c r="AF107" s="37" t="s">
        <v>597</v>
      </c>
      <c r="AG107" s="14" t="s">
        <v>513</v>
      </c>
      <c r="AH107" s="14" t="s">
        <v>225</v>
      </c>
      <c r="AI107" s="14"/>
      <c r="AJ107" s="14"/>
      <c r="AK107" s="16"/>
      <c r="AL107" s="11"/>
      <c r="AM107" s="11"/>
      <c r="AN107" s="14"/>
      <c r="AO107" s="14"/>
      <c r="AP107" s="13"/>
      <c r="AQ107" s="14"/>
      <c r="AR107" s="11">
        <v>18</v>
      </c>
      <c r="AS107" s="14" t="s">
        <v>671</v>
      </c>
      <c r="AT107" s="14"/>
      <c r="AU107" s="11"/>
      <c r="AV107" s="14"/>
    </row>
    <row r="108" spans="1:49" s="45" customFormat="1" ht="15" x14ac:dyDescent="0.25">
      <c r="A108" s="46">
        <v>46133</v>
      </c>
      <c r="B108" s="13">
        <v>46163</v>
      </c>
      <c r="C108" s="42" t="s">
        <v>49</v>
      </c>
      <c r="D108" s="42" t="s">
        <v>292</v>
      </c>
      <c r="E108" s="14"/>
      <c r="F108" s="71">
        <v>12545</v>
      </c>
      <c r="G108" s="42" t="s">
        <v>50</v>
      </c>
      <c r="H108" s="31">
        <v>20568968051</v>
      </c>
      <c r="I108" s="138" t="s">
        <v>450</v>
      </c>
      <c r="J108" s="11"/>
      <c r="K108" s="11"/>
      <c r="L108" s="11"/>
      <c r="M108" s="11"/>
      <c r="N108" s="116">
        <v>0</v>
      </c>
      <c r="O108" s="116">
        <v>0</v>
      </c>
      <c r="P108" s="11">
        <v>0</v>
      </c>
      <c r="Q108" s="11"/>
      <c r="R108" s="11">
        <v>40</v>
      </c>
      <c r="S108" s="11">
        <v>40</v>
      </c>
      <c r="T108" s="14"/>
      <c r="U108" s="14"/>
      <c r="V108" s="13"/>
      <c r="W108" s="15"/>
      <c r="X108" s="13"/>
      <c r="Y108" s="14"/>
      <c r="Z108" s="14"/>
      <c r="AA108" s="14"/>
      <c r="AB108" s="42" t="s">
        <v>224</v>
      </c>
      <c r="AC108" s="11"/>
      <c r="AD108" s="33">
        <v>46163</v>
      </c>
      <c r="AE108" s="34" t="s">
        <v>465</v>
      </c>
      <c r="AF108" s="37" t="s">
        <v>597</v>
      </c>
      <c r="AG108" s="14" t="s">
        <v>513</v>
      </c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671</v>
      </c>
      <c r="AT108" s="14"/>
      <c r="AU108" s="11"/>
      <c r="AV108" s="14"/>
    </row>
    <row r="109" spans="1:49" s="45" customFormat="1" ht="15" customHeight="1" x14ac:dyDescent="0.25">
      <c r="A109" s="13">
        <v>46134</v>
      </c>
      <c r="B109" s="13">
        <v>46164</v>
      </c>
      <c r="C109" s="42" t="s">
        <v>49</v>
      </c>
      <c r="D109" s="42" t="s">
        <v>292</v>
      </c>
      <c r="E109" s="14"/>
      <c r="F109" s="113">
        <v>7182</v>
      </c>
      <c r="G109" s="42" t="s">
        <v>50</v>
      </c>
      <c r="H109" s="31">
        <v>10210648939</v>
      </c>
      <c r="I109" s="138" t="s">
        <v>72</v>
      </c>
      <c r="J109" s="11"/>
      <c r="K109" s="11"/>
      <c r="L109" s="11"/>
      <c r="M109" s="11"/>
      <c r="N109" s="116">
        <v>0</v>
      </c>
      <c r="O109" s="116">
        <v>0</v>
      </c>
      <c r="P109" s="11">
        <v>340</v>
      </c>
      <c r="Q109" s="11"/>
      <c r="R109" s="11"/>
      <c r="S109" s="11">
        <v>340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33">
        <v>46164</v>
      </c>
      <c r="AE109" s="14" t="s">
        <v>465</v>
      </c>
      <c r="AF109" s="37" t="s">
        <v>704</v>
      </c>
      <c r="AG109" s="14"/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 t="s">
        <v>680</v>
      </c>
      <c r="AT109" s="14"/>
      <c r="AU109" s="11"/>
      <c r="AV109" s="14"/>
    </row>
    <row r="110" spans="1:49" s="45" customFormat="1" ht="15" x14ac:dyDescent="0.25">
      <c r="A110" s="13">
        <v>46134</v>
      </c>
      <c r="B110" s="13"/>
      <c r="C110" s="42" t="s">
        <v>49</v>
      </c>
      <c r="D110" s="42" t="s">
        <v>294</v>
      </c>
      <c r="E110" s="14"/>
      <c r="F110" s="113">
        <v>1087</v>
      </c>
      <c r="G110" s="42" t="s">
        <v>50</v>
      </c>
      <c r="H110" s="31">
        <v>20611936606</v>
      </c>
      <c r="I110" s="138" t="s">
        <v>469</v>
      </c>
      <c r="J110" s="11"/>
      <c r="K110" s="11"/>
      <c r="L110" s="11"/>
      <c r="M110" s="11"/>
      <c r="N110" s="116">
        <v>0</v>
      </c>
      <c r="O110" s="116">
        <v>0</v>
      </c>
      <c r="P110" s="11">
        <v>10</v>
      </c>
      <c r="Q110" s="11"/>
      <c r="R110" s="11"/>
      <c r="S110" s="11">
        <v>10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33"/>
      <c r="AE110" s="14" t="s">
        <v>262</v>
      </c>
      <c r="AF110" s="19" t="s">
        <v>486</v>
      </c>
      <c r="AG110" s="14"/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 t="s">
        <v>487</v>
      </c>
      <c r="AT110" s="14"/>
      <c r="AU110" s="11"/>
      <c r="AV110" s="14"/>
    </row>
    <row r="111" spans="1:49" s="45" customFormat="1" ht="15" x14ac:dyDescent="0.25">
      <c r="A111" s="13">
        <v>46134</v>
      </c>
      <c r="B111" s="13">
        <v>46164</v>
      </c>
      <c r="C111" s="42" t="s">
        <v>49</v>
      </c>
      <c r="D111" s="42" t="s">
        <v>301</v>
      </c>
      <c r="E111" s="14"/>
      <c r="F111" s="71">
        <v>17866</v>
      </c>
      <c r="G111" s="42" t="s">
        <v>50</v>
      </c>
      <c r="H111" s="31">
        <v>20493508645</v>
      </c>
      <c r="I111" s="138" t="s">
        <v>52</v>
      </c>
      <c r="J111" s="11"/>
      <c r="K111" s="11"/>
      <c r="L111" s="11"/>
      <c r="M111" s="11"/>
      <c r="N111" s="11">
        <v>1.5254237272745094E-3</v>
      </c>
      <c r="O111" s="11">
        <v>2.7457627090941167E-4</v>
      </c>
      <c r="P111" s="11">
        <v>33449.01</v>
      </c>
      <c r="Q111" s="11"/>
      <c r="R111" s="11"/>
      <c r="S111" s="11">
        <v>33449.0118</v>
      </c>
      <c r="T111" s="14"/>
      <c r="U111" s="14"/>
      <c r="V111" s="13"/>
      <c r="W111" s="15">
        <v>3.4420000000000002</v>
      </c>
      <c r="X111" s="13"/>
      <c r="Y111" s="14"/>
      <c r="Z111" s="14"/>
      <c r="AA111" s="14"/>
      <c r="AB111" s="42" t="s">
        <v>383</v>
      </c>
      <c r="AC111" s="11">
        <v>9717.9</v>
      </c>
      <c r="AD111" s="13">
        <v>46164</v>
      </c>
      <c r="AE111" s="34" t="s">
        <v>465</v>
      </c>
      <c r="AF111" s="19" t="s">
        <v>532</v>
      </c>
      <c r="AG111" s="14"/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201</v>
      </c>
      <c r="AT111" s="14"/>
      <c r="AU111" s="11"/>
      <c r="AV111" s="14"/>
    </row>
    <row r="112" spans="1:49" s="45" customFormat="1" ht="15" x14ac:dyDescent="0.25">
      <c r="A112" s="13">
        <v>46134</v>
      </c>
      <c r="B112" s="13">
        <v>46164</v>
      </c>
      <c r="C112" s="42" t="s">
        <v>49</v>
      </c>
      <c r="D112" s="42" t="s">
        <v>301</v>
      </c>
      <c r="E112" s="14"/>
      <c r="F112" s="71">
        <v>17867</v>
      </c>
      <c r="G112" s="42" t="s">
        <v>50</v>
      </c>
      <c r="H112" s="31">
        <v>20493508645</v>
      </c>
      <c r="I112" s="138" t="s">
        <v>52</v>
      </c>
      <c r="J112" s="11"/>
      <c r="K112" s="11"/>
      <c r="L112" s="11"/>
      <c r="M112" s="11"/>
      <c r="N112" s="11">
        <v>1.5254237272745094E-3</v>
      </c>
      <c r="O112" s="11">
        <v>2.7457627090941167E-4</v>
      </c>
      <c r="P112" s="11">
        <v>33449.01</v>
      </c>
      <c r="Q112" s="11"/>
      <c r="R112" s="11"/>
      <c r="S112" s="11">
        <v>33449.0118</v>
      </c>
      <c r="T112" s="14"/>
      <c r="U112" s="14"/>
      <c r="V112" s="13"/>
      <c r="W112" s="15">
        <v>3.4420000000000002</v>
      </c>
      <c r="X112" s="13"/>
      <c r="Y112" s="14"/>
      <c r="Z112" s="14"/>
      <c r="AA112" s="14"/>
      <c r="AB112" s="42" t="s">
        <v>383</v>
      </c>
      <c r="AC112" s="11">
        <v>9717.9</v>
      </c>
      <c r="AD112" s="13">
        <v>46164</v>
      </c>
      <c r="AE112" s="34" t="s">
        <v>465</v>
      </c>
      <c r="AF112" s="19" t="s">
        <v>532</v>
      </c>
      <c r="AG112" s="14"/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201</v>
      </c>
      <c r="AT112" s="14"/>
      <c r="AU112" s="11"/>
      <c r="AV112" s="14"/>
    </row>
    <row r="113" spans="1:49" s="45" customFormat="1" ht="15" x14ac:dyDescent="0.25">
      <c r="A113" s="13">
        <v>46134</v>
      </c>
      <c r="B113" s="13">
        <v>46164</v>
      </c>
      <c r="C113" s="42" t="s">
        <v>49</v>
      </c>
      <c r="D113" s="42" t="s">
        <v>301</v>
      </c>
      <c r="E113" s="14"/>
      <c r="F113" s="71">
        <v>17864</v>
      </c>
      <c r="G113" s="42" t="s">
        <v>50</v>
      </c>
      <c r="H113" s="31">
        <v>20493508645</v>
      </c>
      <c r="I113" s="138" t="s">
        <v>52</v>
      </c>
      <c r="J113" s="11"/>
      <c r="K113" s="11"/>
      <c r="L113" s="11"/>
      <c r="M113" s="11"/>
      <c r="N113" s="11">
        <v>1.5254237272745094E-3</v>
      </c>
      <c r="O113" s="11">
        <v>2.7457627090941167E-4</v>
      </c>
      <c r="P113" s="11">
        <v>33449.01</v>
      </c>
      <c r="Q113" s="11"/>
      <c r="R113" s="11"/>
      <c r="S113" s="11">
        <v>33449.0118</v>
      </c>
      <c r="T113" s="14"/>
      <c r="U113" s="14"/>
      <c r="V113" s="13"/>
      <c r="W113" s="15">
        <v>3.4420000000000002</v>
      </c>
      <c r="X113" s="13"/>
      <c r="Y113" s="14"/>
      <c r="Z113" s="14"/>
      <c r="AA113" s="14"/>
      <c r="AB113" s="42" t="s">
        <v>383</v>
      </c>
      <c r="AC113" s="11">
        <v>9717.9</v>
      </c>
      <c r="AD113" s="13">
        <v>46164</v>
      </c>
      <c r="AE113" s="34" t="s">
        <v>465</v>
      </c>
      <c r="AF113" s="19" t="s">
        <v>532</v>
      </c>
      <c r="AG113" s="14"/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201</v>
      </c>
      <c r="AT113" s="14"/>
      <c r="AU113" s="11"/>
      <c r="AV113" s="14"/>
    </row>
    <row r="114" spans="1:49" s="45" customFormat="1" ht="15" x14ac:dyDescent="0.25">
      <c r="A114" s="13">
        <v>46135</v>
      </c>
      <c r="B114" s="13"/>
      <c r="C114" s="42" t="s">
        <v>49</v>
      </c>
      <c r="D114" s="42" t="s">
        <v>292</v>
      </c>
      <c r="E114" s="14"/>
      <c r="F114" s="71">
        <v>6153</v>
      </c>
      <c r="G114" s="42" t="s">
        <v>50</v>
      </c>
      <c r="H114" s="31">
        <v>20602783341</v>
      </c>
      <c r="I114" s="138" t="s">
        <v>79</v>
      </c>
      <c r="J114" s="11"/>
      <c r="K114" s="11"/>
      <c r="L114" s="11"/>
      <c r="M114" s="11"/>
      <c r="N114" s="11">
        <v>0</v>
      </c>
      <c r="O114" s="11">
        <v>0</v>
      </c>
      <c r="P114" s="11">
        <v>8</v>
      </c>
      <c r="Q114" s="11"/>
      <c r="R114" s="11"/>
      <c r="S114" s="11">
        <v>8</v>
      </c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33"/>
      <c r="AE114" s="14" t="s">
        <v>262</v>
      </c>
      <c r="AF114" s="19" t="s">
        <v>601</v>
      </c>
      <c r="AG114" s="14"/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659</v>
      </c>
      <c r="AT114" s="14"/>
      <c r="AU114" s="11"/>
      <c r="AV114" s="14"/>
    </row>
    <row r="115" spans="1:49" s="45" customFormat="1" ht="15" x14ac:dyDescent="0.25">
      <c r="A115" s="13">
        <v>46135</v>
      </c>
      <c r="B115" s="13">
        <v>46165</v>
      </c>
      <c r="C115" s="42" t="s">
        <v>49</v>
      </c>
      <c r="D115" s="42" t="s">
        <v>301</v>
      </c>
      <c r="E115" s="14"/>
      <c r="F115" s="71">
        <v>17916</v>
      </c>
      <c r="G115" s="42" t="s">
        <v>50</v>
      </c>
      <c r="H115" s="31">
        <v>20493508645</v>
      </c>
      <c r="I115" s="138" t="s">
        <v>52</v>
      </c>
      <c r="J115" s="11"/>
      <c r="K115" s="11"/>
      <c r="L115" s="11"/>
      <c r="M115" s="11"/>
      <c r="N115" s="11">
        <v>-1.62711864304275E-3</v>
      </c>
      <c r="O115" s="11">
        <v>-2.9288135574769496E-4</v>
      </c>
      <c r="P115" s="11">
        <v>26774.76</v>
      </c>
      <c r="Q115" s="11"/>
      <c r="R115" s="11"/>
      <c r="S115" s="11">
        <v>26774.75808</v>
      </c>
      <c r="T115" s="14"/>
      <c r="U115" s="14"/>
      <c r="V115" s="13"/>
      <c r="W115" s="15">
        <v>3.444</v>
      </c>
      <c r="X115" s="13"/>
      <c r="Y115" s="14"/>
      <c r="Z115" s="14"/>
      <c r="AA115" s="14"/>
      <c r="AB115" s="42" t="s">
        <v>383</v>
      </c>
      <c r="AC115" s="11">
        <v>7774.32</v>
      </c>
      <c r="AD115" s="13">
        <v>46165</v>
      </c>
      <c r="AE115" s="34" t="s">
        <v>465</v>
      </c>
      <c r="AF115" s="19" t="s">
        <v>532</v>
      </c>
      <c r="AG115" s="14"/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201</v>
      </c>
      <c r="AT115" s="14"/>
      <c r="AU115" s="11"/>
      <c r="AV115" s="14"/>
    </row>
    <row r="116" spans="1:49" s="45" customFormat="1" ht="15" x14ac:dyDescent="0.25">
      <c r="A116" s="13">
        <v>46135</v>
      </c>
      <c r="B116" s="13">
        <v>46165</v>
      </c>
      <c r="C116" s="42" t="s">
        <v>49</v>
      </c>
      <c r="D116" s="42" t="s">
        <v>301</v>
      </c>
      <c r="E116" s="14"/>
      <c r="F116" s="71">
        <v>17915</v>
      </c>
      <c r="G116" s="42" t="s">
        <v>50</v>
      </c>
      <c r="H116" s="31">
        <v>20493508645</v>
      </c>
      <c r="I116" s="138" t="s">
        <v>52</v>
      </c>
      <c r="J116" s="11"/>
      <c r="K116" s="11"/>
      <c r="L116" s="11"/>
      <c r="M116" s="11"/>
      <c r="N116" s="11">
        <v>-2.0338983030326794E-3</v>
      </c>
      <c r="O116" s="11">
        <v>-3.6610169454588226E-4</v>
      </c>
      <c r="P116" s="11">
        <v>33468.449999999997</v>
      </c>
      <c r="Q116" s="11"/>
      <c r="R116" s="11"/>
      <c r="S116" s="11">
        <v>33468.4476</v>
      </c>
      <c r="T116" s="14"/>
      <c r="U116" s="14"/>
      <c r="V116" s="13"/>
      <c r="W116" s="15">
        <v>3.444</v>
      </c>
      <c r="X116" s="13"/>
      <c r="Y116" s="14"/>
      <c r="Z116" s="14"/>
      <c r="AA116" s="14"/>
      <c r="AB116" s="42" t="s">
        <v>383</v>
      </c>
      <c r="AC116" s="11">
        <v>9717.9</v>
      </c>
      <c r="AD116" s="13">
        <v>46165</v>
      </c>
      <c r="AE116" s="34" t="s">
        <v>465</v>
      </c>
      <c r="AF116" s="19" t="s">
        <v>532</v>
      </c>
      <c r="AG116" s="14"/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201</v>
      </c>
      <c r="AT116" s="14"/>
      <c r="AU116" s="11"/>
      <c r="AV116" s="14"/>
    </row>
    <row r="117" spans="1:49" s="45" customFormat="1" ht="15" x14ac:dyDescent="0.25">
      <c r="A117" s="13">
        <v>46135</v>
      </c>
      <c r="B117" s="13">
        <v>46165</v>
      </c>
      <c r="C117" s="42" t="s">
        <v>49</v>
      </c>
      <c r="D117" s="42" t="s">
        <v>301</v>
      </c>
      <c r="E117" s="14"/>
      <c r="F117" s="71">
        <v>17899</v>
      </c>
      <c r="G117" s="42" t="s">
        <v>50</v>
      </c>
      <c r="H117" s="31">
        <v>20493508645</v>
      </c>
      <c r="I117" s="138" t="s">
        <v>52</v>
      </c>
      <c r="J117" s="11"/>
      <c r="K117" s="11"/>
      <c r="L117" s="11"/>
      <c r="M117" s="11"/>
      <c r="N117" s="11">
        <v>-4.067796607606875E-4</v>
      </c>
      <c r="O117" s="11">
        <v>-7.3220338936923741E-5</v>
      </c>
      <c r="P117" s="11">
        <v>6693.69</v>
      </c>
      <c r="Q117" s="11"/>
      <c r="R117" s="11"/>
      <c r="S117" s="11">
        <v>6693.6895199999999</v>
      </c>
      <c r="T117" s="14"/>
      <c r="U117" s="14"/>
      <c r="V117" s="13"/>
      <c r="W117" s="15">
        <v>3.444</v>
      </c>
      <c r="X117" s="13"/>
      <c r="Y117" s="14"/>
      <c r="Z117" s="14"/>
      <c r="AA117" s="14"/>
      <c r="AB117" s="42" t="s">
        <v>383</v>
      </c>
      <c r="AC117" s="11">
        <v>1943.58</v>
      </c>
      <c r="AD117" s="13">
        <v>46165</v>
      </c>
      <c r="AE117" s="34" t="s">
        <v>465</v>
      </c>
      <c r="AF117" s="19" t="s">
        <v>532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201</v>
      </c>
      <c r="AT117" s="14"/>
      <c r="AU117" s="11"/>
      <c r="AV117" s="14"/>
    </row>
    <row r="118" spans="1:49" s="45" customFormat="1" ht="15" x14ac:dyDescent="0.25">
      <c r="A118" s="13">
        <v>46135</v>
      </c>
      <c r="B118" s="13"/>
      <c r="C118" s="42" t="s">
        <v>49</v>
      </c>
      <c r="D118" s="42" t="s">
        <v>299</v>
      </c>
      <c r="E118" s="14"/>
      <c r="F118" s="71">
        <v>2059</v>
      </c>
      <c r="G118" s="42" t="s">
        <v>50</v>
      </c>
      <c r="H118" s="31">
        <v>20281033795</v>
      </c>
      <c r="I118" s="138" t="s">
        <v>70</v>
      </c>
      <c r="J118" s="11"/>
      <c r="K118" s="11"/>
      <c r="L118" s="11"/>
      <c r="M118" s="11"/>
      <c r="N118" s="11">
        <v>0</v>
      </c>
      <c r="O118" s="11">
        <v>0</v>
      </c>
      <c r="P118" s="11">
        <v>24</v>
      </c>
      <c r="Q118" s="11"/>
      <c r="R118" s="11"/>
      <c r="S118" s="11">
        <v>24</v>
      </c>
      <c r="T118" s="14"/>
      <c r="U118" s="14"/>
      <c r="V118" s="13"/>
      <c r="W118" s="15"/>
      <c r="X118" s="13"/>
      <c r="Y118" s="14"/>
      <c r="Z118" s="14"/>
      <c r="AA118" s="14"/>
      <c r="AB118" s="42" t="s">
        <v>224</v>
      </c>
      <c r="AC118" s="11"/>
      <c r="AD118" s="33"/>
      <c r="AE118" s="34" t="s">
        <v>262</v>
      </c>
      <c r="AF118" s="37" t="s">
        <v>705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681</v>
      </c>
      <c r="AT118" s="14"/>
      <c r="AU118" s="11"/>
      <c r="AV118" s="14"/>
    </row>
    <row r="119" spans="1:49" s="45" customFormat="1" ht="15" x14ac:dyDescent="0.25">
      <c r="A119" s="13">
        <v>46135</v>
      </c>
      <c r="B119" s="13">
        <v>46165</v>
      </c>
      <c r="C119" s="42" t="s">
        <v>49</v>
      </c>
      <c r="D119" s="42" t="s">
        <v>301</v>
      </c>
      <c r="E119" s="14"/>
      <c r="F119" s="71">
        <v>17883</v>
      </c>
      <c r="G119" s="42" t="s">
        <v>50</v>
      </c>
      <c r="H119" s="31">
        <v>20493508645</v>
      </c>
      <c r="I119" s="138" t="s">
        <v>52</v>
      </c>
      <c r="J119" s="11"/>
      <c r="K119" s="11"/>
      <c r="L119" s="11"/>
      <c r="M119" s="11"/>
      <c r="N119" s="11">
        <v>-2.0338983030326794E-3</v>
      </c>
      <c r="O119" s="11">
        <v>-3.6610169454588226E-4</v>
      </c>
      <c r="P119" s="11">
        <v>33468.449999999997</v>
      </c>
      <c r="Q119" s="11"/>
      <c r="R119" s="11"/>
      <c r="S119" s="11">
        <v>33468.4476</v>
      </c>
      <c r="T119" s="14"/>
      <c r="U119" s="14"/>
      <c r="V119" s="13"/>
      <c r="W119" s="15">
        <v>3.444</v>
      </c>
      <c r="X119" s="13"/>
      <c r="Y119" s="14"/>
      <c r="Z119" s="14"/>
      <c r="AA119" s="14"/>
      <c r="AB119" s="42" t="s">
        <v>383</v>
      </c>
      <c r="AC119" s="11">
        <v>9717.9</v>
      </c>
      <c r="AD119" s="13">
        <v>46165</v>
      </c>
      <c r="AE119" s="34" t="s">
        <v>465</v>
      </c>
      <c r="AF119" s="19" t="s">
        <v>532</v>
      </c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 t="s">
        <v>201</v>
      </c>
      <c r="AT119" s="14"/>
      <c r="AU119" s="11"/>
      <c r="AV119" s="14"/>
    </row>
    <row r="120" spans="1:49" s="45" customFormat="1" ht="15" x14ac:dyDescent="0.25">
      <c r="A120" s="46">
        <v>46135</v>
      </c>
      <c r="B120" s="13">
        <v>46165</v>
      </c>
      <c r="C120" s="42" t="s">
        <v>49</v>
      </c>
      <c r="D120" s="42" t="s">
        <v>299</v>
      </c>
      <c r="E120" s="14"/>
      <c r="F120" s="71">
        <v>3811994</v>
      </c>
      <c r="G120" s="42" t="s">
        <v>50</v>
      </c>
      <c r="H120" s="31">
        <v>20101973922</v>
      </c>
      <c r="I120" s="138" t="s">
        <v>54</v>
      </c>
      <c r="J120" s="11"/>
      <c r="K120" s="11"/>
      <c r="L120" s="11"/>
      <c r="M120" s="11"/>
      <c r="N120" s="116">
        <v>0</v>
      </c>
      <c r="O120" s="116">
        <v>0</v>
      </c>
      <c r="P120" s="11">
        <v>0</v>
      </c>
      <c r="Q120" s="11"/>
      <c r="R120" s="11">
        <v>66.8</v>
      </c>
      <c r="S120" s="11">
        <v>66.8</v>
      </c>
      <c r="T120" s="14"/>
      <c r="U120" s="14"/>
      <c r="V120" s="13"/>
      <c r="W120" s="15"/>
      <c r="X120" s="13"/>
      <c r="Y120" s="14"/>
      <c r="Z120" s="14"/>
      <c r="AA120" s="14"/>
      <c r="AB120" s="42" t="s">
        <v>224</v>
      </c>
      <c r="AC120" s="11"/>
      <c r="AD120" s="33">
        <v>46165</v>
      </c>
      <c r="AE120" s="34" t="s">
        <v>465</v>
      </c>
      <c r="AF120" s="37" t="s">
        <v>550</v>
      </c>
      <c r="AG120" s="14" t="s">
        <v>513</v>
      </c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 t="s">
        <v>566</v>
      </c>
      <c r="AT120" s="14"/>
      <c r="AU120" s="11"/>
      <c r="AV120" s="14"/>
    </row>
    <row r="121" spans="1:49" s="45" customFormat="1" ht="15" x14ac:dyDescent="0.25">
      <c r="A121" s="46">
        <v>46135</v>
      </c>
      <c r="B121" s="13">
        <v>46165</v>
      </c>
      <c r="C121" s="42" t="s">
        <v>49</v>
      </c>
      <c r="D121" s="42" t="s">
        <v>299</v>
      </c>
      <c r="E121" s="14"/>
      <c r="F121" s="71">
        <v>3811993</v>
      </c>
      <c r="G121" s="42" t="s">
        <v>50</v>
      </c>
      <c r="H121" s="31">
        <v>20101973922</v>
      </c>
      <c r="I121" s="138" t="s">
        <v>54</v>
      </c>
      <c r="J121" s="11"/>
      <c r="K121" s="11"/>
      <c r="L121" s="11"/>
      <c r="M121" s="11"/>
      <c r="N121" s="116">
        <v>0</v>
      </c>
      <c r="O121" s="116">
        <v>0</v>
      </c>
      <c r="P121" s="11">
        <v>0</v>
      </c>
      <c r="Q121" s="11"/>
      <c r="R121" s="11">
        <v>66.8</v>
      </c>
      <c r="S121" s="11">
        <v>66.8</v>
      </c>
      <c r="T121" s="14"/>
      <c r="U121" s="14"/>
      <c r="V121" s="13"/>
      <c r="W121" s="15"/>
      <c r="X121" s="13"/>
      <c r="Y121" s="14"/>
      <c r="Z121" s="14"/>
      <c r="AA121" s="14"/>
      <c r="AB121" s="42" t="s">
        <v>224</v>
      </c>
      <c r="AC121" s="11"/>
      <c r="AD121" s="33">
        <v>46165</v>
      </c>
      <c r="AE121" s="34" t="s">
        <v>465</v>
      </c>
      <c r="AF121" s="37" t="s">
        <v>550</v>
      </c>
      <c r="AG121" s="14" t="s">
        <v>513</v>
      </c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566</v>
      </c>
      <c r="AT121" s="14"/>
      <c r="AU121" s="11"/>
      <c r="AV121" s="14"/>
    </row>
    <row r="122" spans="1:49" s="45" customFormat="1" ht="15" x14ac:dyDescent="0.25">
      <c r="A122" s="46">
        <v>46135</v>
      </c>
      <c r="B122" s="13">
        <v>46165</v>
      </c>
      <c r="C122" s="42" t="s">
        <v>49</v>
      </c>
      <c r="D122" s="42" t="s">
        <v>299</v>
      </c>
      <c r="E122" s="14"/>
      <c r="F122" s="71">
        <v>3811992</v>
      </c>
      <c r="G122" s="42" t="s">
        <v>50</v>
      </c>
      <c r="H122" s="31">
        <v>20101973922</v>
      </c>
      <c r="I122" s="138" t="s">
        <v>54</v>
      </c>
      <c r="J122" s="11"/>
      <c r="K122" s="11"/>
      <c r="L122" s="11"/>
      <c r="M122" s="11"/>
      <c r="N122" s="116">
        <v>0</v>
      </c>
      <c r="O122" s="116">
        <v>0</v>
      </c>
      <c r="P122" s="11">
        <v>0</v>
      </c>
      <c r="Q122" s="11"/>
      <c r="R122" s="11">
        <v>66.8</v>
      </c>
      <c r="S122" s="11">
        <v>66.8</v>
      </c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33">
        <v>46165</v>
      </c>
      <c r="AE122" s="34" t="s">
        <v>465</v>
      </c>
      <c r="AF122" s="37" t="s">
        <v>550</v>
      </c>
      <c r="AG122" s="14" t="s">
        <v>513</v>
      </c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566</v>
      </c>
      <c r="AT122" s="14"/>
      <c r="AU122" s="11"/>
      <c r="AV122" s="14"/>
    </row>
    <row r="123" spans="1:49" s="45" customFormat="1" ht="15" x14ac:dyDescent="0.25">
      <c r="A123" s="46">
        <v>46135</v>
      </c>
      <c r="B123" s="13">
        <v>46165</v>
      </c>
      <c r="C123" s="42" t="s">
        <v>49</v>
      </c>
      <c r="D123" s="42" t="s">
        <v>299</v>
      </c>
      <c r="E123" s="14"/>
      <c r="F123" s="71">
        <v>3811991</v>
      </c>
      <c r="G123" s="42" t="s">
        <v>50</v>
      </c>
      <c r="H123" s="31">
        <v>20101973922</v>
      </c>
      <c r="I123" s="138" t="s">
        <v>54</v>
      </c>
      <c r="J123" s="11"/>
      <c r="K123" s="11"/>
      <c r="L123" s="11"/>
      <c r="M123" s="11"/>
      <c r="N123" s="116">
        <v>0</v>
      </c>
      <c r="O123" s="116">
        <v>0</v>
      </c>
      <c r="P123" s="11">
        <v>0</v>
      </c>
      <c r="Q123" s="11"/>
      <c r="R123" s="11">
        <v>66.8</v>
      </c>
      <c r="S123" s="11">
        <v>66.8</v>
      </c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33">
        <v>46165</v>
      </c>
      <c r="AE123" s="34" t="s">
        <v>465</v>
      </c>
      <c r="AF123" s="37" t="s">
        <v>550</v>
      </c>
      <c r="AG123" s="14" t="s">
        <v>513</v>
      </c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566</v>
      </c>
      <c r="AT123" s="14"/>
      <c r="AU123" s="11"/>
      <c r="AV123" s="14"/>
    </row>
    <row r="124" spans="1:49" s="45" customFormat="1" ht="15" x14ac:dyDescent="0.25">
      <c r="A124" s="46">
        <v>46135</v>
      </c>
      <c r="B124" s="13">
        <v>46165</v>
      </c>
      <c r="C124" s="42" t="s">
        <v>49</v>
      </c>
      <c r="D124" s="42" t="s">
        <v>299</v>
      </c>
      <c r="E124" s="14"/>
      <c r="F124" s="71">
        <v>3811990</v>
      </c>
      <c r="G124" s="42" t="s">
        <v>50</v>
      </c>
      <c r="H124" s="31">
        <v>20101973922</v>
      </c>
      <c r="I124" s="138" t="s">
        <v>54</v>
      </c>
      <c r="J124" s="11"/>
      <c r="K124" s="11"/>
      <c r="L124" s="11"/>
      <c r="M124" s="11"/>
      <c r="N124" s="116">
        <v>0</v>
      </c>
      <c r="O124" s="116">
        <v>0</v>
      </c>
      <c r="P124" s="11">
        <v>0</v>
      </c>
      <c r="Q124" s="11"/>
      <c r="R124" s="11">
        <v>66.8</v>
      </c>
      <c r="S124" s="11">
        <v>66.8</v>
      </c>
      <c r="T124" s="14"/>
      <c r="U124" s="14"/>
      <c r="V124" s="13"/>
      <c r="W124" s="15"/>
      <c r="X124" s="13"/>
      <c r="Y124" s="14"/>
      <c r="Z124" s="14"/>
      <c r="AA124" s="14"/>
      <c r="AB124" s="42" t="s">
        <v>224</v>
      </c>
      <c r="AC124" s="11"/>
      <c r="AD124" s="33">
        <v>46165</v>
      </c>
      <c r="AE124" s="34" t="s">
        <v>465</v>
      </c>
      <c r="AF124" s="37" t="s">
        <v>550</v>
      </c>
      <c r="AG124" s="14" t="s">
        <v>513</v>
      </c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566</v>
      </c>
      <c r="AT124" s="14"/>
      <c r="AU124" s="11"/>
      <c r="AV124" s="14"/>
    </row>
    <row r="125" spans="1:49" s="45" customFormat="1" ht="15" x14ac:dyDescent="0.25">
      <c r="A125" s="46">
        <v>46135</v>
      </c>
      <c r="B125" s="13">
        <v>46165</v>
      </c>
      <c r="C125" s="42" t="s">
        <v>49</v>
      </c>
      <c r="D125" s="42" t="s">
        <v>299</v>
      </c>
      <c r="E125" s="14"/>
      <c r="F125" s="71">
        <v>3811989</v>
      </c>
      <c r="G125" s="42" t="s">
        <v>50</v>
      </c>
      <c r="H125" s="31">
        <v>20101973922</v>
      </c>
      <c r="I125" s="138" t="s">
        <v>54</v>
      </c>
      <c r="J125" s="11"/>
      <c r="K125" s="11"/>
      <c r="L125" s="11"/>
      <c r="M125" s="11"/>
      <c r="N125" s="116">
        <v>0</v>
      </c>
      <c r="O125" s="116">
        <v>0</v>
      </c>
      <c r="P125" s="11">
        <v>0</v>
      </c>
      <c r="Q125" s="11"/>
      <c r="R125" s="11">
        <v>66.8</v>
      </c>
      <c r="S125" s="11">
        <v>66.8</v>
      </c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33">
        <v>46165</v>
      </c>
      <c r="AE125" s="34" t="s">
        <v>465</v>
      </c>
      <c r="AF125" s="37" t="s">
        <v>550</v>
      </c>
      <c r="AG125" s="14" t="s">
        <v>513</v>
      </c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 t="s">
        <v>566</v>
      </c>
      <c r="AT125" s="14"/>
      <c r="AU125" s="11"/>
      <c r="AV125" s="14"/>
    </row>
    <row r="126" spans="1:49" s="45" customFormat="1" ht="15" x14ac:dyDescent="0.25">
      <c r="A126" s="46">
        <v>46135</v>
      </c>
      <c r="B126" s="13">
        <v>46165</v>
      </c>
      <c r="C126" s="42" t="s">
        <v>49</v>
      </c>
      <c r="D126" s="42" t="s">
        <v>299</v>
      </c>
      <c r="E126" s="14"/>
      <c r="F126" s="71">
        <v>3811979</v>
      </c>
      <c r="G126" s="42" t="s">
        <v>50</v>
      </c>
      <c r="H126" s="31">
        <v>20101973922</v>
      </c>
      <c r="I126" s="138" t="s">
        <v>54</v>
      </c>
      <c r="J126" s="11"/>
      <c r="K126" s="11"/>
      <c r="L126" s="11"/>
      <c r="M126" s="11"/>
      <c r="N126" s="116">
        <v>0</v>
      </c>
      <c r="O126" s="116">
        <v>0</v>
      </c>
      <c r="P126" s="11">
        <v>0</v>
      </c>
      <c r="Q126" s="11"/>
      <c r="R126" s="11">
        <v>66.8</v>
      </c>
      <c r="S126" s="11">
        <v>66.8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33">
        <v>46165</v>
      </c>
      <c r="AE126" s="34" t="s">
        <v>465</v>
      </c>
      <c r="AF126" s="37" t="s">
        <v>550</v>
      </c>
      <c r="AG126" s="14" t="s">
        <v>513</v>
      </c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566</v>
      </c>
      <c r="AT126" s="14"/>
      <c r="AU126" s="11"/>
      <c r="AV126" s="14"/>
    </row>
    <row r="127" spans="1:49" s="121" customFormat="1" ht="15" x14ac:dyDescent="0.25">
      <c r="A127" s="46">
        <v>46135</v>
      </c>
      <c r="B127" s="13">
        <v>46165</v>
      </c>
      <c r="C127" s="42" t="s">
        <v>49</v>
      </c>
      <c r="D127" s="42" t="s">
        <v>299</v>
      </c>
      <c r="E127" s="14"/>
      <c r="F127" s="71">
        <v>3811978</v>
      </c>
      <c r="G127" s="42" t="s">
        <v>50</v>
      </c>
      <c r="H127" s="31">
        <v>20101973922</v>
      </c>
      <c r="I127" s="138" t="s">
        <v>54</v>
      </c>
      <c r="J127" s="11"/>
      <c r="K127" s="11"/>
      <c r="L127" s="11"/>
      <c r="M127" s="11"/>
      <c r="N127" s="116">
        <v>0</v>
      </c>
      <c r="O127" s="116">
        <v>0</v>
      </c>
      <c r="P127" s="11">
        <v>0</v>
      </c>
      <c r="Q127" s="11"/>
      <c r="R127" s="11">
        <v>66.8</v>
      </c>
      <c r="S127" s="11">
        <v>66.8</v>
      </c>
      <c r="T127" s="14"/>
      <c r="U127" s="14"/>
      <c r="V127" s="13"/>
      <c r="W127" s="15"/>
      <c r="X127" s="13"/>
      <c r="Y127" s="14"/>
      <c r="Z127" s="14"/>
      <c r="AA127" s="14"/>
      <c r="AB127" s="42" t="s">
        <v>224</v>
      </c>
      <c r="AC127" s="11"/>
      <c r="AD127" s="33">
        <v>46165</v>
      </c>
      <c r="AE127" s="34" t="s">
        <v>465</v>
      </c>
      <c r="AF127" s="37" t="s">
        <v>550</v>
      </c>
      <c r="AG127" s="14" t="s">
        <v>513</v>
      </c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566</v>
      </c>
      <c r="AT127" s="14"/>
      <c r="AU127" s="11"/>
      <c r="AV127" s="14"/>
      <c r="AW127" s="45"/>
    </row>
    <row r="128" spans="1:49" s="45" customFormat="1" ht="15" x14ac:dyDescent="0.25">
      <c r="A128" s="46">
        <v>46135</v>
      </c>
      <c r="B128" s="13">
        <v>46165</v>
      </c>
      <c r="C128" s="42" t="s">
        <v>49</v>
      </c>
      <c r="D128" s="42" t="s">
        <v>299</v>
      </c>
      <c r="E128" s="14"/>
      <c r="F128" s="71">
        <v>3811977</v>
      </c>
      <c r="G128" s="42" t="s">
        <v>50</v>
      </c>
      <c r="H128" s="31">
        <v>20101973922</v>
      </c>
      <c r="I128" s="138" t="s">
        <v>54</v>
      </c>
      <c r="J128" s="11"/>
      <c r="K128" s="11"/>
      <c r="L128" s="11"/>
      <c r="M128" s="11"/>
      <c r="N128" s="116">
        <v>0</v>
      </c>
      <c r="O128" s="116">
        <v>0</v>
      </c>
      <c r="P128" s="11">
        <v>0</v>
      </c>
      <c r="Q128" s="11"/>
      <c r="R128" s="11">
        <v>66.8</v>
      </c>
      <c r="S128" s="11">
        <v>66.8</v>
      </c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33">
        <v>46165</v>
      </c>
      <c r="AE128" s="34" t="s">
        <v>465</v>
      </c>
      <c r="AF128" s="37" t="s">
        <v>550</v>
      </c>
      <c r="AG128" s="14" t="s">
        <v>513</v>
      </c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566</v>
      </c>
      <c r="AT128" s="14"/>
      <c r="AU128" s="11"/>
      <c r="AV128" s="14"/>
    </row>
    <row r="129" spans="1:49" s="45" customFormat="1" ht="15" x14ac:dyDescent="0.25">
      <c r="A129" s="46">
        <v>46135</v>
      </c>
      <c r="B129" s="13">
        <v>46165</v>
      </c>
      <c r="C129" s="42" t="s">
        <v>49</v>
      </c>
      <c r="D129" s="42" t="s">
        <v>299</v>
      </c>
      <c r="E129" s="14"/>
      <c r="F129" s="71">
        <v>3811976</v>
      </c>
      <c r="G129" s="42" t="s">
        <v>50</v>
      </c>
      <c r="H129" s="31">
        <v>20101973922</v>
      </c>
      <c r="I129" s="138" t="s">
        <v>54</v>
      </c>
      <c r="J129" s="11"/>
      <c r="K129" s="11"/>
      <c r="L129" s="11"/>
      <c r="M129" s="11"/>
      <c r="N129" s="116">
        <v>0</v>
      </c>
      <c r="O129" s="116">
        <v>0</v>
      </c>
      <c r="P129" s="11">
        <v>0</v>
      </c>
      <c r="Q129" s="11"/>
      <c r="R129" s="11">
        <v>66.8</v>
      </c>
      <c r="S129" s="11">
        <v>66.8</v>
      </c>
      <c r="T129" s="14"/>
      <c r="U129" s="14"/>
      <c r="V129" s="13"/>
      <c r="W129" s="15"/>
      <c r="X129" s="13"/>
      <c r="Y129" s="14"/>
      <c r="Z129" s="14"/>
      <c r="AA129" s="14"/>
      <c r="AB129" s="42" t="s">
        <v>224</v>
      </c>
      <c r="AC129" s="11"/>
      <c r="AD129" s="33">
        <v>46165</v>
      </c>
      <c r="AE129" s="34" t="s">
        <v>465</v>
      </c>
      <c r="AF129" s="37" t="s">
        <v>550</v>
      </c>
      <c r="AG129" s="14" t="s">
        <v>513</v>
      </c>
      <c r="AH129" s="1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566</v>
      </c>
      <c r="AT129" s="14"/>
      <c r="AU129" s="11"/>
      <c r="AV129" s="14"/>
    </row>
    <row r="130" spans="1:49" s="45" customFormat="1" ht="15" x14ac:dyDescent="0.25">
      <c r="A130" s="46">
        <v>46135</v>
      </c>
      <c r="B130" s="13">
        <v>46165</v>
      </c>
      <c r="C130" s="42" t="s">
        <v>49</v>
      </c>
      <c r="D130" s="42" t="s">
        <v>299</v>
      </c>
      <c r="E130" s="14"/>
      <c r="F130" s="71">
        <v>3811975</v>
      </c>
      <c r="G130" s="42" t="s">
        <v>50</v>
      </c>
      <c r="H130" s="31">
        <v>20101973922</v>
      </c>
      <c r="I130" s="138" t="s">
        <v>54</v>
      </c>
      <c r="J130" s="11"/>
      <c r="K130" s="11"/>
      <c r="L130" s="11"/>
      <c r="M130" s="11"/>
      <c r="N130" s="116">
        <v>0</v>
      </c>
      <c r="O130" s="116">
        <v>0</v>
      </c>
      <c r="P130" s="11">
        <v>0</v>
      </c>
      <c r="Q130" s="11"/>
      <c r="R130" s="11">
        <v>66.8</v>
      </c>
      <c r="S130" s="11">
        <v>66.8</v>
      </c>
      <c r="T130" s="14"/>
      <c r="U130" s="14"/>
      <c r="V130" s="13"/>
      <c r="W130" s="15"/>
      <c r="X130" s="13"/>
      <c r="Y130" s="14"/>
      <c r="Z130" s="14"/>
      <c r="AA130" s="14"/>
      <c r="AB130" s="42" t="s">
        <v>224</v>
      </c>
      <c r="AC130" s="11"/>
      <c r="AD130" s="33">
        <v>46165</v>
      </c>
      <c r="AE130" s="34" t="s">
        <v>465</v>
      </c>
      <c r="AF130" s="37" t="s">
        <v>550</v>
      </c>
      <c r="AG130" s="14" t="s">
        <v>513</v>
      </c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 t="s">
        <v>566</v>
      </c>
      <c r="AT130" s="14"/>
      <c r="AU130" s="11"/>
      <c r="AV130" s="14"/>
    </row>
    <row r="131" spans="1:49" s="45" customFormat="1" ht="15" x14ac:dyDescent="0.25">
      <c r="A131" s="46">
        <v>46135</v>
      </c>
      <c r="B131" s="13">
        <v>46165</v>
      </c>
      <c r="C131" s="42" t="s">
        <v>49</v>
      </c>
      <c r="D131" s="42" t="s">
        <v>299</v>
      </c>
      <c r="E131" s="14"/>
      <c r="F131" s="71">
        <v>3811974</v>
      </c>
      <c r="G131" s="42" t="s">
        <v>50</v>
      </c>
      <c r="H131" s="31">
        <v>20101973922</v>
      </c>
      <c r="I131" s="138" t="s">
        <v>54</v>
      </c>
      <c r="J131" s="11"/>
      <c r="K131" s="11"/>
      <c r="L131" s="11"/>
      <c r="M131" s="11"/>
      <c r="N131" s="116">
        <v>0</v>
      </c>
      <c r="O131" s="116">
        <v>0</v>
      </c>
      <c r="P131" s="11">
        <v>0</v>
      </c>
      <c r="Q131" s="11"/>
      <c r="R131" s="11">
        <v>66.8</v>
      </c>
      <c r="S131" s="11">
        <v>66.8</v>
      </c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33">
        <v>46165</v>
      </c>
      <c r="AE131" s="34" t="s">
        <v>465</v>
      </c>
      <c r="AF131" s="37" t="s">
        <v>550</v>
      </c>
      <c r="AG131" s="14" t="s">
        <v>513</v>
      </c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566</v>
      </c>
      <c r="AT131" s="14"/>
      <c r="AU131" s="11"/>
      <c r="AV131" s="14"/>
    </row>
    <row r="132" spans="1:49" s="45" customFormat="1" ht="15" x14ac:dyDescent="0.25">
      <c r="A132" s="108">
        <v>46135</v>
      </c>
      <c r="B132" s="109">
        <v>46165</v>
      </c>
      <c r="C132" s="111" t="s">
        <v>49</v>
      </c>
      <c r="D132" s="111" t="s">
        <v>299</v>
      </c>
      <c r="E132" s="112"/>
      <c r="F132" s="113">
        <v>3811973</v>
      </c>
      <c r="G132" s="111" t="s">
        <v>50</v>
      </c>
      <c r="H132" s="114">
        <v>20101973922</v>
      </c>
      <c r="I132" s="139" t="s">
        <v>54</v>
      </c>
      <c r="J132" s="116"/>
      <c r="K132" s="116"/>
      <c r="L132" s="116"/>
      <c r="M132" s="116"/>
      <c r="N132" s="116">
        <v>0</v>
      </c>
      <c r="O132" s="116">
        <v>0</v>
      </c>
      <c r="P132" s="11">
        <v>0</v>
      </c>
      <c r="Q132" s="11"/>
      <c r="R132" s="11">
        <v>66.8</v>
      </c>
      <c r="S132" s="11">
        <v>66.8</v>
      </c>
      <c r="T132" s="112"/>
      <c r="U132" s="112"/>
      <c r="V132" s="109"/>
      <c r="W132" s="118"/>
      <c r="X132" s="109"/>
      <c r="Y132" s="112"/>
      <c r="Z132" s="112"/>
      <c r="AA132" s="112"/>
      <c r="AB132" s="111" t="s">
        <v>224</v>
      </c>
      <c r="AC132" s="116"/>
      <c r="AD132" s="33">
        <v>46165</v>
      </c>
      <c r="AE132" s="34" t="s">
        <v>465</v>
      </c>
      <c r="AF132" s="37" t="s">
        <v>550</v>
      </c>
      <c r="AG132" s="14" t="s">
        <v>513</v>
      </c>
      <c r="AH132" s="112" t="s">
        <v>225</v>
      </c>
      <c r="AI132" s="112"/>
      <c r="AJ132" s="112"/>
      <c r="AK132" s="120"/>
      <c r="AL132" s="116"/>
      <c r="AM132" s="116"/>
      <c r="AN132" s="112"/>
      <c r="AO132" s="112"/>
      <c r="AP132" s="109"/>
      <c r="AQ132" s="112"/>
      <c r="AR132" s="116">
        <v>18</v>
      </c>
      <c r="AS132" s="112" t="s">
        <v>566</v>
      </c>
      <c r="AT132" s="112"/>
      <c r="AU132" s="116"/>
      <c r="AV132" s="112"/>
      <c r="AW132" s="121"/>
    </row>
    <row r="133" spans="1:49" s="45" customFormat="1" ht="15" x14ac:dyDescent="0.25">
      <c r="A133" s="46">
        <v>46135</v>
      </c>
      <c r="B133" s="13">
        <v>46165</v>
      </c>
      <c r="C133" s="42" t="s">
        <v>49</v>
      </c>
      <c r="D133" s="42" t="s">
        <v>299</v>
      </c>
      <c r="E133" s="14"/>
      <c r="F133" s="71">
        <v>3811972</v>
      </c>
      <c r="G133" s="42" t="s">
        <v>50</v>
      </c>
      <c r="H133" s="31">
        <v>20101973922</v>
      </c>
      <c r="I133" s="138" t="s">
        <v>54</v>
      </c>
      <c r="J133" s="11"/>
      <c r="K133" s="11"/>
      <c r="L133" s="11"/>
      <c r="M133" s="11"/>
      <c r="N133" s="116">
        <v>0</v>
      </c>
      <c r="O133" s="116">
        <v>0</v>
      </c>
      <c r="P133" s="11">
        <v>0</v>
      </c>
      <c r="Q133" s="11"/>
      <c r="R133" s="11">
        <v>66.8</v>
      </c>
      <c r="S133" s="11">
        <v>66.8</v>
      </c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>
        <v>46165</v>
      </c>
      <c r="AE133" s="34" t="s">
        <v>465</v>
      </c>
      <c r="AF133" s="37" t="s">
        <v>550</v>
      </c>
      <c r="AG133" s="14" t="s">
        <v>513</v>
      </c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 t="s">
        <v>566</v>
      </c>
      <c r="AT133" s="14"/>
      <c r="AU133" s="11"/>
      <c r="AV133" s="14"/>
    </row>
    <row r="134" spans="1:49" s="45" customFormat="1" ht="15" x14ac:dyDescent="0.25">
      <c r="A134" s="46">
        <v>46135</v>
      </c>
      <c r="B134" s="13">
        <v>46165</v>
      </c>
      <c r="C134" s="42" t="s">
        <v>49</v>
      </c>
      <c r="D134" s="42" t="s">
        <v>299</v>
      </c>
      <c r="E134" s="14"/>
      <c r="F134" s="71">
        <v>3811971</v>
      </c>
      <c r="G134" s="42" t="s">
        <v>50</v>
      </c>
      <c r="H134" s="31">
        <v>20101973922</v>
      </c>
      <c r="I134" s="138" t="s">
        <v>54</v>
      </c>
      <c r="J134" s="11"/>
      <c r="K134" s="11"/>
      <c r="L134" s="11"/>
      <c r="M134" s="11"/>
      <c r="N134" s="116">
        <v>0</v>
      </c>
      <c r="O134" s="116">
        <v>0</v>
      </c>
      <c r="P134" s="11">
        <v>0</v>
      </c>
      <c r="Q134" s="11"/>
      <c r="R134" s="11">
        <v>66.8</v>
      </c>
      <c r="S134" s="11">
        <v>66.8</v>
      </c>
      <c r="T134" s="14"/>
      <c r="U134" s="14"/>
      <c r="V134" s="13"/>
      <c r="W134" s="15"/>
      <c r="X134" s="13"/>
      <c r="Y134" s="14"/>
      <c r="Z134" s="14"/>
      <c r="AA134" s="14"/>
      <c r="AB134" s="42" t="s">
        <v>224</v>
      </c>
      <c r="AC134" s="11"/>
      <c r="AD134" s="33">
        <v>46165</v>
      </c>
      <c r="AE134" s="34" t="s">
        <v>465</v>
      </c>
      <c r="AF134" s="37" t="s">
        <v>550</v>
      </c>
      <c r="AG134" s="14" t="s">
        <v>513</v>
      </c>
      <c r="AH134" s="14" t="s">
        <v>225</v>
      </c>
      <c r="AI134" s="14"/>
      <c r="AJ134" s="14"/>
      <c r="AK134" s="16"/>
      <c r="AL134" s="11"/>
      <c r="AM134" s="11"/>
      <c r="AN134" s="14"/>
      <c r="AO134" s="14"/>
      <c r="AP134" s="13"/>
      <c r="AQ134" s="14"/>
      <c r="AR134" s="11">
        <v>18</v>
      </c>
      <c r="AS134" s="14" t="s">
        <v>566</v>
      </c>
      <c r="AT134" s="14"/>
      <c r="AU134" s="11"/>
      <c r="AV134" s="14"/>
    </row>
    <row r="135" spans="1:49" s="45" customFormat="1" ht="15" x14ac:dyDescent="0.25">
      <c r="A135" s="46">
        <v>46135</v>
      </c>
      <c r="B135" s="13">
        <v>46165</v>
      </c>
      <c r="C135" s="42" t="s">
        <v>49</v>
      </c>
      <c r="D135" s="42" t="s">
        <v>299</v>
      </c>
      <c r="E135" s="14"/>
      <c r="F135" s="71">
        <v>3811970</v>
      </c>
      <c r="G135" s="42" t="s">
        <v>50</v>
      </c>
      <c r="H135" s="31">
        <v>20101973922</v>
      </c>
      <c r="I135" s="138" t="s">
        <v>54</v>
      </c>
      <c r="J135" s="11"/>
      <c r="K135" s="11"/>
      <c r="L135" s="11"/>
      <c r="M135" s="11"/>
      <c r="N135" s="116">
        <v>0</v>
      </c>
      <c r="O135" s="116">
        <v>0</v>
      </c>
      <c r="P135" s="11">
        <v>0</v>
      </c>
      <c r="Q135" s="11"/>
      <c r="R135" s="11">
        <v>66.8</v>
      </c>
      <c r="S135" s="11">
        <v>66.8</v>
      </c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33">
        <v>46165</v>
      </c>
      <c r="AE135" s="34" t="s">
        <v>465</v>
      </c>
      <c r="AF135" s="37" t="s">
        <v>550</v>
      </c>
      <c r="AG135" s="14" t="s">
        <v>513</v>
      </c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566</v>
      </c>
      <c r="AT135" s="14"/>
      <c r="AU135" s="11"/>
      <c r="AV135" s="14"/>
    </row>
    <row r="136" spans="1:49" s="45" customFormat="1" ht="15" x14ac:dyDescent="0.25">
      <c r="A136" s="46">
        <v>46135</v>
      </c>
      <c r="B136" s="13">
        <v>46165</v>
      </c>
      <c r="C136" s="42" t="s">
        <v>49</v>
      </c>
      <c r="D136" s="42" t="s">
        <v>299</v>
      </c>
      <c r="E136" s="14"/>
      <c r="F136" s="71">
        <v>3811969</v>
      </c>
      <c r="G136" s="42" t="s">
        <v>50</v>
      </c>
      <c r="H136" s="31">
        <v>20101973922</v>
      </c>
      <c r="I136" s="138" t="s">
        <v>54</v>
      </c>
      <c r="J136" s="11"/>
      <c r="K136" s="11"/>
      <c r="L136" s="11"/>
      <c r="M136" s="11"/>
      <c r="N136" s="116">
        <v>0</v>
      </c>
      <c r="O136" s="116">
        <v>0</v>
      </c>
      <c r="P136" s="11">
        <v>0</v>
      </c>
      <c r="Q136" s="11"/>
      <c r="R136" s="11">
        <v>66.8</v>
      </c>
      <c r="S136" s="11">
        <v>66.8</v>
      </c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33">
        <v>46165</v>
      </c>
      <c r="AE136" s="34" t="s">
        <v>465</v>
      </c>
      <c r="AF136" s="37" t="s">
        <v>550</v>
      </c>
      <c r="AG136" s="14" t="s">
        <v>513</v>
      </c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566</v>
      </c>
      <c r="AT136" s="14"/>
      <c r="AU136" s="11"/>
      <c r="AV136" s="14"/>
    </row>
    <row r="137" spans="1:49" s="45" customFormat="1" ht="15" x14ac:dyDescent="0.25">
      <c r="A137" s="46">
        <v>46135</v>
      </c>
      <c r="B137" s="13">
        <v>46165</v>
      </c>
      <c r="C137" s="42" t="s">
        <v>49</v>
      </c>
      <c r="D137" s="42" t="s">
        <v>299</v>
      </c>
      <c r="E137" s="14"/>
      <c r="F137" s="71">
        <v>3811968</v>
      </c>
      <c r="G137" s="42" t="s">
        <v>50</v>
      </c>
      <c r="H137" s="31">
        <v>20101973922</v>
      </c>
      <c r="I137" s="138" t="s">
        <v>54</v>
      </c>
      <c r="J137" s="11"/>
      <c r="K137" s="11"/>
      <c r="L137" s="11"/>
      <c r="M137" s="11"/>
      <c r="N137" s="116">
        <v>0</v>
      </c>
      <c r="O137" s="116">
        <v>0</v>
      </c>
      <c r="P137" s="11">
        <v>0</v>
      </c>
      <c r="Q137" s="11"/>
      <c r="R137" s="11">
        <v>66.8</v>
      </c>
      <c r="S137" s="11">
        <v>66.8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>
        <v>46165</v>
      </c>
      <c r="AE137" s="34" t="s">
        <v>465</v>
      </c>
      <c r="AF137" s="37" t="s">
        <v>550</v>
      </c>
      <c r="AG137" s="14" t="s">
        <v>513</v>
      </c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566</v>
      </c>
      <c r="AT137" s="14"/>
      <c r="AU137" s="11"/>
      <c r="AV137" s="14"/>
    </row>
    <row r="138" spans="1:49" s="45" customFormat="1" ht="15" x14ac:dyDescent="0.25">
      <c r="A138" s="46">
        <v>46135</v>
      </c>
      <c r="B138" s="13">
        <v>46165</v>
      </c>
      <c r="C138" s="42" t="s">
        <v>49</v>
      </c>
      <c r="D138" s="42" t="s">
        <v>299</v>
      </c>
      <c r="E138" s="14"/>
      <c r="F138" s="71">
        <v>3811967</v>
      </c>
      <c r="G138" s="42" t="s">
        <v>50</v>
      </c>
      <c r="H138" s="31">
        <v>20101973922</v>
      </c>
      <c r="I138" s="138" t="s">
        <v>54</v>
      </c>
      <c r="J138" s="11"/>
      <c r="K138" s="11"/>
      <c r="L138" s="11"/>
      <c r="M138" s="11"/>
      <c r="N138" s="116">
        <v>0</v>
      </c>
      <c r="O138" s="116">
        <v>0</v>
      </c>
      <c r="P138" s="11">
        <v>0</v>
      </c>
      <c r="Q138" s="11"/>
      <c r="R138" s="11">
        <v>66.8</v>
      </c>
      <c r="S138" s="11">
        <v>66.8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>
        <v>46165</v>
      </c>
      <c r="AE138" s="34" t="s">
        <v>465</v>
      </c>
      <c r="AF138" s="37" t="s">
        <v>550</v>
      </c>
      <c r="AG138" s="14" t="s">
        <v>513</v>
      </c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566</v>
      </c>
      <c r="AT138" s="14"/>
      <c r="AU138" s="11"/>
      <c r="AV138" s="14"/>
    </row>
    <row r="139" spans="1:49" s="45" customFormat="1" ht="15" x14ac:dyDescent="0.25">
      <c r="A139" s="46">
        <v>46135</v>
      </c>
      <c r="B139" s="13">
        <v>46165</v>
      </c>
      <c r="C139" s="42" t="s">
        <v>49</v>
      </c>
      <c r="D139" s="42" t="s">
        <v>299</v>
      </c>
      <c r="E139" s="14"/>
      <c r="F139" s="71">
        <v>3811966</v>
      </c>
      <c r="G139" s="42" t="s">
        <v>50</v>
      </c>
      <c r="H139" s="31">
        <v>20101973922</v>
      </c>
      <c r="I139" s="138" t="s">
        <v>54</v>
      </c>
      <c r="J139" s="11"/>
      <c r="K139" s="11"/>
      <c r="L139" s="11"/>
      <c r="M139" s="11"/>
      <c r="N139" s="116">
        <v>0</v>
      </c>
      <c r="O139" s="116">
        <v>0</v>
      </c>
      <c r="P139" s="11">
        <v>0</v>
      </c>
      <c r="Q139" s="11"/>
      <c r="R139" s="11">
        <v>66.8</v>
      </c>
      <c r="S139" s="11">
        <v>66.8</v>
      </c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>
        <v>46165</v>
      </c>
      <c r="AE139" s="34" t="s">
        <v>465</v>
      </c>
      <c r="AF139" s="37" t="s">
        <v>550</v>
      </c>
      <c r="AG139" s="14" t="s">
        <v>513</v>
      </c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566</v>
      </c>
      <c r="AT139" s="14"/>
      <c r="AU139" s="11"/>
      <c r="AV139" s="14"/>
    </row>
    <row r="140" spans="1:49" s="45" customFormat="1" ht="15" x14ac:dyDescent="0.25">
      <c r="A140" s="46">
        <v>46135</v>
      </c>
      <c r="B140" s="13">
        <v>46165</v>
      </c>
      <c r="C140" s="42" t="s">
        <v>49</v>
      </c>
      <c r="D140" s="42" t="s">
        <v>299</v>
      </c>
      <c r="E140" s="14"/>
      <c r="F140" s="71">
        <v>3811965</v>
      </c>
      <c r="G140" s="42" t="s">
        <v>50</v>
      </c>
      <c r="H140" s="31">
        <v>20101973922</v>
      </c>
      <c r="I140" s="138" t="s">
        <v>54</v>
      </c>
      <c r="J140" s="11"/>
      <c r="K140" s="11"/>
      <c r="L140" s="11"/>
      <c r="M140" s="11"/>
      <c r="N140" s="116">
        <v>0</v>
      </c>
      <c r="O140" s="116">
        <v>0</v>
      </c>
      <c r="P140" s="11">
        <v>0</v>
      </c>
      <c r="Q140" s="11"/>
      <c r="R140" s="11">
        <v>66.8</v>
      </c>
      <c r="S140" s="11">
        <v>66.8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>
        <v>46165</v>
      </c>
      <c r="AE140" s="34" t="s">
        <v>465</v>
      </c>
      <c r="AF140" s="37" t="s">
        <v>550</v>
      </c>
      <c r="AG140" s="14" t="s">
        <v>513</v>
      </c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566</v>
      </c>
      <c r="AT140" s="14"/>
      <c r="AU140" s="11"/>
      <c r="AV140" s="14"/>
    </row>
    <row r="141" spans="1:49" s="45" customFormat="1" ht="15" x14ac:dyDescent="0.25">
      <c r="A141" s="46">
        <v>46135</v>
      </c>
      <c r="B141" s="13">
        <v>46165</v>
      </c>
      <c r="C141" s="42" t="s">
        <v>49</v>
      </c>
      <c r="D141" s="42" t="s">
        <v>299</v>
      </c>
      <c r="E141" s="14"/>
      <c r="F141" s="71">
        <v>3811964</v>
      </c>
      <c r="G141" s="42" t="s">
        <v>50</v>
      </c>
      <c r="H141" s="31">
        <v>20101973922</v>
      </c>
      <c r="I141" s="138" t="s">
        <v>54</v>
      </c>
      <c r="J141" s="11"/>
      <c r="K141" s="11"/>
      <c r="L141" s="11"/>
      <c r="M141" s="11"/>
      <c r="N141" s="116">
        <v>0</v>
      </c>
      <c r="O141" s="116">
        <v>0</v>
      </c>
      <c r="P141" s="11">
        <v>0</v>
      </c>
      <c r="Q141" s="11"/>
      <c r="R141" s="11">
        <v>66.8</v>
      </c>
      <c r="S141" s="11">
        <v>66.8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>
        <v>46165</v>
      </c>
      <c r="AE141" s="34" t="s">
        <v>465</v>
      </c>
      <c r="AF141" s="37" t="s">
        <v>550</v>
      </c>
      <c r="AG141" s="14" t="s">
        <v>513</v>
      </c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 t="s">
        <v>566</v>
      </c>
      <c r="AT141" s="14"/>
      <c r="AU141" s="11"/>
      <c r="AV141" s="14"/>
    </row>
    <row r="142" spans="1:49" s="45" customFormat="1" ht="15" x14ac:dyDescent="0.25">
      <c r="A142" s="46">
        <v>46135</v>
      </c>
      <c r="B142" s="13">
        <v>46165</v>
      </c>
      <c r="C142" s="42" t="s">
        <v>49</v>
      </c>
      <c r="D142" s="42" t="s">
        <v>299</v>
      </c>
      <c r="E142" s="14"/>
      <c r="F142" s="71">
        <v>3811963</v>
      </c>
      <c r="G142" s="42" t="s">
        <v>50</v>
      </c>
      <c r="H142" s="31">
        <v>20101973922</v>
      </c>
      <c r="I142" s="138" t="s">
        <v>54</v>
      </c>
      <c r="J142" s="11"/>
      <c r="K142" s="11"/>
      <c r="L142" s="11"/>
      <c r="M142" s="11"/>
      <c r="N142" s="116">
        <v>0</v>
      </c>
      <c r="O142" s="116">
        <v>0</v>
      </c>
      <c r="P142" s="11">
        <v>0</v>
      </c>
      <c r="Q142" s="11"/>
      <c r="R142" s="11">
        <v>66.8</v>
      </c>
      <c r="S142" s="11">
        <v>66.8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>
        <v>46165</v>
      </c>
      <c r="AE142" s="34" t="s">
        <v>465</v>
      </c>
      <c r="AF142" s="37" t="s">
        <v>550</v>
      </c>
      <c r="AG142" s="14" t="s">
        <v>513</v>
      </c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 t="s">
        <v>566</v>
      </c>
      <c r="AT142" s="14"/>
      <c r="AU142" s="11"/>
      <c r="AV142" s="14"/>
    </row>
    <row r="143" spans="1:49" s="45" customFormat="1" ht="15" x14ac:dyDescent="0.25">
      <c r="A143" s="46">
        <v>46135</v>
      </c>
      <c r="B143" s="13">
        <v>46165</v>
      </c>
      <c r="C143" s="42" t="s">
        <v>49</v>
      </c>
      <c r="D143" s="42" t="s">
        <v>299</v>
      </c>
      <c r="E143" s="14"/>
      <c r="F143" s="71">
        <v>3811962</v>
      </c>
      <c r="G143" s="42" t="s">
        <v>50</v>
      </c>
      <c r="H143" s="31">
        <v>20101973922</v>
      </c>
      <c r="I143" s="138" t="s">
        <v>54</v>
      </c>
      <c r="J143" s="11"/>
      <c r="K143" s="11"/>
      <c r="L143" s="11"/>
      <c r="M143" s="11"/>
      <c r="N143" s="116">
        <v>0</v>
      </c>
      <c r="O143" s="116">
        <v>0</v>
      </c>
      <c r="P143" s="11">
        <v>0</v>
      </c>
      <c r="Q143" s="11"/>
      <c r="R143" s="11">
        <v>66.8</v>
      </c>
      <c r="S143" s="11">
        <v>66.8</v>
      </c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>
        <v>46165</v>
      </c>
      <c r="AE143" s="34" t="s">
        <v>465</v>
      </c>
      <c r="AF143" s="37" t="s">
        <v>550</v>
      </c>
      <c r="AG143" s="14" t="s">
        <v>513</v>
      </c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566</v>
      </c>
      <c r="AT143" s="14"/>
      <c r="AU143" s="11"/>
      <c r="AV143" s="14"/>
    </row>
    <row r="144" spans="1:49" s="45" customFormat="1" ht="15" x14ac:dyDescent="0.25">
      <c r="A144" s="46">
        <v>46135</v>
      </c>
      <c r="B144" s="13">
        <v>46165</v>
      </c>
      <c r="C144" s="42" t="s">
        <v>49</v>
      </c>
      <c r="D144" s="42" t="s">
        <v>299</v>
      </c>
      <c r="E144" s="14"/>
      <c r="F144" s="71">
        <v>3811961</v>
      </c>
      <c r="G144" s="42" t="s">
        <v>50</v>
      </c>
      <c r="H144" s="31">
        <v>20101973922</v>
      </c>
      <c r="I144" s="138" t="s">
        <v>54</v>
      </c>
      <c r="J144" s="11"/>
      <c r="K144" s="11"/>
      <c r="L144" s="11"/>
      <c r="M144" s="11"/>
      <c r="N144" s="116">
        <v>0</v>
      </c>
      <c r="O144" s="116">
        <v>0</v>
      </c>
      <c r="P144" s="11">
        <v>0</v>
      </c>
      <c r="Q144" s="11"/>
      <c r="R144" s="11">
        <v>66.8</v>
      </c>
      <c r="S144" s="11">
        <v>66.8</v>
      </c>
      <c r="T144" s="14"/>
      <c r="U144" s="14"/>
      <c r="V144" s="13"/>
      <c r="W144" s="15"/>
      <c r="X144" s="13"/>
      <c r="Y144" s="14"/>
      <c r="Z144" s="14"/>
      <c r="AA144" s="14"/>
      <c r="AB144" s="42" t="s">
        <v>224</v>
      </c>
      <c r="AC144" s="11"/>
      <c r="AD144" s="33">
        <v>46165</v>
      </c>
      <c r="AE144" s="34" t="s">
        <v>465</v>
      </c>
      <c r="AF144" s="37" t="s">
        <v>550</v>
      </c>
      <c r="AG144" s="14" t="s">
        <v>513</v>
      </c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566</v>
      </c>
      <c r="AT144" s="14"/>
      <c r="AU144" s="11"/>
      <c r="AV144" s="14"/>
    </row>
    <row r="145" spans="1:49" s="121" customFormat="1" ht="15" x14ac:dyDescent="0.25">
      <c r="A145" s="46">
        <v>46135</v>
      </c>
      <c r="B145" s="13">
        <v>46165</v>
      </c>
      <c r="C145" s="42" t="s">
        <v>49</v>
      </c>
      <c r="D145" s="42" t="s">
        <v>299</v>
      </c>
      <c r="E145" s="14"/>
      <c r="F145" s="71">
        <v>3811960</v>
      </c>
      <c r="G145" s="42" t="s">
        <v>50</v>
      </c>
      <c r="H145" s="31">
        <v>20101973922</v>
      </c>
      <c r="I145" s="138" t="s">
        <v>54</v>
      </c>
      <c r="J145" s="11"/>
      <c r="K145" s="11"/>
      <c r="L145" s="11"/>
      <c r="M145" s="11"/>
      <c r="N145" s="116">
        <v>0</v>
      </c>
      <c r="O145" s="116">
        <v>0</v>
      </c>
      <c r="P145" s="11">
        <v>0</v>
      </c>
      <c r="Q145" s="11"/>
      <c r="R145" s="11">
        <v>66.8</v>
      </c>
      <c r="S145" s="11">
        <v>66.8</v>
      </c>
      <c r="T145" s="14"/>
      <c r="U145" s="14"/>
      <c r="V145" s="13"/>
      <c r="W145" s="15"/>
      <c r="X145" s="13"/>
      <c r="Y145" s="14"/>
      <c r="Z145" s="14"/>
      <c r="AA145" s="14"/>
      <c r="AB145" s="42" t="s">
        <v>224</v>
      </c>
      <c r="AC145" s="11"/>
      <c r="AD145" s="33">
        <v>46165</v>
      </c>
      <c r="AE145" s="34" t="s">
        <v>465</v>
      </c>
      <c r="AF145" s="37" t="s">
        <v>550</v>
      </c>
      <c r="AG145" s="14" t="s">
        <v>513</v>
      </c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 t="s">
        <v>566</v>
      </c>
      <c r="AT145" s="14"/>
      <c r="AU145" s="11"/>
      <c r="AV145" s="14"/>
      <c r="AW145" s="45"/>
    </row>
    <row r="146" spans="1:49" s="45" customFormat="1" ht="15" x14ac:dyDescent="0.25">
      <c r="A146" s="46">
        <v>46135</v>
      </c>
      <c r="B146" s="13">
        <v>46165</v>
      </c>
      <c r="C146" s="42" t="s">
        <v>49</v>
      </c>
      <c r="D146" s="42" t="s">
        <v>299</v>
      </c>
      <c r="E146" s="14"/>
      <c r="F146" s="71">
        <v>3811959</v>
      </c>
      <c r="G146" s="42" t="s">
        <v>50</v>
      </c>
      <c r="H146" s="31">
        <v>20101973922</v>
      </c>
      <c r="I146" s="138" t="s">
        <v>54</v>
      </c>
      <c r="J146" s="11"/>
      <c r="K146" s="11"/>
      <c r="L146" s="11"/>
      <c r="M146" s="11"/>
      <c r="N146" s="116">
        <v>0</v>
      </c>
      <c r="O146" s="116">
        <v>0</v>
      </c>
      <c r="P146" s="11">
        <v>0</v>
      </c>
      <c r="Q146" s="11"/>
      <c r="R146" s="11">
        <v>66.8</v>
      </c>
      <c r="S146" s="11">
        <v>66.8</v>
      </c>
      <c r="T146" s="14"/>
      <c r="U146" s="14"/>
      <c r="V146" s="13"/>
      <c r="W146" s="15"/>
      <c r="X146" s="13"/>
      <c r="Y146" s="14"/>
      <c r="Z146" s="14"/>
      <c r="AA146" s="14"/>
      <c r="AB146" s="42" t="s">
        <v>224</v>
      </c>
      <c r="AC146" s="11"/>
      <c r="AD146" s="33">
        <v>46165</v>
      </c>
      <c r="AE146" s="34" t="s">
        <v>465</v>
      </c>
      <c r="AF146" s="37" t="s">
        <v>550</v>
      </c>
      <c r="AG146" s="14" t="s">
        <v>513</v>
      </c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566</v>
      </c>
      <c r="AT146" s="14"/>
      <c r="AU146" s="11"/>
      <c r="AV146" s="14"/>
    </row>
    <row r="147" spans="1:49" s="45" customFormat="1" ht="15" x14ac:dyDescent="0.25">
      <c r="A147" s="46">
        <v>46135</v>
      </c>
      <c r="B147" s="13">
        <v>46165</v>
      </c>
      <c r="C147" s="42" t="s">
        <v>49</v>
      </c>
      <c r="D147" s="42" t="s">
        <v>299</v>
      </c>
      <c r="E147" s="14"/>
      <c r="F147" s="71">
        <v>3811958</v>
      </c>
      <c r="G147" s="42" t="s">
        <v>50</v>
      </c>
      <c r="H147" s="31">
        <v>20101973922</v>
      </c>
      <c r="I147" s="138" t="s">
        <v>54</v>
      </c>
      <c r="J147" s="11"/>
      <c r="K147" s="11"/>
      <c r="L147" s="11"/>
      <c r="M147" s="11"/>
      <c r="N147" s="116">
        <v>0</v>
      </c>
      <c r="O147" s="116">
        <v>0</v>
      </c>
      <c r="P147" s="11">
        <v>0</v>
      </c>
      <c r="Q147" s="11"/>
      <c r="R147" s="11">
        <v>66.8</v>
      </c>
      <c r="S147" s="11">
        <v>66.8</v>
      </c>
      <c r="T147" s="14"/>
      <c r="U147" s="14"/>
      <c r="V147" s="13"/>
      <c r="W147" s="15"/>
      <c r="X147" s="13"/>
      <c r="Y147" s="14"/>
      <c r="Z147" s="14"/>
      <c r="AA147" s="14"/>
      <c r="AB147" s="42" t="s">
        <v>224</v>
      </c>
      <c r="AC147" s="11"/>
      <c r="AD147" s="33">
        <v>46165</v>
      </c>
      <c r="AE147" s="34" t="s">
        <v>465</v>
      </c>
      <c r="AF147" s="37" t="s">
        <v>550</v>
      </c>
      <c r="AG147" s="14" t="s">
        <v>513</v>
      </c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 t="s">
        <v>566</v>
      </c>
      <c r="AT147" s="14"/>
      <c r="AU147" s="11"/>
      <c r="AV147" s="14"/>
    </row>
    <row r="148" spans="1:49" s="45" customFormat="1" ht="15" x14ac:dyDescent="0.25">
      <c r="A148" s="46">
        <v>46135</v>
      </c>
      <c r="B148" s="13">
        <v>46165</v>
      </c>
      <c r="C148" s="42" t="s">
        <v>49</v>
      </c>
      <c r="D148" s="42" t="s">
        <v>299</v>
      </c>
      <c r="E148" s="14"/>
      <c r="F148" s="71">
        <v>3811957</v>
      </c>
      <c r="G148" s="42" t="s">
        <v>50</v>
      </c>
      <c r="H148" s="31">
        <v>20101973922</v>
      </c>
      <c r="I148" s="138" t="s">
        <v>54</v>
      </c>
      <c r="J148" s="11"/>
      <c r="K148" s="11"/>
      <c r="L148" s="11"/>
      <c r="M148" s="11"/>
      <c r="N148" s="116">
        <v>0</v>
      </c>
      <c r="O148" s="116">
        <v>0</v>
      </c>
      <c r="P148" s="11">
        <v>0</v>
      </c>
      <c r="Q148" s="11"/>
      <c r="R148" s="11">
        <v>66.8</v>
      </c>
      <c r="S148" s="11">
        <v>66.8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33">
        <v>46165</v>
      </c>
      <c r="AE148" s="34" t="s">
        <v>465</v>
      </c>
      <c r="AF148" s="37" t="s">
        <v>550</v>
      </c>
      <c r="AG148" s="14" t="s">
        <v>513</v>
      </c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566</v>
      </c>
      <c r="AT148" s="14"/>
      <c r="AU148" s="11"/>
      <c r="AV148" s="14"/>
    </row>
    <row r="149" spans="1:49" s="45" customFormat="1" ht="15" x14ac:dyDescent="0.25">
      <c r="A149" s="46">
        <v>46135</v>
      </c>
      <c r="B149" s="13">
        <v>46165</v>
      </c>
      <c r="C149" s="42" t="s">
        <v>49</v>
      </c>
      <c r="D149" s="42" t="s">
        <v>299</v>
      </c>
      <c r="E149" s="14"/>
      <c r="F149" s="71">
        <v>3811956</v>
      </c>
      <c r="G149" s="42" t="s">
        <v>50</v>
      </c>
      <c r="H149" s="31">
        <v>20101973922</v>
      </c>
      <c r="I149" s="138" t="s">
        <v>54</v>
      </c>
      <c r="J149" s="11"/>
      <c r="K149" s="11"/>
      <c r="L149" s="11"/>
      <c r="M149" s="11"/>
      <c r="N149" s="116">
        <v>0</v>
      </c>
      <c r="O149" s="116">
        <v>0</v>
      </c>
      <c r="P149" s="11">
        <v>0</v>
      </c>
      <c r="Q149" s="11"/>
      <c r="R149" s="11">
        <v>66.8</v>
      </c>
      <c r="S149" s="11">
        <v>66.8</v>
      </c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33">
        <v>46165</v>
      </c>
      <c r="AE149" s="34" t="s">
        <v>465</v>
      </c>
      <c r="AF149" s="37" t="s">
        <v>550</v>
      </c>
      <c r="AG149" s="14" t="s">
        <v>513</v>
      </c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566</v>
      </c>
      <c r="AT149" s="14"/>
      <c r="AU149" s="11"/>
      <c r="AV149" s="14"/>
    </row>
    <row r="150" spans="1:49" s="45" customFormat="1" ht="15" x14ac:dyDescent="0.25">
      <c r="A150" s="46">
        <v>46135</v>
      </c>
      <c r="B150" s="13">
        <v>46165</v>
      </c>
      <c r="C150" s="42" t="s">
        <v>49</v>
      </c>
      <c r="D150" s="42" t="s">
        <v>299</v>
      </c>
      <c r="E150" s="14"/>
      <c r="F150" s="71">
        <v>3811955</v>
      </c>
      <c r="G150" s="42" t="s">
        <v>50</v>
      </c>
      <c r="H150" s="31">
        <v>20101973922</v>
      </c>
      <c r="I150" s="138" t="s">
        <v>54</v>
      </c>
      <c r="J150" s="11"/>
      <c r="K150" s="11"/>
      <c r="L150" s="11"/>
      <c r="M150" s="11"/>
      <c r="N150" s="116">
        <v>0</v>
      </c>
      <c r="O150" s="116">
        <v>0</v>
      </c>
      <c r="P150" s="11">
        <v>0</v>
      </c>
      <c r="Q150" s="11"/>
      <c r="R150" s="11">
        <v>66.8</v>
      </c>
      <c r="S150" s="11">
        <v>66.8</v>
      </c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33">
        <v>46165</v>
      </c>
      <c r="AE150" s="34" t="s">
        <v>465</v>
      </c>
      <c r="AF150" s="37" t="s">
        <v>550</v>
      </c>
      <c r="AG150" s="14" t="s">
        <v>513</v>
      </c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566</v>
      </c>
      <c r="AT150" s="14"/>
      <c r="AU150" s="11"/>
      <c r="AV150" s="14"/>
    </row>
    <row r="151" spans="1:49" s="45" customFormat="1" ht="15" x14ac:dyDescent="0.25">
      <c r="A151" s="13">
        <v>46136</v>
      </c>
      <c r="B151" s="13"/>
      <c r="C151" s="42" t="s">
        <v>49</v>
      </c>
      <c r="D151" s="42" t="s">
        <v>292</v>
      </c>
      <c r="E151" s="14"/>
      <c r="F151" s="71">
        <v>738</v>
      </c>
      <c r="G151" s="42" t="s">
        <v>50</v>
      </c>
      <c r="H151" s="31">
        <v>10433685721</v>
      </c>
      <c r="I151" s="138" t="s">
        <v>235</v>
      </c>
      <c r="J151" s="11"/>
      <c r="K151" s="11"/>
      <c r="L151" s="11"/>
      <c r="M151" s="11"/>
      <c r="N151" s="116">
        <v>0</v>
      </c>
      <c r="O151" s="116">
        <v>0</v>
      </c>
      <c r="P151" s="11">
        <v>10</v>
      </c>
      <c r="Q151" s="11"/>
      <c r="R151" s="11"/>
      <c r="S151" s="11">
        <v>10</v>
      </c>
      <c r="T151" s="14"/>
      <c r="U151" s="14"/>
      <c r="V151" s="13"/>
      <c r="W151" s="15"/>
      <c r="X151" s="13"/>
      <c r="Y151" s="14"/>
      <c r="Z151" s="14"/>
      <c r="AA151" s="14"/>
      <c r="AB151" s="42" t="s">
        <v>224</v>
      </c>
      <c r="AC151" s="11"/>
      <c r="AD151" s="33"/>
      <c r="AE151" s="34" t="s">
        <v>262</v>
      </c>
      <c r="AF151" s="37" t="s">
        <v>521</v>
      </c>
      <c r="AG151" s="14"/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682</v>
      </c>
      <c r="AT151" s="14"/>
      <c r="AU151" s="11"/>
      <c r="AV151" s="14"/>
    </row>
    <row r="152" spans="1:49" s="45" customFormat="1" ht="15" x14ac:dyDescent="0.25">
      <c r="A152" s="13">
        <v>46136</v>
      </c>
      <c r="B152" s="13">
        <v>46166</v>
      </c>
      <c r="C152" s="42" t="s">
        <v>49</v>
      </c>
      <c r="D152" s="42" t="s">
        <v>292</v>
      </c>
      <c r="E152" s="14"/>
      <c r="F152" s="71">
        <v>530</v>
      </c>
      <c r="G152" s="42" t="s">
        <v>50</v>
      </c>
      <c r="H152" s="31">
        <v>10712058159</v>
      </c>
      <c r="I152" s="138" t="s">
        <v>6461</v>
      </c>
      <c r="J152" s="11"/>
      <c r="K152" s="11"/>
      <c r="L152" s="11"/>
      <c r="M152" s="11"/>
      <c r="N152" s="116">
        <v>0</v>
      </c>
      <c r="O152" s="116">
        <v>0</v>
      </c>
      <c r="P152" s="11">
        <v>100</v>
      </c>
      <c r="Q152" s="11"/>
      <c r="R152" s="11"/>
      <c r="S152" s="11">
        <v>100</v>
      </c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62"/>
      <c r="AD152" s="33">
        <v>46166</v>
      </c>
      <c r="AE152" s="34" t="s">
        <v>465</v>
      </c>
      <c r="AF152" s="37" t="s">
        <v>706</v>
      </c>
      <c r="AG152" s="14"/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683</v>
      </c>
      <c r="AT152" s="14"/>
      <c r="AU152" s="11"/>
      <c r="AV152" s="14"/>
    </row>
    <row r="153" spans="1:49" s="47" customFormat="1" ht="15" x14ac:dyDescent="0.25">
      <c r="A153" s="13">
        <v>46137</v>
      </c>
      <c r="B153" s="13">
        <v>46167</v>
      </c>
      <c r="C153" s="42" t="s">
        <v>49</v>
      </c>
      <c r="D153" s="42" t="s">
        <v>292</v>
      </c>
      <c r="E153" s="14"/>
      <c r="F153" s="71">
        <v>532</v>
      </c>
      <c r="G153" s="42" t="s">
        <v>50</v>
      </c>
      <c r="H153" s="31">
        <v>10712058159</v>
      </c>
      <c r="I153" s="138" t="s">
        <v>6461</v>
      </c>
      <c r="J153" s="11"/>
      <c r="K153" s="11"/>
      <c r="L153" s="11"/>
      <c r="M153" s="11"/>
      <c r="N153" s="116">
        <v>0</v>
      </c>
      <c r="O153" s="116">
        <v>0</v>
      </c>
      <c r="P153" s="11">
        <v>95</v>
      </c>
      <c r="Q153" s="11"/>
      <c r="R153" s="11"/>
      <c r="S153" s="11">
        <v>95</v>
      </c>
      <c r="T153" s="14"/>
      <c r="U153" s="14"/>
      <c r="V153" s="13"/>
      <c r="W153" s="15"/>
      <c r="X153" s="13"/>
      <c r="Y153" s="14"/>
      <c r="Z153" s="14"/>
      <c r="AA153" s="14"/>
      <c r="AB153" s="42" t="s">
        <v>224</v>
      </c>
      <c r="AC153" s="11"/>
      <c r="AD153" s="33">
        <v>46167</v>
      </c>
      <c r="AE153" s="34" t="s">
        <v>465</v>
      </c>
      <c r="AF153" s="37" t="s">
        <v>701</v>
      </c>
      <c r="AG153" s="14"/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684</v>
      </c>
      <c r="AT153" s="14"/>
      <c r="AU153" s="11"/>
      <c r="AV153" s="14"/>
      <c r="AW153" s="45"/>
    </row>
    <row r="154" spans="1:49" s="47" customFormat="1" ht="15" x14ac:dyDescent="0.25">
      <c r="A154" s="46">
        <v>46137</v>
      </c>
      <c r="B154" s="13">
        <v>46167</v>
      </c>
      <c r="C154" s="42" t="s">
        <v>49</v>
      </c>
      <c r="D154" s="42" t="s">
        <v>301</v>
      </c>
      <c r="E154" s="14"/>
      <c r="F154" s="71">
        <v>17956</v>
      </c>
      <c r="G154" s="42" t="s">
        <v>50</v>
      </c>
      <c r="H154" s="31">
        <v>20493508645</v>
      </c>
      <c r="I154" s="138" t="s">
        <v>52</v>
      </c>
      <c r="J154" s="11"/>
      <c r="K154" s="11"/>
      <c r="L154" s="11"/>
      <c r="M154" s="11"/>
      <c r="N154" s="11">
        <v>2.0338983061157119E-3</v>
      </c>
      <c r="O154" s="11">
        <v>3.661016951008281E-4</v>
      </c>
      <c r="P154" s="11">
        <v>17584.07</v>
      </c>
      <c r="Q154" s="11"/>
      <c r="R154" s="11"/>
      <c r="S154" s="11">
        <v>17584.072400000001</v>
      </c>
      <c r="T154" s="14"/>
      <c r="U154" s="14"/>
      <c r="V154" s="13"/>
      <c r="W154" s="15">
        <v>3.4780000000000002</v>
      </c>
      <c r="X154" s="13"/>
      <c r="Y154" s="14"/>
      <c r="Z154" s="14"/>
      <c r="AA154" s="14"/>
      <c r="AB154" s="42" t="s">
        <v>383</v>
      </c>
      <c r="AC154" s="11">
        <v>5055.8</v>
      </c>
      <c r="AD154" s="13">
        <v>46167</v>
      </c>
      <c r="AE154" s="34" t="s">
        <v>465</v>
      </c>
      <c r="AF154" s="73" t="s">
        <v>532</v>
      </c>
      <c r="AG154" s="14"/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 t="s">
        <v>201</v>
      </c>
      <c r="AT154" s="14"/>
      <c r="AU154" s="11"/>
      <c r="AV154" s="14"/>
      <c r="AW154" s="45"/>
    </row>
    <row r="155" spans="1:49" s="45" customFormat="1" ht="15" x14ac:dyDescent="0.25">
      <c r="A155" s="46">
        <v>46137</v>
      </c>
      <c r="B155" s="13">
        <v>46167</v>
      </c>
      <c r="C155" s="42" t="s">
        <v>49</v>
      </c>
      <c r="D155" s="42" t="s">
        <v>294</v>
      </c>
      <c r="E155" s="14"/>
      <c r="F155" s="71">
        <v>754</v>
      </c>
      <c r="G155" s="42" t="s">
        <v>50</v>
      </c>
      <c r="H155" s="31">
        <v>10733910921</v>
      </c>
      <c r="I155" s="138" t="s">
        <v>477</v>
      </c>
      <c r="J155" s="11"/>
      <c r="K155" s="11"/>
      <c r="L155" s="11"/>
      <c r="M155" s="11"/>
      <c r="N155" s="116">
        <v>0</v>
      </c>
      <c r="O155" s="116">
        <v>0</v>
      </c>
      <c r="P155" s="11">
        <v>7</v>
      </c>
      <c r="Q155" s="11"/>
      <c r="R155" s="11"/>
      <c r="S155" s="11">
        <v>7</v>
      </c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33">
        <v>46167</v>
      </c>
      <c r="AE155" s="34" t="s">
        <v>465</v>
      </c>
      <c r="AF155" s="37" t="s">
        <v>602</v>
      </c>
      <c r="AG155" s="14"/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 t="s">
        <v>685</v>
      </c>
      <c r="AT155" s="14"/>
      <c r="AU155" s="11"/>
      <c r="AV155" s="14"/>
    </row>
    <row r="156" spans="1:49" s="45" customFormat="1" ht="15" x14ac:dyDescent="0.25">
      <c r="A156" s="72">
        <v>46139</v>
      </c>
      <c r="B156" s="33">
        <v>46169</v>
      </c>
      <c r="C156" s="48" t="s">
        <v>49</v>
      </c>
      <c r="D156" s="48" t="s">
        <v>292</v>
      </c>
      <c r="E156" s="34"/>
      <c r="F156" s="71">
        <v>214</v>
      </c>
      <c r="G156" s="48" t="s">
        <v>50</v>
      </c>
      <c r="H156" s="31">
        <v>10447422951</v>
      </c>
      <c r="I156" s="222" t="s">
        <v>293</v>
      </c>
      <c r="J156" s="35"/>
      <c r="K156" s="35"/>
      <c r="L156" s="35"/>
      <c r="M156" s="35"/>
      <c r="N156" s="208">
        <v>0</v>
      </c>
      <c r="O156" s="208">
        <v>0</v>
      </c>
      <c r="P156" s="35">
        <v>1195.5</v>
      </c>
      <c r="Q156" s="35"/>
      <c r="R156" s="35"/>
      <c r="S156" s="35">
        <v>1195.5</v>
      </c>
      <c r="T156" s="34"/>
      <c r="U156" s="34"/>
      <c r="V156" s="33"/>
      <c r="W156" s="36"/>
      <c r="X156" s="33"/>
      <c r="Y156" s="34"/>
      <c r="Z156" s="34"/>
      <c r="AA156" s="34"/>
      <c r="AB156" s="48" t="s">
        <v>224</v>
      </c>
      <c r="AC156" s="35"/>
      <c r="AD156" s="33">
        <v>46169</v>
      </c>
      <c r="AE156" s="34" t="s">
        <v>465</v>
      </c>
      <c r="AF156" s="34" t="s">
        <v>702</v>
      </c>
      <c r="AG156" s="34"/>
      <c r="AH156" s="34" t="s">
        <v>225</v>
      </c>
      <c r="AI156" s="34"/>
      <c r="AJ156" s="34"/>
      <c r="AK156" s="38"/>
      <c r="AL156" s="35"/>
      <c r="AM156" s="35"/>
      <c r="AN156" s="34"/>
      <c r="AO156" s="34"/>
      <c r="AP156" s="33"/>
      <c r="AQ156" s="34"/>
      <c r="AR156" s="35">
        <v>18</v>
      </c>
      <c r="AS156" s="34" t="s">
        <v>686</v>
      </c>
      <c r="AT156" s="34"/>
      <c r="AU156" s="35"/>
      <c r="AV156" s="34"/>
      <c r="AW156"/>
    </row>
    <row r="157" spans="1:49" s="45" customFormat="1" ht="15" x14ac:dyDescent="0.25">
      <c r="A157" s="46">
        <v>46139</v>
      </c>
      <c r="B157" s="13">
        <v>46169</v>
      </c>
      <c r="C157" s="42" t="s">
        <v>49</v>
      </c>
      <c r="D157" s="42" t="s">
        <v>301</v>
      </c>
      <c r="E157" s="14"/>
      <c r="F157" s="71">
        <v>17980</v>
      </c>
      <c r="G157" s="42" t="s">
        <v>50</v>
      </c>
      <c r="H157" s="31">
        <v>20493508645</v>
      </c>
      <c r="I157" s="138" t="s">
        <v>52</v>
      </c>
      <c r="J157" s="11"/>
      <c r="K157" s="11"/>
      <c r="L157" s="11"/>
      <c r="M157" s="11"/>
      <c r="N157" s="11">
        <v>-4.9152542364396857E-4</v>
      </c>
      <c r="O157" s="11">
        <v>-8.8474576255914345E-5</v>
      </c>
      <c r="P157" s="11">
        <v>30846</v>
      </c>
      <c r="Q157" s="11"/>
      <c r="R157" s="11"/>
      <c r="S157" s="11">
        <v>30845.99942</v>
      </c>
      <c r="T157" s="14"/>
      <c r="U157" s="14"/>
      <c r="V157" s="13"/>
      <c r="W157" s="15">
        <v>3.4780000000000002</v>
      </c>
      <c r="X157" s="13"/>
      <c r="Y157" s="14"/>
      <c r="Z157" s="14"/>
      <c r="AA157" s="14"/>
      <c r="AB157" s="42" t="s">
        <v>383</v>
      </c>
      <c r="AC157" s="11">
        <v>8868.89</v>
      </c>
      <c r="AD157" s="13">
        <v>46169</v>
      </c>
      <c r="AE157" s="34" t="s">
        <v>465</v>
      </c>
      <c r="AF157" s="19" t="s">
        <v>532</v>
      </c>
      <c r="AG157" s="14"/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201</v>
      </c>
      <c r="AT157" s="14"/>
      <c r="AU157" s="11"/>
      <c r="AV157" s="14"/>
    </row>
    <row r="158" spans="1:49" s="45" customFormat="1" ht="15" x14ac:dyDescent="0.25">
      <c r="A158" s="46">
        <v>46140</v>
      </c>
      <c r="B158" s="13">
        <v>46170</v>
      </c>
      <c r="C158" s="42" t="s">
        <v>49</v>
      </c>
      <c r="D158" s="42" t="s">
        <v>439</v>
      </c>
      <c r="E158" s="14"/>
      <c r="F158" s="71">
        <v>15581</v>
      </c>
      <c r="G158" s="42" t="s">
        <v>50</v>
      </c>
      <c r="H158" s="31">
        <v>20493508645</v>
      </c>
      <c r="I158" s="138" t="s">
        <v>52</v>
      </c>
      <c r="J158" s="11"/>
      <c r="K158" s="11"/>
      <c r="L158" s="11"/>
      <c r="M158" s="11"/>
      <c r="N158" s="11">
        <v>-1.610169492470065E-3</v>
      </c>
      <c r="O158" s="11">
        <v>-2.8983050864461171E-4</v>
      </c>
      <c r="P158" s="11">
        <v>13598.83</v>
      </c>
      <c r="Q158" s="11"/>
      <c r="R158" s="11"/>
      <c r="S158" s="11">
        <v>13598.828099999999</v>
      </c>
      <c r="T158" s="14"/>
      <c r="U158" s="14"/>
      <c r="V158" s="13"/>
      <c r="W158" s="15">
        <v>3.51</v>
      </c>
      <c r="X158" s="13"/>
      <c r="Y158" s="14"/>
      <c r="Z158" s="14"/>
      <c r="AA158" s="14"/>
      <c r="AB158" s="42" t="s">
        <v>383</v>
      </c>
      <c r="AC158" s="11">
        <v>3874.31</v>
      </c>
      <c r="AD158" s="13">
        <v>46170</v>
      </c>
      <c r="AE158" s="34" t="s">
        <v>465</v>
      </c>
      <c r="AF158" s="19" t="s">
        <v>532</v>
      </c>
      <c r="AG158" s="14"/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>
        <v>18</v>
      </c>
      <c r="AS158" s="14" t="s">
        <v>201</v>
      </c>
      <c r="AT158" s="14"/>
      <c r="AU158" s="11"/>
      <c r="AV158" s="14"/>
    </row>
    <row r="159" spans="1:49" s="45" customFormat="1" ht="15" x14ac:dyDescent="0.25">
      <c r="A159" s="46">
        <v>46140</v>
      </c>
      <c r="B159" s="13">
        <v>46170</v>
      </c>
      <c r="C159" s="42" t="s">
        <v>49</v>
      </c>
      <c r="D159" s="42" t="s">
        <v>301</v>
      </c>
      <c r="E159" s="14"/>
      <c r="F159" s="71">
        <v>18020</v>
      </c>
      <c r="G159" s="42" t="s">
        <v>50</v>
      </c>
      <c r="H159" s="31">
        <v>20493508645</v>
      </c>
      <c r="I159" s="138" t="s">
        <v>52</v>
      </c>
      <c r="J159" s="11"/>
      <c r="K159" s="11"/>
      <c r="L159" s="11"/>
      <c r="M159" s="11"/>
      <c r="N159" s="11">
        <v>-3.5593220349317378E-3</v>
      </c>
      <c r="O159" s="11">
        <v>-6.406779662877128E-4</v>
      </c>
      <c r="P159" s="11">
        <v>6821.97</v>
      </c>
      <c r="Q159" s="11"/>
      <c r="R159" s="11"/>
      <c r="S159" s="11">
        <v>6821.965799999999</v>
      </c>
      <c r="T159" s="14"/>
      <c r="U159" s="14"/>
      <c r="V159" s="13"/>
      <c r="W159" s="15">
        <v>3.51</v>
      </c>
      <c r="X159" s="13"/>
      <c r="Y159" s="14"/>
      <c r="Z159" s="14"/>
      <c r="AA159" s="14"/>
      <c r="AB159" s="42" t="s">
        <v>383</v>
      </c>
      <c r="AC159" s="11">
        <v>1943.58</v>
      </c>
      <c r="AD159" s="13">
        <v>46170</v>
      </c>
      <c r="AE159" s="34" t="s">
        <v>465</v>
      </c>
      <c r="AF159" s="19" t="s">
        <v>532</v>
      </c>
      <c r="AG159" s="14"/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 t="s">
        <v>201</v>
      </c>
      <c r="AT159" s="14"/>
      <c r="AU159" s="11"/>
      <c r="AV159" s="14"/>
    </row>
    <row r="160" spans="1:49" s="45" customFormat="1" ht="15" x14ac:dyDescent="0.25">
      <c r="A160" s="74">
        <v>46140</v>
      </c>
      <c r="B160" s="26">
        <v>46170</v>
      </c>
      <c r="C160" s="76" t="s">
        <v>49</v>
      </c>
      <c r="D160" s="76" t="s">
        <v>301</v>
      </c>
      <c r="E160" s="27"/>
      <c r="F160" s="86">
        <v>18004</v>
      </c>
      <c r="G160" s="76" t="s">
        <v>50</v>
      </c>
      <c r="H160" s="32">
        <v>20493508645</v>
      </c>
      <c r="I160" s="220" t="s">
        <v>52</v>
      </c>
      <c r="J160" s="28"/>
      <c r="K160" s="28"/>
      <c r="L160" s="28"/>
      <c r="M160" s="28"/>
      <c r="N160" s="28">
        <v>1.3559322015079473E-3</v>
      </c>
      <c r="O160" s="28">
        <v>2.4406779627143051E-4</v>
      </c>
      <c r="P160" s="28">
        <v>13643.93</v>
      </c>
      <c r="Q160" s="28"/>
      <c r="R160" s="28"/>
      <c r="S160" s="28">
        <v>13643.931599999998</v>
      </c>
      <c r="T160" s="27"/>
      <c r="U160" s="27"/>
      <c r="V160" s="26"/>
      <c r="W160" s="80">
        <v>3.51</v>
      </c>
      <c r="X160" s="26"/>
      <c r="Y160" s="27"/>
      <c r="Z160" s="27"/>
      <c r="AA160" s="27"/>
      <c r="AB160" s="76" t="s">
        <v>383</v>
      </c>
      <c r="AC160" s="28">
        <v>3887.16</v>
      </c>
      <c r="AD160" s="26">
        <v>46170</v>
      </c>
      <c r="AE160" s="85" t="s">
        <v>465</v>
      </c>
      <c r="AF160" s="29" t="s">
        <v>532</v>
      </c>
      <c r="AG160" s="27"/>
      <c r="AH160" s="27" t="s">
        <v>225</v>
      </c>
      <c r="AI160" s="27"/>
      <c r="AJ160" s="27"/>
      <c r="AK160" s="30"/>
      <c r="AL160" s="28"/>
      <c r="AM160" s="28"/>
      <c r="AN160" s="27"/>
      <c r="AO160" s="27"/>
      <c r="AP160" s="26"/>
      <c r="AQ160" s="27"/>
      <c r="AR160" s="28">
        <v>18</v>
      </c>
      <c r="AS160" s="27" t="s">
        <v>201</v>
      </c>
      <c r="AT160" s="27"/>
      <c r="AU160" s="28"/>
      <c r="AV160" s="27"/>
      <c r="AW160" s="81"/>
    </row>
    <row r="161" spans="1:49" s="47" customFormat="1" ht="15" x14ac:dyDescent="0.25">
      <c r="A161" s="68">
        <v>46140</v>
      </c>
      <c r="B161" s="50">
        <v>46170</v>
      </c>
      <c r="C161" s="52" t="s">
        <v>300</v>
      </c>
      <c r="D161" s="52" t="s">
        <v>389</v>
      </c>
      <c r="E161" s="53"/>
      <c r="F161" s="64">
        <v>13408</v>
      </c>
      <c r="G161" s="52" t="s">
        <v>50</v>
      </c>
      <c r="H161" s="69">
        <v>20103733015</v>
      </c>
      <c r="I161" s="140" t="s">
        <v>53</v>
      </c>
      <c r="J161" s="55"/>
      <c r="K161" s="55"/>
      <c r="L161" s="55"/>
      <c r="M161" s="55"/>
      <c r="N161" s="55">
        <v>-145.34697457627118</v>
      </c>
      <c r="O161" s="55">
        <v>-26.162455423728812</v>
      </c>
      <c r="P161" s="55">
        <v>0</v>
      </c>
      <c r="Q161" s="55"/>
      <c r="R161" s="55"/>
      <c r="S161" s="55">
        <v>-171.50942999999998</v>
      </c>
      <c r="T161" s="53"/>
      <c r="U161" s="53"/>
      <c r="V161" s="50"/>
      <c r="W161" s="25">
        <v>3.3855</v>
      </c>
      <c r="X161" s="13"/>
      <c r="Y161" s="14"/>
      <c r="Z161" s="14"/>
      <c r="AA161" s="14"/>
      <c r="AB161" s="42" t="s">
        <v>383</v>
      </c>
      <c r="AC161" s="55">
        <v>-50.66</v>
      </c>
      <c r="AD161" s="50">
        <v>46170</v>
      </c>
      <c r="AE161" s="53" t="s">
        <v>465</v>
      </c>
      <c r="AF161" s="60" t="s">
        <v>533</v>
      </c>
      <c r="AG161" s="53"/>
      <c r="AH161" s="53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53" t="s">
        <v>534</v>
      </c>
      <c r="AT161" s="14"/>
      <c r="AU161" s="11"/>
      <c r="AV161" s="14"/>
      <c r="AW161" s="45"/>
    </row>
    <row r="162" spans="1:49" s="45" customFormat="1" ht="15" x14ac:dyDescent="0.25">
      <c r="A162" s="46">
        <v>46140</v>
      </c>
      <c r="B162" s="13">
        <v>46170</v>
      </c>
      <c r="C162" s="42" t="s">
        <v>49</v>
      </c>
      <c r="D162" s="42" t="s">
        <v>301</v>
      </c>
      <c r="E162" s="14"/>
      <c r="F162" s="71">
        <v>18041</v>
      </c>
      <c r="G162" s="42" t="s">
        <v>50</v>
      </c>
      <c r="H162" s="31">
        <v>20493508645</v>
      </c>
      <c r="I162" s="138" t="s">
        <v>52</v>
      </c>
      <c r="J162" s="11"/>
      <c r="K162" s="11"/>
      <c r="L162" s="11"/>
      <c r="M162" s="11"/>
      <c r="N162" s="11">
        <v>3.4745762635701163E-3</v>
      </c>
      <c r="O162" s="11">
        <v>6.2542372744262096E-4</v>
      </c>
      <c r="P162" s="11">
        <v>160347.01</v>
      </c>
      <c r="Q162" s="11"/>
      <c r="R162" s="11"/>
      <c r="S162" s="11">
        <v>160347.0141</v>
      </c>
      <c r="T162" s="14"/>
      <c r="U162" s="14"/>
      <c r="V162" s="13"/>
      <c r="W162" s="15">
        <v>3.51</v>
      </c>
      <c r="X162" s="13"/>
      <c r="Y162" s="14"/>
      <c r="Z162" s="14"/>
      <c r="AA162" s="14"/>
      <c r="AB162" s="42" t="s">
        <v>383</v>
      </c>
      <c r="AC162" s="11">
        <v>45682.91</v>
      </c>
      <c r="AD162" s="13">
        <v>46170</v>
      </c>
      <c r="AE162" s="34" t="s">
        <v>465</v>
      </c>
      <c r="AF162" s="19" t="s">
        <v>532</v>
      </c>
      <c r="AG162" s="14"/>
      <c r="AH162" s="14" t="s">
        <v>225</v>
      </c>
      <c r="AI162" s="14"/>
      <c r="AJ162" s="14"/>
      <c r="AK162" s="16"/>
      <c r="AL162" s="11"/>
      <c r="AM162" s="11"/>
      <c r="AN162" s="14"/>
      <c r="AO162" s="14"/>
      <c r="AP162" s="13"/>
      <c r="AQ162" s="14"/>
      <c r="AR162" s="11">
        <v>18</v>
      </c>
      <c r="AS162" s="14" t="s">
        <v>201</v>
      </c>
      <c r="AT162" s="14"/>
      <c r="AU162" s="11"/>
      <c r="AV162" s="14"/>
    </row>
    <row r="163" spans="1:49" s="45" customFormat="1" ht="15" x14ac:dyDescent="0.25">
      <c r="A163" s="46">
        <v>46140</v>
      </c>
      <c r="B163" s="13"/>
      <c r="C163" s="42" t="s">
        <v>49</v>
      </c>
      <c r="D163" s="42" t="s">
        <v>294</v>
      </c>
      <c r="E163" s="14"/>
      <c r="F163" s="71">
        <v>119266</v>
      </c>
      <c r="G163" s="42" t="s">
        <v>50</v>
      </c>
      <c r="H163" s="31">
        <v>20568499043</v>
      </c>
      <c r="I163" s="138" t="s">
        <v>96</v>
      </c>
      <c r="J163" s="11"/>
      <c r="K163" s="11"/>
      <c r="L163" s="11"/>
      <c r="M163" s="11"/>
      <c r="N163" s="116">
        <v>0</v>
      </c>
      <c r="O163" s="116">
        <v>0</v>
      </c>
      <c r="P163" s="11">
        <v>104.5</v>
      </c>
      <c r="Q163" s="11"/>
      <c r="R163" s="11"/>
      <c r="S163" s="11">
        <v>104.5</v>
      </c>
      <c r="T163" s="14"/>
      <c r="U163" s="14"/>
      <c r="V163" s="13"/>
      <c r="W163" s="15"/>
      <c r="X163" s="13"/>
      <c r="Y163" s="14"/>
      <c r="Z163" s="14"/>
      <c r="AA163" s="14"/>
      <c r="AB163" s="42" t="s">
        <v>224</v>
      </c>
      <c r="AC163" s="11"/>
      <c r="AD163" s="33"/>
      <c r="AE163" s="34" t="s">
        <v>262</v>
      </c>
      <c r="AF163" s="19" t="s">
        <v>488</v>
      </c>
      <c r="AG163" s="14"/>
      <c r="AH163" s="14" t="s">
        <v>225</v>
      </c>
      <c r="AI163" s="14"/>
      <c r="AJ163" s="14"/>
      <c r="AK163" s="16"/>
      <c r="AL163" s="11"/>
      <c r="AM163" s="11"/>
      <c r="AN163" s="14"/>
      <c r="AO163" s="14"/>
      <c r="AP163" s="13"/>
      <c r="AQ163" s="14"/>
      <c r="AR163" s="11">
        <v>18</v>
      </c>
      <c r="AS163" s="14" t="s">
        <v>487</v>
      </c>
      <c r="AT163" s="14"/>
      <c r="AU163" s="11"/>
      <c r="AV163" s="14"/>
    </row>
    <row r="164" spans="1:49" s="45" customFormat="1" ht="15" x14ac:dyDescent="0.25">
      <c r="A164" s="46">
        <v>46140</v>
      </c>
      <c r="B164" s="13">
        <v>46170</v>
      </c>
      <c r="C164" s="42" t="s">
        <v>49</v>
      </c>
      <c r="D164" s="42" t="s">
        <v>294</v>
      </c>
      <c r="E164" s="14"/>
      <c r="F164" s="71">
        <v>2697</v>
      </c>
      <c r="G164" s="42" t="s">
        <v>50</v>
      </c>
      <c r="H164" s="31">
        <v>10455245210</v>
      </c>
      <c r="I164" s="138" t="s">
        <v>124</v>
      </c>
      <c r="J164" s="11"/>
      <c r="K164" s="11"/>
      <c r="L164" s="11"/>
      <c r="M164" s="11"/>
      <c r="N164" s="116">
        <v>0</v>
      </c>
      <c r="O164" s="116">
        <v>0</v>
      </c>
      <c r="P164" s="11">
        <v>465</v>
      </c>
      <c r="Q164" s="11"/>
      <c r="R164" s="11"/>
      <c r="S164" s="11">
        <v>465</v>
      </c>
      <c r="T164" s="14"/>
      <c r="U164" s="14"/>
      <c r="V164" s="13"/>
      <c r="W164" s="15"/>
      <c r="X164" s="13"/>
      <c r="Y164" s="14"/>
      <c r="Z164" s="14"/>
      <c r="AA164" s="14"/>
      <c r="AB164" s="42" t="s">
        <v>224</v>
      </c>
      <c r="AC164" s="11"/>
      <c r="AD164" s="33">
        <v>46170</v>
      </c>
      <c r="AE164" s="34" t="s">
        <v>465</v>
      </c>
      <c r="AF164" s="37" t="s">
        <v>701</v>
      </c>
      <c r="AG164" s="14"/>
      <c r="AH164" s="14" t="s">
        <v>225</v>
      </c>
      <c r="AI164" s="14"/>
      <c r="AJ164" s="14"/>
      <c r="AK164" s="16"/>
      <c r="AL164" s="11"/>
      <c r="AM164" s="11"/>
      <c r="AN164" s="14"/>
      <c r="AO164" s="14"/>
      <c r="AP164" s="13"/>
      <c r="AQ164" s="14"/>
      <c r="AR164" s="11">
        <v>18</v>
      </c>
      <c r="AS164" s="14" t="s">
        <v>687</v>
      </c>
      <c r="AT164" s="14"/>
      <c r="AU164" s="11"/>
      <c r="AV164" s="14"/>
    </row>
    <row r="165" spans="1:49" s="45" customFormat="1" ht="15" x14ac:dyDescent="0.25">
      <c r="A165" s="46">
        <v>46140</v>
      </c>
      <c r="B165" s="13">
        <v>46170</v>
      </c>
      <c r="C165" s="42" t="s">
        <v>49</v>
      </c>
      <c r="D165" s="42" t="s">
        <v>301</v>
      </c>
      <c r="E165" s="14"/>
      <c r="F165" s="71">
        <v>18060</v>
      </c>
      <c r="G165" s="42" t="s">
        <v>50</v>
      </c>
      <c r="H165" s="31">
        <v>20493508645</v>
      </c>
      <c r="I165" s="138" t="s">
        <v>52</v>
      </c>
      <c r="J165" s="11"/>
      <c r="K165" s="11"/>
      <c r="L165" s="11"/>
      <c r="M165" s="11"/>
      <c r="N165" s="11">
        <v>-1.7796610182366271E-3</v>
      </c>
      <c r="O165" s="11">
        <v>-3.2033898328259286E-4</v>
      </c>
      <c r="P165" s="11">
        <v>20878.5</v>
      </c>
      <c r="Q165" s="11"/>
      <c r="R165" s="11"/>
      <c r="S165" s="11">
        <v>20878.497899999998</v>
      </c>
      <c r="T165" s="14"/>
      <c r="U165" s="14"/>
      <c r="V165" s="13"/>
      <c r="W165" s="15">
        <v>3.51</v>
      </c>
      <c r="X165" s="13"/>
      <c r="Y165" s="14"/>
      <c r="Z165" s="14"/>
      <c r="AA165" s="14"/>
      <c r="AB165" s="42" t="s">
        <v>383</v>
      </c>
      <c r="AC165" s="11">
        <v>5948.29</v>
      </c>
      <c r="AD165" s="13">
        <v>46170</v>
      </c>
      <c r="AE165" s="34" t="s">
        <v>465</v>
      </c>
      <c r="AF165" s="19" t="s">
        <v>532</v>
      </c>
      <c r="AG165" s="14"/>
      <c r="AH165" s="14" t="s">
        <v>225</v>
      </c>
      <c r="AI165" s="14"/>
      <c r="AJ165" s="14"/>
      <c r="AK165" s="16"/>
      <c r="AL165" s="11"/>
      <c r="AM165" s="11"/>
      <c r="AN165" s="14"/>
      <c r="AO165" s="14"/>
      <c r="AP165" s="13"/>
      <c r="AQ165" s="14"/>
      <c r="AR165" s="11">
        <v>18</v>
      </c>
      <c r="AS165" s="14" t="s">
        <v>201</v>
      </c>
      <c r="AT165" s="14"/>
      <c r="AU165" s="11"/>
      <c r="AV165" s="14"/>
    </row>
    <row r="166" spans="1:49" s="45" customFormat="1" ht="15" x14ac:dyDescent="0.25">
      <c r="A166" s="68">
        <v>46140</v>
      </c>
      <c r="B166" s="50">
        <v>46170</v>
      </c>
      <c r="C166" s="52" t="s">
        <v>300</v>
      </c>
      <c r="D166" s="52" t="s">
        <v>301</v>
      </c>
      <c r="E166" s="53"/>
      <c r="F166" s="64">
        <v>2418</v>
      </c>
      <c r="G166" s="52" t="s">
        <v>50</v>
      </c>
      <c r="H166" s="69">
        <v>20493508645</v>
      </c>
      <c r="I166" s="140" t="s">
        <v>52</v>
      </c>
      <c r="J166" s="55"/>
      <c r="K166" s="55"/>
      <c r="L166" s="55"/>
      <c r="M166" s="55"/>
      <c r="N166" s="55">
        <v>0</v>
      </c>
      <c r="O166" s="55">
        <v>0</v>
      </c>
      <c r="P166" s="55">
        <v>-8648.74</v>
      </c>
      <c r="Q166" s="55"/>
      <c r="R166" s="55"/>
      <c r="S166" s="55">
        <v>-8648.7361442307774</v>
      </c>
      <c r="T166" s="53"/>
      <c r="U166" s="53"/>
      <c r="V166" s="50"/>
      <c r="W166" s="25">
        <v>3.3774230769230802</v>
      </c>
      <c r="X166" s="50"/>
      <c r="Y166" s="53"/>
      <c r="Z166" s="53"/>
      <c r="AA166" s="53"/>
      <c r="AB166" s="52" t="s">
        <v>383</v>
      </c>
      <c r="AC166" s="55">
        <v>-2560.75</v>
      </c>
      <c r="AD166" s="50">
        <v>46170</v>
      </c>
      <c r="AE166" s="53" t="s">
        <v>465</v>
      </c>
      <c r="AF166" s="60" t="s">
        <v>533</v>
      </c>
      <c r="AG166" s="53"/>
      <c r="AH166" s="53" t="s">
        <v>225</v>
      </c>
      <c r="AI166" s="53"/>
      <c r="AJ166" s="53"/>
      <c r="AK166" s="61"/>
      <c r="AL166" s="55"/>
      <c r="AM166" s="55"/>
      <c r="AN166" s="53"/>
      <c r="AO166" s="53"/>
      <c r="AP166" s="50"/>
      <c r="AQ166" s="53"/>
      <c r="AR166" s="55">
        <v>18</v>
      </c>
      <c r="AS166" s="53" t="s">
        <v>534</v>
      </c>
      <c r="AT166" s="53"/>
      <c r="AU166" s="55"/>
      <c r="AV166" s="53"/>
      <c r="AW166" s="47"/>
    </row>
    <row r="167" spans="1:49" s="45" customFormat="1" ht="15" x14ac:dyDescent="0.25">
      <c r="A167" s="46">
        <v>46141</v>
      </c>
      <c r="B167" s="13">
        <v>46171</v>
      </c>
      <c r="C167" s="42" t="s">
        <v>49</v>
      </c>
      <c r="D167" s="42" t="s">
        <v>301</v>
      </c>
      <c r="E167" s="14"/>
      <c r="F167" s="71">
        <v>18080</v>
      </c>
      <c r="G167" s="42" t="s">
        <v>50</v>
      </c>
      <c r="H167" s="31">
        <v>20493508645</v>
      </c>
      <c r="I167" s="138" t="s">
        <v>52</v>
      </c>
      <c r="J167" s="11"/>
      <c r="K167" s="11"/>
      <c r="L167" s="11"/>
      <c r="M167" s="11"/>
      <c r="N167" s="11">
        <v>-5.8474576335510841E-4</v>
      </c>
      <c r="O167" s="11">
        <v>-1.0525423740391951E-4</v>
      </c>
      <c r="P167" s="11">
        <v>9122.973</v>
      </c>
      <c r="Q167" s="11"/>
      <c r="R167" s="11"/>
      <c r="S167" s="11">
        <v>9122.9723099999992</v>
      </c>
      <c r="T167" s="14"/>
      <c r="U167" s="14"/>
      <c r="V167" s="13"/>
      <c r="W167" s="15">
        <v>3.5190000000000001</v>
      </c>
      <c r="X167" s="13"/>
      <c r="Y167" s="14"/>
      <c r="Z167" s="14"/>
      <c r="AA167" s="14"/>
      <c r="AB167" s="42" t="s">
        <v>383</v>
      </c>
      <c r="AC167" s="11">
        <v>2592.4899999999998</v>
      </c>
      <c r="AD167" s="13">
        <v>46171</v>
      </c>
      <c r="AE167" s="34" t="s">
        <v>465</v>
      </c>
      <c r="AF167" s="19" t="s">
        <v>532</v>
      </c>
      <c r="AG167" s="14"/>
      <c r="AH167" s="14" t="s">
        <v>225</v>
      </c>
      <c r="AI167" s="14"/>
      <c r="AJ167" s="14"/>
      <c r="AK167" s="16"/>
      <c r="AL167" s="11"/>
      <c r="AM167" s="11"/>
      <c r="AN167" s="14"/>
      <c r="AO167" s="14"/>
      <c r="AP167" s="13"/>
      <c r="AQ167" s="14"/>
      <c r="AR167" s="11">
        <v>18</v>
      </c>
      <c r="AS167" s="14" t="s">
        <v>201</v>
      </c>
      <c r="AT167" s="14"/>
      <c r="AU167" s="11"/>
      <c r="AV167" s="14"/>
    </row>
    <row r="168" spans="1:49" s="45" customFormat="1" ht="15" x14ac:dyDescent="0.25">
      <c r="A168" s="46">
        <v>46141</v>
      </c>
      <c r="B168" s="13">
        <v>46171</v>
      </c>
      <c r="C168" s="42" t="s">
        <v>49</v>
      </c>
      <c r="D168" s="42" t="s">
        <v>301</v>
      </c>
      <c r="E168" s="14"/>
      <c r="F168" s="71">
        <v>18077</v>
      </c>
      <c r="G168" s="42" t="s">
        <v>50</v>
      </c>
      <c r="H168" s="31">
        <v>20493508645</v>
      </c>
      <c r="I168" s="138" t="s">
        <v>52</v>
      </c>
      <c r="J168" s="11"/>
      <c r="K168" s="11"/>
      <c r="L168" s="11"/>
      <c r="M168" s="11"/>
      <c r="N168" s="11">
        <v>1.7796610644821206E-4</v>
      </c>
      <c r="O168" s="11">
        <v>3.2033899160678168E-5</v>
      </c>
      <c r="P168" s="11">
        <v>41864.1</v>
      </c>
      <c r="Q168" s="11"/>
      <c r="R168" s="11"/>
      <c r="S168" s="11">
        <v>41864.100210000004</v>
      </c>
      <c r="T168" s="14"/>
      <c r="U168" s="14"/>
      <c r="V168" s="13"/>
      <c r="W168" s="15">
        <v>3.5190000000000001</v>
      </c>
      <c r="X168" s="13"/>
      <c r="Y168" s="14"/>
      <c r="Z168" s="14"/>
      <c r="AA168" s="14"/>
      <c r="AB168" s="42" t="s">
        <v>383</v>
      </c>
      <c r="AC168" s="11">
        <v>11896.59</v>
      </c>
      <c r="AD168" s="13">
        <v>46171</v>
      </c>
      <c r="AE168" s="34" t="s">
        <v>465</v>
      </c>
      <c r="AF168" s="19" t="s">
        <v>532</v>
      </c>
      <c r="AG168" s="14"/>
      <c r="AH168" s="14" t="s">
        <v>225</v>
      </c>
      <c r="AI168" s="14"/>
      <c r="AJ168" s="14"/>
      <c r="AK168" s="16"/>
      <c r="AL168" s="11"/>
      <c r="AM168" s="11"/>
      <c r="AN168" s="14"/>
      <c r="AO168" s="14"/>
      <c r="AP168" s="13"/>
      <c r="AQ168" s="14"/>
      <c r="AR168" s="11">
        <v>18</v>
      </c>
      <c r="AS168" s="14" t="s">
        <v>201</v>
      </c>
      <c r="AT168" s="14"/>
      <c r="AU168" s="11"/>
      <c r="AV168" s="14"/>
    </row>
    <row r="169" spans="1:49" s="45" customFormat="1" ht="15" x14ac:dyDescent="0.25">
      <c r="A169" s="46">
        <v>46142</v>
      </c>
      <c r="B169" s="13"/>
      <c r="C169" s="42" t="s">
        <v>49</v>
      </c>
      <c r="D169" s="42" t="s">
        <v>451</v>
      </c>
      <c r="E169" s="14"/>
      <c r="F169" s="71">
        <v>61</v>
      </c>
      <c r="G169" s="42" t="s">
        <v>50</v>
      </c>
      <c r="H169" s="31">
        <v>20486549328</v>
      </c>
      <c r="I169" s="138" t="s">
        <v>68</v>
      </c>
      <c r="J169" s="11"/>
      <c r="K169" s="11"/>
      <c r="L169" s="11"/>
      <c r="M169" s="11"/>
      <c r="N169" s="116">
        <v>0</v>
      </c>
      <c r="O169" s="116">
        <v>0</v>
      </c>
      <c r="P169" s="11">
        <v>124</v>
      </c>
      <c r="Q169" s="11"/>
      <c r="R169" s="11"/>
      <c r="S169" s="11">
        <v>124</v>
      </c>
      <c r="T169" s="14"/>
      <c r="U169" s="14"/>
      <c r="V169" s="13"/>
      <c r="W169" s="15"/>
      <c r="X169" s="13"/>
      <c r="Y169" s="14"/>
      <c r="Z169" s="14"/>
      <c r="AA169" s="14"/>
      <c r="AB169" s="42" t="s">
        <v>224</v>
      </c>
      <c r="AC169" s="11"/>
      <c r="AD169" s="33"/>
      <c r="AE169" s="34" t="s">
        <v>262</v>
      </c>
      <c r="AF169" s="37" t="s">
        <v>521</v>
      </c>
      <c r="AG169" s="14"/>
      <c r="AH169" s="14" t="s">
        <v>225</v>
      </c>
      <c r="AI169" s="14"/>
      <c r="AJ169" s="14"/>
      <c r="AK169" s="16"/>
      <c r="AL169" s="11"/>
      <c r="AM169" s="11"/>
      <c r="AN169" s="14"/>
      <c r="AO169" s="14"/>
      <c r="AP169" s="13"/>
      <c r="AQ169" s="14"/>
      <c r="AR169" s="11">
        <v>18</v>
      </c>
      <c r="AS169" s="14" t="s">
        <v>660</v>
      </c>
      <c r="AT169" s="14"/>
      <c r="AU169" s="11"/>
      <c r="AV169" s="14"/>
    </row>
    <row r="170" spans="1:49" s="45" customFormat="1" ht="15" x14ac:dyDescent="0.25">
      <c r="A170" s="46">
        <v>46142</v>
      </c>
      <c r="B170" s="13">
        <v>46172</v>
      </c>
      <c r="C170" s="42" t="s">
        <v>49</v>
      </c>
      <c r="D170" s="42" t="s">
        <v>292</v>
      </c>
      <c r="E170" s="14"/>
      <c r="F170" s="71">
        <v>12645</v>
      </c>
      <c r="G170" s="42" t="s">
        <v>50</v>
      </c>
      <c r="H170" s="31">
        <v>20568968051</v>
      </c>
      <c r="I170" s="138" t="s">
        <v>450</v>
      </c>
      <c r="J170" s="11"/>
      <c r="K170" s="11"/>
      <c r="L170" s="11"/>
      <c r="M170" s="11"/>
      <c r="N170" s="116">
        <v>0</v>
      </c>
      <c r="O170" s="116">
        <v>0</v>
      </c>
      <c r="P170" s="11">
        <v>0</v>
      </c>
      <c r="Q170" s="11"/>
      <c r="R170" s="11">
        <v>40</v>
      </c>
      <c r="S170" s="11">
        <v>40</v>
      </c>
      <c r="T170" s="14"/>
      <c r="U170" s="14"/>
      <c r="V170" s="13"/>
      <c r="W170" s="15"/>
      <c r="X170" s="13"/>
      <c r="Y170" s="14"/>
      <c r="Z170" s="14"/>
      <c r="AA170" s="14"/>
      <c r="AB170" s="42" t="s">
        <v>224</v>
      </c>
      <c r="AC170" s="11"/>
      <c r="AD170" s="33">
        <v>46172</v>
      </c>
      <c r="AE170" s="34" t="s">
        <v>465</v>
      </c>
      <c r="AF170" s="99" t="s">
        <v>597</v>
      </c>
      <c r="AG170" s="14" t="s">
        <v>513</v>
      </c>
      <c r="AH170" s="14" t="s">
        <v>225</v>
      </c>
      <c r="AI170" s="14"/>
      <c r="AJ170" s="14"/>
      <c r="AK170" s="16"/>
      <c r="AL170" s="11"/>
      <c r="AM170" s="11"/>
      <c r="AN170" s="14"/>
      <c r="AO170" s="14"/>
      <c r="AP170" s="13"/>
      <c r="AQ170" s="14"/>
      <c r="AR170" s="11">
        <v>18</v>
      </c>
      <c r="AS170" s="14" t="s">
        <v>688</v>
      </c>
      <c r="AT170" s="14"/>
      <c r="AU170" s="11"/>
      <c r="AV170" s="14"/>
    </row>
    <row r="171" spans="1:49" s="45" customFormat="1" ht="15" x14ac:dyDescent="0.25">
      <c r="A171" s="46">
        <v>46142</v>
      </c>
      <c r="B171" s="13">
        <v>46172</v>
      </c>
      <c r="C171" s="42" t="s">
        <v>49</v>
      </c>
      <c r="D171" s="42" t="s">
        <v>292</v>
      </c>
      <c r="E171" s="14"/>
      <c r="F171" s="71">
        <v>12643</v>
      </c>
      <c r="G171" s="42" t="s">
        <v>50</v>
      </c>
      <c r="H171" s="31">
        <v>20568968051</v>
      </c>
      <c r="I171" s="138" t="s">
        <v>450</v>
      </c>
      <c r="J171" s="11"/>
      <c r="K171" s="11"/>
      <c r="L171" s="11"/>
      <c r="M171" s="11"/>
      <c r="N171" s="116">
        <v>0</v>
      </c>
      <c r="O171" s="116">
        <v>0</v>
      </c>
      <c r="P171" s="11">
        <v>0</v>
      </c>
      <c r="Q171" s="11"/>
      <c r="R171" s="11">
        <v>40</v>
      </c>
      <c r="S171" s="11">
        <v>40</v>
      </c>
      <c r="T171" s="14"/>
      <c r="U171" s="14"/>
      <c r="V171" s="13"/>
      <c r="W171" s="15"/>
      <c r="X171" s="13"/>
      <c r="Y171" s="14"/>
      <c r="Z171" s="14"/>
      <c r="AA171" s="14"/>
      <c r="AB171" s="42" t="s">
        <v>224</v>
      </c>
      <c r="AC171" s="11"/>
      <c r="AD171" s="33">
        <v>46172</v>
      </c>
      <c r="AE171" s="34" t="s">
        <v>465</v>
      </c>
      <c r="AF171" s="37" t="s">
        <v>597</v>
      </c>
      <c r="AG171" s="14" t="s">
        <v>513</v>
      </c>
      <c r="AH171" s="14" t="s">
        <v>225</v>
      </c>
      <c r="AI171" s="14"/>
      <c r="AJ171" s="14"/>
      <c r="AK171" s="16"/>
      <c r="AL171" s="11"/>
      <c r="AM171" s="11"/>
      <c r="AN171" s="14"/>
      <c r="AO171" s="14"/>
      <c r="AP171" s="13"/>
      <c r="AQ171" s="14"/>
      <c r="AR171" s="11">
        <v>18</v>
      </c>
      <c r="AS171" s="14" t="s">
        <v>688</v>
      </c>
      <c r="AT171" s="14"/>
      <c r="AU171" s="11"/>
      <c r="AV171" s="14"/>
    </row>
    <row r="172" spans="1:49" s="45" customFormat="1" ht="15" x14ac:dyDescent="0.25">
      <c r="A172" s="46">
        <v>46142</v>
      </c>
      <c r="B172" s="13">
        <v>46172</v>
      </c>
      <c r="C172" s="42" t="s">
        <v>49</v>
      </c>
      <c r="D172" s="42" t="s">
        <v>294</v>
      </c>
      <c r="E172" s="14"/>
      <c r="F172" s="71">
        <v>1141804</v>
      </c>
      <c r="G172" s="42" t="s">
        <v>50</v>
      </c>
      <c r="H172" s="31">
        <v>20265681299</v>
      </c>
      <c r="I172" s="138" t="s">
        <v>80</v>
      </c>
      <c r="J172" s="11"/>
      <c r="K172" s="11"/>
      <c r="L172" s="11"/>
      <c r="M172" s="11"/>
      <c r="N172" s="116">
        <v>262.00000000000006</v>
      </c>
      <c r="O172" s="116">
        <v>47.160000000000011</v>
      </c>
      <c r="P172" s="11">
        <v>0</v>
      </c>
      <c r="Q172" s="11"/>
      <c r="R172" s="11"/>
      <c r="S172" s="11">
        <v>309.16000000000003</v>
      </c>
      <c r="T172" s="14"/>
      <c r="U172" s="14"/>
      <c r="V172" s="13"/>
      <c r="W172" s="15"/>
      <c r="X172" s="13"/>
      <c r="Y172" s="14"/>
      <c r="Z172" s="14"/>
      <c r="AA172" s="14"/>
      <c r="AB172" s="42" t="s">
        <v>224</v>
      </c>
      <c r="AC172" s="11"/>
      <c r="AD172" s="33">
        <v>46172</v>
      </c>
      <c r="AE172" s="34" t="s">
        <v>465</v>
      </c>
      <c r="AF172" s="19" t="s">
        <v>600</v>
      </c>
      <c r="AG172" s="14"/>
      <c r="AH172" s="14" t="s">
        <v>225</v>
      </c>
      <c r="AI172" s="14"/>
      <c r="AJ172" s="14"/>
      <c r="AK172" s="16"/>
      <c r="AL172" s="11"/>
      <c r="AM172" s="11"/>
      <c r="AN172" s="14"/>
      <c r="AO172" s="14"/>
      <c r="AP172" s="13"/>
      <c r="AQ172" s="14"/>
      <c r="AR172" s="11">
        <v>18</v>
      </c>
      <c r="AS172" s="14" t="s">
        <v>689</v>
      </c>
      <c r="AT172" s="14"/>
      <c r="AU172" s="11"/>
      <c r="AV172" s="14"/>
    </row>
    <row r="173" spans="1:49" s="45" customFormat="1" ht="15" x14ac:dyDescent="0.25">
      <c r="A173" s="46">
        <v>46142</v>
      </c>
      <c r="B173" s="13">
        <v>46172</v>
      </c>
      <c r="C173" s="42" t="s">
        <v>49</v>
      </c>
      <c r="D173" s="42" t="s">
        <v>590</v>
      </c>
      <c r="E173" s="14"/>
      <c r="F173" s="71">
        <v>26998197</v>
      </c>
      <c r="G173" s="42" t="s">
        <v>50</v>
      </c>
      <c r="H173" s="31">
        <v>20100130204</v>
      </c>
      <c r="I173" s="138" t="s">
        <v>259</v>
      </c>
      <c r="J173" s="11"/>
      <c r="K173" s="11"/>
      <c r="L173" s="11"/>
      <c r="M173" s="11"/>
      <c r="N173" s="116">
        <v>0</v>
      </c>
      <c r="O173" s="116">
        <v>0</v>
      </c>
      <c r="P173" s="11">
        <v>40</v>
      </c>
      <c r="Q173" s="11"/>
      <c r="R173" s="11"/>
      <c r="S173" s="11">
        <v>40</v>
      </c>
      <c r="T173" s="14"/>
      <c r="U173" s="14"/>
      <c r="V173" s="13"/>
      <c r="W173" s="15"/>
      <c r="X173" s="13"/>
      <c r="Y173" s="14"/>
      <c r="Z173" s="14"/>
      <c r="AA173" s="14"/>
      <c r="AB173" s="42" t="s">
        <v>224</v>
      </c>
      <c r="AC173" s="11"/>
      <c r="AD173" s="13">
        <v>46172</v>
      </c>
      <c r="AE173" s="14" t="s">
        <v>465</v>
      </c>
      <c r="AF173" s="19" t="s">
        <v>494</v>
      </c>
      <c r="AG173" s="14"/>
      <c r="AH173" s="14" t="s">
        <v>225</v>
      </c>
      <c r="AI173" s="14"/>
      <c r="AJ173" s="14"/>
      <c r="AK173" s="16"/>
      <c r="AL173" s="11"/>
      <c r="AM173" s="11"/>
      <c r="AN173" s="14"/>
      <c r="AO173" s="14"/>
      <c r="AP173" s="13"/>
      <c r="AQ173" s="14"/>
      <c r="AR173" s="11">
        <v>18</v>
      </c>
      <c r="AS173" s="14" t="s">
        <v>690</v>
      </c>
      <c r="AT173" s="14"/>
      <c r="AU173" s="11"/>
      <c r="AV173" s="14"/>
    </row>
    <row r="174" spans="1:49" s="45" customFormat="1" ht="15" x14ac:dyDescent="0.25">
      <c r="A174" s="46">
        <v>46142</v>
      </c>
      <c r="B174" s="13">
        <v>46172</v>
      </c>
      <c r="C174" s="42" t="s">
        <v>49</v>
      </c>
      <c r="D174" s="42" t="s">
        <v>301</v>
      </c>
      <c r="E174" s="14"/>
      <c r="F174" s="71">
        <v>18149</v>
      </c>
      <c r="G174" s="42" t="s">
        <v>50</v>
      </c>
      <c r="H174" s="31">
        <v>20493508645</v>
      </c>
      <c r="I174" s="138" t="s">
        <v>52</v>
      </c>
      <c r="J174" s="11"/>
      <c r="K174" s="11"/>
      <c r="L174" s="11"/>
      <c r="M174" s="11"/>
      <c r="N174" s="11">
        <v>-9.2372881334671611E-4</v>
      </c>
      <c r="O174" s="11">
        <v>-1.662711864024089E-4</v>
      </c>
      <c r="P174" s="11">
        <v>10762.71</v>
      </c>
      <c r="Q174" s="11"/>
      <c r="R174" s="11"/>
      <c r="S174" s="11">
        <v>10762.708909999999</v>
      </c>
      <c r="T174" s="14"/>
      <c r="U174" s="14"/>
      <c r="V174" s="13"/>
      <c r="W174" s="15">
        <v>3.5289999999999999</v>
      </c>
      <c r="X174" s="13"/>
      <c r="Y174" s="14"/>
      <c r="Z174" s="14"/>
      <c r="AA174" s="14"/>
      <c r="AB174" s="42" t="s">
        <v>383</v>
      </c>
      <c r="AC174" s="11">
        <v>3049.79</v>
      </c>
      <c r="AD174" s="13">
        <v>46172</v>
      </c>
      <c r="AE174" s="34" t="s">
        <v>465</v>
      </c>
      <c r="AF174" s="19" t="s">
        <v>532</v>
      </c>
      <c r="AG174" s="14"/>
      <c r="AH174" s="14" t="s">
        <v>225</v>
      </c>
      <c r="AI174" s="14"/>
      <c r="AJ174" s="14"/>
      <c r="AK174" s="16"/>
      <c r="AL174" s="11"/>
      <c r="AM174" s="11"/>
      <c r="AN174" s="14"/>
      <c r="AO174" s="14"/>
      <c r="AP174" s="13"/>
      <c r="AQ174" s="14"/>
      <c r="AR174" s="11">
        <v>18</v>
      </c>
      <c r="AS174" s="14" t="s">
        <v>201</v>
      </c>
      <c r="AT174" s="14"/>
      <c r="AU174" s="11"/>
      <c r="AV174" s="14"/>
    </row>
    <row r="175" spans="1:49" s="45" customFormat="1" ht="15" x14ac:dyDescent="0.25">
      <c r="A175" s="46">
        <v>46142</v>
      </c>
      <c r="B175" s="13">
        <v>46172</v>
      </c>
      <c r="C175" s="42" t="s">
        <v>49</v>
      </c>
      <c r="D175" s="42" t="s">
        <v>292</v>
      </c>
      <c r="E175" s="14"/>
      <c r="F175" s="71">
        <v>621</v>
      </c>
      <c r="G175" s="42" t="s">
        <v>50</v>
      </c>
      <c r="H175" s="31">
        <v>20601358892</v>
      </c>
      <c r="I175" s="138" t="s">
        <v>157</v>
      </c>
      <c r="J175" s="11"/>
      <c r="K175" s="11"/>
      <c r="L175" s="11"/>
      <c r="M175" s="11"/>
      <c r="N175" s="116">
        <v>0</v>
      </c>
      <c r="O175" s="116">
        <v>0</v>
      </c>
      <c r="P175" s="11">
        <v>2000</v>
      </c>
      <c r="Q175" s="11"/>
      <c r="R175" s="11"/>
      <c r="S175" s="11">
        <v>2000</v>
      </c>
      <c r="T175" s="14"/>
      <c r="U175" s="14"/>
      <c r="V175" s="13"/>
      <c r="W175" s="15"/>
      <c r="X175" s="13"/>
      <c r="Y175" s="14"/>
      <c r="Z175" s="14"/>
      <c r="AA175" s="14"/>
      <c r="AB175" s="42" t="s">
        <v>224</v>
      </c>
      <c r="AC175" s="11"/>
      <c r="AD175" s="33">
        <v>46172</v>
      </c>
      <c r="AE175" s="34" t="s">
        <v>465</v>
      </c>
      <c r="AF175" s="19" t="s">
        <v>203</v>
      </c>
      <c r="AG175" s="14"/>
      <c r="AH175" s="14" t="s">
        <v>225</v>
      </c>
      <c r="AI175" s="14"/>
      <c r="AJ175" s="14"/>
      <c r="AK175" s="16"/>
      <c r="AL175" s="11"/>
      <c r="AM175" s="11"/>
      <c r="AN175" s="14"/>
      <c r="AO175" s="14"/>
      <c r="AP175" s="13"/>
      <c r="AQ175" s="14"/>
      <c r="AR175" s="11">
        <v>18</v>
      </c>
      <c r="AS175" s="14" t="s">
        <v>699</v>
      </c>
      <c r="AT175" s="14"/>
      <c r="AU175" s="11"/>
      <c r="AV175" s="14"/>
    </row>
    <row r="176" spans="1:49" s="45" customFormat="1" ht="15" x14ac:dyDescent="0.25">
      <c r="A176" s="46">
        <v>46142</v>
      </c>
      <c r="B176" s="13">
        <v>46172</v>
      </c>
      <c r="C176" s="42" t="s">
        <v>49</v>
      </c>
      <c r="D176" s="42" t="s">
        <v>292</v>
      </c>
      <c r="E176" s="14"/>
      <c r="F176" s="71">
        <v>619</v>
      </c>
      <c r="G176" s="42" t="s">
        <v>50</v>
      </c>
      <c r="H176" s="31">
        <v>20601358892</v>
      </c>
      <c r="I176" s="138" t="s">
        <v>157</v>
      </c>
      <c r="J176" s="11"/>
      <c r="K176" s="11"/>
      <c r="L176" s="11"/>
      <c r="M176" s="11"/>
      <c r="N176" s="116">
        <v>0</v>
      </c>
      <c r="O176" s="116">
        <v>0</v>
      </c>
      <c r="P176" s="11">
        <v>3000</v>
      </c>
      <c r="Q176" s="11"/>
      <c r="R176" s="11"/>
      <c r="S176" s="11">
        <v>3000</v>
      </c>
      <c r="T176" s="14"/>
      <c r="U176" s="14"/>
      <c r="V176" s="13"/>
      <c r="W176" s="15"/>
      <c r="X176" s="13"/>
      <c r="Y176" s="14"/>
      <c r="Z176" s="14"/>
      <c r="AA176" s="14"/>
      <c r="AB176" s="42" t="s">
        <v>224</v>
      </c>
      <c r="AC176" s="11"/>
      <c r="AD176" s="33">
        <v>46172</v>
      </c>
      <c r="AE176" s="34" t="s">
        <v>465</v>
      </c>
      <c r="AF176" s="19" t="s">
        <v>203</v>
      </c>
      <c r="AG176" s="14"/>
      <c r="AH176" s="14" t="s">
        <v>225</v>
      </c>
      <c r="AI176" s="14"/>
      <c r="AJ176" s="14"/>
      <c r="AK176" s="16"/>
      <c r="AL176" s="11"/>
      <c r="AM176" s="11"/>
      <c r="AN176" s="14"/>
      <c r="AO176" s="14"/>
      <c r="AP176" s="13"/>
      <c r="AQ176" s="14"/>
      <c r="AR176" s="11">
        <v>18</v>
      </c>
      <c r="AS176" s="14" t="s">
        <v>700</v>
      </c>
      <c r="AT176" s="14"/>
      <c r="AU176" s="11"/>
      <c r="AV176" s="14"/>
    </row>
    <row r="177" spans="1:48" customFormat="1" ht="15" x14ac:dyDescent="0.25">
      <c r="A177" s="141"/>
      <c r="B177" s="141"/>
      <c r="C177" s="141"/>
      <c r="D177" s="141"/>
      <c r="E177" s="141"/>
      <c r="F177" s="141"/>
      <c r="G177" s="141"/>
      <c r="H177" s="141"/>
      <c r="I177" s="141"/>
      <c r="J177" s="142">
        <v>0</v>
      </c>
      <c r="K177" s="142">
        <v>0</v>
      </c>
      <c r="L177" s="142">
        <v>0</v>
      </c>
      <c r="M177" s="142">
        <v>0</v>
      </c>
      <c r="N177" s="142">
        <f>SUM(N4:N176)</f>
        <v>2816.1422457627059</v>
      </c>
      <c r="O177" s="142">
        <f t="shared" ref="O177:S177" si="0">SUM(O4:O176)</f>
        <v>506.90560423728687</v>
      </c>
      <c r="P177" s="142">
        <f t="shared" si="0"/>
        <v>610183.33299999998</v>
      </c>
      <c r="Q177" s="142">
        <f t="shared" si="0"/>
        <v>0</v>
      </c>
      <c r="R177" s="142">
        <f t="shared" si="0"/>
        <v>5861.0000000000082</v>
      </c>
      <c r="S177" s="142">
        <f t="shared" si="0"/>
        <v>619367.38470576901</v>
      </c>
      <c r="T177" s="141"/>
      <c r="U177" s="141"/>
      <c r="V177" s="141"/>
      <c r="W177" s="17"/>
      <c r="X177" s="141"/>
      <c r="Y177" s="18"/>
      <c r="Z177" s="18"/>
      <c r="AA177" s="18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</row>
    <row r="179" spans="1:4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 s="4"/>
      <c r="AS179"/>
      <c r="AT179"/>
      <c r="AU179"/>
      <c r="AV179"/>
    </row>
  </sheetData>
  <autoFilter ref="A2:AW177" xr:uid="{D6B4BD25-A26E-40FC-A5F5-5A679DC647C3}">
    <filterColumn colId="2" showButton="0"/>
    <filterColumn colId="3" showButton="0"/>
    <filterColumn colId="6" showButton="0"/>
    <filterColumn colId="9" showButton="0"/>
    <filterColumn colId="11" showButton="0"/>
    <filterColumn colId="13" showButton="0"/>
    <filterColumn colId="20" showButton="0"/>
    <filterColumn colId="23" showButton="0"/>
    <filterColumn colId="24" showButton="0"/>
    <filterColumn colId="25" showButton="0"/>
  </autoFilter>
  <mergeCells count="39"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Q1:Q3"/>
    <mergeCell ref="R1:R3"/>
    <mergeCell ref="AO1:AO3"/>
    <mergeCell ref="AG1:AG3"/>
    <mergeCell ref="AH1:AH3"/>
    <mergeCell ref="AI1:AI3"/>
    <mergeCell ref="AC1:AC3"/>
    <mergeCell ref="AD1:AD3"/>
    <mergeCell ref="AF1:AF3"/>
    <mergeCell ref="AB1:AB3"/>
    <mergeCell ref="AE1:AE3"/>
    <mergeCell ref="J1:K2"/>
    <mergeCell ref="A1:A3"/>
    <mergeCell ref="B1:B3"/>
    <mergeCell ref="C1:E2"/>
    <mergeCell ref="F1:F3"/>
    <mergeCell ref="G1:I1"/>
    <mergeCell ref="S1:S3"/>
    <mergeCell ref="T1:T3"/>
    <mergeCell ref="U1:V2"/>
    <mergeCell ref="W1:W3"/>
    <mergeCell ref="X1:AA2"/>
    <mergeCell ref="L1:M2"/>
    <mergeCell ref="N1:O2"/>
    <mergeCell ref="P1:P3"/>
  </mergeCells>
  <conditionalFormatting sqref="F47">
    <cfRule type="duplicateValues" dxfId="268" priority="48"/>
    <cfRule type="duplicateValues" dxfId="267" priority="47"/>
    <cfRule type="duplicateValues" dxfId="266" priority="45"/>
    <cfRule type="duplicateValues" dxfId="265" priority="44"/>
    <cfRule type="duplicateValues" dxfId="264" priority="43"/>
    <cfRule type="duplicateValues" dxfId="263" priority="42"/>
    <cfRule type="duplicateValues" dxfId="262" priority="41"/>
    <cfRule type="duplicateValues" dxfId="261" priority="46"/>
  </conditionalFormatting>
  <conditionalFormatting sqref="F57">
    <cfRule type="duplicateValues" dxfId="260" priority="56"/>
    <cfRule type="duplicateValues" dxfId="259" priority="55"/>
    <cfRule type="duplicateValues" dxfId="258" priority="54"/>
    <cfRule type="duplicateValues" dxfId="257" priority="53"/>
    <cfRule type="duplicateValues" dxfId="256" priority="52"/>
    <cfRule type="duplicateValues" dxfId="255" priority="51"/>
    <cfRule type="duplicateValues" dxfId="254" priority="50"/>
    <cfRule type="duplicateValues" dxfId="253" priority="49"/>
  </conditionalFormatting>
  <conditionalFormatting sqref="F134">
    <cfRule type="duplicateValues" dxfId="252" priority="33"/>
    <cfRule type="duplicateValues" dxfId="251" priority="34"/>
    <cfRule type="duplicateValues" dxfId="250" priority="35"/>
    <cfRule type="duplicateValues" dxfId="249" priority="36"/>
    <cfRule type="duplicateValues" dxfId="248" priority="37"/>
    <cfRule type="duplicateValues" dxfId="247" priority="38"/>
    <cfRule type="duplicateValues" dxfId="246" priority="39"/>
    <cfRule type="duplicateValues" dxfId="245" priority="40"/>
  </conditionalFormatting>
  <conditionalFormatting sqref="F135:F136 F58:F133 F48:F56 F138:F174 F4:F46">
    <cfRule type="duplicateValues" dxfId="244" priority="8428"/>
    <cfRule type="duplicateValues" dxfId="243" priority="8429"/>
    <cfRule type="duplicateValues" dxfId="242" priority="8430"/>
    <cfRule type="duplicateValues" dxfId="241" priority="8431"/>
    <cfRule type="duplicateValues" dxfId="240" priority="8432"/>
    <cfRule type="duplicateValues" dxfId="239" priority="8433"/>
    <cfRule type="duplicateValues" dxfId="238" priority="8426"/>
    <cfRule type="duplicateValues" dxfId="237" priority="8427"/>
  </conditionalFormatting>
  <conditionalFormatting sqref="F137">
    <cfRule type="duplicateValues" dxfId="236" priority="25"/>
    <cfRule type="duplicateValues" dxfId="235" priority="31"/>
    <cfRule type="duplicateValues" dxfId="234" priority="30"/>
    <cfRule type="duplicateValues" dxfId="233" priority="29"/>
    <cfRule type="duplicateValues" dxfId="232" priority="28"/>
    <cfRule type="duplicateValues" dxfId="231" priority="27"/>
    <cfRule type="duplicateValues" dxfId="230" priority="26"/>
    <cfRule type="duplicateValues" dxfId="229" priority="32"/>
  </conditionalFormatting>
  <conditionalFormatting sqref="F175">
    <cfRule type="duplicateValues" dxfId="228" priority="15"/>
    <cfRule type="duplicateValues" dxfId="227" priority="16"/>
    <cfRule type="duplicateValues" dxfId="226" priority="14"/>
    <cfRule type="duplicateValues" dxfId="225" priority="13"/>
    <cfRule type="duplicateValues" dxfId="224" priority="12"/>
    <cfRule type="duplicateValues" dxfId="223" priority="11"/>
    <cfRule type="duplicateValues" dxfId="222" priority="10"/>
    <cfRule type="duplicateValues" dxfId="221" priority="9"/>
  </conditionalFormatting>
  <conditionalFormatting sqref="F176">
    <cfRule type="duplicateValues" dxfId="220" priority="2"/>
    <cfRule type="duplicateValues" dxfId="219" priority="3"/>
    <cfRule type="duplicateValues" dxfId="218" priority="4"/>
    <cfRule type="duplicateValues" dxfId="217" priority="5"/>
    <cfRule type="duplicateValues" dxfId="216" priority="6"/>
    <cfRule type="duplicateValues" dxfId="215" priority="8"/>
    <cfRule type="duplicateValues" dxfId="214" priority="7"/>
    <cfRule type="duplicateValues" dxfId="213" priority="1"/>
  </conditionalFormatting>
  <conditionalFormatting sqref="F177:F1048576 F1:F3">
    <cfRule type="duplicateValues" dxfId="212" priority="73"/>
  </conditionalFormatting>
  <conditionalFormatting sqref="F177:F1048576">
    <cfRule type="duplicateValues" dxfId="211" priority="74"/>
    <cfRule type="duplicateValues" dxfId="210" priority="75"/>
    <cfRule type="duplicateValues" dxfId="209" priority="76"/>
  </conditionalFormatting>
  <pageMargins left="0.7" right="0.7" top="0.75" bottom="0.75" header="0.3" footer="0.3"/>
  <pageSetup paperSize="9" scale="24" orientation="portrait" horizontalDpi="360" verticalDpi="360" r:id="rId1"/>
  <rowBreaks count="1" manualBreakCount="1">
    <brk id="44" max="16383" man="1"/>
  </rowBreaks>
  <colBreaks count="2" manualBreakCount="2">
    <brk id="8" max="1048575" man="1"/>
    <brk id="17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AW200"/>
  <sheetViews>
    <sheetView workbookViewId="0">
      <pane xSplit="13" ySplit="3" topLeftCell="AG55" activePane="bottomRight" state="frozenSplit"/>
      <selection pane="topRight" activeCell="N1" sqref="N1"/>
      <selection pane="bottomLeft" activeCell="A4" sqref="A4"/>
      <selection pane="bottomRight" activeCell="AG9" sqref="AG9"/>
    </sheetView>
  </sheetViews>
  <sheetFormatPr baseColWidth="10" defaultRowHeight="14.25" x14ac:dyDescent="0.2"/>
  <cols>
    <col min="1" max="1" width="11.7109375" style="3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4" customWidth="1"/>
    <col min="7" max="7" width="2.85546875" style="6" customWidth="1"/>
    <col min="8" max="8" width="13" style="1" customWidth="1"/>
    <col min="9" max="9" width="27.85546875" style="4" customWidth="1"/>
    <col min="10" max="10" width="4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10.8554687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298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298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290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46">
        <v>46132</v>
      </c>
      <c r="B4" s="13">
        <v>46162</v>
      </c>
      <c r="C4" s="42" t="s">
        <v>388</v>
      </c>
      <c r="D4" s="42" t="s">
        <v>645</v>
      </c>
      <c r="E4" s="14"/>
      <c r="F4" s="71">
        <v>281541476</v>
      </c>
      <c r="G4" s="42" t="s">
        <v>50</v>
      </c>
      <c r="H4" s="31">
        <v>20467534026</v>
      </c>
      <c r="I4" s="138" t="str">
        <f>IF(H4="","",VLOOKUP(H4,[1]ENTIDAD!$B$2:$C$605,2,0))</f>
        <v>AMERICA MOVIL PERU S.A.C.</v>
      </c>
      <c r="J4" s="11"/>
      <c r="K4" s="11"/>
      <c r="L4" s="11"/>
      <c r="M4" s="11"/>
      <c r="N4" s="11">
        <f t="shared" ref="N4:N40" si="0">(S4-P4)/1.18</f>
        <v>25.338983050847457</v>
      </c>
      <c r="O4" s="11">
        <f t="shared" ref="O4:O67" si="1">N4*0.18</f>
        <v>4.5610169491525419</v>
      </c>
      <c r="P4" s="11">
        <v>0</v>
      </c>
      <c r="Q4" s="11"/>
      <c r="R4" s="11"/>
      <c r="S4" s="11">
        <v>29.9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33">
        <v>46162</v>
      </c>
      <c r="AE4" s="34" t="s">
        <v>465</v>
      </c>
      <c r="AF4" s="19">
        <v>6365095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651</v>
      </c>
      <c r="AT4" s="14"/>
      <c r="AU4" s="11"/>
      <c r="AV4" s="14"/>
    </row>
    <row r="5" spans="1:49" s="45" customFormat="1" ht="15" x14ac:dyDescent="0.25">
      <c r="A5" s="46">
        <v>46140</v>
      </c>
      <c r="B5" s="13">
        <v>46170</v>
      </c>
      <c r="C5" s="42" t="s">
        <v>388</v>
      </c>
      <c r="D5" s="42" t="s">
        <v>557</v>
      </c>
      <c r="E5" s="14"/>
      <c r="F5" s="71">
        <v>5768340</v>
      </c>
      <c r="G5" s="42" t="s">
        <v>50</v>
      </c>
      <c r="H5" s="31">
        <v>20129646099</v>
      </c>
      <c r="I5" s="138" t="str">
        <f>IF(H5="","",VLOOKUP(H5,[1]ENTIDAD!$B$2:$C$605,2,0))</f>
        <v>ELECTROCENTRO S.A.</v>
      </c>
      <c r="J5" s="11"/>
      <c r="K5" s="11"/>
      <c r="L5" s="11"/>
      <c r="M5" s="11"/>
      <c r="N5" s="11">
        <f t="shared" si="0"/>
        <v>0</v>
      </c>
      <c r="O5" s="11">
        <f t="shared" si="1"/>
        <v>0</v>
      </c>
      <c r="P5" s="11">
        <v>406</v>
      </c>
      <c r="Q5" s="11"/>
      <c r="R5" s="11"/>
      <c r="S5" s="11">
        <v>406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33">
        <v>46170</v>
      </c>
      <c r="AE5" s="34" t="s">
        <v>465</v>
      </c>
      <c r="AF5" s="19" t="s">
        <v>559</v>
      </c>
      <c r="AG5" s="14"/>
      <c r="AH5" s="14" t="s">
        <v>225</v>
      </c>
      <c r="AI5" s="112"/>
      <c r="AJ5" s="112"/>
      <c r="AK5" s="120"/>
      <c r="AL5" s="116"/>
      <c r="AM5" s="116"/>
      <c r="AN5" s="112"/>
      <c r="AO5" s="112"/>
      <c r="AP5" s="109"/>
      <c r="AQ5" s="112"/>
      <c r="AR5" s="116">
        <v>18</v>
      </c>
      <c r="AS5" s="112" t="s">
        <v>665</v>
      </c>
      <c r="AT5" s="14"/>
      <c r="AU5" s="11"/>
      <c r="AV5" s="14"/>
    </row>
    <row r="6" spans="1:49" s="45" customFormat="1" ht="15" x14ac:dyDescent="0.25">
      <c r="A6" s="46">
        <v>46140</v>
      </c>
      <c r="B6" s="13">
        <v>46170</v>
      </c>
      <c r="C6" s="42" t="s">
        <v>388</v>
      </c>
      <c r="D6" s="42" t="s">
        <v>557</v>
      </c>
      <c r="E6" s="14"/>
      <c r="F6" s="71">
        <v>5768345</v>
      </c>
      <c r="G6" s="42" t="s">
        <v>50</v>
      </c>
      <c r="H6" s="31">
        <v>20129646099</v>
      </c>
      <c r="I6" s="138" t="str">
        <f>IF(H6="","",VLOOKUP(H6,[1]ENTIDAD!$B$2:$C$605,2,0))</f>
        <v>ELECTROCENTRO S.A.</v>
      </c>
      <c r="J6" s="11"/>
      <c r="K6" s="11"/>
      <c r="L6" s="11"/>
      <c r="M6" s="11"/>
      <c r="N6" s="11">
        <f t="shared" si="0"/>
        <v>0</v>
      </c>
      <c r="O6" s="11">
        <f t="shared" si="1"/>
        <v>0</v>
      </c>
      <c r="P6" s="11">
        <v>97.6</v>
      </c>
      <c r="Q6" s="11"/>
      <c r="R6" s="11"/>
      <c r="S6" s="11">
        <v>97.6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33">
        <v>46170</v>
      </c>
      <c r="AE6" s="34" t="s">
        <v>465</v>
      </c>
      <c r="AF6" s="19" t="s">
        <v>559</v>
      </c>
      <c r="AG6" s="14"/>
      <c r="AH6" s="14" t="s">
        <v>225</v>
      </c>
      <c r="AI6" s="112"/>
      <c r="AJ6" s="112"/>
      <c r="AK6" s="120"/>
      <c r="AL6" s="116"/>
      <c r="AM6" s="116"/>
      <c r="AN6" s="112"/>
      <c r="AO6" s="112"/>
      <c r="AP6" s="109"/>
      <c r="AQ6" s="112"/>
      <c r="AR6" s="116">
        <v>18</v>
      </c>
      <c r="AS6" s="112" t="s">
        <v>665</v>
      </c>
      <c r="AT6" s="14"/>
      <c r="AU6" s="11"/>
      <c r="AV6" s="14"/>
    </row>
    <row r="7" spans="1:49" s="121" customFormat="1" ht="15" x14ac:dyDescent="0.25">
      <c r="A7" s="109">
        <v>46140</v>
      </c>
      <c r="B7" s="109">
        <v>46156</v>
      </c>
      <c r="C7" s="111" t="s">
        <v>388</v>
      </c>
      <c r="D7" s="111" t="s">
        <v>756</v>
      </c>
      <c r="E7" s="112"/>
      <c r="F7" s="113">
        <v>5768563</v>
      </c>
      <c r="G7" s="111" t="s">
        <v>50</v>
      </c>
      <c r="H7" s="114">
        <v>20129646099</v>
      </c>
      <c r="I7" s="139" t="str">
        <f>IF(H7="","",VLOOKUP(H7,ENTIDAD!$B$2:$C$613,2,0))</f>
        <v>ELECTROCENTRO S.A.</v>
      </c>
      <c r="J7" s="116"/>
      <c r="K7" s="116"/>
      <c r="L7" s="116"/>
      <c r="M7" s="116"/>
      <c r="N7" s="116">
        <f t="shared" si="0"/>
        <v>0</v>
      </c>
      <c r="O7" s="116">
        <f t="shared" si="1"/>
        <v>0</v>
      </c>
      <c r="P7" s="116">
        <v>1215.2</v>
      </c>
      <c r="Q7" s="116"/>
      <c r="R7" s="116"/>
      <c r="S7" s="116">
        <v>1215.2</v>
      </c>
      <c r="T7" s="127"/>
      <c r="U7" s="127"/>
      <c r="V7" s="126"/>
      <c r="W7" s="207"/>
      <c r="X7" s="126"/>
      <c r="Y7" s="127"/>
      <c r="Z7" s="127"/>
      <c r="AA7" s="127"/>
      <c r="AB7" s="111" t="s">
        <v>224</v>
      </c>
      <c r="AC7" s="208"/>
      <c r="AD7" s="126">
        <v>46156</v>
      </c>
      <c r="AE7" s="127" t="s">
        <v>465</v>
      </c>
      <c r="AF7" s="119" t="s">
        <v>559</v>
      </c>
      <c r="AG7" s="112"/>
      <c r="AH7" s="112" t="s">
        <v>225</v>
      </c>
      <c r="AI7" s="112"/>
      <c r="AJ7" s="112"/>
      <c r="AK7" s="120"/>
      <c r="AL7" s="116"/>
      <c r="AM7" s="116"/>
      <c r="AN7" s="112"/>
      <c r="AO7" s="112"/>
      <c r="AP7" s="109"/>
      <c r="AQ7" s="112"/>
      <c r="AR7" s="116">
        <v>18</v>
      </c>
      <c r="AS7" s="112" t="s">
        <v>665</v>
      </c>
      <c r="AT7" s="112"/>
      <c r="AU7" s="116"/>
      <c r="AV7" s="112"/>
    </row>
    <row r="8" spans="1:49" s="121" customFormat="1" ht="15" x14ac:dyDescent="0.25">
      <c r="A8" s="108">
        <v>46142</v>
      </c>
      <c r="B8" s="109">
        <v>46172</v>
      </c>
      <c r="C8" s="111" t="s">
        <v>388</v>
      </c>
      <c r="D8" s="111" t="s">
        <v>626</v>
      </c>
      <c r="E8" s="112"/>
      <c r="F8" s="113">
        <v>1067341</v>
      </c>
      <c r="G8" s="111" t="s">
        <v>50</v>
      </c>
      <c r="H8" s="114">
        <v>20121876290</v>
      </c>
      <c r="I8" s="139" t="str">
        <f>IF(H8="","",VLOOKUP(H8,[1]ENTIDAD!$B$2:$C$605,2,0))</f>
        <v>ENT.PREST.SERV.SANEAM.SELVA CENTRAL S.A</v>
      </c>
      <c r="J8" s="116"/>
      <c r="K8" s="116"/>
      <c r="L8" s="116"/>
      <c r="M8" s="116"/>
      <c r="N8" s="116">
        <f t="shared" si="0"/>
        <v>0</v>
      </c>
      <c r="O8" s="116">
        <f t="shared" si="1"/>
        <v>0</v>
      </c>
      <c r="P8" s="116">
        <v>18.5</v>
      </c>
      <c r="Q8" s="116"/>
      <c r="R8" s="116"/>
      <c r="S8" s="116">
        <v>18.5</v>
      </c>
      <c r="T8" s="112"/>
      <c r="U8" s="112"/>
      <c r="V8" s="109"/>
      <c r="W8" s="118"/>
      <c r="X8" s="109"/>
      <c r="Y8" s="112"/>
      <c r="Z8" s="112"/>
      <c r="AA8" s="112"/>
      <c r="AB8" s="111" t="s">
        <v>224</v>
      </c>
      <c r="AC8" s="116"/>
      <c r="AD8" s="126">
        <v>46172</v>
      </c>
      <c r="AE8" s="127" t="s">
        <v>465</v>
      </c>
      <c r="AF8" s="128" t="s">
        <v>561</v>
      </c>
      <c r="AG8" s="112"/>
      <c r="AH8" s="112" t="s">
        <v>225</v>
      </c>
      <c r="AI8" s="112"/>
      <c r="AJ8" s="112"/>
      <c r="AK8" s="120"/>
      <c r="AL8" s="116"/>
      <c r="AM8" s="116"/>
      <c r="AN8" s="112"/>
      <c r="AO8" s="112"/>
      <c r="AP8" s="109"/>
      <c r="AQ8" s="112"/>
      <c r="AR8" s="116">
        <v>18</v>
      </c>
      <c r="AS8" s="112" t="s">
        <v>652</v>
      </c>
      <c r="AT8" s="112"/>
      <c r="AU8" s="116"/>
      <c r="AV8" s="112"/>
    </row>
    <row r="9" spans="1:49" s="121" customFormat="1" ht="15" x14ac:dyDescent="0.25">
      <c r="A9" s="109">
        <v>46142</v>
      </c>
      <c r="B9" s="109">
        <v>46173</v>
      </c>
      <c r="C9" s="111" t="s">
        <v>388</v>
      </c>
      <c r="D9" s="111" t="s">
        <v>757</v>
      </c>
      <c r="E9" s="112"/>
      <c r="F9" s="113">
        <v>1068092</v>
      </c>
      <c r="G9" s="111" t="s">
        <v>50</v>
      </c>
      <c r="H9" s="114">
        <v>20121876290</v>
      </c>
      <c r="I9" s="139" t="str">
        <f>IF(H9="","",VLOOKUP(H9,ENTIDAD!$B$2:$C$613,2,0))</f>
        <v>ENT.PREST.SERV.SANEAM.SELVA CENTRAL S.A</v>
      </c>
      <c r="J9" s="116"/>
      <c r="K9" s="116"/>
      <c r="L9" s="116"/>
      <c r="M9" s="116"/>
      <c r="N9" s="116">
        <f t="shared" si="0"/>
        <v>0</v>
      </c>
      <c r="O9" s="116">
        <f t="shared" si="1"/>
        <v>0</v>
      </c>
      <c r="P9" s="116">
        <v>50.6</v>
      </c>
      <c r="Q9" s="116"/>
      <c r="R9" s="116"/>
      <c r="S9" s="116">
        <v>50.6</v>
      </c>
      <c r="T9" s="112"/>
      <c r="U9" s="112"/>
      <c r="V9" s="109"/>
      <c r="W9" s="118"/>
      <c r="X9" s="109"/>
      <c r="Y9" s="112"/>
      <c r="Z9" s="112"/>
      <c r="AA9" s="112"/>
      <c r="AB9" s="111" t="s">
        <v>224</v>
      </c>
      <c r="AC9" s="116"/>
      <c r="AD9" s="126">
        <v>46173</v>
      </c>
      <c r="AE9" s="127" t="s">
        <v>465</v>
      </c>
      <c r="AF9" s="128" t="s">
        <v>561</v>
      </c>
      <c r="AG9" s="112"/>
      <c r="AH9" s="112" t="s">
        <v>225</v>
      </c>
      <c r="AI9" s="112"/>
      <c r="AJ9" s="112"/>
      <c r="AK9" s="120"/>
      <c r="AL9" s="116"/>
      <c r="AM9" s="116"/>
      <c r="AN9" s="112"/>
      <c r="AO9" s="112"/>
      <c r="AP9" s="109"/>
      <c r="AQ9" s="112"/>
      <c r="AR9" s="116">
        <v>18</v>
      </c>
      <c r="AS9" s="112" t="s">
        <v>652</v>
      </c>
      <c r="AT9" s="112"/>
      <c r="AU9" s="116"/>
      <c r="AV9" s="112"/>
    </row>
    <row r="10" spans="1:49" s="47" customFormat="1" ht="15" x14ac:dyDescent="0.25">
      <c r="A10" s="46">
        <v>46143</v>
      </c>
      <c r="B10" s="13"/>
      <c r="C10" s="42" t="s">
        <v>49</v>
      </c>
      <c r="D10" s="42" t="s">
        <v>294</v>
      </c>
      <c r="E10" s="14"/>
      <c r="F10" s="71">
        <v>4440</v>
      </c>
      <c r="G10" s="42" t="s">
        <v>50</v>
      </c>
      <c r="H10" s="31">
        <v>20607418790</v>
      </c>
      <c r="I10" s="138" t="str">
        <f>IF(H10="","",VLOOKUP(H10,[1]ENTIDAD!$B$2:$C$605,2,0))</f>
        <v>BROASTER SATIPO EMPRESA INDIVIDUAL DE RESP. LTDA</v>
      </c>
      <c r="J10" s="11"/>
      <c r="K10" s="11"/>
      <c r="L10" s="11"/>
      <c r="M10" s="11"/>
      <c r="N10" s="11">
        <f t="shared" si="0"/>
        <v>0</v>
      </c>
      <c r="O10" s="11">
        <f t="shared" si="1"/>
        <v>0</v>
      </c>
      <c r="P10" s="11">
        <v>174</v>
      </c>
      <c r="Q10" s="11"/>
      <c r="R10" s="11"/>
      <c r="S10" s="11">
        <v>174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13">
        <v>46143</v>
      </c>
      <c r="AE10" s="14" t="s">
        <v>262</v>
      </c>
      <c r="AF10" s="19" t="s">
        <v>739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738</v>
      </c>
      <c r="AT10" s="14"/>
      <c r="AU10" s="11"/>
      <c r="AV10" s="14"/>
      <c r="AW10" s="45"/>
    </row>
    <row r="11" spans="1:49" s="45" customFormat="1" ht="14.25" customHeight="1" x14ac:dyDescent="0.25">
      <c r="A11" s="46">
        <v>46143</v>
      </c>
      <c r="B11" s="33">
        <v>46174</v>
      </c>
      <c r="C11" s="42" t="s">
        <v>388</v>
      </c>
      <c r="D11" s="42" t="s">
        <v>595</v>
      </c>
      <c r="E11" s="14"/>
      <c r="F11" s="71">
        <v>623010998</v>
      </c>
      <c r="G11" s="42" t="s">
        <v>50</v>
      </c>
      <c r="H11" s="31">
        <v>20467534026</v>
      </c>
      <c r="I11" s="138" t="str">
        <f>IF(H11="","",VLOOKUP(H11,[1]ENTIDAD!$B$2:$C$605,2,0))</f>
        <v>AMERICA MOVIL PERU S.A.C.</v>
      </c>
      <c r="J11" s="11"/>
      <c r="K11" s="11"/>
      <c r="L11" s="11"/>
      <c r="M11" s="11"/>
      <c r="N11" s="11">
        <f t="shared" si="0"/>
        <v>75.423728813559322</v>
      </c>
      <c r="O11" s="11">
        <f t="shared" si="1"/>
        <v>13.576271186440678</v>
      </c>
      <c r="P11" s="11">
        <v>0</v>
      </c>
      <c r="Q11" s="11"/>
      <c r="R11" s="11"/>
      <c r="S11" s="11">
        <v>89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33">
        <v>46174</v>
      </c>
      <c r="AE11" s="34" t="s">
        <v>465</v>
      </c>
      <c r="AF11" s="19">
        <v>6365095</v>
      </c>
      <c r="AG11" s="14"/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651</v>
      </c>
      <c r="AT11" s="14"/>
      <c r="AU11" s="11"/>
      <c r="AV11" s="14"/>
    </row>
    <row r="12" spans="1:49" s="45" customFormat="1" ht="15" x14ac:dyDescent="0.25">
      <c r="A12" s="46">
        <v>46143</v>
      </c>
      <c r="B12" s="13"/>
      <c r="C12" s="42" t="s">
        <v>49</v>
      </c>
      <c r="D12" s="42" t="s">
        <v>294</v>
      </c>
      <c r="E12" s="14"/>
      <c r="F12" s="71">
        <v>4985438</v>
      </c>
      <c r="G12" s="42" t="s">
        <v>50</v>
      </c>
      <c r="H12" s="31">
        <v>20432405525</v>
      </c>
      <c r="I12" s="138" t="str">
        <f>IF(H12="","",VLOOKUP(H12,ENTIDAD!$B$2:$C$613,2,0))</f>
        <v>PROCESOS DE MEDIOS DE PAGO S.A.</v>
      </c>
      <c r="J12" s="11"/>
      <c r="K12" s="11"/>
      <c r="L12" s="11"/>
      <c r="M12" s="11"/>
      <c r="N12" s="11">
        <f t="shared" si="0"/>
        <v>1</v>
      </c>
      <c r="O12" s="11">
        <f t="shared" si="1"/>
        <v>0.18</v>
      </c>
      <c r="P12" s="11">
        <v>0</v>
      </c>
      <c r="Q12" s="11"/>
      <c r="R12" s="11"/>
      <c r="S12" s="11">
        <v>1.18</v>
      </c>
      <c r="T12" s="14"/>
      <c r="U12" s="14"/>
      <c r="V12" s="13"/>
      <c r="W12" s="15"/>
      <c r="X12" s="13"/>
      <c r="Y12" s="14"/>
      <c r="Z12" s="14"/>
      <c r="AA12" s="14"/>
      <c r="AB12" s="42" t="s">
        <v>224</v>
      </c>
      <c r="AC12" s="11"/>
      <c r="AD12" s="33">
        <v>46174</v>
      </c>
      <c r="AE12" s="34" t="s">
        <v>465</v>
      </c>
      <c r="AF12" s="19" t="s">
        <v>494</v>
      </c>
      <c r="AG12" s="14"/>
      <c r="AH12" s="14" t="s">
        <v>225</v>
      </c>
      <c r="AI12" s="14"/>
      <c r="AJ12" s="14"/>
      <c r="AK12" s="16"/>
      <c r="AL12" s="11"/>
      <c r="AM12" s="11"/>
      <c r="AN12" s="14"/>
      <c r="AO12" s="14"/>
      <c r="AP12" s="13"/>
      <c r="AQ12" s="14"/>
      <c r="AR12" s="11">
        <v>18</v>
      </c>
      <c r="AS12" s="14" t="s">
        <v>750</v>
      </c>
      <c r="AT12" s="14"/>
      <c r="AU12" s="11"/>
      <c r="AV12" s="14"/>
    </row>
    <row r="13" spans="1:49" s="45" customFormat="1" ht="15" x14ac:dyDescent="0.25">
      <c r="A13" s="46">
        <v>46144</v>
      </c>
      <c r="B13" s="72">
        <f t="shared" ref="B13:B44" si="2">AD13</f>
        <v>46174</v>
      </c>
      <c r="C13" s="42" t="s">
        <v>49</v>
      </c>
      <c r="D13" s="42" t="s">
        <v>299</v>
      </c>
      <c r="E13" s="14"/>
      <c r="F13" s="71">
        <v>3828340</v>
      </c>
      <c r="G13" s="42" t="s">
        <v>50</v>
      </c>
      <c r="H13" s="31">
        <v>20101973922</v>
      </c>
      <c r="I13" s="138" t="str">
        <f>IF(H13="","",VLOOKUP(H13,[1]ENTIDAD!$B$2:$C$605,2,0))</f>
        <v>ASOCIACION AUTOMOTRIZ DEL PERU</v>
      </c>
      <c r="J13" s="11"/>
      <c r="K13" s="11"/>
      <c r="L13" s="11"/>
      <c r="M13" s="11"/>
      <c r="N13" s="11">
        <f t="shared" si="0"/>
        <v>56.610169491525426</v>
      </c>
      <c r="O13" s="11">
        <f t="shared" si="1"/>
        <v>10.189830508474577</v>
      </c>
      <c r="P13" s="11">
        <v>0</v>
      </c>
      <c r="Q13" s="11"/>
      <c r="R13" s="11">
        <v>66.8</v>
      </c>
      <c r="S13" s="11">
        <v>66.8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72">
        <f t="shared" ref="AD13:AD38" si="3">A13+30</f>
        <v>46174</v>
      </c>
      <c r="AE13" s="34" t="s">
        <v>465</v>
      </c>
      <c r="AF13" s="37" t="s">
        <v>550</v>
      </c>
      <c r="AG13" s="14" t="s">
        <v>513</v>
      </c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566</v>
      </c>
      <c r="AT13" s="14"/>
      <c r="AU13" s="11"/>
      <c r="AV13" s="14"/>
    </row>
    <row r="14" spans="1:49" s="45" customFormat="1" ht="15" x14ac:dyDescent="0.25">
      <c r="A14" s="46">
        <v>46144</v>
      </c>
      <c r="B14" s="72">
        <f t="shared" si="2"/>
        <v>46174</v>
      </c>
      <c r="C14" s="42" t="s">
        <v>49</v>
      </c>
      <c r="D14" s="42" t="s">
        <v>299</v>
      </c>
      <c r="E14" s="14"/>
      <c r="F14" s="71">
        <v>3828339</v>
      </c>
      <c r="G14" s="42" t="s">
        <v>50</v>
      </c>
      <c r="H14" s="31">
        <v>20101973922</v>
      </c>
      <c r="I14" s="138" t="str">
        <f>IF(H14="","",VLOOKUP(H14,[1]ENTIDAD!$B$2:$C$605,2,0))</f>
        <v>ASOCIACION AUTOMOTRIZ DEL PERU</v>
      </c>
      <c r="J14" s="11"/>
      <c r="K14" s="11"/>
      <c r="L14" s="11"/>
      <c r="M14" s="11"/>
      <c r="N14" s="11">
        <f t="shared" si="0"/>
        <v>56.610169491525426</v>
      </c>
      <c r="O14" s="11">
        <f t="shared" si="1"/>
        <v>10.189830508474577</v>
      </c>
      <c r="P14" s="11">
        <v>0</v>
      </c>
      <c r="Q14" s="11"/>
      <c r="R14" s="11">
        <v>66.8</v>
      </c>
      <c r="S14" s="11">
        <v>66.8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72">
        <f t="shared" si="3"/>
        <v>46174</v>
      </c>
      <c r="AE14" s="34" t="s">
        <v>465</v>
      </c>
      <c r="AF14" s="37" t="s">
        <v>550</v>
      </c>
      <c r="AG14" s="14" t="s">
        <v>513</v>
      </c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566</v>
      </c>
      <c r="AT14" s="14"/>
      <c r="AU14" s="11"/>
      <c r="AV14" s="14"/>
    </row>
    <row r="15" spans="1:49" s="45" customFormat="1" ht="15" x14ac:dyDescent="0.25">
      <c r="A15" s="46">
        <v>46144</v>
      </c>
      <c r="B15" s="72">
        <f t="shared" si="2"/>
        <v>46174</v>
      </c>
      <c r="C15" s="42" t="s">
        <v>49</v>
      </c>
      <c r="D15" s="42" t="s">
        <v>299</v>
      </c>
      <c r="E15" s="14"/>
      <c r="F15" s="71">
        <v>3828338</v>
      </c>
      <c r="G15" s="42" t="s">
        <v>50</v>
      </c>
      <c r="H15" s="31">
        <v>20101973922</v>
      </c>
      <c r="I15" s="138" t="str">
        <f>IF(H15="","",VLOOKUP(H15,[1]ENTIDAD!$B$2:$C$605,2,0))</f>
        <v>ASOCIACION AUTOMOTRIZ DEL PERU</v>
      </c>
      <c r="J15" s="11"/>
      <c r="K15" s="11"/>
      <c r="L15" s="11"/>
      <c r="M15" s="11"/>
      <c r="N15" s="11">
        <f t="shared" si="0"/>
        <v>56.610169491525426</v>
      </c>
      <c r="O15" s="11">
        <f t="shared" si="1"/>
        <v>10.189830508474577</v>
      </c>
      <c r="P15" s="11">
        <v>0</v>
      </c>
      <c r="Q15" s="11"/>
      <c r="R15" s="11">
        <v>66.8</v>
      </c>
      <c r="S15" s="11">
        <v>66.8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72">
        <f t="shared" si="3"/>
        <v>46174</v>
      </c>
      <c r="AE15" s="34" t="s">
        <v>465</v>
      </c>
      <c r="AF15" s="37" t="s">
        <v>550</v>
      </c>
      <c r="AG15" s="14" t="s">
        <v>513</v>
      </c>
      <c r="AH15" s="14" t="s">
        <v>225</v>
      </c>
      <c r="AI15" s="14"/>
      <c r="AJ15" s="14"/>
      <c r="AK15" s="16"/>
      <c r="AL15" s="11"/>
      <c r="AM15" s="11"/>
      <c r="AN15" s="14"/>
      <c r="AO15" s="14"/>
      <c r="AP15" s="13"/>
      <c r="AQ15" s="14"/>
      <c r="AR15" s="11">
        <v>18</v>
      </c>
      <c r="AS15" s="14" t="s">
        <v>566</v>
      </c>
      <c r="AT15" s="14"/>
      <c r="AU15" s="11"/>
      <c r="AV15" s="14"/>
    </row>
    <row r="16" spans="1:49" s="45" customFormat="1" ht="15" x14ac:dyDescent="0.25">
      <c r="A16" s="46">
        <v>46144</v>
      </c>
      <c r="B16" s="72">
        <f t="shared" si="2"/>
        <v>46174</v>
      </c>
      <c r="C16" s="42" t="s">
        <v>49</v>
      </c>
      <c r="D16" s="42" t="s">
        <v>299</v>
      </c>
      <c r="E16" s="14"/>
      <c r="F16" s="71">
        <v>3828337</v>
      </c>
      <c r="G16" s="42" t="s">
        <v>50</v>
      </c>
      <c r="H16" s="31">
        <v>20101973922</v>
      </c>
      <c r="I16" s="138" t="str">
        <f>IF(H16="","",VLOOKUP(H16,[1]ENTIDAD!$B$2:$C$605,2,0))</f>
        <v>ASOCIACION AUTOMOTRIZ DEL PERU</v>
      </c>
      <c r="J16" s="11"/>
      <c r="K16" s="11"/>
      <c r="L16" s="11"/>
      <c r="M16" s="11"/>
      <c r="N16" s="11">
        <f t="shared" si="0"/>
        <v>56.610169491525426</v>
      </c>
      <c r="O16" s="11">
        <f t="shared" si="1"/>
        <v>10.189830508474577</v>
      </c>
      <c r="P16" s="11">
        <v>0</v>
      </c>
      <c r="Q16" s="11"/>
      <c r="R16" s="11">
        <v>66.8</v>
      </c>
      <c r="S16" s="11">
        <v>66.8</v>
      </c>
      <c r="T16" s="14"/>
      <c r="U16" s="14"/>
      <c r="V16" s="13"/>
      <c r="W16" s="15"/>
      <c r="X16" s="13"/>
      <c r="Y16" s="14"/>
      <c r="Z16" s="14"/>
      <c r="AA16" s="14"/>
      <c r="AB16" s="42" t="s">
        <v>224</v>
      </c>
      <c r="AC16" s="11"/>
      <c r="AD16" s="72">
        <f t="shared" si="3"/>
        <v>46174</v>
      </c>
      <c r="AE16" s="34" t="s">
        <v>465</v>
      </c>
      <c r="AF16" s="37" t="s">
        <v>550</v>
      </c>
      <c r="AG16" s="14" t="s">
        <v>513</v>
      </c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 t="s">
        <v>566</v>
      </c>
      <c r="AT16" s="14"/>
      <c r="AU16" s="11"/>
      <c r="AV16" s="14"/>
    </row>
    <row r="17" spans="1:49" s="45" customFormat="1" ht="15" x14ac:dyDescent="0.25">
      <c r="A17" s="46">
        <v>46144</v>
      </c>
      <c r="B17" s="72">
        <f t="shared" si="2"/>
        <v>46174</v>
      </c>
      <c r="C17" s="42" t="s">
        <v>49</v>
      </c>
      <c r="D17" s="42" t="s">
        <v>299</v>
      </c>
      <c r="E17" s="14"/>
      <c r="F17" s="71">
        <v>3828336</v>
      </c>
      <c r="G17" s="42" t="s">
        <v>50</v>
      </c>
      <c r="H17" s="31">
        <v>20101973922</v>
      </c>
      <c r="I17" s="138" t="str">
        <f>IF(H17="","",VLOOKUP(H17,[1]ENTIDAD!$B$2:$C$605,2,0))</f>
        <v>ASOCIACION AUTOMOTRIZ DEL PERU</v>
      </c>
      <c r="J17" s="11"/>
      <c r="K17" s="11"/>
      <c r="L17" s="11"/>
      <c r="M17" s="11"/>
      <c r="N17" s="11">
        <f t="shared" si="0"/>
        <v>56.610169491525426</v>
      </c>
      <c r="O17" s="11">
        <f t="shared" si="1"/>
        <v>10.189830508474577</v>
      </c>
      <c r="P17" s="11">
        <v>0</v>
      </c>
      <c r="Q17" s="11"/>
      <c r="R17" s="11">
        <v>66.8</v>
      </c>
      <c r="S17" s="11">
        <v>66.8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72">
        <f t="shared" si="3"/>
        <v>46174</v>
      </c>
      <c r="AE17" s="34" t="s">
        <v>465</v>
      </c>
      <c r="AF17" s="37" t="s">
        <v>550</v>
      </c>
      <c r="AG17" s="14" t="s">
        <v>513</v>
      </c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4" t="s">
        <v>566</v>
      </c>
      <c r="AT17" s="14"/>
      <c r="AU17" s="11"/>
      <c r="AV17" s="14"/>
    </row>
    <row r="18" spans="1:49" s="47" customFormat="1" ht="15" x14ac:dyDescent="0.25">
      <c r="A18" s="46">
        <v>46144</v>
      </c>
      <c r="B18" s="72">
        <f t="shared" si="2"/>
        <v>46174</v>
      </c>
      <c r="C18" s="42" t="s">
        <v>49</v>
      </c>
      <c r="D18" s="42" t="s">
        <v>299</v>
      </c>
      <c r="E18" s="14"/>
      <c r="F18" s="71">
        <v>3828335</v>
      </c>
      <c r="G18" s="42" t="s">
        <v>50</v>
      </c>
      <c r="H18" s="31">
        <v>20101973922</v>
      </c>
      <c r="I18" s="138" t="str">
        <f>IF(H18="","",VLOOKUP(H18,[1]ENTIDAD!$B$2:$C$605,2,0))</f>
        <v>ASOCIACION AUTOMOTRIZ DEL PERU</v>
      </c>
      <c r="J18" s="11"/>
      <c r="K18" s="11"/>
      <c r="L18" s="11"/>
      <c r="M18" s="11"/>
      <c r="N18" s="11">
        <f t="shared" si="0"/>
        <v>56.610169491525426</v>
      </c>
      <c r="O18" s="11">
        <f t="shared" si="1"/>
        <v>10.189830508474577</v>
      </c>
      <c r="P18" s="11">
        <v>0</v>
      </c>
      <c r="Q18" s="11"/>
      <c r="R18" s="11">
        <v>66.8</v>
      </c>
      <c r="S18" s="11">
        <v>66.8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72">
        <f t="shared" si="3"/>
        <v>46174</v>
      </c>
      <c r="AE18" s="34" t="s">
        <v>465</v>
      </c>
      <c r="AF18" s="37" t="s">
        <v>550</v>
      </c>
      <c r="AG18" s="14" t="s">
        <v>513</v>
      </c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566</v>
      </c>
      <c r="AT18" s="14"/>
      <c r="AU18" s="11"/>
      <c r="AV18" s="14"/>
      <c r="AW18" s="45"/>
    </row>
    <row r="19" spans="1:49" s="45" customFormat="1" ht="15" x14ac:dyDescent="0.25">
      <c r="A19" s="46">
        <v>46144</v>
      </c>
      <c r="B19" s="72">
        <f t="shared" si="2"/>
        <v>46174</v>
      </c>
      <c r="C19" s="42" t="s">
        <v>49</v>
      </c>
      <c r="D19" s="42" t="s">
        <v>299</v>
      </c>
      <c r="E19" s="14"/>
      <c r="F19" s="71">
        <v>3828334</v>
      </c>
      <c r="G19" s="42" t="s">
        <v>50</v>
      </c>
      <c r="H19" s="31">
        <v>20101973922</v>
      </c>
      <c r="I19" s="138" t="str">
        <f>IF(H19="","",VLOOKUP(H19,[1]ENTIDAD!$B$2:$C$605,2,0))</f>
        <v>ASOCIACION AUTOMOTRIZ DEL PERU</v>
      </c>
      <c r="J19" s="11"/>
      <c r="K19" s="11"/>
      <c r="L19" s="11"/>
      <c r="M19" s="11"/>
      <c r="N19" s="11">
        <f t="shared" si="0"/>
        <v>56.610169491525426</v>
      </c>
      <c r="O19" s="11">
        <f t="shared" si="1"/>
        <v>10.189830508474577</v>
      </c>
      <c r="P19" s="11">
        <v>0</v>
      </c>
      <c r="Q19" s="11"/>
      <c r="R19" s="11">
        <v>66.8</v>
      </c>
      <c r="S19" s="11">
        <v>66.8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72">
        <f t="shared" si="3"/>
        <v>46174</v>
      </c>
      <c r="AE19" s="34" t="s">
        <v>465</v>
      </c>
      <c r="AF19" s="37" t="s">
        <v>550</v>
      </c>
      <c r="AG19" s="14" t="s">
        <v>513</v>
      </c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566</v>
      </c>
      <c r="AT19" s="14"/>
      <c r="AU19" s="11"/>
      <c r="AV19" s="14"/>
    </row>
    <row r="20" spans="1:49" s="45" customFormat="1" ht="15" x14ac:dyDescent="0.25">
      <c r="A20" s="46">
        <v>46144</v>
      </c>
      <c r="B20" s="72">
        <f t="shared" si="2"/>
        <v>46174</v>
      </c>
      <c r="C20" s="42" t="s">
        <v>49</v>
      </c>
      <c r="D20" s="42" t="s">
        <v>299</v>
      </c>
      <c r="E20" s="14"/>
      <c r="F20" s="71">
        <v>3828333</v>
      </c>
      <c r="G20" s="42" t="s">
        <v>50</v>
      </c>
      <c r="H20" s="31">
        <v>20101973922</v>
      </c>
      <c r="I20" s="138" t="str">
        <f>IF(H20="","",VLOOKUP(H20,[1]ENTIDAD!$B$2:$C$605,2,0))</f>
        <v>ASOCIACION AUTOMOTRIZ DEL PERU</v>
      </c>
      <c r="J20" s="11"/>
      <c r="K20" s="11"/>
      <c r="L20" s="11"/>
      <c r="M20" s="11"/>
      <c r="N20" s="11">
        <f t="shared" si="0"/>
        <v>56.610169491525426</v>
      </c>
      <c r="O20" s="11">
        <f t="shared" si="1"/>
        <v>10.189830508474577</v>
      </c>
      <c r="P20" s="11">
        <v>0</v>
      </c>
      <c r="Q20" s="11"/>
      <c r="R20" s="11">
        <v>66.8</v>
      </c>
      <c r="S20" s="11">
        <v>66.8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72">
        <f t="shared" si="3"/>
        <v>46174</v>
      </c>
      <c r="AE20" s="34" t="s">
        <v>465</v>
      </c>
      <c r="AF20" s="37" t="s">
        <v>550</v>
      </c>
      <c r="AG20" s="14" t="s">
        <v>513</v>
      </c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566</v>
      </c>
      <c r="AT20" s="14"/>
      <c r="AU20" s="11"/>
      <c r="AV20" s="14"/>
    </row>
    <row r="21" spans="1:49" s="45" customFormat="1" ht="15" x14ac:dyDescent="0.25">
      <c r="A21" s="46">
        <v>46144</v>
      </c>
      <c r="B21" s="72">
        <f t="shared" si="2"/>
        <v>46174</v>
      </c>
      <c r="C21" s="42" t="s">
        <v>49</v>
      </c>
      <c r="D21" s="42" t="s">
        <v>299</v>
      </c>
      <c r="E21" s="14"/>
      <c r="F21" s="71">
        <v>3828332</v>
      </c>
      <c r="G21" s="42" t="s">
        <v>50</v>
      </c>
      <c r="H21" s="31">
        <v>20101973922</v>
      </c>
      <c r="I21" s="138" t="str">
        <f>IF(H21="","",VLOOKUP(H21,[1]ENTIDAD!$B$2:$C$605,2,0))</f>
        <v>ASOCIACION AUTOMOTRIZ DEL PERU</v>
      </c>
      <c r="J21" s="11"/>
      <c r="K21" s="11"/>
      <c r="L21" s="11"/>
      <c r="M21" s="11"/>
      <c r="N21" s="11">
        <f t="shared" si="0"/>
        <v>56.610169491525426</v>
      </c>
      <c r="O21" s="11">
        <f t="shared" si="1"/>
        <v>10.189830508474577</v>
      </c>
      <c r="P21" s="11">
        <v>0</v>
      </c>
      <c r="Q21" s="11"/>
      <c r="R21" s="11">
        <v>66.8</v>
      </c>
      <c r="S21" s="11">
        <v>66.8</v>
      </c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72">
        <f t="shared" si="3"/>
        <v>46174</v>
      </c>
      <c r="AE21" s="34" t="s">
        <v>465</v>
      </c>
      <c r="AF21" s="37" t="s">
        <v>550</v>
      </c>
      <c r="AG21" s="14" t="s">
        <v>513</v>
      </c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566</v>
      </c>
      <c r="AT21" s="14"/>
      <c r="AU21" s="11"/>
      <c r="AV21" s="14"/>
    </row>
    <row r="22" spans="1:49" s="47" customFormat="1" ht="15" x14ac:dyDescent="0.25">
      <c r="A22" s="46">
        <v>46144</v>
      </c>
      <c r="B22" s="72">
        <f t="shared" si="2"/>
        <v>46174</v>
      </c>
      <c r="C22" s="42" t="s">
        <v>49</v>
      </c>
      <c r="D22" s="42" t="s">
        <v>299</v>
      </c>
      <c r="E22" s="14"/>
      <c r="F22" s="71">
        <v>3828331</v>
      </c>
      <c r="G22" s="42" t="s">
        <v>50</v>
      </c>
      <c r="H22" s="31">
        <v>20101973922</v>
      </c>
      <c r="I22" s="138" t="str">
        <f>IF(H22="","",VLOOKUP(H22,[1]ENTIDAD!$B$2:$C$605,2,0))</f>
        <v>ASOCIACION AUTOMOTRIZ DEL PERU</v>
      </c>
      <c r="J22" s="11"/>
      <c r="K22" s="11"/>
      <c r="L22" s="11"/>
      <c r="M22" s="11"/>
      <c r="N22" s="11">
        <f t="shared" si="0"/>
        <v>56.610169491525426</v>
      </c>
      <c r="O22" s="11">
        <f t="shared" si="1"/>
        <v>10.189830508474577</v>
      </c>
      <c r="P22" s="11">
        <v>0</v>
      </c>
      <c r="Q22" s="11"/>
      <c r="R22" s="11">
        <v>66.8</v>
      </c>
      <c r="S22" s="11">
        <v>66.8</v>
      </c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72">
        <f t="shared" si="3"/>
        <v>46174</v>
      </c>
      <c r="AE22" s="34" t="s">
        <v>465</v>
      </c>
      <c r="AF22" s="37" t="s">
        <v>550</v>
      </c>
      <c r="AG22" s="14" t="s">
        <v>513</v>
      </c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566</v>
      </c>
      <c r="AT22" s="14"/>
      <c r="AU22" s="11"/>
      <c r="AV22" s="14"/>
      <c r="AW22" s="45"/>
    </row>
    <row r="23" spans="1:49" s="122" customFormat="1" ht="15" x14ac:dyDescent="0.25">
      <c r="A23" s="46">
        <v>46144</v>
      </c>
      <c r="B23" s="72">
        <f t="shared" si="2"/>
        <v>46174</v>
      </c>
      <c r="C23" s="42" t="s">
        <v>49</v>
      </c>
      <c r="D23" s="42" t="s">
        <v>299</v>
      </c>
      <c r="E23" s="14"/>
      <c r="F23" s="71">
        <v>3828330</v>
      </c>
      <c r="G23" s="42" t="s">
        <v>50</v>
      </c>
      <c r="H23" s="31">
        <v>20101973922</v>
      </c>
      <c r="I23" s="138" t="str">
        <f>IF(H23="","",VLOOKUP(H23,[1]ENTIDAD!$B$2:$C$605,2,0))</f>
        <v>ASOCIACION AUTOMOTRIZ DEL PERU</v>
      </c>
      <c r="J23" s="11"/>
      <c r="K23" s="11"/>
      <c r="L23" s="11"/>
      <c r="M23" s="11"/>
      <c r="N23" s="11">
        <f t="shared" si="0"/>
        <v>56.610169491525426</v>
      </c>
      <c r="O23" s="11">
        <f t="shared" si="1"/>
        <v>10.189830508474577</v>
      </c>
      <c r="P23" s="11">
        <v>0</v>
      </c>
      <c r="Q23" s="11"/>
      <c r="R23" s="11">
        <v>66.8</v>
      </c>
      <c r="S23" s="11">
        <v>66.8</v>
      </c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72">
        <f t="shared" si="3"/>
        <v>46174</v>
      </c>
      <c r="AE23" s="34" t="s">
        <v>465</v>
      </c>
      <c r="AF23" s="37" t="s">
        <v>550</v>
      </c>
      <c r="AG23" s="14" t="s">
        <v>513</v>
      </c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566</v>
      </c>
      <c r="AT23" s="14"/>
      <c r="AU23" s="11"/>
      <c r="AV23" s="14"/>
      <c r="AW23" s="45"/>
    </row>
    <row r="24" spans="1:49" s="121" customFormat="1" ht="15" x14ac:dyDescent="0.25">
      <c r="A24" s="46">
        <v>46144</v>
      </c>
      <c r="B24" s="72">
        <f t="shared" si="2"/>
        <v>46174</v>
      </c>
      <c r="C24" s="42" t="s">
        <v>49</v>
      </c>
      <c r="D24" s="42" t="s">
        <v>299</v>
      </c>
      <c r="E24" s="14"/>
      <c r="F24" s="71">
        <v>3828329</v>
      </c>
      <c r="G24" s="42" t="s">
        <v>50</v>
      </c>
      <c r="H24" s="31">
        <v>20101973922</v>
      </c>
      <c r="I24" s="138" t="str">
        <f>IF(H24="","",VLOOKUP(H24,[1]ENTIDAD!$B$2:$C$605,2,0))</f>
        <v>ASOCIACION AUTOMOTRIZ DEL PERU</v>
      </c>
      <c r="J24" s="11"/>
      <c r="K24" s="11"/>
      <c r="L24" s="11"/>
      <c r="M24" s="11"/>
      <c r="N24" s="11">
        <f t="shared" si="0"/>
        <v>56.610169491525426</v>
      </c>
      <c r="O24" s="11">
        <f t="shared" si="1"/>
        <v>10.189830508474577</v>
      </c>
      <c r="P24" s="11">
        <v>0</v>
      </c>
      <c r="Q24" s="11"/>
      <c r="R24" s="11">
        <v>66.8</v>
      </c>
      <c r="S24" s="11">
        <v>66.8</v>
      </c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72">
        <f t="shared" si="3"/>
        <v>46174</v>
      </c>
      <c r="AE24" s="34" t="s">
        <v>465</v>
      </c>
      <c r="AF24" s="37" t="s">
        <v>550</v>
      </c>
      <c r="AG24" s="14" t="s">
        <v>513</v>
      </c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 t="s">
        <v>566</v>
      </c>
      <c r="AT24" s="14"/>
      <c r="AU24" s="11"/>
      <c r="AV24" s="14"/>
      <c r="AW24" s="45"/>
    </row>
    <row r="25" spans="1:49" s="121" customFormat="1" ht="15" x14ac:dyDescent="0.25">
      <c r="A25" s="46">
        <v>46144</v>
      </c>
      <c r="B25" s="72">
        <f t="shared" si="2"/>
        <v>46174</v>
      </c>
      <c r="C25" s="42" t="s">
        <v>49</v>
      </c>
      <c r="D25" s="42" t="s">
        <v>299</v>
      </c>
      <c r="E25" s="14"/>
      <c r="F25" s="71">
        <v>3828328</v>
      </c>
      <c r="G25" s="42" t="s">
        <v>50</v>
      </c>
      <c r="H25" s="31">
        <v>20101973922</v>
      </c>
      <c r="I25" s="138" t="str">
        <f>IF(H25="","",VLOOKUP(H25,[1]ENTIDAD!$B$2:$C$605,2,0))</f>
        <v>ASOCIACION AUTOMOTRIZ DEL PERU</v>
      </c>
      <c r="J25" s="11"/>
      <c r="K25" s="11"/>
      <c r="L25" s="11"/>
      <c r="M25" s="11"/>
      <c r="N25" s="11">
        <f t="shared" si="0"/>
        <v>56.610169491525426</v>
      </c>
      <c r="O25" s="11">
        <f t="shared" si="1"/>
        <v>10.189830508474577</v>
      </c>
      <c r="P25" s="11">
        <v>0</v>
      </c>
      <c r="Q25" s="11"/>
      <c r="R25" s="11">
        <v>66.8</v>
      </c>
      <c r="S25" s="11">
        <v>66.8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72">
        <f t="shared" si="3"/>
        <v>46174</v>
      </c>
      <c r="AE25" s="34" t="s">
        <v>465</v>
      </c>
      <c r="AF25" s="37" t="s">
        <v>550</v>
      </c>
      <c r="AG25" s="14" t="s">
        <v>513</v>
      </c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566</v>
      </c>
      <c r="AT25" s="14"/>
      <c r="AU25" s="11"/>
      <c r="AV25" s="14"/>
      <c r="AW25" s="45"/>
    </row>
    <row r="26" spans="1:49" s="133" customFormat="1" ht="15" x14ac:dyDescent="0.25">
      <c r="A26" s="46">
        <v>46144</v>
      </c>
      <c r="B26" s="72">
        <f t="shared" si="2"/>
        <v>46174</v>
      </c>
      <c r="C26" s="42" t="s">
        <v>49</v>
      </c>
      <c r="D26" s="42" t="s">
        <v>299</v>
      </c>
      <c r="E26" s="14"/>
      <c r="F26" s="71">
        <v>3828327</v>
      </c>
      <c r="G26" s="42" t="s">
        <v>50</v>
      </c>
      <c r="H26" s="31">
        <v>20101973922</v>
      </c>
      <c r="I26" s="138" t="str">
        <f>IF(H26="","",VLOOKUP(H26,[1]ENTIDAD!$B$2:$C$605,2,0))</f>
        <v>ASOCIACION AUTOMOTRIZ DEL PERU</v>
      </c>
      <c r="J26" s="11"/>
      <c r="K26" s="11"/>
      <c r="L26" s="11"/>
      <c r="M26" s="11"/>
      <c r="N26" s="11">
        <f t="shared" si="0"/>
        <v>56.610169491525426</v>
      </c>
      <c r="O26" s="11">
        <f t="shared" si="1"/>
        <v>10.189830508474577</v>
      </c>
      <c r="P26" s="11">
        <v>0</v>
      </c>
      <c r="Q26" s="11"/>
      <c r="R26" s="11">
        <v>66.8</v>
      </c>
      <c r="S26" s="11">
        <v>66.8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72">
        <f t="shared" si="3"/>
        <v>46174</v>
      </c>
      <c r="AE26" s="34" t="s">
        <v>465</v>
      </c>
      <c r="AF26" s="37" t="s">
        <v>550</v>
      </c>
      <c r="AG26" s="14" t="s">
        <v>513</v>
      </c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566</v>
      </c>
      <c r="AT26" s="14"/>
      <c r="AU26" s="11"/>
      <c r="AV26" s="14"/>
      <c r="AW26" s="45"/>
    </row>
    <row r="27" spans="1:49" s="121" customFormat="1" ht="15" x14ac:dyDescent="0.25">
      <c r="A27" s="46">
        <v>46144</v>
      </c>
      <c r="B27" s="72">
        <f t="shared" si="2"/>
        <v>46174</v>
      </c>
      <c r="C27" s="42" t="s">
        <v>49</v>
      </c>
      <c r="D27" s="42" t="s">
        <v>299</v>
      </c>
      <c r="E27" s="14"/>
      <c r="F27" s="71">
        <v>3828326</v>
      </c>
      <c r="G27" s="42" t="s">
        <v>50</v>
      </c>
      <c r="H27" s="31">
        <v>20101973922</v>
      </c>
      <c r="I27" s="138" t="str">
        <f>IF(H27="","",VLOOKUP(H27,[1]ENTIDAD!$B$2:$C$605,2,0))</f>
        <v>ASOCIACION AUTOMOTRIZ DEL PERU</v>
      </c>
      <c r="J27" s="11"/>
      <c r="K27" s="11"/>
      <c r="L27" s="11"/>
      <c r="M27" s="11"/>
      <c r="N27" s="11">
        <f t="shared" si="0"/>
        <v>56.610169491525426</v>
      </c>
      <c r="O27" s="11">
        <f t="shared" si="1"/>
        <v>10.189830508474577</v>
      </c>
      <c r="P27" s="11">
        <v>0</v>
      </c>
      <c r="Q27" s="11"/>
      <c r="R27" s="11">
        <v>66.8</v>
      </c>
      <c r="S27" s="11">
        <v>66.8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72">
        <f t="shared" si="3"/>
        <v>46174</v>
      </c>
      <c r="AE27" s="34" t="s">
        <v>465</v>
      </c>
      <c r="AF27" s="37" t="s">
        <v>550</v>
      </c>
      <c r="AG27" s="14" t="s">
        <v>513</v>
      </c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566</v>
      </c>
      <c r="AT27" s="14"/>
      <c r="AU27" s="11"/>
      <c r="AV27" s="14"/>
      <c r="AW27" s="45"/>
    </row>
    <row r="28" spans="1:49" s="45" customFormat="1" ht="15" x14ac:dyDescent="0.25">
      <c r="A28" s="46">
        <v>46144</v>
      </c>
      <c r="B28" s="72">
        <f t="shared" si="2"/>
        <v>46174</v>
      </c>
      <c r="C28" s="42" t="s">
        <v>49</v>
      </c>
      <c r="D28" s="42" t="s">
        <v>299</v>
      </c>
      <c r="E28" s="14"/>
      <c r="F28" s="71">
        <v>3828325</v>
      </c>
      <c r="G28" s="42" t="s">
        <v>50</v>
      </c>
      <c r="H28" s="31">
        <v>20101973922</v>
      </c>
      <c r="I28" s="138" t="str">
        <f>IF(H28="","",VLOOKUP(H28,[1]ENTIDAD!$B$2:$C$605,2,0))</f>
        <v>ASOCIACION AUTOMOTRIZ DEL PERU</v>
      </c>
      <c r="J28" s="11"/>
      <c r="K28" s="11"/>
      <c r="L28" s="11"/>
      <c r="M28" s="11"/>
      <c r="N28" s="11">
        <f t="shared" si="0"/>
        <v>56.610169491525426</v>
      </c>
      <c r="O28" s="11">
        <f t="shared" si="1"/>
        <v>10.189830508474577</v>
      </c>
      <c r="P28" s="11">
        <v>0</v>
      </c>
      <c r="Q28" s="11"/>
      <c r="R28" s="11">
        <v>66.8</v>
      </c>
      <c r="S28" s="11">
        <v>66.8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72">
        <f t="shared" si="3"/>
        <v>46174</v>
      </c>
      <c r="AE28" s="34" t="s">
        <v>465</v>
      </c>
      <c r="AF28" s="37" t="s">
        <v>550</v>
      </c>
      <c r="AG28" s="14" t="s">
        <v>513</v>
      </c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566</v>
      </c>
      <c r="AT28" s="14"/>
      <c r="AU28" s="11"/>
      <c r="AV28" s="14"/>
    </row>
    <row r="29" spans="1:49" s="45" customFormat="1" ht="15" x14ac:dyDescent="0.25">
      <c r="A29" s="46">
        <v>46144</v>
      </c>
      <c r="B29" s="72">
        <f t="shared" si="2"/>
        <v>46174</v>
      </c>
      <c r="C29" s="42" t="s">
        <v>49</v>
      </c>
      <c r="D29" s="42" t="s">
        <v>299</v>
      </c>
      <c r="E29" s="14"/>
      <c r="F29" s="71">
        <v>3828324</v>
      </c>
      <c r="G29" s="42" t="s">
        <v>50</v>
      </c>
      <c r="H29" s="31">
        <v>20101973922</v>
      </c>
      <c r="I29" s="138" t="str">
        <f>IF(H29="","",VLOOKUP(H29,[1]ENTIDAD!$B$2:$C$605,2,0))</f>
        <v>ASOCIACION AUTOMOTRIZ DEL PERU</v>
      </c>
      <c r="J29" s="11"/>
      <c r="K29" s="11"/>
      <c r="L29" s="11"/>
      <c r="M29" s="11"/>
      <c r="N29" s="11">
        <f t="shared" si="0"/>
        <v>56.610169491525426</v>
      </c>
      <c r="O29" s="11">
        <f t="shared" si="1"/>
        <v>10.189830508474577</v>
      </c>
      <c r="P29" s="11">
        <v>0</v>
      </c>
      <c r="Q29" s="11"/>
      <c r="R29" s="11">
        <v>66.8</v>
      </c>
      <c r="S29" s="11">
        <v>66.8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72">
        <f t="shared" si="3"/>
        <v>46174</v>
      </c>
      <c r="AE29" s="34" t="s">
        <v>465</v>
      </c>
      <c r="AF29" s="37" t="s">
        <v>550</v>
      </c>
      <c r="AG29" s="14" t="s">
        <v>513</v>
      </c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566</v>
      </c>
      <c r="AT29" s="14"/>
      <c r="AU29" s="11"/>
      <c r="AV29" s="14"/>
    </row>
    <row r="30" spans="1:49" s="45" customFormat="1" ht="15" x14ac:dyDescent="0.25">
      <c r="A30" s="108">
        <v>46144</v>
      </c>
      <c r="B30" s="72">
        <f t="shared" si="2"/>
        <v>46174</v>
      </c>
      <c r="C30" s="111" t="s">
        <v>49</v>
      </c>
      <c r="D30" s="111" t="s">
        <v>299</v>
      </c>
      <c r="E30" s="112"/>
      <c r="F30" s="113">
        <v>3828323</v>
      </c>
      <c r="G30" s="111" t="s">
        <v>50</v>
      </c>
      <c r="H30" s="114">
        <v>20101973922</v>
      </c>
      <c r="I30" s="139" t="str">
        <f>IF(H30="","",VLOOKUP(H30,[1]ENTIDAD!$B$2:$C$605,2,0))</f>
        <v>ASOCIACION AUTOMOTRIZ DEL PERU</v>
      </c>
      <c r="J30" s="116"/>
      <c r="K30" s="116"/>
      <c r="L30" s="116"/>
      <c r="M30" s="116"/>
      <c r="N30" s="116">
        <f t="shared" si="0"/>
        <v>56.610169491525426</v>
      </c>
      <c r="O30" s="116">
        <f t="shared" si="1"/>
        <v>10.189830508474577</v>
      </c>
      <c r="P30" s="116">
        <v>0</v>
      </c>
      <c r="Q30" s="116"/>
      <c r="R30" s="116">
        <v>66.8</v>
      </c>
      <c r="S30" s="116">
        <v>66.8</v>
      </c>
      <c r="T30" s="112"/>
      <c r="U30" s="112"/>
      <c r="V30" s="109"/>
      <c r="W30" s="118"/>
      <c r="X30" s="109"/>
      <c r="Y30" s="112"/>
      <c r="Z30" s="112"/>
      <c r="AA30" s="112"/>
      <c r="AB30" s="111" t="s">
        <v>224</v>
      </c>
      <c r="AC30" s="116"/>
      <c r="AD30" s="72">
        <f t="shared" si="3"/>
        <v>46174</v>
      </c>
      <c r="AE30" s="34" t="s">
        <v>465</v>
      </c>
      <c r="AF30" s="37" t="s">
        <v>550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566</v>
      </c>
      <c r="AT30" s="112"/>
      <c r="AU30" s="116"/>
      <c r="AV30" s="112"/>
      <c r="AW30" s="121"/>
    </row>
    <row r="31" spans="1:49" s="45" customFormat="1" ht="15" x14ac:dyDescent="0.25">
      <c r="A31" s="108">
        <v>46144</v>
      </c>
      <c r="B31" s="72">
        <f t="shared" si="2"/>
        <v>46174</v>
      </c>
      <c r="C31" s="111" t="s">
        <v>49</v>
      </c>
      <c r="D31" s="111" t="s">
        <v>299</v>
      </c>
      <c r="E31" s="112"/>
      <c r="F31" s="113">
        <v>3828322</v>
      </c>
      <c r="G31" s="111" t="s">
        <v>50</v>
      </c>
      <c r="H31" s="114">
        <v>20101973922</v>
      </c>
      <c r="I31" s="139" t="str">
        <f>IF(H31="","",VLOOKUP(H31,[1]ENTIDAD!$B$2:$C$605,2,0))</f>
        <v>ASOCIACION AUTOMOTRIZ DEL PERU</v>
      </c>
      <c r="J31" s="116"/>
      <c r="K31" s="116"/>
      <c r="L31" s="116"/>
      <c r="M31" s="116"/>
      <c r="N31" s="116">
        <f t="shared" si="0"/>
        <v>56.610169491525426</v>
      </c>
      <c r="O31" s="116">
        <f t="shared" si="1"/>
        <v>10.189830508474577</v>
      </c>
      <c r="P31" s="116">
        <v>0</v>
      </c>
      <c r="Q31" s="116"/>
      <c r="R31" s="116">
        <v>66.8</v>
      </c>
      <c r="S31" s="116">
        <v>66.8</v>
      </c>
      <c r="T31" s="112"/>
      <c r="U31" s="112"/>
      <c r="V31" s="109"/>
      <c r="W31" s="118"/>
      <c r="X31" s="109"/>
      <c r="Y31" s="112"/>
      <c r="Z31" s="112"/>
      <c r="AA31" s="112"/>
      <c r="AB31" s="111" t="s">
        <v>224</v>
      </c>
      <c r="AC31" s="116"/>
      <c r="AD31" s="72">
        <f t="shared" si="3"/>
        <v>46174</v>
      </c>
      <c r="AE31" s="34" t="s">
        <v>465</v>
      </c>
      <c r="AF31" s="37" t="s">
        <v>550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566</v>
      </c>
      <c r="AT31" s="112"/>
      <c r="AU31" s="116"/>
      <c r="AV31" s="112"/>
      <c r="AW31" s="121"/>
    </row>
    <row r="32" spans="1:49" s="45" customFormat="1" ht="15" x14ac:dyDescent="0.25">
      <c r="A32" s="108">
        <v>46144</v>
      </c>
      <c r="B32" s="72">
        <f t="shared" si="2"/>
        <v>46174</v>
      </c>
      <c r="C32" s="111" t="s">
        <v>49</v>
      </c>
      <c r="D32" s="111" t="s">
        <v>299</v>
      </c>
      <c r="E32" s="112"/>
      <c r="F32" s="113">
        <v>3828321</v>
      </c>
      <c r="G32" s="111" t="s">
        <v>50</v>
      </c>
      <c r="H32" s="114">
        <v>20101973922</v>
      </c>
      <c r="I32" s="139" t="str">
        <f>IF(H32="","",VLOOKUP(H32,[1]ENTIDAD!$B$2:$C$605,2,0))</f>
        <v>ASOCIACION AUTOMOTRIZ DEL PERU</v>
      </c>
      <c r="J32" s="116"/>
      <c r="K32" s="116"/>
      <c r="L32" s="116"/>
      <c r="M32" s="116"/>
      <c r="N32" s="116">
        <f t="shared" si="0"/>
        <v>56.610169491525426</v>
      </c>
      <c r="O32" s="116">
        <f t="shared" si="1"/>
        <v>10.189830508474577</v>
      </c>
      <c r="P32" s="116">
        <v>0</v>
      </c>
      <c r="Q32" s="116"/>
      <c r="R32" s="116">
        <v>66.8</v>
      </c>
      <c r="S32" s="116">
        <v>66.8</v>
      </c>
      <c r="T32" s="112"/>
      <c r="U32" s="112"/>
      <c r="V32" s="109"/>
      <c r="W32" s="118"/>
      <c r="X32" s="109"/>
      <c r="Y32" s="112"/>
      <c r="Z32" s="112"/>
      <c r="AA32" s="112"/>
      <c r="AB32" s="111" t="s">
        <v>224</v>
      </c>
      <c r="AC32" s="116"/>
      <c r="AD32" s="72">
        <f t="shared" si="3"/>
        <v>46174</v>
      </c>
      <c r="AE32" s="34" t="s">
        <v>465</v>
      </c>
      <c r="AF32" s="37" t="s">
        <v>550</v>
      </c>
      <c r="AG32" s="14" t="s">
        <v>513</v>
      </c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566</v>
      </c>
      <c r="AT32" s="112"/>
      <c r="AU32" s="116"/>
      <c r="AV32" s="112"/>
      <c r="AW32" s="121"/>
    </row>
    <row r="33" spans="1:49" s="45" customFormat="1" ht="15" x14ac:dyDescent="0.25">
      <c r="A33" s="108">
        <v>46144</v>
      </c>
      <c r="B33" s="72">
        <f t="shared" si="2"/>
        <v>46174</v>
      </c>
      <c r="C33" s="111" t="s">
        <v>49</v>
      </c>
      <c r="D33" s="111" t="s">
        <v>299</v>
      </c>
      <c r="E33" s="112"/>
      <c r="F33" s="113">
        <v>3828320</v>
      </c>
      <c r="G33" s="111" t="s">
        <v>50</v>
      </c>
      <c r="H33" s="114">
        <v>20101973922</v>
      </c>
      <c r="I33" s="139" t="str">
        <f>IF(H33="","",VLOOKUP(H33,[1]ENTIDAD!$B$2:$C$605,2,0))</f>
        <v>ASOCIACION AUTOMOTRIZ DEL PERU</v>
      </c>
      <c r="J33" s="116"/>
      <c r="K33" s="116"/>
      <c r="L33" s="116"/>
      <c r="M33" s="116"/>
      <c r="N33" s="116">
        <f t="shared" si="0"/>
        <v>56.610169491525426</v>
      </c>
      <c r="O33" s="116">
        <f t="shared" si="1"/>
        <v>10.189830508474577</v>
      </c>
      <c r="P33" s="116">
        <v>0</v>
      </c>
      <c r="Q33" s="116"/>
      <c r="R33" s="116">
        <v>66.8</v>
      </c>
      <c r="S33" s="116">
        <v>66.8</v>
      </c>
      <c r="T33" s="112"/>
      <c r="U33" s="112"/>
      <c r="V33" s="109"/>
      <c r="W33" s="118"/>
      <c r="X33" s="109"/>
      <c r="Y33" s="112"/>
      <c r="Z33" s="112"/>
      <c r="AA33" s="112"/>
      <c r="AB33" s="111" t="s">
        <v>224</v>
      </c>
      <c r="AC33" s="116"/>
      <c r="AD33" s="72">
        <f t="shared" si="3"/>
        <v>46174</v>
      </c>
      <c r="AE33" s="34" t="s">
        <v>465</v>
      </c>
      <c r="AF33" s="37" t="s">
        <v>550</v>
      </c>
      <c r="AG33" s="14" t="s">
        <v>513</v>
      </c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566</v>
      </c>
      <c r="AT33" s="112"/>
      <c r="AU33" s="116"/>
      <c r="AV33" s="112"/>
      <c r="AW33" s="121"/>
    </row>
    <row r="34" spans="1:49" s="47" customFormat="1" ht="15" x14ac:dyDescent="0.25">
      <c r="A34" s="108">
        <v>46144</v>
      </c>
      <c r="B34" s="72">
        <f t="shared" si="2"/>
        <v>46174</v>
      </c>
      <c r="C34" s="111" t="s">
        <v>49</v>
      </c>
      <c r="D34" s="111" t="s">
        <v>299</v>
      </c>
      <c r="E34" s="112"/>
      <c r="F34" s="113">
        <v>3828319</v>
      </c>
      <c r="G34" s="111" t="s">
        <v>50</v>
      </c>
      <c r="H34" s="114">
        <v>20101973922</v>
      </c>
      <c r="I34" s="139" t="str">
        <f>IF(H34="","",VLOOKUP(H34,[1]ENTIDAD!$B$2:$C$605,2,0))</f>
        <v>ASOCIACION AUTOMOTRIZ DEL PERU</v>
      </c>
      <c r="J34" s="116"/>
      <c r="K34" s="116"/>
      <c r="L34" s="116"/>
      <c r="M34" s="116"/>
      <c r="N34" s="116">
        <f t="shared" si="0"/>
        <v>56.610169491525426</v>
      </c>
      <c r="O34" s="116">
        <f t="shared" si="1"/>
        <v>10.189830508474577</v>
      </c>
      <c r="P34" s="116">
        <v>0</v>
      </c>
      <c r="Q34" s="116"/>
      <c r="R34" s="116">
        <v>66.8</v>
      </c>
      <c r="S34" s="116">
        <v>66.8</v>
      </c>
      <c r="T34" s="112"/>
      <c r="U34" s="112"/>
      <c r="V34" s="109"/>
      <c r="W34" s="118"/>
      <c r="X34" s="109"/>
      <c r="Y34" s="112"/>
      <c r="Z34" s="112"/>
      <c r="AA34" s="112"/>
      <c r="AB34" s="111" t="s">
        <v>224</v>
      </c>
      <c r="AC34" s="116"/>
      <c r="AD34" s="72">
        <f t="shared" si="3"/>
        <v>46174</v>
      </c>
      <c r="AE34" s="34" t="s">
        <v>465</v>
      </c>
      <c r="AF34" s="37" t="s">
        <v>550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566</v>
      </c>
      <c r="AT34" s="112"/>
      <c r="AU34" s="116"/>
      <c r="AV34" s="112"/>
      <c r="AW34" s="121"/>
    </row>
    <row r="35" spans="1:49" s="45" customFormat="1" ht="15" x14ac:dyDescent="0.25">
      <c r="A35" s="46">
        <v>46144</v>
      </c>
      <c r="B35" s="72">
        <f t="shared" si="2"/>
        <v>46174</v>
      </c>
      <c r="C35" s="42" t="s">
        <v>49</v>
      </c>
      <c r="D35" s="42" t="s">
        <v>299</v>
      </c>
      <c r="E35" s="14"/>
      <c r="F35" s="71">
        <v>3828318</v>
      </c>
      <c r="G35" s="42" t="s">
        <v>50</v>
      </c>
      <c r="H35" s="31">
        <v>20101973922</v>
      </c>
      <c r="I35" s="138" t="str">
        <f>IF(H35="","",VLOOKUP(H35,[1]ENTIDAD!$B$2:$C$605,2,0))</f>
        <v>ASOCIACION AUTOMOTRIZ DEL PERU</v>
      </c>
      <c r="J35" s="11"/>
      <c r="K35" s="11"/>
      <c r="L35" s="11"/>
      <c r="M35" s="11"/>
      <c r="N35" s="11">
        <f t="shared" si="0"/>
        <v>56.610169491525426</v>
      </c>
      <c r="O35" s="11">
        <f t="shared" si="1"/>
        <v>10.189830508474577</v>
      </c>
      <c r="P35" s="11">
        <v>0</v>
      </c>
      <c r="Q35" s="11"/>
      <c r="R35" s="11">
        <v>66.8</v>
      </c>
      <c r="S35" s="11">
        <v>66.8</v>
      </c>
      <c r="T35" s="14"/>
      <c r="U35" s="14"/>
      <c r="V35" s="13"/>
      <c r="W35" s="15"/>
      <c r="X35" s="13"/>
      <c r="Y35" s="14"/>
      <c r="Z35" s="14"/>
      <c r="AA35" s="14"/>
      <c r="AB35" s="42" t="s">
        <v>224</v>
      </c>
      <c r="AC35" s="11"/>
      <c r="AD35" s="72">
        <f t="shared" si="3"/>
        <v>46174</v>
      </c>
      <c r="AE35" s="34" t="s">
        <v>465</v>
      </c>
      <c r="AF35" s="37" t="s">
        <v>550</v>
      </c>
      <c r="AG35" s="14" t="s">
        <v>513</v>
      </c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566</v>
      </c>
      <c r="AT35" s="14"/>
      <c r="AU35" s="11"/>
      <c r="AV35" s="14"/>
    </row>
    <row r="36" spans="1:49" s="45" customFormat="1" ht="15" x14ac:dyDescent="0.25">
      <c r="A36" s="46">
        <v>46144</v>
      </c>
      <c r="B36" s="72">
        <f t="shared" si="2"/>
        <v>46174</v>
      </c>
      <c r="C36" s="42" t="s">
        <v>49</v>
      </c>
      <c r="D36" s="42" t="s">
        <v>299</v>
      </c>
      <c r="E36" s="14"/>
      <c r="F36" s="71">
        <v>3828317</v>
      </c>
      <c r="G36" s="42" t="s">
        <v>50</v>
      </c>
      <c r="H36" s="31">
        <v>20101973922</v>
      </c>
      <c r="I36" s="138" t="str">
        <f>IF(H36="","",VLOOKUP(H36,[1]ENTIDAD!$B$2:$C$605,2,0))</f>
        <v>ASOCIACION AUTOMOTRIZ DEL PERU</v>
      </c>
      <c r="J36" s="11"/>
      <c r="K36" s="11"/>
      <c r="L36" s="11"/>
      <c r="M36" s="11"/>
      <c r="N36" s="11">
        <f t="shared" si="0"/>
        <v>56.610169491525426</v>
      </c>
      <c r="O36" s="11">
        <f t="shared" si="1"/>
        <v>10.189830508474577</v>
      </c>
      <c r="P36" s="11">
        <v>0</v>
      </c>
      <c r="Q36" s="11"/>
      <c r="R36" s="11">
        <v>66.8</v>
      </c>
      <c r="S36" s="11">
        <v>66.8</v>
      </c>
      <c r="T36" s="14"/>
      <c r="U36" s="14"/>
      <c r="V36" s="13"/>
      <c r="W36" s="15"/>
      <c r="X36" s="13"/>
      <c r="Y36" s="14"/>
      <c r="Z36" s="14"/>
      <c r="AA36" s="14"/>
      <c r="AB36" s="42" t="s">
        <v>224</v>
      </c>
      <c r="AC36" s="11"/>
      <c r="AD36" s="72">
        <f t="shared" si="3"/>
        <v>46174</v>
      </c>
      <c r="AE36" s="34" t="s">
        <v>465</v>
      </c>
      <c r="AF36" s="37" t="s">
        <v>550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4"/>
      <c r="AU36" s="11"/>
      <c r="AV36" s="14"/>
    </row>
    <row r="37" spans="1:49" s="121" customFormat="1" ht="15" x14ac:dyDescent="0.25">
      <c r="A37" s="46">
        <v>46144</v>
      </c>
      <c r="B37" s="72">
        <f t="shared" si="2"/>
        <v>46174</v>
      </c>
      <c r="C37" s="42" t="s">
        <v>49</v>
      </c>
      <c r="D37" s="42" t="s">
        <v>299</v>
      </c>
      <c r="E37" s="14"/>
      <c r="F37" s="71">
        <v>3828316</v>
      </c>
      <c r="G37" s="42" t="s">
        <v>50</v>
      </c>
      <c r="H37" s="31">
        <v>20101973922</v>
      </c>
      <c r="I37" s="138" t="str">
        <f>IF(H37="","",VLOOKUP(H37,[1]ENTIDAD!$B$2:$C$605,2,0))</f>
        <v>ASOCIACION AUTOMOTRIZ DEL PERU</v>
      </c>
      <c r="J37" s="11"/>
      <c r="K37" s="11"/>
      <c r="L37" s="11"/>
      <c r="M37" s="11"/>
      <c r="N37" s="11">
        <f t="shared" si="0"/>
        <v>56.610169491525426</v>
      </c>
      <c r="O37" s="11">
        <f t="shared" si="1"/>
        <v>10.189830508474577</v>
      </c>
      <c r="P37" s="11">
        <v>0</v>
      </c>
      <c r="Q37" s="11"/>
      <c r="R37" s="11">
        <v>66.8</v>
      </c>
      <c r="S37" s="11">
        <v>66.8</v>
      </c>
      <c r="T37" s="14"/>
      <c r="U37" s="14"/>
      <c r="V37" s="13"/>
      <c r="W37" s="15"/>
      <c r="X37" s="13"/>
      <c r="Y37" s="14"/>
      <c r="Z37" s="14"/>
      <c r="AA37" s="14"/>
      <c r="AB37" s="42" t="s">
        <v>224</v>
      </c>
      <c r="AC37" s="11"/>
      <c r="AD37" s="72">
        <f t="shared" si="3"/>
        <v>46174</v>
      </c>
      <c r="AE37" s="34" t="s">
        <v>465</v>
      </c>
      <c r="AF37" s="37" t="s">
        <v>550</v>
      </c>
      <c r="AG37" s="14" t="s">
        <v>513</v>
      </c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566</v>
      </c>
      <c r="AT37" s="14"/>
      <c r="AU37" s="11"/>
      <c r="AV37" s="14"/>
      <c r="AW37" s="45"/>
    </row>
    <row r="38" spans="1:49" s="121" customFormat="1" ht="15" x14ac:dyDescent="0.25">
      <c r="A38" s="46">
        <v>46144</v>
      </c>
      <c r="B38" s="72">
        <f t="shared" si="2"/>
        <v>46174</v>
      </c>
      <c r="C38" s="42" t="s">
        <v>49</v>
      </c>
      <c r="D38" s="42" t="s">
        <v>299</v>
      </c>
      <c r="E38" s="14"/>
      <c r="F38" s="71">
        <v>3828315</v>
      </c>
      <c r="G38" s="42" t="s">
        <v>50</v>
      </c>
      <c r="H38" s="31">
        <v>20101973922</v>
      </c>
      <c r="I38" s="138" t="str">
        <f>IF(H38="","",VLOOKUP(H38,[1]ENTIDAD!$B$2:$C$605,2,0))</f>
        <v>ASOCIACION AUTOMOTRIZ DEL PERU</v>
      </c>
      <c r="J38" s="11"/>
      <c r="K38" s="11"/>
      <c r="L38" s="11"/>
      <c r="M38" s="11"/>
      <c r="N38" s="11">
        <f t="shared" si="0"/>
        <v>56.610169491525426</v>
      </c>
      <c r="O38" s="11">
        <f t="shared" si="1"/>
        <v>10.189830508474577</v>
      </c>
      <c r="P38" s="11">
        <v>0</v>
      </c>
      <c r="Q38" s="11"/>
      <c r="R38" s="11">
        <v>66.8</v>
      </c>
      <c r="S38" s="11">
        <v>66.8</v>
      </c>
      <c r="T38" s="14"/>
      <c r="U38" s="14"/>
      <c r="V38" s="13"/>
      <c r="W38" s="15"/>
      <c r="X38" s="13"/>
      <c r="Y38" s="14"/>
      <c r="Z38" s="14"/>
      <c r="AA38" s="14"/>
      <c r="AB38" s="42" t="s">
        <v>224</v>
      </c>
      <c r="AC38" s="11"/>
      <c r="AD38" s="72">
        <f t="shared" si="3"/>
        <v>46174</v>
      </c>
      <c r="AE38" s="34" t="s">
        <v>465</v>
      </c>
      <c r="AF38" s="37" t="s">
        <v>550</v>
      </c>
      <c r="AG38" s="14" t="s">
        <v>513</v>
      </c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566</v>
      </c>
      <c r="AT38" s="14"/>
      <c r="AU38" s="11"/>
      <c r="AV38" s="14"/>
      <c r="AW38" s="45"/>
    </row>
    <row r="39" spans="1:49" s="121" customFormat="1" ht="15" x14ac:dyDescent="0.25">
      <c r="A39" s="46">
        <v>46146</v>
      </c>
      <c r="B39" s="72">
        <f t="shared" si="2"/>
        <v>46177</v>
      </c>
      <c r="C39" s="42" t="s">
        <v>49</v>
      </c>
      <c r="D39" s="42" t="s">
        <v>409</v>
      </c>
      <c r="E39" s="14"/>
      <c r="F39" s="71">
        <v>6767109</v>
      </c>
      <c r="G39" s="42" t="s">
        <v>50</v>
      </c>
      <c r="H39" s="145">
        <v>20100047218</v>
      </c>
      <c r="I39" s="138" t="str">
        <f>IF(H39="","",VLOOKUP(H39,[1]ENTIDAD!$B$2:$C$605,2,0))</f>
        <v>BANCO DE CREDITO DEL PERU</v>
      </c>
      <c r="J39" s="11"/>
      <c r="K39" s="11"/>
      <c r="L39" s="11"/>
      <c r="M39" s="11"/>
      <c r="N39" s="11">
        <f t="shared" si="0"/>
        <v>0</v>
      </c>
      <c r="O39" s="11">
        <f t="shared" si="1"/>
        <v>0</v>
      </c>
      <c r="P39" s="11">
        <v>10</v>
      </c>
      <c r="Q39" s="11"/>
      <c r="R39" s="11"/>
      <c r="S39" s="11">
        <v>10</v>
      </c>
      <c r="T39" s="14"/>
      <c r="U39" s="14"/>
      <c r="V39" s="13"/>
      <c r="W39" s="15"/>
      <c r="X39" s="13"/>
      <c r="Y39" s="14"/>
      <c r="Z39" s="14"/>
      <c r="AA39" s="14"/>
      <c r="AB39" s="42" t="s">
        <v>224</v>
      </c>
      <c r="AC39" s="11"/>
      <c r="AD39" s="13">
        <v>46177</v>
      </c>
      <c r="AE39" s="14" t="s">
        <v>465</v>
      </c>
      <c r="AF39" s="19" t="s">
        <v>494</v>
      </c>
      <c r="AG39" s="14"/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740</v>
      </c>
      <c r="AT39" s="14"/>
      <c r="AU39" s="11"/>
      <c r="AV39" s="14"/>
      <c r="AW39" s="45"/>
    </row>
    <row r="40" spans="1:49" s="45" customFormat="1" ht="15" x14ac:dyDescent="0.25">
      <c r="A40" s="108">
        <v>46146</v>
      </c>
      <c r="B40" s="72">
        <f t="shared" si="2"/>
        <v>46177</v>
      </c>
      <c r="C40" s="111" t="s">
        <v>49</v>
      </c>
      <c r="D40" s="111" t="s">
        <v>692</v>
      </c>
      <c r="E40" s="112"/>
      <c r="F40" s="113">
        <v>27179760</v>
      </c>
      <c r="G40" s="111" t="s">
        <v>50</v>
      </c>
      <c r="H40" s="146">
        <v>20100130204</v>
      </c>
      <c r="I40" s="139" t="str">
        <f>IF(H40="","",VLOOKUP(H40,[1]ENTIDAD!$B$2:$C$605,2,0))</f>
        <v>BANCO BBVA PERU</v>
      </c>
      <c r="J40" s="116"/>
      <c r="K40" s="116"/>
      <c r="L40" s="116"/>
      <c r="M40" s="116"/>
      <c r="N40" s="116">
        <f t="shared" si="0"/>
        <v>0</v>
      </c>
      <c r="O40" s="116">
        <f t="shared" si="1"/>
        <v>0</v>
      </c>
      <c r="P40" s="116">
        <v>10</v>
      </c>
      <c r="Q40" s="116"/>
      <c r="R40" s="116"/>
      <c r="S40" s="116">
        <v>10</v>
      </c>
      <c r="T40" s="112"/>
      <c r="U40" s="112"/>
      <c r="V40" s="109"/>
      <c r="W40" s="118"/>
      <c r="X40" s="109"/>
      <c r="Y40" s="112"/>
      <c r="Z40" s="112"/>
      <c r="AA40" s="112"/>
      <c r="AB40" s="111" t="s">
        <v>224</v>
      </c>
      <c r="AC40" s="116"/>
      <c r="AD40" s="108">
        <v>46177</v>
      </c>
      <c r="AE40" s="14" t="s">
        <v>465</v>
      </c>
      <c r="AF40" s="19" t="s">
        <v>494</v>
      </c>
      <c r="AG40" s="14"/>
      <c r="AH40" s="14" t="s">
        <v>225</v>
      </c>
      <c r="AI40" s="112"/>
      <c r="AJ40" s="112"/>
      <c r="AK40" s="120"/>
      <c r="AL40" s="116"/>
      <c r="AM40" s="116"/>
      <c r="AN40" s="112"/>
      <c r="AO40" s="112"/>
      <c r="AP40" s="109"/>
      <c r="AQ40" s="112"/>
      <c r="AR40" s="116">
        <v>18</v>
      </c>
      <c r="AS40" s="112" t="s">
        <v>693</v>
      </c>
      <c r="AT40" s="112"/>
      <c r="AU40" s="116"/>
      <c r="AV40" s="112"/>
      <c r="AW40" s="121"/>
    </row>
    <row r="41" spans="1:49" s="45" customFormat="1" ht="15" x14ac:dyDescent="0.25">
      <c r="A41" s="108">
        <v>46146</v>
      </c>
      <c r="B41" s="72">
        <f t="shared" si="2"/>
        <v>46177</v>
      </c>
      <c r="C41" s="111" t="s">
        <v>49</v>
      </c>
      <c r="D41" s="111" t="s">
        <v>292</v>
      </c>
      <c r="E41" s="112"/>
      <c r="F41" s="113">
        <v>1875</v>
      </c>
      <c r="G41" s="111" t="s">
        <v>50</v>
      </c>
      <c r="H41" s="114">
        <v>20486339510</v>
      </c>
      <c r="I41" s="139" t="str">
        <f>IF(H41="","",VLOOKUP(H41,[1]ENTIDAD!$B$2:$C$605,2,0))</f>
        <v>SERVICIOS CONTABLES Y AUDITORIA INTERNA S.A.</v>
      </c>
      <c r="J41" s="116"/>
      <c r="K41" s="116"/>
      <c r="L41" s="116"/>
      <c r="M41" s="116"/>
      <c r="N41" s="116">
        <v>0</v>
      </c>
      <c r="O41" s="116">
        <f t="shared" si="1"/>
        <v>0</v>
      </c>
      <c r="P41" s="116">
        <v>2000</v>
      </c>
      <c r="Q41" s="116"/>
      <c r="R41" s="116"/>
      <c r="S41" s="116">
        <v>2000</v>
      </c>
      <c r="T41" s="112"/>
      <c r="U41" s="112"/>
      <c r="V41" s="109"/>
      <c r="W41" s="118"/>
      <c r="X41" s="109"/>
      <c r="Y41" s="112"/>
      <c r="Z41" s="112"/>
      <c r="AA41" s="112"/>
      <c r="AB41" s="111" t="s">
        <v>224</v>
      </c>
      <c r="AC41" s="116"/>
      <c r="AD41" s="126">
        <v>46177</v>
      </c>
      <c r="AE41" s="14" t="s">
        <v>465</v>
      </c>
      <c r="AF41" s="19" t="s">
        <v>576</v>
      </c>
      <c r="AG41" s="34"/>
      <c r="AH41" s="34" t="s">
        <v>225</v>
      </c>
      <c r="AI41" s="112"/>
      <c r="AJ41" s="112"/>
      <c r="AK41" s="120"/>
      <c r="AL41" s="116"/>
      <c r="AM41" s="116"/>
      <c r="AN41" s="112"/>
      <c r="AO41" s="112"/>
      <c r="AP41" s="109"/>
      <c r="AQ41" s="112"/>
      <c r="AR41" s="116">
        <v>18</v>
      </c>
      <c r="AS41" s="112" t="s">
        <v>577</v>
      </c>
      <c r="AT41" s="112"/>
      <c r="AU41" s="116"/>
      <c r="AV41" s="112"/>
      <c r="AW41" s="121"/>
    </row>
    <row r="42" spans="1:49" s="45" customFormat="1" ht="15" x14ac:dyDescent="0.25">
      <c r="A42" s="109">
        <v>46146</v>
      </c>
      <c r="B42" s="72">
        <f t="shared" si="2"/>
        <v>46177</v>
      </c>
      <c r="C42" s="111" t="s">
        <v>49</v>
      </c>
      <c r="D42" s="111" t="s">
        <v>292</v>
      </c>
      <c r="E42" s="112"/>
      <c r="F42" s="113">
        <v>194</v>
      </c>
      <c r="G42" s="111" t="s">
        <v>50</v>
      </c>
      <c r="H42" s="114">
        <v>20444327066</v>
      </c>
      <c r="I42" s="139" t="str">
        <f>IF(H42="","",VLOOKUP(H42,[1]ENTIDAD!$B$2:$C$605,2,0))</f>
        <v>CAMARA DE COMERCIO E INDUSTRIAS SATIPO</v>
      </c>
      <c r="J42" s="116"/>
      <c r="K42" s="116"/>
      <c r="L42" s="116"/>
      <c r="M42" s="116"/>
      <c r="N42" s="116">
        <f>(S42-P42)/1.18</f>
        <v>0</v>
      </c>
      <c r="O42" s="116">
        <f t="shared" si="1"/>
        <v>0</v>
      </c>
      <c r="P42" s="116">
        <v>72</v>
      </c>
      <c r="Q42" s="116"/>
      <c r="R42" s="116"/>
      <c r="S42" s="116">
        <v>72</v>
      </c>
      <c r="T42" s="112"/>
      <c r="U42" s="112"/>
      <c r="V42" s="109"/>
      <c r="W42" s="118"/>
      <c r="X42" s="109"/>
      <c r="Y42" s="112"/>
      <c r="Z42" s="112"/>
      <c r="AA42" s="112"/>
      <c r="AB42" s="111" t="s">
        <v>224</v>
      </c>
      <c r="AC42" s="116"/>
      <c r="AD42" s="126">
        <v>46177</v>
      </c>
      <c r="AE42" s="14" t="s">
        <v>465</v>
      </c>
      <c r="AF42" s="19" t="s">
        <v>565</v>
      </c>
      <c r="AG42" s="14"/>
      <c r="AH42" s="14" t="s">
        <v>225</v>
      </c>
      <c r="AI42" s="112"/>
      <c r="AJ42" s="112"/>
      <c r="AK42" s="120"/>
      <c r="AL42" s="116"/>
      <c r="AM42" s="116"/>
      <c r="AN42" s="112"/>
      <c r="AO42" s="112"/>
      <c r="AP42" s="109"/>
      <c r="AQ42" s="112"/>
      <c r="AR42" s="116">
        <v>18</v>
      </c>
      <c r="AS42" s="112" t="s">
        <v>564</v>
      </c>
      <c r="AT42" s="112"/>
      <c r="AU42" s="116"/>
      <c r="AV42" s="112"/>
      <c r="AW42" s="121"/>
    </row>
    <row r="43" spans="1:49" s="45" customFormat="1" ht="15" x14ac:dyDescent="0.25">
      <c r="A43" s="46">
        <v>46146</v>
      </c>
      <c r="B43" s="72">
        <f t="shared" si="2"/>
        <v>46177</v>
      </c>
      <c r="C43" s="42" t="s">
        <v>49</v>
      </c>
      <c r="D43" s="42" t="s">
        <v>292</v>
      </c>
      <c r="E43" s="14"/>
      <c r="F43" s="71">
        <v>219</v>
      </c>
      <c r="G43" s="42" t="s">
        <v>50</v>
      </c>
      <c r="H43" s="31">
        <v>10447422951</v>
      </c>
      <c r="I43" s="138" t="str">
        <f>IF(H43="","",VLOOKUP(H43,[1]ENTIDAD!$B$2:$C$605,2,0))</f>
        <v>ZEGARRA AZAÑERO JORGE KEY</v>
      </c>
      <c r="J43" s="11"/>
      <c r="K43" s="11"/>
      <c r="L43" s="11"/>
      <c r="M43" s="11"/>
      <c r="N43" s="11">
        <f>(S43-P43)/1.18</f>
        <v>0</v>
      </c>
      <c r="O43" s="11">
        <f t="shared" si="1"/>
        <v>0</v>
      </c>
      <c r="P43" s="11">
        <v>450</v>
      </c>
      <c r="Q43" s="11"/>
      <c r="R43" s="11"/>
      <c r="S43" s="11">
        <v>450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33">
        <v>46177</v>
      </c>
      <c r="AE43" s="127" t="s">
        <v>465</v>
      </c>
      <c r="AF43" s="119" t="s">
        <v>606</v>
      </c>
      <c r="AG43" s="112"/>
      <c r="AH43" s="112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729</v>
      </c>
      <c r="AT43" s="14"/>
      <c r="AU43" s="11"/>
      <c r="AV43" s="14"/>
    </row>
    <row r="44" spans="1:49" s="45" customFormat="1" ht="15" x14ac:dyDescent="0.25">
      <c r="A44" s="46">
        <v>46147</v>
      </c>
      <c r="B44" s="72">
        <f t="shared" si="2"/>
        <v>46178</v>
      </c>
      <c r="C44" s="42" t="s">
        <v>49</v>
      </c>
      <c r="D44" s="42" t="s">
        <v>440</v>
      </c>
      <c r="E44" s="14"/>
      <c r="F44" s="71">
        <v>2844202</v>
      </c>
      <c r="G44" s="42" t="s">
        <v>50</v>
      </c>
      <c r="H44" s="31">
        <v>20100047218</v>
      </c>
      <c r="I44" s="138" t="str">
        <f>IF(H44="","",VLOOKUP(H44,[1]ENTIDAD!$B$2:$C$605,2,0))</f>
        <v>BANCO DE CREDITO DEL PERU</v>
      </c>
      <c r="J44" s="11"/>
      <c r="K44" s="11"/>
      <c r="L44" s="11"/>
      <c r="M44" s="11"/>
      <c r="N44" s="11">
        <f>(S44-P44)/1.18</f>
        <v>0</v>
      </c>
      <c r="O44" s="11">
        <f t="shared" si="1"/>
        <v>0</v>
      </c>
      <c r="P44" s="11">
        <v>123.27</v>
      </c>
      <c r="Q44" s="11"/>
      <c r="R44" s="11"/>
      <c r="S44" s="11">
        <f>W44*AC44</f>
        <v>123.27</v>
      </c>
      <c r="T44" s="14"/>
      <c r="U44" s="14"/>
      <c r="V44" s="13"/>
      <c r="W44" s="15">
        <v>3.5219999999999998</v>
      </c>
      <c r="X44" s="13"/>
      <c r="Y44" s="14"/>
      <c r="Z44" s="14"/>
      <c r="AA44" s="14"/>
      <c r="AB44" s="42" t="s">
        <v>383</v>
      </c>
      <c r="AC44" s="11">
        <v>35</v>
      </c>
      <c r="AD44" s="13">
        <v>46178</v>
      </c>
      <c r="AE44" s="14" t="s">
        <v>465</v>
      </c>
      <c r="AF44" s="19" t="s">
        <v>494</v>
      </c>
      <c r="AG44" s="14"/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695</v>
      </c>
      <c r="AT44" s="14"/>
      <c r="AU44" s="11"/>
      <c r="AV44" s="14"/>
    </row>
    <row r="45" spans="1:49" s="45" customFormat="1" ht="15" x14ac:dyDescent="0.25">
      <c r="A45" s="13">
        <v>46147</v>
      </c>
      <c r="B45" s="72"/>
      <c r="C45" s="42" t="s">
        <v>49</v>
      </c>
      <c r="D45" s="42" t="s">
        <v>451</v>
      </c>
      <c r="E45" s="14"/>
      <c r="F45" s="113">
        <v>38016</v>
      </c>
      <c r="G45" s="42" t="s">
        <v>50</v>
      </c>
      <c r="H45" s="31">
        <v>20510435452</v>
      </c>
      <c r="I45" s="138" t="str">
        <f>IF(H45="","",VLOOKUP(H45,[1]ENTIDAD!$B$2:$C$605,2,0))</f>
        <v>MULTISERVICIOS SEÑOR DE LOS MILAGROS S.C.R.L.</v>
      </c>
      <c r="J45" s="11"/>
      <c r="K45" s="11"/>
      <c r="L45" s="11"/>
      <c r="M45" s="11"/>
      <c r="N45" s="11">
        <f>(S45-P45)/1.18</f>
        <v>0</v>
      </c>
      <c r="O45" s="11">
        <f t="shared" si="1"/>
        <v>0</v>
      </c>
      <c r="P45" s="11">
        <v>100</v>
      </c>
      <c r="Q45" s="11"/>
      <c r="R45" s="11"/>
      <c r="S45" s="11">
        <v>100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33">
        <v>46147</v>
      </c>
      <c r="AE45" s="14" t="s">
        <v>262</v>
      </c>
      <c r="AF45" s="19" t="s">
        <v>486</v>
      </c>
      <c r="AG45" s="14"/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713</v>
      </c>
      <c r="AT45" s="14"/>
      <c r="AU45" s="11"/>
      <c r="AV45" s="14"/>
    </row>
    <row r="46" spans="1:49" s="45" customFormat="1" ht="15" x14ac:dyDescent="0.25">
      <c r="A46" s="46">
        <v>46147</v>
      </c>
      <c r="B46" s="72">
        <f>AD46</f>
        <v>46178</v>
      </c>
      <c r="C46" s="42" t="s">
        <v>49</v>
      </c>
      <c r="D46" s="42" t="s">
        <v>732</v>
      </c>
      <c r="E46" s="14"/>
      <c r="F46" s="71">
        <v>5057126</v>
      </c>
      <c r="G46" s="42" t="s">
        <v>50</v>
      </c>
      <c r="H46" s="166">
        <v>20100130204</v>
      </c>
      <c r="I46" s="138" t="str">
        <f>IF(H46="","",VLOOKUP(H46,[1]ENTIDAD!$B$2:$C$605,2,0))</f>
        <v>BANCO BBVA PERU</v>
      </c>
      <c r="J46" s="11"/>
      <c r="K46" s="11"/>
      <c r="L46" s="11"/>
      <c r="M46" s="11"/>
      <c r="N46" s="11">
        <f>(S46-P46)/1.18</f>
        <v>0</v>
      </c>
      <c r="O46" s="11">
        <f t="shared" si="1"/>
        <v>0</v>
      </c>
      <c r="P46" s="11">
        <v>40</v>
      </c>
      <c r="Q46" s="11"/>
      <c r="R46" s="11"/>
      <c r="S46" s="11">
        <v>40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33">
        <v>46178</v>
      </c>
      <c r="AE46" s="14" t="s">
        <v>465</v>
      </c>
      <c r="AF46" s="19" t="s">
        <v>494</v>
      </c>
      <c r="AG46" s="14"/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733</v>
      </c>
      <c r="AT46" s="14"/>
      <c r="AU46" s="11"/>
      <c r="AV46" s="14"/>
    </row>
    <row r="47" spans="1:49" s="45" customFormat="1" ht="15" x14ac:dyDescent="0.25">
      <c r="A47" s="46">
        <v>46148</v>
      </c>
      <c r="B47" s="72">
        <f>AD47</f>
        <v>46179</v>
      </c>
      <c r="C47" s="42" t="s">
        <v>49</v>
      </c>
      <c r="D47" s="42" t="s">
        <v>485</v>
      </c>
      <c r="E47" s="14"/>
      <c r="F47" s="71">
        <v>1372737</v>
      </c>
      <c r="G47" s="42" t="s">
        <v>50</v>
      </c>
      <c r="H47" s="31">
        <v>20100047218</v>
      </c>
      <c r="I47" s="138" t="str">
        <f>IF(H47="","",VLOOKUP(H47,[1]ENTIDAD!$B$2:$C$605,2,0))</f>
        <v>BANCO DE CREDITO DEL PERU</v>
      </c>
      <c r="J47" s="11"/>
      <c r="K47" s="11"/>
      <c r="L47" s="11"/>
      <c r="M47" s="11"/>
      <c r="N47" s="11">
        <v>0</v>
      </c>
      <c r="O47" s="11">
        <f t="shared" si="1"/>
        <v>0</v>
      </c>
      <c r="P47" s="11">
        <v>116</v>
      </c>
      <c r="Q47" s="11"/>
      <c r="R47" s="11"/>
      <c r="S47" s="11">
        <v>116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33">
        <v>46179</v>
      </c>
      <c r="AE47" s="14" t="s">
        <v>465</v>
      </c>
      <c r="AF47" s="19" t="s">
        <v>494</v>
      </c>
      <c r="AG47" s="14"/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694</v>
      </c>
      <c r="AT47" s="14"/>
      <c r="AU47" s="11"/>
      <c r="AV47" s="14"/>
    </row>
    <row r="48" spans="1:49" s="45" customFormat="1" ht="15" x14ac:dyDescent="0.25">
      <c r="A48" s="13">
        <v>46148</v>
      </c>
      <c r="B48" s="72">
        <f>AD48</f>
        <v>46179</v>
      </c>
      <c r="C48" s="42" t="s">
        <v>49</v>
      </c>
      <c r="D48" s="42" t="s">
        <v>451</v>
      </c>
      <c r="E48" s="14"/>
      <c r="F48" s="71">
        <v>150</v>
      </c>
      <c r="G48" s="42" t="s">
        <v>50</v>
      </c>
      <c r="H48" s="31">
        <v>20600454065</v>
      </c>
      <c r="I48" s="138" t="str">
        <f>IF(H48="","",VLOOKUP(H48,[1]ENTIDAD!$B$2:$C$605,2,0))</f>
        <v>REPUESTOS Y SERVICIOS ARAUCO E.I.R.L.</v>
      </c>
      <c r="J48" s="11"/>
      <c r="K48" s="11"/>
      <c r="L48" s="11"/>
      <c r="M48" s="11"/>
      <c r="N48" s="11">
        <f>(S48-P48)/1.18</f>
        <v>0</v>
      </c>
      <c r="O48" s="11">
        <f t="shared" si="1"/>
        <v>0</v>
      </c>
      <c r="P48" s="11">
        <v>1800</v>
      </c>
      <c r="Q48" s="11"/>
      <c r="R48" s="11"/>
      <c r="S48" s="11">
        <v>1800</v>
      </c>
      <c r="T48" s="14"/>
      <c r="U48" s="14"/>
      <c r="V48" s="13"/>
      <c r="W48" s="15"/>
      <c r="X48" s="13"/>
      <c r="Y48" s="14"/>
      <c r="Z48" s="14"/>
      <c r="AA48" s="14"/>
      <c r="AB48" s="42" t="s">
        <v>224</v>
      </c>
      <c r="AC48" s="11"/>
      <c r="AD48" s="33">
        <v>46179</v>
      </c>
      <c r="AE48" s="112" t="s">
        <v>465</v>
      </c>
      <c r="AF48" s="119" t="s">
        <v>616</v>
      </c>
      <c r="AG48" s="14" t="s">
        <v>513</v>
      </c>
      <c r="AH48" s="112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12" t="s">
        <v>617</v>
      </c>
      <c r="AT48" s="14"/>
      <c r="AU48" s="11"/>
      <c r="AV48" s="14"/>
    </row>
    <row r="49" spans="1:49" s="45" customFormat="1" ht="15" x14ac:dyDescent="0.25">
      <c r="A49" s="46">
        <v>46148</v>
      </c>
      <c r="B49" s="72">
        <f>AD49</f>
        <v>46179</v>
      </c>
      <c r="C49" s="42" t="s">
        <v>49</v>
      </c>
      <c r="D49" s="42" t="s">
        <v>294</v>
      </c>
      <c r="E49" s="14"/>
      <c r="F49" s="71">
        <v>177</v>
      </c>
      <c r="G49" s="42" t="s">
        <v>50</v>
      </c>
      <c r="H49" s="31">
        <v>20568818751</v>
      </c>
      <c r="I49" s="138" t="str">
        <f>IF(H49="","",VLOOKUP(H49,[1]ENTIDAD!$B$2:$C$605,2,0))</f>
        <v>P &amp; F ARTEFACTOS S.R.L.</v>
      </c>
      <c r="J49" s="11"/>
      <c r="K49" s="11"/>
      <c r="L49" s="11"/>
      <c r="M49" s="11"/>
      <c r="N49" s="11">
        <f>(S49-P49)/1.18</f>
        <v>0</v>
      </c>
      <c r="O49" s="11">
        <f t="shared" si="1"/>
        <v>0</v>
      </c>
      <c r="P49" s="11">
        <v>1250</v>
      </c>
      <c r="Q49" s="11"/>
      <c r="R49" s="11"/>
      <c r="S49" s="11">
        <v>1250</v>
      </c>
      <c r="T49" s="14"/>
      <c r="U49" s="14"/>
      <c r="V49" s="13"/>
      <c r="W49" s="15"/>
      <c r="X49" s="13"/>
      <c r="Y49" s="14"/>
      <c r="Z49" s="14"/>
      <c r="AA49" s="14"/>
      <c r="AB49" s="42" t="s">
        <v>224</v>
      </c>
      <c r="AC49" s="11"/>
      <c r="AD49" s="33">
        <v>46179</v>
      </c>
      <c r="AE49" s="34" t="s">
        <v>465</v>
      </c>
      <c r="AF49" s="205" t="s">
        <v>4607</v>
      </c>
      <c r="AG49" s="14"/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734</v>
      </c>
      <c r="AT49" s="14"/>
      <c r="AU49" s="11"/>
      <c r="AV49" s="14"/>
    </row>
    <row r="50" spans="1:49" s="47" customFormat="1" ht="15" x14ac:dyDescent="0.25">
      <c r="A50" s="46">
        <v>46148</v>
      </c>
      <c r="B50" s="72">
        <f>AD50</f>
        <v>46179</v>
      </c>
      <c r="C50" s="42" t="s">
        <v>49</v>
      </c>
      <c r="D50" s="42" t="s">
        <v>294</v>
      </c>
      <c r="E50" s="14"/>
      <c r="F50" s="71">
        <v>773</v>
      </c>
      <c r="G50" s="42" t="s">
        <v>50</v>
      </c>
      <c r="H50" s="31">
        <v>10733910921</v>
      </c>
      <c r="I50" s="138" t="str">
        <f>IF(H50="","",VLOOKUP(H50,[1]ENTIDAD!$B$2:$C$605,2,0))</f>
        <v>MADUEÑO HUAMAN LILI CLISSELY</v>
      </c>
      <c r="J50" s="11"/>
      <c r="K50" s="11"/>
      <c r="L50" s="11"/>
      <c r="M50" s="11"/>
      <c r="N50" s="11">
        <f>(S50-P50)/1.18</f>
        <v>0</v>
      </c>
      <c r="O50" s="11">
        <f t="shared" si="1"/>
        <v>0</v>
      </c>
      <c r="P50" s="11">
        <v>12</v>
      </c>
      <c r="Q50" s="11"/>
      <c r="R50" s="11"/>
      <c r="S50" s="11">
        <v>12</v>
      </c>
      <c r="T50" s="14"/>
      <c r="U50" s="14"/>
      <c r="V50" s="13"/>
      <c r="W50" s="15"/>
      <c r="X50" s="13"/>
      <c r="Y50" s="14"/>
      <c r="Z50" s="14"/>
      <c r="AA50" s="14"/>
      <c r="AB50" s="42" t="s">
        <v>224</v>
      </c>
      <c r="AC50" s="11"/>
      <c r="AD50" s="33">
        <v>46179</v>
      </c>
      <c r="AE50" s="255" t="s">
        <v>465</v>
      </c>
      <c r="AF50" s="205" t="s">
        <v>4609</v>
      </c>
      <c r="AG50" s="256"/>
      <c r="AH50" s="256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737</v>
      </c>
      <c r="AT50" s="14"/>
      <c r="AU50" s="11"/>
      <c r="AV50" s="14"/>
      <c r="AW50" s="45"/>
    </row>
    <row r="51" spans="1:49" s="47" customFormat="1" ht="15" x14ac:dyDescent="0.25">
      <c r="A51" s="46">
        <v>46149</v>
      </c>
      <c r="B51" s="72"/>
      <c r="C51" s="42" t="s">
        <v>49</v>
      </c>
      <c r="D51" s="42" t="s">
        <v>294</v>
      </c>
      <c r="E51" s="14"/>
      <c r="F51" s="71">
        <v>2388</v>
      </c>
      <c r="G51" s="42" t="s">
        <v>50</v>
      </c>
      <c r="H51" s="31">
        <v>20604975159</v>
      </c>
      <c r="I51" s="138" t="str">
        <f>IF(H51="","",VLOOKUP(H51,[1]ENTIDAD!$B$2:$C$605,2,0))</f>
        <v>CORPORACION CARELI EMPRESA INDIVIDUAL DE RESPONSABILIDAD LIMITADA - CORPORACION CARELI E.I.R.L.</v>
      </c>
      <c r="J51" s="11"/>
      <c r="K51" s="11"/>
      <c r="L51" s="11"/>
      <c r="M51" s="11"/>
      <c r="N51" s="11">
        <f>(S51-P51)/1.18</f>
        <v>0</v>
      </c>
      <c r="O51" s="11">
        <f t="shared" si="1"/>
        <v>0</v>
      </c>
      <c r="P51" s="11">
        <v>28</v>
      </c>
      <c r="Q51" s="11"/>
      <c r="R51" s="11"/>
      <c r="S51" s="11">
        <v>28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13">
        <v>46149</v>
      </c>
      <c r="AE51" s="34" t="s">
        <v>262</v>
      </c>
      <c r="AF51" s="37" t="s">
        <v>521</v>
      </c>
      <c r="AG51" s="14"/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691</v>
      </c>
      <c r="AT51" s="14"/>
      <c r="AU51" s="11"/>
      <c r="AV51" s="14"/>
      <c r="AW51" s="45"/>
    </row>
    <row r="52" spans="1:49" s="45" customFormat="1" ht="15" x14ac:dyDescent="0.25">
      <c r="A52" s="46">
        <v>46149</v>
      </c>
      <c r="B52" s="72">
        <f>AD52</f>
        <v>46179</v>
      </c>
      <c r="C52" s="42" t="s">
        <v>49</v>
      </c>
      <c r="D52" s="42" t="s">
        <v>301</v>
      </c>
      <c r="E52" s="14"/>
      <c r="F52" s="86">
        <v>18166</v>
      </c>
      <c r="G52" s="42" t="s">
        <v>50</v>
      </c>
      <c r="H52" s="31">
        <v>20493508645</v>
      </c>
      <c r="I52" s="138" t="str">
        <f>IF(H52="","",VLOOKUP(H52,[1]ENTIDAD!$B$2:$C$605,2,0))</f>
        <v>HONDA SELVA DEL PERU S.A.</v>
      </c>
      <c r="J52" s="11"/>
      <c r="K52" s="11"/>
      <c r="L52" s="11"/>
      <c r="M52" s="11"/>
      <c r="N52" s="11">
        <v>0</v>
      </c>
      <c r="O52" s="11">
        <f t="shared" si="1"/>
        <v>0</v>
      </c>
      <c r="P52" s="11">
        <v>77264.960000000006</v>
      </c>
      <c r="Q52" s="11"/>
      <c r="R52" s="11"/>
      <c r="S52" s="11">
        <f>W52*AC52</f>
        <v>77264.963200000013</v>
      </c>
      <c r="T52" s="14"/>
      <c r="U52" s="14"/>
      <c r="V52" s="13"/>
      <c r="W52" s="15">
        <v>3.47</v>
      </c>
      <c r="X52" s="13"/>
      <c r="Y52" s="14"/>
      <c r="Z52" s="14"/>
      <c r="AA52" s="14"/>
      <c r="AB52" s="42" t="s">
        <v>383</v>
      </c>
      <c r="AC52" s="11">
        <v>22266.560000000001</v>
      </c>
      <c r="AD52" s="33">
        <f>A52+30</f>
        <v>46179</v>
      </c>
      <c r="AE52" s="34" t="s">
        <v>465</v>
      </c>
      <c r="AF52" s="19" t="s">
        <v>532</v>
      </c>
      <c r="AG52" s="14"/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201</v>
      </c>
      <c r="AT52" s="14"/>
      <c r="AU52" s="11"/>
      <c r="AV52" s="14"/>
    </row>
    <row r="53" spans="1:49" s="47" customFormat="1" ht="15" x14ac:dyDescent="0.25">
      <c r="A53" s="46">
        <v>46149</v>
      </c>
      <c r="B53" s="72">
        <f>AD53</f>
        <v>46180</v>
      </c>
      <c r="C53" s="42" t="s">
        <v>49</v>
      </c>
      <c r="D53" s="42" t="s">
        <v>442</v>
      </c>
      <c r="E53" s="14"/>
      <c r="F53" s="71">
        <v>19377183</v>
      </c>
      <c r="G53" s="42" t="s">
        <v>50</v>
      </c>
      <c r="H53" s="31">
        <v>20100047218</v>
      </c>
      <c r="I53" s="138" t="str">
        <f>IF(H53="","",VLOOKUP(H53,[1]ENTIDAD!$B$2:$C$605,2,0))</f>
        <v>BANCO DE CREDITO DEL PERU</v>
      </c>
      <c r="J53" s="11"/>
      <c r="K53" s="11"/>
      <c r="L53" s="11"/>
      <c r="M53" s="11"/>
      <c r="N53" s="11">
        <f>(S53-P53)/1.18</f>
        <v>0</v>
      </c>
      <c r="O53" s="11">
        <f t="shared" si="1"/>
        <v>0</v>
      </c>
      <c r="P53" s="11">
        <v>943.79</v>
      </c>
      <c r="Q53" s="11"/>
      <c r="R53" s="11"/>
      <c r="S53" s="11">
        <v>943.79</v>
      </c>
      <c r="T53" s="14"/>
      <c r="U53" s="14"/>
      <c r="V53" s="13"/>
      <c r="W53" s="15"/>
      <c r="X53" s="13"/>
      <c r="Y53" s="14"/>
      <c r="Z53" s="14"/>
      <c r="AA53" s="14"/>
      <c r="AB53" s="42" t="s">
        <v>224</v>
      </c>
      <c r="AC53" s="11"/>
      <c r="AD53" s="33">
        <v>46180</v>
      </c>
      <c r="AE53" s="14" t="s">
        <v>465</v>
      </c>
      <c r="AF53" s="19" t="s">
        <v>494</v>
      </c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712</v>
      </c>
      <c r="AT53" s="14"/>
      <c r="AU53" s="11"/>
      <c r="AV53" s="14"/>
      <c r="AW53" s="45"/>
    </row>
    <row r="54" spans="1:49" s="45" customFormat="1" ht="15" x14ac:dyDescent="0.25">
      <c r="A54" s="13">
        <v>46149</v>
      </c>
      <c r="B54" s="72">
        <f>AD54</f>
        <v>46180</v>
      </c>
      <c r="C54" s="42" t="s">
        <v>49</v>
      </c>
      <c r="D54" s="42" t="s">
        <v>292</v>
      </c>
      <c r="E54" s="14"/>
      <c r="F54" s="71">
        <v>14</v>
      </c>
      <c r="G54" s="42" t="s">
        <v>50</v>
      </c>
      <c r="H54" s="31">
        <v>10420868168</v>
      </c>
      <c r="I54" s="138" t="e">
        <f>IF(H54="","",VLOOKUP(H54,[1]ENTIDAD!$B$2:$C$605,2,0))</f>
        <v>#N/A</v>
      </c>
      <c r="J54" s="11"/>
      <c r="K54" s="11"/>
      <c r="L54" s="11"/>
      <c r="M54" s="11"/>
      <c r="N54" s="11">
        <f>(S54-P54)/1.18</f>
        <v>0</v>
      </c>
      <c r="O54" s="11">
        <f t="shared" si="1"/>
        <v>0</v>
      </c>
      <c r="P54" s="11">
        <v>180</v>
      </c>
      <c r="Q54" s="11"/>
      <c r="R54" s="11"/>
      <c r="S54" s="11">
        <v>180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33">
        <v>46180</v>
      </c>
      <c r="AE54" s="34" t="s">
        <v>465</v>
      </c>
      <c r="AF54" s="34" t="s">
        <v>742</v>
      </c>
      <c r="AG54" s="14"/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714</v>
      </c>
      <c r="AT54" s="14"/>
      <c r="AU54" s="11"/>
      <c r="AV54" s="14"/>
    </row>
    <row r="55" spans="1:49" s="45" customFormat="1" ht="15" x14ac:dyDescent="0.25">
      <c r="A55" s="13">
        <v>46149</v>
      </c>
      <c r="B55" s="72"/>
      <c r="C55" s="42" t="s">
        <v>49</v>
      </c>
      <c r="D55" s="42" t="s">
        <v>292</v>
      </c>
      <c r="E55" s="14"/>
      <c r="F55" s="71">
        <v>6176</v>
      </c>
      <c r="G55" s="42" t="s">
        <v>50</v>
      </c>
      <c r="H55" s="31">
        <v>20602783341</v>
      </c>
      <c r="I55" s="138" t="str">
        <f>IF(H55="","",VLOOKUP(H55,[1]ENTIDAD!$B$2:$C$605,2,0))</f>
        <v>CODISSER VRAEM E.I.R.L.</v>
      </c>
      <c r="J55" s="11"/>
      <c r="K55" s="11"/>
      <c r="L55" s="11"/>
      <c r="M55" s="11"/>
      <c r="N55" s="11">
        <f>(S55-P55)/1.18</f>
        <v>0</v>
      </c>
      <c r="O55" s="11">
        <f t="shared" si="1"/>
        <v>0</v>
      </c>
      <c r="P55" s="11">
        <v>8</v>
      </c>
      <c r="Q55" s="11"/>
      <c r="R55" s="11"/>
      <c r="S55" s="11">
        <v>8</v>
      </c>
      <c r="T55" s="14"/>
      <c r="U55" s="14"/>
      <c r="V55" s="13"/>
      <c r="W55" s="15"/>
      <c r="X55" s="13"/>
      <c r="Y55" s="14"/>
      <c r="Z55" s="14"/>
      <c r="AA55" s="14"/>
      <c r="AB55" s="42" t="s">
        <v>224</v>
      </c>
      <c r="AC55" s="11"/>
      <c r="AD55" s="33">
        <v>46149</v>
      </c>
      <c r="AE55" s="14" t="s">
        <v>262</v>
      </c>
      <c r="AF55" s="19" t="s">
        <v>601</v>
      </c>
      <c r="AG55" s="14"/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 t="s">
        <v>715</v>
      </c>
      <c r="AT55" s="14"/>
      <c r="AU55" s="11"/>
      <c r="AV55" s="14"/>
    </row>
    <row r="56" spans="1:49" s="45" customFormat="1" ht="15" x14ac:dyDescent="0.25">
      <c r="A56" s="46">
        <v>46149</v>
      </c>
      <c r="B56" s="72">
        <f>AD56</f>
        <v>46180</v>
      </c>
      <c r="C56" s="42" t="s">
        <v>49</v>
      </c>
      <c r="D56" s="42" t="s">
        <v>292</v>
      </c>
      <c r="E56" s="14"/>
      <c r="F56" s="71">
        <v>232</v>
      </c>
      <c r="G56" s="42" t="s">
        <v>50</v>
      </c>
      <c r="H56" s="31">
        <v>10447422951</v>
      </c>
      <c r="I56" s="138" t="str">
        <f>IF(H56="","",VLOOKUP(H56,[1]ENTIDAD!$B$2:$C$605,2,0))</f>
        <v>ZEGARRA AZAÑERO JORGE KEY</v>
      </c>
      <c r="J56" s="11"/>
      <c r="K56" s="11"/>
      <c r="L56" s="11"/>
      <c r="M56" s="11"/>
      <c r="N56" s="11">
        <f>(S56-P56)/1.18</f>
        <v>0</v>
      </c>
      <c r="O56" s="11">
        <f t="shared" si="1"/>
        <v>0</v>
      </c>
      <c r="P56" s="11">
        <v>450</v>
      </c>
      <c r="Q56" s="11"/>
      <c r="R56" s="11"/>
      <c r="S56" s="11">
        <v>450</v>
      </c>
      <c r="T56" s="14"/>
      <c r="U56" s="14"/>
      <c r="V56" s="13"/>
      <c r="W56" s="15"/>
      <c r="X56" s="13"/>
      <c r="Y56" s="14"/>
      <c r="Z56" s="14"/>
      <c r="AA56" s="14"/>
      <c r="AB56" s="42" t="s">
        <v>224</v>
      </c>
      <c r="AC56" s="11"/>
      <c r="AD56" s="33">
        <v>46180</v>
      </c>
      <c r="AE56" s="34" t="s">
        <v>465</v>
      </c>
      <c r="AF56" s="205" t="s">
        <v>4607</v>
      </c>
      <c r="AG56" s="14"/>
      <c r="AH56" s="14" t="s">
        <v>225</v>
      </c>
      <c r="AI56" s="14"/>
      <c r="AJ56" s="14"/>
      <c r="AK56" s="16"/>
      <c r="AL56" s="11"/>
      <c r="AM56" s="11"/>
      <c r="AN56" s="14"/>
      <c r="AO56" s="14"/>
      <c r="AP56" s="13"/>
      <c r="AQ56" s="14"/>
      <c r="AR56" s="11">
        <v>18</v>
      </c>
      <c r="AS56" s="14" t="s">
        <v>728</v>
      </c>
      <c r="AT56" s="14"/>
      <c r="AU56" s="11"/>
      <c r="AV56" s="14"/>
    </row>
    <row r="57" spans="1:49" s="45" customFormat="1" ht="15" x14ac:dyDescent="0.25">
      <c r="A57" s="46">
        <v>46150</v>
      </c>
      <c r="B57" s="13"/>
      <c r="C57" s="42" t="s">
        <v>49</v>
      </c>
      <c r="D57" s="42" t="s">
        <v>451</v>
      </c>
      <c r="E57" s="14"/>
      <c r="F57" s="71">
        <v>17842</v>
      </c>
      <c r="G57" s="42" t="s">
        <v>50</v>
      </c>
      <c r="H57" s="31">
        <v>20605377115</v>
      </c>
      <c r="I57" s="138" t="str">
        <f>IF(H57="","",VLOOKUP(H57,ENTIDAD!$B$2:$C$613,2,0))</f>
        <v>CORPORACIÓN FERNANDO´S E.I.R.L.</v>
      </c>
      <c r="J57" s="11"/>
      <c r="K57" s="11"/>
      <c r="L57" s="11"/>
      <c r="M57" s="11"/>
      <c r="N57" s="11">
        <f>(S57-P57)/1.18</f>
        <v>0</v>
      </c>
      <c r="O57" s="11">
        <f t="shared" si="1"/>
        <v>0</v>
      </c>
      <c r="P57" s="11">
        <v>20</v>
      </c>
      <c r="Q57" s="11"/>
      <c r="R57" s="11"/>
      <c r="S57" s="11">
        <v>20</v>
      </c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13">
        <v>46150</v>
      </c>
      <c r="AE57" s="14" t="s">
        <v>262</v>
      </c>
      <c r="AF57" s="19" t="s">
        <v>486</v>
      </c>
      <c r="AG57" s="14"/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 t="s">
        <v>713</v>
      </c>
      <c r="AT57" s="14"/>
      <c r="AU57" s="11"/>
      <c r="AV57" s="14"/>
    </row>
    <row r="58" spans="1:49" s="45" customFormat="1" ht="15" x14ac:dyDescent="0.25">
      <c r="A58" s="46">
        <v>46153</v>
      </c>
      <c r="B58" s="72">
        <f>AD58</f>
        <v>46183</v>
      </c>
      <c r="C58" s="42" t="s">
        <v>49</v>
      </c>
      <c r="D58" s="42" t="s">
        <v>301</v>
      </c>
      <c r="E58" s="14"/>
      <c r="F58" s="86">
        <v>18187</v>
      </c>
      <c r="G58" s="42" t="s">
        <v>50</v>
      </c>
      <c r="H58" s="31">
        <v>20493508645</v>
      </c>
      <c r="I58" s="138" t="str">
        <f>IF(H58="","",VLOOKUP(H58,[1]ENTIDAD!$B$2:$C$605,2,0))</f>
        <v>HONDA SELVA DEL PERU S.A.</v>
      </c>
      <c r="J58" s="11"/>
      <c r="K58" s="11"/>
      <c r="L58" s="11"/>
      <c r="M58" s="11"/>
      <c r="N58" s="11">
        <v>0</v>
      </c>
      <c r="O58" s="11">
        <f t="shared" si="1"/>
        <v>0</v>
      </c>
      <c r="P58" s="11">
        <v>9073.7199999999993</v>
      </c>
      <c r="Q58" s="11"/>
      <c r="R58" s="11"/>
      <c r="S58" s="11">
        <f>AC58*W58</f>
        <v>9073.7150000000001</v>
      </c>
      <c r="T58" s="14"/>
      <c r="U58" s="14"/>
      <c r="V58" s="13"/>
      <c r="W58" s="15">
        <v>3.5</v>
      </c>
      <c r="X58" s="13"/>
      <c r="Y58" s="14"/>
      <c r="Z58" s="14"/>
      <c r="AA58" s="14"/>
      <c r="AB58" s="42" t="s">
        <v>383</v>
      </c>
      <c r="AC58" s="11">
        <v>2592.4899999999998</v>
      </c>
      <c r="AD58" s="33">
        <f>A58+30</f>
        <v>46183</v>
      </c>
      <c r="AE58" s="34" t="s">
        <v>465</v>
      </c>
      <c r="AF58" s="19" t="s">
        <v>532</v>
      </c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201</v>
      </c>
      <c r="AT58" s="14"/>
      <c r="AU58" s="11"/>
      <c r="AV58" s="14"/>
    </row>
    <row r="59" spans="1:49" s="45" customFormat="1" ht="15" x14ac:dyDescent="0.25">
      <c r="A59" s="46">
        <v>46153</v>
      </c>
      <c r="B59" s="72"/>
      <c r="C59" s="42" t="s">
        <v>709</v>
      </c>
      <c r="D59" s="42" t="s">
        <v>292</v>
      </c>
      <c r="E59" s="14"/>
      <c r="F59" s="71">
        <v>1762</v>
      </c>
      <c r="G59" s="42" t="s">
        <v>50</v>
      </c>
      <c r="H59" s="144">
        <v>10200832049</v>
      </c>
      <c r="I59" s="138" t="e">
        <f>IF(H59="","",VLOOKUP(H59,[1]ENTIDAD!$B$2:$C$605,2,0))</f>
        <v>#N/A</v>
      </c>
      <c r="J59" s="11"/>
      <c r="K59" s="11"/>
      <c r="L59" s="11"/>
      <c r="M59" s="11"/>
      <c r="N59" s="11">
        <f t="shared" ref="N59:N90" si="4">(S59-P59)/1.18</f>
        <v>0</v>
      </c>
      <c r="O59" s="11">
        <f t="shared" si="1"/>
        <v>0</v>
      </c>
      <c r="P59" s="11">
        <v>300</v>
      </c>
      <c r="Q59" s="11"/>
      <c r="R59" s="11"/>
      <c r="S59" s="11">
        <v>300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33">
        <v>46184</v>
      </c>
      <c r="AE59" s="34" t="s">
        <v>465</v>
      </c>
      <c r="AF59" s="205" t="s">
        <v>3970</v>
      </c>
      <c r="AG59" s="14"/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710</v>
      </c>
      <c r="AT59" s="14"/>
      <c r="AU59" s="11"/>
      <c r="AV59" s="14"/>
    </row>
    <row r="60" spans="1:49" s="45" customFormat="1" ht="14.25" customHeight="1" x14ac:dyDescent="0.25">
      <c r="A60" s="46">
        <v>46153</v>
      </c>
      <c r="B60" s="72">
        <f t="shared" ref="B60:B90" si="5">AD60</f>
        <v>46184</v>
      </c>
      <c r="C60" s="42" t="s">
        <v>49</v>
      </c>
      <c r="D60" s="42" t="s">
        <v>301</v>
      </c>
      <c r="E60" s="14"/>
      <c r="F60" s="86">
        <v>18179</v>
      </c>
      <c r="G60" s="42" t="s">
        <v>50</v>
      </c>
      <c r="H60" s="31">
        <v>20493508645</v>
      </c>
      <c r="I60" s="138" t="str">
        <f>IF(H60="","",VLOOKUP(H60,[1]ENTIDAD!$B$2:$C$605,2,0))</f>
        <v>HONDA SELVA DEL PERU S.A.</v>
      </c>
      <c r="J60" s="11"/>
      <c r="K60" s="11"/>
      <c r="L60" s="11"/>
      <c r="M60" s="11"/>
      <c r="N60" s="11">
        <f t="shared" si="4"/>
        <v>4.2372881518716344E-4</v>
      </c>
      <c r="O60" s="11">
        <f t="shared" si="1"/>
        <v>7.6271186733689413E-5</v>
      </c>
      <c r="P60" s="11">
        <v>59102.26</v>
      </c>
      <c r="Q60" s="11"/>
      <c r="R60" s="11"/>
      <c r="S60" s="11">
        <f>W60*AC60</f>
        <v>59102.260500000004</v>
      </c>
      <c r="T60" s="14"/>
      <c r="U60" s="14"/>
      <c r="V60" s="13"/>
      <c r="W60" s="15">
        <v>3.45</v>
      </c>
      <c r="X60" s="13"/>
      <c r="Y60" s="14"/>
      <c r="Z60" s="14"/>
      <c r="AA60" s="14"/>
      <c r="AB60" s="42" t="s">
        <v>383</v>
      </c>
      <c r="AC60" s="11">
        <v>17131.09</v>
      </c>
      <c r="AD60" s="33">
        <v>46184</v>
      </c>
      <c r="AE60" s="34" t="s">
        <v>465</v>
      </c>
      <c r="AF60" s="19" t="s">
        <v>532</v>
      </c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201</v>
      </c>
      <c r="AT60" s="14"/>
      <c r="AU60" s="11"/>
      <c r="AV60" s="14"/>
    </row>
    <row r="61" spans="1:49" s="45" customFormat="1" ht="15" x14ac:dyDescent="0.25">
      <c r="A61" s="108">
        <v>46153</v>
      </c>
      <c r="B61" s="72">
        <f t="shared" si="5"/>
        <v>46184</v>
      </c>
      <c r="C61" s="111" t="s">
        <v>49</v>
      </c>
      <c r="D61" s="111" t="s">
        <v>301</v>
      </c>
      <c r="E61" s="112"/>
      <c r="F61" s="86">
        <v>18183</v>
      </c>
      <c r="G61" s="111" t="s">
        <v>50</v>
      </c>
      <c r="H61" s="114">
        <v>20493508645</v>
      </c>
      <c r="I61" s="139" t="str">
        <f>IF(H61="","",VLOOKUP(H61,[1]ENTIDAD!$B$2:$C$605,2,0))</f>
        <v>HONDA SELVA DEL PERU S.A.</v>
      </c>
      <c r="J61" s="116"/>
      <c r="K61" s="116"/>
      <c r="L61" s="116"/>
      <c r="M61" s="116"/>
      <c r="N61" s="116">
        <f t="shared" si="4"/>
        <v>-4.2372881395395029E-3</v>
      </c>
      <c r="O61" s="116">
        <f t="shared" si="1"/>
        <v>-7.6271186511711045E-4</v>
      </c>
      <c r="P61" s="116">
        <v>33526.76</v>
      </c>
      <c r="Q61" s="116"/>
      <c r="R61" s="116"/>
      <c r="S61" s="116">
        <f>W61*AC61</f>
        <v>33526.754999999997</v>
      </c>
      <c r="T61" s="112"/>
      <c r="U61" s="112"/>
      <c r="V61" s="109"/>
      <c r="W61" s="118">
        <v>3.45</v>
      </c>
      <c r="X61" s="109"/>
      <c r="Y61" s="112"/>
      <c r="Z61" s="112"/>
      <c r="AA61" s="112"/>
      <c r="AB61" s="111" t="s">
        <v>383</v>
      </c>
      <c r="AC61" s="116">
        <v>9717.9</v>
      </c>
      <c r="AD61" s="109">
        <v>46184</v>
      </c>
      <c r="AE61" s="34" t="s">
        <v>465</v>
      </c>
      <c r="AF61" s="19" t="s">
        <v>532</v>
      </c>
      <c r="AG61" s="14"/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201</v>
      </c>
      <c r="AT61" s="112"/>
      <c r="AU61" s="116"/>
      <c r="AV61" s="112"/>
      <c r="AW61" s="121"/>
    </row>
    <row r="62" spans="1:49" s="45" customFormat="1" ht="15" x14ac:dyDescent="0.25">
      <c r="A62" s="13">
        <v>46153</v>
      </c>
      <c r="B62" s="72">
        <f t="shared" si="5"/>
        <v>46184</v>
      </c>
      <c r="C62" s="42" t="s">
        <v>49</v>
      </c>
      <c r="D62" s="42" t="s">
        <v>299</v>
      </c>
      <c r="E62" s="14"/>
      <c r="F62" s="71">
        <v>3846191</v>
      </c>
      <c r="G62" s="42" t="s">
        <v>50</v>
      </c>
      <c r="H62" s="31">
        <v>20101973922</v>
      </c>
      <c r="I62" s="138" t="str">
        <f>IF(H62="","",VLOOKUP(H62,[1]ENTIDAD!$B$2:$C$605,2,0))</f>
        <v>ASOCIACION AUTOMOTRIZ DEL PERU</v>
      </c>
      <c r="J62" s="11"/>
      <c r="K62" s="11"/>
      <c r="L62" s="11"/>
      <c r="M62" s="11"/>
      <c r="N62" s="11">
        <f t="shared" si="4"/>
        <v>56.610169491525426</v>
      </c>
      <c r="O62" s="11">
        <f t="shared" si="1"/>
        <v>10.189830508474577</v>
      </c>
      <c r="P62" s="11">
        <v>0</v>
      </c>
      <c r="Q62" s="11"/>
      <c r="R62" s="11">
        <v>66.8</v>
      </c>
      <c r="S62" s="11">
        <v>66.8</v>
      </c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33">
        <v>46184</v>
      </c>
      <c r="AE62" s="34" t="s">
        <v>465</v>
      </c>
      <c r="AF62" s="37" t="s">
        <v>550</v>
      </c>
      <c r="AG62" s="14" t="s">
        <v>513</v>
      </c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566</v>
      </c>
      <c r="AT62" s="14"/>
      <c r="AU62" s="11"/>
      <c r="AV62" s="14"/>
    </row>
    <row r="63" spans="1:49" s="45" customFormat="1" ht="15" x14ac:dyDescent="0.25">
      <c r="A63" s="13">
        <v>46153</v>
      </c>
      <c r="B63" s="72">
        <f t="shared" si="5"/>
        <v>46184</v>
      </c>
      <c r="C63" s="42" t="s">
        <v>49</v>
      </c>
      <c r="D63" s="42" t="s">
        <v>299</v>
      </c>
      <c r="E63" s="14"/>
      <c r="F63" s="71">
        <v>3846192</v>
      </c>
      <c r="G63" s="42" t="s">
        <v>50</v>
      </c>
      <c r="H63" s="31">
        <v>20101973922</v>
      </c>
      <c r="I63" s="138" t="str">
        <f>IF(H63="","",VLOOKUP(H63,[1]ENTIDAD!$B$2:$C$605,2,0))</f>
        <v>ASOCIACION AUTOMOTRIZ DEL PERU</v>
      </c>
      <c r="J63" s="11"/>
      <c r="K63" s="11"/>
      <c r="L63" s="11"/>
      <c r="M63" s="11"/>
      <c r="N63" s="11">
        <f t="shared" si="4"/>
        <v>56.610169491525426</v>
      </c>
      <c r="O63" s="11">
        <f t="shared" si="1"/>
        <v>10.189830508474577</v>
      </c>
      <c r="P63" s="11">
        <v>0</v>
      </c>
      <c r="Q63" s="11"/>
      <c r="R63" s="11">
        <v>66.8</v>
      </c>
      <c r="S63" s="11">
        <v>66.8</v>
      </c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33">
        <v>46184</v>
      </c>
      <c r="AE63" s="34" t="s">
        <v>465</v>
      </c>
      <c r="AF63" s="37" t="s">
        <v>550</v>
      </c>
      <c r="AG63" s="14" t="s">
        <v>513</v>
      </c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566</v>
      </c>
      <c r="AT63" s="14"/>
      <c r="AU63" s="11"/>
      <c r="AV63" s="14"/>
    </row>
    <row r="64" spans="1:49" s="45" customFormat="1" ht="15" x14ac:dyDescent="0.25">
      <c r="A64" s="13">
        <v>46153</v>
      </c>
      <c r="B64" s="72">
        <f t="shared" si="5"/>
        <v>46184</v>
      </c>
      <c r="C64" s="42" t="s">
        <v>49</v>
      </c>
      <c r="D64" s="42" t="s">
        <v>299</v>
      </c>
      <c r="E64" s="14"/>
      <c r="F64" s="71">
        <v>3846193</v>
      </c>
      <c r="G64" s="42" t="s">
        <v>50</v>
      </c>
      <c r="H64" s="31">
        <v>20101973922</v>
      </c>
      <c r="I64" s="138" t="str">
        <f>IF(H64="","",VLOOKUP(H64,[1]ENTIDAD!$B$2:$C$605,2,0))</f>
        <v>ASOCIACION AUTOMOTRIZ DEL PERU</v>
      </c>
      <c r="J64" s="11"/>
      <c r="K64" s="11"/>
      <c r="L64" s="11"/>
      <c r="M64" s="11"/>
      <c r="N64" s="11">
        <f t="shared" si="4"/>
        <v>56.610169491525426</v>
      </c>
      <c r="O64" s="11">
        <f t="shared" si="1"/>
        <v>10.189830508474577</v>
      </c>
      <c r="P64" s="11">
        <v>0</v>
      </c>
      <c r="Q64" s="11"/>
      <c r="R64" s="11">
        <v>66.8</v>
      </c>
      <c r="S64" s="11">
        <v>66.8</v>
      </c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33">
        <v>46184</v>
      </c>
      <c r="AE64" s="34" t="s">
        <v>465</v>
      </c>
      <c r="AF64" s="37" t="s">
        <v>550</v>
      </c>
      <c r="AG64" s="14" t="s">
        <v>513</v>
      </c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566</v>
      </c>
      <c r="AT64" s="14"/>
      <c r="AU64" s="11"/>
      <c r="AV64" s="14"/>
    </row>
    <row r="65" spans="1:48" s="45" customFormat="1" ht="15" x14ac:dyDescent="0.25">
      <c r="A65" s="13">
        <v>46153</v>
      </c>
      <c r="B65" s="72">
        <f t="shared" si="5"/>
        <v>46184</v>
      </c>
      <c r="C65" s="42" t="s">
        <v>49</v>
      </c>
      <c r="D65" s="42" t="s">
        <v>299</v>
      </c>
      <c r="E65" s="14"/>
      <c r="F65" s="71">
        <v>3846194</v>
      </c>
      <c r="G65" s="42" t="s">
        <v>50</v>
      </c>
      <c r="H65" s="31">
        <v>20101973922</v>
      </c>
      <c r="I65" s="138" t="str">
        <f>IF(H65="","",VLOOKUP(H65,[1]ENTIDAD!$B$2:$C$605,2,0))</f>
        <v>ASOCIACION AUTOMOTRIZ DEL PERU</v>
      </c>
      <c r="J65" s="11"/>
      <c r="K65" s="11"/>
      <c r="L65" s="11"/>
      <c r="M65" s="11"/>
      <c r="N65" s="11">
        <f t="shared" si="4"/>
        <v>56.610169491525426</v>
      </c>
      <c r="O65" s="11">
        <f t="shared" si="1"/>
        <v>10.189830508474577</v>
      </c>
      <c r="P65" s="11">
        <v>0</v>
      </c>
      <c r="Q65" s="11"/>
      <c r="R65" s="11">
        <v>66.8</v>
      </c>
      <c r="S65" s="11">
        <v>66.8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33">
        <v>46184</v>
      </c>
      <c r="AE65" s="34" t="s">
        <v>465</v>
      </c>
      <c r="AF65" s="37" t="s">
        <v>550</v>
      </c>
      <c r="AG65" s="14" t="s">
        <v>513</v>
      </c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566</v>
      </c>
      <c r="AT65" s="14"/>
      <c r="AU65" s="11"/>
      <c r="AV65" s="14"/>
    </row>
    <row r="66" spans="1:48" s="45" customFormat="1" ht="15" x14ac:dyDescent="0.25">
      <c r="A66" s="13">
        <v>46153</v>
      </c>
      <c r="B66" s="72">
        <f t="shared" si="5"/>
        <v>46184</v>
      </c>
      <c r="C66" s="42" t="s">
        <v>49</v>
      </c>
      <c r="D66" s="42" t="s">
        <v>299</v>
      </c>
      <c r="E66" s="14"/>
      <c r="F66" s="71">
        <v>3846195</v>
      </c>
      <c r="G66" s="42" t="s">
        <v>50</v>
      </c>
      <c r="H66" s="31">
        <v>20101973922</v>
      </c>
      <c r="I66" s="138" t="str">
        <f>IF(H66="","",VLOOKUP(H66,[1]ENTIDAD!$B$2:$C$605,2,0))</f>
        <v>ASOCIACION AUTOMOTRIZ DEL PERU</v>
      </c>
      <c r="J66" s="11"/>
      <c r="K66" s="11"/>
      <c r="L66" s="11"/>
      <c r="M66" s="11"/>
      <c r="N66" s="11">
        <f t="shared" si="4"/>
        <v>56.610169491525426</v>
      </c>
      <c r="O66" s="11">
        <f t="shared" si="1"/>
        <v>10.189830508474577</v>
      </c>
      <c r="P66" s="11">
        <v>0</v>
      </c>
      <c r="Q66" s="11"/>
      <c r="R66" s="11">
        <v>66.8</v>
      </c>
      <c r="S66" s="11">
        <v>66.8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>
        <v>46184</v>
      </c>
      <c r="AE66" s="34" t="s">
        <v>465</v>
      </c>
      <c r="AF66" s="37" t="s">
        <v>550</v>
      </c>
      <c r="AG66" s="14" t="s">
        <v>513</v>
      </c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566</v>
      </c>
      <c r="AT66" s="14"/>
      <c r="AU66" s="11"/>
      <c r="AV66" s="14"/>
    </row>
    <row r="67" spans="1:48" s="45" customFormat="1" ht="15" x14ac:dyDescent="0.25">
      <c r="A67" s="13">
        <v>46153</v>
      </c>
      <c r="B67" s="72">
        <f t="shared" si="5"/>
        <v>46184</v>
      </c>
      <c r="C67" s="42" t="s">
        <v>49</v>
      </c>
      <c r="D67" s="42" t="s">
        <v>299</v>
      </c>
      <c r="E67" s="14"/>
      <c r="F67" s="71">
        <v>3846196</v>
      </c>
      <c r="G67" s="42" t="s">
        <v>50</v>
      </c>
      <c r="H67" s="31">
        <v>20101973922</v>
      </c>
      <c r="I67" s="138" t="str">
        <f>IF(H67="","",VLOOKUP(H67,[1]ENTIDAD!$B$2:$C$605,2,0))</f>
        <v>ASOCIACION AUTOMOTRIZ DEL PERU</v>
      </c>
      <c r="J67" s="11"/>
      <c r="K67" s="11"/>
      <c r="L67" s="11"/>
      <c r="M67" s="11"/>
      <c r="N67" s="11">
        <f t="shared" si="4"/>
        <v>56.610169491525426</v>
      </c>
      <c r="O67" s="11">
        <f t="shared" si="1"/>
        <v>10.189830508474577</v>
      </c>
      <c r="P67" s="11">
        <v>0</v>
      </c>
      <c r="Q67" s="11"/>
      <c r="R67" s="11">
        <v>66.8</v>
      </c>
      <c r="S67" s="11">
        <v>66.8</v>
      </c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33">
        <v>46184</v>
      </c>
      <c r="AE67" s="34" t="s">
        <v>465</v>
      </c>
      <c r="AF67" s="37" t="s">
        <v>550</v>
      </c>
      <c r="AG67" s="14" t="s">
        <v>513</v>
      </c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 t="s">
        <v>566</v>
      </c>
      <c r="AT67" s="14"/>
      <c r="AU67" s="11"/>
      <c r="AV67" s="14"/>
    </row>
    <row r="68" spans="1:48" s="45" customFormat="1" ht="15" x14ac:dyDescent="0.25">
      <c r="A68" s="13">
        <v>46153</v>
      </c>
      <c r="B68" s="72">
        <f t="shared" si="5"/>
        <v>46184</v>
      </c>
      <c r="C68" s="42" t="s">
        <v>49</v>
      </c>
      <c r="D68" s="42" t="s">
        <v>299</v>
      </c>
      <c r="E68" s="14"/>
      <c r="F68" s="71">
        <v>3846197</v>
      </c>
      <c r="G68" s="42" t="s">
        <v>50</v>
      </c>
      <c r="H68" s="31">
        <v>20101973922</v>
      </c>
      <c r="I68" s="138" t="str">
        <f>IF(H68="","",VLOOKUP(H68,[1]ENTIDAD!$B$2:$C$605,2,0))</f>
        <v>ASOCIACION AUTOMOTRIZ DEL PERU</v>
      </c>
      <c r="J68" s="11"/>
      <c r="K68" s="11"/>
      <c r="L68" s="11"/>
      <c r="M68" s="11"/>
      <c r="N68" s="11">
        <f t="shared" si="4"/>
        <v>56.610169491525426</v>
      </c>
      <c r="O68" s="11">
        <f t="shared" ref="O68:O130" si="6">N68*0.18</f>
        <v>10.189830508474577</v>
      </c>
      <c r="P68" s="11">
        <v>0</v>
      </c>
      <c r="Q68" s="11"/>
      <c r="R68" s="11">
        <v>66.8</v>
      </c>
      <c r="S68" s="11">
        <v>66.8</v>
      </c>
      <c r="T68" s="14"/>
      <c r="U68" s="14"/>
      <c r="V68" s="13"/>
      <c r="W68" s="15"/>
      <c r="X68" s="13"/>
      <c r="Y68" s="14"/>
      <c r="Z68" s="14"/>
      <c r="AA68" s="14"/>
      <c r="AB68" s="42" t="s">
        <v>224</v>
      </c>
      <c r="AC68" s="11"/>
      <c r="AD68" s="33">
        <v>46184</v>
      </c>
      <c r="AE68" s="34" t="s">
        <v>465</v>
      </c>
      <c r="AF68" s="37" t="s">
        <v>550</v>
      </c>
      <c r="AG68" s="14" t="s">
        <v>513</v>
      </c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566</v>
      </c>
      <c r="AT68" s="14"/>
      <c r="AU68" s="11"/>
      <c r="AV68" s="14"/>
    </row>
    <row r="69" spans="1:48" s="45" customFormat="1" ht="15" x14ac:dyDescent="0.25">
      <c r="A69" s="13">
        <v>46153</v>
      </c>
      <c r="B69" s="72">
        <f t="shared" si="5"/>
        <v>46184</v>
      </c>
      <c r="C69" s="42" t="s">
        <v>49</v>
      </c>
      <c r="D69" s="42" t="s">
        <v>299</v>
      </c>
      <c r="E69" s="14"/>
      <c r="F69" s="71">
        <v>3846198</v>
      </c>
      <c r="G69" s="42" t="s">
        <v>50</v>
      </c>
      <c r="H69" s="31">
        <v>20101973922</v>
      </c>
      <c r="I69" s="138" t="str">
        <f>IF(H69="","",VLOOKUP(H69,[1]ENTIDAD!$B$2:$C$605,2,0))</f>
        <v>ASOCIACION AUTOMOTRIZ DEL PERU</v>
      </c>
      <c r="J69" s="11"/>
      <c r="K69" s="11"/>
      <c r="L69" s="11"/>
      <c r="M69" s="11"/>
      <c r="N69" s="11">
        <f t="shared" si="4"/>
        <v>56.610169491525426</v>
      </c>
      <c r="O69" s="11">
        <f t="shared" si="6"/>
        <v>10.189830508474577</v>
      </c>
      <c r="P69" s="11">
        <v>0</v>
      </c>
      <c r="Q69" s="11"/>
      <c r="R69" s="11">
        <v>66.8</v>
      </c>
      <c r="S69" s="11">
        <v>66.8</v>
      </c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33">
        <v>46184</v>
      </c>
      <c r="AE69" s="34" t="s">
        <v>465</v>
      </c>
      <c r="AF69" s="37" t="s">
        <v>550</v>
      </c>
      <c r="AG69" s="14" t="s">
        <v>513</v>
      </c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566</v>
      </c>
      <c r="AT69" s="14"/>
      <c r="AU69" s="11"/>
      <c r="AV69" s="14"/>
    </row>
    <row r="70" spans="1:48" s="45" customFormat="1" ht="15" x14ac:dyDescent="0.25">
      <c r="A70" s="13">
        <v>46153</v>
      </c>
      <c r="B70" s="72">
        <f t="shared" si="5"/>
        <v>46184</v>
      </c>
      <c r="C70" s="42" t="s">
        <v>49</v>
      </c>
      <c r="D70" s="42" t="s">
        <v>299</v>
      </c>
      <c r="E70" s="14"/>
      <c r="F70" s="71">
        <v>3846199</v>
      </c>
      <c r="G70" s="42" t="s">
        <v>50</v>
      </c>
      <c r="H70" s="31">
        <v>20101973922</v>
      </c>
      <c r="I70" s="138" t="str">
        <f>IF(H70="","",VLOOKUP(H70,[1]ENTIDAD!$B$2:$C$605,2,0))</f>
        <v>ASOCIACION AUTOMOTRIZ DEL PERU</v>
      </c>
      <c r="J70" s="11"/>
      <c r="K70" s="11"/>
      <c r="L70" s="11"/>
      <c r="M70" s="11"/>
      <c r="N70" s="11">
        <f t="shared" si="4"/>
        <v>56.610169491525426</v>
      </c>
      <c r="O70" s="11">
        <f t="shared" si="6"/>
        <v>10.189830508474577</v>
      </c>
      <c r="P70" s="11">
        <v>0</v>
      </c>
      <c r="Q70" s="11"/>
      <c r="R70" s="11">
        <v>66.8</v>
      </c>
      <c r="S70" s="11">
        <v>66.8</v>
      </c>
      <c r="T70" s="14"/>
      <c r="U70" s="14"/>
      <c r="V70" s="13"/>
      <c r="W70" s="15"/>
      <c r="X70" s="13"/>
      <c r="Y70" s="14"/>
      <c r="Z70" s="14"/>
      <c r="AA70" s="14"/>
      <c r="AB70" s="42" t="s">
        <v>224</v>
      </c>
      <c r="AC70" s="11"/>
      <c r="AD70" s="33">
        <v>46184</v>
      </c>
      <c r="AE70" s="34" t="s">
        <v>465</v>
      </c>
      <c r="AF70" s="37" t="s">
        <v>550</v>
      </c>
      <c r="AG70" s="14" t="s">
        <v>513</v>
      </c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566</v>
      </c>
      <c r="AT70" s="14"/>
      <c r="AU70" s="11"/>
      <c r="AV70" s="14"/>
    </row>
    <row r="71" spans="1:48" s="45" customFormat="1" ht="15" x14ac:dyDescent="0.25">
      <c r="A71" s="13">
        <v>46153</v>
      </c>
      <c r="B71" s="72">
        <f t="shared" si="5"/>
        <v>46184</v>
      </c>
      <c r="C71" s="42" t="s">
        <v>49</v>
      </c>
      <c r="D71" s="42" t="s">
        <v>299</v>
      </c>
      <c r="E71" s="14"/>
      <c r="F71" s="71">
        <v>3846200</v>
      </c>
      <c r="G71" s="42" t="s">
        <v>50</v>
      </c>
      <c r="H71" s="31">
        <v>20101973922</v>
      </c>
      <c r="I71" s="138" t="str">
        <f>IF(H71="","",VLOOKUP(H71,[1]ENTIDAD!$B$2:$C$605,2,0))</f>
        <v>ASOCIACION AUTOMOTRIZ DEL PERU</v>
      </c>
      <c r="J71" s="11"/>
      <c r="K71" s="11"/>
      <c r="L71" s="11"/>
      <c r="M71" s="11"/>
      <c r="N71" s="11">
        <f t="shared" si="4"/>
        <v>56.610169491525426</v>
      </c>
      <c r="O71" s="11">
        <f t="shared" si="6"/>
        <v>10.189830508474577</v>
      </c>
      <c r="P71" s="11">
        <v>0</v>
      </c>
      <c r="Q71" s="11"/>
      <c r="R71" s="11">
        <v>66.8</v>
      </c>
      <c r="S71" s="11">
        <v>66.8</v>
      </c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33">
        <v>46184</v>
      </c>
      <c r="AE71" s="34" t="s">
        <v>465</v>
      </c>
      <c r="AF71" s="37" t="s">
        <v>550</v>
      </c>
      <c r="AG71" s="14" t="s">
        <v>513</v>
      </c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566</v>
      </c>
      <c r="AT71" s="14"/>
      <c r="AU71" s="11"/>
      <c r="AV71" s="14"/>
    </row>
    <row r="72" spans="1:48" s="45" customFormat="1" ht="15" x14ac:dyDescent="0.25">
      <c r="A72" s="13">
        <v>46153</v>
      </c>
      <c r="B72" s="72">
        <f t="shared" si="5"/>
        <v>46184</v>
      </c>
      <c r="C72" s="42" t="s">
        <v>49</v>
      </c>
      <c r="D72" s="42" t="s">
        <v>299</v>
      </c>
      <c r="E72" s="14"/>
      <c r="F72" s="71">
        <v>3846201</v>
      </c>
      <c r="G72" s="42" t="s">
        <v>50</v>
      </c>
      <c r="H72" s="31">
        <v>20101973922</v>
      </c>
      <c r="I72" s="138" t="str">
        <f>IF(H72="","",VLOOKUP(H72,[1]ENTIDAD!$B$2:$C$605,2,0))</f>
        <v>ASOCIACION AUTOMOTRIZ DEL PERU</v>
      </c>
      <c r="J72" s="11"/>
      <c r="K72" s="11"/>
      <c r="L72" s="11"/>
      <c r="M72" s="11"/>
      <c r="N72" s="11">
        <f t="shared" si="4"/>
        <v>56.610169491525426</v>
      </c>
      <c r="O72" s="11">
        <f t="shared" si="6"/>
        <v>10.189830508474577</v>
      </c>
      <c r="P72" s="11">
        <v>0</v>
      </c>
      <c r="Q72" s="11"/>
      <c r="R72" s="11">
        <v>66.8</v>
      </c>
      <c r="S72" s="11">
        <v>66.8</v>
      </c>
      <c r="T72" s="14"/>
      <c r="U72" s="14"/>
      <c r="V72" s="13"/>
      <c r="W72" s="15"/>
      <c r="X72" s="13"/>
      <c r="Y72" s="14"/>
      <c r="Z72" s="14"/>
      <c r="AA72" s="14"/>
      <c r="AB72" s="42" t="s">
        <v>224</v>
      </c>
      <c r="AC72" s="11"/>
      <c r="AD72" s="33">
        <v>46184</v>
      </c>
      <c r="AE72" s="34" t="s">
        <v>465</v>
      </c>
      <c r="AF72" s="37" t="s">
        <v>550</v>
      </c>
      <c r="AG72" s="14" t="s">
        <v>513</v>
      </c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566</v>
      </c>
      <c r="AT72" s="14"/>
      <c r="AU72" s="11"/>
      <c r="AV72" s="14"/>
    </row>
    <row r="73" spans="1:48" s="45" customFormat="1" ht="15" x14ac:dyDescent="0.25">
      <c r="A73" s="13">
        <v>46153</v>
      </c>
      <c r="B73" s="72">
        <f t="shared" si="5"/>
        <v>46184</v>
      </c>
      <c r="C73" s="42" t="s">
        <v>49</v>
      </c>
      <c r="D73" s="42" t="s">
        <v>299</v>
      </c>
      <c r="E73" s="14"/>
      <c r="F73" s="71">
        <v>3846202</v>
      </c>
      <c r="G73" s="42" t="s">
        <v>50</v>
      </c>
      <c r="H73" s="31">
        <v>20101973922</v>
      </c>
      <c r="I73" s="138" t="str">
        <f>IF(H73="","",VLOOKUP(H73,[1]ENTIDAD!$B$2:$C$605,2,0))</f>
        <v>ASOCIACION AUTOMOTRIZ DEL PERU</v>
      </c>
      <c r="J73" s="11"/>
      <c r="K73" s="11"/>
      <c r="L73" s="11"/>
      <c r="M73" s="11"/>
      <c r="N73" s="11">
        <f t="shared" si="4"/>
        <v>56.610169491525426</v>
      </c>
      <c r="O73" s="11">
        <f t="shared" si="6"/>
        <v>10.189830508474577</v>
      </c>
      <c r="P73" s="11">
        <v>0</v>
      </c>
      <c r="Q73" s="11"/>
      <c r="R73" s="11">
        <v>66.8</v>
      </c>
      <c r="S73" s="11">
        <v>66.8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>
        <v>46184</v>
      </c>
      <c r="AE73" s="34" t="s">
        <v>465</v>
      </c>
      <c r="AF73" s="37" t="s">
        <v>550</v>
      </c>
      <c r="AG73" s="14" t="s">
        <v>513</v>
      </c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566</v>
      </c>
      <c r="AT73" s="14"/>
      <c r="AU73" s="11"/>
      <c r="AV73" s="14"/>
    </row>
    <row r="74" spans="1:48" s="45" customFormat="1" ht="15" x14ac:dyDescent="0.25">
      <c r="A74" s="13">
        <v>46153</v>
      </c>
      <c r="B74" s="72">
        <f t="shared" si="5"/>
        <v>46184</v>
      </c>
      <c r="C74" s="42" t="s">
        <v>49</v>
      </c>
      <c r="D74" s="42" t="s">
        <v>299</v>
      </c>
      <c r="E74" s="14"/>
      <c r="F74" s="71">
        <v>3846203</v>
      </c>
      <c r="G74" s="42" t="s">
        <v>50</v>
      </c>
      <c r="H74" s="31">
        <v>20101973922</v>
      </c>
      <c r="I74" s="138" t="str">
        <f>IF(H74="","",VLOOKUP(H74,[1]ENTIDAD!$B$2:$C$605,2,0))</f>
        <v>ASOCIACION AUTOMOTRIZ DEL PERU</v>
      </c>
      <c r="J74" s="11"/>
      <c r="K74" s="11"/>
      <c r="L74" s="11"/>
      <c r="M74" s="11"/>
      <c r="N74" s="11">
        <f t="shared" si="4"/>
        <v>56.610169491525426</v>
      </c>
      <c r="O74" s="11">
        <f t="shared" si="6"/>
        <v>10.189830508474577</v>
      </c>
      <c r="P74" s="11">
        <v>0</v>
      </c>
      <c r="Q74" s="11"/>
      <c r="R74" s="11">
        <v>66.8</v>
      </c>
      <c r="S74" s="11">
        <v>66.8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33">
        <v>46184</v>
      </c>
      <c r="AE74" s="34" t="s">
        <v>465</v>
      </c>
      <c r="AF74" s="37" t="s">
        <v>550</v>
      </c>
      <c r="AG74" s="14" t="s">
        <v>513</v>
      </c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566</v>
      </c>
      <c r="AT74" s="14"/>
      <c r="AU74" s="11"/>
      <c r="AV74" s="14"/>
    </row>
    <row r="75" spans="1:48" s="45" customFormat="1" ht="15" x14ac:dyDescent="0.25">
      <c r="A75" s="13">
        <v>46153</v>
      </c>
      <c r="B75" s="72">
        <f t="shared" si="5"/>
        <v>46184</v>
      </c>
      <c r="C75" s="42" t="s">
        <v>49</v>
      </c>
      <c r="D75" s="42" t="s">
        <v>299</v>
      </c>
      <c r="E75" s="14"/>
      <c r="F75" s="71">
        <v>3846204</v>
      </c>
      <c r="G75" s="42" t="s">
        <v>50</v>
      </c>
      <c r="H75" s="31">
        <v>20101973922</v>
      </c>
      <c r="I75" s="138" t="str">
        <f>IF(H75="","",VLOOKUP(H75,[1]ENTIDAD!$B$2:$C$605,2,0))</f>
        <v>ASOCIACION AUTOMOTRIZ DEL PERU</v>
      </c>
      <c r="J75" s="11"/>
      <c r="K75" s="11"/>
      <c r="L75" s="11"/>
      <c r="M75" s="11"/>
      <c r="N75" s="11">
        <f t="shared" si="4"/>
        <v>56.610169491525426</v>
      </c>
      <c r="O75" s="11">
        <f t="shared" si="6"/>
        <v>10.189830508474577</v>
      </c>
      <c r="P75" s="11">
        <v>0</v>
      </c>
      <c r="Q75" s="11"/>
      <c r="R75" s="11">
        <v>66.8</v>
      </c>
      <c r="S75" s="11">
        <v>66.8</v>
      </c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>
        <v>46184</v>
      </c>
      <c r="AE75" s="34" t="s">
        <v>465</v>
      </c>
      <c r="AF75" s="37" t="s">
        <v>550</v>
      </c>
      <c r="AG75" s="14" t="s">
        <v>513</v>
      </c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566</v>
      </c>
      <c r="AT75" s="14"/>
      <c r="AU75" s="11"/>
      <c r="AV75" s="14"/>
    </row>
    <row r="76" spans="1:48" s="45" customFormat="1" ht="15" x14ac:dyDescent="0.25">
      <c r="A76" s="13">
        <v>46153</v>
      </c>
      <c r="B76" s="72">
        <f t="shared" si="5"/>
        <v>46184</v>
      </c>
      <c r="C76" s="42" t="s">
        <v>49</v>
      </c>
      <c r="D76" s="42" t="s">
        <v>299</v>
      </c>
      <c r="E76" s="14"/>
      <c r="F76" s="71">
        <v>3846205</v>
      </c>
      <c r="G76" s="42" t="s">
        <v>50</v>
      </c>
      <c r="H76" s="31">
        <v>20101973922</v>
      </c>
      <c r="I76" s="138" t="str">
        <f>IF(H76="","",VLOOKUP(H76,[1]ENTIDAD!$B$2:$C$605,2,0))</f>
        <v>ASOCIACION AUTOMOTRIZ DEL PERU</v>
      </c>
      <c r="J76" s="11"/>
      <c r="K76" s="11"/>
      <c r="L76" s="11"/>
      <c r="M76" s="11"/>
      <c r="N76" s="11">
        <f t="shared" si="4"/>
        <v>56.610169491525426</v>
      </c>
      <c r="O76" s="11">
        <f t="shared" si="6"/>
        <v>10.189830508474577</v>
      </c>
      <c r="P76" s="11">
        <v>0</v>
      </c>
      <c r="Q76" s="11"/>
      <c r="R76" s="11">
        <v>66.8</v>
      </c>
      <c r="S76" s="11">
        <v>66.8</v>
      </c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>
        <v>46184</v>
      </c>
      <c r="AE76" s="34" t="s">
        <v>465</v>
      </c>
      <c r="AF76" s="37" t="s">
        <v>550</v>
      </c>
      <c r="AG76" s="14" t="s">
        <v>513</v>
      </c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566</v>
      </c>
      <c r="AT76" s="14"/>
      <c r="AU76" s="11"/>
      <c r="AV76" s="14"/>
    </row>
    <row r="77" spans="1:48" s="45" customFormat="1" ht="15" x14ac:dyDescent="0.25">
      <c r="A77" s="13">
        <v>46153</v>
      </c>
      <c r="B77" s="72">
        <f t="shared" si="5"/>
        <v>46184</v>
      </c>
      <c r="C77" s="42" t="s">
        <v>49</v>
      </c>
      <c r="D77" s="42" t="s">
        <v>299</v>
      </c>
      <c r="E77" s="14"/>
      <c r="F77" s="71">
        <v>3846206</v>
      </c>
      <c r="G77" s="42" t="s">
        <v>50</v>
      </c>
      <c r="H77" s="31">
        <v>20101973922</v>
      </c>
      <c r="I77" s="138" t="str">
        <f>IF(H77="","",VLOOKUP(H77,[1]ENTIDAD!$B$2:$C$605,2,0))</f>
        <v>ASOCIACION AUTOMOTRIZ DEL PERU</v>
      </c>
      <c r="J77" s="11"/>
      <c r="K77" s="11"/>
      <c r="L77" s="11"/>
      <c r="M77" s="11"/>
      <c r="N77" s="11">
        <f t="shared" si="4"/>
        <v>56.610169491525426</v>
      </c>
      <c r="O77" s="11">
        <f t="shared" si="6"/>
        <v>10.189830508474577</v>
      </c>
      <c r="P77" s="11">
        <v>0</v>
      </c>
      <c r="Q77" s="11"/>
      <c r="R77" s="11">
        <v>66.8</v>
      </c>
      <c r="S77" s="11">
        <v>66.8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>
        <v>46184</v>
      </c>
      <c r="AE77" s="34" t="s">
        <v>465</v>
      </c>
      <c r="AF77" s="37" t="s">
        <v>550</v>
      </c>
      <c r="AG77" s="14" t="s">
        <v>513</v>
      </c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566</v>
      </c>
      <c r="AT77" s="14"/>
      <c r="AU77" s="11"/>
      <c r="AV77" s="14"/>
    </row>
    <row r="78" spans="1:48" s="45" customFormat="1" ht="15" x14ac:dyDescent="0.25">
      <c r="A78" s="13">
        <v>46153</v>
      </c>
      <c r="B78" s="72">
        <f t="shared" si="5"/>
        <v>46184</v>
      </c>
      <c r="C78" s="42" t="s">
        <v>49</v>
      </c>
      <c r="D78" s="42" t="s">
        <v>299</v>
      </c>
      <c r="E78" s="14"/>
      <c r="F78" s="71">
        <v>3846207</v>
      </c>
      <c r="G78" s="42" t="s">
        <v>50</v>
      </c>
      <c r="H78" s="31">
        <v>20101973922</v>
      </c>
      <c r="I78" s="138" t="str">
        <f>IF(H78="","",VLOOKUP(H78,[1]ENTIDAD!$B$2:$C$605,2,0))</f>
        <v>ASOCIACION AUTOMOTRIZ DEL PERU</v>
      </c>
      <c r="J78" s="11"/>
      <c r="K78" s="11"/>
      <c r="L78" s="11"/>
      <c r="M78" s="11"/>
      <c r="N78" s="11">
        <f t="shared" si="4"/>
        <v>56.610169491525426</v>
      </c>
      <c r="O78" s="11">
        <f t="shared" si="6"/>
        <v>10.189830508474577</v>
      </c>
      <c r="P78" s="11">
        <v>0</v>
      </c>
      <c r="Q78" s="11"/>
      <c r="R78" s="11">
        <v>66.8</v>
      </c>
      <c r="S78" s="11">
        <v>66.8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>
        <v>46184</v>
      </c>
      <c r="AE78" s="34" t="s">
        <v>465</v>
      </c>
      <c r="AF78" s="37" t="s">
        <v>550</v>
      </c>
      <c r="AG78" s="14" t="s">
        <v>513</v>
      </c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 t="s">
        <v>566</v>
      </c>
      <c r="AT78" s="14"/>
      <c r="AU78" s="11"/>
      <c r="AV78" s="14"/>
    </row>
    <row r="79" spans="1:48" s="45" customFormat="1" ht="15" x14ac:dyDescent="0.25">
      <c r="A79" s="13">
        <v>46153</v>
      </c>
      <c r="B79" s="72">
        <f t="shared" si="5"/>
        <v>46184</v>
      </c>
      <c r="C79" s="42" t="s">
        <v>49</v>
      </c>
      <c r="D79" s="42" t="s">
        <v>299</v>
      </c>
      <c r="E79" s="14"/>
      <c r="F79" s="71">
        <v>3846208</v>
      </c>
      <c r="G79" s="42" t="s">
        <v>50</v>
      </c>
      <c r="H79" s="31">
        <v>20101973922</v>
      </c>
      <c r="I79" s="138" t="str">
        <f>IF(H79="","",VLOOKUP(H79,[1]ENTIDAD!$B$2:$C$605,2,0))</f>
        <v>ASOCIACION AUTOMOTRIZ DEL PERU</v>
      </c>
      <c r="J79" s="11"/>
      <c r="K79" s="11"/>
      <c r="L79" s="11"/>
      <c r="M79" s="11"/>
      <c r="N79" s="11">
        <f t="shared" si="4"/>
        <v>56.610169491525426</v>
      </c>
      <c r="O79" s="11">
        <f t="shared" si="6"/>
        <v>10.189830508474577</v>
      </c>
      <c r="P79" s="11">
        <v>0</v>
      </c>
      <c r="Q79" s="11"/>
      <c r="R79" s="11">
        <v>66.8</v>
      </c>
      <c r="S79" s="11">
        <v>66.8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>
        <v>46184</v>
      </c>
      <c r="AE79" s="34" t="s">
        <v>465</v>
      </c>
      <c r="AF79" s="37" t="s">
        <v>550</v>
      </c>
      <c r="AG79" s="14" t="s">
        <v>513</v>
      </c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566</v>
      </c>
      <c r="AT79" s="14"/>
      <c r="AU79" s="11"/>
      <c r="AV79" s="14"/>
    </row>
    <row r="80" spans="1:48" s="45" customFormat="1" ht="15.75" customHeight="1" x14ac:dyDescent="0.25">
      <c r="A80" s="13">
        <v>46153</v>
      </c>
      <c r="B80" s="72">
        <f t="shared" si="5"/>
        <v>46184</v>
      </c>
      <c r="C80" s="42" t="s">
        <v>49</v>
      </c>
      <c r="D80" s="42" t="s">
        <v>299</v>
      </c>
      <c r="E80" s="14"/>
      <c r="F80" s="71">
        <v>3846209</v>
      </c>
      <c r="G80" s="42" t="s">
        <v>50</v>
      </c>
      <c r="H80" s="31">
        <v>20101973922</v>
      </c>
      <c r="I80" s="138" t="str">
        <f>IF(H80="","",VLOOKUP(H80,[1]ENTIDAD!$B$2:$C$605,2,0))</f>
        <v>ASOCIACION AUTOMOTRIZ DEL PERU</v>
      </c>
      <c r="J80" s="11"/>
      <c r="K80" s="11"/>
      <c r="L80" s="11"/>
      <c r="M80" s="11"/>
      <c r="N80" s="11">
        <f t="shared" si="4"/>
        <v>56.610169491525426</v>
      </c>
      <c r="O80" s="11">
        <f t="shared" si="6"/>
        <v>10.189830508474577</v>
      </c>
      <c r="P80" s="11">
        <v>0</v>
      </c>
      <c r="Q80" s="11"/>
      <c r="R80" s="11">
        <v>66.8</v>
      </c>
      <c r="S80" s="11">
        <v>66.8</v>
      </c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33">
        <v>46184</v>
      </c>
      <c r="AE80" s="34" t="s">
        <v>465</v>
      </c>
      <c r="AF80" s="37" t="s">
        <v>550</v>
      </c>
      <c r="AG80" s="14" t="s">
        <v>513</v>
      </c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 t="s">
        <v>566</v>
      </c>
      <c r="AT80" s="14"/>
      <c r="AU80" s="11"/>
      <c r="AV80" s="14"/>
    </row>
    <row r="81" spans="1:49" s="45" customFormat="1" ht="15" x14ac:dyDescent="0.25">
      <c r="A81" s="13">
        <v>46153</v>
      </c>
      <c r="B81" s="72">
        <f t="shared" si="5"/>
        <v>46184</v>
      </c>
      <c r="C81" s="42" t="s">
        <v>49</v>
      </c>
      <c r="D81" s="42" t="s">
        <v>299</v>
      </c>
      <c r="E81" s="14"/>
      <c r="F81" s="71">
        <v>3846210</v>
      </c>
      <c r="G81" s="42" t="s">
        <v>50</v>
      </c>
      <c r="H81" s="31">
        <v>20101973922</v>
      </c>
      <c r="I81" s="138" t="str">
        <f>IF(H81="","",VLOOKUP(H81,[1]ENTIDAD!$B$2:$C$605,2,0))</f>
        <v>ASOCIACION AUTOMOTRIZ DEL PERU</v>
      </c>
      <c r="J81" s="11"/>
      <c r="K81" s="11"/>
      <c r="L81" s="11"/>
      <c r="M81" s="11"/>
      <c r="N81" s="11">
        <f t="shared" si="4"/>
        <v>56.610169491525426</v>
      </c>
      <c r="O81" s="11">
        <f t="shared" si="6"/>
        <v>10.189830508474577</v>
      </c>
      <c r="P81" s="11">
        <v>0</v>
      </c>
      <c r="Q81" s="11"/>
      <c r="R81" s="11">
        <v>66.8</v>
      </c>
      <c r="S81" s="11">
        <v>66.8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33">
        <v>46184</v>
      </c>
      <c r="AE81" s="34" t="s">
        <v>465</v>
      </c>
      <c r="AF81" s="37" t="s">
        <v>550</v>
      </c>
      <c r="AG81" s="14" t="s">
        <v>513</v>
      </c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566</v>
      </c>
      <c r="AT81" s="14"/>
      <c r="AU81" s="11"/>
      <c r="AV81" s="14"/>
    </row>
    <row r="82" spans="1:49" s="45" customFormat="1" ht="15" x14ac:dyDescent="0.25">
      <c r="A82" s="13">
        <v>46153</v>
      </c>
      <c r="B82" s="72">
        <f t="shared" si="5"/>
        <v>46184</v>
      </c>
      <c r="C82" s="42" t="s">
        <v>49</v>
      </c>
      <c r="D82" s="42" t="s">
        <v>299</v>
      </c>
      <c r="E82" s="14"/>
      <c r="F82" s="71">
        <v>3846211</v>
      </c>
      <c r="G82" s="42" t="s">
        <v>50</v>
      </c>
      <c r="H82" s="31">
        <v>20101973922</v>
      </c>
      <c r="I82" s="138" t="str">
        <f>IF(H82="","",VLOOKUP(H82,[1]ENTIDAD!$B$2:$C$605,2,0))</f>
        <v>ASOCIACION AUTOMOTRIZ DEL PERU</v>
      </c>
      <c r="J82" s="11"/>
      <c r="K82" s="11"/>
      <c r="L82" s="11"/>
      <c r="M82" s="11"/>
      <c r="N82" s="11">
        <f t="shared" si="4"/>
        <v>56.610169491525426</v>
      </c>
      <c r="O82" s="11">
        <f t="shared" si="6"/>
        <v>10.189830508474577</v>
      </c>
      <c r="P82" s="11">
        <v>0</v>
      </c>
      <c r="Q82" s="11"/>
      <c r="R82" s="11">
        <v>66.8</v>
      </c>
      <c r="S82" s="11">
        <v>66.8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33">
        <v>46184</v>
      </c>
      <c r="AE82" s="34" t="s">
        <v>465</v>
      </c>
      <c r="AF82" s="37" t="s">
        <v>550</v>
      </c>
      <c r="AG82" s="14" t="s">
        <v>513</v>
      </c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566</v>
      </c>
      <c r="AT82" s="14"/>
      <c r="AU82" s="11"/>
      <c r="AV82" s="14"/>
    </row>
    <row r="83" spans="1:49" s="121" customFormat="1" ht="15" x14ac:dyDescent="0.25">
      <c r="A83" s="13">
        <v>46153</v>
      </c>
      <c r="B83" s="72">
        <f t="shared" si="5"/>
        <v>46184</v>
      </c>
      <c r="C83" s="42" t="s">
        <v>49</v>
      </c>
      <c r="D83" s="42" t="s">
        <v>299</v>
      </c>
      <c r="E83" s="14"/>
      <c r="F83" s="71">
        <v>3846212</v>
      </c>
      <c r="G83" s="42" t="s">
        <v>50</v>
      </c>
      <c r="H83" s="31">
        <v>20101973922</v>
      </c>
      <c r="I83" s="138" t="str">
        <f>IF(H83="","",VLOOKUP(H83,[1]ENTIDAD!$B$2:$C$605,2,0))</f>
        <v>ASOCIACION AUTOMOTRIZ DEL PERU</v>
      </c>
      <c r="J83" s="11"/>
      <c r="K83" s="11"/>
      <c r="L83" s="11"/>
      <c r="M83" s="11"/>
      <c r="N83" s="11">
        <f t="shared" si="4"/>
        <v>56.610169491525426</v>
      </c>
      <c r="O83" s="11">
        <f t="shared" si="6"/>
        <v>10.189830508474577</v>
      </c>
      <c r="P83" s="11">
        <v>0</v>
      </c>
      <c r="Q83" s="11"/>
      <c r="R83" s="11">
        <v>66.8</v>
      </c>
      <c r="S83" s="11">
        <v>66.8</v>
      </c>
      <c r="T83" s="14"/>
      <c r="U83" s="14"/>
      <c r="V83" s="13"/>
      <c r="W83" s="15"/>
      <c r="X83" s="13"/>
      <c r="Y83" s="14"/>
      <c r="Z83" s="14"/>
      <c r="AA83" s="14"/>
      <c r="AB83" s="42" t="s">
        <v>224</v>
      </c>
      <c r="AC83" s="11"/>
      <c r="AD83" s="33">
        <v>46184</v>
      </c>
      <c r="AE83" s="34" t="s">
        <v>465</v>
      </c>
      <c r="AF83" s="37" t="s">
        <v>550</v>
      </c>
      <c r="AG83" s="14" t="s">
        <v>513</v>
      </c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566</v>
      </c>
      <c r="AT83" s="14"/>
      <c r="AU83" s="11"/>
      <c r="AV83" s="14"/>
      <c r="AW83" s="45"/>
    </row>
    <row r="84" spans="1:49" s="45" customFormat="1" ht="15" x14ac:dyDescent="0.25">
      <c r="A84" s="13">
        <v>46153</v>
      </c>
      <c r="B84" s="72">
        <f t="shared" si="5"/>
        <v>46184</v>
      </c>
      <c r="C84" s="42" t="s">
        <v>49</v>
      </c>
      <c r="D84" s="42" t="s">
        <v>299</v>
      </c>
      <c r="E84" s="14"/>
      <c r="F84" s="71">
        <v>3846213</v>
      </c>
      <c r="G84" s="42" t="s">
        <v>50</v>
      </c>
      <c r="H84" s="31">
        <v>20101973922</v>
      </c>
      <c r="I84" s="138" t="str">
        <f>IF(H84="","",VLOOKUP(H84,[1]ENTIDAD!$B$2:$C$605,2,0))</f>
        <v>ASOCIACION AUTOMOTRIZ DEL PERU</v>
      </c>
      <c r="J84" s="11"/>
      <c r="K84" s="11"/>
      <c r="L84" s="11"/>
      <c r="M84" s="11"/>
      <c r="N84" s="11">
        <f t="shared" si="4"/>
        <v>56.610169491525426</v>
      </c>
      <c r="O84" s="11">
        <f t="shared" si="6"/>
        <v>10.189830508474577</v>
      </c>
      <c r="P84" s="11">
        <v>0</v>
      </c>
      <c r="Q84" s="11"/>
      <c r="R84" s="11">
        <v>66.8</v>
      </c>
      <c r="S84" s="11">
        <v>66.8</v>
      </c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33">
        <v>46184</v>
      </c>
      <c r="AE84" s="34" t="s">
        <v>465</v>
      </c>
      <c r="AF84" s="37" t="s">
        <v>550</v>
      </c>
      <c r="AG84" s="14" t="s">
        <v>513</v>
      </c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566</v>
      </c>
      <c r="AT84" s="14"/>
      <c r="AU84" s="11"/>
      <c r="AV84" s="14"/>
    </row>
    <row r="85" spans="1:49" s="45" customFormat="1" ht="15" x14ac:dyDescent="0.25">
      <c r="A85" s="13">
        <v>46153</v>
      </c>
      <c r="B85" s="72">
        <f t="shared" si="5"/>
        <v>46184</v>
      </c>
      <c r="C85" s="42" t="s">
        <v>49</v>
      </c>
      <c r="D85" s="42" t="s">
        <v>299</v>
      </c>
      <c r="E85" s="14"/>
      <c r="F85" s="71">
        <v>3846214</v>
      </c>
      <c r="G85" s="42" t="s">
        <v>50</v>
      </c>
      <c r="H85" s="31">
        <v>20101973922</v>
      </c>
      <c r="I85" s="138" t="str">
        <f>IF(H85="","",VLOOKUP(H85,[1]ENTIDAD!$B$2:$C$605,2,0))</f>
        <v>ASOCIACION AUTOMOTRIZ DEL PERU</v>
      </c>
      <c r="J85" s="11"/>
      <c r="K85" s="11"/>
      <c r="L85" s="11"/>
      <c r="M85" s="11"/>
      <c r="N85" s="11">
        <f t="shared" si="4"/>
        <v>56.610169491525426</v>
      </c>
      <c r="O85" s="11">
        <f t="shared" si="6"/>
        <v>10.189830508474577</v>
      </c>
      <c r="P85" s="11">
        <v>0</v>
      </c>
      <c r="Q85" s="11"/>
      <c r="R85" s="11">
        <v>66.8</v>
      </c>
      <c r="S85" s="11">
        <v>66.8</v>
      </c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>
        <v>46184</v>
      </c>
      <c r="AE85" s="34" t="s">
        <v>465</v>
      </c>
      <c r="AF85" s="37" t="s">
        <v>550</v>
      </c>
      <c r="AG85" s="14" t="s">
        <v>513</v>
      </c>
      <c r="AH85" s="1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 t="s">
        <v>566</v>
      </c>
      <c r="AT85" s="14"/>
      <c r="AU85" s="11"/>
      <c r="AV85" s="14"/>
    </row>
    <row r="86" spans="1:49" s="45" customFormat="1" ht="15" x14ac:dyDescent="0.25">
      <c r="A86" s="109">
        <v>46153</v>
      </c>
      <c r="B86" s="72">
        <f t="shared" si="5"/>
        <v>46184</v>
      </c>
      <c r="C86" s="111" t="s">
        <v>49</v>
      </c>
      <c r="D86" s="111" t="s">
        <v>299</v>
      </c>
      <c r="E86" s="112"/>
      <c r="F86" s="113">
        <v>3846215</v>
      </c>
      <c r="G86" s="111" t="s">
        <v>50</v>
      </c>
      <c r="H86" s="114">
        <v>20101973922</v>
      </c>
      <c r="I86" s="139" t="str">
        <f>IF(H86="","",VLOOKUP(H86,[1]ENTIDAD!$B$2:$C$605,2,0))</f>
        <v>ASOCIACION AUTOMOTRIZ DEL PERU</v>
      </c>
      <c r="J86" s="116"/>
      <c r="K86" s="116"/>
      <c r="L86" s="116"/>
      <c r="M86" s="116"/>
      <c r="N86" s="116">
        <f t="shared" si="4"/>
        <v>56.610169491525426</v>
      </c>
      <c r="O86" s="116">
        <f t="shared" si="6"/>
        <v>10.189830508474577</v>
      </c>
      <c r="P86" s="116">
        <v>0</v>
      </c>
      <c r="Q86" s="116"/>
      <c r="R86" s="11">
        <v>66.8</v>
      </c>
      <c r="S86" s="116">
        <v>66.8</v>
      </c>
      <c r="T86" s="112"/>
      <c r="U86" s="112"/>
      <c r="V86" s="109"/>
      <c r="W86" s="118"/>
      <c r="X86" s="109"/>
      <c r="Y86" s="112"/>
      <c r="Z86" s="112"/>
      <c r="AA86" s="112"/>
      <c r="AB86" s="111" t="s">
        <v>224</v>
      </c>
      <c r="AC86" s="116"/>
      <c r="AD86" s="33">
        <v>46184</v>
      </c>
      <c r="AE86" s="34" t="s">
        <v>465</v>
      </c>
      <c r="AF86" s="37" t="s">
        <v>550</v>
      </c>
      <c r="AG86" s="14" t="s">
        <v>513</v>
      </c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566</v>
      </c>
      <c r="AT86" s="112"/>
      <c r="AU86" s="116"/>
      <c r="AV86" s="112"/>
      <c r="AW86" s="121"/>
    </row>
    <row r="87" spans="1:49" s="45" customFormat="1" ht="15" x14ac:dyDescent="0.25">
      <c r="A87" s="173">
        <v>46154</v>
      </c>
      <c r="B87" s="203">
        <f t="shared" si="5"/>
        <v>46185</v>
      </c>
      <c r="C87" s="175" t="s">
        <v>49</v>
      </c>
      <c r="D87" s="175" t="s">
        <v>292</v>
      </c>
      <c r="E87" s="176"/>
      <c r="F87" s="177">
        <v>10</v>
      </c>
      <c r="G87" s="175" t="s">
        <v>50</v>
      </c>
      <c r="H87" s="204" t="s">
        <v>708</v>
      </c>
      <c r="I87" s="179" t="e">
        <f>IF(H87="","",VLOOKUP(H87,[1]ENTIDAD!$B$2:$C$605,2,0))</f>
        <v>#N/A</v>
      </c>
      <c r="J87" s="180"/>
      <c r="K87" s="180"/>
      <c r="L87" s="180"/>
      <c r="M87" s="180"/>
      <c r="N87" s="180">
        <f t="shared" si="4"/>
        <v>955.9406779661017</v>
      </c>
      <c r="O87" s="180">
        <f t="shared" si="6"/>
        <v>172.06932203389829</v>
      </c>
      <c r="P87" s="180">
        <v>0</v>
      </c>
      <c r="Q87" s="180"/>
      <c r="R87" s="180"/>
      <c r="S87" s="180">
        <v>1128.01</v>
      </c>
      <c r="T87" s="176"/>
      <c r="U87" s="176"/>
      <c r="V87" s="174"/>
      <c r="W87" s="181"/>
      <c r="X87" s="174"/>
      <c r="Y87" s="176"/>
      <c r="Z87" s="176"/>
      <c r="AA87" s="176"/>
      <c r="AB87" s="175" t="s">
        <v>224</v>
      </c>
      <c r="AC87" s="180"/>
      <c r="AD87" s="182">
        <v>46185</v>
      </c>
      <c r="AE87" s="18" t="s">
        <v>465</v>
      </c>
      <c r="AF87" s="205" t="s">
        <v>4625</v>
      </c>
      <c r="AG87" s="176"/>
      <c r="AH87" s="176" t="s">
        <v>225</v>
      </c>
      <c r="AI87" s="176"/>
      <c r="AJ87" s="176"/>
      <c r="AK87" s="183"/>
      <c r="AL87" s="180"/>
      <c r="AM87" s="180"/>
      <c r="AN87" s="176"/>
      <c r="AO87" s="176"/>
      <c r="AP87" s="174"/>
      <c r="AQ87" s="176"/>
      <c r="AR87" s="180">
        <v>18</v>
      </c>
      <c r="AS87" s="176" t="s">
        <v>6445</v>
      </c>
      <c r="AT87" s="14"/>
      <c r="AU87" s="11"/>
      <c r="AV87" s="14"/>
    </row>
    <row r="88" spans="1:49" s="45" customFormat="1" ht="15" x14ac:dyDescent="0.25">
      <c r="A88" s="46">
        <v>46154</v>
      </c>
      <c r="B88" s="72">
        <f t="shared" si="5"/>
        <v>46188</v>
      </c>
      <c r="C88" s="42" t="s">
        <v>49</v>
      </c>
      <c r="D88" s="42" t="s">
        <v>301</v>
      </c>
      <c r="E88" s="14"/>
      <c r="F88" s="71">
        <v>582</v>
      </c>
      <c r="G88" s="42" t="s">
        <v>50</v>
      </c>
      <c r="H88" s="31">
        <v>20602109225</v>
      </c>
      <c r="I88" s="138" t="str">
        <f>IF(H88="","",VLOOKUP(H88,[1]ENTIDAD!$B$2:$C$605,2,0))</f>
        <v>SISTEMA ECOLÓGICO INTEGRAL DE TECNOLOGÍAS E INFORMÁTICA SOCIEDAD ANONIMA CERRADA - ECO SITI S.A.C.</v>
      </c>
      <c r="J88" s="11"/>
      <c r="K88" s="11"/>
      <c r="L88" s="11"/>
      <c r="M88" s="11"/>
      <c r="N88" s="11">
        <f t="shared" si="4"/>
        <v>0</v>
      </c>
      <c r="O88" s="11">
        <f t="shared" si="6"/>
        <v>0</v>
      </c>
      <c r="P88" s="11">
        <v>119.5</v>
      </c>
      <c r="Q88" s="11"/>
      <c r="R88" s="11"/>
      <c r="S88" s="11">
        <v>119.5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33">
        <v>46188</v>
      </c>
      <c r="AE88" s="34" t="s">
        <v>465</v>
      </c>
      <c r="AF88" s="37" t="s">
        <v>696</v>
      </c>
      <c r="AG88" s="14" t="s">
        <v>513</v>
      </c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651</v>
      </c>
      <c r="AT88" s="14"/>
      <c r="AU88" s="11"/>
      <c r="AV88" s="14"/>
    </row>
    <row r="89" spans="1:49" s="45" customFormat="1" ht="15" x14ac:dyDescent="0.25">
      <c r="A89" s="46">
        <v>46154</v>
      </c>
      <c r="B89" s="72">
        <f t="shared" si="5"/>
        <v>46185</v>
      </c>
      <c r="C89" s="42" t="s">
        <v>49</v>
      </c>
      <c r="D89" s="42" t="s">
        <v>301</v>
      </c>
      <c r="E89" s="14"/>
      <c r="F89" s="86">
        <v>18203</v>
      </c>
      <c r="G89" s="42" t="s">
        <v>50</v>
      </c>
      <c r="H89" s="31">
        <v>20493508645</v>
      </c>
      <c r="I89" s="138" t="str">
        <f>IF(H89="","",VLOOKUP(H89,[1]ENTIDAD!$B$2:$C$605,2,0))</f>
        <v>HONDA SELVA DEL PERU S.A.</v>
      </c>
      <c r="J89" s="11"/>
      <c r="K89" s="11"/>
      <c r="L89" s="11"/>
      <c r="M89" s="11"/>
      <c r="N89" s="11">
        <f t="shared" si="4"/>
        <v>-4.0677966106899078E-3</v>
      </c>
      <c r="O89" s="11">
        <f t="shared" si="6"/>
        <v>-7.3220338992418339E-4</v>
      </c>
      <c r="P89" s="11">
        <v>6685.92</v>
      </c>
      <c r="Q89" s="11"/>
      <c r="R89" s="11"/>
      <c r="S89" s="11">
        <f>W89*AC89</f>
        <v>6685.9151999999995</v>
      </c>
      <c r="T89" s="14"/>
      <c r="U89" s="14"/>
      <c r="V89" s="13"/>
      <c r="W89" s="15">
        <v>3.44</v>
      </c>
      <c r="X89" s="13"/>
      <c r="Y89" s="14"/>
      <c r="Z89" s="14"/>
      <c r="AA89" s="14"/>
      <c r="AB89" s="42" t="s">
        <v>383</v>
      </c>
      <c r="AC89" s="11">
        <v>1943.58</v>
      </c>
      <c r="AD89" s="33">
        <v>46185</v>
      </c>
      <c r="AE89" s="34" t="s">
        <v>465</v>
      </c>
      <c r="AF89" s="19" t="s">
        <v>532</v>
      </c>
      <c r="AG89" s="14"/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201</v>
      </c>
      <c r="AT89" s="14"/>
      <c r="AU89" s="11"/>
      <c r="AV89" s="14"/>
    </row>
    <row r="90" spans="1:49" s="45" customFormat="1" ht="15" x14ac:dyDescent="0.25">
      <c r="A90" s="46">
        <v>46154</v>
      </c>
      <c r="B90" s="72">
        <f t="shared" si="5"/>
        <v>46185</v>
      </c>
      <c r="C90" s="42" t="s">
        <v>49</v>
      </c>
      <c r="D90" s="42" t="s">
        <v>301</v>
      </c>
      <c r="E90" s="14"/>
      <c r="F90" s="86">
        <v>18198</v>
      </c>
      <c r="G90" s="42" t="s">
        <v>50</v>
      </c>
      <c r="H90" s="31">
        <v>20493508645</v>
      </c>
      <c r="I90" s="138" t="str">
        <f>IF(H90="","",VLOOKUP(H90,[1]ENTIDAD!$B$2:$C$605,2,0))</f>
        <v>HONDA SELVA DEL PERU S.A.</v>
      </c>
      <c r="J90" s="11"/>
      <c r="K90" s="11"/>
      <c r="L90" s="11"/>
      <c r="M90" s="11"/>
      <c r="N90" s="11">
        <f t="shared" si="4"/>
        <v>-3.7288135606982999E-3</v>
      </c>
      <c r="O90" s="11">
        <f t="shared" si="6"/>
        <v>-6.7118644092569401E-4</v>
      </c>
      <c r="P90" s="11">
        <v>8918.17</v>
      </c>
      <c r="Q90" s="11"/>
      <c r="R90" s="11"/>
      <c r="S90" s="11">
        <f>W90*AC90</f>
        <v>8918.1655999999984</v>
      </c>
      <c r="T90" s="14"/>
      <c r="U90" s="14"/>
      <c r="V90" s="13"/>
      <c r="W90" s="15">
        <v>3.44</v>
      </c>
      <c r="X90" s="13"/>
      <c r="Y90" s="14"/>
      <c r="Z90" s="14"/>
      <c r="AA90" s="14"/>
      <c r="AB90" s="42" t="s">
        <v>383</v>
      </c>
      <c r="AC90" s="11">
        <v>2592.4899999999998</v>
      </c>
      <c r="AD90" s="33">
        <v>46185</v>
      </c>
      <c r="AE90" s="34" t="s">
        <v>465</v>
      </c>
      <c r="AF90" s="19" t="s">
        <v>532</v>
      </c>
      <c r="AG90" s="14"/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201</v>
      </c>
      <c r="AT90" s="14"/>
      <c r="AU90" s="11"/>
      <c r="AV90" s="14"/>
    </row>
    <row r="91" spans="1:49" s="45" customFormat="1" ht="15" x14ac:dyDescent="0.25">
      <c r="A91" s="13">
        <v>46154</v>
      </c>
      <c r="B91" s="72"/>
      <c r="C91" s="42" t="s">
        <v>49</v>
      </c>
      <c r="D91" s="42" t="s">
        <v>451</v>
      </c>
      <c r="E91" s="14"/>
      <c r="F91" s="71">
        <v>110</v>
      </c>
      <c r="G91" s="42" t="s">
        <v>50</v>
      </c>
      <c r="H91" s="31">
        <v>20486549328</v>
      </c>
      <c r="I91" s="138" t="str">
        <f>IF(H91="","",VLOOKUP(H91,[1]ENTIDAD!$B$2:$C$605,2,0))</f>
        <v>SANTISIMA TRINIDAD E.I.R.L.</v>
      </c>
      <c r="J91" s="11"/>
      <c r="K91" s="11"/>
      <c r="L91" s="11"/>
      <c r="M91" s="11"/>
      <c r="N91" s="11">
        <f t="shared" ref="N91:N121" si="7">(S91-P91)/1.18</f>
        <v>0</v>
      </c>
      <c r="O91" s="11">
        <f t="shared" si="6"/>
        <v>0</v>
      </c>
      <c r="P91" s="11">
        <v>132</v>
      </c>
      <c r="Q91" s="11"/>
      <c r="R91" s="11"/>
      <c r="S91" s="11">
        <v>132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>
        <v>46154</v>
      </c>
      <c r="AE91" s="34" t="s">
        <v>262</v>
      </c>
      <c r="AF91" s="37" t="s">
        <v>521</v>
      </c>
      <c r="AG91" s="14"/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660</v>
      </c>
      <c r="AT91" s="14"/>
      <c r="AU91" s="11"/>
      <c r="AV91" s="14"/>
    </row>
    <row r="92" spans="1:49" s="45" customFormat="1" ht="15" x14ac:dyDescent="0.25">
      <c r="A92" s="46">
        <v>46154</v>
      </c>
      <c r="B92" s="72">
        <f>AD92</f>
        <v>46185</v>
      </c>
      <c r="C92" s="42" t="s">
        <v>49</v>
      </c>
      <c r="D92" s="42" t="s">
        <v>292</v>
      </c>
      <c r="E92" s="14"/>
      <c r="F92" s="71">
        <v>234</v>
      </c>
      <c r="G92" s="42" t="s">
        <v>50</v>
      </c>
      <c r="H92" s="31">
        <v>10447422951</v>
      </c>
      <c r="I92" s="138" t="str">
        <f>IF(H92="","",VLOOKUP(H92,[1]ENTIDAD!$B$2:$C$605,2,0))</f>
        <v>ZEGARRA AZAÑERO JORGE KEY</v>
      </c>
      <c r="J92" s="11"/>
      <c r="K92" s="11"/>
      <c r="L92" s="11"/>
      <c r="M92" s="11"/>
      <c r="N92" s="11">
        <f t="shared" si="7"/>
        <v>0</v>
      </c>
      <c r="O92" s="11">
        <f t="shared" si="6"/>
        <v>0</v>
      </c>
      <c r="P92" s="11">
        <v>1000</v>
      </c>
      <c r="Q92" s="11"/>
      <c r="R92" s="11"/>
      <c r="S92" s="11">
        <v>1000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>
        <v>46185</v>
      </c>
      <c r="AE92" s="34" t="s">
        <v>465</v>
      </c>
      <c r="AF92" s="206" t="s">
        <v>606</v>
      </c>
      <c r="AG92" s="14"/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735</v>
      </c>
      <c r="AT92" s="14"/>
      <c r="AU92" s="11"/>
      <c r="AV92" s="14"/>
    </row>
    <row r="93" spans="1:49" s="45" customFormat="1" ht="15" x14ac:dyDescent="0.25">
      <c r="A93" s="46">
        <v>46155</v>
      </c>
      <c r="B93" s="72"/>
      <c r="C93" s="42" t="s">
        <v>49</v>
      </c>
      <c r="D93" s="42" t="s">
        <v>292</v>
      </c>
      <c r="E93" s="14"/>
      <c r="F93" s="71">
        <v>58</v>
      </c>
      <c r="G93" s="42" t="s">
        <v>50</v>
      </c>
      <c r="H93" s="31">
        <v>10417193150</v>
      </c>
      <c r="I93" s="138" t="str">
        <f>IF(H93="","",VLOOKUP(H93,[1]ENTIDAD!$B$2:$C$605,2,0))</f>
        <v>VILA TORRES NILSON WILLIAM</v>
      </c>
      <c r="J93" s="11"/>
      <c r="K93" s="11"/>
      <c r="L93" s="11"/>
      <c r="M93" s="11"/>
      <c r="N93" s="11">
        <f t="shared" si="7"/>
        <v>0</v>
      </c>
      <c r="O93" s="11">
        <f t="shared" si="6"/>
        <v>0</v>
      </c>
      <c r="P93" s="11">
        <v>19</v>
      </c>
      <c r="Q93" s="11"/>
      <c r="R93" s="11"/>
      <c r="S93" s="11">
        <v>19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33">
        <v>46155</v>
      </c>
      <c r="AE93" s="34" t="s">
        <v>262</v>
      </c>
      <c r="AF93" s="37" t="s">
        <v>521</v>
      </c>
      <c r="AG93" s="14"/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711</v>
      </c>
      <c r="AT93" s="14"/>
      <c r="AU93" s="11"/>
      <c r="AV93" s="14"/>
    </row>
    <row r="94" spans="1:49" s="45" customFormat="1" ht="15" x14ac:dyDescent="0.25">
      <c r="A94" s="46">
        <v>46155</v>
      </c>
      <c r="B94" s="72">
        <f>AD94</f>
        <v>46186</v>
      </c>
      <c r="C94" s="42" t="s">
        <v>49</v>
      </c>
      <c r="D94" s="42" t="s">
        <v>301</v>
      </c>
      <c r="E94" s="14"/>
      <c r="F94" s="86">
        <v>18230</v>
      </c>
      <c r="G94" s="42" t="s">
        <v>50</v>
      </c>
      <c r="H94" s="31">
        <v>20493508645</v>
      </c>
      <c r="I94" s="138" t="str">
        <f>IF(H94="","",VLOOKUP(H94,[1]ENTIDAD!$B$2:$C$605,2,0))</f>
        <v>HONDA SELVA DEL PERU S.A.</v>
      </c>
      <c r="J94" s="11"/>
      <c r="K94" s="11"/>
      <c r="L94" s="11"/>
      <c r="M94" s="11"/>
      <c r="N94" s="11">
        <f t="shared" si="7"/>
        <v>1.1864406772829016E-3</v>
      </c>
      <c r="O94" s="11">
        <f t="shared" si="6"/>
        <v>2.1355932191092228E-4</v>
      </c>
      <c r="P94" s="11">
        <v>5562.1</v>
      </c>
      <c r="Q94" s="11"/>
      <c r="R94" s="11"/>
      <c r="S94" s="11">
        <f>W94*AC94</f>
        <v>5562.1013999999996</v>
      </c>
      <c r="T94" s="14"/>
      <c r="U94" s="14"/>
      <c r="V94" s="13"/>
      <c r="W94" s="15">
        <v>3.4279999999999999</v>
      </c>
      <c r="X94" s="13"/>
      <c r="Y94" s="14"/>
      <c r="Z94" s="14"/>
      <c r="AA94" s="14"/>
      <c r="AB94" s="42" t="s">
        <v>383</v>
      </c>
      <c r="AC94" s="11">
        <v>1622.55</v>
      </c>
      <c r="AD94" s="33">
        <v>46186</v>
      </c>
      <c r="AE94" s="34" t="s">
        <v>465</v>
      </c>
      <c r="AF94" s="19" t="s">
        <v>532</v>
      </c>
      <c r="AG94" s="14"/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201</v>
      </c>
      <c r="AT94" s="14"/>
      <c r="AU94" s="11"/>
      <c r="AV94" s="14"/>
    </row>
    <row r="95" spans="1:49" s="45" customFormat="1" ht="15" x14ac:dyDescent="0.25">
      <c r="A95" s="46">
        <v>46155</v>
      </c>
      <c r="B95" s="72">
        <f>AD95</f>
        <v>46186</v>
      </c>
      <c r="C95" s="42" t="s">
        <v>49</v>
      </c>
      <c r="D95" s="42" t="s">
        <v>301</v>
      </c>
      <c r="E95" s="14"/>
      <c r="F95" s="86">
        <v>18222</v>
      </c>
      <c r="G95" s="42" t="s">
        <v>50</v>
      </c>
      <c r="H95" s="31">
        <v>20493508645</v>
      </c>
      <c r="I95" s="138" t="str">
        <f>IF(H95="","",VLOOKUP(H95,[1]ENTIDAD!$B$2:$C$605,2,0))</f>
        <v>HONDA SELVA DEL PERU S.A.</v>
      </c>
      <c r="J95" s="11"/>
      <c r="K95" s="11"/>
      <c r="L95" s="11"/>
      <c r="M95" s="11"/>
      <c r="N95" s="11">
        <f t="shared" si="7"/>
        <v>-3.3898305091651757E-3</v>
      </c>
      <c r="O95" s="11">
        <f t="shared" si="6"/>
        <v>-6.1016949164973159E-4</v>
      </c>
      <c r="P95" s="11">
        <v>9165.35</v>
      </c>
      <c r="Q95" s="11"/>
      <c r="R95" s="11"/>
      <c r="S95" s="11">
        <f>W95*AC95</f>
        <v>9165.3459999999995</v>
      </c>
      <c r="T95" s="14"/>
      <c r="U95" s="14"/>
      <c r="V95" s="13"/>
      <c r="W95" s="15">
        <v>3.4340000000000002</v>
      </c>
      <c r="X95" s="13"/>
      <c r="Y95" s="14"/>
      <c r="Z95" s="14"/>
      <c r="AA95" s="14"/>
      <c r="AB95" s="42" t="s">
        <v>383</v>
      </c>
      <c r="AC95" s="11">
        <v>2669</v>
      </c>
      <c r="AD95" s="33">
        <v>46186</v>
      </c>
      <c r="AE95" s="34" t="s">
        <v>465</v>
      </c>
      <c r="AF95" s="19" t="s">
        <v>532</v>
      </c>
      <c r="AG95" s="14"/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201</v>
      </c>
      <c r="AT95" s="14"/>
      <c r="AU95" s="11"/>
      <c r="AV95" s="14"/>
    </row>
    <row r="96" spans="1:49" s="45" customFormat="1" ht="15" x14ac:dyDescent="0.25">
      <c r="A96" s="46">
        <v>46155</v>
      </c>
      <c r="B96" s="72">
        <f>AD96</f>
        <v>46186</v>
      </c>
      <c r="C96" s="42" t="s">
        <v>49</v>
      </c>
      <c r="D96" s="42" t="s">
        <v>301</v>
      </c>
      <c r="E96" s="14"/>
      <c r="F96" s="86">
        <v>18221</v>
      </c>
      <c r="G96" s="42" t="s">
        <v>50</v>
      </c>
      <c r="H96" s="31">
        <v>20493508645</v>
      </c>
      <c r="I96" s="138" t="str">
        <f>IF(H96="","",VLOOKUP(H96,[1]ENTIDAD!$B$2:$C$605,2,0))</f>
        <v>HONDA SELVA DEL PERU S.A.</v>
      </c>
      <c r="J96" s="11"/>
      <c r="K96" s="11"/>
      <c r="L96" s="11"/>
      <c r="M96" s="11"/>
      <c r="N96" s="11">
        <f t="shared" si="7"/>
        <v>-3.3898305091651757E-3</v>
      </c>
      <c r="O96" s="11">
        <f t="shared" si="6"/>
        <v>-6.1016949164973159E-4</v>
      </c>
      <c r="P96" s="11">
        <v>9165.35</v>
      </c>
      <c r="Q96" s="11"/>
      <c r="R96" s="11"/>
      <c r="S96" s="11">
        <f>W96*AC96</f>
        <v>9165.3459999999995</v>
      </c>
      <c r="T96" s="14"/>
      <c r="U96" s="14"/>
      <c r="V96" s="13"/>
      <c r="W96" s="15">
        <v>3.4340000000000002</v>
      </c>
      <c r="X96" s="13"/>
      <c r="Y96" s="14"/>
      <c r="Z96" s="14"/>
      <c r="AA96" s="14"/>
      <c r="AB96" s="42" t="s">
        <v>383</v>
      </c>
      <c r="AC96" s="11">
        <v>2669</v>
      </c>
      <c r="AD96" s="33">
        <v>46186</v>
      </c>
      <c r="AE96" s="34" t="s">
        <v>465</v>
      </c>
      <c r="AF96" s="19" t="s">
        <v>532</v>
      </c>
      <c r="AG96" s="14"/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201</v>
      </c>
      <c r="AT96" s="14"/>
      <c r="AU96" s="11"/>
      <c r="AV96" s="14"/>
    </row>
    <row r="97" spans="1:48" s="45" customFormat="1" ht="15" x14ac:dyDescent="0.25">
      <c r="A97" s="46">
        <v>46155</v>
      </c>
      <c r="B97" s="72">
        <f>AD97</f>
        <v>46186</v>
      </c>
      <c r="C97" s="42" t="s">
        <v>49</v>
      </c>
      <c r="D97" s="42" t="s">
        <v>301</v>
      </c>
      <c r="E97" s="14"/>
      <c r="F97" s="86">
        <v>18220</v>
      </c>
      <c r="G97" s="42" t="s">
        <v>50</v>
      </c>
      <c r="H97" s="31">
        <v>20493508645</v>
      </c>
      <c r="I97" s="138" t="str">
        <f>IF(H97="","",VLOOKUP(H97,[1]ENTIDAD!$B$2:$C$605,2,0))</f>
        <v>HONDA SELVA DEL PERU S.A.</v>
      </c>
      <c r="J97" s="11"/>
      <c r="K97" s="11"/>
      <c r="L97" s="11"/>
      <c r="M97" s="11"/>
      <c r="N97" s="11">
        <f t="shared" si="7"/>
        <v>5.5932203364229003E-4</v>
      </c>
      <c r="O97" s="11">
        <f t="shared" si="6"/>
        <v>1.006779660556122E-4</v>
      </c>
      <c r="P97" s="11">
        <v>8902.61</v>
      </c>
      <c r="Q97" s="11"/>
      <c r="R97" s="11"/>
      <c r="S97" s="11">
        <f>W97*AC97</f>
        <v>8902.6106600000003</v>
      </c>
      <c r="T97" s="14"/>
      <c r="U97" s="14"/>
      <c r="V97" s="13"/>
      <c r="W97" s="15">
        <v>3.4340000000000002</v>
      </c>
      <c r="X97" s="13"/>
      <c r="Y97" s="14"/>
      <c r="Z97" s="14"/>
      <c r="AA97" s="14"/>
      <c r="AB97" s="42" t="s">
        <v>383</v>
      </c>
      <c r="AC97" s="11">
        <v>2592.4899999999998</v>
      </c>
      <c r="AD97" s="33">
        <v>46186</v>
      </c>
      <c r="AE97" s="34" t="s">
        <v>465</v>
      </c>
      <c r="AF97" s="19" t="s">
        <v>532</v>
      </c>
      <c r="AG97" s="14"/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201</v>
      </c>
      <c r="AT97" s="14"/>
      <c r="AU97" s="11"/>
      <c r="AV97" s="14"/>
    </row>
    <row r="98" spans="1:48" s="45" customFormat="1" ht="15" x14ac:dyDescent="0.25">
      <c r="A98" s="13">
        <v>46155</v>
      </c>
      <c r="B98" s="72">
        <f>AD98</f>
        <v>46186</v>
      </c>
      <c r="C98" s="42" t="s">
        <v>49</v>
      </c>
      <c r="D98" s="42" t="s">
        <v>442</v>
      </c>
      <c r="E98" s="14"/>
      <c r="F98" s="71">
        <v>19365129</v>
      </c>
      <c r="G98" s="42" t="s">
        <v>50</v>
      </c>
      <c r="H98" s="31">
        <v>20100047218</v>
      </c>
      <c r="I98" s="138" t="str">
        <f>IF(H98="","",VLOOKUP(H98,[1]ENTIDAD!$B$2:$C$605,2,0))</f>
        <v>BANCO DE CREDITO DEL PERU</v>
      </c>
      <c r="J98" s="11"/>
      <c r="K98" s="11"/>
      <c r="L98" s="11"/>
      <c r="M98" s="11"/>
      <c r="N98" s="11">
        <f t="shared" si="7"/>
        <v>1.6949152542393596E-3</v>
      </c>
      <c r="O98" s="11">
        <f t="shared" si="6"/>
        <v>3.050847457630847E-4</v>
      </c>
      <c r="P98" s="11">
        <v>61.81</v>
      </c>
      <c r="Q98" s="11"/>
      <c r="R98" s="11"/>
      <c r="S98" s="11">
        <f>W98*AC98</f>
        <v>61.812000000000005</v>
      </c>
      <c r="T98" s="14"/>
      <c r="U98" s="14"/>
      <c r="V98" s="13"/>
      <c r="W98" s="15">
        <v>3.4340000000000002</v>
      </c>
      <c r="X98" s="13"/>
      <c r="Y98" s="14"/>
      <c r="Z98" s="14"/>
      <c r="AA98" s="14"/>
      <c r="AB98" s="42" t="s">
        <v>383</v>
      </c>
      <c r="AC98" s="11">
        <v>18</v>
      </c>
      <c r="AD98" s="33">
        <v>46186</v>
      </c>
      <c r="AE98" s="14" t="s">
        <v>465</v>
      </c>
      <c r="AF98" s="19" t="s">
        <v>494</v>
      </c>
      <c r="AG98" s="14"/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716</v>
      </c>
      <c r="AT98" s="14"/>
      <c r="AU98" s="11"/>
      <c r="AV98" s="14"/>
    </row>
    <row r="99" spans="1:48" s="45" customFormat="1" ht="15" x14ac:dyDescent="0.25">
      <c r="A99" s="13">
        <v>46155</v>
      </c>
      <c r="B99" s="72"/>
      <c r="C99" s="42" t="s">
        <v>49</v>
      </c>
      <c r="D99" s="42" t="s">
        <v>294</v>
      </c>
      <c r="E99" s="14"/>
      <c r="F99" s="71">
        <v>12727</v>
      </c>
      <c r="G99" s="42" t="s">
        <v>50</v>
      </c>
      <c r="H99" s="31">
        <v>10209907327</v>
      </c>
      <c r="I99" s="138" t="str">
        <f>IF(H99="","",VLOOKUP(H99,[1]ENTIDAD!$B$2:$C$605,2,0))</f>
        <v>TORPOCO,MAYTA,HECTOR,ALFONSO</v>
      </c>
      <c r="J99" s="11"/>
      <c r="K99" s="11"/>
      <c r="L99" s="11"/>
      <c r="M99" s="11"/>
      <c r="N99" s="11">
        <f t="shared" si="7"/>
        <v>0</v>
      </c>
      <c r="O99" s="11">
        <f t="shared" si="6"/>
        <v>0</v>
      </c>
      <c r="P99" s="11">
        <v>10</v>
      </c>
      <c r="Q99" s="11"/>
      <c r="R99" s="11"/>
      <c r="S99" s="11">
        <v>10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>
        <v>46155</v>
      </c>
      <c r="AE99" s="14" t="s">
        <v>262</v>
      </c>
      <c r="AF99" s="19" t="s">
        <v>486</v>
      </c>
      <c r="AG99" s="14"/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713</v>
      </c>
      <c r="AT99" s="14"/>
      <c r="AU99" s="11"/>
      <c r="AV99" s="14"/>
    </row>
    <row r="100" spans="1:48" s="45" customFormat="1" ht="15" x14ac:dyDescent="0.25">
      <c r="A100" s="13">
        <v>46156</v>
      </c>
      <c r="B100" s="72"/>
      <c r="C100" s="42" t="s">
        <v>49</v>
      </c>
      <c r="D100" s="42" t="s">
        <v>444</v>
      </c>
      <c r="E100" s="14"/>
      <c r="F100" s="71">
        <v>910</v>
      </c>
      <c r="G100" s="42" t="s">
        <v>50</v>
      </c>
      <c r="H100" s="31">
        <v>20611526572</v>
      </c>
      <c r="I100" s="138" t="str">
        <f>IF(H100="","",VLOOKUP(H100,[1]ENTIDAD!$B$2:$C$605,2,0))</f>
        <v>GRUPO SUKKIE E.I.R.L.</v>
      </c>
      <c r="J100" s="11"/>
      <c r="K100" s="11"/>
      <c r="L100" s="11"/>
      <c r="M100" s="11"/>
      <c r="N100" s="11">
        <f t="shared" si="7"/>
        <v>0</v>
      </c>
      <c r="O100" s="11">
        <f t="shared" si="6"/>
        <v>0</v>
      </c>
      <c r="P100" s="11">
        <v>65</v>
      </c>
      <c r="Q100" s="11"/>
      <c r="R100" s="11"/>
      <c r="S100" s="11">
        <v>65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33">
        <v>46156</v>
      </c>
      <c r="AE100" s="14" t="s">
        <v>262</v>
      </c>
      <c r="AF100" s="19" t="s">
        <v>515</v>
      </c>
      <c r="AG100" s="14"/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670</v>
      </c>
      <c r="AT100" s="14"/>
      <c r="AU100" s="11"/>
      <c r="AV100" s="14"/>
    </row>
    <row r="101" spans="1:48" s="45" customFormat="1" ht="15" x14ac:dyDescent="0.25">
      <c r="A101" s="13">
        <v>46156</v>
      </c>
      <c r="B101" s="72"/>
      <c r="C101" s="42" t="s">
        <v>49</v>
      </c>
      <c r="D101" s="42" t="s">
        <v>294</v>
      </c>
      <c r="E101" s="14"/>
      <c r="F101" s="71">
        <v>119713</v>
      </c>
      <c r="G101" s="42" t="s">
        <v>50</v>
      </c>
      <c r="H101" s="31">
        <v>20568499043</v>
      </c>
      <c r="I101" s="138" t="str">
        <f>IF(H101="","",VLOOKUP(H101,[1]ENTIDAD!$B$2:$C$605,2,0))</f>
        <v>SURTIDORES SAN MIGUEL E.I.R.L.</v>
      </c>
      <c r="J101" s="11"/>
      <c r="K101" s="11"/>
      <c r="L101" s="11"/>
      <c r="M101" s="11"/>
      <c r="N101" s="11">
        <f t="shared" si="7"/>
        <v>0</v>
      </c>
      <c r="O101" s="11">
        <f t="shared" si="6"/>
        <v>0</v>
      </c>
      <c r="P101" s="11">
        <v>103.5</v>
      </c>
      <c r="Q101" s="11"/>
      <c r="R101" s="11"/>
      <c r="S101" s="11">
        <v>103.5</v>
      </c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33">
        <v>46156</v>
      </c>
      <c r="AE101" s="14" t="s">
        <v>262</v>
      </c>
      <c r="AF101" s="19" t="s">
        <v>486</v>
      </c>
      <c r="AG101" s="14"/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713</v>
      </c>
      <c r="AT101" s="14"/>
      <c r="AU101" s="11"/>
      <c r="AV101" s="14"/>
    </row>
    <row r="102" spans="1:48" s="45" customFormat="1" ht="15" x14ac:dyDescent="0.25">
      <c r="A102" s="13">
        <v>46156</v>
      </c>
      <c r="B102" s="72">
        <f>AD102</f>
        <v>46187</v>
      </c>
      <c r="C102" s="42" t="s">
        <v>49</v>
      </c>
      <c r="D102" s="42" t="s">
        <v>439</v>
      </c>
      <c r="E102" s="14"/>
      <c r="F102" s="86">
        <v>15744</v>
      </c>
      <c r="G102" s="42" t="s">
        <v>50</v>
      </c>
      <c r="H102" s="31">
        <v>20493508645</v>
      </c>
      <c r="I102" s="138" t="str">
        <f>IF(H102="","",VLOOKUP(H102,[1]ENTIDAD!$B$2:$C$605,2,0))</f>
        <v>HONDA SELVA DEL PERU S.A.</v>
      </c>
      <c r="J102" s="11"/>
      <c r="K102" s="11"/>
      <c r="L102" s="11"/>
      <c r="M102" s="11"/>
      <c r="N102" s="11">
        <f t="shared" si="7"/>
        <v>-3.5593220303071884E-3</v>
      </c>
      <c r="O102" s="11">
        <f t="shared" si="6"/>
        <v>-6.4067796545529392E-4</v>
      </c>
      <c r="P102" s="11">
        <v>17466.78</v>
      </c>
      <c r="Q102" s="11"/>
      <c r="R102" s="11"/>
      <c r="S102" s="11">
        <f>W102*AC102</f>
        <v>17466.775800000003</v>
      </c>
      <c r="T102" s="14"/>
      <c r="U102" s="14"/>
      <c r="V102" s="13"/>
      <c r="W102" s="15">
        <v>3.4260000000000002</v>
      </c>
      <c r="X102" s="13"/>
      <c r="Y102" s="14"/>
      <c r="Z102" s="14"/>
      <c r="AA102" s="14"/>
      <c r="AB102" s="42" t="s">
        <v>383</v>
      </c>
      <c r="AC102" s="11">
        <v>5098.3</v>
      </c>
      <c r="AD102" s="33">
        <v>46187</v>
      </c>
      <c r="AE102" s="34" t="s">
        <v>465</v>
      </c>
      <c r="AF102" s="19" t="s">
        <v>532</v>
      </c>
      <c r="AG102" s="14"/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201</v>
      </c>
      <c r="AT102" s="14"/>
      <c r="AU102" s="11"/>
      <c r="AV102" s="14"/>
    </row>
    <row r="103" spans="1:48" s="45" customFormat="1" ht="15" x14ac:dyDescent="0.25">
      <c r="A103" s="13">
        <v>46156</v>
      </c>
      <c r="B103" s="72">
        <f>AD103</f>
        <v>46187</v>
      </c>
      <c r="C103" s="42" t="s">
        <v>49</v>
      </c>
      <c r="D103" s="42" t="s">
        <v>301</v>
      </c>
      <c r="E103" s="14"/>
      <c r="F103" s="86">
        <v>18249</v>
      </c>
      <c r="G103" s="42" t="s">
        <v>50</v>
      </c>
      <c r="H103" s="31">
        <v>20493508645</v>
      </c>
      <c r="I103" s="138" t="str">
        <f>IF(H103="","",VLOOKUP(H103,[1]ENTIDAD!$B$2:$C$605,2,0))</f>
        <v>HONDA SELVA DEL PERU S.A.</v>
      </c>
      <c r="J103" s="11"/>
      <c r="K103" s="11"/>
      <c r="L103" s="11"/>
      <c r="M103" s="11"/>
      <c r="N103" s="11">
        <f t="shared" si="7"/>
        <v>-2.6610169482148074E-3</v>
      </c>
      <c r="O103" s="11">
        <f t="shared" si="6"/>
        <v>-4.789830506786653E-4</v>
      </c>
      <c r="P103" s="11">
        <v>11117.75</v>
      </c>
      <c r="Q103" s="11"/>
      <c r="R103" s="11"/>
      <c r="S103" s="11">
        <f>W103*AC103</f>
        <v>11117.746860000001</v>
      </c>
      <c r="T103" s="14"/>
      <c r="U103" s="14"/>
      <c r="V103" s="13"/>
      <c r="W103" s="15">
        <v>3.4260000000000002</v>
      </c>
      <c r="X103" s="13"/>
      <c r="Y103" s="14"/>
      <c r="Z103" s="14"/>
      <c r="AA103" s="14"/>
      <c r="AB103" s="42" t="s">
        <v>383</v>
      </c>
      <c r="AC103" s="11">
        <v>3245.11</v>
      </c>
      <c r="AD103" s="33">
        <v>46187</v>
      </c>
      <c r="AE103" s="34" t="s">
        <v>465</v>
      </c>
      <c r="AF103" s="19" t="s">
        <v>532</v>
      </c>
      <c r="AG103" s="14"/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 t="s">
        <v>201</v>
      </c>
      <c r="AT103" s="14"/>
      <c r="AU103" s="11"/>
      <c r="AV103" s="14"/>
    </row>
    <row r="104" spans="1:48" s="45" customFormat="1" ht="15" x14ac:dyDescent="0.25">
      <c r="A104" s="13">
        <v>46156</v>
      </c>
      <c r="B104" s="72"/>
      <c r="C104" s="42" t="s">
        <v>49</v>
      </c>
      <c r="D104" s="42" t="s">
        <v>299</v>
      </c>
      <c r="E104" s="14"/>
      <c r="F104" s="71">
        <v>10445</v>
      </c>
      <c r="G104" s="42" t="s">
        <v>50</v>
      </c>
      <c r="H104" s="31">
        <v>20605377115</v>
      </c>
      <c r="I104" s="138" t="str">
        <f>IF(H104="","",VLOOKUP(H104,[1]ENTIDAD!$B$2:$C$605,2,0))</f>
        <v>CORPORACIÓN FERNANDO´S E.I.R.L.</v>
      </c>
      <c r="J104" s="11"/>
      <c r="K104" s="11"/>
      <c r="L104" s="11"/>
      <c r="M104" s="11"/>
      <c r="N104" s="11">
        <f t="shared" si="7"/>
        <v>0</v>
      </c>
      <c r="O104" s="11">
        <f t="shared" si="6"/>
        <v>0</v>
      </c>
      <c r="P104" s="11">
        <v>10</v>
      </c>
      <c r="Q104" s="11"/>
      <c r="R104" s="11"/>
      <c r="S104" s="11">
        <v>10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62"/>
      <c r="AD104" s="33">
        <v>46156</v>
      </c>
      <c r="AE104" s="14" t="s">
        <v>262</v>
      </c>
      <c r="AF104" s="19" t="s">
        <v>486</v>
      </c>
      <c r="AG104" s="14"/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713</v>
      </c>
      <c r="AT104" s="14"/>
      <c r="AU104" s="11"/>
      <c r="AV104" s="14"/>
    </row>
    <row r="105" spans="1:48" s="45" customFormat="1" ht="15" x14ac:dyDescent="0.25">
      <c r="A105" s="46">
        <v>46156</v>
      </c>
      <c r="B105" s="72">
        <f>AD105</f>
        <v>46187</v>
      </c>
      <c r="C105" s="42" t="s">
        <v>49</v>
      </c>
      <c r="D105" s="42" t="s">
        <v>294</v>
      </c>
      <c r="E105" s="14"/>
      <c r="F105" s="71">
        <v>5330</v>
      </c>
      <c r="G105" s="42" t="s">
        <v>50</v>
      </c>
      <c r="H105" s="31">
        <v>10061702071</v>
      </c>
      <c r="I105" s="138" t="str">
        <f>IF(H105="","",VLOOKUP(H105,[1]ENTIDAD!$B$2:$C$605,2,0))</f>
        <v>CORAL FLORES IVAN MARTIN</v>
      </c>
      <c r="J105" s="11"/>
      <c r="K105" s="11"/>
      <c r="L105" s="11"/>
      <c r="M105" s="11"/>
      <c r="N105" s="11">
        <f t="shared" si="7"/>
        <v>0</v>
      </c>
      <c r="O105" s="11">
        <f t="shared" si="6"/>
        <v>0</v>
      </c>
      <c r="P105" s="11">
        <v>535</v>
      </c>
      <c r="Q105" s="11"/>
      <c r="R105" s="11"/>
      <c r="S105" s="11">
        <v>535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33">
        <v>46187</v>
      </c>
      <c r="AE105" s="14" t="s">
        <v>465</v>
      </c>
      <c r="AF105" s="37" t="s">
        <v>597</v>
      </c>
      <c r="AG105" s="34" t="s">
        <v>513</v>
      </c>
      <c r="AH105" s="3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717</v>
      </c>
      <c r="AT105" s="14"/>
      <c r="AU105" s="11"/>
      <c r="AV105" s="14"/>
    </row>
    <row r="106" spans="1:48" s="45" customFormat="1" ht="15" x14ac:dyDescent="0.25">
      <c r="A106" s="46">
        <v>46156</v>
      </c>
      <c r="B106" s="72">
        <f>AD106</f>
        <v>46187</v>
      </c>
      <c r="C106" s="42" t="s">
        <v>49</v>
      </c>
      <c r="D106" s="42" t="s">
        <v>299</v>
      </c>
      <c r="E106" s="14"/>
      <c r="F106" s="113">
        <v>3854213</v>
      </c>
      <c r="G106" s="42" t="s">
        <v>50</v>
      </c>
      <c r="H106" s="31">
        <v>20101973922</v>
      </c>
      <c r="I106" s="138" t="str">
        <f>IF(H106="","",VLOOKUP(H106,[1]ENTIDAD!$B$2:$C$605,2,0))</f>
        <v>ASOCIACION AUTOMOTRIZ DEL PERU</v>
      </c>
      <c r="J106" s="11"/>
      <c r="K106" s="11"/>
      <c r="L106" s="11"/>
      <c r="M106" s="11"/>
      <c r="N106" s="11">
        <f t="shared" si="7"/>
        <v>56.610169491525426</v>
      </c>
      <c r="O106" s="11">
        <f t="shared" si="6"/>
        <v>10.189830508474577</v>
      </c>
      <c r="P106" s="11">
        <v>0</v>
      </c>
      <c r="Q106" s="11"/>
      <c r="R106" s="11">
        <v>66.8</v>
      </c>
      <c r="S106" s="11">
        <v>66.8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33">
        <v>46187</v>
      </c>
      <c r="AE106" s="34" t="s">
        <v>465</v>
      </c>
      <c r="AF106" s="37" t="s">
        <v>550</v>
      </c>
      <c r="AG106" s="14" t="s">
        <v>513</v>
      </c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566</v>
      </c>
      <c r="AT106" s="14"/>
      <c r="AU106" s="11"/>
      <c r="AV106" s="14"/>
    </row>
    <row r="107" spans="1:48" s="45" customFormat="1" ht="15" x14ac:dyDescent="0.25">
      <c r="A107" s="173">
        <v>46156</v>
      </c>
      <c r="B107" s="174"/>
      <c r="C107" s="175" t="s">
        <v>49</v>
      </c>
      <c r="D107" s="175" t="s">
        <v>294</v>
      </c>
      <c r="E107" s="176"/>
      <c r="F107" s="177">
        <v>2147</v>
      </c>
      <c r="G107" s="175" t="s">
        <v>50</v>
      </c>
      <c r="H107" s="178">
        <v>20600220676</v>
      </c>
      <c r="I107" s="179" t="str">
        <f>IF(H107="","",VLOOKUP(H107,ENTIDAD!$B$2:$C$613,2,0))</f>
        <v> INVERSIONES INGA &amp; VICTORIO E.I.R.L.</v>
      </c>
      <c r="J107" s="180"/>
      <c r="K107" s="180"/>
      <c r="L107" s="180"/>
      <c r="M107" s="180"/>
      <c r="N107" s="180">
        <f t="shared" si="7"/>
        <v>0</v>
      </c>
      <c r="O107" s="180">
        <f t="shared" si="6"/>
        <v>0</v>
      </c>
      <c r="P107" s="180">
        <v>201</v>
      </c>
      <c r="Q107" s="180"/>
      <c r="R107" s="180"/>
      <c r="S107" s="180">
        <v>201</v>
      </c>
      <c r="T107" s="176"/>
      <c r="U107" s="176"/>
      <c r="V107" s="174"/>
      <c r="W107" s="181"/>
      <c r="X107" s="174"/>
      <c r="Y107" s="176"/>
      <c r="Z107" s="176"/>
      <c r="AA107" s="176"/>
      <c r="AB107" s="175" t="s">
        <v>224</v>
      </c>
      <c r="AC107" s="180"/>
      <c r="AD107" s="182">
        <v>46156</v>
      </c>
      <c r="AE107" s="18"/>
      <c r="AF107" s="205" t="s">
        <v>744</v>
      </c>
      <c r="AG107" s="176"/>
      <c r="AH107" s="176" t="s">
        <v>225</v>
      </c>
      <c r="AI107" s="176"/>
      <c r="AJ107" s="176"/>
      <c r="AK107" s="183"/>
      <c r="AL107" s="180"/>
      <c r="AM107" s="180"/>
      <c r="AN107" s="176"/>
      <c r="AO107" s="176"/>
      <c r="AP107" s="174"/>
      <c r="AQ107" s="176"/>
      <c r="AR107" s="180">
        <v>18</v>
      </c>
      <c r="AS107" s="176" t="s">
        <v>6444</v>
      </c>
      <c r="AT107" s="14"/>
      <c r="AU107" s="11"/>
      <c r="AV107" s="14"/>
    </row>
    <row r="108" spans="1:48" s="45" customFormat="1" ht="15" x14ac:dyDescent="0.25">
      <c r="A108" s="13">
        <v>46157</v>
      </c>
      <c r="B108" s="72">
        <f>AD108</f>
        <v>46188</v>
      </c>
      <c r="C108" s="42" t="s">
        <v>49</v>
      </c>
      <c r="D108" s="42" t="s">
        <v>439</v>
      </c>
      <c r="E108" s="14"/>
      <c r="F108" s="86">
        <v>15760</v>
      </c>
      <c r="G108" s="42" t="s">
        <v>50</v>
      </c>
      <c r="H108" s="31">
        <v>20493508645</v>
      </c>
      <c r="I108" s="138" t="str">
        <f>IF(H108="","",VLOOKUP(H108,[1]ENTIDAD!$B$2:$C$605,2,0))</f>
        <v>HONDA SELVA DEL PERU S.A.</v>
      </c>
      <c r="J108" s="11"/>
      <c r="K108" s="11"/>
      <c r="L108" s="11"/>
      <c r="M108" s="11"/>
      <c r="N108" s="11">
        <f t="shared" si="7"/>
        <v>-3.4830508473347992E-3</v>
      </c>
      <c r="O108" s="11">
        <f t="shared" si="6"/>
        <v>-6.269491525202638E-4</v>
      </c>
      <c r="P108" s="11">
        <v>13246.27</v>
      </c>
      <c r="Q108" s="11"/>
      <c r="R108" s="11"/>
      <c r="S108" s="11">
        <f>W108*AC108</f>
        <v>13246.265890000001</v>
      </c>
      <c r="T108" s="14"/>
      <c r="U108" s="14"/>
      <c r="V108" s="13"/>
      <c r="W108" s="15">
        <v>3.419</v>
      </c>
      <c r="X108" s="13"/>
      <c r="Y108" s="14"/>
      <c r="Z108" s="14"/>
      <c r="AA108" s="14"/>
      <c r="AB108" s="42" t="s">
        <v>383</v>
      </c>
      <c r="AC108" s="11">
        <v>3874.31</v>
      </c>
      <c r="AD108" s="33">
        <v>46188</v>
      </c>
      <c r="AE108" s="34" t="s">
        <v>465</v>
      </c>
      <c r="AF108" s="19" t="s">
        <v>532</v>
      </c>
      <c r="AG108" s="14"/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201</v>
      </c>
      <c r="AT108" s="14"/>
      <c r="AU108" s="11"/>
      <c r="AV108" s="14"/>
    </row>
    <row r="109" spans="1:48" s="45" customFormat="1" ht="15" x14ac:dyDescent="0.25">
      <c r="A109" s="46">
        <v>46157</v>
      </c>
      <c r="B109" s="72">
        <f>AD109</f>
        <v>46188</v>
      </c>
      <c r="C109" s="42" t="s">
        <v>49</v>
      </c>
      <c r="D109" s="42" t="s">
        <v>568</v>
      </c>
      <c r="E109" s="14"/>
      <c r="F109" s="71">
        <v>20104</v>
      </c>
      <c r="G109" s="42" t="s">
        <v>50</v>
      </c>
      <c r="H109" s="31">
        <v>20485981536</v>
      </c>
      <c r="I109" s="138" t="str">
        <f>IF(H109="","",VLOOKUP(H109,[1]ENTIDAD!$B$2:$C$605,2,0))</f>
        <v>EMPRESA DE TRANSPORTES TURISMO Y SERVICIOS MULTIPLES SHIMA E.I.R.L.</v>
      </c>
      <c r="J109" s="11"/>
      <c r="K109" s="11"/>
      <c r="L109" s="11"/>
      <c r="M109" s="11"/>
      <c r="N109" s="11">
        <v>0</v>
      </c>
      <c r="O109" s="11">
        <f t="shared" si="6"/>
        <v>0</v>
      </c>
      <c r="P109" s="11">
        <v>0</v>
      </c>
      <c r="Q109" s="11"/>
      <c r="R109" s="11">
        <v>40</v>
      </c>
      <c r="S109" s="11">
        <v>40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33">
        <v>46188</v>
      </c>
      <c r="AE109" s="14" t="s">
        <v>465</v>
      </c>
      <c r="AF109" s="37" t="s">
        <v>597</v>
      </c>
      <c r="AG109" s="14" t="s">
        <v>513</v>
      </c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 t="s">
        <v>516</v>
      </c>
      <c r="AT109" s="14"/>
      <c r="AU109" s="11"/>
      <c r="AV109" s="14"/>
    </row>
    <row r="110" spans="1:48" s="45" customFormat="1" ht="15" x14ac:dyDescent="0.25">
      <c r="A110" s="46">
        <v>46157</v>
      </c>
      <c r="B110" s="72">
        <f>AD110</f>
        <v>46188</v>
      </c>
      <c r="C110" s="42" t="s">
        <v>49</v>
      </c>
      <c r="D110" s="42" t="s">
        <v>292</v>
      </c>
      <c r="E110" s="14"/>
      <c r="F110" s="71">
        <v>805</v>
      </c>
      <c r="G110" s="42" t="s">
        <v>50</v>
      </c>
      <c r="H110" s="31">
        <v>20402406161</v>
      </c>
      <c r="I110" s="138" t="str">
        <f>IF(H110="","",VLOOKUP(H110,[1]ENTIDAD!$B$2:$C$605,2,0))</f>
        <v>SERVI TOURS EXPRESS S.A.</v>
      </c>
      <c r="J110" s="11"/>
      <c r="K110" s="11"/>
      <c r="L110" s="11"/>
      <c r="M110" s="11"/>
      <c r="N110" s="11">
        <v>0</v>
      </c>
      <c r="O110" s="11">
        <f t="shared" si="6"/>
        <v>0</v>
      </c>
      <c r="P110" s="11">
        <v>0</v>
      </c>
      <c r="Q110" s="11"/>
      <c r="R110" s="11">
        <v>40</v>
      </c>
      <c r="S110" s="11">
        <v>40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33">
        <v>46188</v>
      </c>
      <c r="AE110" s="14" t="s">
        <v>465</v>
      </c>
      <c r="AF110" s="37" t="s">
        <v>597</v>
      </c>
      <c r="AG110" s="14" t="s">
        <v>513</v>
      </c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 t="s">
        <v>516</v>
      </c>
      <c r="AT110" s="14"/>
      <c r="AU110" s="11"/>
      <c r="AV110" s="14"/>
    </row>
    <row r="111" spans="1:48" s="45" customFormat="1" ht="15" x14ac:dyDescent="0.25">
      <c r="A111" s="46">
        <v>46160</v>
      </c>
      <c r="B111" s="72">
        <f>AD111</f>
        <v>46191</v>
      </c>
      <c r="C111" s="42" t="s">
        <v>49</v>
      </c>
      <c r="D111" s="42" t="s">
        <v>692</v>
      </c>
      <c r="E111" s="14"/>
      <c r="F111" s="71">
        <v>27321242</v>
      </c>
      <c r="G111" s="42" t="s">
        <v>50</v>
      </c>
      <c r="H111" s="31">
        <v>20100130204</v>
      </c>
      <c r="I111" s="138" t="str">
        <f>IF(H111="","",VLOOKUP(H111,[1]ENTIDAD!$B$2:$C$605,2,0))</f>
        <v>BANCO BBVA PERU</v>
      </c>
      <c r="J111" s="11"/>
      <c r="K111" s="11"/>
      <c r="L111" s="11"/>
      <c r="M111" s="11"/>
      <c r="N111" s="11">
        <f t="shared" si="7"/>
        <v>0</v>
      </c>
      <c r="O111" s="11">
        <f t="shared" si="6"/>
        <v>0</v>
      </c>
      <c r="P111" s="11">
        <v>6.5</v>
      </c>
      <c r="Q111" s="11"/>
      <c r="R111" s="11"/>
      <c r="S111" s="11">
        <v>6.5</v>
      </c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33">
        <v>46191</v>
      </c>
      <c r="AE111" s="14" t="s">
        <v>465</v>
      </c>
      <c r="AF111" s="19" t="s">
        <v>494</v>
      </c>
      <c r="AG111" s="14"/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718</v>
      </c>
      <c r="AT111" s="14"/>
      <c r="AU111" s="11"/>
      <c r="AV111" s="14"/>
    </row>
    <row r="112" spans="1:48" s="45" customFormat="1" ht="15" x14ac:dyDescent="0.25">
      <c r="A112" s="46">
        <v>46161</v>
      </c>
      <c r="B112" s="72"/>
      <c r="C112" s="42" t="s">
        <v>49</v>
      </c>
      <c r="D112" s="42" t="s">
        <v>451</v>
      </c>
      <c r="E112" s="14"/>
      <c r="F112" s="71">
        <v>18077</v>
      </c>
      <c r="G112" s="42" t="s">
        <v>50</v>
      </c>
      <c r="H112" s="31">
        <v>20605377115</v>
      </c>
      <c r="I112" s="138" t="str">
        <f>IF(H112="","",VLOOKUP(H112,[1]ENTIDAD!$B$2:$C$605,2,0))</f>
        <v>CORPORACIÓN FERNANDO´S E.I.R.L.</v>
      </c>
      <c r="J112" s="11"/>
      <c r="K112" s="11"/>
      <c r="L112" s="11"/>
      <c r="M112" s="11"/>
      <c r="N112" s="11">
        <f t="shared" si="7"/>
        <v>0</v>
      </c>
      <c r="O112" s="11">
        <f t="shared" si="6"/>
        <v>0</v>
      </c>
      <c r="P112" s="11">
        <v>10</v>
      </c>
      <c r="Q112" s="11"/>
      <c r="R112" s="11"/>
      <c r="S112" s="11">
        <v>10</v>
      </c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33">
        <v>46161</v>
      </c>
      <c r="AE112" s="14" t="s">
        <v>262</v>
      </c>
      <c r="AF112" s="19" t="s">
        <v>486</v>
      </c>
      <c r="AG112" s="14"/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713</v>
      </c>
      <c r="AT112" s="14"/>
      <c r="AU112" s="11"/>
      <c r="AV112" s="14"/>
    </row>
    <row r="113" spans="1:48" s="45" customFormat="1" ht="15" x14ac:dyDescent="0.25">
      <c r="A113" s="46">
        <v>46161</v>
      </c>
      <c r="B113" s="72">
        <f t="shared" ref="B113:B121" si="8">AD113</f>
        <v>46192</v>
      </c>
      <c r="C113" s="42" t="s">
        <v>49</v>
      </c>
      <c r="D113" s="42" t="s">
        <v>441</v>
      </c>
      <c r="E113" s="14"/>
      <c r="F113" s="71">
        <v>46312838</v>
      </c>
      <c r="G113" s="42" t="s">
        <v>50</v>
      </c>
      <c r="H113" s="31">
        <v>20100047218</v>
      </c>
      <c r="I113" s="138" t="str">
        <f>IF(H113="","",VLOOKUP(H113,[1]ENTIDAD!$B$2:$C$605,2,0))</f>
        <v>BANCO DE CREDITO DEL PERU</v>
      </c>
      <c r="J113" s="11"/>
      <c r="K113" s="11"/>
      <c r="L113" s="11"/>
      <c r="M113" s="11"/>
      <c r="N113" s="11">
        <f t="shared" si="7"/>
        <v>0</v>
      </c>
      <c r="O113" s="11">
        <f t="shared" si="6"/>
        <v>0</v>
      </c>
      <c r="P113" s="11">
        <v>10</v>
      </c>
      <c r="Q113" s="11"/>
      <c r="R113" s="11"/>
      <c r="S113" s="11">
        <v>10</v>
      </c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33">
        <v>46192</v>
      </c>
      <c r="AE113" s="14" t="s">
        <v>465</v>
      </c>
      <c r="AF113" s="19" t="s">
        <v>494</v>
      </c>
      <c r="AG113" s="14"/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726</v>
      </c>
      <c r="AT113" s="14"/>
      <c r="AU113" s="11"/>
      <c r="AV113" s="14"/>
    </row>
    <row r="114" spans="1:48" s="45" customFormat="1" ht="15" x14ac:dyDescent="0.25">
      <c r="A114" s="46">
        <v>46161</v>
      </c>
      <c r="B114" s="72">
        <f t="shared" si="8"/>
        <v>46192</v>
      </c>
      <c r="C114" s="42" t="s">
        <v>49</v>
      </c>
      <c r="D114" s="42" t="s">
        <v>441</v>
      </c>
      <c r="E114" s="14"/>
      <c r="F114" s="71">
        <v>46312888</v>
      </c>
      <c r="G114" s="42" t="s">
        <v>50</v>
      </c>
      <c r="H114" s="31">
        <v>20100047218</v>
      </c>
      <c r="I114" s="138" t="str">
        <f>IF(H114="","",VLOOKUP(H114,[1]ENTIDAD!$B$2:$C$605,2,0))</f>
        <v>BANCO DE CREDITO DEL PERU</v>
      </c>
      <c r="J114" s="11"/>
      <c r="K114" s="11"/>
      <c r="L114" s="11"/>
      <c r="M114" s="11"/>
      <c r="N114" s="11">
        <f t="shared" si="7"/>
        <v>0</v>
      </c>
      <c r="O114" s="11">
        <f t="shared" si="6"/>
        <v>0</v>
      </c>
      <c r="P114" s="11">
        <v>10</v>
      </c>
      <c r="Q114" s="11"/>
      <c r="R114" s="11"/>
      <c r="S114" s="11">
        <v>10</v>
      </c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13">
        <v>46192</v>
      </c>
      <c r="AE114" s="14" t="s">
        <v>465</v>
      </c>
      <c r="AF114" s="19" t="s">
        <v>494</v>
      </c>
      <c r="AG114" s="14"/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726</v>
      </c>
      <c r="AT114" s="14"/>
      <c r="AU114" s="11"/>
      <c r="AV114" s="14"/>
    </row>
    <row r="115" spans="1:48" s="45" customFormat="1" ht="15" x14ac:dyDescent="0.25">
      <c r="A115" s="46">
        <v>46163</v>
      </c>
      <c r="B115" s="72">
        <f t="shared" si="8"/>
        <v>46194</v>
      </c>
      <c r="C115" s="42" t="s">
        <v>49</v>
      </c>
      <c r="D115" s="42" t="s">
        <v>294</v>
      </c>
      <c r="E115" s="14"/>
      <c r="F115" s="71">
        <v>5348</v>
      </c>
      <c r="G115" s="42" t="s">
        <v>50</v>
      </c>
      <c r="H115" s="31">
        <v>10061702071</v>
      </c>
      <c r="I115" s="138" t="str">
        <f>IF(H115="","",VLOOKUP(H115,[1]ENTIDAD!$B$2:$C$605,2,0))</f>
        <v>CORAL FLORES IVAN MARTIN</v>
      </c>
      <c r="J115" s="11"/>
      <c r="K115" s="11"/>
      <c r="L115" s="11"/>
      <c r="M115" s="11"/>
      <c r="N115" s="11">
        <f t="shared" si="7"/>
        <v>0</v>
      </c>
      <c r="O115" s="11">
        <f t="shared" si="6"/>
        <v>0</v>
      </c>
      <c r="P115" s="11">
        <v>410</v>
      </c>
      <c r="Q115" s="11"/>
      <c r="R115" s="11"/>
      <c r="S115" s="11">
        <v>410</v>
      </c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33">
        <v>46194</v>
      </c>
      <c r="AE115" s="14" t="s">
        <v>465</v>
      </c>
      <c r="AF115" s="37" t="s">
        <v>597</v>
      </c>
      <c r="AG115" s="34" t="s">
        <v>513</v>
      </c>
      <c r="AH115" s="3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717</v>
      </c>
      <c r="AT115" s="14"/>
      <c r="AU115" s="11"/>
      <c r="AV115" s="14"/>
    </row>
    <row r="116" spans="1:48" s="45" customFormat="1" ht="15" x14ac:dyDescent="0.25">
      <c r="A116" s="46">
        <v>46163</v>
      </c>
      <c r="B116" s="72">
        <f t="shared" si="8"/>
        <v>46194</v>
      </c>
      <c r="C116" s="42" t="s">
        <v>49</v>
      </c>
      <c r="D116" s="42" t="s">
        <v>294</v>
      </c>
      <c r="E116" s="14"/>
      <c r="F116" s="71">
        <v>5347</v>
      </c>
      <c r="G116" s="42" t="s">
        <v>50</v>
      </c>
      <c r="H116" s="31">
        <v>10061702071</v>
      </c>
      <c r="I116" s="138" t="str">
        <f>IF(H116="","",VLOOKUP(H116,[1]ENTIDAD!$B$2:$C$605,2,0))</f>
        <v>CORAL FLORES IVAN MARTIN</v>
      </c>
      <c r="J116" s="11"/>
      <c r="K116" s="11"/>
      <c r="L116" s="11"/>
      <c r="M116" s="11"/>
      <c r="N116" s="11">
        <f t="shared" si="7"/>
        <v>0</v>
      </c>
      <c r="O116" s="11">
        <f t="shared" si="6"/>
        <v>0</v>
      </c>
      <c r="P116" s="11">
        <v>505</v>
      </c>
      <c r="Q116" s="11"/>
      <c r="R116" s="11"/>
      <c r="S116" s="11">
        <v>505</v>
      </c>
      <c r="T116" s="14"/>
      <c r="U116" s="14"/>
      <c r="V116" s="13"/>
      <c r="W116" s="15"/>
      <c r="X116" s="13"/>
      <c r="Y116" s="14"/>
      <c r="Z116" s="14"/>
      <c r="AA116" s="14"/>
      <c r="AB116" s="42" t="s">
        <v>224</v>
      </c>
      <c r="AC116" s="11"/>
      <c r="AD116" s="33">
        <v>46194</v>
      </c>
      <c r="AE116" s="14" t="s">
        <v>465</v>
      </c>
      <c r="AF116" s="37" t="s">
        <v>597</v>
      </c>
      <c r="AG116" s="34" t="s">
        <v>513</v>
      </c>
      <c r="AH116" s="3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717</v>
      </c>
      <c r="AT116" s="14"/>
      <c r="AU116" s="11"/>
      <c r="AV116" s="14"/>
    </row>
    <row r="117" spans="1:48" s="45" customFormat="1" ht="15" x14ac:dyDescent="0.25">
      <c r="A117" s="46">
        <v>46163</v>
      </c>
      <c r="B117" s="72">
        <f t="shared" si="8"/>
        <v>46194</v>
      </c>
      <c r="C117" s="42" t="s">
        <v>49</v>
      </c>
      <c r="D117" s="42" t="s">
        <v>723</v>
      </c>
      <c r="E117" s="14"/>
      <c r="F117" s="71">
        <v>9709</v>
      </c>
      <c r="G117" s="42" t="s">
        <v>50</v>
      </c>
      <c r="H117" s="31">
        <v>20100047218</v>
      </c>
      <c r="I117" s="138" t="str">
        <f>IF(H117="","",VLOOKUP(H117,[1]ENTIDAD!$B$2:$C$605,2,0))</f>
        <v>BANCO DE CREDITO DEL PERU</v>
      </c>
      <c r="J117" s="11"/>
      <c r="K117" s="11"/>
      <c r="L117" s="11"/>
      <c r="M117" s="11"/>
      <c r="N117" s="11">
        <f t="shared" si="7"/>
        <v>66.949152542372886</v>
      </c>
      <c r="O117" s="11">
        <f t="shared" si="6"/>
        <v>12.050847457627119</v>
      </c>
      <c r="P117" s="11">
        <v>0</v>
      </c>
      <c r="Q117" s="11"/>
      <c r="R117" s="11"/>
      <c r="S117" s="11">
        <v>79</v>
      </c>
      <c r="T117" s="14"/>
      <c r="U117" s="14"/>
      <c r="V117" s="13"/>
      <c r="W117" s="15"/>
      <c r="X117" s="13"/>
      <c r="Y117" s="14"/>
      <c r="Z117" s="14"/>
      <c r="AA117" s="14"/>
      <c r="AB117" s="42" t="s">
        <v>224</v>
      </c>
      <c r="AC117" s="11"/>
      <c r="AD117" s="33">
        <v>46194</v>
      </c>
      <c r="AE117" s="14" t="s">
        <v>465</v>
      </c>
      <c r="AF117" s="19" t="s">
        <v>494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725</v>
      </c>
      <c r="AT117" s="14"/>
      <c r="AU117" s="11"/>
      <c r="AV117" s="14"/>
    </row>
    <row r="118" spans="1:48" s="45" customFormat="1" ht="15" x14ac:dyDescent="0.25">
      <c r="A118" s="46">
        <v>46163</v>
      </c>
      <c r="B118" s="72">
        <f t="shared" si="8"/>
        <v>46194</v>
      </c>
      <c r="C118" s="42" t="s">
        <v>49</v>
      </c>
      <c r="D118" s="42" t="s">
        <v>440</v>
      </c>
      <c r="E118" s="14"/>
      <c r="F118" s="71">
        <v>1532633</v>
      </c>
      <c r="G118" s="42" t="s">
        <v>50</v>
      </c>
      <c r="H118" s="31">
        <v>20130200789</v>
      </c>
      <c r="I118" s="138" t="str">
        <f>IF(H118="","",VLOOKUP(H118,[1]ENTIDAD!$B$2:$C$605,2,0))</f>
        <v>CMAC - HUANCAYO S.A.</v>
      </c>
      <c r="J118" s="11"/>
      <c r="K118" s="11"/>
      <c r="L118" s="11"/>
      <c r="M118" s="11"/>
      <c r="N118" s="11">
        <f t="shared" si="7"/>
        <v>0</v>
      </c>
      <c r="O118" s="11">
        <f t="shared" si="6"/>
        <v>0</v>
      </c>
      <c r="P118" s="11">
        <v>32.32</v>
      </c>
      <c r="Q118" s="11"/>
      <c r="R118" s="11"/>
      <c r="S118" s="11">
        <v>32.32</v>
      </c>
      <c r="T118" s="14"/>
      <c r="U118" s="14"/>
      <c r="V118" s="13"/>
      <c r="W118" s="15"/>
      <c r="X118" s="13"/>
      <c r="Y118" s="14"/>
      <c r="Z118" s="14"/>
      <c r="AA118" s="14"/>
      <c r="AB118" s="42" t="s">
        <v>224</v>
      </c>
      <c r="AC118" s="11"/>
      <c r="AD118" s="33">
        <v>46194</v>
      </c>
      <c r="AE118" s="14" t="s">
        <v>465</v>
      </c>
      <c r="AF118" s="19" t="s">
        <v>494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736</v>
      </c>
      <c r="AT118" s="14"/>
      <c r="AU118" s="11"/>
      <c r="AV118" s="14"/>
    </row>
    <row r="119" spans="1:48" s="45" customFormat="1" ht="15" x14ac:dyDescent="0.25">
      <c r="A119" s="46">
        <v>46164</v>
      </c>
      <c r="B119" s="72">
        <f t="shared" si="8"/>
        <v>46164</v>
      </c>
      <c r="C119" s="42" t="s">
        <v>49</v>
      </c>
      <c r="D119" s="42" t="s">
        <v>299</v>
      </c>
      <c r="E119" s="14"/>
      <c r="F119" s="86">
        <v>60284</v>
      </c>
      <c r="G119" s="42" t="s">
        <v>50</v>
      </c>
      <c r="H119" s="31">
        <v>20493508645</v>
      </c>
      <c r="I119" s="138" t="str">
        <f>IF(H119="","",VLOOKUP(H119,[1]ENTIDAD!$B$2:$C$605,2,0))</f>
        <v>HONDA SELVA DEL PERU S.A.</v>
      </c>
      <c r="J119" s="11"/>
      <c r="K119" s="11"/>
      <c r="L119" s="11"/>
      <c r="M119" s="11"/>
      <c r="N119" s="11">
        <f t="shared" si="7"/>
        <v>1.6949152542453812E-3</v>
      </c>
      <c r="O119" s="11">
        <f t="shared" si="6"/>
        <v>3.0508474576416864E-4</v>
      </c>
      <c r="P119" s="11">
        <v>235.84</v>
      </c>
      <c r="Q119" s="11"/>
      <c r="R119" s="11"/>
      <c r="S119" s="11">
        <f>W119*AC119</f>
        <v>235.84200000000001</v>
      </c>
      <c r="T119" s="14"/>
      <c r="U119" s="14"/>
      <c r="V119" s="13"/>
      <c r="W119" s="15">
        <v>3.4180000000000001</v>
      </c>
      <c r="X119" s="13"/>
      <c r="Y119" s="14"/>
      <c r="Z119" s="14"/>
      <c r="AA119" s="14"/>
      <c r="AB119" s="42" t="s">
        <v>383</v>
      </c>
      <c r="AC119" s="11">
        <v>69</v>
      </c>
      <c r="AD119" s="33">
        <v>46164</v>
      </c>
      <c r="AE119" s="34" t="s">
        <v>465</v>
      </c>
      <c r="AF119" s="19" t="s">
        <v>532</v>
      </c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 t="s">
        <v>201</v>
      </c>
      <c r="AT119" s="14"/>
      <c r="AU119" s="11"/>
      <c r="AV119" s="14"/>
    </row>
    <row r="120" spans="1:48" s="45" customFormat="1" ht="15" x14ac:dyDescent="0.25">
      <c r="A120" s="46">
        <v>46164</v>
      </c>
      <c r="B120" s="72">
        <f t="shared" si="8"/>
        <v>46195</v>
      </c>
      <c r="C120" s="42" t="s">
        <v>49</v>
      </c>
      <c r="D120" s="42" t="s">
        <v>292</v>
      </c>
      <c r="E120" s="14"/>
      <c r="F120" s="71">
        <v>7295</v>
      </c>
      <c r="G120" s="42" t="s">
        <v>50</v>
      </c>
      <c r="H120" s="31">
        <v>10210648939</v>
      </c>
      <c r="I120" s="138" t="str">
        <f>IF(H120="","",VLOOKUP(H120,[1]ENTIDAD!$B$2:$C$605,2,0))</f>
        <v>EGOAVIL,TORRES,EDITH,GINA</v>
      </c>
      <c r="J120" s="11"/>
      <c r="K120" s="11"/>
      <c r="L120" s="11"/>
      <c r="M120" s="11"/>
      <c r="N120" s="11">
        <f t="shared" si="7"/>
        <v>0</v>
      </c>
      <c r="O120" s="11">
        <f t="shared" si="6"/>
        <v>0</v>
      </c>
      <c r="P120" s="11">
        <v>45</v>
      </c>
      <c r="Q120" s="11"/>
      <c r="R120" s="11"/>
      <c r="S120" s="11">
        <v>45</v>
      </c>
      <c r="T120" s="14"/>
      <c r="U120" s="14"/>
      <c r="V120" s="13"/>
      <c r="W120" s="15"/>
      <c r="X120" s="13"/>
      <c r="Y120" s="14"/>
      <c r="Z120" s="14"/>
      <c r="AA120" s="14"/>
      <c r="AB120" s="42" t="s">
        <v>224</v>
      </c>
      <c r="AC120" s="11"/>
      <c r="AD120" s="33">
        <v>46195</v>
      </c>
      <c r="AE120" s="14" t="s">
        <v>465</v>
      </c>
      <c r="AF120" s="37" t="s">
        <v>704</v>
      </c>
      <c r="AG120" s="14"/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 t="s">
        <v>720</v>
      </c>
      <c r="AT120" s="14"/>
      <c r="AU120" s="11"/>
      <c r="AV120" s="14"/>
    </row>
    <row r="121" spans="1:48" s="45" customFormat="1" ht="15" x14ac:dyDescent="0.25">
      <c r="A121" s="46">
        <v>46164</v>
      </c>
      <c r="B121" s="72">
        <f t="shared" si="8"/>
        <v>46173</v>
      </c>
      <c r="C121" s="42" t="s">
        <v>388</v>
      </c>
      <c r="D121" s="42" t="s">
        <v>626</v>
      </c>
      <c r="E121" s="14"/>
      <c r="F121" s="71">
        <v>1068907</v>
      </c>
      <c r="G121" s="42" t="s">
        <v>50</v>
      </c>
      <c r="H121" s="31">
        <v>20121876290</v>
      </c>
      <c r="I121" s="138" t="str">
        <f>IF(H121="","",VLOOKUP(H121,[1]ENTIDAD!$B$2:$C$605,2,0))</f>
        <v>ENT.PREST.SERV.SANEAM.SELVA CENTRAL S.A</v>
      </c>
      <c r="J121" s="11"/>
      <c r="K121" s="11"/>
      <c r="L121" s="11"/>
      <c r="M121" s="11"/>
      <c r="N121" s="11">
        <f t="shared" si="7"/>
        <v>0</v>
      </c>
      <c r="O121" s="11">
        <f t="shared" si="6"/>
        <v>0</v>
      </c>
      <c r="P121" s="11">
        <v>50.5</v>
      </c>
      <c r="Q121" s="11"/>
      <c r="R121" s="11"/>
      <c r="S121" s="11">
        <v>50.5</v>
      </c>
      <c r="T121" s="14"/>
      <c r="U121" s="14"/>
      <c r="V121" s="13"/>
      <c r="W121" s="15"/>
      <c r="X121" s="13"/>
      <c r="Y121" s="14"/>
      <c r="Z121" s="14"/>
      <c r="AA121" s="14"/>
      <c r="AB121" s="42" t="s">
        <v>224</v>
      </c>
      <c r="AC121" s="11"/>
      <c r="AD121" s="33">
        <v>46173</v>
      </c>
      <c r="AE121" s="34" t="s">
        <v>465</v>
      </c>
      <c r="AF121" s="37" t="s">
        <v>561</v>
      </c>
      <c r="AG121" s="14"/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721</v>
      </c>
      <c r="AT121" s="14"/>
      <c r="AU121" s="11"/>
      <c r="AV121" s="14"/>
    </row>
    <row r="122" spans="1:48" s="45" customFormat="1" ht="15" x14ac:dyDescent="0.25">
      <c r="A122" s="46">
        <v>46164</v>
      </c>
      <c r="B122" s="72"/>
      <c r="C122" s="42" t="s">
        <v>49</v>
      </c>
      <c r="D122" s="42" t="s">
        <v>292</v>
      </c>
      <c r="E122" s="14"/>
      <c r="F122" s="113">
        <v>6207</v>
      </c>
      <c r="G122" s="42" t="s">
        <v>50</v>
      </c>
      <c r="H122" s="31">
        <v>20602783341</v>
      </c>
      <c r="I122" s="138" t="str">
        <f>IF(H122="","",VLOOKUP(H122,[1]ENTIDAD!$B$2:$C$605,2,0))</f>
        <v>CODISSER VRAEM E.I.R.L.</v>
      </c>
      <c r="J122" s="11"/>
      <c r="K122" s="11"/>
      <c r="L122" s="11"/>
      <c r="M122" s="11"/>
      <c r="N122" s="11">
        <f t="shared" ref="N122:N153" si="9">(S122-P122)/1.18</f>
        <v>0</v>
      </c>
      <c r="O122" s="11">
        <f t="shared" si="6"/>
        <v>0</v>
      </c>
      <c r="P122" s="11">
        <v>8</v>
      </c>
      <c r="Q122" s="11"/>
      <c r="R122" s="11"/>
      <c r="S122" s="11">
        <v>8</v>
      </c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33">
        <v>46164</v>
      </c>
      <c r="AE122" s="14" t="s">
        <v>262</v>
      </c>
      <c r="AF122" s="19" t="s">
        <v>601</v>
      </c>
      <c r="AG122" s="14"/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715</v>
      </c>
      <c r="AT122" s="14"/>
      <c r="AU122" s="11"/>
      <c r="AV122" s="14"/>
    </row>
    <row r="123" spans="1:48" s="45" customFormat="1" ht="15" x14ac:dyDescent="0.25">
      <c r="A123" s="46">
        <v>46164</v>
      </c>
      <c r="B123" s="72"/>
      <c r="C123" s="42" t="s">
        <v>49</v>
      </c>
      <c r="D123" s="42" t="s">
        <v>451</v>
      </c>
      <c r="E123" s="14"/>
      <c r="F123" s="71">
        <v>163</v>
      </c>
      <c r="G123" s="42" t="s">
        <v>50</v>
      </c>
      <c r="H123" s="31">
        <v>20486549328</v>
      </c>
      <c r="I123" s="138" t="str">
        <f>IF(H123="","",VLOOKUP(H123,[1]ENTIDAD!$B$2:$C$605,2,0))</f>
        <v>SANTISIMA TRINIDAD E.I.R.L.</v>
      </c>
      <c r="J123" s="11"/>
      <c r="K123" s="11"/>
      <c r="L123" s="11"/>
      <c r="M123" s="11"/>
      <c r="N123" s="11">
        <f t="shared" si="9"/>
        <v>6.7796610169491531</v>
      </c>
      <c r="O123" s="11">
        <f t="shared" si="6"/>
        <v>1.2203389830508475</v>
      </c>
      <c r="P123" s="11">
        <v>0</v>
      </c>
      <c r="Q123" s="11"/>
      <c r="R123" s="11"/>
      <c r="S123" s="11">
        <v>8</v>
      </c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33">
        <v>46164</v>
      </c>
      <c r="AE123" s="34" t="s">
        <v>262</v>
      </c>
      <c r="AF123" s="37" t="s">
        <v>521</v>
      </c>
      <c r="AG123" s="14"/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722</v>
      </c>
      <c r="AT123" s="14"/>
      <c r="AU123" s="11"/>
      <c r="AV123" s="14"/>
    </row>
    <row r="124" spans="1:48" s="45" customFormat="1" ht="15" x14ac:dyDescent="0.25">
      <c r="A124" s="46">
        <v>46164</v>
      </c>
      <c r="B124" s="13"/>
      <c r="C124" s="42" t="s">
        <v>49</v>
      </c>
      <c r="D124" s="42" t="s">
        <v>451</v>
      </c>
      <c r="E124" s="14"/>
      <c r="F124" s="71">
        <v>284</v>
      </c>
      <c r="G124" s="42" t="s">
        <v>50</v>
      </c>
      <c r="H124" s="31">
        <v>10209907327</v>
      </c>
      <c r="I124" s="138" t="str">
        <f>IF(H124="","",VLOOKUP(H124,ENTIDAD!$B$2:$C$613,2,0))</f>
        <v>TORPOCO,MAYTA,HECTOR,ALFONSO</v>
      </c>
      <c r="J124" s="11"/>
      <c r="K124" s="11"/>
      <c r="L124" s="11"/>
      <c r="M124" s="11"/>
      <c r="N124" s="11">
        <f t="shared" si="9"/>
        <v>0</v>
      </c>
      <c r="O124" s="11">
        <f t="shared" si="6"/>
        <v>0</v>
      </c>
      <c r="P124" s="11">
        <v>20</v>
      </c>
      <c r="Q124" s="11"/>
      <c r="R124" s="11"/>
      <c r="S124" s="11">
        <v>20</v>
      </c>
      <c r="T124" s="14"/>
      <c r="U124" s="14"/>
      <c r="V124" s="13"/>
      <c r="W124" s="15"/>
      <c r="X124" s="13"/>
      <c r="Y124" s="14"/>
      <c r="Z124" s="14"/>
      <c r="AA124" s="14"/>
      <c r="AB124" s="42" t="s">
        <v>224</v>
      </c>
      <c r="AC124" s="11"/>
      <c r="AD124" s="33">
        <v>46164</v>
      </c>
      <c r="AE124" s="14" t="s">
        <v>262</v>
      </c>
      <c r="AF124" s="19" t="s">
        <v>486</v>
      </c>
      <c r="AG124" s="14"/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713</v>
      </c>
      <c r="AT124" s="14"/>
      <c r="AU124" s="11"/>
      <c r="AV124" s="14"/>
    </row>
    <row r="125" spans="1:48" s="45" customFormat="1" ht="15" x14ac:dyDescent="0.25">
      <c r="A125" s="143">
        <v>46165</v>
      </c>
      <c r="B125" s="72">
        <v>46196</v>
      </c>
      <c r="C125" s="42" t="s">
        <v>49</v>
      </c>
      <c r="D125" s="42" t="s">
        <v>292</v>
      </c>
      <c r="E125" s="14"/>
      <c r="F125" s="71">
        <v>1586</v>
      </c>
      <c r="G125" s="42" t="s">
        <v>50</v>
      </c>
      <c r="H125" s="31">
        <v>20609448360</v>
      </c>
      <c r="I125" s="138" t="str">
        <f>IF(H125="","",VLOOKUP(H125,[1]ENTIDAD!$B$2:$C$605,2,0))</f>
        <v> L &amp; E SAN FRANCISCO SOCIEDAD DE RESPONSABILIDAD LIMITADA</v>
      </c>
      <c r="J125" s="11"/>
      <c r="K125" s="11"/>
      <c r="L125" s="11"/>
      <c r="M125" s="11"/>
      <c r="N125" s="11">
        <f t="shared" si="9"/>
        <v>0</v>
      </c>
      <c r="O125" s="11">
        <f t="shared" si="6"/>
        <v>0</v>
      </c>
      <c r="P125" s="11">
        <v>45</v>
      </c>
      <c r="Q125" s="11"/>
      <c r="R125" s="11"/>
      <c r="S125" s="11">
        <v>45</v>
      </c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33">
        <v>46196</v>
      </c>
      <c r="AE125" s="34" t="s">
        <v>465</v>
      </c>
      <c r="AF125" s="37" t="s">
        <v>741</v>
      </c>
      <c r="AG125" s="14"/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 t="s">
        <v>724</v>
      </c>
      <c r="AT125" s="14"/>
      <c r="AU125" s="11"/>
      <c r="AV125" s="14"/>
    </row>
    <row r="126" spans="1:48" s="45" customFormat="1" ht="15" x14ac:dyDescent="0.25">
      <c r="A126" s="46">
        <v>46165</v>
      </c>
      <c r="B126" s="72">
        <v>46196</v>
      </c>
      <c r="C126" s="42" t="s">
        <v>49</v>
      </c>
      <c r="D126" s="42" t="s">
        <v>292</v>
      </c>
      <c r="E126" s="14"/>
      <c r="F126" s="71">
        <v>1587</v>
      </c>
      <c r="G126" s="42" t="s">
        <v>50</v>
      </c>
      <c r="H126" s="31">
        <v>20609448360</v>
      </c>
      <c r="I126" s="138" t="str">
        <f>IF(H126="","",VLOOKUP(H126,[1]ENTIDAD!$B$2:$C$605,2,0))</f>
        <v> L &amp; E SAN FRANCISCO SOCIEDAD DE RESPONSABILIDAD LIMITADA</v>
      </c>
      <c r="J126" s="11"/>
      <c r="K126" s="11"/>
      <c r="L126" s="11"/>
      <c r="M126" s="11"/>
      <c r="N126" s="11">
        <f t="shared" si="9"/>
        <v>0</v>
      </c>
      <c r="O126" s="11">
        <f t="shared" si="6"/>
        <v>0</v>
      </c>
      <c r="P126" s="11">
        <v>25</v>
      </c>
      <c r="Q126" s="11"/>
      <c r="R126" s="11"/>
      <c r="S126" s="11">
        <v>25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33">
        <v>46196</v>
      </c>
      <c r="AE126" s="34" t="s">
        <v>465</v>
      </c>
      <c r="AF126" s="37" t="s">
        <v>741</v>
      </c>
      <c r="AG126" s="14"/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6451</v>
      </c>
      <c r="AT126" s="14"/>
      <c r="AU126" s="11"/>
      <c r="AV126" s="14"/>
    </row>
    <row r="127" spans="1:48" s="45" customFormat="1" ht="15" x14ac:dyDescent="0.25">
      <c r="A127" s="46">
        <v>46165</v>
      </c>
      <c r="B127" s="72">
        <f t="shared" ref="B127:B158" si="10">AD127</f>
        <v>46196</v>
      </c>
      <c r="C127" s="42" t="s">
        <v>49</v>
      </c>
      <c r="D127" s="42" t="s">
        <v>294</v>
      </c>
      <c r="E127" s="14"/>
      <c r="F127" s="86">
        <v>18443</v>
      </c>
      <c r="G127" s="42" t="s">
        <v>50</v>
      </c>
      <c r="H127" s="31">
        <v>20493508645</v>
      </c>
      <c r="I127" s="138" t="str">
        <f>IF(H127="","",VLOOKUP(H127,[1]ENTIDAD!$B$2:$C$605,2,0))</f>
        <v>HONDA SELVA DEL PERU S.A.</v>
      </c>
      <c r="J127" s="11"/>
      <c r="K127" s="11"/>
      <c r="L127" s="11"/>
      <c r="M127" s="11"/>
      <c r="N127" s="11">
        <f t="shared" si="9"/>
        <v>3.3050847239299064E-4</v>
      </c>
      <c r="O127" s="11">
        <f t="shared" si="6"/>
        <v>5.949152503073831E-5</v>
      </c>
      <c r="P127" s="11">
        <v>20226.97</v>
      </c>
      <c r="Q127" s="11"/>
      <c r="R127" s="11"/>
      <c r="S127" s="11">
        <f>W127*AC127</f>
        <v>20226.970389999999</v>
      </c>
      <c r="T127" s="14"/>
      <c r="U127" s="14"/>
      <c r="V127" s="13"/>
      <c r="W127" s="15">
        <v>3.4209999999999998</v>
      </c>
      <c r="X127" s="13"/>
      <c r="Y127" s="14"/>
      <c r="Z127" s="14"/>
      <c r="AA127" s="14"/>
      <c r="AB127" s="42" t="s">
        <v>383</v>
      </c>
      <c r="AC127" s="11">
        <v>5912.59</v>
      </c>
      <c r="AD127" s="33">
        <v>46196</v>
      </c>
      <c r="AE127" s="34" t="s">
        <v>465</v>
      </c>
      <c r="AF127" s="19" t="s">
        <v>532</v>
      </c>
      <c r="AG127" s="14"/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201</v>
      </c>
      <c r="AT127" s="14"/>
      <c r="AU127" s="11"/>
      <c r="AV127" s="14"/>
    </row>
    <row r="128" spans="1:48" s="45" customFormat="1" ht="15" x14ac:dyDescent="0.25">
      <c r="A128" s="46">
        <v>46165</v>
      </c>
      <c r="B128" s="72">
        <f t="shared" si="10"/>
        <v>46196</v>
      </c>
      <c r="C128" s="42" t="s">
        <v>49</v>
      </c>
      <c r="D128" s="42" t="s">
        <v>301</v>
      </c>
      <c r="E128" s="14"/>
      <c r="F128" s="86">
        <v>18420</v>
      </c>
      <c r="G128" s="42" t="s">
        <v>50</v>
      </c>
      <c r="H128" s="31">
        <v>20493508645</v>
      </c>
      <c r="I128" s="138" t="str">
        <f>IF(H128="","",VLOOKUP(H128,[1]ENTIDAD!$B$2:$C$605,2,0))</f>
        <v>HONDA SELVA DEL PERU S.A.</v>
      </c>
      <c r="J128" s="11"/>
      <c r="K128" s="11"/>
      <c r="L128" s="11"/>
      <c r="M128" s="11"/>
      <c r="N128" s="11">
        <f t="shared" si="9"/>
        <v>-1.4491525427606036E-3</v>
      </c>
      <c r="O128" s="11">
        <f t="shared" si="6"/>
        <v>-2.6084745769690862E-4</v>
      </c>
      <c r="P128" s="11">
        <v>8868.91</v>
      </c>
      <c r="Q128" s="11"/>
      <c r="R128" s="11"/>
      <c r="S128" s="11">
        <f>W128*AC128</f>
        <v>8868.9082899999994</v>
      </c>
      <c r="T128" s="14"/>
      <c r="U128" s="14"/>
      <c r="V128" s="13"/>
      <c r="W128" s="15">
        <v>3.4209999999999998</v>
      </c>
      <c r="X128" s="13"/>
      <c r="Y128" s="14"/>
      <c r="Z128" s="14"/>
      <c r="AA128" s="14"/>
      <c r="AB128" s="42" t="s">
        <v>383</v>
      </c>
      <c r="AC128" s="11">
        <v>2592.4899999999998</v>
      </c>
      <c r="AD128" s="33">
        <v>46196</v>
      </c>
      <c r="AE128" s="34" t="s">
        <v>465</v>
      </c>
      <c r="AF128" s="19" t="s">
        <v>532</v>
      </c>
      <c r="AG128" s="14"/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201</v>
      </c>
      <c r="AT128" s="14"/>
      <c r="AU128" s="11"/>
      <c r="AV128" s="14"/>
    </row>
    <row r="129" spans="1:49" s="45" customFormat="1" ht="15" x14ac:dyDescent="0.25">
      <c r="A129" s="46">
        <v>46165</v>
      </c>
      <c r="B129" s="72">
        <f t="shared" si="10"/>
        <v>46196</v>
      </c>
      <c r="C129" s="42" t="s">
        <v>49</v>
      </c>
      <c r="D129" s="42" t="s">
        <v>301</v>
      </c>
      <c r="E129" s="14"/>
      <c r="F129" s="86">
        <v>18398</v>
      </c>
      <c r="G129" s="42" t="s">
        <v>50</v>
      </c>
      <c r="H129" s="31">
        <v>20493508645</v>
      </c>
      <c r="I129" s="138" t="str">
        <f>IF(H129="","",VLOOKUP(H129,[1]ENTIDAD!$B$2:$C$605,2,0))</f>
        <v>HONDA SELVA DEL PERU S.A.</v>
      </c>
      <c r="J129" s="11"/>
      <c r="K129" s="11"/>
      <c r="L129" s="11"/>
      <c r="M129" s="11"/>
      <c r="N129" s="11">
        <f t="shared" si="9"/>
        <v>1.347457626992363E-3</v>
      </c>
      <c r="O129" s="11">
        <f t="shared" si="6"/>
        <v>2.4254237285862535E-4</v>
      </c>
      <c r="P129" s="11">
        <v>10433.33</v>
      </c>
      <c r="Q129" s="11"/>
      <c r="R129" s="11"/>
      <c r="S129" s="11">
        <f>AC129*W129</f>
        <v>10433.33159</v>
      </c>
      <c r="T129" s="14"/>
      <c r="U129" s="14"/>
      <c r="V129" s="13"/>
      <c r="W129" s="15">
        <v>3.4209999999999998</v>
      </c>
      <c r="X129" s="13"/>
      <c r="Y129" s="14"/>
      <c r="Z129" s="14"/>
      <c r="AA129" s="14"/>
      <c r="AB129" s="42" t="s">
        <v>383</v>
      </c>
      <c r="AC129" s="11">
        <v>3049.79</v>
      </c>
      <c r="AD129" s="33">
        <v>46196</v>
      </c>
      <c r="AE129" s="34" t="s">
        <v>465</v>
      </c>
      <c r="AF129" s="19" t="s">
        <v>532</v>
      </c>
      <c r="AG129" s="14"/>
      <c r="AH129" s="1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201</v>
      </c>
      <c r="AT129" s="14"/>
      <c r="AU129" s="11"/>
      <c r="AV129" s="14"/>
    </row>
    <row r="130" spans="1:49" s="45" customFormat="1" ht="15" x14ac:dyDescent="0.25">
      <c r="A130" s="46">
        <v>46165</v>
      </c>
      <c r="B130" s="72">
        <f t="shared" si="10"/>
        <v>46196</v>
      </c>
      <c r="C130" s="42" t="s">
        <v>49</v>
      </c>
      <c r="D130" s="42" t="s">
        <v>301</v>
      </c>
      <c r="E130" s="14"/>
      <c r="F130" s="86">
        <v>18397</v>
      </c>
      <c r="G130" s="42" t="s">
        <v>50</v>
      </c>
      <c r="H130" s="31">
        <v>20493508645</v>
      </c>
      <c r="I130" s="138" t="str">
        <f>IF(H130="","",VLOOKUP(H130,[1]ENTIDAD!$B$2:$C$605,2,0))</f>
        <v>HONDA SELVA DEL PERU S.A.</v>
      </c>
      <c r="J130" s="11"/>
      <c r="K130" s="11"/>
      <c r="L130" s="11"/>
      <c r="M130" s="11"/>
      <c r="N130" s="11">
        <f t="shared" si="9"/>
        <v>1.3220338957380283E-3</v>
      </c>
      <c r="O130" s="11">
        <f t="shared" si="6"/>
        <v>2.3796610123284507E-4</v>
      </c>
      <c r="P130" s="11">
        <v>19535.14</v>
      </c>
      <c r="Q130" s="11"/>
      <c r="R130" s="11"/>
      <c r="S130" s="11">
        <f>W130*AC130</f>
        <v>19535.141559999996</v>
      </c>
      <c r="T130" s="14"/>
      <c r="U130" s="14"/>
      <c r="V130" s="13"/>
      <c r="W130" s="15">
        <v>3.4209999999999998</v>
      </c>
      <c r="X130" s="13"/>
      <c r="Y130" s="14"/>
      <c r="Z130" s="14"/>
      <c r="AA130" s="14"/>
      <c r="AB130" s="42" t="s">
        <v>383</v>
      </c>
      <c r="AC130" s="11">
        <v>5710.36</v>
      </c>
      <c r="AD130" s="33">
        <v>46196</v>
      </c>
      <c r="AE130" s="34" t="s">
        <v>465</v>
      </c>
      <c r="AF130" s="19" t="s">
        <v>532</v>
      </c>
      <c r="AG130" s="14"/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 t="s">
        <v>201</v>
      </c>
      <c r="AT130" s="14"/>
      <c r="AU130" s="11"/>
      <c r="AV130" s="14"/>
    </row>
    <row r="131" spans="1:49" s="45" customFormat="1" ht="15" x14ac:dyDescent="0.25">
      <c r="A131" s="46">
        <v>46165</v>
      </c>
      <c r="B131" s="72">
        <f t="shared" si="10"/>
        <v>46196</v>
      </c>
      <c r="C131" s="42" t="s">
        <v>49</v>
      </c>
      <c r="D131" s="42" t="s">
        <v>299</v>
      </c>
      <c r="E131" s="14"/>
      <c r="F131" s="71">
        <v>3874482</v>
      </c>
      <c r="G131" s="42" t="s">
        <v>50</v>
      </c>
      <c r="H131" s="31">
        <v>20101973922</v>
      </c>
      <c r="I131" s="138" t="str">
        <f>IF(H131="","",VLOOKUP(H131,[1]ENTIDAD!$B$2:$C$605,2,0))</f>
        <v>ASOCIACION AUTOMOTRIZ DEL PERU</v>
      </c>
      <c r="J131" s="11"/>
      <c r="K131" s="11"/>
      <c r="L131" s="11"/>
      <c r="M131" s="11"/>
      <c r="N131" s="11">
        <f t="shared" si="9"/>
        <v>56.610169491525426</v>
      </c>
      <c r="O131" s="11">
        <f t="shared" ref="O131:O194" si="11">N131*0.18</f>
        <v>10.189830508474577</v>
      </c>
      <c r="P131" s="11">
        <v>0</v>
      </c>
      <c r="Q131" s="11"/>
      <c r="R131" s="11">
        <v>66.8</v>
      </c>
      <c r="S131" s="11">
        <v>66.8</v>
      </c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33">
        <v>46196</v>
      </c>
      <c r="AE131" s="34" t="s">
        <v>465</v>
      </c>
      <c r="AF131" s="37" t="s">
        <v>550</v>
      </c>
      <c r="AG131" s="14" t="s">
        <v>513</v>
      </c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566</v>
      </c>
      <c r="AT131" s="14"/>
      <c r="AU131" s="11"/>
      <c r="AV131" s="14"/>
    </row>
    <row r="132" spans="1:49" s="45" customFormat="1" ht="15" x14ac:dyDescent="0.25">
      <c r="A132" s="46">
        <v>46165</v>
      </c>
      <c r="B132" s="72">
        <f t="shared" si="10"/>
        <v>46196</v>
      </c>
      <c r="C132" s="42" t="s">
        <v>49</v>
      </c>
      <c r="D132" s="42" t="s">
        <v>299</v>
      </c>
      <c r="E132" s="14"/>
      <c r="F132" s="71">
        <v>3874483</v>
      </c>
      <c r="G132" s="42" t="s">
        <v>50</v>
      </c>
      <c r="H132" s="31">
        <v>20101973922</v>
      </c>
      <c r="I132" s="138" t="str">
        <f>IF(H132="","",VLOOKUP(H132,[1]ENTIDAD!$B$2:$C$605,2,0))</f>
        <v>ASOCIACION AUTOMOTRIZ DEL PERU</v>
      </c>
      <c r="J132" s="11"/>
      <c r="K132" s="11"/>
      <c r="L132" s="11"/>
      <c r="M132" s="11"/>
      <c r="N132" s="11">
        <f t="shared" si="9"/>
        <v>56.610169491525426</v>
      </c>
      <c r="O132" s="11">
        <f t="shared" si="11"/>
        <v>10.189830508474577</v>
      </c>
      <c r="P132" s="11">
        <v>0</v>
      </c>
      <c r="Q132" s="11"/>
      <c r="R132" s="11">
        <v>66.8</v>
      </c>
      <c r="S132" s="11">
        <v>66.8</v>
      </c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33">
        <v>46196</v>
      </c>
      <c r="AE132" s="34" t="s">
        <v>465</v>
      </c>
      <c r="AF132" s="37" t="s">
        <v>550</v>
      </c>
      <c r="AG132" s="14" t="s">
        <v>513</v>
      </c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 t="s">
        <v>566</v>
      </c>
      <c r="AT132" s="14"/>
      <c r="AU132" s="11"/>
      <c r="AV132" s="14"/>
    </row>
    <row r="133" spans="1:49" s="45" customFormat="1" ht="15" x14ac:dyDescent="0.25">
      <c r="A133" s="46">
        <v>46165</v>
      </c>
      <c r="B133" s="72">
        <f t="shared" si="10"/>
        <v>46196</v>
      </c>
      <c r="C133" s="42" t="s">
        <v>49</v>
      </c>
      <c r="D133" s="42" t="s">
        <v>299</v>
      </c>
      <c r="E133" s="14"/>
      <c r="F133" s="71">
        <v>3874484</v>
      </c>
      <c r="G133" s="42" t="s">
        <v>50</v>
      </c>
      <c r="H133" s="31">
        <v>20101973922</v>
      </c>
      <c r="I133" s="138" t="str">
        <f>IF(H133="","",VLOOKUP(H133,[1]ENTIDAD!$B$2:$C$605,2,0))</f>
        <v>ASOCIACION AUTOMOTRIZ DEL PERU</v>
      </c>
      <c r="J133" s="11"/>
      <c r="K133" s="11"/>
      <c r="L133" s="11"/>
      <c r="M133" s="11"/>
      <c r="N133" s="11">
        <f t="shared" si="9"/>
        <v>56.610169491525426</v>
      </c>
      <c r="O133" s="11">
        <f t="shared" si="11"/>
        <v>10.189830508474577</v>
      </c>
      <c r="P133" s="11">
        <v>0</v>
      </c>
      <c r="Q133" s="11"/>
      <c r="R133" s="11">
        <v>66.8</v>
      </c>
      <c r="S133" s="11">
        <v>66.8</v>
      </c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>
        <v>46196</v>
      </c>
      <c r="AE133" s="34" t="s">
        <v>465</v>
      </c>
      <c r="AF133" s="37" t="s">
        <v>550</v>
      </c>
      <c r="AG133" s="14" t="s">
        <v>513</v>
      </c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 t="s">
        <v>566</v>
      </c>
      <c r="AT133" s="14"/>
      <c r="AU133" s="11"/>
      <c r="AV133" s="14"/>
    </row>
    <row r="134" spans="1:49" s="121" customFormat="1" ht="15" x14ac:dyDescent="0.25">
      <c r="A134" s="46">
        <v>46165</v>
      </c>
      <c r="B134" s="72">
        <f t="shared" si="10"/>
        <v>46196</v>
      </c>
      <c r="C134" s="42" t="s">
        <v>49</v>
      </c>
      <c r="D134" s="42" t="s">
        <v>299</v>
      </c>
      <c r="E134" s="14"/>
      <c r="F134" s="71">
        <v>3874485</v>
      </c>
      <c r="G134" s="42" t="s">
        <v>50</v>
      </c>
      <c r="H134" s="31">
        <v>20101973922</v>
      </c>
      <c r="I134" s="138" t="str">
        <f>IF(H134="","",VLOOKUP(H134,[1]ENTIDAD!$B$2:$C$605,2,0))</f>
        <v>ASOCIACION AUTOMOTRIZ DEL PERU</v>
      </c>
      <c r="J134" s="11"/>
      <c r="K134" s="11"/>
      <c r="L134" s="11"/>
      <c r="M134" s="11"/>
      <c r="N134" s="11">
        <f t="shared" si="9"/>
        <v>56.610169491525426</v>
      </c>
      <c r="O134" s="11">
        <f t="shared" si="11"/>
        <v>10.189830508474577</v>
      </c>
      <c r="P134" s="11">
        <v>0</v>
      </c>
      <c r="Q134" s="11"/>
      <c r="R134" s="11">
        <v>66.8</v>
      </c>
      <c r="S134" s="11">
        <v>66.8</v>
      </c>
      <c r="T134" s="14"/>
      <c r="U134" s="14"/>
      <c r="V134" s="13"/>
      <c r="W134" s="15"/>
      <c r="X134" s="13"/>
      <c r="Y134" s="14"/>
      <c r="Z134" s="14"/>
      <c r="AA134" s="14"/>
      <c r="AB134" s="42" t="s">
        <v>224</v>
      </c>
      <c r="AC134" s="11"/>
      <c r="AD134" s="33">
        <v>46196</v>
      </c>
      <c r="AE134" s="34" t="s">
        <v>465</v>
      </c>
      <c r="AF134" s="37" t="s">
        <v>550</v>
      </c>
      <c r="AG134" s="14" t="s">
        <v>513</v>
      </c>
      <c r="AH134" s="14" t="s">
        <v>225</v>
      </c>
      <c r="AI134" s="14"/>
      <c r="AJ134" s="14"/>
      <c r="AK134" s="16"/>
      <c r="AL134" s="11"/>
      <c r="AM134" s="11"/>
      <c r="AN134" s="14"/>
      <c r="AO134" s="14"/>
      <c r="AP134" s="13"/>
      <c r="AQ134" s="14"/>
      <c r="AR134" s="11">
        <v>18</v>
      </c>
      <c r="AS134" s="14" t="s">
        <v>566</v>
      </c>
      <c r="AT134" s="14"/>
      <c r="AU134" s="11"/>
      <c r="AV134" s="14"/>
      <c r="AW134" s="45"/>
    </row>
    <row r="135" spans="1:49" s="45" customFormat="1" ht="15" x14ac:dyDescent="0.25">
      <c r="A135" s="46">
        <v>46165</v>
      </c>
      <c r="B135" s="72">
        <f t="shared" si="10"/>
        <v>46196</v>
      </c>
      <c r="C135" s="42" t="s">
        <v>49</v>
      </c>
      <c r="D135" s="42" t="s">
        <v>299</v>
      </c>
      <c r="E135" s="14"/>
      <c r="F135" s="71">
        <v>3874486</v>
      </c>
      <c r="G135" s="42" t="s">
        <v>50</v>
      </c>
      <c r="H135" s="31">
        <v>20101973922</v>
      </c>
      <c r="I135" s="138" t="str">
        <f>IF(H135="","",VLOOKUP(H135,[1]ENTIDAD!$B$2:$C$605,2,0))</f>
        <v>ASOCIACION AUTOMOTRIZ DEL PERU</v>
      </c>
      <c r="J135" s="11"/>
      <c r="K135" s="11"/>
      <c r="L135" s="11"/>
      <c r="M135" s="11"/>
      <c r="N135" s="11">
        <f t="shared" si="9"/>
        <v>56.610169491525426</v>
      </c>
      <c r="O135" s="11">
        <f t="shared" si="11"/>
        <v>10.189830508474577</v>
      </c>
      <c r="P135" s="11">
        <v>0</v>
      </c>
      <c r="Q135" s="11"/>
      <c r="R135" s="11">
        <v>66.8</v>
      </c>
      <c r="S135" s="11">
        <v>66.8</v>
      </c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33">
        <v>46196</v>
      </c>
      <c r="AE135" s="34" t="s">
        <v>465</v>
      </c>
      <c r="AF135" s="37" t="s">
        <v>550</v>
      </c>
      <c r="AG135" s="14" t="s">
        <v>513</v>
      </c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566</v>
      </c>
      <c r="AT135" s="14"/>
      <c r="AU135" s="11"/>
      <c r="AV135" s="14"/>
    </row>
    <row r="136" spans="1:49" s="45" customFormat="1" ht="15" x14ac:dyDescent="0.25">
      <c r="A136" s="46">
        <v>46165</v>
      </c>
      <c r="B136" s="72">
        <f t="shared" si="10"/>
        <v>46196</v>
      </c>
      <c r="C136" s="42" t="s">
        <v>49</v>
      </c>
      <c r="D136" s="42" t="s">
        <v>299</v>
      </c>
      <c r="E136" s="14"/>
      <c r="F136" s="71">
        <v>3874487</v>
      </c>
      <c r="G136" s="42" t="s">
        <v>50</v>
      </c>
      <c r="H136" s="31">
        <v>20101973922</v>
      </c>
      <c r="I136" s="138" t="str">
        <f>IF(H136="","",VLOOKUP(H136,[1]ENTIDAD!$B$2:$C$605,2,0))</f>
        <v>ASOCIACION AUTOMOTRIZ DEL PERU</v>
      </c>
      <c r="J136" s="11"/>
      <c r="K136" s="11"/>
      <c r="L136" s="11"/>
      <c r="M136" s="11"/>
      <c r="N136" s="11">
        <f t="shared" si="9"/>
        <v>56.610169491525426</v>
      </c>
      <c r="O136" s="11">
        <f t="shared" si="11"/>
        <v>10.189830508474577</v>
      </c>
      <c r="P136" s="11">
        <v>0</v>
      </c>
      <c r="Q136" s="11"/>
      <c r="R136" s="11">
        <v>66.8</v>
      </c>
      <c r="S136" s="11">
        <v>66.8</v>
      </c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33">
        <v>46196</v>
      </c>
      <c r="AE136" s="34" t="s">
        <v>465</v>
      </c>
      <c r="AF136" s="37" t="s">
        <v>550</v>
      </c>
      <c r="AG136" s="14" t="s">
        <v>513</v>
      </c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566</v>
      </c>
      <c r="AT136" s="14"/>
      <c r="AU136" s="11"/>
      <c r="AV136" s="14"/>
    </row>
    <row r="137" spans="1:49" s="45" customFormat="1" ht="15" x14ac:dyDescent="0.25">
      <c r="A137" s="46">
        <v>46165</v>
      </c>
      <c r="B137" s="72">
        <f t="shared" si="10"/>
        <v>46196</v>
      </c>
      <c r="C137" s="42" t="s">
        <v>49</v>
      </c>
      <c r="D137" s="42" t="s">
        <v>299</v>
      </c>
      <c r="E137" s="14"/>
      <c r="F137" s="71">
        <v>3874488</v>
      </c>
      <c r="G137" s="42" t="s">
        <v>50</v>
      </c>
      <c r="H137" s="31">
        <v>20101973922</v>
      </c>
      <c r="I137" s="138" t="str">
        <f>IF(H137="","",VLOOKUP(H137,[1]ENTIDAD!$B$2:$C$605,2,0))</f>
        <v>ASOCIACION AUTOMOTRIZ DEL PERU</v>
      </c>
      <c r="J137" s="11"/>
      <c r="K137" s="11"/>
      <c r="L137" s="11"/>
      <c r="M137" s="11"/>
      <c r="N137" s="11">
        <f t="shared" si="9"/>
        <v>56.610169491525426</v>
      </c>
      <c r="O137" s="11">
        <f t="shared" si="11"/>
        <v>10.189830508474577</v>
      </c>
      <c r="P137" s="11">
        <v>0</v>
      </c>
      <c r="Q137" s="11"/>
      <c r="R137" s="11">
        <v>66.8</v>
      </c>
      <c r="S137" s="11">
        <v>66.8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>
        <v>46196</v>
      </c>
      <c r="AE137" s="34" t="s">
        <v>465</v>
      </c>
      <c r="AF137" s="37" t="s">
        <v>550</v>
      </c>
      <c r="AG137" s="14" t="s">
        <v>513</v>
      </c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566</v>
      </c>
      <c r="AT137" s="14"/>
      <c r="AU137" s="11"/>
      <c r="AV137" s="14"/>
    </row>
    <row r="138" spans="1:49" s="45" customFormat="1" ht="15" x14ac:dyDescent="0.25">
      <c r="A138" s="46">
        <v>46165</v>
      </c>
      <c r="B138" s="72">
        <f t="shared" si="10"/>
        <v>46196</v>
      </c>
      <c r="C138" s="42" t="s">
        <v>49</v>
      </c>
      <c r="D138" s="42" t="s">
        <v>299</v>
      </c>
      <c r="E138" s="14"/>
      <c r="F138" s="71">
        <v>3874489</v>
      </c>
      <c r="G138" s="42" t="s">
        <v>50</v>
      </c>
      <c r="H138" s="31">
        <v>20101973922</v>
      </c>
      <c r="I138" s="138" t="str">
        <f>IF(H138="","",VLOOKUP(H138,[1]ENTIDAD!$B$2:$C$605,2,0))</f>
        <v>ASOCIACION AUTOMOTRIZ DEL PERU</v>
      </c>
      <c r="J138" s="11"/>
      <c r="K138" s="11"/>
      <c r="L138" s="11"/>
      <c r="M138" s="11"/>
      <c r="N138" s="11">
        <f t="shared" si="9"/>
        <v>56.610169491525426</v>
      </c>
      <c r="O138" s="11">
        <f t="shared" si="11"/>
        <v>10.189830508474577</v>
      </c>
      <c r="P138" s="11">
        <v>0</v>
      </c>
      <c r="Q138" s="11"/>
      <c r="R138" s="11">
        <v>66.8</v>
      </c>
      <c r="S138" s="11">
        <v>66.8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>
        <v>46196</v>
      </c>
      <c r="AE138" s="34" t="s">
        <v>465</v>
      </c>
      <c r="AF138" s="37" t="s">
        <v>550</v>
      </c>
      <c r="AG138" s="14" t="s">
        <v>513</v>
      </c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566</v>
      </c>
      <c r="AT138" s="14"/>
      <c r="AU138" s="11"/>
      <c r="AV138" s="14"/>
    </row>
    <row r="139" spans="1:49" s="45" customFormat="1" ht="15" x14ac:dyDescent="0.25">
      <c r="A139" s="46">
        <v>46165</v>
      </c>
      <c r="B139" s="72">
        <f t="shared" si="10"/>
        <v>46196</v>
      </c>
      <c r="C139" s="42" t="s">
        <v>49</v>
      </c>
      <c r="D139" s="42" t="s">
        <v>299</v>
      </c>
      <c r="E139" s="14"/>
      <c r="F139" s="71">
        <v>3874490</v>
      </c>
      <c r="G139" s="42" t="s">
        <v>50</v>
      </c>
      <c r="H139" s="31">
        <v>20101973922</v>
      </c>
      <c r="I139" s="138" t="str">
        <f>IF(H139="","",VLOOKUP(H139,[1]ENTIDAD!$B$2:$C$605,2,0))</f>
        <v>ASOCIACION AUTOMOTRIZ DEL PERU</v>
      </c>
      <c r="J139" s="11"/>
      <c r="K139" s="11"/>
      <c r="L139" s="11"/>
      <c r="M139" s="11"/>
      <c r="N139" s="11">
        <f t="shared" si="9"/>
        <v>56.610169491525426</v>
      </c>
      <c r="O139" s="11">
        <f t="shared" si="11"/>
        <v>10.189830508474577</v>
      </c>
      <c r="P139" s="11">
        <v>0</v>
      </c>
      <c r="Q139" s="11"/>
      <c r="R139" s="11">
        <v>66.8</v>
      </c>
      <c r="S139" s="11">
        <v>66.8</v>
      </c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>
        <v>46196</v>
      </c>
      <c r="AE139" s="34" t="s">
        <v>465</v>
      </c>
      <c r="AF139" s="37" t="s">
        <v>550</v>
      </c>
      <c r="AG139" s="14" t="s">
        <v>513</v>
      </c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566</v>
      </c>
      <c r="AT139" s="14"/>
      <c r="AU139" s="11"/>
      <c r="AV139" s="14"/>
    </row>
    <row r="140" spans="1:49" s="45" customFormat="1" ht="15" x14ac:dyDescent="0.25">
      <c r="A140" s="46">
        <v>46165</v>
      </c>
      <c r="B140" s="72">
        <f t="shared" si="10"/>
        <v>46196</v>
      </c>
      <c r="C140" s="42" t="s">
        <v>49</v>
      </c>
      <c r="D140" s="42" t="s">
        <v>299</v>
      </c>
      <c r="E140" s="14"/>
      <c r="F140" s="71">
        <v>3874491</v>
      </c>
      <c r="G140" s="42" t="s">
        <v>50</v>
      </c>
      <c r="H140" s="31">
        <v>20101973922</v>
      </c>
      <c r="I140" s="138" t="str">
        <f>IF(H140="","",VLOOKUP(H140,[1]ENTIDAD!$B$2:$C$605,2,0))</f>
        <v>ASOCIACION AUTOMOTRIZ DEL PERU</v>
      </c>
      <c r="J140" s="11"/>
      <c r="K140" s="11"/>
      <c r="L140" s="11"/>
      <c r="M140" s="11"/>
      <c r="N140" s="11">
        <f t="shared" si="9"/>
        <v>56.610169491525426</v>
      </c>
      <c r="O140" s="11">
        <f t="shared" si="11"/>
        <v>10.189830508474577</v>
      </c>
      <c r="P140" s="11">
        <v>0</v>
      </c>
      <c r="Q140" s="11"/>
      <c r="R140" s="11">
        <v>66.8</v>
      </c>
      <c r="S140" s="11">
        <v>66.8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>
        <v>46196</v>
      </c>
      <c r="AE140" s="34" t="s">
        <v>465</v>
      </c>
      <c r="AF140" s="37" t="s">
        <v>550</v>
      </c>
      <c r="AG140" s="14" t="s">
        <v>513</v>
      </c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566</v>
      </c>
      <c r="AT140" s="14"/>
      <c r="AU140" s="11"/>
      <c r="AV140" s="14"/>
    </row>
    <row r="141" spans="1:49" s="45" customFormat="1" ht="15" x14ac:dyDescent="0.25">
      <c r="A141" s="46">
        <v>46165</v>
      </c>
      <c r="B141" s="72">
        <f t="shared" si="10"/>
        <v>46196</v>
      </c>
      <c r="C141" s="42" t="s">
        <v>49</v>
      </c>
      <c r="D141" s="42" t="s">
        <v>299</v>
      </c>
      <c r="E141" s="14"/>
      <c r="F141" s="71">
        <v>3874492</v>
      </c>
      <c r="G141" s="42" t="s">
        <v>50</v>
      </c>
      <c r="H141" s="31">
        <v>20101973922</v>
      </c>
      <c r="I141" s="138" t="str">
        <f>IF(H141="","",VLOOKUP(H141,[1]ENTIDAD!$B$2:$C$605,2,0))</f>
        <v>ASOCIACION AUTOMOTRIZ DEL PERU</v>
      </c>
      <c r="J141" s="11"/>
      <c r="K141" s="11"/>
      <c r="L141" s="11"/>
      <c r="M141" s="11"/>
      <c r="N141" s="11">
        <f t="shared" si="9"/>
        <v>56.610169491525426</v>
      </c>
      <c r="O141" s="11">
        <f t="shared" si="11"/>
        <v>10.189830508474577</v>
      </c>
      <c r="P141" s="11">
        <v>0</v>
      </c>
      <c r="Q141" s="11"/>
      <c r="R141" s="11">
        <v>66.8</v>
      </c>
      <c r="S141" s="11">
        <v>66.8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>
        <v>46196</v>
      </c>
      <c r="AE141" s="34" t="s">
        <v>465</v>
      </c>
      <c r="AF141" s="37" t="s">
        <v>550</v>
      </c>
      <c r="AG141" s="14" t="s">
        <v>513</v>
      </c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 t="s">
        <v>566</v>
      </c>
      <c r="AT141" s="14"/>
      <c r="AU141" s="11"/>
      <c r="AV141" s="14"/>
    </row>
    <row r="142" spans="1:49" s="45" customFormat="1" ht="15" x14ac:dyDescent="0.25">
      <c r="A142" s="46">
        <v>46165</v>
      </c>
      <c r="B142" s="72">
        <f t="shared" si="10"/>
        <v>46196</v>
      </c>
      <c r="C142" s="42" t="s">
        <v>49</v>
      </c>
      <c r="D142" s="42" t="s">
        <v>299</v>
      </c>
      <c r="E142" s="14"/>
      <c r="F142" s="71">
        <v>3874493</v>
      </c>
      <c r="G142" s="42" t="s">
        <v>50</v>
      </c>
      <c r="H142" s="31">
        <v>20101973922</v>
      </c>
      <c r="I142" s="138" t="str">
        <f>IF(H142="","",VLOOKUP(H142,[1]ENTIDAD!$B$2:$C$605,2,0))</f>
        <v>ASOCIACION AUTOMOTRIZ DEL PERU</v>
      </c>
      <c r="J142" s="11"/>
      <c r="K142" s="11"/>
      <c r="L142" s="11"/>
      <c r="M142" s="11"/>
      <c r="N142" s="11">
        <f t="shared" si="9"/>
        <v>56.610169491525426</v>
      </c>
      <c r="O142" s="11">
        <f t="shared" si="11"/>
        <v>10.189830508474577</v>
      </c>
      <c r="P142" s="11">
        <v>0</v>
      </c>
      <c r="Q142" s="11"/>
      <c r="R142" s="11">
        <v>66.8</v>
      </c>
      <c r="S142" s="11">
        <v>66.8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>
        <v>46196</v>
      </c>
      <c r="AE142" s="34" t="s">
        <v>465</v>
      </c>
      <c r="AF142" s="37" t="s">
        <v>550</v>
      </c>
      <c r="AG142" s="14" t="s">
        <v>513</v>
      </c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 t="s">
        <v>566</v>
      </c>
      <c r="AT142" s="14"/>
      <c r="AU142" s="11"/>
      <c r="AV142" s="14"/>
    </row>
    <row r="143" spans="1:49" s="45" customFormat="1" ht="15" x14ac:dyDescent="0.25">
      <c r="A143" s="46">
        <v>46165</v>
      </c>
      <c r="B143" s="72">
        <f t="shared" si="10"/>
        <v>46196</v>
      </c>
      <c r="C143" s="42" t="s">
        <v>49</v>
      </c>
      <c r="D143" s="42" t="s">
        <v>299</v>
      </c>
      <c r="E143" s="14"/>
      <c r="F143" s="71">
        <v>3874494</v>
      </c>
      <c r="G143" s="42" t="s">
        <v>50</v>
      </c>
      <c r="H143" s="31">
        <v>20101973922</v>
      </c>
      <c r="I143" s="138" t="str">
        <f>IF(H143="","",VLOOKUP(H143,[1]ENTIDAD!$B$2:$C$605,2,0))</f>
        <v>ASOCIACION AUTOMOTRIZ DEL PERU</v>
      </c>
      <c r="J143" s="11"/>
      <c r="K143" s="11"/>
      <c r="L143" s="11"/>
      <c r="M143" s="11"/>
      <c r="N143" s="11">
        <f t="shared" si="9"/>
        <v>56.610169491525426</v>
      </c>
      <c r="O143" s="11">
        <f t="shared" si="11"/>
        <v>10.189830508474577</v>
      </c>
      <c r="P143" s="11">
        <v>0</v>
      </c>
      <c r="Q143" s="11"/>
      <c r="R143" s="11">
        <v>66.8</v>
      </c>
      <c r="S143" s="11">
        <v>66.8</v>
      </c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>
        <v>46196</v>
      </c>
      <c r="AE143" s="34" t="s">
        <v>465</v>
      </c>
      <c r="AF143" s="37" t="s">
        <v>550</v>
      </c>
      <c r="AG143" s="14" t="s">
        <v>513</v>
      </c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566</v>
      </c>
      <c r="AT143" s="14"/>
      <c r="AU143" s="11"/>
      <c r="AV143" s="14"/>
    </row>
    <row r="144" spans="1:49" s="45" customFormat="1" ht="15" x14ac:dyDescent="0.25">
      <c r="A144" s="46">
        <v>46165</v>
      </c>
      <c r="B144" s="72">
        <f t="shared" si="10"/>
        <v>46196</v>
      </c>
      <c r="C144" s="42" t="s">
        <v>49</v>
      </c>
      <c r="D144" s="42" t="s">
        <v>299</v>
      </c>
      <c r="E144" s="14"/>
      <c r="F144" s="71">
        <v>3874495</v>
      </c>
      <c r="G144" s="42" t="s">
        <v>50</v>
      </c>
      <c r="H144" s="31">
        <v>20101973922</v>
      </c>
      <c r="I144" s="138" t="str">
        <f>IF(H144="","",VLOOKUP(H144,[1]ENTIDAD!$B$2:$C$605,2,0))</f>
        <v>ASOCIACION AUTOMOTRIZ DEL PERU</v>
      </c>
      <c r="J144" s="11"/>
      <c r="K144" s="11"/>
      <c r="L144" s="11"/>
      <c r="M144" s="11"/>
      <c r="N144" s="11">
        <f t="shared" si="9"/>
        <v>56.610169491525426</v>
      </c>
      <c r="O144" s="11">
        <f t="shared" si="11"/>
        <v>10.189830508474577</v>
      </c>
      <c r="P144" s="11">
        <v>0</v>
      </c>
      <c r="Q144" s="11"/>
      <c r="R144" s="11">
        <v>66.8</v>
      </c>
      <c r="S144" s="11">
        <v>66.8</v>
      </c>
      <c r="T144" s="14"/>
      <c r="U144" s="14"/>
      <c r="V144" s="13"/>
      <c r="W144" s="15"/>
      <c r="X144" s="13"/>
      <c r="Y144" s="14"/>
      <c r="Z144" s="14"/>
      <c r="AA144" s="14"/>
      <c r="AB144" s="42" t="s">
        <v>224</v>
      </c>
      <c r="AC144" s="11"/>
      <c r="AD144" s="33">
        <v>46196</v>
      </c>
      <c r="AE144" s="34" t="s">
        <v>465</v>
      </c>
      <c r="AF144" s="37" t="s">
        <v>550</v>
      </c>
      <c r="AG144" s="14" t="s">
        <v>513</v>
      </c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566</v>
      </c>
      <c r="AT144" s="14"/>
      <c r="AU144" s="11"/>
      <c r="AV144" s="14"/>
    </row>
    <row r="145" spans="1:49" s="45" customFormat="1" ht="15" x14ac:dyDescent="0.25">
      <c r="A145" s="108">
        <v>46165</v>
      </c>
      <c r="B145" s="72">
        <f t="shared" si="10"/>
        <v>46196</v>
      </c>
      <c r="C145" s="111" t="s">
        <v>49</v>
      </c>
      <c r="D145" s="111" t="s">
        <v>299</v>
      </c>
      <c r="E145" s="112"/>
      <c r="F145" s="113">
        <v>3874496</v>
      </c>
      <c r="G145" s="42" t="s">
        <v>50</v>
      </c>
      <c r="H145" s="114">
        <v>20101973922</v>
      </c>
      <c r="I145" s="139" t="str">
        <f>IF(H145="","",VLOOKUP(H145,[1]ENTIDAD!$B$2:$C$605,2,0))</f>
        <v>ASOCIACION AUTOMOTRIZ DEL PERU</v>
      </c>
      <c r="J145" s="116"/>
      <c r="K145" s="116"/>
      <c r="L145" s="116"/>
      <c r="M145" s="116"/>
      <c r="N145" s="116">
        <f t="shared" si="9"/>
        <v>56.610169491525426</v>
      </c>
      <c r="O145" s="116">
        <f t="shared" si="11"/>
        <v>10.189830508474577</v>
      </c>
      <c r="P145" s="116">
        <v>0</v>
      </c>
      <c r="Q145" s="116"/>
      <c r="R145" s="11">
        <v>66.8</v>
      </c>
      <c r="S145" s="116">
        <v>66.8</v>
      </c>
      <c r="T145" s="112"/>
      <c r="U145" s="112"/>
      <c r="V145" s="109"/>
      <c r="W145" s="118"/>
      <c r="X145" s="109"/>
      <c r="Y145" s="112"/>
      <c r="Z145" s="112"/>
      <c r="AA145" s="112"/>
      <c r="AB145" s="111" t="s">
        <v>224</v>
      </c>
      <c r="AC145" s="116"/>
      <c r="AD145" s="126">
        <v>46196</v>
      </c>
      <c r="AE145" s="127" t="s">
        <v>465</v>
      </c>
      <c r="AF145" s="128" t="s">
        <v>550</v>
      </c>
      <c r="AG145" s="112" t="s">
        <v>513</v>
      </c>
      <c r="AH145" s="112" t="s">
        <v>225</v>
      </c>
      <c r="AI145" s="112"/>
      <c r="AJ145" s="112"/>
      <c r="AK145" s="120"/>
      <c r="AL145" s="116"/>
      <c r="AM145" s="116"/>
      <c r="AN145" s="112"/>
      <c r="AO145" s="112"/>
      <c r="AP145" s="109"/>
      <c r="AQ145" s="112"/>
      <c r="AR145" s="116">
        <v>18</v>
      </c>
      <c r="AS145" s="112" t="s">
        <v>566</v>
      </c>
      <c r="AT145" s="112"/>
      <c r="AU145" s="116"/>
      <c r="AV145" s="112"/>
      <c r="AW145" s="121"/>
    </row>
    <row r="146" spans="1:49" s="45" customFormat="1" ht="15" x14ac:dyDescent="0.25">
      <c r="A146" s="46">
        <v>46165</v>
      </c>
      <c r="B146" s="72">
        <f t="shared" si="10"/>
        <v>46196</v>
      </c>
      <c r="C146" s="42" t="s">
        <v>49</v>
      </c>
      <c r="D146" s="42" t="s">
        <v>299</v>
      </c>
      <c r="E146" s="14"/>
      <c r="F146" s="71">
        <v>3874497</v>
      </c>
      <c r="G146" s="42" t="s">
        <v>50</v>
      </c>
      <c r="H146" s="31">
        <v>20101973922</v>
      </c>
      <c r="I146" s="138" t="str">
        <f>IF(H146="","",VLOOKUP(H146,[1]ENTIDAD!$B$2:$C$605,2,0))</f>
        <v>ASOCIACION AUTOMOTRIZ DEL PERU</v>
      </c>
      <c r="J146" s="11"/>
      <c r="K146" s="11"/>
      <c r="L146" s="11"/>
      <c r="M146" s="11"/>
      <c r="N146" s="11">
        <f t="shared" si="9"/>
        <v>56.610169491525426</v>
      </c>
      <c r="O146" s="11">
        <f t="shared" si="11"/>
        <v>10.189830508474577</v>
      </c>
      <c r="P146" s="11">
        <v>0</v>
      </c>
      <c r="Q146" s="11"/>
      <c r="R146" s="11">
        <v>66.8</v>
      </c>
      <c r="S146" s="11">
        <v>66.8</v>
      </c>
      <c r="T146" s="14"/>
      <c r="U146" s="14"/>
      <c r="V146" s="13"/>
      <c r="W146" s="15"/>
      <c r="X146" s="13"/>
      <c r="Y146" s="14"/>
      <c r="Z146" s="14"/>
      <c r="AA146" s="14"/>
      <c r="AB146" s="42" t="s">
        <v>224</v>
      </c>
      <c r="AC146" s="11"/>
      <c r="AD146" s="33">
        <v>46196</v>
      </c>
      <c r="AE146" s="34" t="s">
        <v>465</v>
      </c>
      <c r="AF146" s="37" t="s">
        <v>550</v>
      </c>
      <c r="AG146" s="14" t="s">
        <v>513</v>
      </c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566</v>
      </c>
      <c r="AT146" s="14"/>
      <c r="AU146" s="11"/>
      <c r="AV146" s="14"/>
    </row>
    <row r="147" spans="1:49" s="45" customFormat="1" ht="15" x14ac:dyDescent="0.25">
      <c r="A147" s="46">
        <v>46165</v>
      </c>
      <c r="B147" s="72">
        <f t="shared" si="10"/>
        <v>46196</v>
      </c>
      <c r="C147" s="42" t="s">
        <v>49</v>
      </c>
      <c r="D147" s="42" t="s">
        <v>299</v>
      </c>
      <c r="E147" s="14"/>
      <c r="F147" s="71">
        <v>3874498</v>
      </c>
      <c r="G147" s="42" t="s">
        <v>50</v>
      </c>
      <c r="H147" s="31">
        <v>20101973922</v>
      </c>
      <c r="I147" s="138" t="str">
        <f>IF(H147="","",VLOOKUP(H147,[1]ENTIDAD!$B$2:$C$605,2,0))</f>
        <v>ASOCIACION AUTOMOTRIZ DEL PERU</v>
      </c>
      <c r="J147" s="11"/>
      <c r="K147" s="11"/>
      <c r="L147" s="11"/>
      <c r="M147" s="11"/>
      <c r="N147" s="11">
        <f t="shared" si="9"/>
        <v>56.610169491525426</v>
      </c>
      <c r="O147" s="11">
        <f t="shared" si="11"/>
        <v>10.189830508474577</v>
      </c>
      <c r="P147" s="11">
        <v>0</v>
      </c>
      <c r="Q147" s="11"/>
      <c r="R147" s="11">
        <v>66.8</v>
      </c>
      <c r="S147" s="11">
        <v>66.8</v>
      </c>
      <c r="T147" s="14"/>
      <c r="U147" s="14"/>
      <c r="V147" s="13"/>
      <c r="W147" s="15"/>
      <c r="X147" s="13"/>
      <c r="Y147" s="14"/>
      <c r="Z147" s="14"/>
      <c r="AA147" s="14"/>
      <c r="AB147" s="42" t="s">
        <v>224</v>
      </c>
      <c r="AC147" s="11"/>
      <c r="AD147" s="33">
        <v>46196</v>
      </c>
      <c r="AE147" s="34" t="s">
        <v>465</v>
      </c>
      <c r="AF147" s="37" t="s">
        <v>550</v>
      </c>
      <c r="AG147" s="14" t="s">
        <v>513</v>
      </c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 t="s">
        <v>566</v>
      </c>
      <c r="AT147" s="14"/>
      <c r="AU147" s="11"/>
      <c r="AV147" s="14"/>
    </row>
    <row r="148" spans="1:49" s="45" customFormat="1" ht="15" x14ac:dyDescent="0.25">
      <c r="A148" s="46">
        <v>46165</v>
      </c>
      <c r="B148" s="72">
        <f t="shared" si="10"/>
        <v>46196</v>
      </c>
      <c r="C148" s="42" t="s">
        <v>49</v>
      </c>
      <c r="D148" s="42" t="s">
        <v>299</v>
      </c>
      <c r="E148" s="14"/>
      <c r="F148" s="71">
        <v>3874499</v>
      </c>
      <c r="G148" s="42" t="s">
        <v>50</v>
      </c>
      <c r="H148" s="31">
        <v>20101973922</v>
      </c>
      <c r="I148" s="138" t="str">
        <f>IF(H148="","",VLOOKUP(H148,[1]ENTIDAD!$B$2:$C$605,2,0))</f>
        <v>ASOCIACION AUTOMOTRIZ DEL PERU</v>
      </c>
      <c r="J148" s="11"/>
      <c r="K148" s="11"/>
      <c r="L148" s="11"/>
      <c r="M148" s="11"/>
      <c r="N148" s="11">
        <f t="shared" si="9"/>
        <v>56.610169491525426</v>
      </c>
      <c r="O148" s="11">
        <f t="shared" si="11"/>
        <v>10.189830508474577</v>
      </c>
      <c r="P148" s="11">
        <v>0</v>
      </c>
      <c r="Q148" s="11"/>
      <c r="R148" s="11">
        <v>66.8</v>
      </c>
      <c r="S148" s="11">
        <v>66.8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33">
        <v>46196</v>
      </c>
      <c r="AE148" s="34" t="s">
        <v>465</v>
      </c>
      <c r="AF148" s="37" t="s">
        <v>550</v>
      </c>
      <c r="AG148" s="14" t="s">
        <v>513</v>
      </c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566</v>
      </c>
      <c r="AT148" s="14"/>
      <c r="AU148" s="11"/>
      <c r="AV148" s="14"/>
    </row>
    <row r="149" spans="1:49" s="45" customFormat="1" ht="15" x14ac:dyDescent="0.25">
      <c r="A149" s="46">
        <v>46165</v>
      </c>
      <c r="B149" s="72">
        <f t="shared" si="10"/>
        <v>46196</v>
      </c>
      <c r="C149" s="42" t="s">
        <v>49</v>
      </c>
      <c r="D149" s="42" t="s">
        <v>299</v>
      </c>
      <c r="E149" s="14"/>
      <c r="F149" s="71">
        <v>3874500</v>
      </c>
      <c r="G149" s="42" t="s">
        <v>50</v>
      </c>
      <c r="H149" s="31">
        <v>20101973922</v>
      </c>
      <c r="I149" s="138" t="str">
        <f>IF(H149="","",VLOOKUP(H149,[1]ENTIDAD!$B$2:$C$605,2,0))</f>
        <v>ASOCIACION AUTOMOTRIZ DEL PERU</v>
      </c>
      <c r="J149" s="11"/>
      <c r="K149" s="11"/>
      <c r="L149" s="11"/>
      <c r="M149" s="11"/>
      <c r="N149" s="11">
        <f t="shared" si="9"/>
        <v>56.610169491525426</v>
      </c>
      <c r="O149" s="11">
        <f t="shared" si="11"/>
        <v>10.189830508474577</v>
      </c>
      <c r="P149" s="11">
        <v>0</v>
      </c>
      <c r="Q149" s="11"/>
      <c r="R149" s="11">
        <v>66.8</v>
      </c>
      <c r="S149" s="11">
        <v>66.8</v>
      </c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33">
        <v>46196</v>
      </c>
      <c r="AE149" s="34" t="s">
        <v>465</v>
      </c>
      <c r="AF149" s="37" t="s">
        <v>550</v>
      </c>
      <c r="AG149" s="14" t="s">
        <v>513</v>
      </c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566</v>
      </c>
      <c r="AT149" s="14"/>
      <c r="AU149" s="11"/>
      <c r="AV149" s="14"/>
    </row>
    <row r="150" spans="1:49" s="45" customFormat="1" ht="15" x14ac:dyDescent="0.25">
      <c r="A150" s="46">
        <v>46165</v>
      </c>
      <c r="B150" s="72">
        <f t="shared" si="10"/>
        <v>46196</v>
      </c>
      <c r="C150" s="42" t="s">
        <v>49</v>
      </c>
      <c r="D150" s="42" t="s">
        <v>299</v>
      </c>
      <c r="E150" s="14"/>
      <c r="F150" s="71">
        <v>3874501</v>
      </c>
      <c r="G150" s="42" t="s">
        <v>50</v>
      </c>
      <c r="H150" s="31">
        <v>20101973922</v>
      </c>
      <c r="I150" s="138" t="str">
        <f>IF(H150="","",VLOOKUP(H150,[1]ENTIDAD!$B$2:$C$605,2,0))</f>
        <v>ASOCIACION AUTOMOTRIZ DEL PERU</v>
      </c>
      <c r="J150" s="11"/>
      <c r="K150" s="11"/>
      <c r="L150" s="11"/>
      <c r="M150" s="11"/>
      <c r="N150" s="11">
        <f t="shared" si="9"/>
        <v>56.610169491525426</v>
      </c>
      <c r="O150" s="11">
        <f t="shared" si="11"/>
        <v>10.189830508474577</v>
      </c>
      <c r="P150" s="11">
        <v>0</v>
      </c>
      <c r="Q150" s="11"/>
      <c r="R150" s="11">
        <v>66.8</v>
      </c>
      <c r="S150" s="11">
        <v>66.8</v>
      </c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33">
        <v>46196</v>
      </c>
      <c r="AE150" s="34" t="s">
        <v>465</v>
      </c>
      <c r="AF150" s="37" t="s">
        <v>550</v>
      </c>
      <c r="AG150" s="14" t="s">
        <v>513</v>
      </c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566</v>
      </c>
      <c r="AT150" s="14"/>
      <c r="AU150" s="11"/>
      <c r="AV150" s="14"/>
    </row>
    <row r="151" spans="1:49" s="45" customFormat="1" ht="15" x14ac:dyDescent="0.25">
      <c r="A151" s="46">
        <v>46165</v>
      </c>
      <c r="B151" s="72">
        <f t="shared" si="10"/>
        <v>46196</v>
      </c>
      <c r="C151" s="42" t="s">
        <v>49</v>
      </c>
      <c r="D151" s="42" t="s">
        <v>299</v>
      </c>
      <c r="E151" s="14"/>
      <c r="F151" s="71">
        <v>3874502</v>
      </c>
      <c r="G151" s="42" t="s">
        <v>50</v>
      </c>
      <c r="H151" s="31">
        <v>20101973922</v>
      </c>
      <c r="I151" s="138" t="str">
        <f>IF(H151="","",VLOOKUP(H151,[1]ENTIDAD!$B$2:$C$605,2,0))</f>
        <v>ASOCIACION AUTOMOTRIZ DEL PERU</v>
      </c>
      <c r="J151" s="11"/>
      <c r="K151" s="11"/>
      <c r="L151" s="11"/>
      <c r="M151" s="11"/>
      <c r="N151" s="11">
        <f t="shared" si="9"/>
        <v>56.610169491525426</v>
      </c>
      <c r="O151" s="11">
        <f t="shared" si="11"/>
        <v>10.189830508474577</v>
      </c>
      <c r="P151" s="11">
        <v>0</v>
      </c>
      <c r="Q151" s="11"/>
      <c r="R151" s="11">
        <v>66.8</v>
      </c>
      <c r="S151" s="11">
        <v>66.8</v>
      </c>
      <c r="T151" s="14"/>
      <c r="U151" s="14"/>
      <c r="V151" s="13"/>
      <c r="W151" s="15"/>
      <c r="X151" s="13"/>
      <c r="Y151" s="14"/>
      <c r="Z151" s="14"/>
      <c r="AA151" s="14"/>
      <c r="AB151" s="42" t="s">
        <v>224</v>
      </c>
      <c r="AC151" s="11"/>
      <c r="AD151" s="33">
        <v>46196</v>
      </c>
      <c r="AE151" s="34" t="s">
        <v>465</v>
      </c>
      <c r="AF151" s="37" t="s">
        <v>550</v>
      </c>
      <c r="AG151" s="14" t="s">
        <v>513</v>
      </c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566</v>
      </c>
      <c r="AT151" s="14"/>
      <c r="AU151" s="11"/>
      <c r="AV151" s="14"/>
    </row>
    <row r="152" spans="1:49" s="45" customFormat="1" ht="15" x14ac:dyDescent="0.25">
      <c r="A152" s="46">
        <v>46165</v>
      </c>
      <c r="B152" s="72">
        <f t="shared" si="10"/>
        <v>46196</v>
      </c>
      <c r="C152" s="42" t="s">
        <v>49</v>
      </c>
      <c r="D152" s="42" t="s">
        <v>299</v>
      </c>
      <c r="E152" s="14"/>
      <c r="F152" s="71">
        <v>3874503</v>
      </c>
      <c r="G152" s="42" t="s">
        <v>50</v>
      </c>
      <c r="H152" s="31">
        <v>20101973922</v>
      </c>
      <c r="I152" s="138" t="str">
        <f>IF(H152="","",VLOOKUP(H152,[1]ENTIDAD!$B$2:$C$605,2,0))</f>
        <v>ASOCIACION AUTOMOTRIZ DEL PERU</v>
      </c>
      <c r="J152" s="11"/>
      <c r="K152" s="11"/>
      <c r="L152" s="11"/>
      <c r="M152" s="11"/>
      <c r="N152" s="11">
        <f t="shared" si="9"/>
        <v>56.610169491525426</v>
      </c>
      <c r="O152" s="11">
        <f t="shared" si="11"/>
        <v>10.189830508474577</v>
      </c>
      <c r="P152" s="11">
        <v>0</v>
      </c>
      <c r="Q152" s="11"/>
      <c r="R152" s="11">
        <v>66.8</v>
      </c>
      <c r="S152" s="11">
        <v>66.8</v>
      </c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11"/>
      <c r="AD152" s="33">
        <v>46196</v>
      </c>
      <c r="AE152" s="34" t="s">
        <v>465</v>
      </c>
      <c r="AF152" s="37" t="s">
        <v>550</v>
      </c>
      <c r="AG152" s="14" t="s">
        <v>513</v>
      </c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566</v>
      </c>
      <c r="AT152" s="14"/>
      <c r="AU152" s="11"/>
      <c r="AV152" s="14"/>
    </row>
    <row r="153" spans="1:49" s="45" customFormat="1" ht="15" x14ac:dyDescent="0.25">
      <c r="A153" s="46">
        <v>46165</v>
      </c>
      <c r="B153" s="72">
        <f t="shared" si="10"/>
        <v>46196</v>
      </c>
      <c r="C153" s="42" t="s">
        <v>49</v>
      </c>
      <c r="D153" s="42" t="s">
        <v>299</v>
      </c>
      <c r="E153" s="14"/>
      <c r="F153" s="71">
        <v>3874504</v>
      </c>
      <c r="G153" s="42" t="s">
        <v>50</v>
      </c>
      <c r="H153" s="31">
        <v>20101973922</v>
      </c>
      <c r="I153" s="138" t="str">
        <f>IF(H153="","",VLOOKUP(H153,[1]ENTIDAD!$B$2:$C$605,2,0))</f>
        <v>ASOCIACION AUTOMOTRIZ DEL PERU</v>
      </c>
      <c r="J153" s="11"/>
      <c r="K153" s="11"/>
      <c r="L153" s="11"/>
      <c r="M153" s="11"/>
      <c r="N153" s="11">
        <f t="shared" si="9"/>
        <v>56.610169491525426</v>
      </c>
      <c r="O153" s="11">
        <f t="shared" si="11"/>
        <v>10.189830508474577</v>
      </c>
      <c r="P153" s="11">
        <v>0</v>
      </c>
      <c r="Q153" s="11"/>
      <c r="R153" s="11">
        <v>66.8</v>
      </c>
      <c r="S153" s="11">
        <v>66.8</v>
      </c>
      <c r="T153" s="14"/>
      <c r="U153" s="14"/>
      <c r="V153" s="13"/>
      <c r="W153" s="15"/>
      <c r="X153" s="13"/>
      <c r="Y153" s="14"/>
      <c r="Z153" s="14"/>
      <c r="AA153" s="14"/>
      <c r="AB153" s="42" t="s">
        <v>224</v>
      </c>
      <c r="AC153" s="11"/>
      <c r="AD153" s="33">
        <v>46196</v>
      </c>
      <c r="AE153" s="34" t="s">
        <v>465</v>
      </c>
      <c r="AF153" s="37" t="s">
        <v>550</v>
      </c>
      <c r="AG153" s="14" t="s">
        <v>513</v>
      </c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566</v>
      </c>
      <c r="AT153" s="14"/>
      <c r="AU153" s="11"/>
      <c r="AV153" s="14"/>
    </row>
    <row r="154" spans="1:49" s="45" customFormat="1" ht="15" x14ac:dyDescent="0.25">
      <c r="A154" s="46">
        <v>46165</v>
      </c>
      <c r="B154" s="72">
        <f t="shared" si="10"/>
        <v>46196</v>
      </c>
      <c r="C154" s="42" t="s">
        <v>49</v>
      </c>
      <c r="D154" s="42" t="s">
        <v>299</v>
      </c>
      <c r="E154" s="14"/>
      <c r="F154" s="71">
        <v>3874505</v>
      </c>
      <c r="G154" s="42" t="s">
        <v>50</v>
      </c>
      <c r="H154" s="31">
        <v>20101973922</v>
      </c>
      <c r="I154" s="138" t="str">
        <f>IF(H154="","",VLOOKUP(H154,[1]ENTIDAD!$B$2:$C$605,2,0))</f>
        <v>ASOCIACION AUTOMOTRIZ DEL PERU</v>
      </c>
      <c r="J154" s="11"/>
      <c r="K154" s="11"/>
      <c r="L154" s="11"/>
      <c r="M154" s="11"/>
      <c r="N154" s="11">
        <f t="shared" ref="N154:N183" si="12">(S154-P154)/1.18</f>
        <v>56.610169491525426</v>
      </c>
      <c r="O154" s="11">
        <f t="shared" si="11"/>
        <v>10.189830508474577</v>
      </c>
      <c r="P154" s="11">
        <v>0</v>
      </c>
      <c r="Q154" s="11"/>
      <c r="R154" s="11">
        <v>66.8</v>
      </c>
      <c r="S154" s="11">
        <v>66.8</v>
      </c>
      <c r="T154" s="14"/>
      <c r="U154" s="14"/>
      <c r="V154" s="13"/>
      <c r="W154" s="15"/>
      <c r="X154" s="13"/>
      <c r="Y154" s="14"/>
      <c r="Z154" s="14"/>
      <c r="AA154" s="14"/>
      <c r="AB154" s="42" t="s">
        <v>224</v>
      </c>
      <c r="AC154" s="11"/>
      <c r="AD154" s="33">
        <v>46196</v>
      </c>
      <c r="AE154" s="34" t="s">
        <v>465</v>
      </c>
      <c r="AF154" s="37" t="s">
        <v>550</v>
      </c>
      <c r="AG154" s="14" t="s">
        <v>513</v>
      </c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 t="s">
        <v>566</v>
      </c>
      <c r="AT154" s="14"/>
      <c r="AU154" s="11"/>
      <c r="AV154" s="14"/>
    </row>
    <row r="155" spans="1:49" s="45" customFormat="1" ht="15" x14ac:dyDescent="0.25">
      <c r="A155" s="46">
        <v>46165</v>
      </c>
      <c r="B155" s="72">
        <f t="shared" si="10"/>
        <v>46196</v>
      </c>
      <c r="C155" s="42" t="s">
        <v>49</v>
      </c>
      <c r="D155" s="42" t="s">
        <v>299</v>
      </c>
      <c r="E155" s="14"/>
      <c r="F155" s="71">
        <v>3874506</v>
      </c>
      <c r="G155" s="42" t="s">
        <v>50</v>
      </c>
      <c r="H155" s="31">
        <v>20101973922</v>
      </c>
      <c r="I155" s="138" t="str">
        <f>IF(H155="","",VLOOKUP(H155,[1]ENTIDAD!$B$2:$C$605,2,0))</f>
        <v>ASOCIACION AUTOMOTRIZ DEL PERU</v>
      </c>
      <c r="J155" s="11"/>
      <c r="K155" s="11"/>
      <c r="L155" s="11"/>
      <c r="M155" s="11"/>
      <c r="N155" s="11">
        <f t="shared" si="12"/>
        <v>56.610169491525426</v>
      </c>
      <c r="O155" s="11">
        <f t="shared" si="11"/>
        <v>10.189830508474577</v>
      </c>
      <c r="P155" s="11">
        <v>0</v>
      </c>
      <c r="Q155" s="11"/>
      <c r="R155" s="11">
        <v>66.8</v>
      </c>
      <c r="S155" s="11">
        <v>66.8</v>
      </c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33">
        <v>46196</v>
      </c>
      <c r="AE155" s="34" t="s">
        <v>465</v>
      </c>
      <c r="AF155" s="37" t="s">
        <v>550</v>
      </c>
      <c r="AG155" s="14" t="s">
        <v>513</v>
      </c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 t="s">
        <v>566</v>
      </c>
      <c r="AT155" s="14"/>
      <c r="AU155" s="11"/>
      <c r="AV155" s="14"/>
    </row>
    <row r="156" spans="1:49" s="45" customFormat="1" ht="15" x14ac:dyDescent="0.25">
      <c r="A156" s="46">
        <v>46165</v>
      </c>
      <c r="B156" s="72">
        <f t="shared" si="10"/>
        <v>46196</v>
      </c>
      <c r="C156" s="42" t="s">
        <v>49</v>
      </c>
      <c r="D156" s="42" t="s">
        <v>299</v>
      </c>
      <c r="E156" s="14"/>
      <c r="F156" s="71">
        <v>3874507</v>
      </c>
      <c r="G156" s="42" t="s">
        <v>50</v>
      </c>
      <c r="H156" s="31">
        <v>20101973922</v>
      </c>
      <c r="I156" s="138" t="str">
        <f>IF(H156="","",VLOOKUP(H156,[1]ENTIDAD!$B$2:$C$605,2,0))</f>
        <v>ASOCIACION AUTOMOTRIZ DEL PERU</v>
      </c>
      <c r="J156" s="11"/>
      <c r="K156" s="11"/>
      <c r="L156" s="11"/>
      <c r="M156" s="11"/>
      <c r="N156" s="11">
        <f t="shared" si="12"/>
        <v>56.610169491525426</v>
      </c>
      <c r="O156" s="11">
        <f t="shared" si="11"/>
        <v>10.189830508474577</v>
      </c>
      <c r="P156" s="11">
        <v>0</v>
      </c>
      <c r="Q156" s="11"/>
      <c r="R156" s="11">
        <v>66.8</v>
      </c>
      <c r="S156" s="11">
        <v>66.8</v>
      </c>
      <c r="T156" s="14"/>
      <c r="U156" s="14"/>
      <c r="V156" s="13"/>
      <c r="W156" s="15"/>
      <c r="X156" s="13"/>
      <c r="Y156" s="14"/>
      <c r="Z156" s="14"/>
      <c r="AA156" s="14"/>
      <c r="AB156" s="42" t="s">
        <v>224</v>
      </c>
      <c r="AC156" s="11"/>
      <c r="AD156" s="33">
        <v>46196</v>
      </c>
      <c r="AE156" s="34" t="s">
        <v>465</v>
      </c>
      <c r="AF156" s="37" t="s">
        <v>550</v>
      </c>
      <c r="AG156" s="14" t="s">
        <v>513</v>
      </c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 t="s">
        <v>566</v>
      </c>
      <c r="AT156" s="14"/>
      <c r="AU156" s="11"/>
      <c r="AV156" s="14"/>
    </row>
    <row r="157" spans="1:49" s="45" customFormat="1" ht="15" x14ac:dyDescent="0.25">
      <c r="A157" s="46">
        <v>46165</v>
      </c>
      <c r="B157" s="72">
        <f t="shared" si="10"/>
        <v>46196</v>
      </c>
      <c r="C157" s="42" t="s">
        <v>49</v>
      </c>
      <c r="D157" s="42" t="s">
        <v>299</v>
      </c>
      <c r="E157" s="14"/>
      <c r="F157" s="71">
        <v>3874508</v>
      </c>
      <c r="G157" s="42" t="s">
        <v>50</v>
      </c>
      <c r="H157" s="31">
        <v>20101973922</v>
      </c>
      <c r="I157" s="138" t="str">
        <f>IF(H157="","",VLOOKUP(H157,[1]ENTIDAD!$B$2:$C$605,2,0))</f>
        <v>ASOCIACION AUTOMOTRIZ DEL PERU</v>
      </c>
      <c r="J157" s="11"/>
      <c r="K157" s="11"/>
      <c r="L157" s="11"/>
      <c r="M157" s="11"/>
      <c r="N157" s="11">
        <f t="shared" si="12"/>
        <v>56.610169491525426</v>
      </c>
      <c r="O157" s="11">
        <f t="shared" si="11"/>
        <v>10.189830508474577</v>
      </c>
      <c r="P157" s="11">
        <v>0</v>
      </c>
      <c r="Q157" s="11"/>
      <c r="R157" s="11">
        <v>66.8</v>
      </c>
      <c r="S157" s="11">
        <v>66.8</v>
      </c>
      <c r="T157" s="14"/>
      <c r="U157" s="14"/>
      <c r="V157" s="13"/>
      <c r="W157" s="15"/>
      <c r="X157" s="13"/>
      <c r="Y157" s="14"/>
      <c r="Z157" s="14"/>
      <c r="AA157" s="14"/>
      <c r="AB157" s="42" t="s">
        <v>224</v>
      </c>
      <c r="AC157" s="11"/>
      <c r="AD157" s="33">
        <v>46196</v>
      </c>
      <c r="AE157" s="34" t="s">
        <v>465</v>
      </c>
      <c r="AF157" s="37" t="s">
        <v>550</v>
      </c>
      <c r="AG157" s="14" t="s">
        <v>513</v>
      </c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566</v>
      </c>
      <c r="AT157" s="14"/>
      <c r="AU157" s="11"/>
      <c r="AV157" s="14"/>
    </row>
    <row r="158" spans="1:49" s="47" customFormat="1" ht="15" x14ac:dyDescent="0.25">
      <c r="A158" s="46">
        <v>46165</v>
      </c>
      <c r="B158" s="72">
        <f t="shared" si="10"/>
        <v>46196</v>
      </c>
      <c r="C158" s="42" t="s">
        <v>49</v>
      </c>
      <c r="D158" s="42" t="s">
        <v>299</v>
      </c>
      <c r="E158" s="14"/>
      <c r="F158" s="71">
        <v>3874509</v>
      </c>
      <c r="G158" s="42" t="s">
        <v>50</v>
      </c>
      <c r="H158" s="31">
        <v>20101973922</v>
      </c>
      <c r="I158" s="138" t="str">
        <f>IF(H158="","",VLOOKUP(H158,[1]ENTIDAD!$B$2:$C$605,2,0))</f>
        <v>ASOCIACION AUTOMOTRIZ DEL PERU</v>
      </c>
      <c r="J158" s="11"/>
      <c r="K158" s="11"/>
      <c r="L158" s="11"/>
      <c r="M158" s="11"/>
      <c r="N158" s="11">
        <f t="shared" si="12"/>
        <v>56.610169491525426</v>
      </c>
      <c r="O158" s="11">
        <f t="shared" si="11"/>
        <v>10.189830508474577</v>
      </c>
      <c r="P158" s="11">
        <v>0</v>
      </c>
      <c r="Q158" s="11"/>
      <c r="R158" s="11">
        <v>66.8</v>
      </c>
      <c r="S158" s="11">
        <v>66.8</v>
      </c>
      <c r="T158" s="14"/>
      <c r="U158" s="14"/>
      <c r="V158" s="13"/>
      <c r="W158" s="15"/>
      <c r="X158" s="13"/>
      <c r="Y158" s="14"/>
      <c r="Z158" s="14"/>
      <c r="AA158" s="14"/>
      <c r="AB158" s="42" t="s">
        <v>224</v>
      </c>
      <c r="AC158" s="11"/>
      <c r="AD158" s="33">
        <v>46196</v>
      </c>
      <c r="AE158" s="34" t="s">
        <v>465</v>
      </c>
      <c r="AF158" s="37" t="s">
        <v>550</v>
      </c>
      <c r="AG158" s="14" t="s">
        <v>513</v>
      </c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>
        <v>18</v>
      </c>
      <c r="AS158" s="14" t="s">
        <v>566</v>
      </c>
      <c r="AT158" s="14"/>
      <c r="AU158" s="11"/>
      <c r="AV158" s="14"/>
      <c r="AW158" s="45"/>
    </row>
    <row r="159" spans="1:49" s="47" customFormat="1" ht="15" x14ac:dyDescent="0.25">
      <c r="A159" s="46">
        <v>46165</v>
      </c>
      <c r="B159" s="72">
        <f t="shared" ref="B159:B175" si="13">AD159</f>
        <v>46196</v>
      </c>
      <c r="C159" s="42" t="s">
        <v>49</v>
      </c>
      <c r="D159" s="42" t="s">
        <v>299</v>
      </c>
      <c r="E159" s="14"/>
      <c r="F159" s="71">
        <v>3874510</v>
      </c>
      <c r="G159" s="42" t="s">
        <v>50</v>
      </c>
      <c r="H159" s="31">
        <v>20101973922</v>
      </c>
      <c r="I159" s="138" t="str">
        <f>IF(H159="","",VLOOKUP(H159,[1]ENTIDAD!$B$2:$C$605,2,0))</f>
        <v>ASOCIACION AUTOMOTRIZ DEL PERU</v>
      </c>
      <c r="J159" s="11"/>
      <c r="K159" s="11"/>
      <c r="L159" s="11"/>
      <c r="M159" s="11"/>
      <c r="N159" s="11">
        <f t="shared" si="12"/>
        <v>56.610169491525426</v>
      </c>
      <c r="O159" s="11">
        <f t="shared" si="11"/>
        <v>10.189830508474577</v>
      </c>
      <c r="P159" s="11">
        <v>0</v>
      </c>
      <c r="Q159" s="11"/>
      <c r="R159" s="11">
        <v>66.8</v>
      </c>
      <c r="S159" s="11">
        <v>66.8</v>
      </c>
      <c r="T159" s="14"/>
      <c r="U159" s="14"/>
      <c r="V159" s="13"/>
      <c r="W159" s="15"/>
      <c r="X159" s="13"/>
      <c r="Y159" s="14"/>
      <c r="Z159" s="14"/>
      <c r="AA159" s="14"/>
      <c r="AB159" s="42" t="s">
        <v>224</v>
      </c>
      <c r="AC159" s="11"/>
      <c r="AD159" s="33">
        <v>46196</v>
      </c>
      <c r="AE159" s="34" t="s">
        <v>465</v>
      </c>
      <c r="AF159" s="37" t="s">
        <v>550</v>
      </c>
      <c r="AG159" s="14" t="s">
        <v>513</v>
      </c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 t="s">
        <v>566</v>
      </c>
      <c r="AT159" s="14"/>
      <c r="AU159" s="11"/>
      <c r="AV159" s="14"/>
      <c r="AW159" s="45"/>
    </row>
    <row r="160" spans="1:49" s="47" customFormat="1" ht="15" x14ac:dyDescent="0.25">
      <c r="A160" s="46">
        <v>46165</v>
      </c>
      <c r="B160" s="72">
        <f t="shared" si="13"/>
        <v>46196</v>
      </c>
      <c r="C160" s="42" t="s">
        <v>49</v>
      </c>
      <c r="D160" s="42" t="s">
        <v>299</v>
      </c>
      <c r="E160" s="14"/>
      <c r="F160" s="71">
        <v>3874511</v>
      </c>
      <c r="G160" s="42" t="s">
        <v>50</v>
      </c>
      <c r="H160" s="31">
        <v>20101973922</v>
      </c>
      <c r="I160" s="138" t="str">
        <f>IF(H160="","",VLOOKUP(H160,[1]ENTIDAD!$B$2:$C$605,2,0))</f>
        <v>ASOCIACION AUTOMOTRIZ DEL PERU</v>
      </c>
      <c r="J160" s="11"/>
      <c r="K160" s="11"/>
      <c r="L160" s="11"/>
      <c r="M160" s="11"/>
      <c r="N160" s="11">
        <f t="shared" si="12"/>
        <v>56.610169491525426</v>
      </c>
      <c r="O160" s="11">
        <f t="shared" si="11"/>
        <v>10.189830508474577</v>
      </c>
      <c r="P160" s="11">
        <v>0</v>
      </c>
      <c r="Q160" s="11"/>
      <c r="R160" s="11">
        <v>66.8</v>
      </c>
      <c r="S160" s="11">
        <v>66.8</v>
      </c>
      <c r="T160" s="14"/>
      <c r="U160" s="14"/>
      <c r="V160" s="13"/>
      <c r="W160" s="15"/>
      <c r="X160" s="13"/>
      <c r="Y160" s="14"/>
      <c r="Z160" s="14"/>
      <c r="AA160" s="14"/>
      <c r="AB160" s="42" t="s">
        <v>224</v>
      </c>
      <c r="AC160" s="11"/>
      <c r="AD160" s="33">
        <v>46196</v>
      </c>
      <c r="AE160" s="34" t="s">
        <v>465</v>
      </c>
      <c r="AF160" s="37" t="s">
        <v>550</v>
      </c>
      <c r="AG160" s="14" t="s">
        <v>513</v>
      </c>
      <c r="AH160" s="14" t="s">
        <v>225</v>
      </c>
      <c r="AI160" s="14"/>
      <c r="AJ160" s="14"/>
      <c r="AK160" s="16"/>
      <c r="AL160" s="11"/>
      <c r="AM160" s="11"/>
      <c r="AN160" s="14"/>
      <c r="AO160" s="14"/>
      <c r="AP160" s="13"/>
      <c r="AQ160" s="14"/>
      <c r="AR160" s="11">
        <v>18</v>
      </c>
      <c r="AS160" s="14" t="s">
        <v>566</v>
      </c>
      <c r="AT160" s="14"/>
      <c r="AU160" s="11"/>
      <c r="AV160" s="14"/>
      <c r="AW160" s="45"/>
    </row>
    <row r="161" spans="1:48" s="45" customFormat="1" ht="15" x14ac:dyDescent="0.25">
      <c r="A161" s="46">
        <v>46165</v>
      </c>
      <c r="B161" s="72">
        <f t="shared" si="13"/>
        <v>46196</v>
      </c>
      <c r="C161" s="42" t="s">
        <v>49</v>
      </c>
      <c r="D161" s="42" t="s">
        <v>299</v>
      </c>
      <c r="E161" s="14"/>
      <c r="F161" s="71">
        <v>3874512</v>
      </c>
      <c r="G161" s="42" t="s">
        <v>50</v>
      </c>
      <c r="H161" s="31">
        <v>20101973922</v>
      </c>
      <c r="I161" s="138" t="str">
        <f>IF(H161="","",VLOOKUP(H161,[1]ENTIDAD!$B$2:$C$605,2,0))</f>
        <v>ASOCIACION AUTOMOTRIZ DEL PERU</v>
      </c>
      <c r="J161" s="11"/>
      <c r="K161" s="11"/>
      <c r="L161" s="11"/>
      <c r="M161" s="11"/>
      <c r="N161" s="11">
        <f t="shared" si="12"/>
        <v>56.610169491525426</v>
      </c>
      <c r="O161" s="11">
        <f t="shared" si="11"/>
        <v>10.189830508474577</v>
      </c>
      <c r="P161" s="11">
        <v>0</v>
      </c>
      <c r="Q161" s="11"/>
      <c r="R161" s="11">
        <v>66.8</v>
      </c>
      <c r="S161" s="11">
        <v>66.8</v>
      </c>
      <c r="T161" s="14"/>
      <c r="U161" s="14"/>
      <c r="V161" s="13"/>
      <c r="W161" s="15"/>
      <c r="X161" s="13"/>
      <c r="Y161" s="14"/>
      <c r="Z161" s="14"/>
      <c r="AA161" s="14"/>
      <c r="AB161" s="42" t="s">
        <v>224</v>
      </c>
      <c r="AC161" s="11"/>
      <c r="AD161" s="33">
        <v>46196</v>
      </c>
      <c r="AE161" s="34" t="s">
        <v>465</v>
      </c>
      <c r="AF161" s="37" t="s">
        <v>550</v>
      </c>
      <c r="AG161" s="14" t="s">
        <v>513</v>
      </c>
      <c r="AH161" s="14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14" t="s">
        <v>566</v>
      </c>
      <c r="AT161" s="14"/>
      <c r="AU161" s="11"/>
      <c r="AV161" s="14"/>
    </row>
    <row r="162" spans="1:48" s="45" customFormat="1" ht="15" x14ac:dyDescent="0.25">
      <c r="A162" s="46">
        <v>46165</v>
      </c>
      <c r="B162" s="72">
        <f t="shared" si="13"/>
        <v>46196</v>
      </c>
      <c r="C162" s="42" t="s">
        <v>49</v>
      </c>
      <c r="D162" s="42" t="s">
        <v>299</v>
      </c>
      <c r="E162" s="14"/>
      <c r="F162" s="71">
        <v>3874513</v>
      </c>
      <c r="G162" s="42" t="s">
        <v>50</v>
      </c>
      <c r="H162" s="31">
        <v>20101973922</v>
      </c>
      <c r="I162" s="138" t="str">
        <f>IF(H162="","",VLOOKUP(H162,[1]ENTIDAD!$B$2:$C$605,2,0))</f>
        <v>ASOCIACION AUTOMOTRIZ DEL PERU</v>
      </c>
      <c r="J162" s="11"/>
      <c r="K162" s="11"/>
      <c r="L162" s="11"/>
      <c r="M162" s="11"/>
      <c r="N162" s="11">
        <f t="shared" si="12"/>
        <v>56.610169491525426</v>
      </c>
      <c r="O162" s="11">
        <f t="shared" si="11"/>
        <v>10.189830508474577</v>
      </c>
      <c r="P162" s="11">
        <v>0</v>
      </c>
      <c r="Q162" s="11"/>
      <c r="R162" s="11">
        <v>66.8</v>
      </c>
      <c r="S162" s="11">
        <v>66.8</v>
      </c>
      <c r="T162" s="14"/>
      <c r="U162" s="14"/>
      <c r="V162" s="13"/>
      <c r="W162" s="15"/>
      <c r="X162" s="13"/>
      <c r="Y162" s="14"/>
      <c r="Z162" s="14"/>
      <c r="AA162" s="14"/>
      <c r="AB162" s="42" t="s">
        <v>224</v>
      </c>
      <c r="AC162" s="11"/>
      <c r="AD162" s="33">
        <v>46196</v>
      </c>
      <c r="AE162" s="34" t="s">
        <v>465</v>
      </c>
      <c r="AF162" s="37" t="s">
        <v>550</v>
      </c>
      <c r="AG162" s="14" t="s">
        <v>513</v>
      </c>
      <c r="AH162" s="14" t="s">
        <v>225</v>
      </c>
      <c r="AI162" s="14"/>
      <c r="AJ162" s="14"/>
      <c r="AK162" s="16"/>
      <c r="AL162" s="11"/>
      <c r="AM162" s="11"/>
      <c r="AN162" s="14"/>
      <c r="AO162" s="14"/>
      <c r="AP162" s="13"/>
      <c r="AQ162" s="14"/>
      <c r="AR162" s="11">
        <v>18</v>
      </c>
      <c r="AS162" s="14" t="s">
        <v>566</v>
      </c>
      <c r="AT162" s="14"/>
      <c r="AU162" s="11"/>
      <c r="AV162" s="14"/>
    </row>
    <row r="163" spans="1:48" s="45" customFormat="1" ht="15" x14ac:dyDescent="0.25">
      <c r="A163" s="46">
        <v>46165</v>
      </c>
      <c r="B163" s="72">
        <f t="shared" si="13"/>
        <v>46196</v>
      </c>
      <c r="C163" s="42" t="s">
        <v>49</v>
      </c>
      <c r="D163" s="42" t="s">
        <v>299</v>
      </c>
      <c r="E163" s="14"/>
      <c r="F163" s="71">
        <v>3874514</v>
      </c>
      <c r="G163" s="42" t="s">
        <v>50</v>
      </c>
      <c r="H163" s="31">
        <v>20101973922</v>
      </c>
      <c r="I163" s="138" t="str">
        <f>IF(H163="","",VLOOKUP(H163,[1]ENTIDAD!$B$2:$C$605,2,0))</f>
        <v>ASOCIACION AUTOMOTRIZ DEL PERU</v>
      </c>
      <c r="J163" s="11"/>
      <c r="K163" s="11"/>
      <c r="L163" s="11"/>
      <c r="M163" s="11"/>
      <c r="N163" s="11">
        <f t="shared" si="12"/>
        <v>56.610169491525426</v>
      </c>
      <c r="O163" s="11">
        <f t="shared" si="11"/>
        <v>10.189830508474577</v>
      </c>
      <c r="P163" s="11">
        <v>0</v>
      </c>
      <c r="Q163" s="11"/>
      <c r="R163" s="11">
        <v>66.8</v>
      </c>
      <c r="S163" s="11">
        <v>66.8</v>
      </c>
      <c r="T163" s="14"/>
      <c r="U163" s="14"/>
      <c r="V163" s="13"/>
      <c r="W163" s="15"/>
      <c r="X163" s="13"/>
      <c r="Y163" s="14"/>
      <c r="Z163" s="14"/>
      <c r="AA163" s="14"/>
      <c r="AB163" s="42" t="s">
        <v>224</v>
      </c>
      <c r="AC163" s="11"/>
      <c r="AD163" s="33">
        <v>46196</v>
      </c>
      <c r="AE163" s="34" t="s">
        <v>465</v>
      </c>
      <c r="AF163" s="37" t="s">
        <v>550</v>
      </c>
      <c r="AG163" s="14" t="s">
        <v>513</v>
      </c>
      <c r="AH163" s="14" t="s">
        <v>225</v>
      </c>
      <c r="AI163" s="14"/>
      <c r="AJ163" s="14"/>
      <c r="AK163" s="16"/>
      <c r="AL163" s="11"/>
      <c r="AM163" s="11"/>
      <c r="AN163" s="14"/>
      <c r="AO163" s="14"/>
      <c r="AP163" s="13"/>
      <c r="AQ163" s="14"/>
      <c r="AR163" s="11">
        <v>18</v>
      </c>
      <c r="AS163" s="14" t="s">
        <v>566</v>
      </c>
      <c r="AT163" s="14"/>
      <c r="AU163" s="11"/>
      <c r="AV163" s="14"/>
    </row>
    <row r="164" spans="1:48" s="45" customFormat="1" ht="15" x14ac:dyDescent="0.25">
      <c r="A164" s="46">
        <v>46165</v>
      </c>
      <c r="B164" s="72">
        <f t="shared" si="13"/>
        <v>46196</v>
      </c>
      <c r="C164" s="42" t="s">
        <v>49</v>
      </c>
      <c r="D164" s="42" t="s">
        <v>299</v>
      </c>
      <c r="E164" s="14"/>
      <c r="F164" s="71">
        <v>3874515</v>
      </c>
      <c r="G164" s="42" t="s">
        <v>50</v>
      </c>
      <c r="H164" s="31">
        <v>20101973922</v>
      </c>
      <c r="I164" s="138" t="str">
        <f>IF(H164="","",VLOOKUP(H164,[1]ENTIDAD!$B$2:$C$605,2,0))</f>
        <v>ASOCIACION AUTOMOTRIZ DEL PERU</v>
      </c>
      <c r="J164" s="11"/>
      <c r="K164" s="11"/>
      <c r="L164" s="11"/>
      <c r="M164" s="11"/>
      <c r="N164" s="11">
        <f t="shared" si="12"/>
        <v>56.610169491525426</v>
      </c>
      <c r="O164" s="11">
        <f t="shared" si="11"/>
        <v>10.189830508474577</v>
      </c>
      <c r="P164" s="11">
        <v>0</v>
      </c>
      <c r="Q164" s="11"/>
      <c r="R164" s="11">
        <v>66.8</v>
      </c>
      <c r="S164" s="11">
        <v>66.8</v>
      </c>
      <c r="T164" s="14"/>
      <c r="U164" s="14"/>
      <c r="V164" s="13"/>
      <c r="W164" s="15"/>
      <c r="X164" s="13"/>
      <c r="Y164" s="14"/>
      <c r="Z164" s="14"/>
      <c r="AA164" s="14"/>
      <c r="AB164" s="42" t="s">
        <v>224</v>
      </c>
      <c r="AC164" s="11"/>
      <c r="AD164" s="33">
        <v>46196</v>
      </c>
      <c r="AE164" s="34" t="s">
        <v>465</v>
      </c>
      <c r="AF164" s="37" t="s">
        <v>550</v>
      </c>
      <c r="AG164" s="14" t="s">
        <v>513</v>
      </c>
      <c r="AH164" s="14" t="s">
        <v>225</v>
      </c>
      <c r="AI164" s="14"/>
      <c r="AJ164" s="14"/>
      <c r="AK164" s="16"/>
      <c r="AL164" s="11"/>
      <c r="AM164" s="11"/>
      <c r="AN164" s="14"/>
      <c r="AO164" s="14"/>
      <c r="AP164" s="13"/>
      <c r="AQ164" s="14"/>
      <c r="AR164" s="11">
        <v>18</v>
      </c>
      <c r="AS164" s="14" t="s">
        <v>566</v>
      </c>
      <c r="AT164" s="14"/>
      <c r="AU164" s="11"/>
      <c r="AV164" s="14"/>
    </row>
    <row r="165" spans="1:48" s="45" customFormat="1" ht="15" x14ac:dyDescent="0.25">
      <c r="A165" s="46">
        <v>46165</v>
      </c>
      <c r="B165" s="72">
        <f t="shared" si="13"/>
        <v>46196</v>
      </c>
      <c r="C165" s="42" t="s">
        <v>49</v>
      </c>
      <c r="D165" s="42" t="s">
        <v>299</v>
      </c>
      <c r="E165" s="14"/>
      <c r="F165" s="71">
        <v>3874516</v>
      </c>
      <c r="G165" s="42" t="s">
        <v>50</v>
      </c>
      <c r="H165" s="31">
        <v>20101973922</v>
      </c>
      <c r="I165" s="138" t="str">
        <f>IF(H165="","",VLOOKUP(H165,[1]ENTIDAD!$B$2:$C$605,2,0))</f>
        <v>ASOCIACION AUTOMOTRIZ DEL PERU</v>
      </c>
      <c r="J165" s="11"/>
      <c r="K165" s="11"/>
      <c r="L165" s="11"/>
      <c r="M165" s="11"/>
      <c r="N165" s="11">
        <f t="shared" si="12"/>
        <v>56.610169491525426</v>
      </c>
      <c r="O165" s="11">
        <f t="shared" si="11"/>
        <v>10.189830508474577</v>
      </c>
      <c r="P165" s="11">
        <v>0</v>
      </c>
      <c r="Q165" s="11"/>
      <c r="R165" s="11">
        <v>66.8</v>
      </c>
      <c r="S165" s="11">
        <v>66.8</v>
      </c>
      <c r="T165" s="14"/>
      <c r="U165" s="14"/>
      <c r="V165" s="13"/>
      <c r="W165" s="15"/>
      <c r="X165" s="13"/>
      <c r="Y165" s="14"/>
      <c r="Z165" s="14"/>
      <c r="AA165" s="14"/>
      <c r="AB165" s="42" t="s">
        <v>224</v>
      </c>
      <c r="AC165" s="11"/>
      <c r="AD165" s="33">
        <v>46196</v>
      </c>
      <c r="AE165" s="34" t="s">
        <v>465</v>
      </c>
      <c r="AF165" s="37" t="s">
        <v>550</v>
      </c>
      <c r="AG165" s="14" t="s">
        <v>513</v>
      </c>
      <c r="AH165" s="14" t="s">
        <v>225</v>
      </c>
      <c r="AI165" s="14"/>
      <c r="AJ165" s="14"/>
      <c r="AK165" s="16"/>
      <c r="AL165" s="11"/>
      <c r="AM165" s="11"/>
      <c r="AN165" s="14"/>
      <c r="AO165" s="14"/>
      <c r="AP165" s="13"/>
      <c r="AQ165" s="14"/>
      <c r="AR165" s="11">
        <v>18</v>
      </c>
      <c r="AS165" s="14" t="s">
        <v>566</v>
      </c>
      <c r="AT165" s="14"/>
      <c r="AU165" s="11"/>
      <c r="AV165" s="14"/>
    </row>
    <row r="166" spans="1:48" s="45" customFormat="1" ht="15" x14ac:dyDescent="0.25">
      <c r="A166" s="46">
        <v>46165</v>
      </c>
      <c r="B166" s="72">
        <f t="shared" si="13"/>
        <v>46196</v>
      </c>
      <c r="C166" s="42" t="s">
        <v>49</v>
      </c>
      <c r="D166" s="42" t="s">
        <v>299</v>
      </c>
      <c r="E166" s="14"/>
      <c r="F166" s="71">
        <v>3874517</v>
      </c>
      <c r="G166" s="42" t="s">
        <v>50</v>
      </c>
      <c r="H166" s="31">
        <v>20101973922</v>
      </c>
      <c r="I166" s="138" t="str">
        <f>IF(H166="","",VLOOKUP(H166,[1]ENTIDAD!$B$2:$C$605,2,0))</f>
        <v>ASOCIACION AUTOMOTRIZ DEL PERU</v>
      </c>
      <c r="J166" s="11"/>
      <c r="K166" s="11"/>
      <c r="L166" s="11"/>
      <c r="M166" s="11"/>
      <c r="N166" s="11">
        <f t="shared" si="12"/>
        <v>56.610169491525426</v>
      </c>
      <c r="O166" s="11">
        <f t="shared" si="11"/>
        <v>10.189830508474577</v>
      </c>
      <c r="P166" s="11">
        <v>0</v>
      </c>
      <c r="Q166" s="11"/>
      <c r="R166" s="11">
        <v>66.8</v>
      </c>
      <c r="S166" s="11">
        <v>66.8</v>
      </c>
      <c r="T166" s="14"/>
      <c r="U166" s="14"/>
      <c r="V166" s="13"/>
      <c r="W166" s="15"/>
      <c r="X166" s="13"/>
      <c r="Y166" s="14"/>
      <c r="Z166" s="14"/>
      <c r="AA166" s="14"/>
      <c r="AB166" s="42" t="s">
        <v>224</v>
      </c>
      <c r="AC166" s="11"/>
      <c r="AD166" s="33">
        <v>46196</v>
      </c>
      <c r="AE166" s="34" t="s">
        <v>465</v>
      </c>
      <c r="AF166" s="37" t="s">
        <v>550</v>
      </c>
      <c r="AG166" s="14" t="s">
        <v>513</v>
      </c>
      <c r="AH166" s="14" t="s">
        <v>225</v>
      </c>
      <c r="AI166" s="14"/>
      <c r="AJ166" s="14"/>
      <c r="AK166" s="16"/>
      <c r="AL166" s="11"/>
      <c r="AM166" s="11"/>
      <c r="AN166" s="14"/>
      <c r="AO166" s="14"/>
      <c r="AP166" s="13"/>
      <c r="AQ166" s="14"/>
      <c r="AR166" s="11">
        <v>18</v>
      </c>
      <c r="AS166" s="14" t="s">
        <v>566</v>
      </c>
      <c r="AT166" s="14"/>
      <c r="AU166" s="11"/>
      <c r="AV166" s="14"/>
    </row>
    <row r="167" spans="1:48" s="45" customFormat="1" ht="15" x14ac:dyDescent="0.25">
      <c r="A167" s="46">
        <v>46167</v>
      </c>
      <c r="B167" s="72">
        <f t="shared" si="13"/>
        <v>46198</v>
      </c>
      <c r="C167" s="42" t="s">
        <v>49</v>
      </c>
      <c r="D167" s="42" t="s">
        <v>301</v>
      </c>
      <c r="E167" s="14"/>
      <c r="F167" s="86">
        <v>18477</v>
      </c>
      <c r="G167" s="42" t="s">
        <v>50</v>
      </c>
      <c r="H167" s="31">
        <v>20493508645</v>
      </c>
      <c r="I167" s="138" t="str">
        <f>IF(H167="","",VLOOKUP(H167,[1]ENTIDAD!$B$2:$C$605,2,0))</f>
        <v>HONDA SELVA DEL PERU S.A.</v>
      </c>
      <c r="J167" s="11"/>
      <c r="K167" s="11"/>
      <c r="L167" s="11"/>
      <c r="M167" s="11"/>
      <c r="N167" s="11">
        <f t="shared" si="12"/>
        <v>-9.3220339094533323E-4</v>
      </c>
      <c r="O167" s="11">
        <f t="shared" si="11"/>
        <v>-1.6779661037015996E-4</v>
      </c>
      <c r="P167" s="11">
        <v>44065.56</v>
      </c>
      <c r="Q167" s="11"/>
      <c r="R167" s="11"/>
      <c r="S167" s="11">
        <f>W167*AC167</f>
        <v>44065.558899999996</v>
      </c>
      <c r="T167" s="14"/>
      <c r="U167" s="14"/>
      <c r="V167" s="13"/>
      <c r="W167" s="15">
        <v>3.4209999999999998</v>
      </c>
      <c r="X167" s="13"/>
      <c r="Y167" s="14"/>
      <c r="Z167" s="14"/>
      <c r="AA167" s="14"/>
      <c r="AB167" s="42" t="s">
        <v>383</v>
      </c>
      <c r="AC167" s="11">
        <v>12880.9</v>
      </c>
      <c r="AD167" s="13">
        <v>46198</v>
      </c>
      <c r="AE167" s="34" t="s">
        <v>465</v>
      </c>
      <c r="AF167" s="19" t="s">
        <v>532</v>
      </c>
      <c r="AG167" s="14"/>
      <c r="AH167" s="14" t="s">
        <v>225</v>
      </c>
      <c r="AI167" s="14"/>
      <c r="AJ167" s="14"/>
      <c r="AK167" s="16"/>
      <c r="AL167" s="11"/>
      <c r="AM167" s="11"/>
      <c r="AN167" s="14"/>
      <c r="AO167" s="14"/>
      <c r="AP167" s="13"/>
      <c r="AQ167" s="14"/>
      <c r="AR167" s="11">
        <v>18</v>
      </c>
      <c r="AS167" s="14" t="s">
        <v>201</v>
      </c>
      <c r="AT167" s="14"/>
      <c r="AU167" s="11"/>
      <c r="AV167" s="14"/>
    </row>
    <row r="168" spans="1:48" s="45" customFormat="1" ht="15" x14ac:dyDescent="0.25">
      <c r="A168" s="46">
        <v>46167</v>
      </c>
      <c r="B168" s="72">
        <f t="shared" si="13"/>
        <v>46198</v>
      </c>
      <c r="C168" s="42" t="s">
        <v>49</v>
      </c>
      <c r="D168" s="42" t="s">
        <v>301</v>
      </c>
      <c r="E168" s="14"/>
      <c r="F168" s="86">
        <v>18478</v>
      </c>
      <c r="G168" s="42" t="s">
        <v>50</v>
      </c>
      <c r="H168" s="31">
        <v>20493508645</v>
      </c>
      <c r="I168" s="138" t="str">
        <f>IF(H168="","",VLOOKUP(H168,[1]ENTIDAD!$B$2:$C$605,2,0))</f>
        <v>HONDA SELVA DEL PERU S.A.</v>
      </c>
      <c r="J168" s="11"/>
      <c r="K168" s="11"/>
      <c r="L168" s="11"/>
      <c r="M168" s="11"/>
      <c r="N168" s="11">
        <f t="shared" si="12"/>
        <v>-3.3898305083944176E-3</v>
      </c>
      <c r="O168" s="11">
        <f t="shared" si="11"/>
        <v>-6.1016949151099513E-4</v>
      </c>
      <c r="P168" s="11">
        <v>6862.53</v>
      </c>
      <c r="Q168" s="11"/>
      <c r="R168" s="11"/>
      <c r="S168" s="11">
        <f>W168*AC168</f>
        <v>6862.5259999999998</v>
      </c>
      <c r="T168" s="14"/>
      <c r="U168" s="14"/>
      <c r="V168" s="13"/>
      <c r="W168" s="15">
        <v>3.4209999999999998</v>
      </c>
      <c r="X168" s="13"/>
      <c r="Y168" s="14"/>
      <c r="Z168" s="14"/>
      <c r="AA168" s="14"/>
      <c r="AB168" s="42" t="s">
        <v>383</v>
      </c>
      <c r="AC168" s="11">
        <v>2006</v>
      </c>
      <c r="AD168" s="13">
        <v>46198</v>
      </c>
      <c r="AE168" s="34" t="s">
        <v>465</v>
      </c>
      <c r="AF168" s="19" t="s">
        <v>532</v>
      </c>
      <c r="AG168" s="14"/>
      <c r="AH168" s="14" t="s">
        <v>225</v>
      </c>
      <c r="AI168" s="14"/>
      <c r="AJ168" s="14"/>
      <c r="AK168" s="16"/>
      <c r="AL168" s="11"/>
      <c r="AM168" s="11"/>
      <c r="AN168" s="14"/>
      <c r="AO168" s="14"/>
      <c r="AP168" s="13"/>
      <c r="AQ168" s="14"/>
      <c r="AR168" s="11">
        <v>18</v>
      </c>
      <c r="AS168" s="14" t="s">
        <v>201</v>
      </c>
      <c r="AT168" s="14"/>
      <c r="AU168" s="11"/>
      <c r="AV168" s="14"/>
    </row>
    <row r="169" spans="1:48" s="45" customFormat="1" ht="15" x14ac:dyDescent="0.25">
      <c r="A169" s="46">
        <v>46167</v>
      </c>
      <c r="B169" s="72">
        <f t="shared" si="13"/>
        <v>46198</v>
      </c>
      <c r="C169" s="42" t="s">
        <v>49</v>
      </c>
      <c r="D169" s="42" t="s">
        <v>301</v>
      </c>
      <c r="E169" s="14"/>
      <c r="F169" s="86">
        <v>18479</v>
      </c>
      <c r="G169" s="42" t="s">
        <v>50</v>
      </c>
      <c r="H169" s="145">
        <v>20493508645</v>
      </c>
      <c r="I169" s="138" t="str">
        <f>IF(H169="","",VLOOKUP(H169,[1]ENTIDAD!$B$2:$C$605,2,0))</f>
        <v>HONDA SELVA DEL PERU S.A.</v>
      </c>
      <c r="J169" s="11"/>
      <c r="K169" s="11"/>
      <c r="L169" s="11"/>
      <c r="M169" s="11"/>
      <c r="N169" s="11">
        <f t="shared" si="12"/>
        <v>1.3220338957380283E-3</v>
      </c>
      <c r="O169" s="11">
        <f t="shared" si="11"/>
        <v>2.3796610123284507E-4</v>
      </c>
      <c r="P169" s="11">
        <v>19535.14</v>
      </c>
      <c r="Q169" s="11"/>
      <c r="R169" s="11"/>
      <c r="S169" s="11">
        <f>W169*AC169</f>
        <v>19535.141559999996</v>
      </c>
      <c r="T169" s="14"/>
      <c r="U169" s="14"/>
      <c r="V169" s="13"/>
      <c r="W169" s="15">
        <v>3.4209999999999998</v>
      </c>
      <c r="X169" s="13"/>
      <c r="Y169" s="14"/>
      <c r="Z169" s="14"/>
      <c r="AA169" s="14"/>
      <c r="AB169" s="42" t="s">
        <v>383</v>
      </c>
      <c r="AC169" s="11">
        <v>5710.36</v>
      </c>
      <c r="AD169" s="13">
        <v>46198</v>
      </c>
      <c r="AE169" s="34" t="s">
        <v>465</v>
      </c>
      <c r="AF169" s="19" t="s">
        <v>532</v>
      </c>
      <c r="AG169" s="14"/>
      <c r="AH169" s="14" t="s">
        <v>225</v>
      </c>
      <c r="AI169" s="14"/>
      <c r="AJ169" s="14"/>
      <c r="AK169" s="16"/>
      <c r="AL169" s="11"/>
      <c r="AM169" s="11"/>
      <c r="AN169" s="14"/>
      <c r="AO169" s="14"/>
      <c r="AP169" s="13"/>
      <c r="AQ169" s="14"/>
      <c r="AR169" s="11">
        <v>18</v>
      </c>
      <c r="AS169" s="14" t="s">
        <v>201</v>
      </c>
      <c r="AT169" s="14"/>
      <c r="AU169" s="11"/>
      <c r="AV169" s="14"/>
    </row>
    <row r="170" spans="1:48" s="45" customFormat="1" ht="15" x14ac:dyDescent="0.25">
      <c r="A170" s="46">
        <v>46167</v>
      </c>
      <c r="B170" s="72">
        <f t="shared" si="13"/>
        <v>46198</v>
      </c>
      <c r="C170" s="42" t="s">
        <v>49</v>
      </c>
      <c r="D170" s="42" t="s">
        <v>292</v>
      </c>
      <c r="E170" s="14"/>
      <c r="F170" s="71">
        <v>12868</v>
      </c>
      <c r="G170" s="42" t="s">
        <v>50</v>
      </c>
      <c r="H170" s="31">
        <v>20568968051</v>
      </c>
      <c r="I170" s="138" t="str">
        <f>IF(H170="","",VLOOKUP(H170,[1]ENTIDAD!$B$2:$C$605,2,0))</f>
        <v>AUTOMOVIL SATIPO TOURS S.A.C.</v>
      </c>
      <c r="J170" s="11"/>
      <c r="K170" s="11"/>
      <c r="L170" s="11"/>
      <c r="M170" s="11"/>
      <c r="N170" s="11">
        <v>0</v>
      </c>
      <c r="O170" s="11">
        <f t="shared" si="11"/>
        <v>0</v>
      </c>
      <c r="P170" s="11">
        <v>0</v>
      </c>
      <c r="Q170" s="11"/>
      <c r="R170" s="11">
        <v>40</v>
      </c>
      <c r="S170" s="11">
        <v>40</v>
      </c>
      <c r="T170" s="14"/>
      <c r="U170" s="14"/>
      <c r="V170" s="13"/>
      <c r="W170" s="15"/>
      <c r="X170" s="13"/>
      <c r="Y170" s="14"/>
      <c r="Z170" s="14"/>
      <c r="AA170" s="14"/>
      <c r="AB170" s="42" t="s">
        <v>224</v>
      </c>
      <c r="AC170" s="11"/>
      <c r="AD170" s="33">
        <v>46198</v>
      </c>
      <c r="AE170" s="14" t="s">
        <v>465</v>
      </c>
      <c r="AF170" s="37" t="s">
        <v>597</v>
      </c>
      <c r="AG170" s="14" t="s">
        <v>513</v>
      </c>
      <c r="AH170" s="14" t="s">
        <v>225</v>
      </c>
      <c r="AI170" s="14"/>
      <c r="AJ170" s="14"/>
      <c r="AK170" s="16"/>
      <c r="AL170" s="11"/>
      <c r="AM170" s="11"/>
      <c r="AN170" s="14"/>
      <c r="AO170" s="14"/>
      <c r="AP170" s="13"/>
      <c r="AQ170" s="14"/>
      <c r="AR170" s="11">
        <v>18</v>
      </c>
      <c r="AS170" s="14" t="s">
        <v>516</v>
      </c>
      <c r="AT170" s="14"/>
      <c r="AU170" s="11"/>
      <c r="AV170" s="14"/>
    </row>
    <row r="171" spans="1:48" s="45" customFormat="1" ht="15" x14ac:dyDescent="0.25">
      <c r="A171" s="46">
        <v>46167</v>
      </c>
      <c r="B171" s="72">
        <f t="shared" si="13"/>
        <v>46198</v>
      </c>
      <c r="C171" s="42" t="s">
        <v>49</v>
      </c>
      <c r="D171" s="42" t="s">
        <v>567</v>
      </c>
      <c r="E171" s="14"/>
      <c r="F171" s="71">
        <v>11784</v>
      </c>
      <c r="G171" s="42" t="s">
        <v>50</v>
      </c>
      <c r="H171" s="31">
        <v>20485981536</v>
      </c>
      <c r="I171" s="138" t="str">
        <f>IF(H171="","",VLOOKUP(H171,[1]ENTIDAD!$B$2:$C$605,2,0))</f>
        <v>EMPRESA DE TRANSPORTES TURISMO Y SERVICIOS MULTIPLES SHIMA E.I.R.L.</v>
      </c>
      <c r="J171" s="11"/>
      <c r="K171" s="11"/>
      <c r="L171" s="11"/>
      <c r="M171" s="11"/>
      <c r="N171" s="11">
        <v>0</v>
      </c>
      <c r="O171" s="11">
        <f t="shared" si="11"/>
        <v>0</v>
      </c>
      <c r="P171" s="11">
        <v>0</v>
      </c>
      <c r="Q171" s="11"/>
      <c r="R171" s="11">
        <v>40</v>
      </c>
      <c r="S171" s="11">
        <v>40</v>
      </c>
      <c r="T171" s="14"/>
      <c r="U171" s="14"/>
      <c r="V171" s="13"/>
      <c r="W171" s="15"/>
      <c r="X171" s="13"/>
      <c r="Y171" s="14"/>
      <c r="Z171" s="14"/>
      <c r="AA171" s="14"/>
      <c r="AB171" s="42" t="s">
        <v>224</v>
      </c>
      <c r="AC171" s="11"/>
      <c r="AD171" s="33">
        <v>46198</v>
      </c>
      <c r="AE171" s="14" t="s">
        <v>465</v>
      </c>
      <c r="AF171" s="37" t="s">
        <v>597</v>
      </c>
      <c r="AG171" s="14" t="s">
        <v>513</v>
      </c>
      <c r="AH171" s="14" t="s">
        <v>225</v>
      </c>
      <c r="AI171" s="14"/>
      <c r="AJ171" s="14"/>
      <c r="AK171" s="16"/>
      <c r="AL171" s="11"/>
      <c r="AM171" s="11"/>
      <c r="AN171" s="14"/>
      <c r="AO171" s="14"/>
      <c r="AP171" s="13"/>
      <c r="AQ171" s="14"/>
      <c r="AR171" s="11">
        <v>18</v>
      </c>
      <c r="AS171" s="14" t="s">
        <v>516</v>
      </c>
      <c r="AT171" s="14"/>
      <c r="AU171" s="11"/>
      <c r="AV171" s="14"/>
    </row>
    <row r="172" spans="1:48" s="45" customFormat="1" ht="15" x14ac:dyDescent="0.25">
      <c r="A172" s="68">
        <v>46168</v>
      </c>
      <c r="B172" s="68">
        <f t="shared" si="13"/>
        <v>46199</v>
      </c>
      <c r="C172" s="52" t="s">
        <v>300</v>
      </c>
      <c r="D172" s="52" t="s">
        <v>389</v>
      </c>
      <c r="E172" s="53"/>
      <c r="F172" s="147">
        <v>13467</v>
      </c>
      <c r="G172" s="52" t="s">
        <v>50</v>
      </c>
      <c r="H172" s="69">
        <v>20103733015</v>
      </c>
      <c r="I172" s="140" t="str">
        <f>IF(H172="","",VLOOKUP(H172,[1]ENTIDAD!$B$2:$C$605,2,0))</f>
        <v>HONDA DEL PERU S.A</v>
      </c>
      <c r="J172" s="55"/>
      <c r="K172" s="55"/>
      <c r="L172" s="55"/>
      <c r="M172" s="55"/>
      <c r="N172" s="55">
        <f t="shared" si="12"/>
        <v>-300.20995762711868</v>
      </c>
      <c r="O172" s="55">
        <f t="shared" si="11"/>
        <v>-54.037792372881363</v>
      </c>
      <c r="P172" s="55">
        <v>0</v>
      </c>
      <c r="Q172" s="55"/>
      <c r="R172" s="55"/>
      <c r="S172" s="55">
        <f>W172*AC172</f>
        <v>-354.24775</v>
      </c>
      <c r="T172" s="53"/>
      <c r="U172" s="53"/>
      <c r="V172" s="50"/>
      <c r="W172" s="25">
        <v>3.4249999999999998</v>
      </c>
      <c r="X172" s="50"/>
      <c r="Y172" s="53"/>
      <c r="Z172" s="53"/>
      <c r="AA172" s="53"/>
      <c r="AB172" s="52" t="s">
        <v>383</v>
      </c>
      <c r="AC172" s="55">
        <v>-103.43</v>
      </c>
      <c r="AD172" s="50">
        <v>46199</v>
      </c>
      <c r="AE172" s="53" t="s">
        <v>465</v>
      </c>
      <c r="AF172" s="60" t="s">
        <v>533</v>
      </c>
      <c r="AG172" s="53"/>
      <c r="AH172" s="53" t="s">
        <v>225</v>
      </c>
      <c r="AI172" s="53"/>
      <c r="AJ172" s="53"/>
      <c r="AK172" s="61"/>
      <c r="AL172" s="55"/>
      <c r="AM172" s="55"/>
      <c r="AN172" s="53"/>
      <c r="AO172" s="53"/>
      <c r="AP172" s="50"/>
      <c r="AQ172" s="53"/>
      <c r="AR172" s="55">
        <v>18</v>
      </c>
      <c r="AS172" s="53" t="s">
        <v>727</v>
      </c>
      <c r="AT172" s="14"/>
      <c r="AU172" s="11"/>
      <c r="AV172" s="14"/>
    </row>
    <row r="173" spans="1:48" s="45" customFormat="1" ht="15" x14ac:dyDescent="0.25">
      <c r="A173" s="68">
        <v>46168</v>
      </c>
      <c r="B173" s="68">
        <f t="shared" si="13"/>
        <v>46199</v>
      </c>
      <c r="C173" s="52" t="s">
        <v>300</v>
      </c>
      <c r="D173" s="52" t="s">
        <v>301</v>
      </c>
      <c r="E173" s="53"/>
      <c r="F173" s="147">
        <v>2459</v>
      </c>
      <c r="G173" s="52" t="s">
        <v>50</v>
      </c>
      <c r="H173" s="69">
        <v>20493508645</v>
      </c>
      <c r="I173" s="140" t="str">
        <f>IF(H173="","",VLOOKUP(H173,[1]ENTIDAD!$B$2:$C$605,2,0))</f>
        <v>HONDA SELVA DEL PERU S.A.</v>
      </c>
      <c r="J173" s="55"/>
      <c r="K173" s="55"/>
      <c r="L173" s="55"/>
      <c r="M173" s="55"/>
      <c r="N173" s="55">
        <f t="shared" si="12"/>
        <v>2.2372881345691601E-3</v>
      </c>
      <c r="O173" s="55">
        <f t="shared" si="11"/>
        <v>4.027118642224488E-4</v>
      </c>
      <c r="P173" s="55">
        <v>-9686.9699999999993</v>
      </c>
      <c r="Q173" s="55"/>
      <c r="R173" s="55"/>
      <c r="S173" s="55">
        <f>W173*AC173</f>
        <v>-9686.9673600000006</v>
      </c>
      <c r="T173" s="53"/>
      <c r="U173" s="53"/>
      <c r="V173" s="50"/>
      <c r="W173" s="25">
        <v>3.4079999999999999</v>
      </c>
      <c r="X173" s="50"/>
      <c r="Y173" s="53"/>
      <c r="Z173" s="53"/>
      <c r="AA173" s="53"/>
      <c r="AB173" s="52" t="s">
        <v>383</v>
      </c>
      <c r="AC173" s="55">
        <v>-2842.42</v>
      </c>
      <c r="AD173" s="50">
        <v>46199</v>
      </c>
      <c r="AE173" s="53" t="s">
        <v>465</v>
      </c>
      <c r="AF173" s="60" t="s">
        <v>533</v>
      </c>
      <c r="AG173" s="53"/>
      <c r="AH173" s="53" t="s">
        <v>225</v>
      </c>
      <c r="AI173" s="53"/>
      <c r="AJ173" s="53"/>
      <c r="AK173" s="61"/>
      <c r="AL173" s="55"/>
      <c r="AM173" s="55"/>
      <c r="AN173" s="53"/>
      <c r="AO173" s="53"/>
      <c r="AP173" s="50"/>
      <c r="AQ173" s="53"/>
      <c r="AR173" s="55">
        <v>18</v>
      </c>
      <c r="AS173" s="53" t="s">
        <v>534</v>
      </c>
      <c r="AT173" s="14"/>
      <c r="AU173" s="11"/>
      <c r="AV173" s="14"/>
    </row>
    <row r="174" spans="1:48" s="45" customFormat="1" ht="15" x14ac:dyDescent="0.25">
      <c r="A174" s="46">
        <v>46169</v>
      </c>
      <c r="B174" s="72">
        <f t="shared" si="13"/>
        <v>46200</v>
      </c>
      <c r="C174" s="42" t="s">
        <v>49</v>
      </c>
      <c r="D174" s="42" t="s">
        <v>301</v>
      </c>
      <c r="E174" s="14"/>
      <c r="F174" s="86">
        <v>18514</v>
      </c>
      <c r="G174" s="42" t="s">
        <v>50</v>
      </c>
      <c r="H174" s="114">
        <v>20493508645</v>
      </c>
      <c r="I174" s="138" t="str">
        <f>IF(H174="","",VLOOKUP(H174,[1]ENTIDAD!$B$2:$C$605,2,0))</f>
        <v>HONDA SELVA DEL PERU S.A.</v>
      </c>
      <c r="J174" s="11"/>
      <c r="K174" s="11"/>
      <c r="L174" s="11"/>
      <c r="M174" s="11"/>
      <c r="N174" s="11">
        <f t="shared" si="12"/>
        <v>1.3559322030494638E-3</v>
      </c>
      <c r="O174" s="11">
        <f t="shared" si="11"/>
        <v>2.4406779654890346E-4</v>
      </c>
      <c r="P174" s="11">
        <v>26598.98</v>
      </c>
      <c r="Q174" s="11"/>
      <c r="R174" s="11"/>
      <c r="S174" s="11">
        <f>W174*AC174</f>
        <v>26598.981599999999</v>
      </c>
      <c r="T174" s="14"/>
      <c r="U174" s="14"/>
      <c r="V174" s="13"/>
      <c r="W174" s="15">
        <v>3.42</v>
      </c>
      <c r="X174" s="13"/>
      <c r="Y174" s="14"/>
      <c r="Z174" s="14"/>
      <c r="AA174" s="14"/>
      <c r="AB174" s="42" t="s">
        <v>383</v>
      </c>
      <c r="AC174" s="11">
        <v>7777.48</v>
      </c>
      <c r="AD174" s="33">
        <v>46200</v>
      </c>
      <c r="AE174" s="34" t="s">
        <v>465</v>
      </c>
      <c r="AF174" s="19" t="s">
        <v>532</v>
      </c>
      <c r="AG174" s="14"/>
      <c r="AH174" s="14" t="s">
        <v>225</v>
      </c>
      <c r="AI174" s="14"/>
      <c r="AJ174" s="14"/>
      <c r="AK174" s="16"/>
      <c r="AL174" s="11"/>
      <c r="AM174" s="11"/>
      <c r="AN174" s="14"/>
      <c r="AO174" s="14"/>
      <c r="AP174" s="13"/>
      <c r="AQ174" s="14"/>
      <c r="AR174" s="11">
        <v>18</v>
      </c>
      <c r="AS174" s="14" t="s">
        <v>201</v>
      </c>
      <c r="AT174" s="14"/>
      <c r="AU174" s="11"/>
      <c r="AV174" s="14"/>
    </row>
    <row r="175" spans="1:48" s="45" customFormat="1" ht="15" x14ac:dyDescent="0.25">
      <c r="A175" s="46">
        <v>46169</v>
      </c>
      <c r="B175" s="72">
        <f t="shared" si="13"/>
        <v>46200</v>
      </c>
      <c r="C175" s="42" t="s">
        <v>49</v>
      </c>
      <c r="D175" s="42" t="s">
        <v>301</v>
      </c>
      <c r="E175" s="14"/>
      <c r="F175" s="86">
        <v>18515</v>
      </c>
      <c r="G175" s="42" t="s">
        <v>50</v>
      </c>
      <c r="H175" s="114">
        <v>20493508645</v>
      </c>
      <c r="I175" s="138" t="str">
        <f>IF(H175="","",VLOOKUP(H175,[1]ENTIDAD!$B$2:$C$605,2,0))</f>
        <v>HONDA SELVA DEL PERU S.A.</v>
      </c>
      <c r="J175" s="11"/>
      <c r="K175" s="11"/>
      <c r="L175" s="11"/>
      <c r="M175" s="11"/>
      <c r="N175" s="11">
        <f t="shared" si="12"/>
        <v>1.3559321999664308E-3</v>
      </c>
      <c r="O175" s="11">
        <f t="shared" si="11"/>
        <v>2.4406779599395753E-4</v>
      </c>
      <c r="P175" s="11">
        <v>17732.63</v>
      </c>
      <c r="Q175" s="11"/>
      <c r="R175" s="11"/>
      <c r="S175" s="11">
        <f>W175*AC175</f>
        <v>17732.631599999997</v>
      </c>
      <c r="T175" s="14"/>
      <c r="U175" s="14"/>
      <c r="V175" s="13"/>
      <c r="W175" s="15">
        <v>3.42</v>
      </c>
      <c r="X175" s="13"/>
      <c r="Y175" s="14"/>
      <c r="Z175" s="14"/>
      <c r="AA175" s="14"/>
      <c r="AB175" s="42" t="s">
        <v>383</v>
      </c>
      <c r="AC175" s="11">
        <v>5184.9799999999996</v>
      </c>
      <c r="AD175" s="33">
        <v>46200</v>
      </c>
      <c r="AE175" s="34" t="s">
        <v>465</v>
      </c>
      <c r="AF175" s="19" t="s">
        <v>532</v>
      </c>
      <c r="AG175" s="14"/>
      <c r="AH175" s="14" t="s">
        <v>225</v>
      </c>
      <c r="AI175" s="14"/>
      <c r="AJ175" s="14"/>
      <c r="AK175" s="16"/>
      <c r="AL175" s="11"/>
      <c r="AM175" s="11"/>
      <c r="AN175" s="14"/>
      <c r="AO175" s="14"/>
      <c r="AP175" s="13"/>
      <c r="AQ175" s="14"/>
      <c r="AR175" s="11">
        <v>18</v>
      </c>
      <c r="AS175" s="14" t="s">
        <v>201</v>
      </c>
      <c r="AT175" s="14"/>
      <c r="AU175" s="11"/>
      <c r="AV175" s="14"/>
    </row>
    <row r="176" spans="1:48" s="45" customFormat="1" ht="15" x14ac:dyDescent="0.25">
      <c r="A176" s="46">
        <v>46170</v>
      </c>
      <c r="B176" s="72"/>
      <c r="C176" s="42" t="s">
        <v>49</v>
      </c>
      <c r="D176" s="42" t="s">
        <v>294</v>
      </c>
      <c r="E176" s="14"/>
      <c r="F176" s="71">
        <v>120079</v>
      </c>
      <c r="G176" s="42" t="s">
        <v>50</v>
      </c>
      <c r="H176" s="31">
        <v>20568499043</v>
      </c>
      <c r="I176" s="138" t="str">
        <f>IF(H176="","",VLOOKUP(H176,[1]ENTIDAD!$B$2:$C$605,2,0))</f>
        <v>SURTIDORES SAN MIGUEL E.I.R.L.</v>
      </c>
      <c r="J176" s="11"/>
      <c r="K176" s="11"/>
      <c r="L176" s="11"/>
      <c r="M176" s="11"/>
      <c r="N176" s="11">
        <f t="shared" si="12"/>
        <v>0</v>
      </c>
      <c r="O176" s="11">
        <f t="shared" si="11"/>
        <v>0</v>
      </c>
      <c r="P176" s="11">
        <v>150</v>
      </c>
      <c r="Q176" s="11"/>
      <c r="R176" s="11"/>
      <c r="S176" s="11">
        <v>150</v>
      </c>
      <c r="T176" s="14"/>
      <c r="U176" s="14"/>
      <c r="V176" s="13"/>
      <c r="W176" s="15"/>
      <c r="X176" s="13"/>
      <c r="Y176" s="14"/>
      <c r="Z176" s="14"/>
      <c r="AA176" s="14"/>
      <c r="AB176" s="42" t="s">
        <v>224</v>
      </c>
      <c r="AC176" s="11"/>
      <c r="AD176" s="33">
        <v>46170</v>
      </c>
      <c r="AE176" s="14" t="s">
        <v>262</v>
      </c>
      <c r="AF176" s="19" t="s">
        <v>486</v>
      </c>
      <c r="AG176" s="14"/>
      <c r="AH176" s="14" t="s">
        <v>225</v>
      </c>
      <c r="AI176" s="14"/>
      <c r="AJ176" s="14"/>
      <c r="AK176" s="16"/>
      <c r="AL176" s="11"/>
      <c r="AM176" s="11"/>
      <c r="AN176" s="14"/>
      <c r="AO176" s="14"/>
      <c r="AP176" s="13"/>
      <c r="AQ176" s="14"/>
      <c r="AR176" s="11">
        <v>18</v>
      </c>
      <c r="AS176" s="14" t="s">
        <v>713</v>
      </c>
      <c r="AT176" s="14"/>
      <c r="AU176" s="11"/>
      <c r="AV176" s="14"/>
    </row>
    <row r="177" spans="1:48" s="45" customFormat="1" ht="15" x14ac:dyDescent="0.25">
      <c r="A177" s="46">
        <v>46170</v>
      </c>
      <c r="B177" s="72">
        <f>AD177</f>
        <v>46201</v>
      </c>
      <c r="C177" s="42" t="s">
        <v>49</v>
      </c>
      <c r="D177" s="42" t="s">
        <v>294</v>
      </c>
      <c r="E177" s="14"/>
      <c r="F177" s="71">
        <v>5365</v>
      </c>
      <c r="G177" s="42" t="s">
        <v>50</v>
      </c>
      <c r="H177" s="31">
        <v>10061702071</v>
      </c>
      <c r="I177" s="138" t="str">
        <f>IF(H177="","",VLOOKUP(H177,[1]ENTIDAD!$B$2:$C$605,2,0))</f>
        <v>CORAL FLORES IVAN MARTIN</v>
      </c>
      <c r="J177" s="11"/>
      <c r="K177" s="11"/>
      <c r="L177" s="11"/>
      <c r="M177" s="11"/>
      <c r="N177" s="11">
        <f t="shared" si="12"/>
        <v>0</v>
      </c>
      <c r="O177" s="11">
        <f t="shared" si="11"/>
        <v>0</v>
      </c>
      <c r="P177" s="11">
        <v>480</v>
      </c>
      <c r="Q177" s="11"/>
      <c r="R177" s="11">
        <v>0</v>
      </c>
      <c r="S177" s="11">
        <v>480</v>
      </c>
      <c r="T177" s="14"/>
      <c r="U177" s="14"/>
      <c r="V177" s="13"/>
      <c r="W177" s="15"/>
      <c r="X177" s="13"/>
      <c r="Y177" s="14"/>
      <c r="Z177" s="14"/>
      <c r="AA177" s="14"/>
      <c r="AB177" s="42" t="s">
        <v>224</v>
      </c>
      <c r="AC177" s="11"/>
      <c r="AD177" s="33">
        <v>46201</v>
      </c>
      <c r="AE177" s="14" t="s">
        <v>465</v>
      </c>
      <c r="AF177" s="37" t="s">
        <v>597</v>
      </c>
      <c r="AG177" s="34" t="s">
        <v>513</v>
      </c>
      <c r="AH177" s="34" t="s">
        <v>225</v>
      </c>
      <c r="AI177" s="14"/>
      <c r="AJ177" s="14"/>
      <c r="AK177" s="16"/>
      <c r="AL177" s="11"/>
      <c r="AM177" s="11"/>
      <c r="AN177" s="14"/>
      <c r="AO177" s="14"/>
      <c r="AP177" s="13"/>
      <c r="AQ177" s="14"/>
      <c r="AR177" s="11">
        <v>18</v>
      </c>
      <c r="AS177" s="14" t="s">
        <v>717</v>
      </c>
      <c r="AT177" s="14"/>
      <c r="AU177" s="11"/>
      <c r="AV177" s="14"/>
    </row>
    <row r="178" spans="1:48" s="45" customFormat="1" ht="15" x14ac:dyDescent="0.25">
      <c r="A178" s="46">
        <v>46170</v>
      </c>
      <c r="B178" s="72">
        <f>AD178</f>
        <v>46201</v>
      </c>
      <c r="C178" s="42" t="s">
        <v>49</v>
      </c>
      <c r="D178" s="42" t="s">
        <v>301</v>
      </c>
      <c r="E178" s="14"/>
      <c r="F178" s="86">
        <v>18566</v>
      </c>
      <c r="G178" s="42" t="s">
        <v>50</v>
      </c>
      <c r="H178" s="31">
        <v>20493508645</v>
      </c>
      <c r="I178" s="138" t="str">
        <f>IF(H178="","",VLOOKUP(H178,[1]ENTIDAD!$B$2:$C$605,2,0))</f>
        <v>HONDA SELVA DEL PERU S.A.</v>
      </c>
      <c r="J178" s="11"/>
      <c r="K178" s="11"/>
      <c r="L178" s="11"/>
      <c r="M178" s="11"/>
      <c r="N178" s="11">
        <f t="shared" si="12"/>
        <v>-2.0423728821728129E-3</v>
      </c>
      <c r="O178" s="11">
        <f t="shared" si="11"/>
        <v>-3.6762711879110633E-4</v>
      </c>
      <c r="P178" s="11">
        <v>10317.02</v>
      </c>
      <c r="Q178" s="11"/>
      <c r="R178" s="11"/>
      <c r="S178" s="11">
        <f>W178*AC178</f>
        <v>10317.017589999999</v>
      </c>
      <c r="T178" s="14"/>
      <c r="U178" s="14"/>
      <c r="V178" s="13"/>
      <c r="W178" s="15">
        <v>3.4209999999999998</v>
      </c>
      <c r="X178" s="13"/>
      <c r="Y178" s="14"/>
      <c r="Z178" s="14"/>
      <c r="AA178" s="14"/>
      <c r="AB178" s="42" t="s">
        <v>383</v>
      </c>
      <c r="AC178" s="11">
        <v>3015.79</v>
      </c>
      <c r="AD178" s="33">
        <v>46201</v>
      </c>
      <c r="AE178" s="34" t="s">
        <v>465</v>
      </c>
      <c r="AF178" s="19" t="s">
        <v>532</v>
      </c>
      <c r="AG178" s="14"/>
      <c r="AH178" s="14" t="s">
        <v>225</v>
      </c>
      <c r="AI178" s="14"/>
      <c r="AJ178" s="14"/>
      <c r="AK178" s="16"/>
      <c r="AL178" s="11"/>
      <c r="AM178" s="11"/>
      <c r="AN178" s="14"/>
      <c r="AO178" s="14"/>
      <c r="AP178" s="13"/>
      <c r="AQ178" s="14"/>
      <c r="AR178" s="11">
        <v>18</v>
      </c>
      <c r="AS178" s="14" t="s">
        <v>201</v>
      </c>
      <c r="AT178" s="14"/>
      <c r="AU178" s="11"/>
      <c r="AV178" s="14"/>
    </row>
    <row r="179" spans="1:48" s="45" customFormat="1" ht="15" x14ac:dyDescent="0.25">
      <c r="A179" s="46">
        <v>46170</v>
      </c>
      <c r="B179" s="72"/>
      <c r="C179" s="42" t="s">
        <v>49</v>
      </c>
      <c r="D179" s="42" t="s">
        <v>294</v>
      </c>
      <c r="E179" s="14"/>
      <c r="F179" s="71">
        <v>1219</v>
      </c>
      <c r="G179" s="42" t="s">
        <v>50</v>
      </c>
      <c r="H179" s="31">
        <v>20611936606</v>
      </c>
      <c r="I179" s="138" t="str">
        <f>IF(H179="","",VLOOKUP(H179,[1]ENTIDAD!$B$2:$C$605,2,0))</f>
        <v>GAS VIVA EMPRESA INDIVIDUAL DE RESPONSABILIDAD LIMITADA</v>
      </c>
      <c r="J179" s="11"/>
      <c r="K179" s="11"/>
      <c r="L179" s="11"/>
      <c r="M179" s="11"/>
      <c r="N179" s="11">
        <f t="shared" si="12"/>
        <v>0</v>
      </c>
      <c r="O179" s="11">
        <f t="shared" si="11"/>
        <v>0</v>
      </c>
      <c r="P179" s="11">
        <v>10</v>
      </c>
      <c r="Q179" s="11"/>
      <c r="R179" s="11"/>
      <c r="S179" s="11">
        <v>10</v>
      </c>
      <c r="T179" s="14"/>
      <c r="U179" s="14"/>
      <c r="V179" s="13"/>
      <c r="W179" s="15"/>
      <c r="X179" s="13"/>
      <c r="Y179" s="14"/>
      <c r="Z179" s="14"/>
      <c r="AA179" s="14"/>
      <c r="AB179" s="42" t="s">
        <v>224</v>
      </c>
      <c r="AC179" s="11"/>
      <c r="AD179" s="33">
        <v>46170</v>
      </c>
      <c r="AE179" s="14" t="s">
        <v>262</v>
      </c>
      <c r="AF179" s="19" t="s">
        <v>486</v>
      </c>
      <c r="AG179" s="14"/>
      <c r="AH179" s="14" t="s">
        <v>225</v>
      </c>
      <c r="AI179" s="14"/>
      <c r="AJ179" s="14"/>
      <c r="AK179" s="16"/>
      <c r="AL179" s="11"/>
      <c r="AM179" s="11"/>
      <c r="AN179" s="14"/>
      <c r="AO179" s="14"/>
      <c r="AP179" s="13"/>
      <c r="AQ179" s="14"/>
      <c r="AR179" s="11">
        <v>18</v>
      </c>
      <c r="AS179" s="14" t="s">
        <v>713</v>
      </c>
      <c r="AT179" s="14"/>
      <c r="AU179" s="11"/>
      <c r="AV179" s="14"/>
    </row>
    <row r="180" spans="1:48" s="45" customFormat="1" ht="15" x14ac:dyDescent="0.25">
      <c r="A180" s="46">
        <v>46171</v>
      </c>
      <c r="B180" s="72">
        <f>AD180</f>
        <v>46199</v>
      </c>
      <c r="C180" s="42" t="s">
        <v>49</v>
      </c>
      <c r="D180" s="42" t="s">
        <v>299</v>
      </c>
      <c r="E180" s="14"/>
      <c r="F180" s="86">
        <v>60572</v>
      </c>
      <c r="G180" s="42" t="s">
        <v>50</v>
      </c>
      <c r="H180" s="31">
        <v>20493508645</v>
      </c>
      <c r="I180" s="138" t="str">
        <f>IF(H180="","",VLOOKUP(H180,[1]ENTIDAD!$B$2:$C$605,2,0))</f>
        <v>HONDA SELVA DEL PERU S.A.</v>
      </c>
      <c r="J180" s="11"/>
      <c r="K180" s="11"/>
      <c r="L180" s="11"/>
      <c r="M180" s="11"/>
      <c r="N180" s="11">
        <f t="shared" si="12"/>
        <v>33.291525423728814</v>
      </c>
      <c r="O180" s="11">
        <f t="shared" si="11"/>
        <v>5.992474576271186</v>
      </c>
      <c r="P180" s="11">
        <v>0</v>
      </c>
      <c r="Q180" s="11"/>
      <c r="R180" s="11"/>
      <c r="S180" s="11">
        <f>W180*AC180</f>
        <v>39.283999999999999</v>
      </c>
      <c r="T180" s="14"/>
      <c r="U180" s="14"/>
      <c r="V180" s="13"/>
      <c r="W180" s="15">
        <v>3.4159999999999999</v>
      </c>
      <c r="X180" s="13"/>
      <c r="Y180" s="14"/>
      <c r="Z180" s="14"/>
      <c r="AA180" s="14"/>
      <c r="AB180" s="42" t="s">
        <v>383</v>
      </c>
      <c r="AC180" s="11">
        <v>11.5</v>
      </c>
      <c r="AD180" s="33">
        <v>46199</v>
      </c>
      <c r="AE180" s="34" t="s">
        <v>465</v>
      </c>
      <c r="AF180" s="19" t="s">
        <v>532</v>
      </c>
      <c r="AG180" s="14"/>
      <c r="AH180" s="14" t="s">
        <v>225</v>
      </c>
      <c r="AI180" s="14"/>
      <c r="AJ180" s="14"/>
      <c r="AK180" s="16"/>
      <c r="AL180" s="11"/>
      <c r="AM180" s="11"/>
      <c r="AN180" s="14"/>
      <c r="AO180" s="14"/>
      <c r="AP180" s="13"/>
      <c r="AQ180" s="14"/>
      <c r="AR180" s="11">
        <v>18</v>
      </c>
      <c r="AS180" s="14" t="s">
        <v>201</v>
      </c>
      <c r="AT180" s="14"/>
      <c r="AU180" s="11"/>
      <c r="AV180" s="14"/>
    </row>
    <row r="181" spans="1:48" s="45" customFormat="1" ht="15" x14ac:dyDescent="0.25">
      <c r="A181" s="46">
        <v>46171</v>
      </c>
      <c r="B181" s="72">
        <f>AD181</f>
        <v>46202</v>
      </c>
      <c r="C181" s="42" t="s">
        <v>49</v>
      </c>
      <c r="D181" s="42" t="s">
        <v>301</v>
      </c>
      <c r="E181" s="14"/>
      <c r="F181" s="86">
        <v>18608</v>
      </c>
      <c r="G181" s="42" t="s">
        <v>50</v>
      </c>
      <c r="H181" s="31">
        <v>20493508645</v>
      </c>
      <c r="I181" s="138" t="str">
        <f>IF(H181="","",VLOOKUP(H181,[1]ENTIDAD!$B$2:$C$605,2,0))</f>
        <v>HONDA SELVA DEL PERU S.A.</v>
      </c>
      <c r="J181" s="11"/>
      <c r="K181" s="11"/>
      <c r="L181" s="11"/>
      <c r="M181" s="11"/>
      <c r="N181" s="11">
        <f t="shared" si="12"/>
        <v>-2.3050847461089981E-3</v>
      </c>
      <c r="O181" s="11">
        <f t="shared" si="11"/>
        <v>-4.1491525429961963E-4</v>
      </c>
      <c r="P181" s="11">
        <v>20603.88</v>
      </c>
      <c r="Q181" s="11"/>
      <c r="R181" s="11"/>
      <c r="S181" s="11">
        <f>W181*AC181</f>
        <v>20603.877280000001</v>
      </c>
      <c r="T181" s="14"/>
      <c r="U181" s="14"/>
      <c r="V181" s="13"/>
      <c r="W181" s="15">
        <v>3.4159999999999999</v>
      </c>
      <c r="X181" s="13"/>
      <c r="Y181" s="14"/>
      <c r="Z181" s="14"/>
      <c r="AA181" s="14"/>
      <c r="AB181" s="42" t="s">
        <v>383</v>
      </c>
      <c r="AC181" s="11">
        <v>6031.58</v>
      </c>
      <c r="AD181" s="33">
        <v>46202</v>
      </c>
      <c r="AE181" s="34" t="s">
        <v>465</v>
      </c>
      <c r="AF181" s="19" t="s">
        <v>532</v>
      </c>
      <c r="AG181" s="14"/>
      <c r="AH181" s="14" t="s">
        <v>225</v>
      </c>
      <c r="AI181" s="14"/>
      <c r="AJ181" s="14"/>
      <c r="AK181" s="16"/>
      <c r="AL181" s="11"/>
      <c r="AM181" s="11"/>
      <c r="AN181" s="14"/>
      <c r="AO181" s="14"/>
      <c r="AP181" s="13"/>
      <c r="AQ181" s="14"/>
      <c r="AR181" s="11">
        <v>18</v>
      </c>
      <c r="AS181" s="14" t="s">
        <v>201</v>
      </c>
      <c r="AT181" s="14"/>
      <c r="AU181" s="11"/>
      <c r="AV181" s="14"/>
    </row>
    <row r="182" spans="1:48" s="45" customFormat="1" ht="15" x14ac:dyDescent="0.25">
      <c r="A182" s="46">
        <v>46171</v>
      </c>
      <c r="B182" s="72"/>
      <c r="C182" s="42" t="s">
        <v>49</v>
      </c>
      <c r="D182" s="42" t="s">
        <v>574</v>
      </c>
      <c r="E182" s="14"/>
      <c r="F182" s="71">
        <v>505</v>
      </c>
      <c r="G182" s="42" t="s">
        <v>50</v>
      </c>
      <c r="H182" s="31">
        <v>10421947665</v>
      </c>
      <c r="I182" s="138" t="str">
        <f>IF(H182="","",VLOOKUP(H182,[1]ENTIDAD!$B$2:$C$605,2,0))</f>
        <v>MAYTA,MADUEÑO,SAUL,JESUS</v>
      </c>
      <c r="J182" s="11"/>
      <c r="K182" s="11"/>
      <c r="L182" s="11"/>
      <c r="M182" s="11"/>
      <c r="N182" s="11">
        <f t="shared" si="12"/>
        <v>0</v>
      </c>
      <c r="O182" s="11">
        <f t="shared" si="11"/>
        <v>0</v>
      </c>
      <c r="P182" s="11">
        <v>44.5</v>
      </c>
      <c r="Q182" s="11"/>
      <c r="R182" s="11"/>
      <c r="S182" s="11">
        <v>44.5</v>
      </c>
      <c r="T182" s="14"/>
      <c r="U182" s="14"/>
      <c r="V182" s="13"/>
      <c r="W182" s="15"/>
      <c r="X182" s="13"/>
      <c r="Y182" s="14"/>
      <c r="Z182" s="14"/>
      <c r="AA182" s="14"/>
      <c r="AB182" s="42" t="s">
        <v>224</v>
      </c>
      <c r="AC182" s="11"/>
      <c r="AD182" s="33">
        <v>46171</v>
      </c>
      <c r="AE182" s="14" t="s">
        <v>262</v>
      </c>
      <c r="AF182" s="19" t="s">
        <v>515</v>
      </c>
      <c r="AG182" s="14"/>
      <c r="AH182" s="14" t="s">
        <v>225</v>
      </c>
      <c r="AI182" s="14"/>
      <c r="AJ182" s="14"/>
      <c r="AK182" s="16"/>
      <c r="AL182" s="11"/>
      <c r="AM182" s="11"/>
      <c r="AN182" s="14"/>
      <c r="AO182" s="14"/>
      <c r="AP182" s="13"/>
      <c r="AQ182" s="14"/>
      <c r="AR182" s="11">
        <v>18</v>
      </c>
      <c r="AS182" s="14" t="s">
        <v>670</v>
      </c>
      <c r="AT182" s="14"/>
      <c r="AU182" s="11"/>
      <c r="AV182" s="14"/>
    </row>
    <row r="183" spans="1:48" s="45" customFormat="1" ht="15" x14ac:dyDescent="0.25">
      <c r="A183" s="46">
        <v>46171</v>
      </c>
      <c r="B183" s="13"/>
      <c r="C183" s="42" t="s">
        <v>49</v>
      </c>
      <c r="D183" s="42" t="s">
        <v>745</v>
      </c>
      <c r="E183" s="14"/>
      <c r="F183" s="71">
        <v>120219</v>
      </c>
      <c r="G183" s="42" t="s">
        <v>50</v>
      </c>
      <c r="H183" s="31">
        <v>20568499043</v>
      </c>
      <c r="I183" s="138" t="str">
        <f>IF(H183="","",VLOOKUP(H183,[1]ENTIDAD!$B$2:$C$605,2,0))</f>
        <v>SURTIDORES SAN MIGUEL E.I.R.L.</v>
      </c>
      <c r="J183" s="11"/>
      <c r="K183" s="11"/>
      <c r="L183" s="11"/>
      <c r="M183" s="11"/>
      <c r="N183" s="11">
        <f t="shared" si="12"/>
        <v>0</v>
      </c>
      <c r="O183" s="11">
        <f t="shared" si="11"/>
        <v>0</v>
      </c>
      <c r="P183" s="11">
        <v>149.99</v>
      </c>
      <c r="Q183" s="11"/>
      <c r="R183" s="11"/>
      <c r="S183" s="11">
        <v>149.99</v>
      </c>
      <c r="T183" s="14"/>
      <c r="U183" s="14"/>
      <c r="V183" s="13"/>
      <c r="W183" s="15"/>
      <c r="X183" s="13"/>
      <c r="Y183" s="14"/>
      <c r="Z183" s="14"/>
      <c r="AA183" s="14"/>
      <c r="AB183" s="42" t="s">
        <v>224</v>
      </c>
      <c r="AC183" s="11"/>
      <c r="AD183" s="33">
        <v>46171</v>
      </c>
      <c r="AE183" s="14" t="s">
        <v>262</v>
      </c>
      <c r="AF183" s="19" t="s">
        <v>486</v>
      </c>
      <c r="AG183" s="14"/>
      <c r="AH183" s="14" t="s">
        <v>225</v>
      </c>
      <c r="AI183" s="14"/>
      <c r="AJ183" s="14"/>
      <c r="AK183" s="16"/>
      <c r="AL183" s="11"/>
      <c r="AM183" s="11"/>
      <c r="AN183" s="14"/>
      <c r="AO183" s="14"/>
      <c r="AP183" s="13"/>
      <c r="AQ183" s="14"/>
      <c r="AR183" s="11">
        <v>18</v>
      </c>
      <c r="AS183" s="14" t="s">
        <v>713</v>
      </c>
      <c r="AT183" s="14"/>
      <c r="AU183" s="11"/>
      <c r="AV183" s="14"/>
    </row>
    <row r="184" spans="1:48" s="45" customFormat="1" ht="15" x14ac:dyDescent="0.25">
      <c r="A184" s="46">
        <v>46171</v>
      </c>
      <c r="B184" s="13"/>
      <c r="C184" s="42" t="s">
        <v>49</v>
      </c>
      <c r="D184" s="42" t="s">
        <v>292</v>
      </c>
      <c r="E184" s="14"/>
      <c r="F184" s="71">
        <v>12920</v>
      </c>
      <c r="G184" s="42" t="s">
        <v>50</v>
      </c>
      <c r="H184" s="31">
        <v>20568968051</v>
      </c>
      <c r="I184" s="43" t="str">
        <f>IF(H184="","",VLOOKUP(H184,[1]ENTIDAD!$B$2:$C$605,2,0))</f>
        <v>AUTOMOVIL SATIPO TOURS S.A.C.</v>
      </c>
      <c r="J184" s="11"/>
      <c r="K184" s="11"/>
      <c r="L184" s="11"/>
      <c r="M184" s="11"/>
      <c r="N184" s="11">
        <v>0</v>
      </c>
      <c r="O184" s="11">
        <f t="shared" si="11"/>
        <v>0</v>
      </c>
      <c r="P184" s="11">
        <v>0</v>
      </c>
      <c r="Q184" s="11"/>
      <c r="R184" s="11">
        <v>40</v>
      </c>
      <c r="S184" s="11">
        <v>40</v>
      </c>
      <c r="T184" s="14"/>
      <c r="U184" s="14"/>
      <c r="V184" s="13"/>
      <c r="W184" s="15"/>
      <c r="X184" s="13"/>
      <c r="Y184" s="14"/>
      <c r="Z184" s="14"/>
      <c r="AA184" s="14"/>
      <c r="AB184" s="42" t="s">
        <v>224</v>
      </c>
      <c r="AC184" s="11"/>
      <c r="AD184" s="33">
        <v>46202</v>
      </c>
      <c r="AE184" s="14" t="s">
        <v>465</v>
      </c>
      <c r="AF184" s="37" t="s">
        <v>597</v>
      </c>
      <c r="AG184" s="14" t="s">
        <v>513</v>
      </c>
      <c r="AH184" s="14" t="s">
        <v>225</v>
      </c>
      <c r="AI184" s="14"/>
      <c r="AJ184" s="14"/>
      <c r="AK184" s="16"/>
      <c r="AL184" s="11"/>
      <c r="AM184" s="11"/>
      <c r="AN184" s="14"/>
      <c r="AO184" s="14"/>
      <c r="AP184" s="13"/>
      <c r="AQ184" s="14"/>
      <c r="AR184" s="11">
        <v>18</v>
      </c>
      <c r="AS184" s="14" t="s">
        <v>688</v>
      </c>
      <c r="AT184" s="14"/>
      <c r="AU184" s="11"/>
      <c r="AV184" s="14"/>
    </row>
    <row r="185" spans="1:48" s="45" customFormat="1" ht="15" x14ac:dyDescent="0.25">
      <c r="A185" s="46">
        <v>46171</v>
      </c>
      <c r="B185" s="13"/>
      <c r="C185" s="42" t="s">
        <v>49</v>
      </c>
      <c r="D185" s="42" t="s">
        <v>568</v>
      </c>
      <c r="E185" s="14"/>
      <c r="F185" s="71">
        <v>20345</v>
      </c>
      <c r="G185" s="42" t="s">
        <v>50</v>
      </c>
      <c r="H185" s="31">
        <v>20485981536</v>
      </c>
      <c r="I185" s="43" t="str">
        <f>IF(H185="","",VLOOKUP(H185,[1]ENTIDAD!$B$2:$C$605,2,0))</f>
        <v>EMPRESA DE TRANSPORTES TURISMO Y SERVICIOS MULTIPLES SHIMA E.I.R.L.</v>
      </c>
      <c r="J185" s="11"/>
      <c r="K185" s="11"/>
      <c r="L185" s="11"/>
      <c r="M185" s="11"/>
      <c r="N185" s="11">
        <v>0</v>
      </c>
      <c r="O185" s="11">
        <f t="shared" si="11"/>
        <v>0</v>
      </c>
      <c r="P185" s="11">
        <v>0</v>
      </c>
      <c r="Q185" s="11"/>
      <c r="R185" s="11">
        <v>40</v>
      </c>
      <c r="S185" s="11">
        <v>40</v>
      </c>
      <c r="T185" s="14"/>
      <c r="U185" s="14"/>
      <c r="V185" s="13"/>
      <c r="W185" s="15"/>
      <c r="X185" s="13"/>
      <c r="Y185" s="14"/>
      <c r="Z185" s="14"/>
      <c r="AA185" s="14"/>
      <c r="AB185" s="42" t="s">
        <v>224</v>
      </c>
      <c r="AC185" s="11"/>
      <c r="AD185" s="33">
        <v>46202</v>
      </c>
      <c r="AE185" s="14" t="s">
        <v>465</v>
      </c>
      <c r="AF185" s="37" t="s">
        <v>597</v>
      </c>
      <c r="AG185" s="14" t="s">
        <v>513</v>
      </c>
      <c r="AH185" s="14" t="s">
        <v>225</v>
      </c>
      <c r="AI185" s="14"/>
      <c r="AJ185" s="14"/>
      <c r="AK185" s="16"/>
      <c r="AL185" s="11"/>
      <c r="AM185" s="11"/>
      <c r="AN185" s="14"/>
      <c r="AO185" s="14"/>
      <c r="AP185" s="13"/>
      <c r="AQ185" s="14"/>
      <c r="AR185" s="11">
        <v>18</v>
      </c>
      <c r="AS185" s="14" t="s">
        <v>688</v>
      </c>
      <c r="AT185" s="14"/>
      <c r="AU185" s="11"/>
      <c r="AV185" s="14"/>
    </row>
    <row r="186" spans="1:48" s="45" customFormat="1" ht="15" x14ac:dyDescent="0.25">
      <c r="A186" s="46">
        <v>46171</v>
      </c>
      <c r="B186" s="13"/>
      <c r="C186" s="42" t="s">
        <v>49</v>
      </c>
      <c r="D186" s="42" t="s">
        <v>299</v>
      </c>
      <c r="E186" s="14"/>
      <c r="F186" s="71">
        <v>60612</v>
      </c>
      <c r="G186" s="42" t="s">
        <v>50</v>
      </c>
      <c r="H186" s="31">
        <v>20493508645</v>
      </c>
      <c r="I186" s="43" t="str">
        <f>IF(H186="","",VLOOKUP(H186,[1]ENTIDAD!$B$2:$C$605,2,0))</f>
        <v>HONDA SELVA DEL PERU S.A.</v>
      </c>
      <c r="J186" s="11"/>
      <c r="K186" s="11"/>
      <c r="L186" s="11"/>
      <c r="M186" s="11"/>
      <c r="N186" s="11">
        <f t="shared" ref="N186:N196" si="14">(S186-P186)/1.18</f>
        <v>3.3898305084907624E-3</v>
      </c>
      <c r="O186" s="11">
        <f t="shared" si="11"/>
        <v>6.1016949152833727E-4</v>
      </c>
      <c r="P186" s="11">
        <v>235.7</v>
      </c>
      <c r="Q186" s="11"/>
      <c r="R186" s="11"/>
      <c r="S186" s="11">
        <f>W186*AC186</f>
        <v>235.70400000000001</v>
      </c>
      <c r="T186" s="14"/>
      <c r="U186" s="14"/>
      <c r="V186" s="13"/>
      <c r="W186" s="15">
        <v>3.4159999999999999</v>
      </c>
      <c r="X186" s="13"/>
      <c r="Y186" s="14"/>
      <c r="Z186" s="14"/>
      <c r="AA186" s="14"/>
      <c r="AB186" s="42" t="s">
        <v>383</v>
      </c>
      <c r="AC186" s="11">
        <v>69</v>
      </c>
      <c r="AD186" s="33">
        <v>46202</v>
      </c>
      <c r="AE186" s="34" t="s">
        <v>465</v>
      </c>
      <c r="AF186" s="19" t="s">
        <v>532</v>
      </c>
      <c r="AG186" s="14"/>
      <c r="AH186" s="14" t="s">
        <v>225</v>
      </c>
      <c r="AI186" s="14"/>
      <c r="AJ186" s="14"/>
      <c r="AK186" s="16"/>
      <c r="AL186" s="11"/>
      <c r="AM186" s="11"/>
      <c r="AN186" s="14"/>
      <c r="AO186" s="14"/>
      <c r="AP186" s="13"/>
      <c r="AQ186" s="14"/>
      <c r="AR186" s="11">
        <v>18</v>
      </c>
      <c r="AS186" s="14" t="s">
        <v>201</v>
      </c>
      <c r="AT186" s="14"/>
      <c r="AU186" s="11"/>
      <c r="AV186" s="14"/>
    </row>
    <row r="187" spans="1:48" s="45" customFormat="1" ht="15" x14ac:dyDescent="0.25">
      <c r="A187" s="46">
        <v>46171</v>
      </c>
      <c r="B187" s="13"/>
      <c r="C187" s="42" t="s">
        <v>49</v>
      </c>
      <c r="D187" s="42" t="s">
        <v>692</v>
      </c>
      <c r="E187" s="14"/>
      <c r="F187" s="71">
        <v>27445617</v>
      </c>
      <c r="G187" s="42" t="s">
        <v>50</v>
      </c>
      <c r="H187" s="31">
        <v>20100130204</v>
      </c>
      <c r="I187" s="43" t="str">
        <f>IF(H187="","",VLOOKUP(H187,[1]ENTIDAD!$B$2:$C$605,2,0))</f>
        <v>BANCO BBVA PERU</v>
      </c>
      <c r="J187" s="11"/>
      <c r="K187" s="11"/>
      <c r="L187" s="11"/>
      <c r="M187" s="11"/>
      <c r="N187" s="11">
        <f t="shared" si="14"/>
        <v>0</v>
      </c>
      <c r="O187" s="11">
        <f t="shared" si="11"/>
        <v>0</v>
      </c>
      <c r="P187" s="11">
        <v>40</v>
      </c>
      <c r="Q187" s="11"/>
      <c r="R187" s="11"/>
      <c r="S187" s="11">
        <v>40</v>
      </c>
      <c r="T187" s="14"/>
      <c r="U187" s="14"/>
      <c r="V187" s="13"/>
      <c r="W187" s="15"/>
      <c r="X187" s="13"/>
      <c r="Y187" s="14"/>
      <c r="Z187" s="14"/>
      <c r="AA187" s="14"/>
      <c r="AB187" s="42" t="s">
        <v>224</v>
      </c>
      <c r="AC187" s="11"/>
      <c r="AD187" s="13">
        <v>46202</v>
      </c>
      <c r="AE187" s="14" t="s">
        <v>465</v>
      </c>
      <c r="AF187" s="19" t="s">
        <v>494</v>
      </c>
      <c r="AG187" s="14"/>
      <c r="AH187" s="14" t="s">
        <v>225</v>
      </c>
      <c r="AI187" s="14"/>
      <c r="AJ187" s="14"/>
      <c r="AK187" s="16"/>
      <c r="AL187" s="11"/>
      <c r="AM187" s="11"/>
      <c r="AN187" s="14"/>
      <c r="AO187" s="14"/>
      <c r="AP187" s="13"/>
      <c r="AQ187" s="14"/>
      <c r="AR187" s="11">
        <v>18</v>
      </c>
      <c r="AS187" s="14" t="s">
        <v>726</v>
      </c>
      <c r="AT187" s="14"/>
      <c r="AU187" s="11"/>
      <c r="AV187" s="14"/>
    </row>
    <row r="188" spans="1:48" s="45" customFormat="1" ht="15" x14ac:dyDescent="0.25">
      <c r="A188" s="46">
        <v>46171</v>
      </c>
      <c r="B188" s="13"/>
      <c r="C188" s="42" t="s">
        <v>49</v>
      </c>
      <c r="D188" s="42" t="s">
        <v>292</v>
      </c>
      <c r="E188" s="14"/>
      <c r="F188" s="71">
        <v>627</v>
      </c>
      <c r="G188" s="42" t="s">
        <v>50</v>
      </c>
      <c r="H188" s="31">
        <v>20601358892</v>
      </c>
      <c r="I188" s="43" t="str">
        <f>IF(H188="","",VLOOKUP(H188,ENTIDAD!$B$2:$C$613,2,0))</f>
        <v>ARAUCO CONDE SOLUCIONES INMOBILIARIAS S.A.C.</v>
      </c>
      <c r="J188" s="11"/>
      <c r="K188" s="11"/>
      <c r="L188" s="11"/>
      <c r="M188" s="11"/>
      <c r="N188" s="11">
        <f t="shared" si="14"/>
        <v>0</v>
      </c>
      <c r="O188" s="11">
        <f t="shared" si="11"/>
        <v>0</v>
      </c>
      <c r="P188" s="11">
        <v>2000</v>
      </c>
      <c r="Q188" s="11"/>
      <c r="R188" s="11"/>
      <c r="S188" s="11">
        <v>2000</v>
      </c>
      <c r="T188" s="14"/>
      <c r="U188" s="14"/>
      <c r="V188" s="13"/>
      <c r="W188" s="15"/>
      <c r="X188" s="13"/>
      <c r="Y188" s="14"/>
      <c r="Z188" s="14"/>
      <c r="AA188" s="14"/>
      <c r="AB188" s="42" t="s">
        <v>224</v>
      </c>
      <c r="AC188" s="11"/>
      <c r="AD188" s="13">
        <v>46202</v>
      </c>
      <c r="AE188" s="34" t="s">
        <v>465</v>
      </c>
      <c r="AF188" s="19" t="s">
        <v>203</v>
      </c>
      <c r="AG188" s="14"/>
      <c r="AH188" s="14" t="s">
        <v>225</v>
      </c>
      <c r="AI188" s="14"/>
      <c r="AJ188" s="14"/>
      <c r="AK188" s="16"/>
      <c r="AL188" s="11"/>
      <c r="AM188" s="11"/>
      <c r="AN188" s="14"/>
      <c r="AO188" s="14"/>
      <c r="AP188" s="13"/>
      <c r="AQ188" s="14"/>
      <c r="AR188" s="11">
        <v>18</v>
      </c>
      <c r="AS188" s="14" t="s">
        <v>751</v>
      </c>
      <c r="AT188" s="14"/>
      <c r="AU188" s="11"/>
      <c r="AV188" s="14"/>
    </row>
    <row r="189" spans="1:48" s="45" customFormat="1" ht="15" x14ac:dyDescent="0.25">
      <c r="A189" s="46">
        <v>46171</v>
      </c>
      <c r="B189" s="13"/>
      <c r="C189" s="42" t="s">
        <v>49</v>
      </c>
      <c r="D189" s="42" t="s">
        <v>292</v>
      </c>
      <c r="E189" s="14"/>
      <c r="F189" s="71">
        <v>625</v>
      </c>
      <c r="G189" s="42" t="s">
        <v>50</v>
      </c>
      <c r="H189" s="31">
        <v>20601358892</v>
      </c>
      <c r="I189" s="43" t="str">
        <f>IF(H189="","",VLOOKUP(H189,ENTIDAD!$B$2:$C$613,2,0))</f>
        <v>ARAUCO CONDE SOLUCIONES INMOBILIARIAS S.A.C.</v>
      </c>
      <c r="J189" s="11"/>
      <c r="K189" s="11"/>
      <c r="L189" s="11"/>
      <c r="M189" s="11"/>
      <c r="N189" s="11">
        <f t="shared" si="14"/>
        <v>0</v>
      </c>
      <c r="O189" s="11">
        <f t="shared" si="11"/>
        <v>0</v>
      </c>
      <c r="P189" s="11">
        <v>3000</v>
      </c>
      <c r="Q189" s="11"/>
      <c r="R189" s="11"/>
      <c r="S189" s="11">
        <v>3000</v>
      </c>
      <c r="T189" s="14"/>
      <c r="U189" s="14"/>
      <c r="V189" s="13"/>
      <c r="W189" s="15"/>
      <c r="X189" s="13"/>
      <c r="Y189" s="14"/>
      <c r="Z189" s="14"/>
      <c r="AA189" s="14"/>
      <c r="AB189" s="42" t="s">
        <v>224</v>
      </c>
      <c r="AC189" s="11"/>
      <c r="AD189" s="46">
        <v>46203</v>
      </c>
      <c r="AE189" s="34" t="s">
        <v>465</v>
      </c>
      <c r="AF189" s="19" t="s">
        <v>203</v>
      </c>
      <c r="AG189" s="14"/>
      <c r="AH189" s="14" t="s">
        <v>225</v>
      </c>
      <c r="AI189" s="14"/>
      <c r="AJ189" s="14"/>
      <c r="AK189" s="16"/>
      <c r="AL189" s="11"/>
      <c r="AM189" s="11"/>
      <c r="AN189" s="14"/>
      <c r="AO189" s="14"/>
      <c r="AP189" s="13"/>
      <c r="AQ189" s="14"/>
      <c r="AR189" s="11">
        <v>18</v>
      </c>
      <c r="AS189" s="14" t="s">
        <v>752</v>
      </c>
      <c r="AT189" s="14"/>
      <c r="AU189" s="11"/>
      <c r="AV189" s="14"/>
    </row>
    <row r="190" spans="1:48" s="45" customFormat="1" ht="15" x14ac:dyDescent="0.25">
      <c r="A190" s="46">
        <v>46172</v>
      </c>
      <c r="B190" s="13"/>
      <c r="C190" s="42" t="s">
        <v>49</v>
      </c>
      <c r="D190" s="42" t="s">
        <v>301</v>
      </c>
      <c r="E190" s="14"/>
      <c r="F190" s="71">
        <v>18647</v>
      </c>
      <c r="G190" s="42" t="s">
        <v>50</v>
      </c>
      <c r="H190" s="31">
        <v>20493508645</v>
      </c>
      <c r="I190" s="43" t="str">
        <f>IF(H190="","",VLOOKUP(H190,[1]ENTIDAD!$B$2:$C$605,2,0))</f>
        <v>HONDA SELVA DEL PERU S.A.</v>
      </c>
      <c r="J190" s="11"/>
      <c r="K190" s="11"/>
      <c r="L190" s="11"/>
      <c r="M190" s="11"/>
      <c r="N190" s="11">
        <f t="shared" si="14"/>
        <v>4.1186440685740278E-3</v>
      </c>
      <c r="O190" s="11">
        <f t="shared" si="11"/>
        <v>7.4135593234332501E-4</v>
      </c>
      <c r="P190" s="11">
        <v>20842.259999999998</v>
      </c>
      <c r="Q190" s="11"/>
      <c r="R190" s="11"/>
      <c r="S190" s="11">
        <f>W190*AC190</f>
        <v>20842.264859999999</v>
      </c>
      <c r="T190" s="14"/>
      <c r="U190" s="14"/>
      <c r="V190" s="13"/>
      <c r="W190" s="15">
        <v>3.4169999999999998</v>
      </c>
      <c r="X190" s="13"/>
      <c r="Y190" s="14"/>
      <c r="Z190" s="14"/>
      <c r="AA190" s="14"/>
      <c r="AB190" s="42" t="s">
        <v>383</v>
      </c>
      <c r="AC190" s="11">
        <v>6099.58</v>
      </c>
      <c r="AD190" s="33">
        <v>46203</v>
      </c>
      <c r="AE190" s="34" t="s">
        <v>465</v>
      </c>
      <c r="AF190" s="19" t="s">
        <v>532</v>
      </c>
      <c r="AG190" s="14"/>
      <c r="AH190" s="14" t="s">
        <v>225</v>
      </c>
      <c r="AI190" s="14"/>
      <c r="AJ190" s="14"/>
      <c r="AK190" s="16"/>
      <c r="AL190" s="11"/>
      <c r="AM190" s="11"/>
      <c r="AN190" s="14"/>
      <c r="AO190" s="14"/>
      <c r="AP190" s="13"/>
      <c r="AQ190" s="14"/>
      <c r="AR190" s="11">
        <v>18</v>
      </c>
      <c r="AS190" s="14" t="s">
        <v>201</v>
      </c>
      <c r="AT190" s="14"/>
      <c r="AU190" s="11"/>
      <c r="AV190" s="14"/>
    </row>
    <row r="191" spans="1:48" s="45" customFormat="1" ht="15" x14ac:dyDescent="0.25">
      <c r="A191" s="46">
        <v>46173</v>
      </c>
      <c r="B191" s="13"/>
      <c r="C191" s="42" t="s">
        <v>49</v>
      </c>
      <c r="D191" s="42" t="s">
        <v>294</v>
      </c>
      <c r="E191" s="14"/>
      <c r="F191" s="71">
        <v>1153231</v>
      </c>
      <c r="G191" s="42" t="s">
        <v>50</v>
      </c>
      <c r="H191" s="31">
        <v>20265681299</v>
      </c>
      <c r="I191" s="43" t="str">
        <f>IF(H191="","",VLOOKUP(H191,[1]ENTIDAD!$B$2:$C$605,2,0))</f>
        <v>EQUIFAX PERU S.A.</v>
      </c>
      <c r="J191" s="11"/>
      <c r="K191" s="11"/>
      <c r="L191" s="11"/>
      <c r="M191" s="11"/>
      <c r="N191" s="11">
        <f t="shared" si="14"/>
        <v>262.00000000000006</v>
      </c>
      <c r="O191" s="11">
        <f t="shared" si="11"/>
        <v>47.160000000000011</v>
      </c>
      <c r="P191" s="11">
        <v>0</v>
      </c>
      <c r="Q191" s="11"/>
      <c r="R191" s="11"/>
      <c r="S191" s="11">
        <v>309.16000000000003</v>
      </c>
      <c r="T191" s="14"/>
      <c r="U191" s="14"/>
      <c r="V191" s="13"/>
      <c r="W191" s="15"/>
      <c r="X191" s="13"/>
      <c r="Y191" s="14"/>
      <c r="Z191" s="14"/>
      <c r="AA191" s="14"/>
      <c r="AB191" s="42" t="s">
        <v>224</v>
      </c>
      <c r="AC191" s="11"/>
      <c r="AD191" s="33">
        <v>46203</v>
      </c>
      <c r="AE191" s="34" t="s">
        <v>465</v>
      </c>
      <c r="AF191" s="19" t="s">
        <v>600</v>
      </c>
      <c r="AG191" s="14"/>
      <c r="AH191" s="14" t="s">
        <v>225</v>
      </c>
      <c r="AI191" s="14"/>
      <c r="AJ191" s="14"/>
      <c r="AK191" s="16"/>
      <c r="AL191" s="11"/>
      <c r="AM191" s="11"/>
      <c r="AN191" s="14"/>
      <c r="AO191" s="14"/>
      <c r="AP191" s="13"/>
      <c r="AQ191" s="14"/>
      <c r="AR191" s="11">
        <v>18</v>
      </c>
      <c r="AS191" s="14" t="s">
        <v>689</v>
      </c>
      <c r="AT191" s="14"/>
      <c r="AU191" s="11"/>
      <c r="AV191" s="14"/>
    </row>
    <row r="192" spans="1:48" s="45" customFormat="1" ht="15" x14ac:dyDescent="0.25">
      <c r="A192" s="46">
        <v>46173</v>
      </c>
      <c r="B192" s="13"/>
      <c r="C192" s="42" t="s">
        <v>49</v>
      </c>
      <c r="D192" s="42" t="s">
        <v>747</v>
      </c>
      <c r="E192" s="14"/>
      <c r="F192" s="71">
        <v>1131782</v>
      </c>
      <c r="G192" s="42" t="s">
        <v>50</v>
      </c>
      <c r="H192" s="31">
        <v>20555530090</v>
      </c>
      <c r="I192" s="43" t="str">
        <f>IF(H192="","",VLOOKUP(H192,ENTIDAD!$B$2:$C$613,2,0))</f>
        <v>COMPAÑIA INCUBADORA DE SOLUCIONES MOVILES S.A. - CISMO S.A.</v>
      </c>
      <c r="J192" s="11"/>
      <c r="K192" s="11"/>
      <c r="L192" s="11"/>
      <c r="M192" s="11"/>
      <c r="N192" s="11">
        <f t="shared" si="14"/>
        <v>85.822033898305079</v>
      </c>
      <c r="O192" s="11">
        <f t="shared" si="11"/>
        <v>15.447966101694913</v>
      </c>
      <c r="P192" s="11">
        <v>0</v>
      </c>
      <c r="Q192" s="11"/>
      <c r="R192" s="11"/>
      <c r="S192" s="11">
        <v>101.27</v>
      </c>
      <c r="T192" s="14"/>
      <c r="U192" s="14"/>
      <c r="V192" s="13"/>
      <c r="W192" s="15"/>
      <c r="X192" s="13"/>
      <c r="Y192" s="14"/>
      <c r="Z192" s="14"/>
      <c r="AA192" s="14"/>
      <c r="AB192" s="42" t="s">
        <v>224</v>
      </c>
      <c r="AC192" s="11"/>
      <c r="AD192" s="172" t="s">
        <v>749</v>
      </c>
      <c r="AE192" s="14" t="s">
        <v>465</v>
      </c>
      <c r="AF192" s="19" t="s">
        <v>494</v>
      </c>
      <c r="AG192" s="14"/>
      <c r="AH192" s="14" t="s">
        <v>225</v>
      </c>
      <c r="AI192" s="14"/>
      <c r="AJ192" s="14"/>
      <c r="AK192" s="16"/>
      <c r="AL192" s="11"/>
      <c r="AM192" s="11"/>
      <c r="AN192" s="14"/>
      <c r="AO192" s="14"/>
      <c r="AP192" s="13"/>
      <c r="AQ192" s="14"/>
      <c r="AR192" s="11">
        <v>18</v>
      </c>
      <c r="AS192" s="14" t="s">
        <v>748</v>
      </c>
      <c r="AT192" s="14"/>
      <c r="AU192" s="11"/>
      <c r="AV192" s="14"/>
    </row>
    <row r="193" spans="1:48" s="45" customFormat="1" ht="15" x14ac:dyDescent="0.25">
      <c r="A193" s="13"/>
      <c r="B193" s="13"/>
      <c r="C193" s="42" t="s">
        <v>49</v>
      </c>
      <c r="D193" s="42"/>
      <c r="E193" s="14"/>
      <c r="F193" s="71">
        <v>0</v>
      </c>
      <c r="G193" s="42" t="s">
        <v>50</v>
      </c>
      <c r="H193" s="31">
        <v>0</v>
      </c>
      <c r="I193" s="43" t="e">
        <f>IF(H193="","",VLOOKUP(H193,ENTIDAD!$B$2:$C$613,2,0))</f>
        <v>#N/A</v>
      </c>
      <c r="J193" s="11"/>
      <c r="K193" s="11"/>
      <c r="L193" s="11"/>
      <c r="M193" s="11"/>
      <c r="N193" s="11">
        <f t="shared" si="14"/>
        <v>0</v>
      </c>
      <c r="O193" s="11">
        <f t="shared" si="11"/>
        <v>0</v>
      </c>
      <c r="P193" s="11">
        <v>0</v>
      </c>
      <c r="Q193" s="11"/>
      <c r="R193" s="11"/>
      <c r="S193" s="11">
        <v>0</v>
      </c>
      <c r="T193" s="14"/>
      <c r="U193" s="14"/>
      <c r="V193" s="13"/>
      <c r="W193" s="15"/>
      <c r="X193" s="13"/>
      <c r="Y193" s="14"/>
      <c r="Z193" s="14"/>
      <c r="AA193" s="14"/>
      <c r="AB193" s="42" t="s">
        <v>224</v>
      </c>
      <c r="AC193" s="11"/>
      <c r="AD193" s="33"/>
      <c r="AE193" s="34"/>
      <c r="AF193" s="37"/>
      <c r="AG193" s="14"/>
      <c r="AH193" s="14" t="s">
        <v>225</v>
      </c>
      <c r="AI193" s="14"/>
      <c r="AJ193" s="14"/>
      <c r="AK193" s="16"/>
      <c r="AL193" s="11"/>
      <c r="AM193" s="11"/>
      <c r="AN193" s="14"/>
      <c r="AO193" s="14"/>
      <c r="AP193" s="13"/>
      <c r="AQ193" s="14"/>
      <c r="AR193" s="11">
        <v>18</v>
      </c>
      <c r="AS193" s="14"/>
      <c r="AT193" s="14"/>
      <c r="AU193" s="11"/>
      <c r="AV193" s="14"/>
    </row>
    <row r="194" spans="1:48" s="45" customFormat="1" ht="15" x14ac:dyDescent="0.25">
      <c r="A194" s="13"/>
      <c r="B194" s="13"/>
      <c r="C194" s="42" t="s">
        <v>49</v>
      </c>
      <c r="D194" s="42"/>
      <c r="E194" s="14"/>
      <c r="F194" s="71">
        <v>0</v>
      </c>
      <c r="G194" s="42" t="s">
        <v>50</v>
      </c>
      <c r="H194" s="31">
        <v>0</v>
      </c>
      <c r="I194" s="43" t="e">
        <f>IF(H194="","",VLOOKUP(H194,ENTIDAD!$B$2:$C$613,2,0))</f>
        <v>#N/A</v>
      </c>
      <c r="J194" s="11"/>
      <c r="K194" s="11"/>
      <c r="L194" s="11"/>
      <c r="M194" s="11"/>
      <c r="N194" s="11">
        <f t="shared" si="14"/>
        <v>0</v>
      </c>
      <c r="O194" s="11">
        <f t="shared" si="11"/>
        <v>0</v>
      </c>
      <c r="P194" s="11">
        <v>0</v>
      </c>
      <c r="Q194" s="11"/>
      <c r="R194" s="11"/>
      <c r="S194" s="11">
        <v>0</v>
      </c>
      <c r="T194" s="14"/>
      <c r="U194" s="14"/>
      <c r="V194" s="13"/>
      <c r="W194" s="15"/>
      <c r="X194" s="13"/>
      <c r="Y194" s="14"/>
      <c r="Z194" s="14"/>
      <c r="AA194" s="14"/>
      <c r="AB194" s="42" t="s">
        <v>224</v>
      </c>
      <c r="AC194" s="11"/>
      <c r="AD194" s="33"/>
      <c r="AE194" s="34"/>
      <c r="AF194" s="37"/>
      <c r="AG194" s="14"/>
      <c r="AH194" s="14" t="s">
        <v>225</v>
      </c>
      <c r="AI194" s="14"/>
      <c r="AJ194" s="14"/>
      <c r="AK194" s="16"/>
      <c r="AL194" s="11"/>
      <c r="AM194" s="11"/>
      <c r="AN194" s="14"/>
      <c r="AO194" s="14"/>
      <c r="AP194" s="13"/>
      <c r="AQ194" s="14"/>
      <c r="AR194" s="11">
        <v>18</v>
      </c>
      <c r="AS194" s="14"/>
      <c r="AT194" s="14"/>
      <c r="AU194" s="11"/>
      <c r="AV194" s="14"/>
    </row>
    <row r="195" spans="1:48" s="45" customFormat="1" ht="15" x14ac:dyDescent="0.25">
      <c r="A195" s="13"/>
      <c r="B195" s="13"/>
      <c r="C195" s="42" t="s">
        <v>49</v>
      </c>
      <c r="D195" s="42"/>
      <c r="E195" s="14"/>
      <c r="F195" s="71">
        <v>0</v>
      </c>
      <c r="G195" s="42" t="s">
        <v>50</v>
      </c>
      <c r="H195" s="31">
        <v>0</v>
      </c>
      <c r="I195" s="138" t="e">
        <f>IF(H195="","",VLOOKUP(H195,[1]ENTIDAD!$B$2:$C$605,2,0))</f>
        <v>#N/A</v>
      </c>
      <c r="J195" s="11"/>
      <c r="K195" s="11"/>
      <c r="L195" s="11"/>
      <c r="M195" s="11"/>
      <c r="N195" s="11">
        <f t="shared" si="14"/>
        <v>0</v>
      </c>
      <c r="O195" s="11">
        <f t="shared" ref="O195:O196" si="15">N195*0.18</f>
        <v>0</v>
      </c>
      <c r="P195" s="11">
        <v>0</v>
      </c>
      <c r="Q195" s="11"/>
      <c r="R195" s="11"/>
      <c r="S195" s="11">
        <v>0</v>
      </c>
      <c r="T195" s="14"/>
      <c r="U195" s="14"/>
      <c r="V195" s="13"/>
      <c r="W195" s="15"/>
      <c r="X195" s="13"/>
      <c r="Y195" s="14"/>
      <c r="Z195" s="14"/>
      <c r="AA195" s="14"/>
      <c r="AB195" s="42" t="s">
        <v>224</v>
      </c>
      <c r="AC195" s="11"/>
      <c r="AD195" s="33"/>
      <c r="AE195" s="34"/>
      <c r="AF195" s="37"/>
      <c r="AG195" s="14"/>
      <c r="AH195" s="14" t="s">
        <v>225</v>
      </c>
      <c r="AI195" s="14"/>
      <c r="AJ195" s="14"/>
      <c r="AK195" s="16"/>
      <c r="AL195" s="11"/>
      <c r="AM195" s="11"/>
      <c r="AN195" s="14"/>
      <c r="AO195" s="14"/>
      <c r="AP195" s="13"/>
      <c r="AQ195" s="14"/>
      <c r="AR195" s="11">
        <v>18</v>
      </c>
      <c r="AS195" s="14"/>
      <c r="AT195" s="14"/>
      <c r="AU195" s="11"/>
      <c r="AV195" s="14"/>
    </row>
    <row r="196" spans="1:48" s="45" customFormat="1" ht="15" x14ac:dyDescent="0.25">
      <c r="A196" s="13"/>
      <c r="B196" s="13"/>
      <c r="C196" s="42" t="s">
        <v>49</v>
      </c>
      <c r="D196" s="42"/>
      <c r="E196" s="14"/>
      <c r="F196" s="71">
        <v>0</v>
      </c>
      <c r="G196" s="42" t="s">
        <v>50</v>
      </c>
      <c r="H196" s="31">
        <v>0</v>
      </c>
      <c r="I196" s="138" t="e">
        <f>IF(H196="","",VLOOKUP(H196,[1]ENTIDAD!$B$2:$C$605,2,0))</f>
        <v>#N/A</v>
      </c>
      <c r="J196" s="11"/>
      <c r="K196" s="11"/>
      <c r="L196" s="11"/>
      <c r="M196" s="11"/>
      <c r="N196" s="11">
        <f t="shared" si="14"/>
        <v>0</v>
      </c>
      <c r="O196" s="11">
        <f t="shared" si="15"/>
        <v>0</v>
      </c>
      <c r="P196" s="11">
        <v>0</v>
      </c>
      <c r="Q196" s="11"/>
      <c r="R196" s="11"/>
      <c r="S196" s="11">
        <v>0</v>
      </c>
      <c r="T196" s="14"/>
      <c r="U196" s="14"/>
      <c r="V196" s="13"/>
      <c r="W196" s="15"/>
      <c r="X196" s="13"/>
      <c r="Y196" s="14"/>
      <c r="Z196" s="14"/>
      <c r="AA196" s="14"/>
      <c r="AB196" s="42" t="s">
        <v>224</v>
      </c>
      <c r="AC196" s="11"/>
      <c r="AD196" s="33"/>
      <c r="AE196" s="34"/>
      <c r="AF196" s="37"/>
      <c r="AG196" s="14"/>
      <c r="AH196" s="14" t="s">
        <v>225</v>
      </c>
      <c r="AI196" s="14"/>
      <c r="AJ196" s="14"/>
      <c r="AK196" s="16"/>
      <c r="AL196" s="11"/>
      <c r="AM196" s="11"/>
      <c r="AN196" s="14"/>
      <c r="AO196" s="14"/>
      <c r="AP196" s="13"/>
      <c r="AQ196" s="14"/>
      <c r="AR196" s="11">
        <v>18</v>
      </c>
      <c r="AS196" s="14"/>
      <c r="AT196" s="14"/>
      <c r="AU196" s="11"/>
      <c r="AV196" s="14"/>
    </row>
    <row r="197" spans="1:48" customFormat="1" ht="15" x14ac:dyDescent="0.25">
      <c r="A197" s="141"/>
      <c r="B197" s="141"/>
      <c r="C197" s="141"/>
      <c r="D197" s="141"/>
      <c r="E197" s="141"/>
      <c r="F197" s="141"/>
      <c r="G197" s="141"/>
      <c r="H197" s="141"/>
      <c r="I197" s="141"/>
      <c r="J197" s="142">
        <f>SUM(J4:J72)</f>
        <v>0</v>
      </c>
      <c r="K197" s="142">
        <f>SUM(K4:K72)</f>
        <v>0</v>
      </c>
      <c r="L197" s="142">
        <f>SUM(L4:L72)</f>
        <v>0</v>
      </c>
      <c r="M197" s="142">
        <f>SUM(M4:M72)</f>
        <v>0</v>
      </c>
      <c r="N197" s="142">
        <f>SUM(N4:N196)</f>
        <v>6194.0144237287896</v>
      </c>
      <c r="O197" s="142">
        <f>SUM(O4:O196)</f>
        <v>1114.9225962711826</v>
      </c>
      <c r="P197" s="142">
        <f>SUM(P4:P196)</f>
        <v>504788.50000000012</v>
      </c>
      <c r="Q197" s="142">
        <f>SUM(Q4:Q72)</f>
        <v>0</v>
      </c>
      <c r="R197" s="142">
        <f>SUM(R4:R72)</f>
        <v>2471.6000000000004</v>
      </c>
      <c r="S197" s="142">
        <f>SUM(S4:S196)</f>
        <v>512337.43521999934</v>
      </c>
      <c r="T197" s="141"/>
      <c r="U197" s="141"/>
      <c r="V197" s="141"/>
      <c r="W197" s="17"/>
      <c r="X197" s="141"/>
      <c r="Y197" s="18"/>
      <c r="Z197" s="18"/>
      <c r="AA197" s="18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</row>
    <row r="199" spans="1:48" x14ac:dyDescent="0.2">
      <c r="P199" s="23"/>
    </row>
    <row r="200" spans="1:48" x14ac:dyDescent="0.2">
      <c r="AR200" s="4"/>
    </row>
  </sheetData>
  <autoFilter ref="A3:AW197" xr:uid="{4CC702E7-E825-4C6E-ACE5-0A961158163B}">
    <sortState xmlns:xlrd2="http://schemas.microsoft.com/office/spreadsheetml/2017/richdata2" ref="A6:AW197">
      <sortCondition ref="A3:A197"/>
    </sortState>
  </autoFilter>
  <mergeCells count="39"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J1:K2"/>
    <mergeCell ref="A1:A3"/>
    <mergeCell ref="B1:B3"/>
    <mergeCell ref="C1:E2"/>
    <mergeCell ref="F1:F3"/>
    <mergeCell ref="G1:I1"/>
  </mergeCells>
  <conditionalFormatting sqref="F4:F196">
    <cfRule type="duplicateValues" dxfId="208" priority="8489"/>
    <cfRule type="duplicateValues" dxfId="207" priority="8490"/>
    <cfRule type="duplicateValues" dxfId="206" priority="8491"/>
    <cfRule type="duplicateValues" dxfId="205" priority="8492"/>
    <cfRule type="duplicateValues" dxfId="204" priority="8493"/>
    <cfRule type="duplicateValues" dxfId="203" priority="8494"/>
    <cfRule type="duplicateValues" dxfId="202" priority="8495"/>
    <cfRule type="duplicateValues" dxfId="201" priority="8496"/>
  </conditionalFormatting>
  <conditionalFormatting sqref="F197:F1048576 F1:F3">
    <cfRule type="duplicateValues" dxfId="200" priority="1"/>
  </conditionalFormatting>
  <conditionalFormatting sqref="F197:F1048576">
    <cfRule type="duplicateValues" dxfId="199" priority="2"/>
    <cfRule type="duplicateValues" dxfId="198" priority="3"/>
    <cfRule type="duplicateValues" dxfId="197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4C8F-17E9-41E1-A008-BDBD2012B76D}">
  <sheetPr>
    <tabColor rgb="FF0070C0"/>
  </sheetPr>
  <dimension ref="A1:AW191"/>
  <sheetViews>
    <sheetView workbookViewId="0">
      <pane xSplit="9" ySplit="3" topLeftCell="J4" activePane="bottomRight" state="frozenSplit"/>
      <selection pane="topRight" activeCell="J1" sqref="J1"/>
      <selection pane="bottomLeft" activeCell="A4" sqref="A4"/>
      <selection pane="bottomRight" activeCell="AE46" sqref="AE46:AH46"/>
    </sheetView>
  </sheetViews>
  <sheetFormatPr baseColWidth="10" defaultRowHeight="14.25" x14ac:dyDescent="0.2"/>
  <cols>
    <col min="1" max="1" width="11.7109375" style="202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4" customWidth="1"/>
    <col min="7" max="7" width="2.85546875" style="6" customWidth="1"/>
    <col min="8" max="8" width="13" style="1" customWidth="1"/>
    <col min="9" max="9" width="27" style="4" customWidth="1"/>
    <col min="10" max="10" width="4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8.14062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312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312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313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199">
        <v>46162</v>
      </c>
      <c r="B4" s="72"/>
      <c r="C4" s="42" t="s">
        <v>388</v>
      </c>
      <c r="D4" s="42" t="s">
        <v>645</v>
      </c>
      <c r="E4" s="14"/>
      <c r="F4" s="71">
        <v>287645658</v>
      </c>
      <c r="G4" s="42" t="s">
        <v>50</v>
      </c>
      <c r="H4" s="31">
        <v>20467534026</v>
      </c>
      <c r="I4" s="138" t="str">
        <f>IF(H4="","",VLOOKUP(H4,[1]ENTIDAD!$B$2:$C$605,2,0))</f>
        <v>AMERICA MOVIL PERU S.A.C.</v>
      </c>
      <c r="J4" s="11"/>
      <c r="K4" s="11"/>
      <c r="L4" s="11"/>
      <c r="M4" s="11"/>
      <c r="N4" s="116">
        <f>(S4-P4)/1.18</f>
        <v>25.338983050847457</v>
      </c>
      <c r="O4" s="116">
        <f t="shared" ref="O4:O15" si="0">N4*0.18</f>
        <v>4.5610169491525419</v>
      </c>
      <c r="P4" s="11">
        <v>0</v>
      </c>
      <c r="Q4" s="11"/>
      <c r="R4" s="11"/>
      <c r="S4" s="11">
        <v>29.9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72">
        <v>46181</v>
      </c>
      <c r="AE4" s="34" t="s">
        <v>465</v>
      </c>
      <c r="AF4" s="19">
        <v>6365095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758</v>
      </c>
      <c r="AT4" s="14"/>
      <c r="AU4" s="11"/>
      <c r="AV4" s="14"/>
    </row>
    <row r="5" spans="1:49" s="45" customFormat="1" ht="15" x14ac:dyDescent="0.25">
      <c r="A5" s="199">
        <v>46171</v>
      </c>
      <c r="B5" s="72"/>
      <c r="C5" s="42" t="s">
        <v>388</v>
      </c>
      <c r="D5" s="42" t="s">
        <v>557</v>
      </c>
      <c r="E5" s="14"/>
      <c r="F5" s="71">
        <v>5806423</v>
      </c>
      <c r="G5" s="42" t="s">
        <v>50</v>
      </c>
      <c r="H5" s="31">
        <v>20129646099</v>
      </c>
      <c r="I5" s="138" t="str">
        <f>IF(H5="","",VLOOKUP(H5,[1]ENTIDAD!$B$2:$C$605,2,0))</f>
        <v>ELECTROCENTRO S.A.</v>
      </c>
      <c r="J5" s="11"/>
      <c r="K5" s="11"/>
      <c r="L5" s="11"/>
      <c r="M5" s="11"/>
      <c r="N5" s="11">
        <f>(S5-P5)/1.18</f>
        <v>0</v>
      </c>
      <c r="O5" s="11">
        <f t="shared" si="0"/>
        <v>0</v>
      </c>
      <c r="P5" s="11">
        <v>550.6</v>
      </c>
      <c r="Q5" s="11"/>
      <c r="R5" s="11"/>
      <c r="S5" s="11">
        <v>550.6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72">
        <v>46188</v>
      </c>
      <c r="AE5" s="34" t="s">
        <v>465</v>
      </c>
      <c r="AF5" s="19" t="s">
        <v>559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759</v>
      </c>
      <c r="AT5" s="14"/>
      <c r="AU5" s="11"/>
      <c r="AV5" s="14"/>
    </row>
    <row r="6" spans="1:49" s="45" customFormat="1" ht="15" x14ac:dyDescent="0.25">
      <c r="A6" s="199">
        <v>46171</v>
      </c>
      <c r="B6" s="72"/>
      <c r="C6" s="42" t="s">
        <v>388</v>
      </c>
      <c r="D6" s="42" t="s">
        <v>557</v>
      </c>
      <c r="E6" s="14"/>
      <c r="F6" s="71">
        <v>5806205</v>
      </c>
      <c r="G6" s="42" t="s">
        <v>50</v>
      </c>
      <c r="H6" s="31">
        <v>20129646099</v>
      </c>
      <c r="I6" s="138" t="str">
        <f>IF(H6="","",VLOOKUP(H6,[1]ENTIDAD!$B$2:$C$605,2,0))</f>
        <v>ELECTROCENTRO S.A.</v>
      </c>
      <c r="J6" s="11"/>
      <c r="K6" s="11"/>
      <c r="L6" s="11"/>
      <c r="M6" s="11"/>
      <c r="N6" s="11">
        <v>0</v>
      </c>
      <c r="O6" s="11">
        <f t="shared" si="0"/>
        <v>0</v>
      </c>
      <c r="P6" s="11">
        <v>118.1</v>
      </c>
      <c r="Q6" s="11"/>
      <c r="R6" s="11"/>
      <c r="S6" s="11">
        <v>118.1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72">
        <v>46188</v>
      </c>
      <c r="AE6" s="34" t="s">
        <v>465</v>
      </c>
      <c r="AF6" s="19" t="s">
        <v>559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760</v>
      </c>
      <c r="AT6" s="14"/>
      <c r="AU6" s="11"/>
      <c r="AV6" s="14"/>
    </row>
    <row r="7" spans="1:49" s="45" customFormat="1" ht="15" x14ac:dyDescent="0.25">
      <c r="A7" s="199">
        <v>46171</v>
      </c>
      <c r="B7" s="72"/>
      <c r="C7" s="42" t="s">
        <v>388</v>
      </c>
      <c r="D7" s="42" t="s">
        <v>557</v>
      </c>
      <c r="E7" s="14"/>
      <c r="F7" s="71">
        <v>5806200</v>
      </c>
      <c r="G7" s="42" t="s">
        <v>50</v>
      </c>
      <c r="H7" s="31">
        <v>20129646099</v>
      </c>
      <c r="I7" s="138" t="str">
        <f>IF(H7="","",VLOOKUP(H7,[1]ENTIDAD!$B$2:$C$605,2,0))</f>
        <v>ELECTROCENTRO S.A.</v>
      </c>
      <c r="J7" s="11"/>
      <c r="K7" s="11"/>
      <c r="L7" s="11"/>
      <c r="M7" s="11"/>
      <c r="N7" s="11">
        <f t="shared" ref="N7:N13" si="1">(S7-P7)/1.18</f>
        <v>0</v>
      </c>
      <c r="O7" s="11">
        <f t="shared" si="0"/>
        <v>0</v>
      </c>
      <c r="P7" s="11">
        <v>392.6</v>
      </c>
      <c r="Q7" s="11"/>
      <c r="R7" s="11"/>
      <c r="S7" s="11">
        <v>392.6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72">
        <v>46188</v>
      </c>
      <c r="AE7" s="34" t="s">
        <v>465</v>
      </c>
      <c r="AF7" s="19" t="s">
        <v>559</v>
      </c>
      <c r="AG7" s="14"/>
      <c r="AH7" s="112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12" t="s">
        <v>761</v>
      </c>
      <c r="AT7" s="14"/>
      <c r="AU7" s="11"/>
      <c r="AV7" s="14"/>
    </row>
    <row r="8" spans="1:49" s="45" customFormat="1" ht="15" x14ac:dyDescent="0.25">
      <c r="A8" s="199">
        <v>46173</v>
      </c>
      <c r="B8" s="72"/>
      <c r="C8" s="42" t="s">
        <v>388</v>
      </c>
      <c r="D8" s="42" t="s">
        <v>626</v>
      </c>
      <c r="E8" s="14"/>
      <c r="F8" s="71">
        <v>1073625</v>
      </c>
      <c r="G8" s="42" t="s">
        <v>50</v>
      </c>
      <c r="H8" s="31">
        <v>20121876290</v>
      </c>
      <c r="I8" s="138" t="str">
        <f>IF(H8="","",VLOOKUP(H8,[1]ENTIDAD!$B$2:$C$605,2,0))</f>
        <v>ENT.PREST.SERV.SANEAM.SELVA CENTRAL S.A</v>
      </c>
      <c r="J8" s="11"/>
      <c r="K8" s="11"/>
      <c r="L8" s="11"/>
      <c r="M8" s="11"/>
      <c r="N8" s="11">
        <f t="shared" si="1"/>
        <v>0</v>
      </c>
      <c r="O8" s="11">
        <f t="shared" si="0"/>
        <v>0</v>
      </c>
      <c r="P8" s="11">
        <v>89.4</v>
      </c>
      <c r="Q8" s="11"/>
      <c r="R8" s="11"/>
      <c r="S8" s="11">
        <v>89.4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72">
        <v>46188</v>
      </c>
      <c r="AE8" s="14" t="s">
        <v>465</v>
      </c>
      <c r="AF8" s="19" t="s">
        <v>561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762</v>
      </c>
      <c r="AT8" s="14"/>
      <c r="AU8" s="11"/>
      <c r="AV8" s="14"/>
    </row>
    <row r="9" spans="1:49" s="45" customFormat="1" ht="15" x14ac:dyDescent="0.25">
      <c r="A9" s="199">
        <v>46173</v>
      </c>
      <c r="B9" s="72"/>
      <c r="C9" s="42" t="s">
        <v>388</v>
      </c>
      <c r="D9" s="42" t="s">
        <v>626</v>
      </c>
      <c r="E9" s="14"/>
      <c r="F9" s="71">
        <v>1074436</v>
      </c>
      <c r="G9" s="42" t="s">
        <v>50</v>
      </c>
      <c r="H9" s="31">
        <v>20121876290</v>
      </c>
      <c r="I9" s="138" t="str">
        <f>IF(H9="","",VLOOKUP(H9,[1]ENTIDAD!$B$2:$C$605,2,0))</f>
        <v>ENT.PREST.SERV.SANEAM.SELVA CENTRAL S.A</v>
      </c>
      <c r="J9" s="11"/>
      <c r="K9" s="11"/>
      <c r="L9" s="11"/>
      <c r="M9" s="11"/>
      <c r="N9" s="11">
        <f t="shared" si="1"/>
        <v>0</v>
      </c>
      <c r="O9" s="11">
        <f t="shared" si="0"/>
        <v>0</v>
      </c>
      <c r="P9" s="11">
        <v>45.7</v>
      </c>
      <c r="Q9" s="11"/>
      <c r="R9" s="11"/>
      <c r="S9" s="11">
        <v>45.7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72">
        <v>46203</v>
      </c>
      <c r="AE9" s="14" t="s">
        <v>465</v>
      </c>
      <c r="AF9" s="19" t="s">
        <v>561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763</v>
      </c>
      <c r="AT9" s="14"/>
      <c r="AU9" s="11"/>
      <c r="AV9" s="14"/>
    </row>
    <row r="10" spans="1:49" s="47" customFormat="1" ht="15" x14ac:dyDescent="0.25">
      <c r="A10" s="199">
        <v>46173</v>
      </c>
      <c r="B10" s="72"/>
      <c r="C10" s="42" t="s">
        <v>388</v>
      </c>
      <c r="D10" s="42" t="s">
        <v>626</v>
      </c>
      <c r="E10" s="14"/>
      <c r="F10" s="71">
        <v>1072890</v>
      </c>
      <c r="G10" s="42" t="s">
        <v>50</v>
      </c>
      <c r="H10" s="31">
        <v>20121876290</v>
      </c>
      <c r="I10" s="138" t="str">
        <f>IF(H10="","",VLOOKUP(H10,[1]ENTIDAD!$B$2:$C$605,2,0))</f>
        <v>ENT.PREST.SERV.SANEAM.SELVA CENTRAL S.A</v>
      </c>
      <c r="J10" s="11"/>
      <c r="K10" s="11"/>
      <c r="L10" s="11"/>
      <c r="M10" s="11"/>
      <c r="N10" s="11">
        <f t="shared" si="1"/>
        <v>0</v>
      </c>
      <c r="O10" s="11">
        <f t="shared" si="0"/>
        <v>0</v>
      </c>
      <c r="P10" s="11">
        <v>29.7</v>
      </c>
      <c r="Q10" s="11"/>
      <c r="R10" s="11"/>
      <c r="S10" s="11">
        <v>29.7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72">
        <v>46203</v>
      </c>
      <c r="AE10" s="14" t="s">
        <v>465</v>
      </c>
      <c r="AF10" s="19" t="s">
        <v>561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6454</v>
      </c>
      <c r="AT10" s="14"/>
      <c r="AU10" s="11"/>
      <c r="AV10" s="14"/>
      <c r="AW10" s="45"/>
    </row>
    <row r="11" spans="1:49" s="45" customFormat="1" ht="14.25" customHeight="1" x14ac:dyDescent="0.25">
      <c r="A11" s="199">
        <v>46174</v>
      </c>
      <c r="B11" s="13"/>
      <c r="C11" s="42" t="s">
        <v>49</v>
      </c>
      <c r="D11" s="42" t="s">
        <v>294</v>
      </c>
      <c r="E11" s="14"/>
      <c r="F11" s="71">
        <v>810</v>
      </c>
      <c r="G11" s="42" t="s">
        <v>50</v>
      </c>
      <c r="H11" s="31">
        <v>10733910921</v>
      </c>
      <c r="I11" s="138" t="str">
        <f>IF(H11="","",VLOOKUP(H11,[1]ENTIDAD!$B$2:$C$605,2,0))</f>
        <v>MADUEÑO HUAMAN LILI CLISSELY</v>
      </c>
      <c r="J11" s="11"/>
      <c r="K11" s="11"/>
      <c r="L11" s="11"/>
      <c r="M11" s="11"/>
      <c r="N11" s="11">
        <f t="shared" si="1"/>
        <v>0</v>
      </c>
      <c r="O11" s="11">
        <f t="shared" si="0"/>
        <v>0</v>
      </c>
      <c r="P11" s="11">
        <v>7</v>
      </c>
      <c r="Q11" s="11"/>
      <c r="R11" s="11"/>
      <c r="S11" s="11">
        <v>7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33">
        <v>46204</v>
      </c>
      <c r="AE11" s="34" t="s">
        <v>465</v>
      </c>
      <c r="AF11" s="34" t="s">
        <v>4609</v>
      </c>
      <c r="AG11" s="14"/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753</v>
      </c>
      <c r="AT11" s="14"/>
      <c r="AU11" s="11"/>
      <c r="AV11" s="14"/>
    </row>
    <row r="12" spans="1:49" s="45" customFormat="1" ht="15" x14ac:dyDescent="0.25">
      <c r="A12" s="199">
        <v>46174</v>
      </c>
      <c r="B12" s="13"/>
      <c r="C12" s="42" t="s">
        <v>49</v>
      </c>
      <c r="D12" s="42" t="s">
        <v>409</v>
      </c>
      <c r="E12" s="14"/>
      <c r="F12" s="71">
        <v>6899281</v>
      </c>
      <c r="G12" s="42" t="s">
        <v>50</v>
      </c>
      <c r="H12" s="31">
        <v>20100047218</v>
      </c>
      <c r="I12" s="138" t="str">
        <f>IF(H12="","",VLOOKUP(H12,[1]ENTIDAD!$B$2:$C$605,2,0))</f>
        <v>BANCO DE CREDITO DEL PERU</v>
      </c>
      <c r="J12" s="11"/>
      <c r="K12" s="11"/>
      <c r="L12" s="11"/>
      <c r="M12" s="11"/>
      <c r="N12" s="11">
        <f t="shared" si="1"/>
        <v>0</v>
      </c>
      <c r="O12" s="11">
        <f t="shared" si="0"/>
        <v>0</v>
      </c>
      <c r="P12" s="11">
        <v>3175.41</v>
      </c>
      <c r="Q12" s="11"/>
      <c r="R12" s="11"/>
      <c r="S12" s="11">
        <v>3175.41</v>
      </c>
      <c r="T12" s="14"/>
      <c r="U12" s="14"/>
      <c r="V12" s="13"/>
      <c r="W12" s="15"/>
      <c r="X12" s="13"/>
      <c r="Y12" s="14"/>
      <c r="Z12" s="14"/>
      <c r="AA12" s="14"/>
      <c r="AB12" s="42" t="s">
        <v>224</v>
      </c>
      <c r="AC12" s="11"/>
      <c r="AD12" s="33">
        <v>46204</v>
      </c>
      <c r="AE12" s="14" t="s">
        <v>465</v>
      </c>
      <c r="AF12" s="19" t="s">
        <v>494</v>
      </c>
      <c r="AG12" s="14"/>
      <c r="AH12" s="14" t="s">
        <v>225</v>
      </c>
      <c r="AI12" s="112"/>
      <c r="AJ12" s="112"/>
      <c r="AK12" s="120"/>
      <c r="AL12" s="116"/>
      <c r="AM12" s="116"/>
      <c r="AN12" s="112"/>
      <c r="AO12" s="112"/>
      <c r="AP12" s="109"/>
      <c r="AQ12" s="112"/>
      <c r="AR12" s="116">
        <v>18</v>
      </c>
      <c r="AS12" s="112" t="s">
        <v>754</v>
      </c>
      <c r="AT12" s="14"/>
      <c r="AU12" s="11"/>
      <c r="AV12" s="14"/>
    </row>
    <row r="13" spans="1:49" s="45" customFormat="1" ht="15" x14ac:dyDescent="0.25">
      <c r="A13" s="199">
        <v>46174</v>
      </c>
      <c r="B13" s="13"/>
      <c r="C13" s="42" t="s">
        <v>49</v>
      </c>
      <c r="D13" s="42" t="s">
        <v>692</v>
      </c>
      <c r="E13" s="14"/>
      <c r="F13" s="71">
        <v>27627852</v>
      </c>
      <c r="G13" s="42" t="s">
        <v>50</v>
      </c>
      <c r="H13" s="31">
        <v>20100130204</v>
      </c>
      <c r="I13" s="138" t="str">
        <f>IF(H13="","",VLOOKUP(H13,[1]ENTIDAD!$B$2:$C$605,2,0))</f>
        <v>BANCO BBVA PERU</v>
      </c>
      <c r="J13" s="11"/>
      <c r="K13" s="11"/>
      <c r="L13" s="11"/>
      <c r="M13" s="11"/>
      <c r="N13" s="11">
        <f t="shared" si="1"/>
        <v>0</v>
      </c>
      <c r="O13" s="11">
        <f t="shared" si="0"/>
        <v>0</v>
      </c>
      <c r="P13" s="11">
        <v>10</v>
      </c>
      <c r="Q13" s="11"/>
      <c r="R13" s="11"/>
      <c r="S13" s="11">
        <v>10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33">
        <v>46204</v>
      </c>
      <c r="AE13" s="14" t="s">
        <v>465</v>
      </c>
      <c r="AF13" s="19" t="s">
        <v>494</v>
      </c>
      <c r="AG13" s="14"/>
      <c r="AH13" s="14" t="s">
        <v>225</v>
      </c>
      <c r="AI13" s="112"/>
      <c r="AJ13" s="112"/>
      <c r="AK13" s="120"/>
      <c r="AL13" s="116"/>
      <c r="AM13" s="116"/>
      <c r="AN13" s="112"/>
      <c r="AO13" s="112"/>
      <c r="AP13" s="109"/>
      <c r="AQ13" s="112"/>
      <c r="AR13" s="116">
        <v>18</v>
      </c>
      <c r="AS13" s="112" t="s">
        <v>755</v>
      </c>
      <c r="AT13" s="14"/>
      <c r="AU13" s="11"/>
      <c r="AV13" s="14"/>
    </row>
    <row r="14" spans="1:49" s="45" customFormat="1" ht="15" x14ac:dyDescent="0.25">
      <c r="A14" s="199">
        <v>46174</v>
      </c>
      <c r="B14" s="13"/>
      <c r="C14" s="42" t="s">
        <v>49</v>
      </c>
      <c r="D14" s="42" t="s">
        <v>294</v>
      </c>
      <c r="E14" s="14"/>
      <c r="F14" s="71">
        <v>186456</v>
      </c>
      <c r="G14" s="42" t="s">
        <v>50</v>
      </c>
      <c r="H14" s="31">
        <v>20101973922</v>
      </c>
      <c r="I14" s="138" t="str">
        <f>IF(H14="","",VLOOKUP(H14,[1]ENTIDAD!$B$2:$C$605,2,0))</f>
        <v>ASOCIACION AUTOMOTRIZ DEL PERU</v>
      </c>
      <c r="J14" s="11"/>
      <c r="K14" s="11"/>
      <c r="L14" s="11"/>
      <c r="M14" s="11"/>
      <c r="N14" s="11">
        <v>0</v>
      </c>
      <c r="O14" s="11">
        <f t="shared" si="0"/>
        <v>0</v>
      </c>
      <c r="P14" s="11">
        <v>0</v>
      </c>
      <c r="Q14" s="11"/>
      <c r="R14" s="11">
        <v>25</v>
      </c>
      <c r="S14" s="11">
        <v>25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33">
        <v>46205</v>
      </c>
      <c r="AE14" s="34" t="s">
        <v>465</v>
      </c>
      <c r="AF14" s="37" t="s">
        <v>597</v>
      </c>
      <c r="AG14" s="14" t="s">
        <v>513</v>
      </c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566</v>
      </c>
      <c r="AT14" s="14"/>
      <c r="AU14" s="11"/>
      <c r="AV14" s="14"/>
    </row>
    <row r="15" spans="1:49" s="45" customFormat="1" ht="15" x14ac:dyDescent="0.25">
      <c r="A15" s="199">
        <v>46174</v>
      </c>
      <c r="B15" s="13"/>
      <c r="C15" s="42" t="s">
        <v>49</v>
      </c>
      <c r="D15" s="42" t="s">
        <v>299</v>
      </c>
      <c r="E15" s="14"/>
      <c r="F15" s="71">
        <v>3894913</v>
      </c>
      <c r="G15" s="42" t="s">
        <v>50</v>
      </c>
      <c r="H15" s="31">
        <v>20101973922</v>
      </c>
      <c r="I15" s="138" t="str">
        <f>IF(H15="","",VLOOKUP(H15,[1]ENTIDAD!$B$2:$C$605,2,0))</f>
        <v>ASOCIACION AUTOMOTRIZ DEL PERU</v>
      </c>
      <c r="J15" s="11"/>
      <c r="K15" s="11"/>
      <c r="L15" s="11"/>
      <c r="M15" s="11"/>
      <c r="N15" s="11">
        <v>0</v>
      </c>
      <c r="O15" s="11">
        <f t="shared" si="0"/>
        <v>0</v>
      </c>
      <c r="P15" s="11">
        <v>0</v>
      </c>
      <c r="Q15" s="11"/>
      <c r="R15" s="11">
        <v>66.8</v>
      </c>
      <c r="S15" s="11">
        <v>66.8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13">
        <v>46205</v>
      </c>
      <c r="AE15" s="34" t="s">
        <v>465</v>
      </c>
      <c r="AF15" s="37" t="s">
        <v>550</v>
      </c>
      <c r="AG15" s="14" t="s">
        <v>513</v>
      </c>
      <c r="AH15" s="14" t="s">
        <v>225</v>
      </c>
      <c r="AI15" s="14"/>
      <c r="AJ15" s="14"/>
      <c r="AK15" s="16"/>
      <c r="AL15" s="11"/>
      <c r="AM15" s="11"/>
      <c r="AN15" s="14"/>
      <c r="AO15" s="14"/>
      <c r="AP15" s="13"/>
      <c r="AQ15" s="14"/>
      <c r="AR15" s="11">
        <v>18</v>
      </c>
      <c r="AS15" s="14" t="s">
        <v>566</v>
      </c>
      <c r="AT15" s="14"/>
      <c r="AU15" s="11"/>
      <c r="AV15" s="14"/>
    </row>
    <row r="16" spans="1:49" s="45" customFormat="1" ht="15" x14ac:dyDescent="0.25">
      <c r="A16" s="199">
        <v>46174</v>
      </c>
      <c r="B16" s="33"/>
      <c r="C16" s="42" t="s">
        <v>49</v>
      </c>
      <c r="D16" s="42" t="s">
        <v>299</v>
      </c>
      <c r="E16" s="14"/>
      <c r="F16" s="71">
        <v>3894912</v>
      </c>
      <c r="G16" s="42" t="s">
        <v>50</v>
      </c>
      <c r="H16" s="31">
        <v>20101973922</v>
      </c>
      <c r="I16" s="138" t="str">
        <f>IF(H16="","",VLOOKUP(H16,[1]ENTIDAD!$B$2:$C$605,2,0))</f>
        <v>ASOCIACION AUTOMOTRIZ DEL PERU</v>
      </c>
      <c r="J16" s="11"/>
      <c r="K16" s="11"/>
      <c r="L16" s="11"/>
      <c r="M16" s="11"/>
      <c r="N16" s="11">
        <v>0</v>
      </c>
      <c r="O16" s="11">
        <f t="shared" ref="O16:O44" si="2">N16*0.18</f>
        <v>0</v>
      </c>
      <c r="P16" s="11">
        <v>0</v>
      </c>
      <c r="Q16" s="11"/>
      <c r="R16" s="11">
        <v>66.8</v>
      </c>
      <c r="S16" s="11">
        <v>66.8</v>
      </c>
      <c r="T16" s="14"/>
      <c r="U16" s="14"/>
      <c r="V16" s="13"/>
      <c r="W16" s="15"/>
      <c r="X16" s="13"/>
      <c r="Y16" s="14"/>
      <c r="Z16" s="14"/>
      <c r="AA16" s="14"/>
      <c r="AB16" s="42" t="s">
        <v>224</v>
      </c>
      <c r="AC16" s="11"/>
      <c r="AD16" s="13">
        <v>46205</v>
      </c>
      <c r="AE16" s="34" t="s">
        <v>465</v>
      </c>
      <c r="AF16" s="37" t="s">
        <v>550</v>
      </c>
      <c r="AG16" s="14" t="s">
        <v>513</v>
      </c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 t="s">
        <v>566</v>
      </c>
      <c r="AT16" s="14"/>
      <c r="AU16" s="11"/>
      <c r="AV16" s="14"/>
    </row>
    <row r="17" spans="1:49" s="45" customFormat="1" ht="15" x14ac:dyDescent="0.25">
      <c r="A17" s="199">
        <v>46174</v>
      </c>
      <c r="B17" s="13"/>
      <c r="C17" s="42" t="s">
        <v>49</v>
      </c>
      <c r="D17" s="42" t="s">
        <v>299</v>
      </c>
      <c r="E17" s="14"/>
      <c r="F17" s="71">
        <v>3894911</v>
      </c>
      <c r="G17" s="42" t="s">
        <v>50</v>
      </c>
      <c r="H17" s="31">
        <v>20101973922</v>
      </c>
      <c r="I17" s="138" t="str">
        <f>IF(H17="","",VLOOKUP(H17,ENTIDAD!$B$2:$C$613,2,0))</f>
        <v>ASOCIACION AUTOMOTRIZ DEL PERU</v>
      </c>
      <c r="J17" s="11"/>
      <c r="K17" s="11"/>
      <c r="L17" s="11"/>
      <c r="M17" s="11"/>
      <c r="N17" s="11">
        <v>0</v>
      </c>
      <c r="O17" s="11">
        <f t="shared" si="2"/>
        <v>0</v>
      </c>
      <c r="P17" s="11">
        <v>0</v>
      </c>
      <c r="Q17" s="11"/>
      <c r="R17" s="11">
        <v>66.8</v>
      </c>
      <c r="S17" s="11">
        <v>66.8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13">
        <v>46205</v>
      </c>
      <c r="AE17" s="34" t="s">
        <v>465</v>
      </c>
      <c r="AF17" s="37" t="s">
        <v>550</v>
      </c>
      <c r="AG17" s="14" t="s">
        <v>513</v>
      </c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4" t="s">
        <v>566</v>
      </c>
      <c r="AT17" s="14"/>
      <c r="AU17" s="11"/>
      <c r="AV17" s="14"/>
    </row>
    <row r="18" spans="1:49" s="47" customFormat="1" ht="15" x14ac:dyDescent="0.25">
      <c r="A18" s="199">
        <v>46174</v>
      </c>
      <c r="B18" s="72"/>
      <c r="C18" s="42" t="s">
        <v>49</v>
      </c>
      <c r="D18" s="42" t="s">
        <v>299</v>
      </c>
      <c r="E18" s="14"/>
      <c r="F18" s="71">
        <v>3894910</v>
      </c>
      <c r="G18" s="42" t="s">
        <v>50</v>
      </c>
      <c r="H18" s="31">
        <v>20101973922</v>
      </c>
      <c r="I18" s="138" t="str">
        <f>IF(H18="","",VLOOKUP(H18,[1]ENTIDAD!$B$2:$C$605,2,0))</f>
        <v>ASOCIACION AUTOMOTRIZ DEL PERU</v>
      </c>
      <c r="J18" s="11"/>
      <c r="K18" s="11"/>
      <c r="L18" s="11"/>
      <c r="M18" s="11"/>
      <c r="N18" s="11">
        <v>0</v>
      </c>
      <c r="O18" s="11">
        <f t="shared" si="2"/>
        <v>0</v>
      </c>
      <c r="P18" s="11">
        <v>0</v>
      </c>
      <c r="Q18" s="11"/>
      <c r="R18" s="11">
        <v>66.8</v>
      </c>
      <c r="S18" s="11">
        <v>66.8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13">
        <v>46205</v>
      </c>
      <c r="AE18" s="34" t="s">
        <v>465</v>
      </c>
      <c r="AF18" s="37" t="s">
        <v>550</v>
      </c>
      <c r="AG18" s="14" t="s">
        <v>513</v>
      </c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566</v>
      </c>
      <c r="AT18" s="14"/>
      <c r="AU18" s="11"/>
      <c r="AV18" s="14"/>
      <c r="AW18" s="45"/>
    </row>
    <row r="19" spans="1:49" s="45" customFormat="1" ht="15" x14ac:dyDescent="0.25">
      <c r="A19" s="199">
        <v>46174</v>
      </c>
      <c r="B19" s="72"/>
      <c r="C19" s="42" t="s">
        <v>49</v>
      </c>
      <c r="D19" s="42" t="s">
        <v>299</v>
      </c>
      <c r="E19" s="14"/>
      <c r="F19" s="71">
        <v>3894909</v>
      </c>
      <c r="G19" s="42" t="s">
        <v>50</v>
      </c>
      <c r="H19" s="31">
        <v>20101973922</v>
      </c>
      <c r="I19" s="138" t="str">
        <f>IF(H19="","",VLOOKUP(H19,[1]ENTIDAD!$B$2:$C$605,2,0))</f>
        <v>ASOCIACION AUTOMOTRIZ DEL PERU</v>
      </c>
      <c r="J19" s="11"/>
      <c r="K19" s="11"/>
      <c r="L19" s="11"/>
      <c r="M19" s="11"/>
      <c r="N19" s="11">
        <v>0</v>
      </c>
      <c r="O19" s="11">
        <f t="shared" si="2"/>
        <v>0</v>
      </c>
      <c r="P19" s="11">
        <v>0</v>
      </c>
      <c r="Q19" s="11"/>
      <c r="R19" s="11">
        <v>66.8</v>
      </c>
      <c r="S19" s="11">
        <v>66.8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13">
        <v>46205</v>
      </c>
      <c r="AE19" s="34" t="s">
        <v>465</v>
      </c>
      <c r="AF19" s="37" t="s">
        <v>550</v>
      </c>
      <c r="AG19" s="14" t="s">
        <v>513</v>
      </c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566</v>
      </c>
      <c r="AT19" s="14"/>
      <c r="AU19" s="11"/>
      <c r="AV19" s="14"/>
    </row>
    <row r="20" spans="1:49" s="45" customFormat="1" ht="15" x14ac:dyDescent="0.25">
      <c r="A20" s="199">
        <v>46174</v>
      </c>
      <c r="B20" s="72"/>
      <c r="C20" s="42" t="s">
        <v>49</v>
      </c>
      <c r="D20" s="42" t="s">
        <v>299</v>
      </c>
      <c r="E20" s="14"/>
      <c r="F20" s="71">
        <v>3894908</v>
      </c>
      <c r="G20" s="42" t="s">
        <v>50</v>
      </c>
      <c r="H20" s="31">
        <v>20101973922</v>
      </c>
      <c r="I20" s="138" t="str">
        <f>IF(H20="","",VLOOKUP(H20,[1]ENTIDAD!$B$2:$C$605,2,0))</f>
        <v>ASOCIACION AUTOMOTRIZ DEL PERU</v>
      </c>
      <c r="J20" s="11"/>
      <c r="K20" s="11"/>
      <c r="L20" s="11"/>
      <c r="M20" s="11"/>
      <c r="N20" s="11">
        <v>0</v>
      </c>
      <c r="O20" s="11">
        <f t="shared" si="2"/>
        <v>0</v>
      </c>
      <c r="P20" s="11">
        <v>0</v>
      </c>
      <c r="Q20" s="11"/>
      <c r="R20" s="11">
        <v>66.8</v>
      </c>
      <c r="S20" s="11">
        <v>66.8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13">
        <v>46205</v>
      </c>
      <c r="AE20" s="34" t="s">
        <v>465</v>
      </c>
      <c r="AF20" s="37" t="s">
        <v>550</v>
      </c>
      <c r="AG20" s="14" t="s">
        <v>513</v>
      </c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566</v>
      </c>
      <c r="AT20" s="14"/>
      <c r="AU20" s="11"/>
      <c r="AV20" s="14"/>
    </row>
    <row r="21" spans="1:49" s="45" customFormat="1" ht="15" x14ac:dyDescent="0.25">
      <c r="A21" s="199">
        <v>46174</v>
      </c>
      <c r="B21" s="72"/>
      <c r="C21" s="42" t="s">
        <v>49</v>
      </c>
      <c r="D21" s="42" t="s">
        <v>299</v>
      </c>
      <c r="E21" s="14"/>
      <c r="F21" s="71">
        <v>3894907</v>
      </c>
      <c r="G21" s="42" t="s">
        <v>50</v>
      </c>
      <c r="H21" s="31">
        <v>20101973922</v>
      </c>
      <c r="I21" s="138" t="str">
        <f>IF(H21="","",VLOOKUP(H21,[1]ENTIDAD!$B$2:$C$605,2,0))</f>
        <v>ASOCIACION AUTOMOTRIZ DEL PERU</v>
      </c>
      <c r="J21" s="11"/>
      <c r="K21" s="11"/>
      <c r="L21" s="11"/>
      <c r="M21" s="11"/>
      <c r="N21" s="11">
        <v>0</v>
      </c>
      <c r="O21" s="11">
        <f t="shared" si="2"/>
        <v>0</v>
      </c>
      <c r="P21" s="11">
        <v>0</v>
      </c>
      <c r="Q21" s="11"/>
      <c r="R21" s="11">
        <v>66.8</v>
      </c>
      <c r="S21" s="11">
        <v>66.8</v>
      </c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13">
        <v>46205</v>
      </c>
      <c r="AE21" s="34" t="s">
        <v>465</v>
      </c>
      <c r="AF21" s="37" t="s">
        <v>550</v>
      </c>
      <c r="AG21" s="14" t="s">
        <v>513</v>
      </c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566</v>
      </c>
      <c r="AT21" s="14"/>
      <c r="AU21" s="11"/>
      <c r="AV21" s="14"/>
    </row>
    <row r="22" spans="1:49" s="47" customFormat="1" ht="15" x14ac:dyDescent="0.25">
      <c r="A22" s="199">
        <v>46174</v>
      </c>
      <c r="B22" s="72"/>
      <c r="C22" s="42" t="s">
        <v>49</v>
      </c>
      <c r="D22" s="42" t="s">
        <v>299</v>
      </c>
      <c r="E22" s="14"/>
      <c r="F22" s="71">
        <v>3894906</v>
      </c>
      <c r="G22" s="42" t="s">
        <v>50</v>
      </c>
      <c r="H22" s="31">
        <v>20101973922</v>
      </c>
      <c r="I22" s="138" t="str">
        <f>IF(H22="","",VLOOKUP(H22,[1]ENTIDAD!$B$2:$C$605,2,0))</f>
        <v>ASOCIACION AUTOMOTRIZ DEL PERU</v>
      </c>
      <c r="J22" s="11"/>
      <c r="K22" s="11"/>
      <c r="L22" s="11"/>
      <c r="M22" s="11"/>
      <c r="N22" s="11">
        <v>0</v>
      </c>
      <c r="O22" s="11">
        <f t="shared" si="2"/>
        <v>0</v>
      </c>
      <c r="P22" s="11">
        <v>0</v>
      </c>
      <c r="Q22" s="11"/>
      <c r="R22" s="11">
        <v>66.8</v>
      </c>
      <c r="S22" s="11">
        <v>66.8</v>
      </c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13">
        <v>46205</v>
      </c>
      <c r="AE22" s="34" t="s">
        <v>465</v>
      </c>
      <c r="AF22" s="37" t="s">
        <v>550</v>
      </c>
      <c r="AG22" s="14" t="s">
        <v>513</v>
      </c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566</v>
      </c>
      <c r="AT22" s="14"/>
      <c r="AU22" s="11"/>
      <c r="AV22" s="14"/>
      <c r="AW22" s="45"/>
    </row>
    <row r="23" spans="1:49" s="122" customFormat="1" ht="15" x14ac:dyDescent="0.25">
      <c r="A23" s="199">
        <v>46174</v>
      </c>
      <c r="B23" s="72"/>
      <c r="C23" s="42" t="s">
        <v>49</v>
      </c>
      <c r="D23" s="42" t="s">
        <v>299</v>
      </c>
      <c r="E23" s="14"/>
      <c r="F23" s="71">
        <v>3894905</v>
      </c>
      <c r="G23" s="42" t="s">
        <v>50</v>
      </c>
      <c r="H23" s="31">
        <v>20101973922</v>
      </c>
      <c r="I23" s="138" t="str">
        <f>IF(H23="","",VLOOKUP(H23,[1]ENTIDAD!$B$2:$C$605,2,0))</f>
        <v>ASOCIACION AUTOMOTRIZ DEL PERU</v>
      </c>
      <c r="J23" s="11"/>
      <c r="K23" s="11"/>
      <c r="L23" s="11"/>
      <c r="M23" s="11"/>
      <c r="N23" s="11">
        <v>0</v>
      </c>
      <c r="O23" s="11">
        <f t="shared" si="2"/>
        <v>0</v>
      </c>
      <c r="P23" s="11">
        <v>0</v>
      </c>
      <c r="Q23" s="11"/>
      <c r="R23" s="11">
        <v>66.8</v>
      </c>
      <c r="S23" s="11">
        <v>66.8</v>
      </c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13">
        <v>46205</v>
      </c>
      <c r="AE23" s="34" t="s">
        <v>465</v>
      </c>
      <c r="AF23" s="37" t="s">
        <v>550</v>
      </c>
      <c r="AG23" s="14" t="s">
        <v>513</v>
      </c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566</v>
      </c>
      <c r="AT23" s="14"/>
      <c r="AU23" s="11"/>
      <c r="AV23" s="14"/>
      <c r="AW23" s="45"/>
    </row>
    <row r="24" spans="1:49" s="121" customFormat="1" ht="15" x14ac:dyDescent="0.25">
      <c r="A24" s="199">
        <v>46174</v>
      </c>
      <c r="B24" s="72"/>
      <c r="C24" s="42" t="s">
        <v>49</v>
      </c>
      <c r="D24" s="42" t="s">
        <v>299</v>
      </c>
      <c r="E24" s="14"/>
      <c r="F24" s="71">
        <v>3894904</v>
      </c>
      <c r="G24" s="42" t="s">
        <v>50</v>
      </c>
      <c r="H24" s="31">
        <v>20101973922</v>
      </c>
      <c r="I24" s="138" t="str">
        <f>IF(H24="","",VLOOKUP(H24,[1]ENTIDAD!$B$2:$C$605,2,0))</f>
        <v>ASOCIACION AUTOMOTRIZ DEL PERU</v>
      </c>
      <c r="J24" s="11"/>
      <c r="K24" s="11"/>
      <c r="L24" s="11"/>
      <c r="M24" s="11"/>
      <c r="N24" s="11">
        <v>0</v>
      </c>
      <c r="O24" s="11">
        <f t="shared" si="2"/>
        <v>0</v>
      </c>
      <c r="P24" s="11">
        <v>0</v>
      </c>
      <c r="Q24" s="11"/>
      <c r="R24" s="11">
        <v>66.8</v>
      </c>
      <c r="S24" s="11">
        <v>66.8</v>
      </c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13">
        <v>46205</v>
      </c>
      <c r="AE24" s="34" t="s">
        <v>465</v>
      </c>
      <c r="AF24" s="37" t="s">
        <v>550</v>
      </c>
      <c r="AG24" s="14" t="s">
        <v>513</v>
      </c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 t="s">
        <v>566</v>
      </c>
      <c r="AT24" s="14"/>
      <c r="AU24" s="11"/>
      <c r="AV24" s="14"/>
      <c r="AW24" s="45"/>
    </row>
    <row r="25" spans="1:49" s="121" customFormat="1" ht="15" x14ac:dyDescent="0.25">
      <c r="A25" s="199">
        <v>46174</v>
      </c>
      <c r="B25" s="72"/>
      <c r="C25" s="42" t="s">
        <v>49</v>
      </c>
      <c r="D25" s="42" t="s">
        <v>299</v>
      </c>
      <c r="E25" s="14"/>
      <c r="F25" s="71">
        <v>3894903</v>
      </c>
      <c r="G25" s="42" t="s">
        <v>50</v>
      </c>
      <c r="H25" s="31">
        <v>20101973922</v>
      </c>
      <c r="I25" s="138" t="str">
        <f>IF(H25="","",VLOOKUP(H25,[1]ENTIDAD!$B$2:$C$605,2,0))</f>
        <v>ASOCIACION AUTOMOTRIZ DEL PERU</v>
      </c>
      <c r="J25" s="11"/>
      <c r="K25" s="11"/>
      <c r="L25" s="11"/>
      <c r="M25" s="11"/>
      <c r="N25" s="11">
        <v>0</v>
      </c>
      <c r="O25" s="11">
        <f t="shared" si="2"/>
        <v>0</v>
      </c>
      <c r="P25" s="11">
        <v>0</v>
      </c>
      <c r="Q25" s="11"/>
      <c r="R25" s="11">
        <v>66.8</v>
      </c>
      <c r="S25" s="11">
        <v>66.8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13">
        <v>46205</v>
      </c>
      <c r="AE25" s="34" t="s">
        <v>465</v>
      </c>
      <c r="AF25" s="37" t="s">
        <v>550</v>
      </c>
      <c r="AG25" s="14" t="s">
        <v>513</v>
      </c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566</v>
      </c>
      <c r="AT25" s="14"/>
      <c r="AU25" s="11"/>
      <c r="AV25" s="14"/>
      <c r="AW25" s="45"/>
    </row>
    <row r="26" spans="1:49" s="133" customFormat="1" ht="15" x14ac:dyDescent="0.25">
      <c r="A26" s="199">
        <v>46174</v>
      </c>
      <c r="B26" s="72"/>
      <c r="C26" s="42" t="s">
        <v>49</v>
      </c>
      <c r="D26" s="42" t="s">
        <v>299</v>
      </c>
      <c r="E26" s="14"/>
      <c r="F26" s="71">
        <v>3894902</v>
      </c>
      <c r="G26" s="42" t="s">
        <v>50</v>
      </c>
      <c r="H26" s="31">
        <v>20101973922</v>
      </c>
      <c r="I26" s="138" t="str">
        <f>IF(H26="","",VLOOKUP(H26,[1]ENTIDAD!$B$2:$C$605,2,0))</f>
        <v>ASOCIACION AUTOMOTRIZ DEL PERU</v>
      </c>
      <c r="J26" s="11"/>
      <c r="K26" s="11"/>
      <c r="L26" s="11"/>
      <c r="M26" s="11"/>
      <c r="N26" s="11">
        <v>0</v>
      </c>
      <c r="O26" s="11">
        <f t="shared" si="2"/>
        <v>0</v>
      </c>
      <c r="P26" s="11">
        <v>0</v>
      </c>
      <c r="Q26" s="11"/>
      <c r="R26" s="11">
        <v>66.8</v>
      </c>
      <c r="S26" s="11">
        <v>66.8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13">
        <v>46205</v>
      </c>
      <c r="AE26" s="34" t="s">
        <v>465</v>
      </c>
      <c r="AF26" s="37" t="s">
        <v>550</v>
      </c>
      <c r="AG26" s="14" t="s">
        <v>513</v>
      </c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566</v>
      </c>
      <c r="AT26" s="14"/>
      <c r="AU26" s="11"/>
      <c r="AV26" s="14"/>
      <c r="AW26" s="45"/>
    </row>
    <row r="27" spans="1:49" s="121" customFormat="1" ht="15" x14ac:dyDescent="0.25">
      <c r="A27" s="199">
        <v>46174</v>
      </c>
      <c r="B27" s="72"/>
      <c r="C27" s="42" t="s">
        <v>49</v>
      </c>
      <c r="D27" s="42" t="s">
        <v>299</v>
      </c>
      <c r="E27" s="14"/>
      <c r="F27" s="71">
        <v>3894901</v>
      </c>
      <c r="G27" s="42" t="s">
        <v>50</v>
      </c>
      <c r="H27" s="31">
        <v>20101973922</v>
      </c>
      <c r="I27" s="138" t="str">
        <f>IF(H27="","",VLOOKUP(H27,[1]ENTIDAD!$B$2:$C$605,2,0))</f>
        <v>ASOCIACION AUTOMOTRIZ DEL PERU</v>
      </c>
      <c r="J27" s="11"/>
      <c r="K27" s="11"/>
      <c r="L27" s="11"/>
      <c r="M27" s="11"/>
      <c r="N27" s="11">
        <v>0</v>
      </c>
      <c r="O27" s="11">
        <f t="shared" si="2"/>
        <v>0</v>
      </c>
      <c r="P27" s="11">
        <v>0</v>
      </c>
      <c r="Q27" s="11"/>
      <c r="R27" s="11">
        <v>66.8</v>
      </c>
      <c r="S27" s="11">
        <v>66.8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13">
        <v>46205</v>
      </c>
      <c r="AE27" s="34" t="s">
        <v>465</v>
      </c>
      <c r="AF27" s="37" t="s">
        <v>550</v>
      </c>
      <c r="AG27" s="14" t="s">
        <v>513</v>
      </c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566</v>
      </c>
      <c r="AT27" s="14"/>
      <c r="AU27" s="11"/>
      <c r="AV27" s="14"/>
      <c r="AW27" s="45"/>
    </row>
    <row r="28" spans="1:49" s="45" customFormat="1" ht="15" x14ac:dyDescent="0.25">
      <c r="A28" s="199">
        <v>46174</v>
      </c>
      <c r="B28" s="72"/>
      <c r="C28" s="42" t="s">
        <v>49</v>
      </c>
      <c r="D28" s="42" t="s">
        <v>299</v>
      </c>
      <c r="E28" s="14"/>
      <c r="F28" s="71">
        <v>3894900</v>
      </c>
      <c r="G28" s="42" t="s">
        <v>50</v>
      </c>
      <c r="H28" s="31">
        <v>20101973922</v>
      </c>
      <c r="I28" s="138" t="str">
        <f>IF(H28="","",VLOOKUP(H28,[1]ENTIDAD!$B$2:$C$605,2,0))</f>
        <v>ASOCIACION AUTOMOTRIZ DEL PERU</v>
      </c>
      <c r="J28" s="11"/>
      <c r="K28" s="11"/>
      <c r="L28" s="11"/>
      <c r="M28" s="11"/>
      <c r="N28" s="11">
        <v>0</v>
      </c>
      <c r="O28" s="11">
        <f t="shared" si="2"/>
        <v>0</v>
      </c>
      <c r="P28" s="11">
        <v>0</v>
      </c>
      <c r="Q28" s="11"/>
      <c r="R28" s="11">
        <v>66.8</v>
      </c>
      <c r="S28" s="11">
        <v>66.8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13">
        <v>46205</v>
      </c>
      <c r="AE28" s="34" t="s">
        <v>465</v>
      </c>
      <c r="AF28" s="37" t="s">
        <v>550</v>
      </c>
      <c r="AG28" s="14" t="s">
        <v>513</v>
      </c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566</v>
      </c>
      <c r="AT28" s="14"/>
      <c r="AU28" s="11"/>
      <c r="AV28" s="14"/>
    </row>
    <row r="29" spans="1:49" s="45" customFormat="1" ht="15" x14ac:dyDescent="0.25">
      <c r="A29" s="199">
        <v>46174</v>
      </c>
      <c r="B29" s="72"/>
      <c r="C29" s="42" t="s">
        <v>49</v>
      </c>
      <c r="D29" s="42" t="s">
        <v>299</v>
      </c>
      <c r="E29" s="14"/>
      <c r="F29" s="71">
        <v>3894899</v>
      </c>
      <c r="G29" s="42" t="s">
        <v>50</v>
      </c>
      <c r="H29" s="31">
        <v>20101973922</v>
      </c>
      <c r="I29" s="138" t="str">
        <f>IF(H29="","",VLOOKUP(H29,[1]ENTIDAD!$B$2:$C$605,2,0))</f>
        <v>ASOCIACION AUTOMOTRIZ DEL PERU</v>
      </c>
      <c r="J29" s="11"/>
      <c r="K29" s="11"/>
      <c r="L29" s="11"/>
      <c r="M29" s="11"/>
      <c r="N29" s="11">
        <v>0</v>
      </c>
      <c r="O29" s="11">
        <f t="shared" si="2"/>
        <v>0</v>
      </c>
      <c r="P29" s="11">
        <v>0</v>
      </c>
      <c r="Q29" s="11"/>
      <c r="R29" s="11">
        <v>66.8</v>
      </c>
      <c r="S29" s="11">
        <v>66.8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13">
        <v>46205</v>
      </c>
      <c r="AE29" s="34" t="s">
        <v>465</v>
      </c>
      <c r="AF29" s="37" t="s">
        <v>550</v>
      </c>
      <c r="AG29" s="14" t="s">
        <v>513</v>
      </c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566</v>
      </c>
      <c r="AT29" s="14"/>
      <c r="AU29" s="11"/>
      <c r="AV29" s="14"/>
    </row>
    <row r="30" spans="1:49" s="45" customFormat="1" ht="15" x14ac:dyDescent="0.25">
      <c r="A30" s="199">
        <v>46174</v>
      </c>
      <c r="B30" s="72"/>
      <c r="C30" s="42" t="s">
        <v>49</v>
      </c>
      <c r="D30" s="42" t="s">
        <v>299</v>
      </c>
      <c r="E30" s="14"/>
      <c r="F30" s="71">
        <v>3894898</v>
      </c>
      <c r="G30" s="42" t="s">
        <v>50</v>
      </c>
      <c r="H30" s="31">
        <v>20101973922</v>
      </c>
      <c r="I30" s="138" t="str">
        <f>IF(H30="","",VLOOKUP(H30,[1]ENTIDAD!$B$2:$C$605,2,0))</f>
        <v>ASOCIACION AUTOMOTRIZ DEL PERU</v>
      </c>
      <c r="J30" s="11"/>
      <c r="K30" s="11"/>
      <c r="L30" s="11"/>
      <c r="M30" s="11"/>
      <c r="N30" s="11">
        <v>0</v>
      </c>
      <c r="O30" s="11">
        <f t="shared" si="2"/>
        <v>0</v>
      </c>
      <c r="P30" s="11">
        <v>0</v>
      </c>
      <c r="Q30" s="11"/>
      <c r="R30" s="11">
        <v>66.8</v>
      </c>
      <c r="S30" s="11">
        <v>66.8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13">
        <v>46205</v>
      </c>
      <c r="AE30" s="34" t="s">
        <v>465</v>
      </c>
      <c r="AF30" s="37" t="s">
        <v>550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566</v>
      </c>
      <c r="AT30" s="14"/>
      <c r="AU30" s="11"/>
      <c r="AV30" s="14"/>
    </row>
    <row r="31" spans="1:49" s="45" customFormat="1" ht="15" x14ac:dyDescent="0.25">
      <c r="A31" s="199">
        <v>46174</v>
      </c>
      <c r="B31" s="72"/>
      <c r="C31" s="42" t="s">
        <v>49</v>
      </c>
      <c r="D31" s="42" t="s">
        <v>299</v>
      </c>
      <c r="E31" s="14"/>
      <c r="F31" s="71">
        <v>3894897</v>
      </c>
      <c r="G31" s="42" t="s">
        <v>50</v>
      </c>
      <c r="H31" s="31">
        <v>20101973922</v>
      </c>
      <c r="I31" s="138" t="str">
        <f>IF(H31="","",VLOOKUP(H31,[1]ENTIDAD!$B$2:$C$605,2,0))</f>
        <v>ASOCIACION AUTOMOTRIZ DEL PERU</v>
      </c>
      <c r="J31" s="11"/>
      <c r="K31" s="11"/>
      <c r="L31" s="11"/>
      <c r="M31" s="11"/>
      <c r="N31" s="11">
        <v>0</v>
      </c>
      <c r="O31" s="11">
        <f t="shared" si="2"/>
        <v>0</v>
      </c>
      <c r="P31" s="11">
        <v>0</v>
      </c>
      <c r="Q31" s="11"/>
      <c r="R31" s="11">
        <v>66.8</v>
      </c>
      <c r="S31" s="11">
        <v>66.8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13">
        <v>46205</v>
      </c>
      <c r="AE31" s="34" t="s">
        <v>465</v>
      </c>
      <c r="AF31" s="37" t="s">
        <v>550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566</v>
      </c>
      <c r="AT31" s="14"/>
      <c r="AU31" s="11"/>
      <c r="AV31" s="14"/>
    </row>
    <row r="32" spans="1:49" s="45" customFormat="1" ht="15" x14ac:dyDescent="0.25">
      <c r="A32" s="199">
        <v>46174</v>
      </c>
      <c r="B32" s="72"/>
      <c r="C32" s="42" t="s">
        <v>49</v>
      </c>
      <c r="D32" s="42" t="s">
        <v>299</v>
      </c>
      <c r="E32" s="14"/>
      <c r="F32" s="71">
        <v>3894896</v>
      </c>
      <c r="G32" s="42" t="s">
        <v>50</v>
      </c>
      <c r="H32" s="31">
        <v>20101973922</v>
      </c>
      <c r="I32" s="138" t="str">
        <f>IF(H32="","",VLOOKUP(H32,[1]ENTIDAD!$B$2:$C$605,2,0))</f>
        <v>ASOCIACION AUTOMOTRIZ DEL PERU</v>
      </c>
      <c r="J32" s="11"/>
      <c r="K32" s="11"/>
      <c r="L32" s="11"/>
      <c r="M32" s="11"/>
      <c r="N32" s="11">
        <v>0</v>
      </c>
      <c r="O32" s="11">
        <f t="shared" si="2"/>
        <v>0</v>
      </c>
      <c r="P32" s="11">
        <v>0</v>
      </c>
      <c r="Q32" s="11"/>
      <c r="R32" s="11">
        <v>66.8</v>
      </c>
      <c r="S32" s="11">
        <v>66.8</v>
      </c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13">
        <v>46205</v>
      </c>
      <c r="AE32" s="34" t="s">
        <v>465</v>
      </c>
      <c r="AF32" s="37" t="s">
        <v>550</v>
      </c>
      <c r="AG32" s="14" t="s">
        <v>513</v>
      </c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566</v>
      </c>
      <c r="AT32" s="14"/>
      <c r="AU32" s="11"/>
      <c r="AV32" s="14"/>
    </row>
    <row r="33" spans="1:49" s="45" customFormat="1" ht="15" x14ac:dyDescent="0.25">
      <c r="A33" s="199">
        <v>46174</v>
      </c>
      <c r="B33" s="72"/>
      <c r="C33" s="42" t="s">
        <v>49</v>
      </c>
      <c r="D33" s="42" t="s">
        <v>299</v>
      </c>
      <c r="E33" s="14"/>
      <c r="F33" s="71">
        <v>3894895</v>
      </c>
      <c r="G33" s="42" t="s">
        <v>50</v>
      </c>
      <c r="H33" s="31">
        <v>20101973922</v>
      </c>
      <c r="I33" s="138" t="str">
        <f>IF(H33="","",VLOOKUP(H33,[1]ENTIDAD!$B$2:$C$605,2,0))</f>
        <v>ASOCIACION AUTOMOTRIZ DEL PERU</v>
      </c>
      <c r="J33" s="11"/>
      <c r="K33" s="11"/>
      <c r="L33" s="11"/>
      <c r="M33" s="11"/>
      <c r="N33" s="11">
        <v>0</v>
      </c>
      <c r="O33" s="11">
        <f t="shared" si="2"/>
        <v>0</v>
      </c>
      <c r="P33" s="11">
        <v>0</v>
      </c>
      <c r="Q33" s="11"/>
      <c r="R33" s="11">
        <v>66.8</v>
      </c>
      <c r="S33" s="11">
        <v>66.8</v>
      </c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13">
        <v>46205</v>
      </c>
      <c r="AE33" s="34" t="s">
        <v>465</v>
      </c>
      <c r="AF33" s="37" t="s">
        <v>550</v>
      </c>
      <c r="AG33" s="14" t="s">
        <v>513</v>
      </c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566</v>
      </c>
      <c r="AT33" s="14"/>
      <c r="AU33" s="11"/>
      <c r="AV33" s="14"/>
    </row>
    <row r="34" spans="1:49" s="47" customFormat="1" ht="15" x14ac:dyDescent="0.25">
      <c r="A34" s="199">
        <v>46174</v>
      </c>
      <c r="B34" s="72"/>
      <c r="C34" s="42" t="s">
        <v>49</v>
      </c>
      <c r="D34" s="42" t="s">
        <v>299</v>
      </c>
      <c r="E34" s="14"/>
      <c r="F34" s="71">
        <v>3894894</v>
      </c>
      <c r="G34" s="42" t="s">
        <v>50</v>
      </c>
      <c r="H34" s="31">
        <v>20101973922</v>
      </c>
      <c r="I34" s="138" t="str">
        <f>IF(H34="","",VLOOKUP(H34,[1]ENTIDAD!$B$2:$C$605,2,0))</f>
        <v>ASOCIACION AUTOMOTRIZ DEL PERU</v>
      </c>
      <c r="J34" s="11"/>
      <c r="K34" s="11"/>
      <c r="L34" s="11"/>
      <c r="M34" s="11"/>
      <c r="N34" s="11">
        <v>0</v>
      </c>
      <c r="O34" s="11">
        <f t="shared" si="2"/>
        <v>0</v>
      </c>
      <c r="P34" s="11">
        <v>0</v>
      </c>
      <c r="Q34" s="11"/>
      <c r="R34" s="11">
        <v>66.8</v>
      </c>
      <c r="S34" s="11">
        <v>66.8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13">
        <v>46205</v>
      </c>
      <c r="AE34" s="34" t="s">
        <v>465</v>
      </c>
      <c r="AF34" s="37" t="s">
        <v>550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566</v>
      </c>
      <c r="AT34" s="14"/>
      <c r="AU34" s="11"/>
      <c r="AV34" s="14"/>
      <c r="AW34" s="45"/>
    </row>
    <row r="35" spans="1:49" s="45" customFormat="1" ht="15" x14ac:dyDescent="0.25">
      <c r="A35" s="200">
        <v>46174</v>
      </c>
      <c r="B35" s="72"/>
      <c r="C35" s="111" t="s">
        <v>49</v>
      </c>
      <c r="D35" s="42" t="s">
        <v>299</v>
      </c>
      <c r="E35" s="112"/>
      <c r="F35" s="71">
        <v>3894893</v>
      </c>
      <c r="G35" s="111" t="s">
        <v>50</v>
      </c>
      <c r="H35" s="31">
        <v>20101973922</v>
      </c>
      <c r="I35" s="139" t="str">
        <f>IF(H35="","",VLOOKUP(H35,[1]ENTIDAD!$B$2:$C$605,2,0))</f>
        <v>ASOCIACION AUTOMOTRIZ DEL PERU</v>
      </c>
      <c r="J35" s="116"/>
      <c r="K35" s="116"/>
      <c r="L35" s="116"/>
      <c r="M35" s="116"/>
      <c r="N35" s="11">
        <v>0</v>
      </c>
      <c r="O35" s="11">
        <f t="shared" si="2"/>
        <v>0</v>
      </c>
      <c r="P35" s="11">
        <v>0</v>
      </c>
      <c r="Q35" s="116"/>
      <c r="R35" s="116">
        <v>66.8</v>
      </c>
      <c r="S35" s="11">
        <v>66.8</v>
      </c>
      <c r="T35" s="112"/>
      <c r="U35" s="112"/>
      <c r="V35" s="109"/>
      <c r="W35" s="118"/>
      <c r="X35" s="109"/>
      <c r="Y35" s="112"/>
      <c r="Z35" s="112"/>
      <c r="AA35" s="112"/>
      <c r="AB35" s="42" t="s">
        <v>224</v>
      </c>
      <c r="AC35" s="11"/>
      <c r="AD35" s="13">
        <v>46205</v>
      </c>
      <c r="AE35" s="34" t="s">
        <v>465</v>
      </c>
      <c r="AF35" s="37" t="s">
        <v>550</v>
      </c>
      <c r="AG35" s="14" t="s">
        <v>513</v>
      </c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566</v>
      </c>
      <c r="AT35" s="112"/>
      <c r="AU35" s="116"/>
      <c r="AV35" s="112"/>
      <c r="AW35" s="121"/>
    </row>
    <row r="36" spans="1:49" s="45" customFormat="1" ht="15" x14ac:dyDescent="0.25">
      <c r="A36" s="200">
        <v>46174</v>
      </c>
      <c r="B36" s="72"/>
      <c r="C36" s="111" t="s">
        <v>49</v>
      </c>
      <c r="D36" s="42" t="s">
        <v>299</v>
      </c>
      <c r="E36" s="112"/>
      <c r="F36" s="71">
        <v>3894892</v>
      </c>
      <c r="G36" s="111" t="s">
        <v>50</v>
      </c>
      <c r="H36" s="31">
        <v>20101973922</v>
      </c>
      <c r="I36" s="139" t="str">
        <f>IF(H36="","",VLOOKUP(H36,[1]ENTIDAD!$B$2:$C$605,2,0))</f>
        <v>ASOCIACION AUTOMOTRIZ DEL PERU</v>
      </c>
      <c r="J36" s="116"/>
      <c r="K36" s="116"/>
      <c r="L36" s="116"/>
      <c r="M36" s="116"/>
      <c r="N36" s="11">
        <v>0</v>
      </c>
      <c r="O36" s="11">
        <f t="shared" si="2"/>
        <v>0</v>
      </c>
      <c r="P36" s="11">
        <v>0</v>
      </c>
      <c r="Q36" s="116"/>
      <c r="R36" s="116">
        <v>66.8</v>
      </c>
      <c r="S36" s="11">
        <v>66.8</v>
      </c>
      <c r="T36" s="112"/>
      <c r="U36" s="112"/>
      <c r="V36" s="109"/>
      <c r="W36" s="118"/>
      <c r="X36" s="109"/>
      <c r="Y36" s="112"/>
      <c r="Z36" s="112"/>
      <c r="AA36" s="112"/>
      <c r="AB36" s="42" t="s">
        <v>224</v>
      </c>
      <c r="AC36" s="11"/>
      <c r="AD36" s="13">
        <v>46205</v>
      </c>
      <c r="AE36" s="34" t="s">
        <v>465</v>
      </c>
      <c r="AF36" s="37" t="s">
        <v>550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12"/>
      <c r="AU36" s="116"/>
      <c r="AV36" s="112"/>
      <c r="AW36" s="121"/>
    </row>
    <row r="37" spans="1:49" s="121" customFormat="1" ht="15" x14ac:dyDescent="0.25">
      <c r="A37" s="200">
        <v>46174</v>
      </c>
      <c r="B37" s="72"/>
      <c r="C37" s="111" t="s">
        <v>49</v>
      </c>
      <c r="D37" s="42" t="s">
        <v>299</v>
      </c>
      <c r="E37" s="112"/>
      <c r="F37" s="71">
        <v>3894891</v>
      </c>
      <c r="G37" s="111" t="s">
        <v>50</v>
      </c>
      <c r="H37" s="31">
        <v>20101973922</v>
      </c>
      <c r="I37" s="139" t="str">
        <f>IF(H37="","",VLOOKUP(H37,[1]ENTIDAD!$B$2:$C$605,2,0))</f>
        <v>ASOCIACION AUTOMOTRIZ DEL PERU</v>
      </c>
      <c r="J37" s="116"/>
      <c r="K37" s="116"/>
      <c r="L37" s="116"/>
      <c r="M37" s="116"/>
      <c r="N37" s="11">
        <v>0</v>
      </c>
      <c r="O37" s="11">
        <f t="shared" si="2"/>
        <v>0</v>
      </c>
      <c r="P37" s="11">
        <v>0</v>
      </c>
      <c r="Q37" s="116"/>
      <c r="R37" s="116">
        <v>66.8</v>
      </c>
      <c r="S37" s="11">
        <v>66.8</v>
      </c>
      <c r="T37" s="112"/>
      <c r="U37" s="112"/>
      <c r="V37" s="109"/>
      <c r="W37" s="118"/>
      <c r="X37" s="109"/>
      <c r="Y37" s="112"/>
      <c r="Z37" s="112"/>
      <c r="AA37" s="112"/>
      <c r="AB37" s="42" t="s">
        <v>224</v>
      </c>
      <c r="AC37" s="11"/>
      <c r="AD37" s="13">
        <v>46205</v>
      </c>
      <c r="AE37" s="34" t="s">
        <v>465</v>
      </c>
      <c r="AF37" s="37" t="s">
        <v>550</v>
      </c>
      <c r="AG37" s="14" t="s">
        <v>513</v>
      </c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566</v>
      </c>
      <c r="AT37" s="112"/>
      <c r="AU37" s="116"/>
      <c r="AV37" s="112"/>
    </row>
    <row r="38" spans="1:49" s="121" customFormat="1" ht="15" x14ac:dyDescent="0.25">
      <c r="A38" s="200">
        <v>46174</v>
      </c>
      <c r="B38" s="72"/>
      <c r="C38" s="111" t="s">
        <v>49</v>
      </c>
      <c r="D38" s="42" t="s">
        <v>299</v>
      </c>
      <c r="E38" s="112"/>
      <c r="F38" s="71">
        <v>3894890</v>
      </c>
      <c r="G38" s="111" t="s">
        <v>50</v>
      </c>
      <c r="H38" s="31">
        <v>20101973922</v>
      </c>
      <c r="I38" s="139" t="str">
        <f>IF(H38="","",VLOOKUP(H38,[1]ENTIDAD!$B$2:$C$605,2,0))</f>
        <v>ASOCIACION AUTOMOTRIZ DEL PERU</v>
      </c>
      <c r="J38" s="116"/>
      <c r="K38" s="116"/>
      <c r="L38" s="116"/>
      <c r="M38" s="116"/>
      <c r="N38" s="11">
        <v>0</v>
      </c>
      <c r="O38" s="11">
        <f t="shared" si="2"/>
        <v>0</v>
      </c>
      <c r="P38" s="11">
        <v>0</v>
      </c>
      <c r="Q38" s="116"/>
      <c r="R38" s="116">
        <v>66.8</v>
      </c>
      <c r="S38" s="11">
        <v>66.8</v>
      </c>
      <c r="T38" s="112"/>
      <c r="U38" s="112"/>
      <c r="V38" s="109"/>
      <c r="W38" s="118"/>
      <c r="X38" s="109"/>
      <c r="Y38" s="112"/>
      <c r="Z38" s="112"/>
      <c r="AA38" s="112"/>
      <c r="AB38" s="42" t="s">
        <v>224</v>
      </c>
      <c r="AC38" s="11"/>
      <c r="AD38" s="13">
        <v>46205</v>
      </c>
      <c r="AE38" s="34" t="s">
        <v>465</v>
      </c>
      <c r="AF38" s="37" t="s">
        <v>550</v>
      </c>
      <c r="AG38" s="14" t="s">
        <v>513</v>
      </c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566</v>
      </c>
      <c r="AT38" s="112"/>
      <c r="AU38" s="116"/>
      <c r="AV38" s="112"/>
    </row>
    <row r="39" spans="1:49" s="121" customFormat="1" ht="15" x14ac:dyDescent="0.25">
      <c r="A39" s="200">
        <v>46174</v>
      </c>
      <c r="B39" s="72"/>
      <c r="C39" s="111" t="s">
        <v>49</v>
      </c>
      <c r="D39" s="42" t="s">
        <v>299</v>
      </c>
      <c r="E39" s="112"/>
      <c r="F39" s="71">
        <v>3894889</v>
      </c>
      <c r="G39" s="111" t="s">
        <v>50</v>
      </c>
      <c r="H39" s="31">
        <v>20101973922</v>
      </c>
      <c r="I39" s="139" t="str">
        <f>IF(H39="","",VLOOKUP(H39,[1]ENTIDAD!$B$2:$C$605,2,0))</f>
        <v>ASOCIACION AUTOMOTRIZ DEL PERU</v>
      </c>
      <c r="J39" s="116"/>
      <c r="K39" s="116"/>
      <c r="L39" s="116"/>
      <c r="M39" s="116"/>
      <c r="N39" s="11">
        <v>0</v>
      </c>
      <c r="O39" s="11">
        <f t="shared" si="2"/>
        <v>0</v>
      </c>
      <c r="P39" s="11">
        <v>0</v>
      </c>
      <c r="Q39" s="116"/>
      <c r="R39" s="116">
        <v>66.8</v>
      </c>
      <c r="S39" s="11">
        <v>66.8</v>
      </c>
      <c r="T39" s="112"/>
      <c r="U39" s="112"/>
      <c r="V39" s="109"/>
      <c r="W39" s="118"/>
      <c r="X39" s="109"/>
      <c r="Y39" s="112"/>
      <c r="Z39" s="112"/>
      <c r="AA39" s="112"/>
      <c r="AB39" s="42" t="s">
        <v>224</v>
      </c>
      <c r="AC39" s="11"/>
      <c r="AD39" s="13">
        <v>46205</v>
      </c>
      <c r="AE39" s="34" t="s">
        <v>465</v>
      </c>
      <c r="AF39" s="37" t="s">
        <v>550</v>
      </c>
      <c r="AG39" s="14" t="s">
        <v>513</v>
      </c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566</v>
      </c>
      <c r="AT39" s="112"/>
      <c r="AU39" s="116"/>
      <c r="AV39" s="112"/>
    </row>
    <row r="40" spans="1:49" s="45" customFormat="1" ht="15" x14ac:dyDescent="0.25">
      <c r="A40" s="199">
        <v>46174</v>
      </c>
      <c r="B40" s="72"/>
      <c r="C40" s="42" t="s">
        <v>49</v>
      </c>
      <c r="D40" s="42" t="s">
        <v>299</v>
      </c>
      <c r="E40" s="14"/>
      <c r="F40" s="71">
        <v>3894888</v>
      </c>
      <c r="G40" s="42" t="s">
        <v>50</v>
      </c>
      <c r="H40" s="31">
        <v>20101973922</v>
      </c>
      <c r="I40" s="138" t="str">
        <f>IF(H40="","",VLOOKUP(H40,[1]ENTIDAD!$B$2:$C$605,2,0))</f>
        <v>ASOCIACION AUTOMOTRIZ DEL PERU</v>
      </c>
      <c r="J40" s="11"/>
      <c r="K40" s="11"/>
      <c r="L40" s="11"/>
      <c r="M40" s="11"/>
      <c r="N40" s="11">
        <v>0</v>
      </c>
      <c r="O40" s="11">
        <f t="shared" si="2"/>
        <v>0</v>
      </c>
      <c r="P40" s="11">
        <v>0</v>
      </c>
      <c r="Q40" s="11"/>
      <c r="R40" s="11">
        <v>66.8</v>
      </c>
      <c r="S40" s="11">
        <v>66.8</v>
      </c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13">
        <v>46205</v>
      </c>
      <c r="AE40" s="34" t="s">
        <v>465</v>
      </c>
      <c r="AF40" s="37" t="s">
        <v>550</v>
      </c>
      <c r="AG40" s="14" t="s">
        <v>513</v>
      </c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566</v>
      </c>
      <c r="AT40" s="14"/>
      <c r="AU40" s="11"/>
      <c r="AV40" s="14"/>
    </row>
    <row r="41" spans="1:49" s="45" customFormat="1" ht="15" x14ac:dyDescent="0.25">
      <c r="A41" s="199">
        <v>46174</v>
      </c>
      <c r="B41" s="72"/>
      <c r="C41" s="42" t="s">
        <v>49</v>
      </c>
      <c r="D41" s="42" t="s">
        <v>299</v>
      </c>
      <c r="E41" s="14"/>
      <c r="F41" s="71">
        <v>3894887</v>
      </c>
      <c r="G41" s="42" t="s">
        <v>50</v>
      </c>
      <c r="H41" s="31">
        <v>20101973922</v>
      </c>
      <c r="I41" s="138" t="str">
        <f>IF(H41="","",VLOOKUP(H41,[1]ENTIDAD!$B$2:$C$605,2,0))</f>
        <v>ASOCIACION AUTOMOTRIZ DEL PERU</v>
      </c>
      <c r="J41" s="11"/>
      <c r="K41" s="11"/>
      <c r="L41" s="11"/>
      <c r="M41" s="11"/>
      <c r="N41" s="11">
        <v>0</v>
      </c>
      <c r="O41" s="11">
        <f t="shared" si="2"/>
        <v>0</v>
      </c>
      <c r="P41" s="11">
        <v>0</v>
      </c>
      <c r="Q41" s="11"/>
      <c r="R41" s="11">
        <v>66.8</v>
      </c>
      <c r="S41" s="11">
        <v>66.8</v>
      </c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13">
        <v>46205</v>
      </c>
      <c r="AE41" s="34" t="s">
        <v>465</v>
      </c>
      <c r="AF41" s="37" t="s">
        <v>550</v>
      </c>
      <c r="AG41" s="14" t="s">
        <v>513</v>
      </c>
      <c r="AH41" s="14" t="s">
        <v>225</v>
      </c>
      <c r="AI41" s="14"/>
      <c r="AJ41" s="14"/>
      <c r="AK41" s="16"/>
      <c r="AL41" s="11"/>
      <c r="AM41" s="11"/>
      <c r="AN41" s="14"/>
      <c r="AO41" s="14"/>
      <c r="AP41" s="13"/>
      <c r="AQ41" s="14"/>
      <c r="AR41" s="11">
        <v>18</v>
      </c>
      <c r="AS41" s="14" t="s">
        <v>566</v>
      </c>
      <c r="AT41" s="14"/>
      <c r="AU41" s="11"/>
      <c r="AV41" s="14"/>
    </row>
    <row r="42" spans="1:49" s="45" customFormat="1" ht="15" x14ac:dyDescent="0.25">
      <c r="A42" s="199">
        <v>46174</v>
      </c>
      <c r="B42" s="72"/>
      <c r="C42" s="42" t="s">
        <v>49</v>
      </c>
      <c r="D42" s="42" t="s">
        <v>299</v>
      </c>
      <c r="E42" s="14"/>
      <c r="F42" s="71">
        <v>3894886</v>
      </c>
      <c r="G42" s="42" t="s">
        <v>50</v>
      </c>
      <c r="H42" s="31">
        <v>20101973922</v>
      </c>
      <c r="I42" s="138" t="str">
        <f>IF(H42="","",VLOOKUP(H42,[1]ENTIDAD!$B$2:$C$605,2,0))</f>
        <v>ASOCIACION AUTOMOTRIZ DEL PERU</v>
      </c>
      <c r="J42" s="11"/>
      <c r="K42" s="11"/>
      <c r="L42" s="11"/>
      <c r="M42" s="11"/>
      <c r="N42" s="11">
        <v>0</v>
      </c>
      <c r="O42" s="11">
        <f t="shared" si="2"/>
        <v>0</v>
      </c>
      <c r="P42" s="11">
        <v>0</v>
      </c>
      <c r="Q42" s="11"/>
      <c r="R42" s="11">
        <v>66.8</v>
      </c>
      <c r="S42" s="11">
        <v>66.8</v>
      </c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13">
        <v>46205</v>
      </c>
      <c r="AE42" s="34" t="s">
        <v>465</v>
      </c>
      <c r="AF42" s="37" t="s">
        <v>550</v>
      </c>
      <c r="AG42" s="14" t="s">
        <v>513</v>
      </c>
      <c r="AH42" s="14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 t="s">
        <v>566</v>
      </c>
      <c r="AT42" s="14"/>
      <c r="AU42" s="11"/>
      <c r="AV42" s="14"/>
    </row>
    <row r="43" spans="1:49" s="45" customFormat="1" ht="15" x14ac:dyDescent="0.25">
      <c r="A43" s="199">
        <v>46174</v>
      </c>
      <c r="B43" s="72"/>
      <c r="C43" s="42" t="s">
        <v>49</v>
      </c>
      <c r="D43" s="42" t="s">
        <v>299</v>
      </c>
      <c r="E43" s="14"/>
      <c r="F43" s="71">
        <v>3894885</v>
      </c>
      <c r="G43" s="42" t="s">
        <v>50</v>
      </c>
      <c r="H43" s="31">
        <v>20101973922</v>
      </c>
      <c r="I43" s="138" t="str">
        <f>IF(H43="","",VLOOKUP(H43,[1]ENTIDAD!$B$2:$C$605,2,0))</f>
        <v>ASOCIACION AUTOMOTRIZ DEL PERU</v>
      </c>
      <c r="J43" s="11"/>
      <c r="K43" s="11"/>
      <c r="L43" s="11"/>
      <c r="M43" s="11"/>
      <c r="N43" s="11">
        <v>0</v>
      </c>
      <c r="O43" s="11">
        <f t="shared" si="2"/>
        <v>0</v>
      </c>
      <c r="P43" s="11">
        <v>0</v>
      </c>
      <c r="Q43" s="11"/>
      <c r="R43" s="11">
        <v>66.8</v>
      </c>
      <c r="S43" s="11">
        <v>66.8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13">
        <v>46205</v>
      </c>
      <c r="AE43" s="34" t="s">
        <v>465</v>
      </c>
      <c r="AF43" s="37" t="s">
        <v>550</v>
      </c>
      <c r="AG43" s="14" t="s">
        <v>513</v>
      </c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566</v>
      </c>
      <c r="AT43" s="14"/>
      <c r="AU43" s="11"/>
      <c r="AV43" s="14"/>
    </row>
    <row r="44" spans="1:49" s="45" customFormat="1" ht="15" x14ac:dyDescent="0.25">
      <c r="A44" s="199">
        <v>46174</v>
      </c>
      <c r="B44" s="72"/>
      <c r="C44" s="42" t="s">
        <v>49</v>
      </c>
      <c r="D44" s="42" t="s">
        <v>299</v>
      </c>
      <c r="E44" s="14"/>
      <c r="F44" s="71">
        <v>3894884</v>
      </c>
      <c r="G44" s="42" t="s">
        <v>50</v>
      </c>
      <c r="H44" s="31">
        <v>20101973922</v>
      </c>
      <c r="I44" s="138" t="str">
        <f>IF(H44="","",VLOOKUP(H44,[1]ENTIDAD!$B$2:$C$605,2,0))</f>
        <v>ASOCIACION AUTOMOTRIZ DEL PERU</v>
      </c>
      <c r="J44" s="11"/>
      <c r="K44" s="11"/>
      <c r="L44" s="11"/>
      <c r="M44" s="11"/>
      <c r="N44" s="11">
        <v>0</v>
      </c>
      <c r="O44" s="11">
        <f t="shared" si="2"/>
        <v>0</v>
      </c>
      <c r="P44" s="11">
        <v>0</v>
      </c>
      <c r="Q44" s="11"/>
      <c r="R44" s="11">
        <v>66.8</v>
      </c>
      <c r="S44" s="11">
        <v>66.8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13">
        <v>46205</v>
      </c>
      <c r="AE44" s="34" t="s">
        <v>465</v>
      </c>
      <c r="AF44" s="37" t="s">
        <v>550</v>
      </c>
      <c r="AG44" s="14" t="s">
        <v>513</v>
      </c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566</v>
      </c>
      <c r="AT44" s="14"/>
      <c r="AU44" s="11"/>
      <c r="AV44" s="14"/>
    </row>
    <row r="45" spans="1:49" s="45" customFormat="1" ht="15" x14ac:dyDescent="0.25">
      <c r="A45" s="199">
        <v>46174</v>
      </c>
      <c r="B45" s="72"/>
      <c r="C45" s="42" t="s">
        <v>49</v>
      </c>
      <c r="D45" s="42" t="s">
        <v>292</v>
      </c>
      <c r="E45" s="14"/>
      <c r="F45" s="71">
        <v>1903</v>
      </c>
      <c r="G45" s="42" t="s">
        <v>50</v>
      </c>
      <c r="H45" s="31">
        <v>20486339510</v>
      </c>
      <c r="I45" s="138" t="str">
        <f>IF(H45="","",VLOOKUP(H45,[1]ENTIDAD!$B$2:$C$605,2,0))</f>
        <v>SERVICIOS CONTABLES Y AUDITORIA INTERNA S.A.</v>
      </c>
      <c r="J45" s="11"/>
      <c r="K45" s="11"/>
      <c r="L45" s="11"/>
      <c r="M45" s="11"/>
      <c r="N45" s="11">
        <f>(S45-P45)/1.18</f>
        <v>1694.9152542372883</v>
      </c>
      <c r="O45" s="11">
        <f>N45*0.18</f>
        <v>305.08474576271186</v>
      </c>
      <c r="P45" s="11">
        <v>0</v>
      </c>
      <c r="Q45" s="11"/>
      <c r="R45" s="11"/>
      <c r="S45" s="11">
        <v>2000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33">
        <v>46204</v>
      </c>
      <c r="AE45" s="14" t="s">
        <v>465</v>
      </c>
      <c r="AF45" s="19" t="s">
        <v>576</v>
      </c>
      <c r="AG45" s="14"/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765</v>
      </c>
      <c r="AT45" s="14"/>
      <c r="AU45" s="11"/>
      <c r="AV45" s="14"/>
    </row>
    <row r="46" spans="1:49" s="45" customFormat="1" ht="15" x14ac:dyDescent="0.25">
      <c r="A46" s="199">
        <v>46174</v>
      </c>
      <c r="B46" s="72"/>
      <c r="C46" s="42" t="s">
        <v>49</v>
      </c>
      <c r="D46" s="42" t="s">
        <v>292</v>
      </c>
      <c r="E46" s="14"/>
      <c r="F46" s="71">
        <v>210</v>
      </c>
      <c r="G46" s="42" t="s">
        <v>50</v>
      </c>
      <c r="H46" s="31">
        <v>20444327066</v>
      </c>
      <c r="I46" s="138" t="str">
        <f>IF(H46="","",VLOOKUP(H46,[1]ENTIDAD!$B$2:$C$605,2,0))</f>
        <v>CAMARA DE COMERCIO E INDUSTRIAS SATIPO</v>
      </c>
      <c r="J46" s="11"/>
      <c r="K46" s="11"/>
      <c r="L46" s="11"/>
      <c r="M46" s="11"/>
      <c r="N46" s="11">
        <f>(S46-P46)/1.18</f>
        <v>0</v>
      </c>
      <c r="O46" s="11">
        <f>N46*0.18</f>
        <v>0</v>
      </c>
      <c r="P46" s="11">
        <v>73</v>
      </c>
      <c r="Q46" s="11"/>
      <c r="R46" s="11"/>
      <c r="S46" s="11">
        <v>73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33">
        <v>46204</v>
      </c>
      <c r="AE46" s="14" t="s">
        <v>465</v>
      </c>
      <c r="AF46" s="19" t="s">
        <v>565</v>
      </c>
      <c r="AG46" s="14"/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774</v>
      </c>
      <c r="AT46" s="14"/>
      <c r="AU46" s="11"/>
      <c r="AV46" s="14"/>
    </row>
    <row r="47" spans="1:49" s="45" customFormat="1" ht="15" x14ac:dyDescent="0.25">
      <c r="A47" s="199">
        <v>46174</v>
      </c>
      <c r="B47" s="72"/>
      <c r="C47" s="42" t="s">
        <v>388</v>
      </c>
      <c r="D47" s="42" t="s">
        <v>595</v>
      </c>
      <c r="E47" s="14"/>
      <c r="F47" s="71">
        <v>630547811</v>
      </c>
      <c r="G47" s="42" t="s">
        <v>50</v>
      </c>
      <c r="H47" s="31">
        <v>20467534026</v>
      </c>
      <c r="I47" s="138" t="str">
        <f>IF(H47="","",VLOOKUP(H47,[1]ENTIDAD!$B$2:$C$605,2,0))</f>
        <v>AMERICA MOVIL PERU S.A.C.</v>
      </c>
      <c r="J47" s="11"/>
      <c r="K47" s="11"/>
      <c r="L47" s="11"/>
      <c r="M47" s="11"/>
      <c r="N47" s="11">
        <f>(S47-P47)/1.18</f>
        <v>75.423728813559322</v>
      </c>
      <c r="O47" s="11">
        <f>N47*0.18</f>
        <v>13.576271186440678</v>
      </c>
      <c r="P47" s="11">
        <v>0</v>
      </c>
      <c r="Q47" s="11"/>
      <c r="R47" s="11"/>
      <c r="S47" s="11">
        <v>89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72">
        <v>46192</v>
      </c>
      <c r="AE47" s="34" t="s">
        <v>465</v>
      </c>
      <c r="AF47" s="19">
        <v>6365095</v>
      </c>
      <c r="AG47" s="14"/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6446</v>
      </c>
      <c r="AT47" s="14"/>
      <c r="AU47" s="11"/>
      <c r="AV47" s="14"/>
    </row>
    <row r="48" spans="1:49" s="45" customFormat="1" ht="15" x14ac:dyDescent="0.25">
      <c r="A48" s="200">
        <v>46175</v>
      </c>
      <c r="B48" s="72"/>
      <c r="C48" s="111" t="s">
        <v>49</v>
      </c>
      <c r="D48" s="42" t="s">
        <v>299</v>
      </c>
      <c r="E48" s="112"/>
      <c r="F48" s="71">
        <v>3896601</v>
      </c>
      <c r="G48" s="111" t="s">
        <v>50</v>
      </c>
      <c r="H48" s="31">
        <v>20101973922</v>
      </c>
      <c r="I48" s="139" t="str">
        <f>IF(H48="","",VLOOKUP(H48,[1]ENTIDAD!$B$2:$C$605,2,0))</f>
        <v>ASOCIACION AUTOMOTRIZ DEL PERU</v>
      </c>
      <c r="J48" s="116"/>
      <c r="K48" s="116"/>
      <c r="L48" s="116"/>
      <c r="M48" s="116"/>
      <c r="N48" s="116">
        <v>0</v>
      </c>
      <c r="O48" s="116">
        <f>N48*0.18</f>
        <v>0</v>
      </c>
      <c r="P48" s="11">
        <v>0</v>
      </c>
      <c r="Q48" s="116"/>
      <c r="R48" s="116">
        <v>66.8</v>
      </c>
      <c r="S48" s="11">
        <v>66.8</v>
      </c>
      <c r="T48" s="112"/>
      <c r="U48" s="112"/>
      <c r="V48" s="109"/>
      <c r="W48" s="118"/>
      <c r="X48" s="109"/>
      <c r="Y48" s="112"/>
      <c r="Z48" s="112"/>
      <c r="AA48" s="112"/>
      <c r="AB48" s="42" t="s">
        <v>224</v>
      </c>
      <c r="AC48" s="11"/>
      <c r="AD48" s="13">
        <v>46205</v>
      </c>
      <c r="AE48" s="34" t="s">
        <v>465</v>
      </c>
      <c r="AF48" s="37" t="s">
        <v>550</v>
      </c>
      <c r="AG48" s="14" t="s">
        <v>513</v>
      </c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566</v>
      </c>
      <c r="AT48" s="112"/>
      <c r="AU48" s="116"/>
      <c r="AV48" s="112"/>
      <c r="AW48" s="121"/>
    </row>
    <row r="49" spans="1:49" s="45" customFormat="1" ht="15" x14ac:dyDescent="0.25">
      <c r="A49" s="200">
        <v>46175</v>
      </c>
      <c r="B49" s="72"/>
      <c r="C49" s="111" t="s">
        <v>49</v>
      </c>
      <c r="D49" s="42" t="s">
        <v>299</v>
      </c>
      <c r="E49" s="112"/>
      <c r="F49" s="71">
        <v>3896600</v>
      </c>
      <c r="G49" s="111" t="s">
        <v>50</v>
      </c>
      <c r="H49" s="31">
        <v>20101973922</v>
      </c>
      <c r="I49" s="139" t="str">
        <f>IF(H49="","",VLOOKUP(H49,[1]ENTIDAD!$B$2:$C$605,2,0))</f>
        <v>ASOCIACION AUTOMOTRIZ DEL PERU</v>
      </c>
      <c r="J49" s="116"/>
      <c r="K49" s="116"/>
      <c r="L49" s="116"/>
      <c r="M49" s="116"/>
      <c r="N49" s="116">
        <v>0</v>
      </c>
      <c r="O49" s="116">
        <f t="shared" ref="O49:O51" si="3">N49*0.18</f>
        <v>0</v>
      </c>
      <c r="P49" s="11">
        <v>0</v>
      </c>
      <c r="Q49" s="116"/>
      <c r="R49" s="116">
        <v>66.8</v>
      </c>
      <c r="S49" s="11">
        <v>66.8</v>
      </c>
      <c r="T49" s="112"/>
      <c r="U49" s="112"/>
      <c r="V49" s="109"/>
      <c r="W49" s="118"/>
      <c r="X49" s="109"/>
      <c r="Y49" s="112"/>
      <c r="Z49" s="112"/>
      <c r="AA49" s="112"/>
      <c r="AB49" s="42" t="s">
        <v>224</v>
      </c>
      <c r="AC49" s="11"/>
      <c r="AD49" s="13">
        <v>46205</v>
      </c>
      <c r="AE49" s="34" t="s">
        <v>465</v>
      </c>
      <c r="AF49" s="37" t="s">
        <v>550</v>
      </c>
      <c r="AG49" s="14" t="s">
        <v>513</v>
      </c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566</v>
      </c>
      <c r="AT49" s="112"/>
      <c r="AU49" s="116"/>
      <c r="AV49" s="112"/>
      <c r="AW49" s="121"/>
    </row>
    <row r="50" spans="1:49" s="47" customFormat="1" ht="15" x14ac:dyDescent="0.25">
      <c r="A50" s="200">
        <v>46175</v>
      </c>
      <c r="B50" s="72"/>
      <c r="C50" s="111" t="s">
        <v>49</v>
      </c>
      <c r="D50" s="42" t="s">
        <v>299</v>
      </c>
      <c r="E50" s="112"/>
      <c r="F50" s="71">
        <v>3896599</v>
      </c>
      <c r="G50" s="111" t="s">
        <v>50</v>
      </c>
      <c r="H50" s="31">
        <v>20101973922</v>
      </c>
      <c r="I50" s="139" t="str">
        <f>IF(H50="","",VLOOKUP(H50,[1]ENTIDAD!$B$2:$C$605,2,0))</f>
        <v>ASOCIACION AUTOMOTRIZ DEL PERU</v>
      </c>
      <c r="J50" s="116"/>
      <c r="K50" s="116"/>
      <c r="L50" s="116"/>
      <c r="M50" s="116"/>
      <c r="N50" s="116">
        <v>0</v>
      </c>
      <c r="O50" s="116">
        <f t="shared" si="3"/>
        <v>0</v>
      </c>
      <c r="P50" s="11">
        <v>0</v>
      </c>
      <c r="Q50" s="116"/>
      <c r="R50" s="116">
        <v>66.8</v>
      </c>
      <c r="S50" s="11">
        <v>66.8</v>
      </c>
      <c r="T50" s="112"/>
      <c r="U50" s="112"/>
      <c r="V50" s="109"/>
      <c r="W50" s="118"/>
      <c r="X50" s="109"/>
      <c r="Y50" s="112"/>
      <c r="Z50" s="112"/>
      <c r="AA50" s="112"/>
      <c r="AB50" s="42" t="s">
        <v>224</v>
      </c>
      <c r="AC50" s="11"/>
      <c r="AD50" s="13">
        <v>46205</v>
      </c>
      <c r="AE50" s="34" t="s">
        <v>465</v>
      </c>
      <c r="AF50" s="37" t="s">
        <v>550</v>
      </c>
      <c r="AG50" s="14" t="s">
        <v>513</v>
      </c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566</v>
      </c>
      <c r="AT50" s="112"/>
      <c r="AU50" s="116"/>
      <c r="AV50" s="112"/>
      <c r="AW50" s="121"/>
    </row>
    <row r="51" spans="1:49" s="47" customFormat="1" ht="15" x14ac:dyDescent="0.25">
      <c r="A51" s="199">
        <v>46175</v>
      </c>
      <c r="B51" s="72"/>
      <c r="C51" s="42" t="s">
        <v>49</v>
      </c>
      <c r="D51" s="42" t="s">
        <v>299</v>
      </c>
      <c r="E51" s="14"/>
      <c r="F51" s="71">
        <v>3896598</v>
      </c>
      <c r="G51" s="42" t="s">
        <v>50</v>
      </c>
      <c r="H51" s="31">
        <v>20101973922</v>
      </c>
      <c r="I51" s="138" t="str">
        <f>IF(H51="","",VLOOKUP(H51,[1]ENTIDAD!$B$2:$C$605,2,0))</f>
        <v>ASOCIACION AUTOMOTRIZ DEL PERU</v>
      </c>
      <c r="J51" s="11"/>
      <c r="K51" s="11"/>
      <c r="L51" s="11"/>
      <c r="M51" s="11"/>
      <c r="N51" s="116">
        <v>0</v>
      </c>
      <c r="O51" s="116">
        <f t="shared" si="3"/>
        <v>0</v>
      </c>
      <c r="P51" s="11">
        <v>0</v>
      </c>
      <c r="Q51" s="11"/>
      <c r="R51" s="11">
        <v>66.8</v>
      </c>
      <c r="S51" s="11">
        <v>66.8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13">
        <v>46205</v>
      </c>
      <c r="AE51" s="34" t="s">
        <v>465</v>
      </c>
      <c r="AF51" s="37" t="s">
        <v>550</v>
      </c>
      <c r="AG51" s="14" t="s">
        <v>513</v>
      </c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566</v>
      </c>
      <c r="AT51" s="14"/>
      <c r="AU51" s="11"/>
      <c r="AV51" s="14"/>
      <c r="AW51" s="45"/>
    </row>
    <row r="52" spans="1:49" s="45" customFormat="1" ht="15" x14ac:dyDescent="0.25">
      <c r="A52" s="199">
        <v>46175</v>
      </c>
      <c r="B52" s="72"/>
      <c r="C52" s="42" t="s">
        <v>49</v>
      </c>
      <c r="D52" s="42" t="s">
        <v>292</v>
      </c>
      <c r="E52" s="14"/>
      <c r="F52" s="71">
        <v>1392</v>
      </c>
      <c r="G52" s="42" t="s">
        <v>50</v>
      </c>
      <c r="H52" s="31">
        <v>20573301715</v>
      </c>
      <c r="I52" s="138" t="str">
        <f>IF(H52="","",VLOOKUP(H52,[1]ENTIDAD!$B$2:$C$605,2,0))</f>
        <v>CASCOS FORRADOS PERICO S.A.C</v>
      </c>
      <c r="J52" s="11"/>
      <c r="K52" s="11"/>
      <c r="L52" s="11"/>
      <c r="M52" s="11"/>
      <c r="N52" s="11">
        <f t="shared" ref="N52:N70" si="4">(S52-P52)/1.18</f>
        <v>0</v>
      </c>
      <c r="O52" s="11">
        <f t="shared" ref="O52:O86" si="5">N52*0.18</f>
        <v>0</v>
      </c>
      <c r="P52" s="11">
        <v>3600</v>
      </c>
      <c r="Q52" s="11"/>
      <c r="R52" s="11"/>
      <c r="S52" s="11">
        <v>3600</v>
      </c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33">
        <v>46205</v>
      </c>
      <c r="AE52" s="14" t="s">
        <v>465</v>
      </c>
      <c r="AF52" s="29" t="s">
        <v>501</v>
      </c>
      <c r="AG52" s="14"/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772</v>
      </c>
      <c r="AT52" s="14"/>
      <c r="AU52" s="11"/>
      <c r="AV52" s="14"/>
    </row>
    <row r="53" spans="1:49" s="47" customFormat="1" ht="15" x14ac:dyDescent="0.25">
      <c r="A53" s="199">
        <v>46175</v>
      </c>
      <c r="B53" s="72"/>
      <c r="C53" s="42" t="s">
        <v>49</v>
      </c>
      <c r="D53" s="42" t="s">
        <v>292</v>
      </c>
      <c r="E53" s="14"/>
      <c r="F53" s="71">
        <v>241</v>
      </c>
      <c r="G53" s="42" t="s">
        <v>50</v>
      </c>
      <c r="H53" s="31">
        <v>10447422951</v>
      </c>
      <c r="I53" s="138" t="str">
        <f>IF(H53="","",VLOOKUP(H53,[1]ENTIDAD!$B$2:$C$605,2,0))</f>
        <v>ZEGARRA AZAÑERO JORGE KEY</v>
      </c>
      <c r="J53" s="11"/>
      <c r="K53" s="11"/>
      <c r="L53" s="11"/>
      <c r="M53" s="11"/>
      <c r="N53" s="11">
        <f t="shared" si="4"/>
        <v>0</v>
      </c>
      <c r="O53" s="11">
        <f t="shared" si="5"/>
        <v>0</v>
      </c>
      <c r="P53" s="11">
        <v>450</v>
      </c>
      <c r="Q53" s="11"/>
      <c r="R53" s="11"/>
      <c r="S53" s="11">
        <v>450</v>
      </c>
      <c r="T53" s="14"/>
      <c r="U53" s="14"/>
      <c r="V53" s="13"/>
      <c r="W53" s="15"/>
      <c r="X53" s="13"/>
      <c r="Y53" s="14"/>
      <c r="Z53" s="14"/>
      <c r="AA53" s="14"/>
      <c r="AB53" s="42" t="s">
        <v>224</v>
      </c>
      <c r="AC53" s="11"/>
      <c r="AD53" s="33">
        <v>46175</v>
      </c>
      <c r="AE53" s="127" t="s">
        <v>465</v>
      </c>
      <c r="AF53" s="119" t="s">
        <v>606</v>
      </c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778</v>
      </c>
      <c r="AT53" s="14"/>
      <c r="AU53" s="11"/>
      <c r="AV53" s="14"/>
      <c r="AW53" s="45"/>
    </row>
    <row r="54" spans="1:49" s="121" customFormat="1" ht="15" x14ac:dyDescent="0.25">
      <c r="A54" s="199">
        <v>46175</v>
      </c>
      <c r="B54" s="13"/>
      <c r="C54" s="42" t="s">
        <v>49</v>
      </c>
      <c r="D54" s="42" t="s">
        <v>732</v>
      </c>
      <c r="E54" s="14"/>
      <c r="F54" s="71">
        <v>5151278</v>
      </c>
      <c r="G54" s="42" t="s">
        <v>50</v>
      </c>
      <c r="H54" s="31">
        <v>20100130204</v>
      </c>
      <c r="I54" s="138" t="str">
        <f>IF(H54="","",VLOOKUP(H54,[1]ENTIDAD!$B$2:$C$605,2,0))</f>
        <v>BANCO BBVA PERU</v>
      </c>
      <c r="J54" s="11"/>
      <c r="K54" s="11"/>
      <c r="L54" s="11"/>
      <c r="M54" s="11"/>
      <c r="N54" s="11">
        <f t="shared" si="4"/>
        <v>0</v>
      </c>
      <c r="O54" s="11">
        <f t="shared" si="5"/>
        <v>0</v>
      </c>
      <c r="P54" s="11">
        <v>40</v>
      </c>
      <c r="Q54" s="11"/>
      <c r="R54" s="11"/>
      <c r="S54" s="11">
        <v>40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33">
        <v>46205</v>
      </c>
      <c r="AE54" s="14" t="s">
        <v>465</v>
      </c>
      <c r="AF54" s="19" t="s">
        <v>494</v>
      </c>
      <c r="AG54" s="14"/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495</v>
      </c>
      <c r="AT54" s="14"/>
      <c r="AU54" s="11"/>
      <c r="AV54" s="14"/>
      <c r="AW54" s="45"/>
    </row>
    <row r="55" spans="1:49" s="45" customFormat="1" ht="15" x14ac:dyDescent="0.25">
      <c r="A55" s="200">
        <v>46176</v>
      </c>
      <c r="B55" s="136"/>
      <c r="C55" s="111" t="s">
        <v>49</v>
      </c>
      <c r="D55" s="111" t="s">
        <v>294</v>
      </c>
      <c r="E55" s="112"/>
      <c r="F55" s="113">
        <v>12762</v>
      </c>
      <c r="G55" s="111" t="s">
        <v>50</v>
      </c>
      <c r="H55" s="114">
        <v>10209907327</v>
      </c>
      <c r="I55" s="139" t="str">
        <f>IF(H55="","",VLOOKUP(H55,[1]ENTIDAD!$B$2:$C$605,2,0))</f>
        <v>TORPOCO,MAYTA,HECTOR,ALFONSO</v>
      </c>
      <c r="J55" s="116"/>
      <c r="K55" s="116"/>
      <c r="L55" s="116"/>
      <c r="M55" s="116"/>
      <c r="N55" s="116">
        <f t="shared" si="4"/>
        <v>0</v>
      </c>
      <c r="O55" s="116">
        <f t="shared" si="5"/>
        <v>0</v>
      </c>
      <c r="P55" s="116">
        <v>10</v>
      </c>
      <c r="Q55" s="116"/>
      <c r="R55" s="116"/>
      <c r="S55" s="116">
        <v>10</v>
      </c>
      <c r="T55" s="112"/>
      <c r="U55" s="112"/>
      <c r="V55" s="109"/>
      <c r="W55" s="118"/>
      <c r="X55" s="109"/>
      <c r="Y55" s="112"/>
      <c r="Z55" s="112"/>
      <c r="AA55" s="112"/>
      <c r="AB55" s="111" t="s">
        <v>224</v>
      </c>
      <c r="AC55" s="116"/>
      <c r="AD55" s="126">
        <v>46176</v>
      </c>
      <c r="AE55" s="14" t="s">
        <v>262</v>
      </c>
      <c r="AF55" s="19" t="s">
        <v>486</v>
      </c>
      <c r="AG55" s="14"/>
      <c r="AH55" s="14" t="s">
        <v>225</v>
      </c>
      <c r="AI55" s="112"/>
      <c r="AJ55" s="112"/>
      <c r="AK55" s="120"/>
      <c r="AL55" s="116"/>
      <c r="AM55" s="116"/>
      <c r="AN55" s="112"/>
      <c r="AO55" s="112"/>
      <c r="AP55" s="109"/>
      <c r="AQ55" s="112"/>
      <c r="AR55" s="116">
        <v>18</v>
      </c>
      <c r="AS55" s="112" t="s">
        <v>6440</v>
      </c>
      <c r="AT55" s="112"/>
      <c r="AU55" s="116"/>
      <c r="AV55" s="112"/>
      <c r="AW55" s="121"/>
    </row>
    <row r="56" spans="1:49" s="45" customFormat="1" ht="15" x14ac:dyDescent="0.25">
      <c r="A56" s="199">
        <v>46176</v>
      </c>
      <c r="B56" s="72"/>
      <c r="C56" s="42" t="s">
        <v>49</v>
      </c>
      <c r="D56" s="42" t="s">
        <v>292</v>
      </c>
      <c r="E56" s="14"/>
      <c r="F56" s="71">
        <v>125</v>
      </c>
      <c r="G56" s="42" t="s">
        <v>50</v>
      </c>
      <c r="H56" s="31">
        <v>10410993487</v>
      </c>
      <c r="I56" s="138" t="str">
        <f>IF(H56="","",VLOOKUP(H56,[1]ENTIDAD!$B$2:$C$605,2,0))</f>
        <v>VICENTE MANDUJANO WILMER ARTURO</v>
      </c>
      <c r="J56" s="11"/>
      <c r="K56" s="11"/>
      <c r="L56" s="11"/>
      <c r="M56" s="11"/>
      <c r="N56" s="11">
        <f t="shared" si="4"/>
        <v>508.47457627118649</v>
      </c>
      <c r="O56" s="11">
        <f t="shared" si="5"/>
        <v>91.525423728813564</v>
      </c>
      <c r="P56" s="11">
        <v>0</v>
      </c>
      <c r="Q56" s="11"/>
      <c r="R56" s="11"/>
      <c r="S56" s="11">
        <v>600</v>
      </c>
      <c r="T56" s="14"/>
      <c r="U56" s="14"/>
      <c r="V56" s="13"/>
      <c r="W56" s="15"/>
      <c r="X56" s="13"/>
      <c r="Y56" s="14"/>
      <c r="Z56" s="14"/>
      <c r="AA56" s="14"/>
      <c r="AB56" s="42" t="s">
        <v>224</v>
      </c>
      <c r="AC56" s="11"/>
      <c r="AD56" s="13">
        <v>46206</v>
      </c>
      <c r="AE56" s="14" t="s">
        <v>6456</v>
      </c>
      <c r="AF56" s="19" t="s">
        <v>6455</v>
      </c>
      <c r="AG56" s="14"/>
      <c r="AH56" s="14" t="s">
        <v>225</v>
      </c>
      <c r="AI56" s="14"/>
      <c r="AJ56" s="14"/>
      <c r="AK56" s="16"/>
      <c r="AL56" s="11"/>
      <c r="AM56" s="11"/>
      <c r="AN56" s="14"/>
      <c r="AO56" s="14"/>
      <c r="AP56" s="13"/>
      <c r="AQ56" s="14"/>
      <c r="AR56" s="11">
        <v>18</v>
      </c>
      <c r="AS56" s="14" t="s">
        <v>6449</v>
      </c>
      <c r="AT56" s="14"/>
      <c r="AU56" s="11"/>
      <c r="AV56" s="14"/>
    </row>
    <row r="57" spans="1:49" s="45" customFormat="1" ht="15" x14ac:dyDescent="0.25">
      <c r="A57" s="199">
        <v>46177</v>
      </c>
      <c r="B57" s="72"/>
      <c r="C57" s="42" t="s">
        <v>49</v>
      </c>
      <c r="D57" s="42" t="s">
        <v>444</v>
      </c>
      <c r="E57" s="14"/>
      <c r="F57" s="71">
        <v>964</v>
      </c>
      <c r="G57" s="42" t="s">
        <v>50</v>
      </c>
      <c r="H57" s="31">
        <v>20611526572</v>
      </c>
      <c r="I57" s="138" t="str">
        <f>IF(H57="","",VLOOKUP(H57,[1]ENTIDAD!$B$2:$C$605,2,0))</f>
        <v>GRUPO SUKKIE E.I.R.L.</v>
      </c>
      <c r="J57" s="11"/>
      <c r="K57" s="11"/>
      <c r="L57" s="11"/>
      <c r="M57" s="11"/>
      <c r="N57" s="116">
        <f t="shared" si="4"/>
        <v>0</v>
      </c>
      <c r="O57" s="116">
        <f t="shared" si="5"/>
        <v>0</v>
      </c>
      <c r="P57" s="11">
        <v>66.8</v>
      </c>
      <c r="Q57" s="11"/>
      <c r="R57" s="11"/>
      <c r="S57" s="11">
        <v>66.8</v>
      </c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13">
        <v>46177</v>
      </c>
      <c r="AE57" s="14" t="s">
        <v>262</v>
      </c>
      <c r="AF57" s="19" t="s">
        <v>515</v>
      </c>
      <c r="AG57" s="14"/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 t="s">
        <v>670</v>
      </c>
      <c r="AT57" s="14"/>
      <c r="AU57" s="11"/>
      <c r="AV57" s="14"/>
    </row>
    <row r="58" spans="1:49" s="45" customFormat="1" ht="15" x14ac:dyDescent="0.25">
      <c r="A58" s="200">
        <v>46177</v>
      </c>
      <c r="B58" s="72"/>
      <c r="C58" s="111" t="s">
        <v>49</v>
      </c>
      <c r="D58" s="42" t="s">
        <v>440</v>
      </c>
      <c r="E58" s="112"/>
      <c r="F58" s="71">
        <v>2912789</v>
      </c>
      <c r="G58" s="111" t="s">
        <v>50</v>
      </c>
      <c r="H58" s="31">
        <v>20100047218</v>
      </c>
      <c r="I58" s="139" t="str">
        <f>IF(H58="","",VLOOKUP(H58,[1]ENTIDAD!$B$2:$C$605,2,0))</f>
        <v>BANCO DE CREDITO DEL PERU</v>
      </c>
      <c r="J58" s="116"/>
      <c r="K58" s="116"/>
      <c r="L58" s="116"/>
      <c r="M58" s="116"/>
      <c r="N58" s="116">
        <f t="shared" si="4"/>
        <v>1.2043097216272886E-14</v>
      </c>
      <c r="O58" s="116">
        <f t="shared" si="5"/>
        <v>2.1677574989291194E-15</v>
      </c>
      <c r="P58" s="11">
        <v>119.77</v>
      </c>
      <c r="Q58" s="116"/>
      <c r="R58" s="116"/>
      <c r="S58" s="11">
        <f>W58*AC58</f>
        <v>119.77000000000001</v>
      </c>
      <c r="T58" s="112"/>
      <c r="U58" s="112"/>
      <c r="V58" s="109"/>
      <c r="W58" s="118">
        <v>3.4220000000000002</v>
      </c>
      <c r="X58" s="109"/>
      <c r="Y58" s="112"/>
      <c r="Z58" s="112"/>
      <c r="AA58" s="112"/>
      <c r="AB58" s="42" t="s">
        <v>383</v>
      </c>
      <c r="AC58" s="11">
        <v>35</v>
      </c>
      <c r="AD58" s="109">
        <v>46207</v>
      </c>
      <c r="AE58" s="14" t="s">
        <v>465</v>
      </c>
      <c r="AF58" s="19" t="s">
        <v>494</v>
      </c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770</v>
      </c>
      <c r="AT58" s="112"/>
      <c r="AU58" s="116"/>
      <c r="AV58" s="112"/>
      <c r="AW58" s="121"/>
    </row>
    <row r="59" spans="1:49" s="45" customFormat="1" ht="15" x14ac:dyDescent="0.25">
      <c r="A59" s="199">
        <v>46177</v>
      </c>
      <c r="B59" s="72"/>
      <c r="C59" s="42" t="s">
        <v>49</v>
      </c>
      <c r="D59" s="42" t="s">
        <v>308</v>
      </c>
      <c r="E59" s="14"/>
      <c r="F59" s="71">
        <v>10942</v>
      </c>
      <c r="G59" s="42" t="s">
        <v>50</v>
      </c>
      <c r="H59" s="31">
        <v>20512528458</v>
      </c>
      <c r="I59" s="138" t="str">
        <f>IF(H59="","",VLOOKUP(H59,[1]ENTIDAD!$B$2:$C$605,2,0))</f>
        <v>SHALOM EMPRESARIAL S.A.C.</v>
      </c>
      <c r="J59" s="11"/>
      <c r="K59" s="11"/>
      <c r="L59" s="11"/>
      <c r="M59" s="11"/>
      <c r="N59" s="11">
        <f t="shared" si="4"/>
        <v>92.372881355932208</v>
      </c>
      <c r="O59" s="11">
        <f t="shared" si="5"/>
        <v>16.627118644067796</v>
      </c>
      <c r="P59" s="11">
        <v>0</v>
      </c>
      <c r="Q59" s="11"/>
      <c r="R59" s="11"/>
      <c r="S59" s="11">
        <v>109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33">
        <v>46177</v>
      </c>
      <c r="AE59" s="127" t="s">
        <v>262</v>
      </c>
      <c r="AF59" s="127" t="s">
        <v>3930</v>
      </c>
      <c r="AG59" s="14"/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773</v>
      </c>
      <c r="AT59" s="14"/>
      <c r="AU59" s="11"/>
      <c r="AV59" s="14"/>
    </row>
    <row r="60" spans="1:49" s="45" customFormat="1" ht="14.25" customHeight="1" x14ac:dyDescent="0.25">
      <c r="A60" s="199">
        <v>46177</v>
      </c>
      <c r="B60" s="72"/>
      <c r="C60" s="42" t="s">
        <v>49</v>
      </c>
      <c r="D60" s="42" t="s">
        <v>451</v>
      </c>
      <c r="E60" s="14"/>
      <c r="F60" s="71">
        <v>154</v>
      </c>
      <c r="G60" s="42" t="s">
        <v>50</v>
      </c>
      <c r="H60" s="31">
        <v>20600454065</v>
      </c>
      <c r="I60" s="138" t="str">
        <f>IF(H60="","",VLOOKUP(H60,[1]ENTIDAD!$B$2:$C$605,2,0))</f>
        <v>REPUESTOS Y SERVICIOS ARAUCO E.I.R.L.</v>
      </c>
      <c r="J60" s="11"/>
      <c r="K60" s="11"/>
      <c r="L60" s="11"/>
      <c r="M60" s="11"/>
      <c r="N60" s="11">
        <f t="shared" si="4"/>
        <v>0</v>
      </c>
      <c r="O60" s="11">
        <f t="shared" si="5"/>
        <v>0</v>
      </c>
      <c r="P60" s="11">
        <v>2575</v>
      </c>
      <c r="Q60" s="11"/>
      <c r="R60" s="11"/>
      <c r="S60" s="11">
        <v>2575</v>
      </c>
      <c r="T60" s="14"/>
      <c r="U60" s="14"/>
      <c r="V60" s="13"/>
      <c r="W60" s="15"/>
      <c r="X60" s="13"/>
      <c r="Y60" s="14"/>
      <c r="Z60" s="14"/>
      <c r="AA60" s="14"/>
      <c r="AB60" s="42" t="s">
        <v>224</v>
      </c>
      <c r="AC60" s="11"/>
      <c r="AD60" s="33">
        <v>46207</v>
      </c>
      <c r="AE60" s="112" t="s">
        <v>465</v>
      </c>
      <c r="AF60" s="119" t="s">
        <v>616</v>
      </c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12" t="s">
        <v>617</v>
      </c>
      <c r="AT60" s="14"/>
      <c r="AU60" s="11"/>
      <c r="AV60" s="14"/>
    </row>
    <row r="61" spans="1:49" s="45" customFormat="1" ht="15" x14ac:dyDescent="0.25">
      <c r="A61" s="199">
        <v>46177</v>
      </c>
      <c r="B61" s="72"/>
      <c r="C61" s="42" t="s">
        <v>49</v>
      </c>
      <c r="D61" s="42" t="s">
        <v>451</v>
      </c>
      <c r="E61" s="14"/>
      <c r="F61" s="71">
        <v>215</v>
      </c>
      <c r="G61" s="42" t="s">
        <v>50</v>
      </c>
      <c r="H61" s="31">
        <v>20486549328</v>
      </c>
      <c r="I61" s="138" t="str">
        <f>IF(H61="","",VLOOKUP(H61,[1]ENTIDAD!$B$2:$C$605,2,0))</f>
        <v>SANTISIMA TRINIDAD E.I.R.L.</v>
      </c>
      <c r="J61" s="11"/>
      <c r="K61" s="11"/>
      <c r="L61" s="11"/>
      <c r="M61" s="11"/>
      <c r="N61" s="11">
        <f t="shared" si="4"/>
        <v>0</v>
      </c>
      <c r="O61" s="11">
        <f t="shared" si="5"/>
        <v>0</v>
      </c>
      <c r="P61" s="11">
        <v>30</v>
      </c>
      <c r="Q61" s="11"/>
      <c r="R61" s="11"/>
      <c r="S61" s="11">
        <v>30</v>
      </c>
      <c r="T61" s="14"/>
      <c r="U61" s="14"/>
      <c r="V61" s="13"/>
      <c r="W61" s="15"/>
      <c r="X61" s="13"/>
      <c r="Y61" s="14"/>
      <c r="Z61" s="14"/>
      <c r="AA61" s="14"/>
      <c r="AB61" s="42" t="s">
        <v>224</v>
      </c>
      <c r="AC61" s="11"/>
      <c r="AD61" s="33">
        <v>46177</v>
      </c>
      <c r="AE61" s="34" t="s">
        <v>262</v>
      </c>
      <c r="AF61" s="99" t="s">
        <v>521</v>
      </c>
      <c r="AG61" s="14"/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775</v>
      </c>
      <c r="AT61" s="14"/>
      <c r="AU61" s="11"/>
      <c r="AV61" s="14"/>
    </row>
    <row r="62" spans="1:49" s="45" customFormat="1" ht="15" x14ac:dyDescent="0.25">
      <c r="A62" s="199">
        <v>46178</v>
      </c>
      <c r="B62" s="72"/>
      <c r="C62" s="42" t="s">
        <v>49</v>
      </c>
      <c r="D62" s="42" t="s">
        <v>442</v>
      </c>
      <c r="E62" s="14"/>
      <c r="F62" s="71">
        <v>19733236</v>
      </c>
      <c r="G62" s="42" t="s">
        <v>50</v>
      </c>
      <c r="H62" s="31">
        <v>20100047218</v>
      </c>
      <c r="I62" s="138" t="str">
        <f>IF(H62="","",VLOOKUP(H62,[1]ENTIDAD!$B$2:$C$605,2,0))</f>
        <v>BANCO DE CREDITO DEL PERU</v>
      </c>
      <c r="J62" s="11"/>
      <c r="K62" s="11"/>
      <c r="L62" s="11"/>
      <c r="M62" s="11"/>
      <c r="N62" s="11">
        <f t="shared" si="4"/>
        <v>3.3898305084726979E-3</v>
      </c>
      <c r="O62" s="11">
        <f t="shared" si="5"/>
        <v>6.1016949152508564E-4</v>
      </c>
      <c r="P62" s="11">
        <v>61.52</v>
      </c>
      <c r="Q62" s="11"/>
      <c r="R62" s="11"/>
      <c r="S62" s="11">
        <f>W62*AC62</f>
        <v>61.524000000000001</v>
      </c>
      <c r="T62" s="14"/>
      <c r="U62" s="14"/>
      <c r="V62" s="13"/>
      <c r="W62" s="15">
        <v>3.4180000000000001</v>
      </c>
      <c r="X62" s="13"/>
      <c r="Y62" s="14"/>
      <c r="Z62" s="14"/>
      <c r="AA62" s="14"/>
      <c r="AB62" s="42" t="s">
        <v>383</v>
      </c>
      <c r="AC62" s="11">
        <v>18</v>
      </c>
      <c r="AD62" s="33">
        <v>46208</v>
      </c>
      <c r="AE62" s="14" t="s">
        <v>465</v>
      </c>
      <c r="AF62" s="19" t="s">
        <v>494</v>
      </c>
      <c r="AG62" s="14"/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 t="s">
        <v>766</v>
      </c>
      <c r="AT62" s="14"/>
      <c r="AU62" s="11"/>
      <c r="AV62" s="14"/>
    </row>
    <row r="63" spans="1:49" s="45" customFormat="1" ht="15" x14ac:dyDescent="0.25">
      <c r="A63" s="199">
        <v>46178</v>
      </c>
      <c r="B63" s="72"/>
      <c r="C63" s="42" t="s">
        <v>49</v>
      </c>
      <c r="D63" s="42" t="s">
        <v>442</v>
      </c>
      <c r="E63" s="14"/>
      <c r="F63" s="71">
        <v>19733186</v>
      </c>
      <c r="G63" s="42" t="s">
        <v>50</v>
      </c>
      <c r="H63" s="31">
        <v>20100047218</v>
      </c>
      <c r="I63" s="138" t="str">
        <f>IF(H63="","",VLOOKUP(H63,[1]ENTIDAD!$B$2:$C$605,2,0))</f>
        <v>BANCO DE CREDITO DEL PERU</v>
      </c>
      <c r="J63" s="11"/>
      <c r="K63" s="11"/>
      <c r="L63" s="11"/>
      <c r="M63" s="11"/>
      <c r="N63" s="11">
        <f t="shared" si="4"/>
        <v>0</v>
      </c>
      <c r="O63" s="11">
        <f t="shared" si="5"/>
        <v>0</v>
      </c>
      <c r="P63" s="11">
        <v>760.5</v>
      </c>
      <c r="Q63" s="11"/>
      <c r="R63" s="11"/>
      <c r="S63" s="11">
        <v>760.5</v>
      </c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33">
        <v>46208</v>
      </c>
      <c r="AE63" s="14" t="s">
        <v>465</v>
      </c>
      <c r="AF63" s="19" t="s">
        <v>494</v>
      </c>
      <c r="AG63" s="14"/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767</v>
      </c>
      <c r="AT63" s="14"/>
      <c r="AU63" s="11"/>
      <c r="AV63" s="14"/>
    </row>
    <row r="64" spans="1:49" s="45" customFormat="1" ht="15" x14ac:dyDescent="0.25">
      <c r="A64" s="199">
        <v>46178</v>
      </c>
      <c r="B64" s="72"/>
      <c r="C64" s="42" t="s">
        <v>49</v>
      </c>
      <c r="D64" s="42" t="s">
        <v>768</v>
      </c>
      <c r="E64" s="14"/>
      <c r="F64" s="71">
        <v>1379493</v>
      </c>
      <c r="G64" s="42" t="s">
        <v>50</v>
      </c>
      <c r="H64" s="31">
        <v>20100047218</v>
      </c>
      <c r="I64" s="138" t="str">
        <f>IF(H64="","",VLOOKUP(H64,[1]ENTIDAD!$B$2:$C$605,2,0))</f>
        <v>BANCO DE CREDITO DEL PERU</v>
      </c>
      <c r="J64" s="11"/>
      <c r="K64" s="11"/>
      <c r="L64" s="11"/>
      <c r="M64" s="11"/>
      <c r="N64" s="11">
        <f t="shared" si="4"/>
        <v>0</v>
      </c>
      <c r="O64" s="11">
        <f t="shared" si="5"/>
        <v>0</v>
      </c>
      <c r="P64" s="11">
        <v>215</v>
      </c>
      <c r="Q64" s="11"/>
      <c r="R64" s="11"/>
      <c r="S64" s="11">
        <v>215</v>
      </c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33">
        <v>46208</v>
      </c>
      <c r="AE64" s="14" t="s">
        <v>465</v>
      </c>
      <c r="AF64" s="19" t="s">
        <v>494</v>
      </c>
      <c r="AG64" s="14"/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769</v>
      </c>
      <c r="AT64" s="14"/>
      <c r="AU64" s="11"/>
      <c r="AV64" s="14"/>
    </row>
    <row r="65" spans="1:49" s="45" customFormat="1" ht="15" x14ac:dyDescent="0.25">
      <c r="A65" s="199">
        <v>46178</v>
      </c>
      <c r="B65" s="72"/>
      <c r="C65" s="42" t="s">
        <v>49</v>
      </c>
      <c r="D65" s="42" t="s">
        <v>444</v>
      </c>
      <c r="E65" s="14"/>
      <c r="F65" s="71">
        <v>969</v>
      </c>
      <c r="G65" s="42" t="s">
        <v>50</v>
      </c>
      <c r="H65" s="31">
        <v>20611526572</v>
      </c>
      <c r="I65" s="138" t="str">
        <f>IF(H65="","",VLOOKUP(H65,[1]ENTIDAD!$B$2:$C$605,2,0))</f>
        <v>GRUPO SUKKIE E.I.R.L.</v>
      </c>
      <c r="J65" s="11"/>
      <c r="K65" s="11"/>
      <c r="L65" s="11"/>
      <c r="M65" s="11"/>
      <c r="N65" s="11">
        <f t="shared" si="4"/>
        <v>0</v>
      </c>
      <c r="O65" s="11">
        <f t="shared" si="5"/>
        <v>0</v>
      </c>
      <c r="P65" s="11">
        <v>32</v>
      </c>
      <c r="Q65" s="11"/>
      <c r="R65" s="11"/>
      <c r="S65" s="11">
        <v>32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33">
        <v>46178</v>
      </c>
      <c r="AE65" s="34" t="s">
        <v>262</v>
      </c>
      <c r="AF65" s="37" t="s">
        <v>521</v>
      </c>
      <c r="AG65" s="14"/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779</v>
      </c>
      <c r="AT65" s="14"/>
      <c r="AU65" s="11"/>
      <c r="AV65" s="14"/>
    </row>
    <row r="66" spans="1:49" s="45" customFormat="1" ht="15" x14ac:dyDescent="0.25">
      <c r="A66" s="199">
        <v>46178</v>
      </c>
      <c r="B66" s="72"/>
      <c r="C66" s="42" t="s">
        <v>49</v>
      </c>
      <c r="D66" s="42" t="s">
        <v>294</v>
      </c>
      <c r="E66" s="14"/>
      <c r="F66" s="71">
        <v>820</v>
      </c>
      <c r="G66" s="42" t="s">
        <v>50</v>
      </c>
      <c r="H66" s="31">
        <v>10733910921</v>
      </c>
      <c r="I66" s="138" t="str">
        <f>IF(H66="","",VLOOKUP(H66,[1]ENTIDAD!$B$2:$C$605,2,0))</f>
        <v>MADUEÑO HUAMAN LILI CLISSELY</v>
      </c>
      <c r="J66" s="11"/>
      <c r="K66" s="11"/>
      <c r="L66" s="11"/>
      <c r="M66" s="11"/>
      <c r="N66" s="11">
        <f t="shared" si="4"/>
        <v>0</v>
      </c>
      <c r="O66" s="11">
        <f t="shared" si="5"/>
        <v>0</v>
      </c>
      <c r="P66" s="11">
        <v>30</v>
      </c>
      <c r="Q66" s="11"/>
      <c r="R66" s="11"/>
      <c r="S66" s="11">
        <v>30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>
        <v>46208</v>
      </c>
      <c r="AE66" s="34" t="s">
        <v>465</v>
      </c>
      <c r="AF66" s="34" t="s">
        <v>4609</v>
      </c>
      <c r="AG66" s="14"/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771</v>
      </c>
      <c r="AT66" s="14"/>
      <c r="AU66" s="11"/>
      <c r="AV66" s="14"/>
    </row>
    <row r="67" spans="1:49" s="45" customFormat="1" ht="15" x14ac:dyDescent="0.25">
      <c r="A67" s="199">
        <v>46178</v>
      </c>
      <c r="B67" s="72"/>
      <c r="C67" s="42" t="s">
        <v>49</v>
      </c>
      <c r="D67" s="42" t="s">
        <v>776</v>
      </c>
      <c r="E67" s="14"/>
      <c r="F67" s="71">
        <v>754</v>
      </c>
      <c r="G67" s="42" t="s">
        <v>50</v>
      </c>
      <c r="H67" s="31">
        <v>20132757187</v>
      </c>
      <c r="I67" s="138" t="str">
        <f>IF(H67="","",VLOOKUP(H67,[1]ENTIDAD!$B$2:$C$605,2,0))</f>
        <v>EMPRESA DE TRANSPORTES EXPRESO LOBATO S.A.C.</v>
      </c>
      <c r="J67" s="11"/>
      <c r="K67" s="11"/>
      <c r="L67" s="11"/>
      <c r="M67" s="11"/>
      <c r="N67" s="11">
        <f t="shared" si="4"/>
        <v>42.372881355932208</v>
      </c>
      <c r="O67" s="11">
        <f t="shared" si="5"/>
        <v>7.6271186440677967</v>
      </c>
      <c r="P67" s="11">
        <v>0</v>
      </c>
      <c r="Q67" s="11"/>
      <c r="R67" s="11"/>
      <c r="S67" s="11">
        <v>50</v>
      </c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33">
        <v>46178</v>
      </c>
      <c r="AE67" s="127" t="s">
        <v>262</v>
      </c>
      <c r="AF67" s="127" t="s">
        <v>3930</v>
      </c>
      <c r="AG67" s="14"/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 t="s">
        <v>777</v>
      </c>
      <c r="AT67" s="14"/>
      <c r="AU67" s="11"/>
      <c r="AV67" s="14"/>
    </row>
    <row r="68" spans="1:49" s="45" customFormat="1" ht="15" x14ac:dyDescent="0.25">
      <c r="A68" s="199">
        <v>46179</v>
      </c>
      <c r="B68" s="13"/>
      <c r="C68" s="42" t="s">
        <v>49</v>
      </c>
      <c r="D68" s="42" t="s">
        <v>301</v>
      </c>
      <c r="E68" s="14"/>
      <c r="F68" s="113">
        <v>18676</v>
      </c>
      <c r="G68" s="111" t="s">
        <v>50</v>
      </c>
      <c r="H68" s="114">
        <v>20493508645</v>
      </c>
      <c r="I68" s="139" t="str">
        <f>IF(H68="","",VLOOKUP(H68,ENTIDAD!$B$2:$C$613,2,0))</f>
        <v>HONDA SELVA DEL PERU S.A.</v>
      </c>
      <c r="J68" s="11"/>
      <c r="K68" s="11"/>
      <c r="L68" s="11"/>
      <c r="M68" s="11"/>
      <c r="N68" s="11">
        <f t="shared" si="4"/>
        <v>1.5593220376689777E-3</v>
      </c>
      <c r="O68" s="11">
        <f t="shared" si="5"/>
        <v>2.8067796678041599E-4</v>
      </c>
      <c r="P68" s="11">
        <v>61439.92</v>
      </c>
      <c r="Q68" s="11"/>
      <c r="R68" s="11"/>
      <c r="S68" s="11">
        <f>W68*AC68</f>
        <v>61439.921840000003</v>
      </c>
      <c r="T68" s="14"/>
      <c r="U68" s="14"/>
      <c r="V68" s="13"/>
      <c r="W68" s="15">
        <v>3.4430000000000001</v>
      </c>
      <c r="X68" s="13"/>
      <c r="Y68" s="14"/>
      <c r="Z68" s="14"/>
      <c r="AA68" s="14"/>
      <c r="AB68" s="42" t="s">
        <v>383</v>
      </c>
      <c r="AC68" s="11">
        <v>17844.88</v>
      </c>
      <c r="AD68" s="13">
        <v>46209</v>
      </c>
      <c r="AE68" s="34" t="s">
        <v>465</v>
      </c>
      <c r="AF68" s="19" t="s">
        <v>532</v>
      </c>
      <c r="AG68" s="14"/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201</v>
      </c>
      <c r="AT68" s="14"/>
      <c r="AU68" s="11"/>
      <c r="AV68" s="14"/>
    </row>
    <row r="69" spans="1:49" s="45" customFormat="1" ht="15" x14ac:dyDescent="0.25">
      <c r="A69" s="199">
        <v>46179</v>
      </c>
      <c r="B69" s="72"/>
      <c r="C69" s="42" t="s">
        <v>49</v>
      </c>
      <c r="D69" s="42" t="s">
        <v>301</v>
      </c>
      <c r="E69" s="14"/>
      <c r="F69" s="113">
        <v>18677</v>
      </c>
      <c r="G69" s="111" t="s">
        <v>50</v>
      </c>
      <c r="H69" s="114">
        <v>20493508645</v>
      </c>
      <c r="I69" s="139" t="str">
        <f>IF(H69="","",VLOOKUP(H69,[1]ENTIDAD!$B$2:$C$605,2,0))</f>
        <v>HONDA SELVA DEL PERU S.A.</v>
      </c>
      <c r="J69" s="11"/>
      <c r="K69" s="11"/>
      <c r="L69" s="11"/>
      <c r="M69" s="11"/>
      <c r="N69" s="11">
        <f t="shared" si="4"/>
        <v>2.0932203385154165E-3</v>
      </c>
      <c r="O69" s="11">
        <f t="shared" si="5"/>
        <v>3.7677966093277497E-4</v>
      </c>
      <c r="P69" s="11">
        <v>20479.96</v>
      </c>
      <c r="Q69" s="11"/>
      <c r="R69" s="11"/>
      <c r="S69" s="11">
        <f>W69*AC69</f>
        <v>20479.962469999999</v>
      </c>
      <c r="T69" s="14"/>
      <c r="U69" s="14"/>
      <c r="V69" s="13"/>
      <c r="W69" s="15">
        <v>3.4430000000000001</v>
      </c>
      <c r="X69" s="13"/>
      <c r="Y69" s="14"/>
      <c r="Z69" s="14"/>
      <c r="AA69" s="14"/>
      <c r="AB69" s="42" t="s">
        <v>383</v>
      </c>
      <c r="AC69" s="11">
        <v>5948.29</v>
      </c>
      <c r="AD69" s="13">
        <v>46209</v>
      </c>
      <c r="AE69" s="34" t="s">
        <v>465</v>
      </c>
      <c r="AF69" s="19" t="s">
        <v>532</v>
      </c>
      <c r="AG69" s="14"/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201</v>
      </c>
      <c r="AT69" s="14"/>
      <c r="AU69" s="11"/>
      <c r="AV69" s="14"/>
    </row>
    <row r="70" spans="1:49" s="45" customFormat="1" ht="15" x14ac:dyDescent="0.25">
      <c r="A70" s="226">
        <v>46179</v>
      </c>
      <c r="B70" s="33"/>
      <c r="C70" s="48" t="s">
        <v>49</v>
      </c>
      <c r="D70" s="48" t="s">
        <v>573</v>
      </c>
      <c r="E70" s="34"/>
      <c r="F70" s="71">
        <v>2090</v>
      </c>
      <c r="G70" s="48" t="s">
        <v>50</v>
      </c>
      <c r="H70" s="31">
        <v>20606549386</v>
      </c>
      <c r="I70" s="222" t="str">
        <f>IF(H70="","",VLOOKUP(H70,[1]ENTIDAD!$B$2:$C$605,2,0))</f>
        <v>GREAV EMPRESA INDIVIDUAL DE RESPONSABILIDAD LIMITADA</v>
      </c>
      <c r="J70" s="35"/>
      <c r="K70" s="35"/>
      <c r="L70" s="35"/>
      <c r="M70" s="35"/>
      <c r="N70" s="35">
        <f t="shared" si="4"/>
        <v>0</v>
      </c>
      <c r="O70" s="35">
        <f t="shared" si="5"/>
        <v>0</v>
      </c>
      <c r="P70" s="35">
        <v>10</v>
      </c>
      <c r="Q70" s="35"/>
      <c r="R70" s="35"/>
      <c r="S70" s="35">
        <v>10</v>
      </c>
      <c r="T70" s="34"/>
      <c r="U70" s="34"/>
      <c r="V70" s="33"/>
      <c r="W70" s="36"/>
      <c r="X70" s="33"/>
      <c r="Y70" s="34"/>
      <c r="Z70" s="34"/>
      <c r="AA70" s="34"/>
      <c r="AB70" s="48" t="s">
        <v>224</v>
      </c>
      <c r="AC70" s="35"/>
      <c r="AD70" s="33">
        <v>46209</v>
      </c>
      <c r="AE70" s="34" t="s">
        <v>262</v>
      </c>
      <c r="AF70" s="37" t="s">
        <v>518</v>
      </c>
      <c r="AG70" s="34"/>
      <c r="AH70" s="34" t="s">
        <v>225</v>
      </c>
      <c r="AI70" s="34"/>
      <c r="AJ70" s="34"/>
      <c r="AK70" s="38"/>
      <c r="AL70" s="35"/>
      <c r="AM70" s="35"/>
      <c r="AN70" s="34"/>
      <c r="AO70" s="34"/>
      <c r="AP70" s="33"/>
      <c r="AQ70" s="34"/>
      <c r="AR70" s="35">
        <v>18</v>
      </c>
      <c r="AS70" s="34" t="s">
        <v>6481</v>
      </c>
      <c r="AT70" s="34"/>
      <c r="AU70" s="35"/>
      <c r="AV70" s="34"/>
      <c r="AW70"/>
    </row>
    <row r="71" spans="1:49" s="45" customFormat="1" ht="15" x14ac:dyDescent="0.25">
      <c r="A71" s="199">
        <v>46181</v>
      </c>
      <c r="B71" s="72"/>
      <c r="C71" s="42" t="s">
        <v>49</v>
      </c>
      <c r="D71" s="42" t="s">
        <v>294</v>
      </c>
      <c r="E71" s="14"/>
      <c r="F71" s="113">
        <v>12781</v>
      </c>
      <c r="G71" s="111" t="s">
        <v>50</v>
      </c>
      <c r="H71" s="114">
        <v>10209907327</v>
      </c>
      <c r="I71" s="139" t="str">
        <f>IF(H71="","",VLOOKUP(H71,[1]ENTIDAD!$B$2:$C$605,2,0))</f>
        <v>TORPOCO,MAYTA,HECTOR,ALFONSO</v>
      </c>
      <c r="J71" s="11"/>
      <c r="K71" s="11"/>
      <c r="L71" s="11"/>
      <c r="M71" s="11"/>
      <c r="N71" s="11">
        <v>0</v>
      </c>
      <c r="O71" s="11">
        <f t="shared" si="5"/>
        <v>0</v>
      </c>
      <c r="P71" s="11">
        <v>20</v>
      </c>
      <c r="Q71" s="11"/>
      <c r="R71" s="11"/>
      <c r="S71" s="11">
        <v>20</v>
      </c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33">
        <v>46181</v>
      </c>
      <c r="AE71" s="14" t="s">
        <v>262</v>
      </c>
      <c r="AF71" s="73" t="s">
        <v>486</v>
      </c>
      <c r="AG71" s="14"/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 t="s">
        <v>764</v>
      </c>
      <c r="AT71" s="14"/>
      <c r="AU71" s="11"/>
      <c r="AV71" s="14"/>
    </row>
    <row r="72" spans="1:49" s="45" customFormat="1" ht="15" x14ac:dyDescent="0.25">
      <c r="A72" s="199">
        <v>46181</v>
      </c>
      <c r="B72" s="72"/>
      <c r="C72" s="42" t="s">
        <v>49</v>
      </c>
      <c r="D72" s="42" t="s">
        <v>299</v>
      </c>
      <c r="E72" s="14"/>
      <c r="F72" s="113">
        <v>60753</v>
      </c>
      <c r="G72" s="111" t="s">
        <v>50</v>
      </c>
      <c r="H72" s="114">
        <v>20493508645</v>
      </c>
      <c r="I72" s="139" t="str">
        <f>IF(H72="","",VLOOKUP(H72,[1]ENTIDAD!$B$2:$C$605,2,0))</f>
        <v>HONDA SELVA DEL PERU S.A.</v>
      </c>
      <c r="J72" s="11"/>
      <c r="K72" s="11"/>
      <c r="L72" s="11"/>
      <c r="M72" s="11"/>
      <c r="N72" s="11">
        <v>0</v>
      </c>
      <c r="O72" s="11">
        <f t="shared" si="5"/>
        <v>0</v>
      </c>
      <c r="P72" s="11">
        <v>118.78</v>
      </c>
      <c r="Q72" s="11"/>
      <c r="R72" s="11"/>
      <c r="S72" s="11">
        <f>W72*AC72</f>
        <v>118.7835</v>
      </c>
      <c r="T72" s="14"/>
      <c r="U72" s="14"/>
      <c r="V72" s="13"/>
      <c r="W72" s="15">
        <v>3.4430000000000001</v>
      </c>
      <c r="X72" s="13"/>
      <c r="Y72" s="14"/>
      <c r="Z72" s="14"/>
      <c r="AA72" s="14"/>
      <c r="AB72" s="42" t="s">
        <v>383</v>
      </c>
      <c r="AC72" s="11">
        <v>34.5</v>
      </c>
      <c r="AD72" s="33">
        <v>46211</v>
      </c>
      <c r="AE72" s="34" t="s">
        <v>465</v>
      </c>
      <c r="AF72" s="19" t="s">
        <v>532</v>
      </c>
      <c r="AG72" s="14"/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201</v>
      </c>
      <c r="AT72" s="14"/>
      <c r="AU72" s="11"/>
      <c r="AV72" s="14"/>
    </row>
    <row r="73" spans="1:49" s="45" customFormat="1" ht="15" x14ac:dyDescent="0.25">
      <c r="A73" s="199">
        <v>46181</v>
      </c>
      <c r="B73" s="72"/>
      <c r="C73" s="42" t="s">
        <v>49</v>
      </c>
      <c r="D73" s="42" t="s">
        <v>292</v>
      </c>
      <c r="E73" s="14"/>
      <c r="F73" s="71">
        <v>1807</v>
      </c>
      <c r="G73" s="42" t="s">
        <v>50</v>
      </c>
      <c r="H73" s="31">
        <v>20611910887</v>
      </c>
      <c r="I73" s="138" t="str">
        <f>IF(H73="","",VLOOKUP(H73,[1]ENTIDAD!$B$2:$C$605,2,0))</f>
        <v>CORPORACION UNIVERSAL M&amp;F SOCIEDAD ANONIMA CERRADA</v>
      </c>
      <c r="J73" s="11"/>
      <c r="K73" s="11"/>
      <c r="L73" s="11"/>
      <c r="M73" s="11"/>
      <c r="N73" s="11">
        <f>(S73-P73)/1.18</f>
        <v>0</v>
      </c>
      <c r="O73" s="11">
        <f t="shared" si="5"/>
        <v>0</v>
      </c>
      <c r="P73" s="11">
        <v>200</v>
      </c>
      <c r="Q73" s="11"/>
      <c r="R73" s="11"/>
      <c r="S73" s="11">
        <v>200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>
        <v>46181</v>
      </c>
      <c r="AE73" s="34" t="s">
        <v>465</v>
      </c>
      <c r="AF73" s="34" t="s">
        <v>4609</v>
      </c>
      <c r="AG73" s="14"/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6442</v>
      </c>
      <c r="AT73" s="14"/>
      <c r="AU73" s="11"/>
      <c r="AV73" s="14"/>
    </row>
    <row r="74" spans="1:49" s="45" customFormat="1" ht="15" x14ac:dyDescent="0.25">
      <c r="A74" s="199">
        <v>46182</v>
      </c>
      <c r="B74" s="72"/>
      <c r="C74" s="42" t="s">
        <v>49</v>
      </c>
      <c r="D74" s="42" t="s">
        <v>294</v>
      </c>
      <c r="E74" s="14"/>
      <c r="F74" s="71">
        <v>12782</v>
      </c>
      <c r="G74" s="42" t="s">
        <v>50</v>
      </c>
      <c r="H74" s="31">
        <v>10209907327</v>
      </c>
      <c r="I74" s="138" t="str">
        <f>IF(H74="","",VLOOKUP(H74,[1]ENTIDAD!$B$2:$C$605,2,0))</f>
        <v>TORPOCO,MAYTA,HECTOR,ALFONSO</v>
      </c>
      <c r="J74" s="11"/>
      <c r="K74" s="11"/>
      <c r="L74" s="11"/>
      <c r="M74" s="11"/>
      <c r="N74" s="11">
        <f>(S74-P74)/1.18</f>
        <v>0</v>
      </c>
      <c r="O74" s="11">
        <f t="shared" si="5"/>
        <v>0</v>
      </c>
      <c r="P74" s="11">
        <v>10</v>
      </c>
      <c r="Q74" s="11"/>
      <c r="R74" s="11"/>
      <c r="S74" s="11">
        <v>10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13">
        <v>46182</v>
      </c>
      <c r="AE74" s="14" t="s">
        <v>262</v>
      </c>
      <c r="AF74" s="19" t="s">
        <v>486</v>
      </c>
      <c r="AG74" s="14"/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764</v>
      </c>
      <c r="AT74" s="14"/>
      <c r="AU74" s="11"/>
      <c r="AV74" s="14"/>
    </row>
    <row r="75" spans="1:49" s="45" customFormat="1" ht="15" x14ac:dyDescent="0.25">
      <c r="A75" s="199">
        <v>46182</v>
      </c>
      <c r="B75" s="72"/>
      <c r="C75" s="42" t="s">
        <v>49</v>
      </c>
      <c r="D75" s="42" t="s">
        <v>294</v>
      </c>
      <c r="E75" s="14"/>
      <c r="F75" s="71">
        <v>5402</v>
      </c>
      <c r="G75" s="42" t="s">
        <v>50</v>
      </c>
      <c r="H75" s="31">
        <v>10061702071</v>
      </c>
      <c r="I75" s="138" t="str">
        <f>IF(H75="","",VLOOKUP(H75,[1]ENTIDAD!$B$2:$C$605,2,0))</f>
        <v>CORAL FLORES IVAN MARTIN</v>
      </c>
      <c r="J75" s="11"/>
      <c r="K75" s="11"/>
      <c r="L75" s="11"/>
      <c r="M75" s="11"/>
      <c r="N75" s="11">
        <v>0</v>
      </c>
      <c r="O75" s="11">
        <f t="shared" si="5"/>
        <v>0</v>
      </c>
      <c r="P75" s="11">
        <v>0</v>
      </c>
      <c r="Q75" s="11"/>
      <c r="R75" s="11">
        <v>310</v>
      </c>
      <c r="S75" s="11">
        <v>310</v>
      </c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>
        <v>46212</v>
      </c>
      <c r="AE75" s="14" t="s">
        <v>465</v>
      </c>
      <c r="AF75" s="37" t="s">
        <v>597</v>
      </c>
      <c r="AG75" s="34" t="s">
        <v>513</v>
      </c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6441</v>
      </c>
      <c r="AT75" s="14"/>
      <c r="AU75" s="11"/>
      <c r="AV75" s="14"/>
    </row>
    <row r="76" spans="1:49" s="45" customFormat="1" ht="13.5" customHeight="1" x14ac:dyDescent="0.25">
      <c r="A76" s="199">
        <v>46183</v>
      </c>
      <c r="B76" s="72"/>
      <c r="C76" s="42" t="s">
        <v>49</v>
      </c>
      <c r="D76" s="42" t="s">
        <v>568</v>
      </c>
      <c r="E76" s="14"/>
      <c r="F76" s="71">
        <v>20496</v>
      </c>
      <c r="G76" s="42" t="s">
        <v>50</v>
      </c>
      <c r="H76" s="31">
        <v>20485981536</v>
      </c>
      <c r="I76" s="138" t="str">
        <f>IF(H76="","",VLOOKUP(H76,[1]ENTIDAD!$B$2:$C$605,2,0))</f>
        <v>EMPRESA DE TRANSPORTES TURISMO Y SERVICIOS MULTIPLES SHIMA E.I.R.L.</v>
      </c>
      <c r="J76" s="11"/>
      <c r="K76" s="11"/>
      <c r="L76" s="11"/>
      <c r="M76" s="11"/>
      <c r="N76" s="11">
        <v>0</v>
      </c>
      <c r="O76" s="11">
        <f t="shared" si="5"/>
        <v>0</v>
      </c>
      <c r="P76" s="11">
        <v>0</v>
      </c>
      <c r="Q76" s="11"/>
      <c r="R76" s="11">
        <v>40</v>
      </c>
      <c r="S76" s="11">
        <v>40</v>
      </c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>
        <v>46213</v>
      </c>
      <c r="AE76" s="14" t="s">
        <v>465</v>
      </c>
      <c r="AF76" s="99" t="s">
        <v>597</v>
      </c>
      <c r="AG76" s="14" t="s">
        <v>513</v>
      </c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516</v>
      </c>
      <c r="AT76" s="14"/>
      <c r="AU76" s="11"/>
      <c r="AV76" s="14"/>
    </row>
    <row r="77" spans="1:49" s="45" customFormat="1" ht="15" x14ac:dyDescent="0.25">
      <c r="A77" s="199">
        <v>46183</v>
      </c>
      <c r="B77" s="72"/>
      <c r="C77" s="42" t="s">
        <v>49</v>
      </c>
      <c r="D77" s="42" t="s">
        <v>292</v>
      </c>
      <c r="E77" s="14"/>
      <c r="F77" s="71">
        <v>1166</v>
      </c>
      <c r="G77" s="42" t="s">
        <v>50</v>
      </c>
      <c r="H77" s="31">
        <v>20402406161</v>
      </c>
      <c r="I77" s="138" t="str">
        <f>IF(H77="","",VLOOKUP(H77,[1]ENTIDAD!$B$2:$C$605,2,0))</f>
        <v>SERVI TOURS EXPRESS S.A.</v>
      </c>
      <c r="J77" s="11"/>
      <c r="K77" s="11"/>
      <c r="L77" s="11"/>
      <c r="M77" s="11"/>
      <c r="N77" s="11">
        <v>0</v>
      </c>
      <c r="O77" s="11">
        <f t="shared" si="5"/>
        <v>0</v>
      </c>
      <c r="P77" s="11">
        <v>0</v>
      </c>
      <c r="Q77" s="11"/>
      <c r="R77" s="11">
        <v>40</v>
      </c>
      <c r="S77" s="11">
        <v>40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>
        <v>46213</v>
      </c>
      <c r="AE77" s="14" t="s">
        <v>465</v>
      </c>
      <c r="AF77" s="37" t="s">
        <v>597</v>
      </c>
      <c r="AG77" s="14" t="s">
        <v>513</v>
      </c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516</v>
      </c>
      <c r="AT77" s="14"/>
      <c r="AU77" s="11"/>
      <c r="AV77" s="14"/>
    </row>
    <row r="78" spans="1:49" s="45" customFormat="1" ht="15" x14ac:dyDescent="0.25">
      <c r="A78" s="199">
        <v>46183</v>
      </c>
      <c r="B78" s="72"/>
      <c r="C78" s="42" t="s">
        <v>49</v>
      </c>
      <c r="D78" s="42" t="s">
        <v>292</v>
      </c>
      <c r="E78" s="14"/>
      <c r="F78" s="71">
        <v>553</v>
      </c>
      <c r="G78" s="42" t="s">
        <v>50</v>
      </c>
      <c r="H78" s="31">
        <v>10469834986</v>
      </c>
      <c r="I78" s="138" t="str">
        <f>IF(H78="","",VLOOKUP(H78,[1]ENTIDAD!$B$2:$C$605,2,0))</f>
        <v>UNCHUPAICO LAUREANO DEISY LUZ</v>
      </c>
      <c r="J78" s="11"/>
      <c r="K78" s="11"/>
      <c r="L78" s="11"/>
      <c r="M78" s="11"/>
      <c r="N78" s="11">
        <f t="shared" ref="N78:N85" si="6">(S78-P78)/1.18</f>
        <v>0</v>
      </c>
      <c r="O78" s="11">
        <f t="shared" si="5"/>
        <v>0</v>
      </c>
      <c r="P78" s="11">
        <v>350</v>
      </c>
      <c r="Q78" s="11"/>
      <c r="R78" s="11"/>
      <c r="S78" s="11">
        <v>350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>
        <v>46213</v>
      </c>
      <c r="AE78" s="14" t="s">
        <v>465</v>
      </c>
      <c r="AF78" s="192" t="s">
        <v>4609</v>
      </c>
      <c r="AG78" s="34"/>
      <c r="AH78" s="3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 t="s">
        <v>6452</v>
      </c>
      <c r="AT78" s="14"/>
      <c r="AU78" s="11"/>
      <c r="AV78" s="14"/>
    </row>
    <row r="79" spans="1:49" s="45" customFormat="1" ht="15" x14ac:dyDescent="0.25">
      <c r="A79" s="199">
        <v>46184</v>
      </c>
      <c r="B79" s="72"/>
      <c r="C79" s="42" t="s">
        <v>49</v>
      </c>
      <c r="D79" s="42" t="s">
        <v>292</v>
      </c>
      <c r="E79" s="14"/>
      <c r="F79" s="71">
        <v>6265</v>
      </c>
      <c r="G79" s="42" t="s">
        <v>50</v>
      </c>
      <c r="H79" s="31">
        <v>20602783341</v>
      </c>
      <c r="I79" s="138" t="str">
        <f>IF(H79="","",VLOOKUP(H79,[1]ENTIDAD!$B$2:$C$605,2,0))</f>
        <v>CODISSER VRAEM E.I.R.L.</v>
      </c>
      <c r="J79" s="11"/>
      <c r="K79" s="11"/>
      <c r="L79" s="11"/>
      <c r="M79" s="11"/>
      <c r="N79" s="11">
        <f t="shared" si="6"/>
        <v>0</v>
      </c>
      <c r="O79" s="11">
        <f t="shared" si="5"/>
        <v>0</v>
      </c>
      <c r="P79" s="11">
        <v>8</v>
      </c>
      <c r="Q79" s="11"/>
      <c r="R79" s="11"/>
      <c r="S79" s="11">
        <v>8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>
        <v>46184</v>
      </c>
      <c r="AE79" s="14" t="s">
        <v>262</v>
      </c>
      <c r="AF79" s="19" t="s">
        <v>601</v>
      </c>
      <c r="AG79" s="14"/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715</v>
      </c>
      <c r="AT79" s="14"/>
      <c r="AU79" s="11"/>
      <c r="AV79" s="14"/>
    </row>
    <row r="80" spans="1:49" s="45" customFormat="1" ht="15.75" customHeight="1" x14ac:dyDescent="0.25">
      <c r="A80" s="199">
        <v>46184</v>
      </c>
      <c r="B80" s="72"/>
      <c r="C80" s="42" t="s">
        <v>49</v>
      </c>
      <c r="D80" s="42" t="s">
        <v>543</v>
      </c>
      <c r="E80" s="14"/>
      <c r="F80" s="71">
        <v>5188</v>
      </c>
      <c r="G80" s="42" t="s">
        <v>50</v>
      </c>
      <c r="H80" s="31">
        <v>20601012261</v>
      </c>
      <c r="I80" s="138" t="str">
        <f>IF(H80="","",VLOOKUP(H80,[1]ENTIDAD!$B$2:$C$605,2,0))</f>
        <v>IMPORTADORA DE REPUESTOS LA ROCA E.I.R.L.</v>
      </c>
      <c r="J80" s="11"/>
      <c r="K80" s="11"/>
      <c r="L80" s="11"/>
      <c r="M80" s="11"/>
      <c r="N80" s="11">
        <f t="shared" si="6"/>
        <v>0</v>
      </c>
      <c r="O80" s="11">
        <f t="shared" si="5"/>
        <v>0</v>
      </c>
      <c r="P80" s="11">
        <v>44</v>
      </c>
      <c r="Q80" s="11"/>
      <c r="R80" s="11"/>
      <c r="S80" s="11">
        <v>44</v>
      </c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33">
        <v>46214</v>
      </c>
      <c r="AE80" s="34" t="s">
        <v>465</v>
      </c>
      <c r="AF80" s="34" t="s">
        <v>4609</v>
      </c>
      <c r="AG80" s="14"/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 t="s">
        <v>6439</v>
      </c>
      <c r="AT80" s="14"/>
      <c r="AU80" s="11"/>
      <c r="AV80" s="14"/>
    </row>
    <row r="81" spans="1:49" s="45" customFormat="1" ht="15" x14ac:dyDescent="0.25">
      <c r="A81" s="199">
        <v>46184</v>
      </c>
      <c r="B81" s="72"/>
      <c r="C81" s="42" t="s">
        <v>49</v>
      </c>
      <c r="D81" s="42" t="s">
        <v>292</v>
      </c>
      <c r="E81" s="14"/>
      <c r="F81" s="71">
        <v>1541</v>
      </c>
      <c r="G81" s="42" t="s">
        <v>50</v>
      </c>
      <c r="H81" s="31">
        <v>20541583433</v>
      </c>
      <c r="I81" s="138" t="str">
        <f>IF(H81="","",VLOOKUP(H81,[1]ENTIDAD!$B$2:$C$605,2,0))</f>
        <v>VIDRIERIA SELVA E.I.R.L.</v>
      </c>
      <c r="J81" s="11"/>
      <c r="K81" s="11"/>
      <c r="L81" s="11"/>
      <c r="M81" s="11"/>
      <c r="N81" s="11">
        <f t="shared" si="6"/>
        <v>0</v>
      </c>
      <c r="O81" s="11">
        <f t="shared" si="5"/>
        <v>0</v>
      </c>
      <c r="P81" s="11">
        <v>1700</v>
      </c>
      <c r="Q81" s="11"/>
      <c r="R81" s="11"/>
      <c r="S81" s="11">
        <v>1700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33">
        <v>46214</v>
      </c>
      <c r="AE81" s="34" t="s">
        <v>465</v>
      </c>
      <c r="AF81" s="34" t="s">
        <v>4609</v>
      </c>
      <c r="AG81" s="14"/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6443</v>
      </c>
      <c r="AT81" s="14"/>
      <c r="AU81" s="11"/>
      <c r="AV81" s="14"/>
    </row>
    <row r="82" spans="1:49" s="45" customFormat="1" ht="15" x14ac:dyDescent="0.25">
      <c r="A82" s="199">
        <v>46184</v>
      </c>
      <c r="B82" s="72"/>
      <c r="C82" s="42" t="s">
        <v>49</v>
      </c>
      <c r="D82" s="42" t="s">
        <v>294</v>
      </c>
      <c r="E82" s="14"/>
      <c r="F82" s="71">
        <v>120652</v>
      </c>
      <c r="G82" s="42" t="s">
        <v>50</v>
      </c>
      <c r="H82" s="31">
        <v>20568499043</v>
      </c>
      <c r="I82" s="138" t="str">
        <f>IF(H82="","",VLOOKUP(H82,[1]ENTIDAD!$B$2:$C$605,2,0))</f>
        <v>SURTIDORES SAN MIGUEL E.I.R.L.</v>
      </c>
      <c r="J82" s="11"/>
      <c r="K82" s="11"/>
      <c r="L82" s="11"/>
      <c r="M82" s="11"/>
      <c r="N82" s="11">
        <f t="shared" si="6"/>
        <v>0</v>
      </c>
      <c r="O82" s="11">
        <f t="shared" si="5"/>
        <v>0</v>
      </c>
      <c r="P82" s="11">
        <v>100.01</v>
      </c>
      <c r="Q82" s="11"/>
      <c r="R82" s="11"/>
      <c r="S82" s="11">
        <v>100.01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33">
        <v>46184</v>
      </c>
      <c r="AE82" s="14" t="s">
        <v>262</v>
      </c>
      <c r="AF82" s="19" t="s">
        <v>486</v>
      </c>
      <c r="AG82" s="14"/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6447</v>
      </c>
      <c r="AT82" s="14"/>
      <c r="AU82" s="11"/>
      <c r="AV82" s="14"/>
    </row>
    <row r="83" spans="1:49" s="121" customFormat="1" ht="15" x14ac:dyDescent="0.25">
      <c r="A83" s="199">
        <v>46185</v>
      </c>
      <c r="B83" s="72"/>
      <c r="C83" s="42" t="s">
        <v>49</v>
      </c>
      <c r="D83" s="42" t="s">
        <v>301</v>
      </c>
      <c r="E83" s="14"/>
      <c r="F83" s="71">
        <v>18710</v>
      </c>
      <c r="G83" s="42" t="s">
        <v>50</v>
      </c>
      <c r="H83" s="31">
        <v>20493508645</v>
      </c>
      <c r="I83" s="138" t="str">
        <f>IF(H83="","",VLOOKUP(H83,[1]ENTIDAD!$B$2:$C$605,2,0))</f>
        <v>HONDA SELVA DEL PERU S.A.</v>
      </c>
      <c r="J83" s="11"/>
      <c r="K83" s="11"/>
      <c r="L83" s="11"/>
      <c r="M83" s="11"/>
      <c r="N83" s="11">
        <f t="shared" si="6"/>
        <v>-4.0677966091483908E-3</v>
      </c>
      <c r="O83" s="11">
        <f t="shared" si="5"/>
        <v>-7.3220338964671036E-4</v>
      </c>
      <c r="P83" s="11">
        <v>17159.39</v>
      </c>
      <c r="Q83" s="11"/>
      <c r="R83" s="11"/>
      <c r="S83" s="11">
        <f>W83*AC83</f>
        <v>17159.385200000001</v>
      </c>
      <c r="T83" s="14"/>
      <c r="U83" s="14"/>
      <c r="V83" s="13"/>
      <c r="W83" s="15">
        <v>3.3940000000000001</v>
      </c>
      <c r="X83" s="13"/>
      <c r="Y83" s="14"/>
      <c r="Z83" s="14"/>
      <c r="AA83" s="14"/>
      <c r="AB83" s="42" t="s">
        <v>383</v>
      </c>
      <c r="AC83" s="11">
        <v>5055.8</v>
      </c>
      <c r="AD83" s="33">
        <v>46215</v>
      </c>
      <c r="AE83" s="34" t="s">
        <v>465</v>
      </c>
      <c r="AF83" s="19" t="s">
        <v>532</v>
      </c>
      <c r="AG83" s="14"/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201</v>
      </c>
      <c r="AT83" s="14"/>
      <c r="AU83" s="11"/>
      <c r="AV83" s="14"/>
      <c r="AW83" s="45"/>
    </row>
    <row r="84" spans="1:49" s="45" customFormat="1" ht="15" x14ac:dyDescent="0.25">
      <c r="A84" s="199">
        <v>46185</v>
      </c>
      <c r="B84" s="72"/>
      <c r="C84" s="42" t="s">
        <v>49</v>
      </c>
      <c r="D84" s="42" t="s">
        <v>441</v>
      </c>
      <c r="E84" s="14"/>
      <c r="F84" s="71">
        <v>47107998</v>
      </c>
      <c r="G84" s="42" t="s">
        <v>50</v>
      </c>
      <c r="H84" s="31">
        <v>20100047218</v>
      </c>
      <c r="I84" s="138" t="str">
        <f>IF(H84="","",VLOOKUP(H84,[1]ENTIDAD!$B$2:$C$605,2,0))</f>
        <v>BANCO DE CREDITO DEL PERU</v>
      </c>
      <c r="J84" s="11"/>
      <c r="K84" s="11"/>
      <c r="L84" s="11"/>
      <c r="M84" s="11"/>
      <c r="N84" s="11">
        <f t="shared" si="6"/>
        <v>0</v>
      </c>
      <c r="O84" s="11">
        <f t="shared" si="5"/>
        <v>0</v>
      </c>
      <c r="P84" s="11">
        <v>4.3</v>
      </c>
      <c r="Q84" s="11"/>
      <c r="R84" s="11"/>
      <c r="S84" s="11">
        <v>4.3</v>
      </c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33">
        <v>46215</v>
      </c>
      <c r="AE84" s="14" t="s">
        <v>465</v>
      </c>
      <c r="AF84" s="19" t="s">
        <v>494</v>
      </c>
      <c r="AG84" s="14"/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6448</v>
      </c>
      <c r="AT84" s="14"/>
      <c r="AU84" s="11"/>
      <c r="AV84" s="14"/>
    </row>
    <row r="85" spans="1:49" s="45" customFormat="1" ht="15" x14ac:dyDescent="0.25">
      <c r="A85" s="199">
        <v>46185</v>
      </c>
      <c r="B85" s="72"/>
      <c r="C85" s="42" t="s">
        <v>49</v>
      </c>
      <c r="D85" s="42" t="s">
        <v>292</v>
      </c>
      <c r="E85" s="14"/>
      <c r="F85" s="71">
        <v>119</v>
      </c>
      <c r="G85" s="42" t="s">
        <v>50</v>
      </c>
      <c r="H85" s="31">
        <v>20604194211</v>
      </c>
      <c r="I85" s="138" t="str">
        <f>IF(H85="","",VLOOKUP(H85,[1]ENTIDAD!$B$2:$C$605,2,0))</f>
        <v>MULTISERVICIOS COMPANY SELVA SOCIEDAD ANÓNIMA CERRADA</v>
      </c>
      <c r="J85" s="11"/>
      <c r="K85" s="11"/>
      <c r="L85" s="11"/>
      <c r="M85" s="11"/>
      <c r="N85" s="11">
        <f t="shared" si="6"/>
        <v>0</v>
      </c>
      <c r="O85" s="11">
        <f t="shared" si="5"/>
        <v>0</v>
      </c>
      <c r="P85" s="11">
        <v>378</v>
      </c>
      <c r="Q85" s="11"/>
      <c r="R85" s="11"/>
      <c r="S85" s="11">
        <v>378</v>
      </c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>
        <v>46215</v>
      </c>
      <c r="AE85" s="112" t="s">
        <v>465</v>
      </c>
      <c r="AF85" s="119" t="s">
        <v>599</v>
      </c>
      <c r="AG85" s="34"/>
      <c r="AH85" s="3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 t="s">
        <v>6450</v>
      </c>
      <c r="AT85" s="14"/>
      <c r="AU85" s="11"/>
      <c r="AV85" s="14"/>
    </row>
    <row r="86" spans="1:49" s="45" customFormat="1" ht="15" x14ac:dyDescent="0.25">
      <c r="A86" s="199">
        <v>46186</v>
      </c>
      <c r="B86" s="72"/>
      <c r="C86" s="42" t="s">
        <v>49</v>
      </c>
      <c r="D86" s="42" t="s">
        <v>299</v>
      </c>
      <c r="E86" s="14"/>
      <c r="F86" s="71">
        <v>3920707</v>
      </c>
      <c r="G86" s="42" t="s">
        <v>50</v>
      </c>
      <c r="H86" s="31">
        <v>20101973922</v>
      </c>
      <c r="I86" s="138" t="str">
        <f>IF(H86="","",VLOOKUP(H86,[1]ENTIDAD!$B$2:$C$605,2,0))</f>
        <v>ASOCIACION AUTOMOTRIZ DEL PERU</v>
      </c>
      <c r="J86" s="11"/>
      <c r="K86" s="11"/>
      <c r="L86" s="11"/>
      <c r="M86" s="11"/>
      <c r="N86" s="11">
        <v>0</v>
      </c>
      <c r="O86" s="11">
        <f t="shared" si="5"/>
        <v>0</v>
      </c>
      <c r="P86" s="11">
        <v>0</v>
      </c>
      <c r="Q86" s="11"/>
      <c r="R86" s="11">
        <v>66.8</v>
      </c>
      <c r="S86" s="11">
        <v>66.8</v>
      </c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33">
        <v>46216</v>
      </c>
      <c r="AE86" s="34" t="s">
        <v>465</v>
      </c>
      <c r="AF86" s="37" t="s">
        <v>550</v>
      </c>
      <c r="AG86" s="14" t="s">
        <v>513</v>
      </c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566</v>
      </c>
      <c r="AT86" s="14"/>
      <c r="AU86" s="11"/>
      <c r="AV86" s="14"/>
    </row>
    <row r="87" spans="1:49" s="45" customFormat="1" ht="15" x14ac:dyDescent="0.25">
      <c r="A87" s="199">
        <v>46186</v>
      </c>
      <c r="B87" s="72"/>
      <c r="C87" s="42" t="s">
        <v>49</v>
      </c>
      <c r="D87" s="42" t="s">
        <v>299</v>
      </c>
      <c r="E87" s="14"/>
      <c r="F87" s="71">
        <v>3920708</v>
      </c>
      <c r="G87" s="42" t="s">
        <v>50</v>
      </c>
      <c r="H87" s="31">
        <v>20101973922</v>
      </c>
      <c r="I87" s="138" t="str">
        <f>IF(H87="","",VLOOKUP(H87,[1]ENTIDAD!$B$2:$C$605,2,0))</f>
        <v>ASOCIACION AUTOMOTRIZ DEL PERU</v>
      </c>
      <c r="J87" s="11"/>
      <c r="K87" s="11"/>
      <c r="L87" s="11"/>
      <c r="M87" s="11"/>
      <c r="N87" s="11">
        <v>0</v>
      </c>
      <c r="O87" s="11">
        <f t="shared" ref="O87:O116" si="7">N87*0.18</f>
        <v>0</v>
      </c>
      <c r="P87" s="11">
        <v>0</v>
      </c>
      <c r="Q87" s="11"/>
      <c r="R87" s="11">
        <v>66.8</v>
      </c>
      <c r="S87" s="11">
        <v>66.8</v>
      </c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33">
        <v>46216</v>
      </c>
      <c r="AE87" s="34" t="s">
        <v>465</v>
      </c>
      <c r="AF87" s="37" t="s">
        <v>550</v>
      </c>
      <c r="AG87" s="14" t="s">
        <v>513</v>
      </c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 t="s">
        <v>566</v>
      </c>
      <c r="AT87" s="14"/>
      <c r="AU87" s="11"/>
      <c r="AV87" s="14"/>
    </row>
    <row r="88" spans="1:49" s="45" customFormat="1" ht="15" x14ac:dyDescent="0.25">
      <c r="A88" s="199">
        <v>46186</v>
      </c>
      <c r="B88" s="72"/>
      <c r="C88" s="42" t="s">
        <v>49</v>
      </c>
      <c r="D88" s="42" t="s">
        <v>299</v>
      </c>
      <c r="E88" s="14"/>
      <c r="F88" s="71">
        <v>3920709</v>
      </c>
      <c r="G88" s="42" t="s">
        <v>50</v>
      </c>
      <c r="H88" s="31">
        <v>20101973922</v>
      </c>
      <c r="I88" s="138" t="str">
        <f>IF(H88="","",VLOOKUP(H88,[1]ENTIDAD!$B$2:$C$605,2,0))</f>
        <v>ASOCIACION AUTOMOTRIZ DEL PERU</v>
      </c>
      <c r="J88" s="11"/>
      <c r="K88" s="11"/>
      <c r="L88" s="11"/>
      <c r="M88" s="11"/>
      <c r="N88" s="11">
        <v>0</v>
      </c>
      <c r="O88" s="11">
        <f t="shared" si="7"/>
        <v>0</v>
      </c>
      <c r="P88" s="11">
        <v>0</v>
      </c>
      <c r="Q88" s="11"/>
      <c r="R88" s="11">
        <v>66.8</v>
      </c>
      <c r="S88" s="11">
        <v>66.8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33">
        <v>46216</v>
      </c>
      <c r="AE88" s="34" t="s">
        <v>465</v>
      </c>
      <c r="AF88" s="37" t="s">
        <v>550</v>
      </c>
      <c r="AG88" s="14" t="s">
        <v>513</v>
      </c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566</v>
      </c>
      <c r="AT88" s="14"/>
      <c r="AU88" s="11"/>
      <c r="AV88" s="14"/>
    </row>
    <row r="89" spans="1:49" s="45" customFormat="1" ht="15" x14ac:dyDescent="0.25">
      <c r="A89" s="199">
        <v>46186</v>
      </c>
      <c r="B89" s="72"/>
      <c r="C89" s="42" t="s">
        <v>49</v>
      </c>
      <c r="D89" s="42" t="s">
        <v>299</v>
      </c>
      <c r="E89" s="14"/>
      <c r="F89" s="71">
        <v>3920710</v>
      </c>
      <c r="G89" s="42" t="s">
        <v>50</v>
      </c>
      <c r="H89" s="31">
        <v>20101973922</v>
      </c>
      <c r="I89" s="138" t="str">
        <f>IF(H89="","",VLOOKUP(H89,[1]ENTIDAD!$B$2:$C$605,2,0))</f>
        <v>ASOCIACION AUTOMOTRIZ DEL PERU</v>
      </c>
      <c r="J89" s="11"/>
      <c r="K89" s="11"/>
      <c r="L89" s="11"/>
      <c r="M89" s="11"/>
      <c r="N89" s="11">
        <v>0</v>
      </c>
      <c r="O89" s="11">
        <f t="shared" si="7"/>
        <v>0</v>
      </c>
      <c r="P89" s="11">
        <v>0</v>
      </c>
      <c r="Q89" s="11"/>
      <c r="R89" s="11">
        <v>66.8</v>
      </c>
      <c r="S89" s="11">
        <v>66.8</v>
      </c>
      <c r="T89" s="14"/>
      <c r="U89" s="14"/>
      <c r="V89" s="13"/>
      <c r="W89" s="15"/>
      <c r="X89" s="13"/>
      <c r="Y89" s="14"/>
      <c r="Z89" s="14"/>
      <c r="AA89" s="14"/>
      <c r="AB89" s="42" t="s">
        <v>224</v>
      </c>
      <c r="AC89" s="11"/>
      <c r="AD89" s="33">
        <v>46216</v>
      </c>
      <c r="AE89" s="34" t="s">
        <v>465</v>
      </c>
      <c r="AF89" s="37" t="s">
        <v>550</v>
      </c>
      <c r="AG89" s="14" t="s">
        <v>513</v>
      </c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566</v>
      </c>
      <c r="AT89" s="14"/>
      <c r="AU89" s="11"/>
      <c r="AV89" s="14"/>
    </row>
    <row r="90" spans="1:49" s="45" customFormat="1" ht="15" x14ac:dyDescent="0.25">
      <c r="A90" s="199">
        <v>46186</v>
      </c>
      <c r="B90" s="72"/>
      <c r="C90" s="42" t="s">
        <v>49</v>
      </c>
      <c r="D90" s="42" t="s">
        <v>299</v>
      </c>
      <c r="E90" s="14"/>
      <c r="F90" s="71">
        <v>3920711</v>
      </c>
      <c r="G90" s="42" t="s">
        <v>50</v>
      </c>
      <c r="H90" s="31">
        <v>20101973922</v>
      </c>
      <c r="I90" s="138" t="str">
        <f>IF(H90="","",VLOOKUP(H90,[1]ENTIDAD!$B$2:$C$605,2,0))</f>
        <v>ASOCIACION AUTOMOTRIZ DEL PERU</v>
      </c>
      <c r="J90" s="11"/>
      <c r="K90" s="11"/>
      <c r="L90" s="11"/>
      <c r="M90" s="11"/>
      <c r="N90" s="11">
        <v>0</v>
      </c>
      <c r="O90" s="11">
        <f t="shared" si="7"/>
        <v>0</v>
      </c>
      <c r="P90" s="11">
        <v>0</v>
      </c>
      <c r="Q90" s="11"/>
      <c r="R90" s="11">
        <v>66.8</v>
      </c>
      <c r="S90" s="11">
        <v>66.8</v>
      </c>
      <c r="T90" s="14"/>
      <c r="U90" s="14"/>
      <c r="V90" s="13"/>
      <c r="W90" s="15"/>
      <c r="X90" s="13"/>
      <c r="Y90" s="14"/>
      <c r="Z90" s="14"/>
      <c r="AA90" s="14"/>
      <c r="AB90" s="42" t="s">
        <v>224</v>
      </c>
      <c r="AC90" s="11"/>
      <c r="AD90" s="33">
        <v>46216</v>
      </c>
      <c r="AE90" s="34" t="s">
        <v>465</v>
      </c>
      <c r="AF90" s="37" t="s">
        <v>550</v>
      </c>
      <c r="AG90" s="14" t="s">
        <v>513</v>
      </c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566</v>
      </c>
      <c r="AT90" s="14"/>
      <c r="AU90" s="11"/>
      <c r="AV90" s="14"/>
    </row>
    <row r="91" spans="1:49" s="45" customFormat="1" ht="15" x14ac:dyDescent="0.25">
      <c r="A91" s="199">
        <v>46186</v>
      </c>
      <c r="B91" s="72"/>
      <c r="C91" s="42" t="s">
        <v>49</v>
      </c>
      <c r="D91" s="42" t="s">
        <v>299</v>
      </c>
      <c r="E91" s="14"/>
      <c r="F91" s="71">
        <v>3920712</v>
      </c>
      <c r="G91" s="42" t="s">
        <v>50</v>
      </c>
      <c r="H91" s="31">
        <v>20101973922</v>
      </c>
      <c r="I91" s="138" t="str">
        <f>IF(H91="","",VLOOKUP(H91,[1]ENTIDAD!$B$2:$C$605,2,0))</f>
        <v>ASOCIACION AUTOMOTRIZ DEL PERU</v>
      </c>
      <c r="J91" s="11"/>
      <c r="K91" s="11"/>
      <c r="L91" s="11"/>
      <c r="M91" s="11"/>
      <c r="N91" s="11">
        <v>0</v>
      </c>
      <c r="O91" s="11">
        <f t="shared" si="7"/>
        <v>0</v>
      </c>
      <c r="P91" s="11">
        <v>0</v>
      </c>
      <c r="Q91" s="11"/>
      <c r="R91" s="11">
        <v>66.8</v>
      </c>
      <c r="S91" s="11">
        <v>66.8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>
        <v>46216</v>
      </c>
      <c r="AE91" s="34" t="s">
        <v>465</v>
      </c>
      <c r="AF91" s="37" t="s">
        <v>550</v>
      </c>
      <c r="AG91" s="14" t="s">
        <v>513</v>
      </c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566</v>
      </c>
      <c r="AT91" s="14"/>
      <c r="AU91" s="11"/>
      <c r="AV91" s="14"/>
    </row>
    <row r="92" spans="1:49" s="45" customFormat="1" ht="15" x14ac:dyDescent="0.25">
      <c r="A92" s="199">
        <v>46186</v>
      </c>
      <c r="B92" s="72"/>
      <c r="C92" s="42" t="s">
        <v>49</v>
      </c>
      <c r="D92" s="42" t="s">
        <v>299</v>
      </c>
      <c r="E92" s="14"/>
      <c r="F92" s="71">
        <v>3920713</v>
      </c>
      <c r="G92" s="42" t="s">
        <v>50</v>
      </c>
      <c r="H92" s="31">
        <v>20101973922</v>
      </c>
      <c r="I92" s="138" t="str">
        <f>IF(H92="","",VLOOKUP(H92,[1]ENTIDAD!$B$2:$C$605,2,0))</f>
        <v>ASOCIACION AUTOMOTRIZ DEL PERU</v>
      </c>
      <c r="J92" s="11"/>
      <c r="K92" s="11"/>
      <c r="L92" s="11"/>
      <c r="M92" s="11"/>
      <c r="N92" s="11">
        <v>0</v>
      </c>
      <c r="O92" s="11">
        <f t="shared" si="7"/>
        <v>0</v>
      </c>
      <c r="P92" s="11">
        <v>0</v>
      </c>
      <c r="Q92" s="11"/>
      <c r="R92" s="11">
        <v>66.8</v>
      </c>
      <c r="S92" s="11">
        <v>66.8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>
        <v>46216</v>
      </c>
      <c r="AE92" s="34" t="s">
        <v>465</v>
      </c>
      <c r="AF92" s="37" t="s">
        <v>550</v>
      </c>
      <c r="AG92" s="14" t="s">
        <v>513</v>
      </c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566</v>
      </c>
      <c r="AT92" s="14"/>
      <c r="AU92" s="11"/>
      <c r="AV92" s="14"/>
    </row>
    <row r="93" spans="1:49" s="45" customFormat="1" ht="15" x14ac:dyDescent="0.25">
      <c r="A93" s="199">
        <v>46186</v>
      </c>
      <c r="B93" s="72"/>
      <c r="C93" s="42" t="s">
        <v>49</v>
      </c>
      <c r="D93" s="42" t="s">
        <v>299</v>
      </c>
      <c r="E93" s="14"/>
      <c r="F93" s="71">
        <v>3920714</v>
      </c>
      <c r="G93" s="42" t="s">
        <v>50</v>
      </c>
      <c r="H93" s="31">
        <v>20101973922</v>
      </c>
      <c r="I93" s="138" t="str">
        <f>IF(H93="","",VLOOKUP(H93,[1]ENTIDAD!$B$2:$C$605,2,0))</f>
        <v>ASOCIACION AUTOMOTRIZ DEL PERU</v>
      </c>
      <c r="J93" s="11"/>
      <c r="K93" s="11"/>
      <c r="L93" s="11"/>
      <c r="M93" s="11"/>
      <c r="N93" s="11">
        <v>0</v>
      </c>
      <c r="O93" s="11">
        <f t="shared" si="7"/>
        <v>0</v>
      </c>
      <c r="P93" s="11">
        <v>0</v>
      </c>
      <c r="Q93" s="11"/>
      <c r="R93" s="11">
        <v>66.8</v>
      </c>
      <c r="S93" s="11">
        <v>66.8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33">
        <v>46216</v>
      </c>
      <c r="AE93" s="34" t="s">
        <v>465</v>
      </c>
      <c r="AF93" s="37" t="s">
        <v>550</v>
      </c>
      <c r="AG93" s="14" t="s">
        <v>513</v>
      </c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566</v>
      </c>
      <c r="AT93" s="14"/>
      <c r="AU93" s="11"/>
      <c r="AV93" s="14"/>
    </row>
    <row r="94" spans="1:49" s="45" customFormat="1" ht="15" x14ac:dyDescent="0.25">
      <c r="A94" s="200">
        <v>46186</v>
      </c>
      <c r="B94" s="72"/>
      <c r="C94" s="111" t="s">
        <v>49</v>
      </c>
      <c r="D94" s="42" t="s">
        <v>299</v>
      </c>
      <c r="E94" s="112"/>
      <c r="F94" s="71">
        <v>3920715</v>
      </c>
      <c r="G94" s="111" t="s">
        <v>50</v>
      </c>
      <c r="H94" s="31">
        <v>20101973922</v>
      </c>
      <c r="I94" s="139" t="str">
        <f>IF(H94="","",VLOOKUP(H94,[1]ENTIDAD!$B$2:$C$605,2,0))</f>
        <v>ASOCIACION AUTOMOTRIZ DEL PERU</v>
      </c>
      <c r="J94" s="116"/>
      <c r="K94" s="116"/>
      <c r="L94" s="116"/>
      <c r="M94" s="116"/>
      <c r="N94" s="11">
        <v>0</v>
      </c>
      <c r="O94" s="11">
        <f t="shared" si="7"/>
        <v>0</v>
      </c>
      <c r="P94" s="11">
        <v>0</v>
      </c>
      <c r="Q94" s="116"/>
      <c r="R94" s="11">
        <v>66.8</v>
      </c>
      <c r="S94" s="11">
        <v>66.8</v>
      </c>
      <c r="T94" s="112"/>
      <c r="U94" s="112"/>
      <c r="V94" s="109"/>
      <c r="W94" s="118"/>
      <c r="X94" s="109"/>
      <c r="Y94" s="112"/>
      <c r="Z94" s="112"/>
      <c r="AA94" s="112"/>
      <c r="AB94" s="42" t="s">
        <v>224</v>
      </c>
      <c r="AC94" s="11"/>
      <c r="AD94" s="33">
        <v>46216</v>
      </c>
      <c r="AE94" s="34" t="s">
        <v>465</v>
      </c>
      <c r="AF94" s="37" t="s">
        <v>550</v>
      </c>
      <c r="AG94" s="14" t="s">
        <v>513</v>
      </c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566</v>
      </c>
      <c r="AT94" s="112"/>
      <c r="AU94" s="116"/>
      <c r="AV94" s="112"/>
      <c r="AW94" s="121"/>
    </row>
    <row r="95" spans="1:49" s="45" customFormat="1" ht="15" x14ac:dyDescent="0.25">
      <c r="A95" s="199">
        <v>46186</v>
      </c>
      <c r="B95" s="72"/>
      <c r="C95" s="42" t="s">
        <v>49</v>
      </c>
      <c r="D95" s="42" t="s">
        <v>299</v>
      </c>
      <c r="E95" s="14"/>
      <c r="F95" s="71">
        <v>3920716</v>
      </c>
      <c r="G95" s="42" t="s">
        <v>50</v>
      </c>
      <c r="H95" s="31">
        <v>20101973922</v>
      </c>
      <c r="I95" s="138" t="str">
        <f>IF(H95="","",VLOOKUP(H95,[1]ENTIDAD!$B$2:$C$605,2,0))</f>
        <v>ASOCIACION AUTOMOTRIZ DEL PERU</v>
      </c>
      <c r="J95" s="11"/>
      <c r="K95" s="11"/>
      <c r="L95" s="11"/>
      <c r="M95" s="11"/>
      <c r="N95" s="11">
        <v>0</v>
      </c>
      <c r="O95" s="11">
        <f t="shared" si="7"/>
        <v>0</v>
      </c>
      <c r="P95" s="11">
        <v>0</v>
      </c>
      <c r="Q95" s="11"/>
      <c r="R95" s="11">
        <v>66.8</v>
      </c>
      <c r="S95" s="11">
        <v>66.8</v>
      </c>
      <c r="T95" s="14"/>
      <c r="U95" s="14"/>
      <c r="V95" s="13"/>
      <c r="W95" s="15"/>
      <c r="X95" s="13"/>
      <c r="Y95" s="14"/>
      <c r="Z95" s="14"/>
      <c r="AA95" s="14"/>
      <c r="AB95" s="42" t="s">
        <v>224</v>
      </c>
      <c r="AC95" s="11"/>
      <c r="AD95" s="33">
        <v>46216</v>
      </c>
      <c r="AE95" s="34" t="s">
        <v>465</v>
      </c>
      <c r="AF95" s="37" t="s">
        <v>550</v>
      </c>
      <c r="AG95" s="14" t="s">
        <v>513</v>
      </c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566</v>
      </c>
      <c r="AT95" s="14"/>
      <c r="AU95" s="11"/>
      <c r="AV95" s="14"/>
    </row>
    <row r="96" spans="1:49" s="45" customFormat="1" ht="15" x14ac:dyDescent="0.25">
      <c r="A96" s="199">
        <v>46186</v>
      </c>
      <c r="B96" s="72"/>
      <c r="C96" s="42" t="s">
        <v>49</v>
      </c>
      <c r="D96" s="42" t="s">
        <v>299</v>
      </c>
      <c r="E96" s="14"/>
      <c r="F96" s="71">
        <v>3920717</v>
      </c>
      <c r="G96" s="42" t="s">
        <v>50</v>
      </c>
      <c r="H96" s="31">
        <v>20101973922</v>
      </c>
      <c r="I96" s="138" t="str">
        <f>IF(H96="","",VLOOKUP(H96,[1]ENTIDAD!$B$2:$C$605,2,0))</f>
        <v>ASOCIACION AUTOMOTRIZ DEL PERU</v>
      </c>
      <c r="J96" s="11"/>
      <c r="K96" s="11"/>
      <c r="L96" s="11"/>
      <c r="M96" s="11"/>
      <c r="N96" s="11">
        <v>0</v>
      </c>
      <c r="O96" s="11">
        <f t="shared" si="7"/>
        <v>0</v>
      </c>
      <c r="P96" s="11">
        <v>0</v>
      </c>
      <c r="Q96" s="11"/>
      <c r="R96" s="11">
        <v>66.8</v>
      </c>
      <c r="S96" s="11">
        <v>66.8</v>
      </c>
      <c r="T96" s="14"/>
      <c r="U96" s="14"/>
      <c r="V96" s="13"/>
      <c r="W96" s="15"/>
      <c r="X96" s="13"/>
      <c r="Y96" s="14"/>
      <c r="Z96" s="14"/>
      <c r="AA96" s="14"/>
      <c r="AB96" s="42" t="s">
        <v>224</v>
      </c>
      <c r="AC96" s="11"/>
      <c r="AD96" s="33">
        <v>46216</v>
      </c>
      <c r="AE96" s="34" t="s">
        <v>465</v>
      </c>
      <c r="AF96" s="37" t="s">
        <v>550</v>
      </c>
      <c r="AG96" s="14" t="s">
        <v>513</v>
      </c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566</v>
      </c>
      <c r="AT96" s="14"/>
      <c r="AU96" s="11"/>
      <c r="AV96" s="14"/>
    </row>
    <row r="97" spans="1:49" s="45" customFormat="1" ht="15" x14ac:dyDescent="0.25">
      <c r="A97" s="199">
        <v>46186</v>
      </c>
      <c r="B97" s="72"/>
      <c r="C97" s="42" t="s">
        <v>49</v>
      </c>
      <c r="D97" s="42" t="s">
        <v>299</v>
      </c>
      <c r="E97" s="14"/>
      <c r="F97" s="71">
        <v>3920740</v>
      </c>
      <c r="G97" s="42" t="s">
        <v>50</v>
      </c>
      <c r="H97" s="31">
        <v>20101973922</v>
      </c>
      <c r="I97" s="138" t="str">
        <f>IF(H97="","",VLOOKUP(H97,[1]ENTIDAD!$B$2:$C$605,2,0))</f>
        <v>ASOCIACION AUTOMOTRIZ DEL PERU</v>
      </c>
      <c r="J97" s="11"/>
      <c r="K97" s="11"/>
      <c r="L97" s="11"/>
      <c r="M97" s="11"/>
      <c r="N97" s="11">
        <v>0</v>
      </c>
      <c r="O97" s="11">
        <f t="shared" si="7"/>
        <v>0</v>
      </c>
      <c r="P97" s="11">
        <v>0</v>
      </c>
      <c r="Q97" s="11"/>
      <c r="R97" s="11">
        <v>66.8</v>
      </c>
      <c r="S97" s="11">
        <v>66.8</v>
      </c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33">
        <v>46216</v>
      </c>
      <c r="AE97" s="34" t="s">
        <v>465</v>
      </c>
      <c r="AF97" s="37" t="s">
        <v>550</v>
      </c>
      <c r="AG97" s="14" t="s">
        <v>513</v>
      </c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566</v>
      </c>
      <c r="AT97" s="14"/>
      <c r="AU97" s="11"/>
      <c r="AV97" s="14"/>
    </row>
    <row r="98" spans="1:49" s="45" customFormat="1" ht="15" x14ac:dyDescent="0.25">
      <c r="A98" s="199">
        <v>46186</v>
      </c>
      <c r="B98" s="72"/>
      <c r="C98" s="42" t="s">
        <v>49</v>
      </c>
      <c r="D98" s="42" t="s">
        <v>299</v>
      </c>
      <c r="E98" s="14"/>
      <c r="F98" s="71">
        <v>3920741</v>
      </c>
      <c r="G98" s="42" t="s">
        <v>50</v>
      </c>
      <c r="H98" s="31">
        <v>20101973922</v>
      </c>
      <c r="I98" s="138" t="str">
        <f>IF(H98="","",VLOOKUP(H98,[1]ENTIDAD!$B$2:$C$605,2,0))</f>
        <v>ASOCIACION AUTOMOTRIZ DEL PERU</v>
      </c>
      <c r="J98" s="11"/>
      <c r="K98" s="11"/>
      <c r="L98" s="11"/>
      <c r="M98" s="11"/>
      <c r="N98" s="11">
        <v>0</v>
      </c>
      <c r="O98" s="11">
        <f t="shared" si="7"/>
        <v>0</v>
      </c>
      <c r="P98" s="11">
        <v>0</v>
      </c>
      <c r="Q98" s="11"/>
      <c r="R98" s="11">
        <v>66.8</v>
      </c>
      <c r="S98" s="11">
        <v>66.8</v>
      </c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33">
        <v>46216</v>
      </c>
      <c r="AE98" s="34" t="s">
        <v>465</v>
      </c>
      <c r="AF98" s="37" t="s">
        <v>550</v>
      </c>
      <c r="AG98" s="14" t="s">
        <v>513</v>
      </c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566</v>
      </c>
      <c r="AT98" s="14"/>
      <c r="AU98" s="11"/>
      <c r="AV98" s="14"/>
    </row>
    <row r="99" spans="1:49" s="45" customFormat="1" ht="15" x14ac:dyDescent="0.25">
      <c r="A99" s="199">
        <v>46186</v>
      </c>
      <c r="B99" s="72"/>
      <c r="C99" s="42" t="s">
        <v>49</v>
      </c>
      <c r="D99" s="42" t="s">
        <v>299</v>
      </c>
      <c r="E99" s="14"/>
      <c r="F99" s="71">
        <v>3920742</v>
      </c>
      <c r="G99" s="42" t="s">
        <v>50</v>
      </c>
      <c r="H99" s="31">
        <v>20101973922</v>
      </c>
      <c r="I99" s="138" t="str">
        <f>IF(H99="","",VLOOKUP(H99,[1]ENTIDAD!$B$2:$C$605,2,0))</f>
        <v>ASOCIACION AUTOMOTRIZ DEL PERU</v>
      </c>
      <c r="J99" s="11"/>
      <c r="K99" s="11"/>
      <c r="L99" s="11"/>
      <c r="M99" s="11"/>
      <c r="N99" s="11">
        <v>0</v>
      </c>
      <c r="O99" s="11">
        <f t="shared" si="7"/>
        <v>0</v>
      </c>
      <c r="P99" s="11">
        <v>0</v>
      </c>
      <c r="Q99" s="11"/>
      <c r="R99" s="11">
        <v>66.8</v>
      </c>
      <c r="S99" s="11">
        <v>66.8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>
        <v>46216</v>
      </c>
      <c r="AE99" s="34" t="s">
        <v>465</v>
      </c>
      <c r="AF99" s="37" t="s">
        <v>550</v>
      </c>
      <c r="AG99" s="14" t="s">
        <v>513</v>
      </c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566</v>
      </c>
      <c r="AT99" s="14"/>
      <c r="AU99" s="11"/>
      <c r="AV99" s="14"/>
    </row>
    <row r="100" spans="1:49" s="45" customFormat="1" ht="15" x14ac:dyDescent="0.25">
      <c r="A100" s="199">
        <v>46186</v>
      </c>
      <c r="B100" s="72"/>
      <c r="C100" s="42" t="s">
        <v>49</v>
      </c>
      <c r="D100" s="42" t="s">
        <v>299</v>
      </c>
      <c r="E100" s="14"/>
      <c r="F100" s="71">
        <v>3920743</v>
      </c>
      <c r="G100" s="42" t="s">
        <v>50</v>
      </c>
      <c r="H100" s="31">
        <v>20101973922</v>
      </c>
      <c r="I100" s="138" t="str">
        <f>IF(H100="","",VLOOKUP(H100,[1]ENTIDAD!$B$2:$C$605,2,0))</f>
        <v>ASOCIACION AUTOMOTRIZ DEL PERU</v>
      </c>
      <c r="J100" s="11"/>
      <c r="K100" s="11"/>
      <c r="L100" s="11"/>
      <c r="M100" s="11"/>
      <c r="N100" s="11">
        <v>0</v>
      </c>
      <c r="O100" s="11">
        <f t="shared" si="7"/>
        <v>0</v>
      </c>
      <c r="P100" s="11">
        <v>0</v>
      </c>
      <c r="Q100" s="11"/>
      <c r="R100" s="11">
        <v>66.8</v>
      </c>
      <c r="S100" s="11">
        <v>66.8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33">
        <v>46216</v>
      </c>
      <c r="AE100" s="34" t="s">
        <v>465</v>
      </c>
      <c r="AF100" s="37" t="s">
        <v>550</v>
      </c>
      <c r="AG100" s="14" t="s">
        <v>513</v>
      </c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566</v>
      </c>
      <c r="AT100" s="14"/>
      <c r="AU100" s="11"/>
      <c r="AV100" s="14"/>
    </row>
    <row r="101" spans="1:49" s="45" customFormat="1" ht="15" x14ac:dyDescent="0.25">
      <c r="A101" s="199">
        <v>46186</v>
      </c>
      <c r="B101" s="72"/>
      <c r="C101" s="42" t="s">
        <v>49</v>
      </c>
      <c r="D101" s="42" t="s">
        <v>299</v>
      </c>
      <c r="E101" s="14"/>
      <c r="F101" s="71">
        <v>3920744</v>
      </c>
      <c r="G101" s="42" t="s">
        <v>50</v>
      </c>
      <c r="H101" s="31">
        <v>20101973922</v>
      </c>
      <c r="I101" s="138" t="str">
        <f>IF(H101="","",VLOOKUP(H101,[1]ENTIDAD!$B$2:$C$605,2,0))</f>
        <v>ASOCIACION AUTOMOTRIZ DEL PERU</v>
      </c>
      <c r="J101" s="11"/>
      <c r="K101" s="11"/>
      <c r="L101" s="11"/>
      <c r="M101" s="11"/>
      <c r="N101" s="11">
        <v>0</v>
      </c>
      <c r="O101" s="11">
        <f t="shared" si="7"/>
        <v>0</v>
      </c>
      <c r="P101" s="11">
        <v>0</v>
      </c>
      <c r="Q101" s="11"/>
      <c r="R101" s="11">
        <v>66.8</v>
      </c>
      <c r="S101" s="11">
        <v>66.8</v>
      </c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33">
        <v>46216</v>
      </c>
      <c r="AE101" s="34" t="s">
        <v>465</v>
      </c>
      <c r="AF101" s="37" t="s">
        <v>550</v>
      </c>
      <c r="AG101" s="14" t="s">
        <v>513</v>
      </c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566</v>
      </c>
      <c r="AT101" s="14"/>
      <c r="AU101" s="11"/>
      <c r="AV101" s="14"/>
    </row>
    <row r="102" spans="1:49" s="45" customFormat="1" ht="15" x14ac:dyDescent="0.25">
      <c r="A102" s="199">
        <v>46186</v>
      </c>
      <c r="B102" s="72"/>
      <c r="C102" s="42" t="s">
        <v>49</v>
      </c>
      <c r="D102" s="42" t="s">
        <v>299</v>
      </c>
      <c r="E102" s="14"/>
      <c r="F102" s="71">
        <v>3920745</v>
      </c>
      <c r="G102" s="42" t="s">
        <v>50</v>
      </c>
      <c r="H102" s="31">
        <v>20101973922</v>
      </c>
      <c r="I102" s="138" t="str">
        <f>IF(H102="","",VLOOKUP(H102,[1]ENTIDAD!$B$2:$C$605,2,0))</f>
        <v>ASOCIACION AUTOMOTRIZ DEL PERU</v>
      </c>
      <c r="J102" s="11"/>
      <c r="K102" s="11"/>
      <c r="L102" s="11"/>
      <c r="M102" s="11"/>
      <c r="N102" s="11">
        <v>0</v>
      </c>
      <c r="O102" s="11">
        <f t="shared" si="7"/>
        <v>0</v>
      </c>
      <c r="P102" s="11">
        <v>0</v>
      </c>
      <c r="Q102" s="11"/>
      <c r="R102" s="11">
        <v>66.8</v>
      </c>
      <c r="S102" s="11">
        <v>66.8</v>
      </c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33">
        <v>46216</v>
      </c>
      <c r="AE102" s="34" t="s">
        <v>465</v>
      </c>
      <c r="AF102" s="37" t="s">
        <v>550</v>
      </c>
      <c r="AG102" s="14" t="s">
        <v>513</v>
      </c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566</v>
      </c>
      <c r="AT102" s="14"/>
      <c r="AU102" s="11"/>
      <c r="AV102" s="14"/>
    </row>
    <row r="103" spans="1:49" s="45" customFormat="1" ht="15" x14ac:dyDescent="0.25">
      <c r="A103" s="199">
        <v>46186</v>
      </c>
      <c r="B103" s="72"/>
      <c r="C103" s="42" t="s">
        <v>49</v>
      </c>
      <c r="D103" s="42" t="s">
        <v>299</v>
      </c>
      <c r="E103" s="14"/>
      <c r="F103" s="71">
        <v>3920746</v>
      </c>
      <c r="G103" s="42" t="s">
        <v>50</v>
      </c>
      <c r="H103" s="31">
        <v>20101973922</v>
      </c>
      <c r="I103" s="138" t="str">
        <f>IF(H103="","",VLOOKUP(H103,[1]ENTIDAD!$B$2:$C$605,2,0))</f>
        <v>ASOCIACION AUTOMOTRIZ DEL PERU</v>
      </c>
      <c r="J103" s="11"/>
      <c r="K103" s="11"/>
      <c r="L103" s="11"/>
      <c r="M103" s="11"/>
      <c r="N103" s="11">
        <v>0</v>
      </c>
      <c r="O103" s="11">
        <f t="shared" si="7"/>
        <v>0</v>
      </c>
      <c r="P103" s="11">
        <v>0</v>
      </c>
      <c r="Q103" s="11"/>
      <c r="R103" s="11">
        <v>66.8</v>
      </c>
      <c r="S103" s="11">
        <v>66.8</v>
      </c>
      <c r="T103" s="14"/>
      <c r="U103" s="14"/>
      <c r="V103" s="13"/>
      <c r="W103" s="15"/>
      <c r="X103" s="13"/>
      <c r="Y103" s="14"/>
      <c r="Z103" s="14"/>
      <c r="AA103" s="14"/>
      <c r="AB103" s="42" t="s">
        <v>224</v>
      </c>
      <c r="AC103" s="11"/>
      <c r="AD103" s="33">
        <v>46216</v>
      </c>
      <c r="AE103" s="34" t="s">
        <v>465</v>
      </c>
      <c r="AF103" s="37" t="s">
        <v>550</v>
      </c>
      <c r="AG103" s="14" t="s">
        <v>513</v>
      </c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 t="s">
        <v>566</v>
      </c>
      <c r="AT103" s="14"/>
      <c r="AU103" s="11"/>
      <c r="AV103" s="14"/>
    </row>
    <row r="104" spans="1:49" s="45" customFormat="1" ht="15" x14ac:dyDescent="0.25">
      <c r="A104" s="199">
        <v>46186</v>
      </c>
      <c r="B104" s="72"/>
      <c r="C104" s="42" t="s">
        <v>49</v>
      </c>
      <c r="D104" s="42" t="s">
        <v>299</v>
      </c>
      <c r="E104" s="14"/>
      <c r="F104" s="71">
        <v>3920747</v>
      </c>
      <c r="G104" s="42" t="s">
        <v>50</v>
      </c>
      <c r="H104" s="31">
        <v>20101973922</v>
      </c>
      <c r="I104" s="138" t="str">
        <f>IF(H104="","",VLOOKUP(H104,[1]ENTIDAD!$B$2:$C$605,2,0))</f>
        <v>ASOCIACION AUTOMOTRIZ DEL PERU</v>
      </c>
      <c r="J104" s="11"/>
      <c r="K104" s="11"/>
      <c r="L104" s="11"/>
      <c r="M104" s="11"/>
      <c r="N104" s="11">
        <v>0</v>
      </c>
      <c r="O104" s="11">
        <f t="shared" si="7"/>
        <v>0</v>
      </c>
      <c r="P104" s="11">
        <v>0</v>
      </c>
      <c r="Q104" s="11"/>
      <c r="R104" s="11">
        <v>66.8</v>
      </c>
      <c r="S104" s="11">
        <v>66.8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33">
        <v>46216</v>
      </c>
      <c r="AE104" s="34" t="s">
        <v>465</v>
      </c>
      <c r="AF104" s="37" t="s">
        <v>550</v>
      </c>
      <c r="AG104" s="14" t="s">
        <v>513</v>
      </c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566</v>
      </c>
      <c r="AT104" s="14"/>
      <c r="AU104" s="11"/>
      <c r="AV104" s="14"/>
    </row>
    <row r="105" spans="1:49" s="45" customFormat="1" ht="15" x14ac:dyDescent="0.25">
      <c r="A105" s="199">
        <v>46186</v>
      </c>
      <c r="B105" s="72"/>
      <c r="C105" s="42" t="s">
        <v>49</v>
      </c>
      <c r="D105" s="42" t="s">
        <v>299</v>
      </c>
      <c r="E105" s="14"/>
      <c r="F105" s="71">
        <v>3920748</v>
      </c>
      <c r="G105" s="42" t="s">
        <v>50</v>
      </c>
      <c r="H105" s="31">
        <v>20101973922</v>
      </c>
      <c r="I105" s="138" t="str">
        <f>IF(H105="","",VLOOKUP(H105,[1]ENTIDAD!$B$2:$C$605,2,0))</f>
        <v>ASOCIACION AUTOMOTRIZ DEL PERU</v>
      </c>
      <c r="J105" s="11"/>
      <c r="K105" s="11"/>
      <c r="L105" s="11"/>
      <c r="M105" s="11"/>
      <c r="N105" s="11">
        <v>0</v>
      </c>
      <c r="O105" s="11">
        <f t="shared" si="7"/>
        <v>0</v>
      </c>
      <c r="P105" s="11">
        <v>0</v>
      </c>
      <c r="Q105" s="11"/>
      <c r="R105" s="11">
        <v>66.8</v>
      </c>
      <c r="S105" s="11">
        <v>66.8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33">
        <v>46216</v>
      </c>
      <c r="AE105" s="34" t="s">
        <v>465</v>
      </c>
      <c r="AF105" s="37" t="s">
        <v>550</v>
      </c>
      <c r="AG105" s="14" t="s">
        <v>513</v>
      </c>
      <c r="AH105" s="1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566</v>
      </c>
      <c r="AT105" s="14"/>
      <c r="AU105" s="11"/>
      <c r="AV105" s="14"/>
    </row>
    <row r="106" spans="1:49" s="121" customFormat="1" ht="15" x14ac:dyDescent="0.25">
      <c r="A106" s="199">
        <v>46186</v>
      </c>
      <c r="B106" s="72"/>
      <c r="C106" s="42" t="s">
        <v>49</v>
      </c>
      <c r="D106" s="42" t="s">
        <v>299</v>
      </c>
      <c r="E106" s="14"/>
      <c r="F106" s="71">
        <v>3920749</v>
      </c>
      <c r="G106" s="42" t="s">
        <v>50</v>
      </c>
      <c r="H106" s="31">
        <v>20101973922</v>
      </c>
      <c r="I106" s="138" t="str">
        <f>IF(H106="","",VLOOKUP(H106,[1]ENTIDAD!$B$2:$C$605,2,0))</f>
        <v>ASOCIACION AUTOMOTRIZ DEL PERU</v>
      </c>
      <c r="J106" s="11"/>
      <c r="K106" s="11"/>
      <c r="L106" s="11"/>
      <c r="M106" s="11"/>
      <c r="N106" s="11">
        <v>0</v>
      </c>
      <c r="O106" s="11">
        <f t="shared" si="7"/>
        <v>0</v>
      </c>
      <c r="P106" s="11">
        <v>0</v>
      </c>
      <c r="Q106" s="11"/>
      <c r="R106" s="11">
        <v>66.8</v>
      </c>
      <c r="S106" s="11">
        <v>66.8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33">
        <v>46216</v>
      </c>
      <c r="AE106" s="34" t="s">
        <v>465</v>
      </c>
      <c r="AF106" s="37" t="s">
        <v>550</v>
      </c>
      <c r="AG106" s="14" t="s">
        <v>513</v>
      </c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566</v>
      </c>
      <c r="AT106" s="14"/>
      <c r="AU106" s="11"/>
      <c r="AV106" s="14"/>
      <c r="AW106" s="45"/>
    </row>
    <row r="107" spans="1:49" s="45" customFormat="1" ht="15" x14ac:dyDescent="0.25">
      <c r="A107" s="199">
        <v>46186</v>
      </c>
      <c r="B107" s="72"/>
      <c r="C107" s="42" t="s">
        <v>49</v>
      </c>
      <c r="D107" s="42" t="s">
        <v>299</v>
      </c>
      <c r="E107" s="14"/>
      <c r="F107" s="71">
        <v>3920750</v>
      </c>
      <c r="G107" s="42" t="s">
        <v>50</v>
      </c>
      <c r="H107" s="31">
        <v>20101973922</v>
      </c>
      <c r="I107" s="138" t="str">
        <f>IF(H107="","",VLOOKUP(H107,[1]ENTIDAD!$B$2:$C$605,2,0))</f>
        <v>ASOCIACION AUTOMOTRIZ DEL PERU</v>
      </c>
      <c r="J107" s="11"/>
      <c r="K107" s="11"/>
      <c r="L107" s="11"/>
      <c r="M107" s="11"/>
      <c r="N107" s="11">
        <v>0</v>
      </c>
      <c r="O107" s="11">
        <f t="shared" si="7"/>
        <v>0</v>
      </c>
      <c r="P107" s="11">
        <v>0</v>
      </c>
      <c r="Q107" s="11"/>
      <c r="R107" s="11">
        <v>66.8</v>
      </c>
      <c r="S107" s="11">
        <v>66.8</v>
      </c>
      <c r="T107" s="14"/>
      <c r="U107" s="14"/>
      <c r="V107" s="13"/>
      <c r="W107" s="15"/>
      <c r="X107" s="13"/>
      <c r="Y107" s="14"/>
      <c r="Z107" s="14"/>
      <c r="AA107" s="14"/>
      <c r="AB107" s="42" t="s">
        <v>224</v>
      </c>
      <c r="AC107" s="11"/>
      <c r="AD107" s="33">
        <v>46216</v>
      </c>
      <c r="AE107" s="34" t="s">
        <v>465</v>
      </c>
      <c r="AF107" s="37" t="s">
        <v>550</v>
      </c>
      <c r="AG107" s="14" t="s">
        <v>513</v>
      </c>
      <c r="AH107" s="14" t="s">
        <v>225</v>
      </c>
      <c r="AI107" s="14"/>
      <c r="AJ107" s="14"/>
      <c r="AK107" s="16"/>
      <c r="AL107" s="11"/>
      <c r="AM107" s="11"/>
      <c r="AN107" s="14"/>
      <c r="AO107" s="14"/>
      <c r="AP107" s="13"/>
      <c r="AQ107" s="14"/>
      <c r="AR107" s="11">
        <v>18</v>
      </c>
      <c r="AS107" s="14" t="s">
        <v>566</v>
      </c>
      <c r="AT107" s="14"/>
      <c r="AU107" s="11"/>
      <c r="AV107" s="14"/>
    </row>
    <row r="108" spans="1:49" s="45" customFormat="1" ht="15" x14ac:dyDescent="0.25">
      <c r="A108" s="199">
        <v>46186</v>
      </c>
      <c r="B108" s="72"/>
      <c r="C108" s="42" t="s">
        <v>49</v>
      </c>
      <c r="D108" s="42" t="s">
        <v>299</v>
      </c>
      <c r="E108" s="14"/>
      <c r="F108" s="71">
        <v>3920751</v>
      </c>
      <c r="G108" s="42" t="s">
        <v>50</v>
      </c>
      <c r="H108" s="31">
        <v>20101973922</v>
      </c>
      <c r="I108" s="138" t="str">
        <f>IF(H108="","",VLOOKUP(H108,[1]ENTIDAD!$B$2:$C$605,2,0))</f>
        <v>ASOCIACION AUTOMOTRIZ DEL PERU</v>
      </c>
      <c r="J108" s="11"/>
      <c r="K108" s="11"/>
      <c r="L108" s="11"/>
      <c r="M108" s="11"/>
      <c r="N108" s="11">
        <v>0</v>
      </c>
      <c r="O108" s="11">
        <f t="shared" si="7"/>
        <v>0</v>
      </c>
      <c r="P108" s="11">
        <v>0</v>
      </c>
      <c r="Q108" s="11"/>
      <c r="R108" s="11">
        <v>66.8</v>
      </c>
      <c r="S108" s="11">
        <v>66.8</v>
      </c>
      <c r="T108" s="14"/>
      <c r="U108" s="14"/>
      <c r="V108" s="13"/>
      <c r="W108" s="15"/>
      <c r="X108" s="13"/>
      <c r="Y108" s="14"/>
      <c r="Z108" s="14"/>
      <c r="AA108" s="14"/>
      <c r="AB108" s="42" t="s">
        <v>224</v>
      </c>
      <c r="AC108" s="11"/>
      <c r="AD108" s="33">
        <v>46216</v>
      </c>
      <c r="AE108" s="34" t="s">
        <v>465</v>
      </c>
      <c r="AF108" s="37" t="s">
        <v>550</v>
      </c>
      <c r="AG108" s="14" t="s">
        <v>513</v>
      </c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566</v>
      </c>
      <c r="AT108" s="14"/>
      <c r="AU108" s="11"/>
      <c r="AV108" s="14"/>
    </row>
    <row r="109" spans="1:49" s="45" customFormat="1" ht="15" x14ac:dyDescent="0.25">
      <c r="A109" s="199">
        <v>46186</v>
      </c>
      <c r="B109" s="72"/>
      <c r="C109" s="42" t="s">
        <v>49</v>
      </c>
      <c r="D109" s="42" t="s">
        <v>299</v>
      </c>
      <c r="E109" s="14"/>
      <c r="F109" s="71">
        <v>3920752</v>
      </c>
      <c r="G109" s="42" t="s">
        <v>50</v>
      </c>
      <c r="H109" s="31">
        <v>20101973922</v>
      </c>
      <c r="I109" s="138" t="str">
        <f>IF(H109="","",VLOOKUP(H109,[1]ENTIDAD!$B$2:$C$605,2,0))</f>
        <v>ASOCIACION AUTOMOTRIZ DEL PERU</v>
      </c>
      <c r="J109" s="11"/>
      <c r="K109" s="11"/>
      <c r="L109" s="11"/>
      <c r="M109" s="11"/>
      <c r="N109" s="11">
        <v>0</v>
      </c>
      <c r="O109" s="11">
        <f t="shared" si="7"/>
        <v>0</v>
      </c>
      <c r="P109" s="11">
        <v>0</v>
      </c>
      <c r="Q109" s="11"/>
      <c r="R109" s="11">
        <v>66.8</v>
      </c>
      <c r="S109" s="11">
        <v>66.8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33">
        <v>46216</v>
      </c>
      <c r="AE109" s="34" t="s">
        <v>465</v>
      </c>
      <c r="AF109" s="37" t="s">
        <v>550</v>
      </c>
      <c r="AG109" s="14" t="s">
        <v>513</v>
      </c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 t="s">
        <v>566</v>
      </c>
      <c r="AT109" s="14"/>
      <c r="AU109" s="11"/>
      <c r="AV109" s="14"/>
    </row>
    <row r="110" spans="1:49" s="45" customFormat="1" ht="15" x14ac:dyDescent="0.25">
      <c r="A110" s="199">
        <v>46186</v>
      </c>
      <c r="B110" s="72"/>
      <c r="C110" s="42" t="s">
        <v>49</v>
      </c>
      <c r="D110" s="42" t="s">
        <v>299</v>
      </c>
      <c r="E110" s="14"/>
      <c r="F110" s="71">
        <v>3920753</v>
      </c>
      <c r="G110" s="42" t="s">
        <v>50</v>
      </c>
      <c r="H110" s="31">
        <v>20101973922</v>
      </c>
      <c r="I110" s="138" t="str">
        <f>IF(H110="","",VLOOKUP(H110,[1]ENTIDAD!$B$2:$C$605,2,0))</f>
        <v>ASOCIACION AUTOMOTRIZ DEL PERU</v>
      </c>
      <c r="J110" s="11"/>
      <c r="K110" s="11"/>
      <c r="L110" s="11"/>
      <c r="M110" s="11"/>
      <c r="N110" s="11">
        <v>0</v>
      </c>
      <c r="O110" s="11">
        <f t="shared" si="7"/>
        <v>0</v>
      </c>
      <c r="P110" s="11">
        <v>0</v>
      </c>
      <c r="Q110" s="11"/>
      <c r="R110" s="11">
        <v>66.8</v>
      </c>
      <c r="S110" s="11">
        <v>66.8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33">
        <v>46216</v>
      </c>
      <c r="AE110" s="34" t="s">
        <v>465</v>
      </c>
      <c r="AF110" s="37" t="s">
        <v>550</v>
      </c>
      <c r="AG110" s="14" t="s">
        <v>513</v>
      </c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 t="s">
        <v>566</v>
      </c>
      <c r="AT110" s="14"/>
      <c r="AU110" s="11"/>
      <c r="AV110" s="14"/>
    </row>
    <row r="111" spans="1:49" s="45" customFormat="1" ht="15" x14ac:dyDescent="0.25">
      <c r="A111" s="199">
        <v>46186</v>
      </c>
      <c r="B111" s="72"/>
      <c r="C111" s="42" t="s">
        <v>49</v>
      </c>
      <c r="D111" s="42" t="s">
        <v>299</v>
      </c>
      <c r="E111" s="14"/>
      <c r="F111" s="71">
        <v>3920754</v>
      </c>
      <c r="G111" s="42" t="s">
        <v>50</v>
      </c>
      <c r="H111" s="31">
        <v>20101973922</v>
      </c>
      <c r="I111" s="138" t="str">
        <f>IF(H111="","",VLOOKUP(H111,[1]ENTIDAD!$B$2:$C$605,2,0))</f>
        <v>ASOCIACION AUTOMOTRIZ DEL PERU</v>
      </c>
      <c r="J111" s="11"/>
      <c r="K111" s="11"/>
      <c r="L111" s="11"/>
      <c r="M111" s="11"/>
      <c r="N111" s="11">
        <v>0</v>
      </c>
      <c r="O111" s="11">
        <f t="shared" si="7"/>
        <v>0</v>
      </c>
      <c r="P111" s="11">
        <v>0</v>
      </c>
      <c r="Q111" s="11"/>
      <c r="R111" s="11">
        <v>66.8</v>
      </c>
      <c r="S111" s="11">
        <v>66.8</v>
      </c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33">
        <v>46216</v>
      </c>
      <c r="AE111" s="34" t="s">
        <v>465</v>
      </c>
      <c r="AF111" s="37" t="s">
        <v>550</v>
      </c>
      <c r="AG111" s="14" t="s">
        <v>513</v>
      </c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566</v>
      </c>
      <c r="AT111" s="14"/>
      <c r="AU111" s="11"/>
      <c r="AV111" s="14"/>
    </row>
    <row r="112" spans="1:49" s="45" customFormat="1" ht="15" x14ac:dyDescent="0.25">
      <c r="A112" s="199">
        <v>46186</v>
      </c>
      <c r="B112" s="72"/>
      <c r="C112" s="42" t="s">
        <v>49</v>
      </c>
      <c r="D112" s="42" t="s">
        <v>299</v>
      </c>
      <c r="E112" s="14"/>
      <c r="F112" s="71">
        <v>3920755</v>
      </c>
      <c r="G112" s="42" t="s">
        <v>50</v>
      </c>
      <c r="H112" s="31">
        <v>20101973922</v>
      </c>
      <c r="I112" s="138" t="str">
        <f>IF(H112="","",VLOOKUP(H112,[1]ENTIDAD!$B$2:$C$605,2,0))</f>
        <v>ASOCIACION AUTOMOTRIZ DEL PERU</v>
      </c>
      <c r="J112" s="11"/>
      <c r="K112" s="11"/>
      <c r="L112" s="11"/>
      <c r="M112" s="11"/>
      <c r="N112" s="11">
        <v>0</v>
      </c>
      <c r="O112" s="11">
        <f t="shared" si="7"/>
        <v>0</v>
      </c>
      <c r="P112" s="11">
        <v>0</v>
      </c>
      <c r="Q112" s="11"/>
      <c r="R112" s="11">
        <v>66.8</v>
      </c>
      <c r="S112" s="11">
        <v>66.8</v>
      </c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33">
        <v>46216</v>
      </c>
      <c r="AE112" s="34" t="s">
        <v>465</v>
      </c>
      <c r="AF112" s="37" t="s">
        <v>550</v>
      </c>
      <c r="AG112" s="14" t="s">
        <v>513</v>
      </c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566</v>
      </c>
      <c r="AT112" s="14"/>
      <c r="AU112" s="11"/>
      <c r="AV112" s="14"/>
    </row>
    <row r="113" spans="1:49" s="45" customFormat="1" ht="15" x14ac:dyDescent="0.25">
      <c r="A113" s="199">
        <v>46186</v>
      </c>
      <c r="B113" s="72"/>
      <c r="C113" s="42" t="s">
        <v>49</v>
      </c>
      <c r="D113" s="42" t="s">
        <v>299</v>
      </c>
      <c r="E113" s="14"/>
      <c r="F113" s="71">
        <v>3920756</v>
      </c>
      <c r="G113" s="42" t="s">
        <v>50</v>
      </c>
      <c r="H113" s="31">
        <v>20101973922</v>
      </c>
      <c r="I113" s="138" t="str">
        <f>IF(H113="","",VLOOKUP(H113,[1]ENTIDAD!$B$2:$C$605,2,0))</f>
        <v>ASOCIACION AUTOMOTRIZ DEL PERU</v>
      </c>
      <c r="J113" s="11"/>
      <c r="K113" s="11"/>
      <c r="L113" s="11"/>
      <c r="M113" s="11"/>
      <c r="N113" s="11">
        <v>0</v>
      </c>
      <c r="O113" s="11">
        <f t="shared" si="7"/>
        <v>0</v>
      </c>
      <c r="P113" s="11">
        <v>0</v>
      </c>
      <c r="Q113" s="11"/>
      <c r="R113" s="11">
        <v>66.8</v>
      </c>
      <c r="S113" s="11">
        <v>66.8</v>
      </c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33">
        <v>46216</v>
      </c>
      <c r="AE113" s="34" t="s">
        <v>465</v>
      </c>
      <c r="AF113" s="37" t="s">
        <v>550</v>
      </c>
      <c r="AG113" s="14" t="s">
        <v>513</v>
      </c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566</v>
      </c>
      <c r="AT113" s="14"/>
      <c r="AU113" s="11"/>
      <c r="AV113" s="14"/>
    </row>
    <row r="114" spans="1:49" s="45" customFormat="1" ht="15" x14ac:dyDescent="0.25">
      <c r="A114" s="199">
        <v>46186</v>
      </c>
      <c r="B114" s="72"/>
      <c r="C114" s="42" t="s">
        <v>49</v>
      </c>
      <c r="D114" s="42" t="s">
        <v>299</v>
      </c>
      <c r="E114" s="14"/>
      <c r="F114" s="71">
        <v>3920757</v>
      </c>
      <c r="G114" s="42" t="s">
        <v>50</v>
      </c>
      <c r="H114" s="31">
        <v>20101973922</v>
      </c>
      <c r="I114" s="138" t="str">
        <f>IF(H114="","",VLOOKUP(H114,[1]ENTIDAD!$B$2:$C$605,2,0))</f>
        <v>ASOCIACION AUTOMOTRIZ DEL PERU</v>
      </c>
      <c r="J114" s="11"/>
      <c r="K114" s="11"/>
      <c r="L114" s="11"/>
      <c r="M114" s="11"/>
      <c r="N114" s="11">
        <v>0</v>
      </c>
      <c r="O114" s="11">
        <f t="shared" si="7"/>
        <v>0</v>
      </c>
      <c r="P114" s="11">
        <v>0</v>
      </c>
      <c r="Q114" s="11"/>
      <c r="R114" s="11">
        <v>66.8</v>
      </c>
      <c r="S114" s="11">
        <v>66.8</v>
      </c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33">
        <v>46216</v>
      </c>
      <c r="AE114" s="34" t="s">
        <v>465</v>
      </c>
      <c r="AF114" s="37" t="s">
        <v>550</v>
      </c>
      <c r="AG114" s="14" t="s">
        <v>513</v>
      </c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566</v>
      </c>
      <c r="AT114" s="14"/>
      <c r="AU114" s="11"/>
      <c r="AV114" s="14"/>
    </row>
    <row r="115" spans="1:49" s="45" customFormat="1" ht="15" x14ac:dyDescent="0.25">
      <c r="A115" s="199">
        <v>46186</v>
      </c>
      <c r="B115" s="72"/>
      <c r="C115" s="42" t="s">
        <v>49</v>
      </c>
      <c r="D115" s="42" t="s">
        <v>299</v>
      </c>
      <c r="E115" s="14"/>
      <c r="F115" s="71">
        <v>3920758</v>
      </c>
      <c r="G115" s="42" t="s">
        <v>50</v>
      </c>
      <c r="H115" s="31">
        <v>20101973922</v>
      </c>
      <c r="I115" s="138" t="str">
        <f>IF(H115="","",VLOOKUP(H115,[1]ENTIDAD!$B$2:$C$605,2,0))</f>
        <v>ASOCIACION AUTOMOTRIZ DEL PERU</v>
      </c>
      <c r="J115" s="11"/>
      <c r="K115" s="11"/>
      <c r="L115" s="11"/>
      <c r="M115" s="11"/>
      <c r="N115" s="11">
        <v>0</v>
      </c>
      <c r="O115" s="11">
        <f t="shared" si="7"/>
        <v>0</v>
      </c>
      <c r="P115" s="11">
        <v>0</v>
      </c>
      <c r="Q115" s="11"/>
      <c r="R115" s="11">
        <v>66.8</v>
      </c>
      <c r="S115" s="11">
        <v>66.8</v>
      </c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33">
        <v>46216</v>
      </c>
      <c r="AE115" s="34" t="s">
        <v>465</v>
      </c>
      <c r="AF115" s="37" t="s">
        <v>550</v>
      </c>
      <c r="AG115" s="14" t="s">
        <v>513</v>
      </c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566</v>
      </c>
      <c r="AT115" s="14"/>
      <c r="AU115" s="11"/>
      <c r="AV115" s="14"/>
    </row>
    <row r="116" spans="1:49" s="45" customFormat="1" ht="15" x14ac:dyDescent="0.25">
      <c r="A116" s="200">
        <v>46186</v>
      </c>
      <c r="B116" s="109"/>
      <c r="C116" s="111" t="s">
        <v>49</v>
      </c>
      <c r="D116" s="42" t="s">
        <v>299</v>
      </c>
      <c r="E116" s="112"/>
      <c r="F116" s="113">
        <v>3920759</v>
      </c>
      <c r="G116" s="111" t="s">
        <v>50</v>
      </c>
      <c r="H116" s="114">
        <v>20101973922</v>
      </c>
      <c r="I116" s="139" t="str">
        <f>IF(H116="","",VLOOKUP(H116,ENTIDAD!$B$2:$C$613,2,0))</f>
        <v>ASOCIACION AUTOMOTRIZ DEL PERU</v>
      </c>
      <c r="J116" s="116"/>
      <c r="K116" s="116"/>
      <c r="L116" s="116"/>
      <c r="M116" s="116"/>
      <c r="N116" s="11">
        <v>0</v>
      </c>
      <c r="O116" s="11">
        <f t="shared" si="7"/>
        <v>0</v>
      </c>
      <c r="P116" s="11">
        <v>0</v>
      </c>
      <c r="Q116" s="116"/>
      <c r="R116" s="11">
        <v>66.8</v>
      </c>
      <c r="S116" s="11">
        <v>66.8</v>
      </c>
      <c r="T116" s="112"/>
      <c r="U116" s="112"/>
      <c r="V116" s="109"/>
      <c r="W116" s="118"/>
      <c r="X116" s="109"/>
      <c r="Y116" s="112"/>
      <c r="Z116" s="112"/>
      <c r="AA116" s="112"/>
      <c r="AB116" s="42" t="s">
        <v>224</v>
      </c>
      <c r="AC116" s="11"/>
      <c r="AD116" s="33">
        <v>46216</v>
      </c>
      <c r="AE116" s="34" t="s">
        <v>465</v>
      </c>
      <c r="AF116" s="99" t="s">
        <v>550</v>
      </c>
      <c r="AG116" s="14" t="s">
        <v>513</v>
      </c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566</v>
      </c>
      <c r="AT116" s="112"/>
      <c r="AU116" s="116"/>
      <c r="AV116" s="112"/>
      <c r="AW116" s="121"/>
    </row>
    <row r="117" spans="1:49" s="45" customFormat="1" ht="15" x14ac:dyDescent="0.25">
      <c r="A117" s="199">
        <v>46186</v>
      </c>
      <c r="B117" s="72"/>
      <c r="C117" s="42" t="s">
        <v>49</v>
      </c>
      <c r="D117" s="42" t="s">
        <v>301</v>
      </c>
      <c r="E117" s="14"/>
      <c r="F117" s="71">
        <v>18761</v>
      </c>
      <c r="G117" s="42" t="s">
        <v>50</v>
      </c>
      <c r="H117" s="31">
        <v>20493508645</v>
      </c>
      <c r="I117" s="138" t="str">
        <f>IF(H117="","",VLOOKUP(H117,[1]ENTIDAD!$B$2:$C$605,2,0))</f>
        <v>HONDA SELVA DEL PERU S.A.</v>
      </c>
      <c r="J117" s="11"/>
      <c r="K117" s="11"/>
      <c r="L117" s="11"/>
      <c r="M117" s="11"/>
      <c r="N117" s="11">
        <f t="shared" ref="N117:N126" si="8">(S117-P117)/1.18</f>
        <v>3.9152542370375467E-3</v>
      </c>
      <c r="O117" s="11">
        <f t="shared" ref="O117:O127" si="9">N117*0.18</f>
        <v>7.0474576266675842E-4</v>
      </c>
      <c r="P117" s="11">
        <v>20441.02</v>
      </c>
      <c r="Q117" s="11"/>
      <c r="R117" s="11"/>
      <c r="S117" s="11">
        <f>W117*AC117</f>
        <v>20441.02462</v>
      </c>
      <c r="T117" s="14"/>
      <c r="U117" s="14"/>
      <c r="V117" s="13"/>
      <c r="W117" s="15">
        <v>3.3889999999999998</v>
      </c>
      <c r="X117" s="13"/>
      <c r="Y117" s="14"/>
      <c r="Z117" s="14"/>
      <c r="AA117" s="14"/>
      <c r="AB117" s="42" t="s">
        <v>383</v>
      </c>
      <c r="AC117" s="11">
        <v>6031.58</v>
      </c>
      <c r="AD117" s="33">
        <v>46216</v>
      </c>
      <c r="AE117" s="34" t="s">
        <v>465</v>
      </c>
      <c r="AF117" s="19" t="s">
        <v>532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201</v>
      </c>
      <c r="AT117" s="14"/>
      <c r="AU117" s="11"/>
      <c r="AV117" s="14"/>
    </row>
    <row r="118" spans="1:49" s="45" customFormat="1" ht="15" x14ac:dyDescent="0.25">
      <c r="A118" s="199">
        <v>46189</v>
      </c>
      <c r="B118" s="72"/>
      <c r="C118" s="42" t="s">
        <v>49</v>
      </c>
      <c r="D118" s="42" t="s">
        <v>292</v>
      </c>
      <c r="E118" s="14"/>
      <c r="F118" s="71">
        <v>7337</v>
      </c>
      <c r="G118" s="42" t="s">
        <v>50</v>
      </c>
      <c r="H118" s="31">
        <v>20485887866</v>
      </c>
      <c r="I118" s="138" t="str">
        <f>IF(H118="","",VLOOKUP(H118,[1]ENTIDAD!$B$2:$C$605,2,0))</f>
        <v>COMPUTEK INGENIEROS E.I.R.L.</v>
      </c>
      <c r="J118" s="11"/>
      <c r="K118" s="11"/>
      <c r="L118" s="11"/>
      <c r="M118" s="11"/>
      <c r="N118" s="11">
        <f t="shared" si="8"/>
        <v>0</v>
      </c>
      <c r="O118" s="11">
        <f t="shared" si="9"/>
        <v>0</v>
      </c>
      <c r="P118" s="11">
        <v>18</v>
      </c>
      <c r="Q118" s="11"/>
      <c r="R118" s="11"/>
      <c r="S118" s="11">
        <v>18</v>
      </c>
      <c r="T118" s="14"/>
      <c r="U118" s="14"/>
      <c r="V118" s="13"/>
      <c r="W118" s="15"/>
      <c r="X118" s="13"/>
      <c r="Y118" s="14"/>
      <c r="Z118" s="14"/>
      <c r="AA118" s="14"/>
      <c r="AB118" s="42" t="s">
        <v>224</v>
      </c>
      <c r="AC118" s="11"/>
      <c r="AD118" s="33">
        <v>46219</v>
      </c>
      <c r="AE118" s="14" t="s">
        <v>465</v>
      </c>
      <c r="AF118" s="34" t="s">
        <v>4609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6453</v>
      </c>
      <c r="AT118" s="14"/>
      <c r="AU118" s="11"/>
      <c r="AV118" s="14"/>
    </row>
    <row r="119" spans="1:49" s="45" customFormat="1" ht="15" x14ac:dyDescent="0.25">
      <c r="A119" s="199">
        <v>46190</v>
      </c>
      <c r="B119" s="72"/>
      <c r="C119" s="42" t="s">
        <v>49</v>
      </c>
      <c r="D119" s="42" t="s">
        <v>301</v>
      </c>
      <c r="E119" s="14"/>
      <c r="F119" s="71">
        <v>18820</v>
      </c>
      <c r="G119" s="42" t="s">
        <v>50</v>
      </c>
      <c r="H119" s="31">
        <v>20493508645</v>
      </c>
      <c r="I119" s="138" t="str">
        <f>IF(H119="","",VLOOKUP(H119,[1]ENTIDAD!$B$2:$C$605,2,0))</f>
        <v>HONDA SELVA DEL PERU S.A.</v>
      </c>
      <c r="J119" s="11"/>
      <c r="K119" s="11"/>
      <c r="L119" s="11"/>
      <c r="M119" s="11"/>
      <c r="N119" s="11">
        <f t="shared" si="8"/>
        <v>-5.2542372787237111E-4</v>
      </c>
      <c r="O119" s="11">
        <f t="shared" si="9"/>
        <v>-9.4576271017026797E-5</v>
      </c>
      <c r="P119" s="11">
        <v>19996.38</v>
      </c>
      <c r="Q119" s="11"/>
      <c r="R119" s="11"/>
      <c r="S119" s="11">
        <f>W119*AC119</f>
        <v>19996.379380000002</v>
      </c>
      <c r="T119" s="14"/>
      <c r="U119" s="14"/>
      <c r="V119" s="13"/>
      <c r="W119" s="15">
        <v>3.3820000000000001</v>
      </c>
      <c r="X119" s="13"/>
      <c r="Y119" s="14"/>
      <c r="Z119" s="14"/>
      <c r="AA119" s="14"/>
      <c r="AB119" s="42" t="s">
        <v>383</v>
      </c>
      <c r="AC119" s="11">
        <v>5912.59</v>
      </c>
      <c r="AD119" s="33">
        <v>46220</v>
      </c>
      <c r="AE119" s="34" t="s">
        <v>465</v>
      </c>
      <c r="AF119" s="19" t="s">
        <v>532</v>
      </c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 t="s">
        <v>201</v>
      </c>
      <c r="AT119" s="14"/>
      <c r="AU119" s="11"/>
      <c r="AV119" s="14"/>
    </row>
    <row r="120" spans="1:49" s="45" customFormat="1" ht="15" x14ac:dyDescent="0.25">
      <c r="A120" s="199">
        <v>46190</v>
      </c>
      <c r="B120" s="72"/>
      <c r="C120" s="42" t="s">
        <v>49</v>
      </c>
      <c r="D120" s="42" t="s">
        <v>439</v>
      </c>
      <c r="E120" s="14"/>
      <c r="F120" s="71">
        <v>16100</v>
      </c>
      <c r="G120" s="42" t="s">
        <v>50</v>
      </c>
      <c r="H120" s="31">
        <v>20493508645</v>
      </c>
      <c r="I120" s="138" t="str">
        <f>IF(H120="","",VLOOKUP(H120,[1]ENTIDAD!$B$2:$C$605,2,0))</f>
        <v>HONDA SELVA DEL PERU S.A.</v>
      </c>
      <c r="J120" s="11"/>
      <c r="K120" s="11"/>
      <c r="L120" s="11"/>
      <c r="M120" s="11"/>
      <c r="N120" s="11">
        <f t="shared" si="8"/>
        <v>1.0169491515163397E-3</v>
      </c>
      <c r="O120" s="11">
        <f t="shared" si="9"/>
        <v>1.8305084727294113E-4</v>
      </c>
      <c r="P120" s="11">
        <v>34484.9</v>
      </c>
      <c r="Q120" s="11"/>
      <c r="R120" s="11"/>
      <c r="S120" s="11">
        <f>W120*AC120</f>
        <v>34484.9012</v>
      </c>
      <c r="T120" s="14"/>
      <c r="U120" s="14"/>
      <c r="V120" s="13"/>
      <c r="W120" s="15">
        <v>3.3820000000000001</v>
      </c>
      <c r="X120" s="13"/>
      <c r="Y120" s="14"/>
      <c r="Z120" s="14"/>
      <c r="AA120" s="14"/>
      <c r="AB120" s="42" t="s">
        <v>383</v>
      </c>
      <c r="AC120" s="11">
        <v>10196.6</v>
      </c>
      <c r="AD120" s="33">
        <v>46220</v>
      </c>
      <c r="AE120" s="34" t="s">
        <v>465</v>
      </c>
      <c r="AF120" s="19" t="s">
        <v>532</v>
      </c>
      <c r="AG120" s="14"/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 t="s">
        <v>201</v>
      </c>
      <c r="AT120" s="14"/>
      <c r="AU120" s="11"/>
      <c r="AV120" s="14"/>
    </row>
    <row r="121" spans="1:49" s="45" customFormat="1" ht="15" x14ac:dyDescent="0.25">
      <c r="A121" s="199">
        <v>46190</v>
      </c>
      <c r="B121" s="72"/>
      <c r="C121" s="42" t="s">
        <v>49</v>
      </c>
      <c r="D121" s="42" t="s">
        <v>301</v>
      </c>
      <c r="E121" s="14"/>
      <c r="F121" s="71">
        <v>18826</v>
      </c>
      <c r="G121" s="42" t="s">
        <v>50</v>
      </c>
      <c r="H121" s="31">
        <v>20493508645</v>
      </c>
      <c r="I121" s="138" t="str">
        <f>IF(H121="","",VLOOKUP(H121,[1]ENTIDAD!$B$2:$C$605,2,0))</f>
        <v>HONDA SELVA DEL PERU S.A.</v>
      </c>
      <c r="J121" s="11"/>
      <c r="K121" s="11"/>
      <c r="L121" s="11"/>
      <c r="M121" s="11"/>
      <c r="N121" s="11">
        <f t="shared" si="8"/>
        <v>-2.7288135582131286E-3</v>
      </c>
      <c r="O121" s="11">
        <f t="shared" si="9"/>
        <v>-4.911864404783631E-4</v>
      </c>
      <c r="P121" s="11">
        <v>20117.12</v>
      </c>
      <c r="Q121" s="11"/>
      <c r="R121" s="11"/>
      <c r="S121" s="11">
        <f>W121*AC121</f>
        <v>20117.11678</v>
      </c>
      <c r="T121" s="14"/>
      <c r="U121" s="14"/>
      <c r="V121" s="13"/>
      <c r="W121" s="15">
        <v>3.3820000000000001</v>
      </c>
      <c r="X121" s="13"/>
      <c r="Y121" s="14"/>
      <c r="Z121" s="14"/>
      <c r="AA121" s="14"/>
      <c r="AB121" s="42" t="s">
        <v>383</v>
      </c>
      <c r="AC121" s="11">
        <v>5948.29</v>
      </c>
      <c r="AD121" s="33">
        <v>46220</v>
      </c>
      <c r="AE121" s="34" t="s">
        <v>465</v>
      </c>
      <c r="AF121" s="19" t="s">
        <v>532</v>
      </c>
      <c r="AG121" s="14"/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201</v>
      </c>
      <c r="AT121" s="14"/>
      <c r="AU121" s="11"/>
      <c r="AV121" s="14"/>
    </row>
    <row r="122" spans="1:49" s="45" customFormat="1" ht="15" x14ac:dyDescent="0.25">
      <c r="A122" s="199">
        <v>46190</v>
      </c>
      <c r="B122" s="72"/>
      <c r="C122" s="42" t="s">
        <v>49</v>
      </c>
      <c r="D122" s="42" t="s">
        <v>441</v>
      </c>
      <c r="E122" s="14"/>
      <c r="F122" s="71">
        <v>47490399</v>
      </c>
      <c r="G122" s="42" t="s">
        <v>50</v>
      </c>
      <c r="H122" s="31">
        <v>20100047218</v>
      </c>
      <c r="I122" s="138" t="str">
        <f>IF(H122="","",VLOOKUP(H122,[1]ENTIDAD!$B$2:$C$605,2,0))</f>
        <v>BANCO DE CREDITO DEL PERU</v>
      </c>
      <c r="J122" s="11"/>
      <c r="K122" s="11"/>
      <c r="L122" s="11"/>
      <c r="M122" s="11"/>
      <c r="N122" s="11">
        <f t="shared" si="8"/>
        <v>0</v>
      </c>
      <c r="O122" s="11">
        <f t="shared" si="9"/>
        <v>0</v>
      </c>
      <c r="P122" s="11">
        <v>10</v>
      </c>
      <c r="Q122" s="11"/>
      <c r="R122" s="11"/>
      <c r="S122" s="11">
        <v>10</v>
      </c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33">
        <v>46220</v>
      </c>
      <c r="AE122" s="14" t="s">
        <v>465</v>
      </c>
      <c r="AF122" s="19" t="s">
        <v>494</v>
      </c>
      <c r="AG122" s="14"/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6448</v>
      </c>
      <c r="AT122" s="14"/>
      <c r="AU122" s="11"/>
      <c r="AV122" s="14"/>
    </row>
    <row r="123" spans="1:49" s="121" customFormat="1" ht="15" x14ac:dyDescent="0.25">
      <c r="A123" s="199">
        <v>46190</v>
      </c>
      <c r="B123" s="72"/>
      <c r="C123" s="42" t="s">
        <v>49</v>
      </c>
      <c r="D123" s="42" t="s">
        <v>441</v>
      </c>
      <c r="E123" s="14"/>
      <c r="F123" s="71">
        <v>47490449</v>
      </c>
      <c r="G123" s="42" t="s">
        <v>50</v>
      </c>
      <c r="H123" s="31">
        <v>20100047218</v>
      </c>
      <c r="I123" s="138" t="str">
        <f>IF(H123="","",VLOOKUP(H123,[1]ENTIDAD!$B$2:$C$605,2,0))</f>
        <v>BANCO DE CREDITO DEL PERU</v>
      </c>
      <c r="J123" s="11"/>
      <c r="K123" s="11"/>
      <c r="L123" s="11"/>
      <c r="M123" s="11"/>
      <c r="N123" s="11">
        <f t="shared" si="8"/>
        <v>0</v>
      </c>
      <c r="O123" s="11">
        <f t="shared" si="9"/>
        <v>0</v>
      </c>
      <c r="P123" s="11">
        <v>10</v>
      </c>
      <c r="Q123" s="11"/>
      <c r="R123" s="11"/>
      <c r="S123" s="11">
        <v>10</v>
      </c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33">
        <v>46220</v>
      </c>
      <c r="AE123" s="14" t="s">
        <v>465</v>
      </c>
      <c r="AF123" s="19" t="s">
        <v>494</v>
      </c>
      <c r="AG123" s="14"/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6448</v>
      </c>
      <c r="AT123" s="14"/>
      <c r="AU123" s="11"/>
      <c r="AV123" s="14"/>
      <c r="AW123" s="45"/>
    </row>
    <row r="124" spans="1:49" s="45" customFormat="1" ht="15" x14ac:dyDescent="0.25">
      <c r="A124" s="199">
        <v>46190</v>
      </c>
      <c r="B124" s="72"/>
      <c r="C124" s="42" t="s">
        <v>49</v>
      </c>
      <c r="D124" s="42" t="s">
        <v>301</v>
      </c>
      <c r="E124" s="14"/>
      <c r="F124" s="71">
        <v>18843</v>
      </c>
      <c r="G124" s="42" t="s">
        <v>50</v>
      </c>
      <c r="H124" s="31">
        <v>20493508645</v>
      </c>
      <c r="I124" s="43" t="str">
        <f>IF(H124="","",VLOOKUP(H124,[1]ENTIDAD!$B$2:$C$605,2,0))</f>
        <v>HONDA SELVA DEL PERU S.A.</v>
      </c>
      <c r="J124" s="11"/>
      <c r="K124" s="11"/>
      <c r="L124" s="11"/>
      <c r="M124" s="11"/>
      <c r="N124" s="11">
        <f t="shared" si="8"/>
        <v>-2.7288135582131286E-3</v>
      </c>
      <c r="O124" s="11">
        <f t="shared" si="9"/>
        <v>-4.911864404783631E-4</v>
      </c>
      <c r="P124" s="11">
        <v>20117.12</v>
      </c>
      <c r="Q124" s="11"/>
      <c r="R124" s="11"/>
      <c r="S124" s="11">
        <f>W124*AC124</f>
        <v>20117.11678</v>
      </c>
      <c r="T124" s="14"/>
      <c r="U124" s="14"/>
      <c r="V124" s="13"/>
      <c r="W124" s="15">
        <v>3.3820000000000001</v>
      </c>
      <c r="X124" s="13"/>
      <c r="Y124" s="14"/>
      <c r="Z124" s="14"/>
      <c r="AA124" s="14"/>
      <c r="AB124" s="42" t="s">
        <v>383</v>
      </c>
      <c r="AC124" s="11">
        <v>5948.29</v>
      </c>
      <c r="AD124" s="33">
        <v>46220</v>
      </c>
      <c r="AE124" s="34" t="s">
        <v>465</v>
      </c>
      <c r="AF124" s="73" t="s">
        <v>532</v>
      </c>
      <c r="AG124" s="14"/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201</v>
      </c>
      <c r="AT124" s="14"/>
      <c r="AU124" s="11"/>
      <c r="AV124" s="14"/>
    </row>
    <row r="125" spans="1:49" s="45" customFormat="1" ht="15" x14ac:dyDescent="0.25">
      <c r="A125" s="200">
        <v>46190</v>
      </c>
      <c r="B125" s="109"/>
      <c r="C125" s="111" t="s">
        <v>49</v>
      </c>
      <c r="D125" s="111" t="s">
        <v>292</v>
      </c>
      <c r="E125" s="112"/>
      <c r="F125" s="113">
        <v>556</v>
      </c>
      <c r="G125" s="111" t="s">
        <v>50</v>
      </c>
      <c r="H125" s="114">
        <v>10712058159</v>
      </c>
      <c r="I125" s="115" t="str">
        <f>IF(H125="","",VLOOKUP(H125,ENTIDAD!$B$2:$C$613,2,0))</f>
        <v>HUAYTA BRAVO LEONOR LEONILDA</v>
      </c>
      <c r="J125" s="116"/>
      <c r="K125" s="116"/>
      <c r="L125" s="116"/>
      <c r="M125" s="116"/>
      <c r="N125" s="116">
        <f t="shared" si="8"/>
        <v>0</v>
      </c>
      <c r="O125" s="116">
        <f t="shared" si="9"/>
        <v>0</v>
      </c>
      <c r="P125" s="116">
        <v>180</v>
      </c>
      <c r="Q125" s="116"/>
      <c r="R125" s="116"/>
      <c r="S125" s="116">
        <v>180</v>
      </c>
      <c r="T125" s="112"/>
      <c r="U125" s="112"/>
      <c r="V125" s="109"/>
      <c r="W125" s="118"/>
      <c r="X125" s="109"/>
      <c r="Y125" s="112"/>
      <c r="Z125" s="112"/>
      <c r="AA125" s="112"/>
      <c r="AB125" s="111" t="s">
        <v>224</v>
      </c>
      <c r="AC125" s="116"/>
      <c r="AD125" s="126">
        <v>46220</v>
      </c>
      <c r="AE125" s="112" t="s">
        <v>465</v>
      </c>
      <c r="AF125" s="241" t="s">
        <v>512</v>
      </c>
      <c r="AG125" s="112"/>
      <c r="AH125" s="112" t="s">
        <v>225</v>
      </c>
      <c r="AI125" s="112"/>
      <c r="AJ125" s="112"/>
      <c r="AK125" s="120"/>
      <c r="AL125" s="116"/>
      <c r="AM125" s="116"/>
      <c r="AN125" s="112"/>
      <c r="AO125" s="112"/>
      <c r="AP125" s="109"/>
      <c r="AQ125" s="112"/>
      <c r="AR125" s="116">
        <v>18</v>
      </c>
      <c r="AS125" s="112" t="s">
        <v>6460</v>
      </c>
      <c r="AT125" s="112"/>
      <c r="AU125" s="116"/>
      <c r="AV125" s="112"/>
      <c r="AW125" s="121"/>
    </row>
    <row r="126" spans="1:49" s="45" customFormat="1" ht="15" x14ac:dyDescent="0.25">
      <c r="A126" s="199">
        <v>46190</v>
      </c>
      <c r="B126" s="72"/>
      <c r="C126" s="42" t="s">
        <v>49</v>
      </c>
      <c r="D126" s="42" t="s">
        <v>292</v>
      </c>
      <c r="E126" s="14"/>
      <c r="F126" s="71">
        <v>675</v>
      </c>
      <c r="G126" s="42" t="s">
        <v>50</v>
      </c>
      <c r="H126" s="31">
        <v>10731429923</v>
      </c>
      <c r="I126" s="138" t="str">
        <f>IF(H126="","",VLOOKUP(H126,ENTIDAD!$B$2:$C$613,2,0))</f>
        <v>CARBAJAL CHAVEZ NEUSEVYA JANNE</v>
      </c>
      <c r="J126" s="11"/>
      <c r="K126" s="11"/>
      <c r="L126" s="11"/>
      <c r="M126" s="11"/>
      <c r="N126" s="11">
        <f t="shared" si="8"/>
        <v>0</v>
      </c>
      <c r="O126" s="11">
        <f t="shared" si="9"/>
        <v>0</v>
      </c>
      <c r="P126" s="11">
        <v>42</v>
      </c>
      <c r="Q126" s="11"/>
      <c r="R126" s="11"/>
      <c r="S126" s="11">
        <v>42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33">
        <v>46190</v>
      </c>
      <c r="AE126" s="14" t="s">
        <v>262</v>
      </c>
      <c r="AF126" s="19" t="s">
        <v>515</v>
      </c>
      <c r="AG126" s="14"/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6463</v>
      </c>
      <c r="AT126" s="14"/>
      <c r="AU126" s="11"/>
      <c r="AV126" s="14"/>
    </row>
    <row r="127" spans="1:49" s="45" customFormat="1" ht="15" x14ac:dyDescent="0.25">
      <c r="A127" s="199">
        <v>46192</v>
      </c>
      <c r="B127" s="72"/>
      <c r="C127" s="42" t="s">
        <v>49</v>
      </c>
      <c r="D127" s="42" t="s">
        <v>299</v>
      </c>
      <c r="E127" s="14"/>
      <c r="F127" s="71">
        <v>3936193</v>
      </c>
      <c r="G127" s="42" t="s">
        <v>50</v>
      </c>
      <c r="H127" s="31">
        <v>20101973922</v>
      </c>
      <c r="I127" s="138" t="str">
        <f>IF(H127="","",VLOOKUP(H127,[1]ENTIDAD!$B$2:$C$605,2,0))</f>
        <v>ASOCIACION AUTOMOTRIZ DEL PERU</v>
      </c>
      <c r="J127" s="11"/>
      <c r="K127" s="11"/>
      <c r="L127" s="11"/>
      <c r="M127" s="11"/>
      <c r="N127" s="11">
        <v>0</v>
      </c>
      <c r="O127" s="11">
        <f t="shared" si="9"/>
        <v>0</v>
      </c>
      <c r="P127" s="11">
        <v>0</v>
      </c>
      <c r="Q127" s="11"/>
      <c r="R127" s="11">
        <v>66.8</v>
      </c>
      <c r="S127" s="11">
        <v>66.8</v>
      </c>
      <c r="T127" s="14"/>
      <c r="U127" s="14"/>
      <c r="V127" s="13"/>
      <c r="W127" s="15"/>
      <c r="X127" s="13"/>
      <c r="Y127" s="14"/>
      <c r="Z127" s="14"/>
      <c r="AA127" s="14"/>
      <c r="AB127" s="42" t="s">
        <v>224</v>
      </c>
      <c r="AC127" s="11"/>
      <c r="AD127" s="33">
        <v>46222</v>
      </c>
      <c r="AE127" s="34" t="s">
        <v>465</v>
      </c>
      <c r="AF127" s="37" t="s">
        <v>550</v>
      </c>
      <c r="AG127" s="14" t="s">
        <v>513</v>
      </c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566</v>
      </c>
      <c r="AT127" s="14"/>
      <c r="AU127" s="11"/>
      <c r="AV127" s="14"/>
    </row>
    <row r="128" spans="1:49" s="45" customFormat="1" ht="15" x14ac:dyDescent="0.25">
      <c r="A128" s="199">
        <v>46192</v>
      </c>
      <c r="B128" s="72"/>
      <c r="C128" s="42" t="s">
        <v>49</v>
      </c>
      <c r="D128" s="42" t="s">
        <v>299</v>
      </c>
      <c r="E128" s="14"/>
      <c r="F128" s="71">
        <v>3936194</v>
      </c>
      <c r="G128" s="42" t="s">
        <v>50</v>
      </c>
      <c r="H128" s="31">
        <v>20101973922</v>
      </c>
      <c r="I128" s="138" t="str">
        <f>IF(H128="","",VLOOKUP(H128,[1]ENTIDAD!$B$2:$C$605,2,0))</f>
        <v>ASOCIACION AUTOMOTRIZ DEL PERU</v>
      </c>
      <c r="J128" s="11"/>
      <c r="K128" s="11"/>
      <c r="L128" s="11"/>
      <c r="M128" s="11"/>
      <c r="N128" s="11">
        <v>0</v>
      </c>
      <c r="O128" s="11">
        <f t="shared" ref="O128:O144" si="10">N128*0.18</f>
        <v>0</v>
      </c>
      <c r="P128" s="11">
        <v>0</v>
      </c>
      <c r="Q128" s="11"/>
      <c r="R128" s="11">
        <v>66.8</v>
      </c>
      <c r="S128" s="11">
        <v>66.8</v>
      </c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33">
        <v>46222</v>
      </c>
      <c r="AE128" s="34" t="s">
        <v>465</v>
      </c>
      <c r="AF128" s="37" t="s">
        <v>550</v>
      </c>
      <c r="AG128" s="14" t="s">
        <v>513</v>
      </c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566</v>
      </c>
      <c r="AT128" s="14"/>
      <c r="AU128" s="11"/>
      <c r="AV128" s="14"/>
    </row>
    <row r="129" spans="1:49" s="45" customFormat="1" ht="15" x14ac:dyDescent="0.25">
      <c r="A129" s="199">
        <v>46192</v>
      </c>
      <c r="B129" s="72"/>
      <c r="C129" s="42" t="s">
        <v>49</v>
      </c>
      <c r="D129" s="42" t="s">
        <v>299</v>
      </c>
      <c r="E129" s="14"/>
      <c r="F129" s="71">
        <v>3936195</v>
      </c>
      <c r="G129" s="42" t="s">
        <v>50</v>
      </c>
      <c r="H129" s="31">
        <v>20101973922</v>
      </c>
      <c r="I129" s="138" t="str">
        <f>IF(H129="","",VLOOKUP(H129,[1]ENTIDAD!$B$2:$C$605,2,0))</f>
        <v>ASOCIACION AUTOMOTRIZ DEL PERU</v>
      </c>
      <c r="J129" s="11"/>
      <c r="K129" s="11"/>
      <c r="L129" s="11"/>
      <c r="M129" s="11"/>
      <c r="N129" s="11">
        <v>0</v>
      </c>
      <c r="O129" s="11">
        <f t="shared" si="10"/>
        <v>0</v>
      </c>
      <c r="P129" s="11">
        <v>0</v>
      </c>
      <c r="Q129" s="11"/>
      <c r="R129" s="11">
        <v>66.8</v>
      </c>
      <c r="S129" s="11">
        <v>66.8</v>
      </c>
      <c r="T129" s="14"/>
      <c r="U129" s="14"/>
      <c r="V129" s="13"/>
      <c r="W129" s="15"/>
      <c r="X129" s="13"/>
      <c r="Y129" s="14"/>
      <c r="Z129" s="14"/>
      <c r="AA129" s="14"/>
      <c r="AB129" s="42" t="s">
        <v>224</v>
      </c>
      <c r="AC129" s="11"/>
      <c r="AD129" s="33">
        <v>46222</v>
      </c>
      <c r="AE129" s="34" t="s">
        <v>465</v>
      </c>
      <c r="AF129" s="37" t="s">
        <v>550</v>
      </c>
      <c r="AG129" s="14" t="s">
        <v>513</v>
      </c>
      <c r="AH129" s="1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566</v>
      </c>
      <c r="AT129" s="14"/>
      <c r="AU129" s="11"/>
      <c r="AV129" s="14"/>
    </row>
    <row r="130" spans="1:49" s="45" customFormat="1" ht="15" x14ac:dyDescent="0.25">
      <c r="A130" s="199">
        <v>46192</v>
      </c>
      <c r="B130" s="72"/>
      <c r="C130" s="42" t="s">
        <v>49</v>
      </c>
      <c r="D130" s="42" t="s">
        <v>299</v>
      </c>
      <c r="E130" s="14"/>
      <c r="F130" s="71">
        <v>3936196</v>
      </c>
      <c r="G130" s="42" t="s">
        <v>50</v>
      </c>
      <c r="H130" s="31">
        <v>20101973922</v>
      </c>
      <c r="I130" s="138" t="str">
        <f>IF(H130="","",VLOOKUP(H130,[1]ENTIDAD!$B$2:$C$605,2,0))</f>
        <v>ASOCIACION AUTOMOTRIZ DEL PERU</v>
      </c>
      <c r="J130" s="11"/>
      <c r="K130" s="11"/>
      <c r="L130" s="11"/>
      <c r="M130" s="11"/>
      <c r="N130" s="11">
        <v>0</v>
      </c>
      <c r="O130" s="11">
        <f t="shared" si="10"/>
        <v>0</v>
      </c>
      <c r="P130" s="11">
        <v>0</v>
      </c>
      <c r="Q130" s="11"/>
      <c r="R130" s="11">
        <v>66.8</v>
      </c>
      <c r="S130" s="11">
        <v>66.8</v>
      </c>
      <c r="T130" s="14"/>
      <c r="U130" s="14"/>
      <c r="V130" s="13"/>
      <c r="W130" s="15"/>
      <c r="X130" s="13"/>
      <c r="Y130" s="14"/>
      <c r="Z130" s="14"/>
      <c r="AA130" s="14"/>
      <c r="AB130" s="42" t="s">
        <v>224</v>
      </c>
      <c r="AC130" s="11"/>
      <c r="AD130" s="33">
        <v>46222</v>
      </c>
      <c r="AE130" s="34" t="s">
        <v>465</v>
      </c>
      <c r="AF130" s="37" t="s">
        <v>550</v>
      </c>
      <c r="AG130" s="14" t="s">
        <v>513</v>
      </c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 t="s">
        <v>566</v>
      </c>
      <c r="AT130" s="14"/>
      <c r="AU130" s="11"/>
      <c r="AV130" s="14"/>
    </row>
    <row r="131" spans="1:49" s="45" customFormat="1" ht="15" x14ac:dyDescent="0.25">
      <c r="A131" s="200">
        <v>46192</v>
      </c>
      <c r="B131" s="72"/>
      <c r="C131" s="111" t="s">
        <v>49</v>
      </c>
      <c r="D131" s="42" t="s">
        <v>299</v>
      </c>
      <c r="E131" s="112"/>
      <c r="F131" s="71">
        <v>3936197</v>
      </c>
      <c r="G131" s="42" t="s">
        <v>50</v>
      </c>
      <c r="H131" s="31">
        <v>20101973922</v>
      </c>
      <c r="I131" s="139" t="str">
        <f>IF(H131="","",VLOOKUP(H131,[1]ENTIDAD!$B$2:$C$605,2,0))</f>
        <v>ASOCIACION AUTOMOTRIZ DEL PERU</v>
      </c>
      <c r="J131" s="116"/>
      <c r="K131" s="116"/>
      <c r="L131" s="116"/>
      <c r="M131" s="116"/>
      <c r="N131" s="11">
        <v>0</v>
      </c>
      <c r="O131" s="11">
        <f t="shared" si="10"/>
        <v>0</v>
      </c>
      <c r="P131" s="11">
        <v>0</v>
      </c>
      <c r="Q131" s="116"/>
      <c r="R131" s="116">
        <v>66.8</v>
      </c>
      <c r="S131" s="11">
        <v>66.8</v>
      </c>
      <c r="T131" s="112"/>
      <c r="U131" s="112"/>
      <c r="V131" s="109"/>
      <c r="W131" s="118"/>
      <c r="X131" s="109"/>
      <c r="Y131" s="112"/>
      <c r="Z131" s="112"/>
      <c r="AA131" s="112"/>
      <c r="AB131" s="42" t="s">
        <v>224</v>
      </c>
      <c r="AC131" s="11"/>
      <c r="AD131" s="33">
        <v>46222</v>
      </c>
      <c r="AE131" s="34" t="s">
        <v>465</v>
      </c>
      <c r="AF131" s="37" t="s">
        <v>550</v>
      </c>
      <c r="AG131" s="14" t="s">
        <v>513</v>
      </c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566</v>
      </c>
      <c r="AT131" s="112"/>
      <c r="AU131" s="116"/>
      <c r="AV131" s="112"/>
      <c r="AW131" s="121"/>
    </row>
    <row r="132" spans="1:49" s="45" customFormat="1" ht="15" x14ac:dyDescent="0.25">
      <c r="A132" s="199">
        <v>46192</v>
      </c>
      <c r="B132" s="72"/>
      <c r="C132" s="42" t="s">
        <v>49</v>
      </c>
      <c r="D132" s="42" t="s">
        <v>299</v>
      </c>
      <c r="E132" s="14"/>
      <c r="F132" s="71">
        <v>3936198</v>
      </c>
      <c r="G132" s="42" t="s">
        <v>50</v>
      </c>
      <c r="H132" s="31">
        <v>20101973922</v>
      </c>
      <c r="I132" s="138" t="str">
        <f>IF(H132="","",VLOOKUP(H132,[1]ENTIDAD!$B$2:$C$605,2,0))</f>
        <v>ASOCIACION AUTOMOTRIZ DEL PERU</v>
      </c>
      <c r="J132" s="11"/>
      <c r="K132" s="11"/>
      <c r="L132" s="11"/>
      <c r="M132" s="11"/>
      <c r="N132" s="11">
        <v>0</v>
      </c>
      <c r="O132" s="11">
        <f t="shared" si="10"/>
        <v>0</v>
      </c>
      <c r="P132" s="11">
        <v>0</v>
      </c>
      <c r="Q132" s="11"/>
      <c r="R132" s="11">
        <v>66.8</v>
      </c>
      <c r="S132" s="11">
        <v>66.8</v>
      </c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33">
        <v>46222</v>
      </c>
      <c r="AE132" s="34" t="s">
        <v>465</v>
      </c>
      <c r="AF132" s="37" t="s">
        <v>550</v>
      </c>
      <c r="AG132" s="14" t="s">
        <v>513</v>
      </c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 t="s">
        <v>566</v>
      </c>
      <c r="AT132" s="14"/>
      <c r="AU132" s="11"/>
      <c r="AV132" s="14"/>
    </row>
    <row r="133" spans="1:49" s="47" customFormat="1" ht="15" x14ac:dyDescent="0.25">
      <c r="A133" s="199">
        <v>46192</v>
      </c>
      <c r="B133" s="72"/>
      <c r="C133" s="42" t="s">
        <v>49</v>
      </c>
      <c r="D133" s="42" t="s">
        <v>299</v>
      </c>
      <c r="E133" s="14"/>
      <c r="F133" s="71">
        <v>3936199</v>
      </c>
      <c r="G133" s="42" t="s">
        <v>50</v>
      </c>
      <c r="H133" s="31">
        <v>20101973922</v>
      </c>
      <c r="I133" s="138" t="str">
        <f>IF(H133="","",VLOOKUP(H133,[1]ENTIDAD!$B$2:$C$605,2,0))</f>
        <v>ASOCIACION AUTOMOTRIZ DEL PERU</v>
      </c>
      <c r="J133" s="11"/>
      <c r="K133" s="11"/>
      <c r="L133" s="11"/>
      <c r="M133" s="11"/>
      <c r="N133" s="11">
        <v>0</v>
      </c>
      <c r="O133" s="11">
        <f t="shared" si="10"/>
        <v>0</v>
      </c>
      <c r="P133" s="11">
        <v>0</v>
      </c>
      <c r="Q133" s="11"/>
      <c r="R133" s="11">
        <v>66.8</v>
      </c>
      <c r="S133" s="11">
        <v>66.8</v>
      </c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>
        <v>46222</v>
      </c>
      <c r="AE133" s="34" t="s">
        <v>465</v>
      </c>
      <c r="AF133" s="37" t="s">
        <v>550</v>
      </c>
      <c r="AG133" s="14" t="s">
        <v>513</v>
      </c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 t="s">
        <v>566</v>
      </c>
      <c r="AT133" s="14"/>
      <c r="AU133" s="11"/>
      <c r="AV133" s="14"/>
      <c r="AW133" s="45"/>
    </row>
    <row r="134" spans="1:49" s="45" customFormat="1" ht="15" x14ac:dyDescent="0.25">
      <c r="A134" s="199">
        <v>46192</v>
      </c>
      <c r="B134" s="72"/>
      <c r="C134" s="42" t="s">
        <v>49</v>
      </c>
      <c r="D134" s="42" t="s">
        <v>299</v>
      </c>
      <c r="E134" s="14"/>
      <c r="F134" s="71">
        <v>3936200</v>
      </c>
      <c r="G134" s="42" t="s">
        <v>50</v>
      </c>
      <c r="H134" s="31">
        <v>20101973922</v>
      </c>
      <c r="I134" s="138" t="str">
        <f>IF(H134="","",VLOOKUP(H134,[1]ENTIDAD!$B$2:$C$605,2,0))</f>
        <v>ASOCIACION AUTOMOTRIZ DEL PERU</v>
      </c>
      <c r="J134" s="11"/>
      <c r="K134" s="11"/>
      <c r="L134" s="11"/>
      <c r="M134" s="11"/>
      <c r="N134" s="11">
        <v>0</v>
      </c>
      <c r="O134" s="11">
        <f t="shared" si="10"/>
        <v>0</v>
      </c>
      <c r="P134" s="11">
        <v>0</v>
      </c>
      <c r="Q134" s="11"/>
      <c r="R134" s="11">
        <v>66.8</v>
      </c>
      <c r="S134" s="11">
        <v>66.8</v>
      </c>
      <c r="T134" s="14"/>
      <c r="U134" s="14"/>
      <c r="V134" s="13"/>
      <c r="W134" s="15"/>
      <c r="X134" s="13"/>
      <c r="Y134" s="14"/>
      <c r="Z134" s="14"/>
      <c r="AA134" s="14"/>
      <c r="AB134" s="42" t="s">
        <v>224</v>
      </c>
      <c r="AC134" s="11"/>
      <c r="AD134" s="33">
        <v>46222</v>
      </c>
      <c r="AE134" s="34" t="s">
        <v>465</v>
      </c>
      <c r="AF134" s="37" t="s">
        <v>550</v>
      </c>
      <c r="AG134" s="14" t="s">
        <v>513</v>
      </c>
      <c r="AH134" s="14" t="s">
        <v>225</v>
      </c>
      <c r="AI134" s="14"/>
      <c r="AJ134" s="14"/>
      <c r="AK134" s="16"/>
      <c r="AL134" s="11"/>
      <c r="AM134" s="11"/>
      <c r="AN134" s="14"/>
      <c r="AO134" s="14"/>
      <c r="AP134" s="13"/>
      <c r="AQ134" s="14"/>
      <c r="AR134" s="11">
        <v>18</v>
      </c>
      <c r="AS134" s="14" t="s">
        <v>566</v>
      </c>
      <c r="AT134" s="14"/>
      <c r="AU134" s="11"/>
      <c r="AV134" s="14"/>
    </row>
    <row r="135" spans="1:49" s="121" customFormat="1" ht="15" x14ac:dyDescent="0.25">
      <c r="A135" s="199">
        <v>46192</v>
      </c>
      <c r="B135" s="72"/>
      <c r="C135" s="42" t="s">
        <v>49</v>
      </c>
      <c r="D135" s="42" t="s">
        <v>299</v>
      </c>
      <c r="E135" s="14"/>
      <c r="F135" s="71">
        <v>3936201</v>
      </c>
      <c r="G135" s="42" t="s">
        <v>50</v>
      </c>
      <c r="H135" s="31">
        <v>20101973922</v>
      </c>
      <c r="I135" s="138" t="str">
        <f>IF(H135="","",VLOOKUP(H135,[1]ENTIDAD!$B$2:$C$605,2,0))</f>
        <v>ASOCIACION AUTOMOTRIZ DEL PERU</v>
      </c>
      <c r="J135" s="11"/>
      <c r="K135" s="11"/>
      <c r="L135" s="11"/>
      <c r="M135" s="11"/>
      <c r="N135" s="11">
        <v>0</v>
      </c>
      <c r="O135" s="11">
        <f t="shared" si="10"/>
        <v>0</v>
      </c>
      <c r="P135" s="11">
        <v>0</v>
      </c>
      <c r="Q135" s="11"/>
      <c r="R135" s="11">
        <v>66.8</v>
      </c>
      <c r="S135" s="11">
        <v>66.8</v>
      </c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33">
        <v>46222</v>
      </c>
      <c r="AE135" s="34" t="s">
        <v>465</v>
      </c>
      <c r="AF135" s="37" t="s">
        <v>550</v>
      </c>
      <c r="AG135" s="14" t="s">
        <v>513</v>
      </c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566</v>
      </c>
      <c r="AT135" s="14"/>
      <c r="AU135" s="11"/>
      <c r="AV135" s="14"/>
      <c r="AW135" s="45"/>
    </row>
    <row r="136" spans="1:49" s="45" customFormat="1" ht="15" x14ac:dyDescent="0.25">
      <c r="A136" s="199">
        <v>46192</v>
      </c>
      <c r="B136" s="72"/>
      <c r="C136" s="42" t="s">
        <v>49</v>
      </c>
      <c r="D136" s="42" t="s">
        <v>299</v>
      </c>
      <c r="E136" s="14"/>
      <c r="F136" s="71">
        <v>3936202</v>
      </c>
      <c r="G136" s="42" t="s">
        <v>50</v>
      </c>
      <c r="H136" s="31">
        <v>20101973922</v>
      </c>
      <c r="I136" s="138" t="str">
        <f>IF(H136="","",VLOOKUP(H136,[1]ENTIDAD!$B$2:$C$605,2,0))</f>
        <v>ASOCIACION AUTOMOTRIZ DEL PERU</v>
      </c>
      <c r="J136" s="11"/>
      <c r="K136" s="11"/>
      <c r="L136" s="11"/>
      <c r="M136" s="11"/>
      <c r="N136" s="11">
        <v>0</v>
      </c>
      <c r="O136" s="11">
        <f t="shared" si="10"/>
        <v>0</v>
      </c>
      <c r="P136" s="11">
        <v>0</v>
      </c>
      <c r="Q136" s="11"/>
      <c r="R136" s="11">
        <v>66.8</v>
      </c>
      <c r="S136" s="11">
        <v>66.8</v>
      </c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33">
        <v>46222</v>
      </c>
      <c r="AE136" s="34" t="s">
        <v>465</v>
      </c>
      <c r="AF136" s="37" t="s">
        <v>550</v>
      </c>
      <c r="AG136" s="14" t="s">
        <v>513</v>
      </c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566</v>
      </c>
      <c r="AT136" s="14"/>
      <c r="AU136" s="11"/>
      <c r="AV136" s="14"/>
    </row>
    <row r="137" spans="1:49" s="45" customFormat="1" ht="15" x14ac:dyDescent="0.25">
      <c r="A137" s="199">
        <v>46192</v>
      </c>
      <c r="B137" s="72"/>
      <c r="C137" s="42" t="s">
        <v>49</v>
      </c>
      <c r="D137" s="42" t="s">
        <v>299</v>
      </c>
      <c r="E137" s="14"/>
      <c r="F137" s="71">
        <v>3936203</v>
      </c>
      <c r="G137" s="42" t="s">
        <v>50</v>
      </c>
      <c r="H137" s="31">
        <v>20101973922</v>
      </c>
      <c r="I137" s="138" t="str">
        <f>IF(H137="","",VLOOKUP(H137,[1]ENTIDAD!$B$2:$C$605,2,0))</f>
        <v>ASOCIACION AUTOMOTRIZ DEL PERU</v>
      </c>
      <c r="J137" s="11"/>
      <c r="K137" s="11"/>
      <c r="L137" s="11"/>
      <c r="M137" s="11"/>
      <c r="N137" s="11">
        <v>0</v>
      </c>
      <c r="O137" s="11">
        <f t="shared" si="10"/>
        <v>0</v>
      </c>
      <c r="P137" s="11">
        <v>0</v>
      </c>
      <c r="Q137" s="11"/>
      <c r="R137" s="11">
        <v>66.8</v>
      </c>
      <c r="S137" s="11">
        <v>66.8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>
        <v>46222</v>
      </c>
      <c r="AE137" s="34" t="s">
        <v>465</v>
      </c>
      <c r="AF137" s="37" t="s">
        <v>550</v>
      </c>
      <c r="AG137" s="14" t="s">
        <v>513</v>
      </c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566</v>
      </c>
      <c r="AT137" s="14"/>
      <c r="AU137" s="11"/>
      <c r="AV137" s="14"/>
    </row>
    <row r="138" spans="1:49" s="45" customFormat="1" ht="15" x14ac:dyDescent="0.25">
      <c r="A138" s="199">
        <v>46192</v>
      </c>
      <c r="B138" s="72"/>
      <c r="C138" s="42" t="s">
        <v>49</v>
      </c>
      <c r="D138" s="42" t="s">
        <v>299</v>
      </c>
      <c r="E138" s="14"/>
      <c r="F138" s="71">
        <v>3936204</v>
      </c>
      <c r="G138" s="42" t="s">
        <v>50</v>
      </c>
      <c r="H138" s="31">
        <v>20101973922</v>
      </c>
      <c r="I138" s="138" t="str">
        <f>IF(H138="","",VLOOKUP(H138,[1]ENTIDAD!$B$2:$C$605,2,0))</f>
        <v>ASOCIACION AUTOMOTRIZ DEL PERU</v>
      </c>
      <c r="J138" s="11"/>
      <c r="K138" s="11"/>
      <c r="L138" s="11"/>
      <c r="M138" s="11"/>
      <c r="N138" s="11">
        <v>0</v>
      </c>
      <c r="O138" s="11">
        <f t="shared" si="10"/>
        <v>0</v>
      </c>
      <c r="P138" s="11">
        <v>0</v>
      </c>
      <c r="Q138" s="11"/>
      <c r="R138" s="11">
        <v>66.8</v>
      </c>
      <c r="S138" s="11">
        <v>66.8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>
        <v>46222</v>
      </c>
      <c r="AE138" s="34" t="s">
        <v>465</v>
      </c>
      <c r="AF138" s="37" t="s">
        <v>550</v>
      </c>
      <c r="AG138" s="14" t="s">
        <v>513</v>
      </c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566</v>
      </c>
      <c r="AT138" s="14"/>
      <c r="AU138" s="11"/>
      <c r="AV138" s="14"/>
    </row>
    <row r="139" spans="1:49" s="45" customFormat="1" ht="15" x14ac:dyDescent="0.25">
      <c r="A139" s="199">
        <v>46192</v>
      </c>
      <c r="B139" s="72"/>
      <c r="C139" s="42" t="s">
        <v>49</v>
      </c>
      <c r="D139" s="42" t="s">
        <v>299</v>
      </c>
      <c r="E139" s="14"/>
      <c r="F139" s="71">
        <v>3936205</v>
      </c>
      <c r="G139" s="42" t="s">
        <v>50</v>
      </c>
      <c r="H139" s="31">
        <v>20101973922</v>
      </c>
      <c r="I139" s="138" t="str">
        <f>IF(H139="","",VLOOKUP(H139,[1]ENTIDAD!$B$2:$C$605,2,0))</f>
        <v>ASOCIACION AUTOMOTRIZ DEL PERU</v>
      </c>
      <c r="J139" s="11"/>
      <c r="K139" s="11"/>
      <c r="L139" s="11"/>
      <c r="M139" s="11"/>
      <c r="N139" s="11">
        <v>0</v>
      </c>
      <c r="O139" s="11">
        <f t="shared" si="10"/>
        <v>0</v>
      </c>
      <c r="P139" s="11">
        <v>0</v>
      </c>
      <c r="Q139" s="11"/>
      <c r="R139" s="11">
        <v>66.8</v>
      </c>
      <c r="S139" s="11">
        <v>66.8</v>
      </c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>
        <v>46222</v>
      </c>
      <c r="AE139" s="34" t="s">
        <v>465</v>
      </c>
      <c r="AF139" s="37" t="s">
        <v>550</v>
      </c>
      <c r="AG139" s="14" t="s">
        <v>513</v>
      </c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566</v>
      </c>
      <c r="AT139" s="14"/>
      <c r="AU139" s="11"/>
      <c r="AV139" s="14"/>
    </row>
    <row r="140" spans="1:49" s="45" customFormat="1" ht="15" x14ac:dyDescent="0.25">
      <c r="A140" s="199">
        <v>46192</v>
      </c>
      <c r="B140" s="72"/>
      <c r="C140" s="42" t="s">
        <v>49</v>
      </c>
      <c r="D140" s="42" t="s">
        <v>299</v>
      </c>
      <c r="E140" s="14"/>
      <c r="F140" s="71">
        <v>3936206</v>
      </c>
      <c r="G140" s="42" t="s">
        <v>50</v>
      </c>
      <c r="H140" s="31">
        <v>20101973922</v>
      </c>
      <c r="I140" s="138" t="str">
        <f>IF(H140="","",VLOOKUP(H140,[1]ENTIDAD!$B$2:$C$605,2,0))</f>
        <v>ASOCIACION AUTOMOTRIZ DEL PERU</v>
      </c>
      <c r="J140" s="11"/>
      <c r="K140" s="11"/>
      <c r="L140" s="11"/>
      <c r="M140" s="11"/>
      <c r="N140" s="11">
        <v>0</v>
      </c>
      <c r="O140" s="11">
        <f t="shared" si="10"/>
        <v>0</v>
      </c>
      <c r="P140" s="11">
        <v>0</v>
      </c>
      <c r="Q140" s="11"/>
      <c r="R140" s="11">
        <v>66.8</v>
      </c>
      <c r="S140" s="11">
        <v>66.8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>
        <v>46222</v>
      </c>
      <c r="AE140" s="34" t="s">
        <v>465</v>
      </c>
      <c r="AF140" s="37" t="s">
        <v>550</v>
      </c>
      <c r="AG140" s="14" t="s">
        <v>513</v>
      </c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566</v>
      </c>
      <c r="AT140" s="14"/>
      <c r="AU140" s="11"/>
      <c r="AV140" s="14"/>
    </row>
    <row r="141" spans="1:49" s="45" customFormat="1" ht="15" x14ac:dyDescent="0.25">
      <c r="A141" s="199">
        <v>46192</v>
      </c>
      <c r="B141" s="72"/>
      <c r="C141" s="42" t="s">
        <v>49</v>
      </c>
      <c r="D141" s="42" t="s">
        <v>299</v>
      </c>
      <c r="E141" s="14"/>
      <c r="F141" s="71">
        <v>3936207</v>
      </c>
      <c r="G141" s="42" t="s">
        <v>50</v>
      </c>
      <c r="H141" s="31">
        <v>20101973922</v>
      </c>
      <c r="I141" s="138" t="str">
        <f>IF(H141="","",VLOOKUP(H141,[1]ENTIDAD!$B$2:$C$605,2,0))</f>
        <v>ASOCIACION AUTOMOTRIZ DEL PERU</v>
      </c>
      <c r="J141" s="11"/>
      <c r="K141" s="11"/>
      <c r="L141" s="11"/>
      <c r="M141" s="11"/>
      <c r="N141" s="11">
        <v>0</v>
      </c>
      <c r="O141" s="11">
        <f t="shared" si="10"/>
        <v>0</v>
      </c>
      <c r="P141" s="11">
        <v>0</v>
      </c>
      <c r="Q141" s="11"/>
      <c r="R141" s="11">
        <v>66.8</v>
      </c>
      <c r="S141" s="11">
        <v>66.8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>
        <v>46222</v>
      </c>
      <c r="AE141" s="34" t="s">
        <v>465</v>
      </c>
      <c r="AF141" s="37" t="s">
        <v>550</v>
      </c>
      <c r="AG141" s="14" t="s">
        <v>513</v>
      </c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 t="s">
        <v>566</v>
      </c>
      <c r="AT141" s="14"/>
      <c r="AU141" s="11"/>
      <c r="AV141" s="14"/>
    </row>
    <row r="142" spans="1:49" s="45" customFormat="1" ht="15" x14ac:dyDescent="0.25">
      <c r="A142" s="199">
        <v>46192</v>
      </c>
      <c r="B142" s="72"/>
      <c r="C142" s="42" t="s">
        <v>49</v>
      </c>
      <c r="D142" s="42" t="s">
        <v>299</v>
      </c>
      <c r="E142" s="14"/>
      <c r="F142" s="71">
        <v>3936208</v>
      </c>
      <c r="G142" s="42" t="s">
        <v>50</v>
      </c>
      <c r="H142" s="31">
        <v>20101973922</v>
      </c>
      <c r="I142" s="138" t="str">
        <f>IF(H142="","",VLOOKUP(H142,[1]ENTIDAD!$B$2:$C$605,2,0))</f>
        <v>ASOCIACION AUTOMOTRIZ DEL PERU</v>
      </c>
      <c r="J142" s="11"/>
      <c r="K142" s="11"/>
      <c r="L142" s="11"/>
      <c r="M142" s="11"/>
      <c r="N142" s="11">
        <v>0</v>
      </c>
      <c r="O142" s="11">
        <f t="shared" si="10"/>
        <v>0</v>
      </c>
      <c r="P142" s="11">
        <v>0</v>
      </c>
      <c r="Q142" s="11"/>
      <c r="R142" s="11">
        <v>66.8</v>
      </c>
      <c r="S142" s="11">
        <v>66.8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>
        <v>46222</v>
      </c>
      <c r="AE142" s="34" t="s">
        <v>465</v>
      </c>
      <c r="AF142" s="37" t="s">
        <v>550</v>
      </c>
      <c r="AG142" s="14" t="s">
        <v>513</v>
      </c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 t="s">
        <v>566</v>
      </c>
      <c r="AT142" s="14"/>
      <c r="AU142" s="11"/>
      <c r="AV142" s="14"/>
    </row>
    <row r="143" spans="1:49" s="45" customFormat="1" ht="15" x14ac:dyDescent="0.25">
      <c r="A143" s="199">
        <v>46192</v>
      </c>
      <c r="B143" s="72"/>
      <c r="C143" s="42" t="s">
        <v>49</v>
      </c>
      <c r="D143" s="42" t="s">
        <v>299</v>
      </c>
      <c r="E143" s="14"/>
      <c r="F143" s="71">
        <v>3936209</v>
      </c>
      <c r="G143" s="42" t="s">
        <v>50</v>
      </c>
      <c r="H143" s="31">
        <v>20101973922</v>
      </c>
      <c r="I143" s="138" t="str">
        <f>IF(H143="","",VLOOKUP(H143,[1]ENTIDAD!$B$2:$C$605,2,0))</f>
        <v>ASOCIACION AUTOMOTRIZ DEL PERU</v>
      </c>
      <c r="J143" s="11"/>
      <c r="K143" s="11"/>
      <c r="L143" s="11"/>
      <c r="M143" s="11"/>
      <c r="N143" s="11">
        <v>0</v>
      </c>
      <c r="O143" s="11">
        <f t="shared" si="10"/>
        <v>0</v>
      </c>
      <c r="P143" s="11">
        <v>0</v>
      </c>
      <c r="Q143" s="11"/>
      <c r="R143" s="11">
        <v>66.8</v>
      </c>
      <c r="S143" s="11">
        <v>66.8</v>
      </c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>
        <v>46222</v>
      </c>
      <c r="AE143" s="34" t="s">
        <v>465</v>
      </c>
      <c r="AF143" s="37" t="s">
        <v>550</v>
      </c>
      <c r="AG143" s="14" t="s">
        <v>513</v>
      </c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566</v>
      </c>
      <c r="AT143" s="14"/>
      <c r="AU143" s="11"/>
      <c r="AV143" s="14"/>
    </row>
    <row r="144" spans="1:49" s="45" customFormat="1" ht="15" x14ac:dyDescent="0.25">
      <c r="A144" s="199">
        <v>46192</v>
      </c>
      <c r="B144" s="72"/>
      <c r="C144" s="42" t="s">
        <v>49</v>
      </c>
      <c r="D144" s="42" t="s">
        <v>299</v>
      </c>
      <c r="E144" s="14"/>
      <c r="F144" s="71">
        <v>3936210</v>
      </c>
      <c r="G144" s="42" t="s">
        <v>50</v>
      </c>
      <c r="H144" s="31">
        <v>20101973922</v>
      </c>
      <c r="I144" s="138" t="str">
        <f>IF(H144="","",VLOOKUP(H144,[1]ENTIDAD!$B$2:$C$605,2,0))</f>
        <v>ASOCIACION AUTOMOTRIZ DEL PERU</v>
      </c>
      <c r="J144" s="11"/>
      <c r="K144" s="11"/>
      <c r="L144" s="11"/>
      <c r="M144" s="11"/>
      <c r="N144" s="11">
        <v>0</v>
      </c>
      <c r="O144" s="11">
        <f t="shared" si="10"/>
        <v>0</v>
      </c>
      <c r="P144" s="11">
        <v>0</v>
      </c>
      <c r="Q144" s="11"/>
      <c r="R144" s="11">
        <v>66.8</v>
      </c>
      <c r="S144" s="11">
        <v>66.8</v>
      </c>
      <c r="T144" s="14"/>
      <c r="U144" s="14"/>
      <c r="V144" s="13"/>
      <c r="W144" s="15"/>
      <c r="X144" s="13"/>
      <c r="Y144" s="14"/>
      <c r="Z144" s="14"/>
      <c r="AA144" s="14"/>
      <c r="AB144" s="42" t="s">
        <v>224</v>
      </c>
      <c r="AC144" s="11"/>
      <c r="AD144" s="33">
        <v>46222</v>
      </c>
      <c r="AE144" s="34" t="s">
        <v>465</v>
      </c>
      <c r="AF144" s="37" t="s">
        <v>550</v>
      </c>
      <c r="AG144" s="14" t="s">
        <v>513</v>
      </c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566</v>
      </c>
      <c r="AT144" s="14"/>
      <c r="AU144" s="11"/>
      <c r="AV144" s="14"/>
    </row>
    <row r="145" spans="1:49" s="45" customFormat="1" ht="15" x14ac:dyDescent="0.25">
      <c r="A145" s="199">
        <v>46193</v>
      </c>
      <c r="B145" s="72"/>
      <c r="C145" s="42" t="s">
        <v>49</v>
      </c>
      <c r="D145" s="42" t="s">
        <v>294</v>
      </c>
      <c r="E145" s="14"/>
      <c r="F145" s="71">
        <v>121009</v>
      </c>
      <c r="G145" s="42" t="s">
        <v>50</v>
      </c>
      <c r="H145" s="31">
        <v>20568499043</v>
      </c>
      <c r="I145" s="138" t="str">
        <f>IF(H145="","",VLOOKUP(H145,[1]ENTIDAD!$B$2:$C$605,2,0))</f>
        <v>SURTIDORES SAN MIGUEL E.I.R.L.</v>
      </c>
      <c r="J145" s="11"/>
      <c r="K145" s="11"/>
      <c r="L145" s="11"/>
      <c r="M145" s="11"/>
      <c r="N145" s="11">
        <f>(S145-P145)/1.18</f>
        <v>0</v>
      </c>
      <c r="O145" s="11">
        <f t="shared" ref="O145:O187" si="11">N145*0.18</f>
        <v>0</v>
      </c>
      <c r="P145" s="11">
        <v>150.01</v>
      </c>
      <c r="Q145" s="11"/>
      <c r="R145" s="11"/>
      <c r="S145" s="11">
        <v>150.01</v>
      </c>
      <c r="T145" s="14"/>
      <c r="U145" s="14"/>
      <c r="V145" s="13"/>
      <c r="W145" s="15"/>
      <c r="X145" s="13"/>
      <c r="Y145" s="14"/>
      <c r="Z145" s="14"/>
      <c r="AA145" s="14"/>
      <c r="AB145" s="42" t="s">
        <v>224</v>
      </c>
      <c r="AC145" s="11"/>
      <c r="AD145" s="33">
        <v>46193</v>
      </c>
      <c r="AE145" s="34" t="s">
        <v>262</v>
      </c>
      <c r="AF145" s="19" t="s">
        <v>486</v>
      </c>
      <c r="AG145" s="14"/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 t="s">
        <v>6447</v>
      </c>
      <c r="AT145" s="14"/>
      <c r="AU145" s="11"/>
      <c r="AV145" s="14"/>
    </row>
    <row r="146" spans="1:49" s="45" customFormat="1" ht="15" x14ac:dyDescent="0.25">
      <c r="A146" s="199">
        <v>46194</v>
      </c>
      <c r="B146" s="72"/>
      <c r="C146" s="42" t="s">
        <v>49</v>
      </c>
      <c r="D146" s="42" t="s">
        <v>294</v>
      </c>
      <c r="E146" s="14"/>
      <c r="F146" s="71">
        <v>121027</v>
      </c>
      <c r="G146" s="42" t="s">
        <v>50</v>
      </c>
      <c r="H146" s="31">
        <v>20568499043</v>
      </c>
      <c r="I146" s="138" t="str">
        <f>IF(H146="","",VLOOKUP(H146,[1]ENTIDAD!$B$2:$C$605,2,0))</f>
        <v>SURTIDORES SAN MIGUEL E.I.R.L.</v>
      </c>
      <c r="J146" s="11"/>
      <c r="K146" s="11"/>
      <c r="L146" s="11"/>
      <c r="M146" s="11"/>
      <c r="N146" s="11">
        <f>(S146-P146)/1.18</f>
        <v>0</v>
      </c>
      <c r="O146" s="11">
        <f t="shared" si="11"/>
        <v>0</v>
      </c>
      <c r="P146" s="11">
        <v>150.01</v>
      </c>
      <c r="Q146" s="11"/>
      <c r="R146" s="11"/>
      <c r="S146" s="11">
        <v>150.01</v>
      </c>
      <c r="T146" s="14"/>
      <c r="U146" s="14"/>
      <c r="V146" s="13"/>
      <c r="W146" s="15"/>
      <c r="X146" s="13"/>
      <c r="Y146" s="14"/>
      <c r="Z146" s="14"/>
      <c r="AA146" s="14"/>
      <c r="AB146" s="42" t="s">
        <v>224</v>
      </c>
      <c r="AC146" s="11"/>
      <c r="AD146" s="33">
        <v>46194</v>
      </c>
      <c r="AE146" s="34" t="s">
        <v>262</v>
      </c>
      <c r="AF146" s="19" t="s">
        <v>486</v>
      </c>
      <c r="AG146" s="14"/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6471</v>
      </c>
      <c r="AT146" s="14"/>
      <c r="AU146" s="11"/>
      <c r="AV146" s="14"/>
    </row>
    <row r="147" spans="1:49" s="81" customFormat="1" ht="15" x14ac:dyDescent="0.25">
      <c r="A147" s="218">
        <v>46196</v>
      </c>
      <c r="B147" s="219"/>
      <c r="C147" s="76" t="s">
        <v>49</v>
      </c>
      <c r="D147" s="76" t="s">
        <v>292</v>
      </c>
      <c r="E147" s="27"/>
      <c r="F147" s="86">
        <v>273</v>
      </c>
      <c r="G147" s="76" t="s">
        <v>50</v>
      </c>
      <c r="H147" s="32">
        <v>10465268803</v>
      </c>
      <c r="I147" s="220" t="str">
        <f>IF(H147="","",VLOOKUP(H147,ENTIDAD!$B$2:$C$613,2,0))</f>
        <v> MONTALVAN MONDRAGON ELKER JOSE</v>
      </c>
      <c r="J147" s="28"/>
      <c r="K147" s="28"/>
      <c r="L147" s="28"/>
      <c r="M147" s="28"/>
      <c r="N147" s="28">
        <f>(S147-P147)/1.18</f>
        <v>0</v>
      </c>
      <c r="O147" s="28">
        <f t="shared" si="11"/>
        <v>0</v>
      </c>
      <c r="P147" s="28">
        <v>80</v>
      </c>
      <c r="Q147" s="28"/>
      <c r="R147" s="28"/>
      <c r="S147" s="28">
        <v>80</v>
      </c>
      <c r="T147" s="27"/>
      <c r="U147" s="27"/>
      <c r="V147" s="26"/>
      <c r="W147" s="80"/>
      <c r="X147" s="26"/>
      <c r="Y147" s="27"/>
      <c r="Z147" s="27"/>
      <c r="AA147" s="27"/>
      <c r="AB147" s="76" t="s">
        <v>224</v>
      </c>
      <c r="AC147" s="28"/>
      <c r="AD147" s="82">
        <v>46226</v>
      </c>
      <c r="AE147" s="85" t="s">
        <v>465</v>
      </c>
      <c r="AF147" s="194" t="s">
        <v>4641</v>
      </c>
      <c r="AG147" s="27"/>
      <c r="AH147" s="27" t="s">
        <v>225</v>
      </c>
      <c r="AI147" s="27"/>
      <c r="AJ147" s="27"/>
      <c r="AK147" s="30"/>
      <c r="AL147" s="28"/>
      <c r="AM147" s="28"/>
      <c r="AN147" s="27"/>
      <c r="AO147" s="27"/>
      <c r="AP147" s="26"/>
      <c r="AQ147" s="27"/>
      <c r="AR147" s="28">
        <v>18</v>
      </c>
      <c r="AS147" s="27" t="s">
        <v>6465</v>
      </c>
      <c r="AT147" s="27"/>
      <c r="AU147" s="28"/>
      <c r="AV147" s="27"/>
    </row>
    <row r="148" spans="1:49" s="45" customFormat="1" ht="15" x14ac:dyDescent="0.25">
      <c r="A148" s="199">
        <v>46196</v>
      </c>
      <c r="B148" s="72"/>
      <c r="C148" s="42" t="s">
        <v>49</v>
      </c>
      <c r="D148" s="42" t="s">
        <v>294</v>
      </c>
      <c r="E148" s="14"/>
      <c r="F148" s="71">
        <v>5423</v>
      </c>
      <c r="G148" s="42" t="s">
        <v>50</v>
      </c>
      <c r="H148" s="31">
        <v>10061702071</v>
      </c>
      <c r="I148" s="138" t="str">
        <f>IF(H148="","",VLOOKUP(H148,[1]ENTIDAD!$B$2:$C$605,2,0))</f>
        <v>CORAL FLORES IVAN MARTIN</v>
      </c>
      <c r="J148" s="11"/>
      <c r="K148" s="11"/>
      <c r="L148" s="11"/>
      <c r="M148" s="11"/>
      <c r="N148" s="11">
        <v>0</v>
      </c>
      <c r="O148" s="11">
        <f t="shared" si="11"/>
        <v>0</v>
      </c>
      <c r="P148" s="11">
        <v>0</v>
      </c>
      <c r="Q148" s="11"/>
      <c r="R148" s="11">
        <v>575</v>
      </c>
      <c r="S148" s="11">
        <v>575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33">
        <v>46226</v>
      </c>
      <c r="AE148" s="34" t="s">
        <v>465</v>
      </c>
      <c r="AF148" s="37" t="s">
        <v>550</v>
      </c>
      <c r="AG148" s="14" t="s">
        <v>513</v>
      </c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719</v>
      </c>
      <c r="AT148" s="14"/>
      <c r="AU148" s="11"/>
      <c r="AV148" s="14"/>
    </row>
    <row r="149" spans="1:49" s="45" customFormat="1" ht="15" x14ac:dyDescent="0.25">
      <c r="A149" s="199">
        <v>46196</v>
      </c>
      <c r="B149" s="72"/>
      <c r="C149" s="42" t="s">
        <v>49</v>
      </c>
      <c r="D149" s="42" t="s">
        <v>301</v>
      </c>
      <c r="E149" s="14"/>
      <c r="F149" s="71">
        <v>18944</v>
      </c>
      <c r="G149" s="42" t="s">
        <v>50</v>
      </c>
      <c r="H149" s="31">
        <v>20493508645</v>
      </c>
      <c r="I149" s="138" t="str">
        <f>IF(H149="","",VLOOKUP(H149,[1]ENTIDAD!$B$2:$C$605,2,0))</f>
        <v>HONDA SELVA DEL PERU S.A.</v>
      </c>
      <c r="J149" s="11"/>
      <c r="K149" s="11"/>
      <c r="L149" s="11"/>
      <c r="M149" s="11"/>
      <c r="N149" s="11">
        <v>0</v>
      </c>
      <c r="O149" s="11">
        <f t="shared" si="11"/>
        <v>0</v>
      </c>
      <c r="P149" s="11">
        <v>5937.58</v>
      </c>
      <c r="Q149" s="11"/>
      <c r="R149" s="11"/>
      <c r="S149" s="11">
        <f>W149*AC149</f>
        <v>5937.5803500000002</v>
      </c>
      <c r="T149" s="14"/>
      <c r="U149" s="14"/>
      <c r="V149" s="13"/>
      <c r="W149" s="15">
        <v>3.387</v>
      </c>
      <c r="X149" s="13"/>
      <c r="Y149" s="14"/>
      <c r="Z149" s="14"/>
      <c r="AA149" s="14"/>
      <c r="AB149" s="42" t="s">
        <v>383</v>
      </c>
      <c r="AC149" s="11">
        <v>1753.05</v>
      </c>
      <c r="AD149" s="33">
        <v>46226</v>
      </c>
      <c r="AE149" s="34" t="s">
        <v>465</v>
      </c>
      <c r="AF149" s="19" t="s">
        <v>532</v>
      </c>
      <c r="AG149" s="14"/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201</v>
      </c>
      <c r="AT149" s="14"/>
      <c r="AU149" s="11"/>
      <c r="AV149" s="14"/>
    </row>
    <row r="150" spans="1:49" s="45" customFormat="1" ht="15" x14ac:dyDescent="0.25">
      <c r="A150" s="199">
        <v>46196</v>
      </c>
      <c r="B150" s="72"/>
      <c r="C150" s="42" t="s">
        <v>49</v>
      </c>
      <c r="D150" s="42" t="s">
        <v>301</v>
      </c>
      <c r="E150" s="14"/>
      <c r="F150" s="71">
        <v>18956</v>
      </c>
      <c r="G150" s="42" t="s">
        <v>50</v>
      </c>
      <c r="H150" s="31">
        <v>20493508645</v>
      </c>
      <c r="I150" s="138" t="str">
        <f>IF(H150="","",VLOOKUP(H150,[1]ENTIDAD!$B$2:$C$605,2,0))</f>
        <v>HONDA SELVA DEL PERU S.A.</v>
      </c>
      <c r="J150" s="11"/>
      <c r="K150" s="11"/>
      <c r="L150" s="11"/>
      <c r="M150" s="11"/>
      <c r="N150" s="11">
        <f t="shared" ref="N150:N157" si="12">(S150-P150)/1.18</f>
        <v>-2.3220338982231996E-3</v>
      </c>
      <c r="O150" s="11">
        <f t="shared" si="11"/>
        <v>-4.1796610168017592E-4</v>
      </c>
      <c r="P150" s="11">
        <v>17561.53</v>
      </c>
      <c r="Q150" s="11"/>
      <c r="R150" s="11"/>
      <c r="S150" s="11">
        <f>W150*AC150</f>
        <v>17561.527259999999</v>
      </c>
      <c r="T150" s="14"/>
      <c r="U150" s="14"/>
      <c r="V150" s="13"/>
      <c r="W150" s="15">
        <v>3.387</v>
      </c>
      <c r="X150" s="13"/>
      <c r="Y150" s="14"/>
      <c r="Z150" s="14"/>
      <c r="AA150" s="14"/>
      <c r="AB150" s="42" t="s">
        <v>383</v>
      </c>
      <c r="AC150" s="11">
        <v>5184.9799999999996</v>
      </c>
      <c r="AD150" s="33">
        <v>46226</v>
      </c>
      <c r="AE150" s="34" t="s">
        <v>465</v>
      </c>
      <c r="AF150" s="19" t="s">
        <v>532</v>
      </c>
      <c r="AG150" s="14"/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201</v>
      </c>
      <c r="AT150" s="14"/>
      <c r="AU150" s="11"/>
      <c r="AV150" s="14"/>
    </row>
    <row r="151" spans="1:49" s="45" customFormat="1" ht="15" x14ac:dyDescent="0.25">
      <c r="A151" s="199">
        <v>46196</v>
      </c>
      <c r="B151" s="72"/>
      <c r="C151" s="42" t="s">
        <v>49</v>
      </c>
      <c r="D151" s="42" t="s">
        <v>301</v>
      </c>
      <c r="E151" s="14"/>
      <c r="F151" s="71">
        <v>18967</v>
      </c>
      <c r="G151" s="42" t="s">
        <v>50</v>
      </c>
      <c r="H151" s="31">
        <v>20493508645</v>
      </c>
      <c r="I151" s="138" t="str">
        <f>IF(H151="","",VLOOKUP(H151,[1]ENTIDAD!$B$2:$C$605,2,0))</f>
        <v>HONDA SELVA DEL PERU S.A.</v>
      </c>
      <c r="J151" s="11"/>
      <c r="K151" s="11"/>
      <c r="L151" s="11"/>
      <c r="M151" s="11"/>
      <c r="N151" s="11">
        <f t="shared" si="12"/>
        <v>7.2288135586057838E-3</v>
      </c>
      <c r="O151" s="11">
        <f t="shared" si="11"/>
        <v>1.301186440549041E-3</v>
      </c>
      <c r="P151" s="11">
        <v>40051.910000000003</v>
      </c>
      <c r="Q151" s="11"/>
      <c r="R151" s="11"/>
      <c r="S151" s="11">
        <f>W151*AC151</f>
        <v>40051.918530000003</v>
      </c>
      <c r="T151" s="14"/>
      <c r="U151" s="14"/>
      <c r="V151" s="13"/>
      <c r="W151" s="15">
        <v>3.387</v>
      </c>
      <c r="X151" s="13"/>
      <c r="Y151" s="14"/>
      <c r="Z151" s="14"/>
      <c r="AA151" s="14"/>
      <c r="AB151" s="42" t="s">
        <v>383</v>
      </c>
      <c r="AC151" s="11">
        <v>11825.19</v>
      </c>
      <c r="AD151" s="33">
        <v>46226</v>
      </c>
      <c r="AE151" s="34" t="s">
        <v>465</v>
      </c>
      <c r="AF151" s="19" t="s">
        <v>532</v>
      </c>
      <c r="AG151" s="14"/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201</v>
      </c>
      <c r="AT151" s="14"/>
      <c r="AU151" s="11"/>
      <c r="AV151" s="14"/>
    </row>
    <row r="152" spans="1:49" s="45" customFormat="1" ht="15" x14ac:dyDescent="0.25">
      <c r="A152" s="199">
        <v>46196</v>
      </c>
      <c r="B152" s="72"/>
      <c r="C152" s="42" t="s">
        <v>49</v>
      </c>
      <c r="D152" s="42" t="s">
        <v>301</v>
      </c>
      <c r="E152" s="14"/>
      <c r="F152" s="71">
        <v>18968</v>
      </c>
      <c r="G152" s="42" t="s">
        <v>50</v>
      </c>
      <c r="H152" s="31">
        <v>20493508645</v>
      </c>
      <c r="I152" s="138" t="str">
        <f>IF(H152="","",VLOOKUP(H152,[1]ENTIDAD!$B$2:$C$605,2,0))</f>
        <v>HONDA SELVA DEL PERU S.A.</v>
      </c>
      <c r="J152" s="11"/>
      <c r="K152" s="11"/>
      <c r="L152" s="11"/>
      <c r="M152" s="11"/>
      <c r="N152" s="11">
        <f t="shared" si="12"/>
        <v>-2.3220338982231996E-3</v>
      </c>
      <c r="O152" s="11">
        <f t="shared" si="11"/>
        <v>-4.1796610168017592E-4</v>
      </c>
      <c r="P152" s="11">
        <v>17561.53</v>
      </c>
      <c r="Q152" s="11"/>
      <c r="R152" s="11"/>
      <c r="S152" s="11">
        <f>W152*AC152</f>
        <v>17561.527259999999</v>
      </c>
      <c r="T152" s="14"/>
      <c r="U152" s="14"/>
      <c r="V152" s="13"/>
      <c r="W152" s="15">
        <v>3.387</v>
      </c>
      <c r="X152" s="13"/>
      <c r="Y152" s="14"/>
      <c r="Z152" s="14"/>
      <c r="AA152" s="14"/>
      <c r="AB152" s="42" t="s">
        <v>383</v>
      </c>
      <c r="AC152" s="11">
        <v>5184.9799999999996</v>
      </c>
      <c r="AD152" s="33">
        <v>46226</v>
      </c>
      <c r="AE152" s="34" t="s">
        <v>465</v>
      </c>
      <c r="AF152" s="19" t="s">
        <v>532</v>
      </c>
      <c r="AG152" s="14"/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201</v>
      </c>
      <c r="AT152" s="14"/>
      <c r="AU152" s="11"/>
      <c r="AV152" s="14"/>
    </row>
    <row r="153" spans="1:49" s="45" customFormat="1" ht="15" x14ac:dyDescent="0.25">
      <c r="A153" s="199">
        <v>46196</v>
      </c>
      <c r="B153" s="72"/>
      <c r="C153" s="42" t="s">
        <v>49</v>
      </c>
      <c r="D153" s="42" t="s">
        <v>301</v>
      </c>
      <c r="E153" s="14"/>
      <c r="F153" s="71">
        <v>18977</v>
      </c>
      <c r="G153" s="42" t="s">
        <v>50</v>
      </c>
      <c r="H153" s="31">
        <v>20493508645</v>
      </c>
      <c r="I153" s="138" t="str">
        <f>IF(H153="","",VLOOKUP(H153,[1]ENTIDAD!$B$2:$C$605,2,0))</f>
        <v>HONDA SELVA DEL PERU S.A.</v>
      </c>
      <c r="J153" s="11"/>
      <c r="K153" s="11"/>
      <c r="L153" s="11"/>
      <c r="M153" s="11"/>
      <c r="N153" s="11">
        <f t="shared" si="12"/>
        <v>-2.3220338982231996E-3</v>
      </c>
      <c r="O153" s="11">
        <f t="shared" si="11"/>
        <v>-4.1796610168017592E-4</v>
      </c>
      <c r="P153" s="11">
        <v>17561.53</v>
      </c>
      <c r="Q153" s="11"/>
      <c r="R153" s="11"/>
      <c r="S153" s="11">
        <f>W153*AC153</f>
        <v>17561.527259999999</v>
      </c>
      <c r="T153" s="14"/>
      <c r="U153" s="14"/>
      <c r="V153" s="13"/>
      <c r="W153" s="15">
        <v>3.387</v>
      </c>
      <c r="X153" s="13"/>
      <c r="Y153" s="14"/>
      <c r="Z153" s="14"/>
      <c r="AA153" s="14"/>
      <c r="AB153" s="42" t="s">
        <v>383</v>
      </c>
      <c r="AC153" s="11">
        <v>5184.9799999999996</v>
      </c>
      <c r="AD153" s="33">
        <v>46226</v>
      </c>
      <c r="AE153" s="34" t="s">
        <v>465</v>
      </c>
      <c r="AF153" s="19" t="s">
        <v>532</v>
      </c>
      <c r="AG153" s="14"/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201</v>
      </c>
      <c r="AT153" s="14"/>
      <c r="AU153" s="11"/>
      <c r="AV153" s="14"/>
    </row>
    <row r="154" spans="1:49" s="81" customFormat="1" ht="15" x14ac:dyDescent="0.25">
      <c r="A154" s="218">
        <v>46196</v>
      </c>
      <c r="B154" s="219"/>
      <c r="C154" s="76" t="s">
        <v>49</v>
      </c>
      <c r="D154" s="76" t="s">
        <v>292</v>
      </c>
      <c r="E154" s="27"/>
      <c r="F154" s="86">
        <v>257</v>
      </c>
      <c r="G154" s="76" t="s">
        <v>50</v>
      </c>
      <c r="H154" s="32">
        <v>10447422951</v>
      </c>
      <c r="I154" s="220" t="str">
        <f>IF(H154="","",VLOOKUP(H154,[1]ENTIDAD!$B$2:$C$605,2,0))</f>
        <v>ZEGARRA AZAÑERO JORGE KEY</v>
      </c>
      <c r="J154" s="28"/>
      <c r="K154" s="28"/>
      <c r="L154" s="28"/>
      <c r="M154" s="28"/>
      <c r="N154" s="28">
        <f t="shared" si="12"/>
        <v>0</v>
      </c>
      <c r="O154" s="28">
        <f t="shared" si="11"/>
        <v>0</v>
      </c>
      <c r="P154" s="28">
        <v>200</v>
      </c>
      <c r="Q154" s="28"/>
      <c r="R154" s="28"/>
      <c r="S154" s="28">
        <v>200</v>
      </c>
      <c r="T154" s="27"/>
      <c r="U154" s="27"/>
      <c r="V154" s="26"/>
      <c r="W154" s="80"/>
      <c r="X154" s="26"/>
      <c r="Y154" s="27"/>
      <c r="Z154" s="27"/>
      <c r="AA154" s="27"/>
      <c r="AB154" s="76" t="s">
        <v>224</v>
      </c>
      <c r="AC154" s="28"/>
      <c r="AD154" s="82">
        <v>46226</v>
      </c>
      <c r="AE154" s="85" t="s">
        <v>465</v>
      </c>
      <c r="AF154" s="29" t="s">
        <v>6466</v>
      </c>
      <c r="AG154" s="27"/>
      <c r="AH154" s="27" t="s">
        <v>225</v>
      </c>
      <c r="AI154" s="27"/>
      <c r="AJ154" s="27"/>
      <c r="AK154" s="30"/>
      <c r="AL154" s="28"/>
      <c r="AM154" s="28"/>
      <c r="AN154" s="27"/>
      <c r="AO154" s="27"/>
      <c r="AP154" s="26"/>
      <c r="AQ154" s="27"/>
      <c r="AR154" s="28">
        <v>18</v>
      </c>
      <c r="AS154" s="27" t="s">
        <v>6468</v>
      </c>
      <c r="AT154" s="27"/>
      <c r="AU154" s="28"/>
      <c r="AV154" s="27"/>
    </row>
    <row r="155" spans="1:49" s="45" customFormat="1" ht="15" x14ac:dyDescent="0.25">
      <c r="A155" s="223">
        <v>46197</v>
      </c>
      <c r="B155" s="68"/>
      <c r="C155" s="52" t="s">
        <v>300</v>
      </c>
      <c r="D155" s="52" t="s">
        <v>389</v>
      </c>
      <c r="E155" s="53"/>
      <c r="F155" s="64">
        <v>13569</v>
      </c>
      <c r="G155" s="52" t="s">
        <v>50</v>
      </c>
      <c r="H155" s="69">
        <v>20103733015</v>
      </c>
      <c r="I155" s="140" t="str">
        <f>IF(H155="","",VLOOKUP(H155,[1]ENTIDAD!$B$2:$C$605,2,0))</f>
        <v>HONDA DEL PERU S.A</v>
      </c>
      <c r="J155" s="55"/>
      <c r="K155" s="55"/>
      <c r="L155" s="55"/>
      <c r="M155" s="55"/>
      <c r="N155" s="55">
        <f t="shared" si="12"/>
        <v>182.44358474576271</v>
      </c>
      <c r="O155" s="55">
        <f t="shared" si="11"/>
        <v>32.839845254237289</v>
      </c>
      <c r="P155" s="55">
        <v>0</v>
      </c>
      <c r="Q155" s="55"/>
      <c r="R155" s="55"/>
      <c r="S155" s="55">
        <f>W155*AC155</f>
        <v>215.28342999999998</v>
      </c>
      <c r="T155" s="53"/>
      <c r="U155" s="53"/>
      <c r="V155" s="50"/>
      <c r="W155" s="224">
        <v>3.4329999999999998</v>
      </c>
      <c r="X155" s="50">
        <v>45930</v>
      </c>
      <c r="Y155" s="53" t="s">
        <v>49</v>
      </c>
      <c r="Z155" s="53" t="s">
        <v>6478</v>
      </c>
      <c r="AA155" s="53" t="s">
        <v>6479</v>
      </c>
      <c r="AB155" s="52" t="s">
        <v>383</v>
      </c>
      <c r="AC155" s="55">
        <v>62.71</v>
      </c>
      <c r="AD155" s="50">
        <v>46227</v>
      </c>
      <c r="AE155" s="53" t="s">
        <v>465</v>
      </c>
      <c r="AF155" s="60" t="s">
        <v>533</v>
      </c>
      <c r="AG155" s="53"/>
      <c r="AH155" s="53" t="s">
        <v>225</v>
      </c>
      <c r="AI155" s="53"/>
      <c r="AJ155" s="53"/>
      <c r="AK155" s="61"/>
      <c r="AL155" s="55"/>
      <c r="AM155" s="55"/>
      <c r="AN155" s="53"/>
      <c r="AO155" s="53"/>
      <c r="AP155" s="50"/>
      <c r="AQ155" s="53"/>
      <c r="AR155" s="55">
        <v>18</v>
      </c>
      <c r="AS155" s="53" t="s">
        <v>6469</v>
      </c>
      <c r="AT155" s="53"/>
      <c r="AU155" s="55"/>
      <c r="AV155" s="53"/>
      <c r="AW155" s="47"/>
    </row>
    <row r="156" spans="1:49" s="45" customFormat="1" ht="15" x14ac:dyDescent="0.25">
      <c r="A156" s="199">
        <v>46197</v>
      </c>
      <c r="B156" s="72"/>
      <c r="C156" s="42" t="s">
        <v>49</v>
      </c>
      <c r="D156" s="42" t="s">
        <v>292</v>
      </c>
      <c r="E156" s="14"/>
      <c r="F156" s="71">
        <v>964</v>
      </c>
      <c r="G156" s="42" t="s">
        <v>50</v>
      </c>
      <c r="H156" s="31">
        <v>10479426819</v>
      </c>
      <c r="I156" s="138" t="str">
        <f>IF(H156="","",VLOOKUP(H156,[1]ENTIDAD!$B$2:$C$605,2,0))</f>
        <v>MERCADO,LLANCO,MAYCKOL,WILLIAMS</v>
      </c>
      <c r="J156" s="11"/>
      <c r="K156" s="11"/>
      <c r="L156" s="11"/>
      <c r="M156" s="11"/>
      <c r="N156" s="11">
        <f t="shared" si="12"/>
        <v>0</v>
      </c>
      <c r="O156" s="11">
        <f t="shared" si="11"/>
        <v>0</v>
      </c>
      <c r="P156" s="11">
        <v>52</v>
      </c>
      <c r="Q156" s="11"/>
      <c r="R156" s="11"/>
      <c r="S156" s="11">
        <v>52</v>
      </c>
      <c r="T156" s="14"/>
      <c r="U156" s="14"/>
      <c r="V156" s="13"/>
      <c r="W156" s="15"/>
      <c r="X156" s="13"/>
      <c r="Y156" s="14"/>
      <c r="Z156" s="14"/>
      <c r="AA156" s="14"/>
      <c r="AB156" s="42" t="s">
        <v>224</v>
      </c>
      <c r="AC156" s="11"/>
      <c r="AD156" s="33">
        <v>46197</v>
      </c>
      <c r="AE156" s="34" t="s">
        <v>262</v>
      </c>
      <c r="AF156" s="37" t="s">
        <v>521</v>
      </c>
      <c r="AG156" s="14"/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 t="s">
        <v>6470</v>
      </c>
      <c r="AT156" s="14"/>
      <c r="AU156" s="11"/>
      <c r="AV156" s="14"/>
    </row>
    <row r="157" spans="1:49" s="45" customFormat="1" ht="15" x14ac:dyDescent="0.25">
      <c r="A157" s="199">
        <v>46197</v>
      </c>
      <c r="B157" s="72"/>
      <c r="C157" s="42" t="s">
        <v>49</v>
      </c>
      <c r="D157" s="42" t="s">
        <v>292</v>
      </c>
      <c r="E157" s="14"/>
      <c r="F157" s="71">
        <v>450</v>
      </c>
      <c r="G157" s="42" t="s">
        <v>50</v>
      </c>
      <c r="H157" s="31">
        <v>10209949453</v>
      </c>
      <c r="I157" s="138" t="str">
        <f>IF(H157="","",VLOOKUP(H157,[1]ENTIDAD!$B$2:$C$605,2,0))</f>
        <v>BARTOLO,CRISANTE,WILMER,ANCELMO</v>
      </c>
      <c r="J157" s="11"/>
      <c r="K157" s="11"/>
      <c r="L157" s="11"/>
      <c r="M157" s="11"/>
      <c r="N157" s="11">
        <f t="shared" si="12"/>
        <v>0</v>
      </c>
      <c r="O157" s="11">
        <f t="shared" si="11"/>
        <v>0</v>
      </c>
      <c r="P157" s="11">
        <v>50</v>
      </c>
      <c r="Q157" s="11"/>
      <c r="R157" s="11"/>
      <c r="S157" s="11">
        <v>50</v>
      </c>
      <c r="T157" s="14"/>
      <c r="U157" s="14"/>
      <c r="V157" s="13"/>
      <c r="W157" s="15"/>
      <c r="X157" s="13"/>
      <c r="Y157" s="14"/>
      <c r="Z157" s="14"/>
      <c r="AA157" s="14"/>
      <c r="AB157" s="42" t="s">
        <v>224</v>
      </c>
      <c r="AC157" s="11"/>
      <c r="AD157" s="33">
        <v>46227</v>
      </c>
      <c r="AE157" s="34" t="s">
        <v>465</v>
      </c>
      <c r="AF157" s="192" t="s">
        <v>4063</v>
      </c>
      <c r="AG157" s="14"/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6472</v>
      </c>
      <c r="AT157" s="14"/>
      <c r="AU157" s="11"/>
      <c r="AV157" s="14"/>
    </row>
    <row r="158" spans="1:49" s="45" customFormat="1" ht="15" x14ac:dyDescent="0.25">
      <c r="A158" s="199">
        <v>46197</v>
      </c>
      <c r="B158" s="72"/>
      <c r="C158" s="42" t="s">
        <v>49</v>
      </c>
      <c r="D158" s="42" t="s">
        <v>568</v>
      </c>
      <c r="E158" s="14"/>
      <c r="F158" s="71">
        <v>20688</v>
      </c>
      <c r="G158" s="42" t="s">
        <v>50</v>
      </c>
      <c r="H158" s="31">
        <v>20485981536</v>
      </c>
      <c r="I158" s="138" t="str">
        <f>IF(H158="","",VLOOKUP(H158,[1]ENTIDAD!$B$2:$C$605,2,0))</f>
        <v>EMPRESA DE TRANSPORTES TURISMO Y SERVICIOS MULTIPLES SHIMA E.I.R.L.</v>
      </c>
      <c r="J158" s="11"/>
      <c r="K158" s="11"/>
      <c r="L158" s="11"/>
      <c r="M158" s="11"/>
      <c r="N158" s="11">
        <v>0</v>
      </c>
      <c r="O158" s="11">
        <f t="shared" si="11"/>
        <v>0</v>
      </c>
      <c r="P158" s="11">
        <v>0</v>
      </c>
      <c r="Q158" s="11"/>
      <c r="R158" s="11">
        <v>40</v>
      </c>
      <c r="S158" s="11">
        <v>40</v>
      </c>
      <c r="T158" s="14"/>
      <c r="U158" s="14"/>
      <c r="V158" s="13"/>
      <c r="W158" s="15"/>
      <c r="X158" s="13"/>
      <c r="Y158" s="14"/>
      <c r="Z158" s="14"/>
      <c r="AA158" s="14"/>
      <c r="AB158" s="42" t="s">
        <v>224</v>
      </c>
      <c r="AC158" s="11"/>
      <c r="AD158" s="33">
        <v>46227</v>
      </c>
      <c r="AE158" s="34" t="s">
        <v>465</v>
      </c>
      <c r="AF158" s="37" t="s">
        <v>550</v>
      </c>
      <c r="AG158" s="14" t="s">
        <v>513</v>
      </c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>
        <v>18</v>
      </c>
      <c r="AS158" s="14" t="s">
        <v>6473</v>
      </c>
      <c r="AT158" s="14"/>
      <c r="AU158" s="11"/>
      <c r="AV158" s="14"/>
    </row>
    <row r="159" spans="1:49" s="47" customFormat="1" ht="15" x14ac:dyDescent="0.25">
      <c r="A159" s="199">
        <v>46197</v>
      </c>
      <c r="B159" s="72"/>
      <c r="C159" s="42" t="s">
        <v>49</v>
      </c>
      <c r="D159" s="42" t="s">
        <v>567</v>
      </c>
      <c r="E159" s="14"/>
      <c r="F159" s="71">
        <v>12044</v>
      </c>
      <c r="G159" s="42" t="s">
        <v>50</v>
      </c>
      <c r="H159" s="31">
        <v>20485981536</v>
      </c>
      <c r="I159" s="138" t="str">
        <f>IF(H159="","",VLOOKUP(H159,[1]ENTIDAD!$B$2:$C$605,2,0))</f>
        <v>EMPRESA DE TRANSPORTES TURISMO Y SERVICIOS MULTIPLES SHIMA E.I.R.L.</v>
      </c>
      <c r="J159" s="11"/>
      <c r="K159" s="11"/>
      <c r="L159" s="11"/>
      <c r="M159" s="11"/>
      <c r="N159" s="11">
        <v>0</v>
      </c>
      <c r="O159" s="11">
        <f t="shared" si="11"/>
        <v>0</v>
      </c>
      <c r="P159" s="11">
        <v>0</v>
      </c>
      <c r="Q159" s="11"/>
      <c r="R159" s="11">
        <v>40</v>
      </c>
      <c r="S159" s="11">
        <v>40</v>
      </c>
      <c r="T159" s="14"/>
      <c r="U159" s="14"/>
      <c r="V159" s="13"/>
      <c r="W159" s="15"/>
      <c r="X159" s="13"/>
      <c r="Y159" s="14"/>
      <c r="Z159" s="14"/>
      <c r="AA159" s="14"/>
      <c r="AB159" s="42" t="s">
        <v>224</v>
      </c>
      <c r="AC159" s="11"/>
      <c r="AD159" s="33">
        <v>46227</v>
      </c>
      <c r="AE159" s="34" t="s">
        <v>465</v>
      </c>
      <c r="AF159" s="37" t="s">
        <v>550</v>
      </c>
      <c r="AG159" s="14" t="s">
        <v>513</v>
      </c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 t="s">
        <v>6473</v>
      </c>
      <c r="AT159" s="14"/>
      <c r="AU159" s="11"/>
      <c r="AV159" s="14"/>
      <c r="AW159" s="45"/>
    </row>
    <row r="160" spans="1:49" s="107" customFormat="1" ht="15" x14ac:dyDescent="0.25">
      <c r="A160" s="227">
        <v>46197</v>
      </c>
      <c r="B160" s="228"/>
      <c r="C160" s="229" t="s">
        <v>300</v>
      </c>
      <c r="D160" s="229" t="s">
        <v>292</v>
      </c>
      <c r="E160" s="225"/>
      <c r="F160" s="147">
        <v>30</v>
      </c>
      <c r="G160" s="229" t="s">
        <v>50</v>
      </c>
      <c r="H160" s="230">
        <v>10209949453</v>
      </c>
      <c r="I160" s="231" t="str">
        <f>IF(H160="","",VLOOKUP(H160,[1]ENTIDAD!$B$2:$C$605,2,0))</f>
        <v>BARTOLO,CRISANTE,WILMER,ANCELMO</v>
      </c>
      <c r="J160" s="232"/>
      <c r="K160" s="232"/>
      <c r="L160" s="232"/>
      <c r="M160" s="232"/>
      <c r="N160" s="232">
        <f t="shared" ref="N160:N172" si="13">(S160-P160)/1.18</f>
        <v>0</v>
      </c>
      <c r="O160" s="232">
        <f t="shared" si="11"/>
        <v>0</v>
      </c>
      <c r="P160" s="232">
        <v>-50</v>
      </c>
      <c r="Q160" s="232"/>
      <c r="R160" s="232"/>
      <c r="S160" s="232">
        <v>-50</v>
      </c>
      <c r="T160" s="225"/>
      <c r="U160" s="225"/>
      <c r="V160" s="228"/>
      <c r="W160" s="233"/>
      <c r="X160" s="228">
        <v>46197</v>
      </c>
      <c r="Y160" s="225" t="s">
        <v>49</v>
      </c>
      <c r="Z160" s="225" t="s">
        <v>541</v>
      </c>
      <c r="AA160" s="225" t="s">
        <v>6484</v>
      </c>
      <c r="AB160" s="229" t="s">
        <v>224</v>
      </c>
      <c r="AC160" s="232"/>
      <c r="AD160" s="228">
        <v>46227</v>
      </c>
      <c r="AE160" s="225" t="s">
        <v>465</v>
      </c>
      <c r="AF160" s="217" t="s">
        <v>4063</v>
      </c>
      <c r="AG160" s="225"/>
      <c r="AH160" s="225" t="s">
        <v>225</v>
      </c>
      <c r="AI160" s="225"/>
      <c r="AJ160" s="225"/>
      <c r="AK160" s="234"/>
      <c r="AL160" s="232"/>
      <c r="AM160" s="232"/>
      <c r="AN160" s="225"/>
      <c r="AO160" s="225"/>
      <c r="AP160" s="228"/>
      <c r="AQ160" s="225"/>
      <c r="AR160" s="232">
        <v>18</v>
      </c>
      <c r="AS160" s="225" t="s">
        <v>6483</v>
      </c>
      <c r="AT160" s="225"/>
      <c r="AU160" s="232"/>
      <c r="AV160" s="225"/>
    </row>
    <row r="161" spans="1:49" s="47" customFormat="1" ht="15" x14ac:dyDescent="0.25">
      <c r="A161" s="226">
        <v>46197</v>
      </c>
      <c r="B161" s="33"/>
      <c r="C161" s="48" t="s">
        <v>49</v>
      </c>
      <c r="D161" s="48" t="s">
        <v>292</v>
      </c>
      <c r="E161" s="34"/>
      <c r="F161" s="71">
        <v>449</v>
      </c>
      <c r="G161" s="48" t="s">
        <v>50</v>
      </c>
      <c r="H161" s="31">
        <v>10209949453</v>
      </c>
      <c r="I161" s="222" t="str">
        <f>IF(H161="","",VLOOKUP(H161,[1]ENTIDAD!$B$2:$C$605,2,0))</f>
        <v>BARTOLO,CRISANTE,WILMER,ANCELMO</v>
      </c>
      <c r="J161" s="35"/>
      <c r="K161" s="35"/>
      <c r="L161" s="35"/>
      <c r="M161" s="35"/>
      <c r="N161" s="35">
        <f t="shared" si="13"/>
        <v>0</v>
      </c>
      <c r="O161" s="35">
        <f t="shared" si="11"/>
        <v>0</v>
      </c>
      <c r="P161" s="35">
        <v>50</v>
      </c>
      <c r="Q161" s="35"/>
      <c r="R161" s="35"/>
      <c r="S161" s="35">
        <v>50</v>
      </c>
      <c r="T161" s="34"/>
      <c r="U161" s="34"/>
      <c r="V161" s="33"/>
      <c r="W161" s="36"/>
      <c r="X161" s="33"/>
      <c r="Y161" s="34"/>
      <c r="Z161" s="34"/>
      <c r="AA161" s="34"/>
      <c r="AB161" s="48" t="s">
        <v>224</v>
      </c>
      <c r="AC161" s="35"/>
      <c r="AD161" s="33">
        <v>46227</v>
      </c>
      <c r="AE161" s="34" t="s">
        <v>465</v>
      </c>
      <c r="AF161" s="192" t="s">
        <v>4063</v>
      </c>
      <c r="AG161" s="14"/>
      <c r="AH161" s="14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14" t="s">
        <v>6482</v>
      </c>
      <c r="AT161" s="34"/>
      <c r="AU161" s="35"/>
      <c r="AV161" s="34"/>
      <c r="AW161"/>
    </row>
    <row r="162" spans="1:49" s="45" customFormat="1" ht="15" x14ac:dyDescent="0.25">
      <c r="A162" s="199">
        <v>46198</v>
      </c>
      <c r="B162" s="72"/>
      <c r="C162" s="42" t="s">
        <v>49</v>
      </c>
      <c r="D162" s="42" t="s">
        <v>439</v>
      </c>
      <c r="E162" s="14"/>
      <c r="F162" s="71">
        <v>16171</v>
      </c>
      <c r="G162" s="42" t="s">
        <v>50</v>
      </c>
      <c r="H162" s="31">
        <v>20493508645</v>
      </c>
      <c r="I162" s="138" t="str">
        <f>IF(H162="","",VLOOKUP(H162,[1]ENTIDAD!$B$2:$C$605,2,0))</f>
        <v>HONDA SELVA DEL PERU S.A.</v>
      </c>
      <c r="J162" s="11"/>
      <c r="K162" s="11"/>
      <c r="L162" s="11"/>
      <c r="M162" s="11"/>
      <c r="N162" s="11">
        <f t="shared" si="13"/>
        <v>-2.1186440697697514E-3</v>
      </c>
      <c r="O162" s="11">
        <f t="shared" si="11"/>
        <v>-3.8135593255855522E-4</v>
      </c>
      <c r="P162" s="11">
        <v>17461.68</v>
      </c>
      <c r="Q162" s="11"/>
      <c r="R162" s="11"/>
      <c r="S162" s="11">
        <f>W162*AC162</f>
        <v>17461.677499999998</v>
      </c>
      <c r="T162" s="14"/>
      <c r="U162" s="14"/>
      <c r="V162" s="13"/>
      <c r="W162" s="15">
        <v>3.4249999999999998</v>
      </c>
      <c r="X162" s="13"/>
      <c r="Y162" s="14"/>
      <c r="Z162" s="14"/>
      <c r="AA162" s="14"/>
      <c r="AB162" s="42" t="s">
        <v>383</v>
      </c>
      <c r="AC162" s="11">
        <v>5098.3</v>
      </c>
      <c r="AD162" s="33">
        <v>46228</v>
      </c>
      <c r="AE162" s="34" t="s">
        <v>465</v>
      </c>
      <c r="AF162" s="19" t="s">
        <v>532</v>
      </c>
      <c r="AG162" s="14"/>
      <c r="AH162" s="14" t="s">
        <v>225</v>
      </c>
      <c r="AI162" s="14"/>
      <c r="AJ162" s="14"/>
      <c r="AK162" s="16"/>
      <c r="AL162" s="11"/>
      <c r="AM162" s="11"/>
      <c r="AN162" s="14"/>
      <c r="AO162" s="14"/>
      <c r="AP162" s="13"/>
      <c r="AQ162" s="14"/>
      <c r="AR162" s="11">
        <v>18</v>
      </c>
      <c r="AS162" s="14" t="s">
        <v>201</v>
      </c>
      <c r="AT162" s="14"/>
      <c r="AU162" s="11"/>
      <c r="AV162" s="14"/>
    </row>
    <row r="163" spans="1:49" s="45" customFormat="1" ht="15" x14ac:dyDescent="0.25">
      <c r="A163" s="199">
        <v>46199</v>
      </c>
      <c r="B163" s="72"/>
      <c r="C163" s="42" t="s">
        <v>49</v>
      </c>
      <c r="D163" s="42" t="s">
        <v>441</v>
      </c>
      <c r="E163" s="14"/>
      <c r="F163" s="71">
        <v>47818723</v>
      </c>
      <c r="G163" s="42" t="s">
        <v>50</v>
      </c>
      <c r="H163" s="31">
        <v>20100047218</v>
      </c>
      <c r="I163" s="138" t="str">
        <f>IF(H163="","",VLOOKUP(H163,[1]ENTIDAD!$B$2:$C$605,2,0))</f>
        <v>BANCO DE CREDITO DEL PERU</v>
      </c>
      <c r="J163" s="11"/>
      <c r="K163" s="11"/>
      <c r="L163" s="11"/>
      <c r="M163" s="11"/>
      <c r="N163" s="11">
        <f t="shared" si="13"/>
        <v>0</v>
      </c>
      <c r="O163" s="11">
        <f t="shared" si="11"/>
        <v>0</v>
      </c>
      <c r="P163" s="11">
        <v>30.85</v>
      </c>
      <c r="Q163" s="11"/>
      <c r="R163" s="11"/>
      <c r="S163" s="11">
        <v>30.85</v>
      </c>
      <c r="T163" s="14"/>
      <c r="U163" s="14"/>
      <c r="V163" s="13"/>
      <c r="W163" s="15"/>
      <c r="X163" s="13"/>
      <c r="Y163" s="14"/>
      <c r="Z163" s="14"/>
      <c r="AA163" s="14"/>
      <c r="AB163" s="42" t="s">
        <v>224</v>
      </c>
      <c r="AC163" s="11"/>
      <c r="AD163" s="33">
        <v>46229</v>
      </c>
      <c r="AE163" s="14" t="s">
        <v>465</v>
      </c>
      <c r="AF163" s="73" t="s">
        <v>494</v>
      </c>
      <c r="AG163" s="14"/>
      <c r="AH163" s="14" t="s">
        <v>225</v>
      </c>
      <c r="AI163" s="14"/>
      <c r="AJ163" s="14"/>
      <c r="AK163" s="16"/>
      <c r="AL163" s="11"/>
      <c r="AM163" s="11"/>
      <c r="AN163" s="14"/>
      <c r="AO163" s="14"/>
      <c r="AP163" s="13"/>
      <c r="AQ163" s="14"/>
      <c r="AR163" s="11">
        <v>18</v>
      </c>
      <c r="AS163" s="14" t="s">
        <v>495</v>
      </c>
      <c r="AT163" s="14"/>
      <c r="AU163" s="11"/>
      <c r="AV163" s="14"/>
    </row>
    <row r="164" spans="1:49" s="45" customFormat="1" ht="15" x14ac:dyDescent="0.25">
      <c r="A164" s="199">
        <v>46199</v>
      </c>
      <c r="B164" s="72"/>
      <c r="C164" s="42" t="s">
        <v>49</v>
      </c>
      <c r="D164" s="42" t="s">
        <v>6475</v>
      </c>
      <c r="E164" s="14"/>
      <c r="F164" s="71">
        <v>28782</v>
      </c>
      <c r="G164" s="42" t="s">
        <v>50</v>
      </c>
      <c r="H164" s="31">
        <v>20100047218</v>
      </c>
      <c r="I164" s="138" t="str">
        <f>IF(H164="","",VLOOKUP(H164,[1]ENTIDAD!$B$2:$C$605,2,0))</f>
        <v>BANCO DE CREDITO DEL PERU</v>
      </c>
      <c r="J164" s="11"/>
      <c r="K164" s="11"/>
      <c r="L164" s="11"/>
      <c r="M164" s="11"/>
      <c r="N164" s="11">
        <f t="shared" si="13"/>
        <v>0</v>
      </c>
      <c r="O164" s="11">
        <f t="shared" si="11"/>
        <v>0</v>
      </c>
      <c r="P164" s="11">
        <v>23.92</v>
      </c>
      <c r="Q164" s="11"/>
      <c r="R164" s="11"/>
      <c r="S164" s="11">
        <v>23.92</v>
      </c>
      <c r="T164" s="14"/>
      <c r="U164" s="14"/>
      <c r="V164" s="13"/>
      <c r="W164" s="15"/>
      <c r="X164" s="13"/>
      <c r="Y164" s="14"/>
      <c r="Z164" s="14"/>
      <c r="AA164" s="14"/>
      <c r="AB164" s="42" t="s">
        <v>224</v>
      </c>
      <c r="AC164" s="11"/>
      <c r="AD164" s="33">
        <v>46229</v>
      </c>
      <c r="AE164" s="14" t="s">
        <v>465</v>
      </c>
      <c r="AF164" s="73" t="s">
        <v>494</v>
      </c>
      <c r="AG164" s="14"/>
      <c r="AH164" s="14" t="s">
        <v>225</v>
      </c>
      <c r="AI164" s="14"/>
      <c r="AJ164" s="14"/>
      <c r="AK164" s="16"/>
      <c r="AL164" s="11"/>
      <c r="AM164" s="11"/>
      <c r="AN164" s="14"/>
      <c r="AO164" s="14"/>
      <c r="AP164" s="13"/>
      <c r="AQ164" s="14"/>
      <c r="AR164" s="11">
        <v>18</v>
      </c>
      <c r="AS164" s="14" t="s">
        <v>6474</v>
      </c>
      <c r="AT164" s="14"/>
      <c r="AU164" s="11"/>
      <c r="AV164" s="14"/>
    </row>
    <row r="165" spans="1:49" s="45" customFormat="1" ht="15" x14ac:dyDescent="0.25">
      <c r="A165" s="199">
        <v>46199</v>
      </c>
      <c r="B165" s="72"/>
      <c r="C165" s="42" t="s">
        <v>49</v>
      </c>
      <c r="D165" s="42" t="s">
        <v>301</v>
      </c>
      <c r="E165" s="14"/>
      <c r="F165" s="71">
        <v>19035</v>
      </c>
      <c r="G165" s="42" t="s">
        <v>50</v>
      </c>
      <c r="H165" s="31">
        <v>20493508645</v>
      </c>
      <c r="I165" s="138" t="str">
        <f>IF(H165="","",VLOOKUP(H165,[1]ENTIDAD!$B$2:$C$605,2,0))</f>
        <v>HONDA SELVA DEL PERU S.A.</v>
      </c>
      <c r="J165" s="11"/>
      <c r="K165" s="11"/>
      <c r="L165" s="11"/>
      <c r="M165" s="11"/>
      <c r="N165" s="11">
        <f t="shared" si="13"/>
        <v>4.1101694955999598E-3</v>
      </c>
      <c r="O165" s="11">
        <f t="shared" si="11"/>
        <v>7.3983050920799274E-4</v>
      </c>
      <c r="P165" s="11">
        <v>40626.85</v>
      </c>
      <c r="Q165" s="11"/>
      <c r="R165" s="11"/>
      <c r="S165" s="11">
        <f>W165*AC165</f>
        <v>40626.854850000003</v>
      </c>
      <c r="T165" s="14"/>
      <c r="U165" s="14"/>
      <c r="V165" s="13"/>
      <c r="W165" s="15">
        <v>3.415</v>
      </c>
      <c r="X165" s="13"/>
      <c r="Y165" s="14"/>
      <c r="Z165" s="14"/>
      <c r="AA165" s="14"/>
      <c r="AB165" s="42" t="s">
        <v>383</v>
      </c>
      <c r="AC165" s="11">
        <v>11896.59</v>
      </c>
      <c r="AD165" s="33">
        <v>46229</v>
      </c>
      <c r="AE165" s="34" t="s">
        <v>465</v>
      </c>
      <c r="AF165" s="19" t="s">
        <v>532</v>
      </c>
      <c r="AG165" s="14"/>
      <c r="AH165" s="14" t="s">
        <v>225</v>
      </c>
      <c r="AI165" s="14"/>
      <c r="AJ165" s="14"/>
      <c r="AK165" s="16"/>
      <c r="AL165" s="11"/>
      <c r="AM165" s="11"/>
      <c r="AN165" s="14"/>
      <c r="AO165" s="14"/>
      <c r="AP165" s="13"/>
      <c r="AQ165" s="14"/>
      <c r="AR165" s="11">
        <v>18</v>
      </c>
      <c r="AS165" s="14" t="s">
        <v>201</v>
      </c>
      <c r="AT165" s="14"/>
      <c r="AU165" s="11"/>
      <c r="AV165" s="14"/>
    </row>
    <row r="166" spans="1:49" s="45" customFormat="1" ht="15" x14ac:dyDescent="0.25">
      <c r="A166" s="199">
        <v>46199</v>
      </c>
      <c r="B166" s="72"/>
      <c r="C166" s="42" t="s">
        <v>49</v>
      </c>
      <c r="D166" s="42" t="s">
        <v>301</v>
      </c>
      <c r="E166" s="14"/>
      <c r="F166" s="71">
        <v>19016</v>
      </c>
      <c r="G166" s="42" t="s">
        <v>50</v>
      </c>
      <c r="H166" s="31">
        <v>20493508645</v>
      </c>
      <c r="I166" s="138" t="str">
        <f>IF(H166="","",VLOOKUP(H166,[1]ENTIDAD!$B$2:$C$605,2,0))</f>
        <v>HONDA SELVA DEL PERU S.A.</v>
      </c>
      <c r="J166" s="11"/>
      <c r="K166" s="11"/>
      <c r="L166" s="11"/>
      <c r="M166" s="11"/>
      <c r="N166" s="11">
        <f t="shared" si="13"/>
        <v>-4.0677966060653587E-3</v>
      </c>
      <c r="O166" s="11">
        <f t="shared" si="11"/>
        <v>-7.3220338909176451E-4</v>
      </c>
      <c r="P166" s="11">
        <v>60940.27</v>
      </c>
      <c r="Q166" s="11"/>
      <c r="R166" s="11"/>
      <c r="S166" s="11">
        <f>W166*AC166</f>
        <v>60940.265200000002</v>
      </c>
      <c r="T166" s="14"/>
      <c r="U166" s="14"/>
      <c r="V166" s="13"/>
      <c r="W166" s="15">
        <v>3.415</v>
      </c>
      <c r="X166" s="13"/>
      <c r="Y166" s="14"/>
      <c r="Z166" s="14"/>
      <c r="AA166" s="14"/>
      <c r="AB166" s="42" t="s">
        <v>383</v>
      </c>
      <c r="AC166" s="11">
        <v>17844.88</v>
      </c>
      <c r="AD166" s="33">
        <v>46230</v>
      </c>
      <c r="AE166" s="34" t="s">
        <v>465</v>
      </c>
      <c r="AF166" s="19" t="s">
        <v>532</v>
      </c>
      <c r="AG166" s="14"/>
      <c r="AH166" s="14" t="s">
        <v>225</v>
      </c>
      <c r="AI166" s="14"/>
      <c r="AJ166" s="14"/>
      <c r="AK166" s="16"/>
      <c r="AL166" s="11"/>
      <c r="AM166" s="11"/>
      <c r="AN166" s="14"/>
      <c r="AO166" s="14"/>
      <c r="AP166" s="13"/>
      <c r="AQ166" s="14"/>
      <c r="AR166" s="11">
        <v>18</v>
      </c>
      <c r="AS166" s="14" t="s">
        <v>201</v>
      </c>
      <c r="AT166" s="14"/>
      <c r="AU166" s="11"/>
      <c r="AV166" s="14"/>
    </row>
    <row r="167" spans="1:49" s="45" customFormat="1" ht="15" x14ac:dyDescent="0.25">
      <c r="A167" s="199">
        <v>46199</v>
      </c>
      <c r="B167" s="72"/>
      <c r="C167" s="42" t="s">
        <v>49</v>
      </c>
      <c r="D167" s="42" t="s">
        <v>301</v>
      </c>
      <c r="E167" s="14"/>
      <c r="F167" s="71">
        <v>19003</v>
      </c>
      <c r="G167" s="42" t="s">
        <v>50</v>
      </c>
      <c r="H167" s="31">
        <v>20493508645</v>
      </c>
      <c r="I167" s="138" t="str">
        <f>IF(H167="","",VLOOKUP(H167,[1]ENTIDAD!$B$2:$C$605,2,0))</f>
        <v>HONDA SELVA DEL PERU S.A.</v>
      </c>
      <c r="J167" s="11"/>
      <c r="K167" s="11"/>
      <c r="L167" s="11"/>
      <c r="M167" s="11"/>
      <c r="N167" s="11">
        <f t="shared" si="13"/>
        <v>2.8389830500384701E-3</v>
      </c>
      <c r="O167" s="11">
        <f t="shared" si="11"/>
        <v>5.1101694900692457E-4</v>
      </c>
      <c r="P167" s="11">
        <v>8853.35</v>
      </c>
      <c r="Q167" s="11"/>
      <c r="R167" s="11"/>
      <c r="S167" s="11">
        <f>W167*AC167</f>
        <v>8853.3533499999994</v>
      </c>
      <c r="T167" s="14"/>
      <c r="U167" s="14"/>
      <c r="V167" s="13"/>
      <c r="W167" s="15">
        <v>3.415</v>
      </c>
      <c r="X167" s="13"/>
      <c r="Y167" s="14"/>
      <c r="Z167" s="14"/>
      <c r="AA167" s="14"/>
      <c r="AB167" s="42" t="s">
        <v>383</v>
      </c>
      <c r="AC167" s="11">
        <v>2592.4899999999998</v>
      </c>
      <c r="AD167" s="33">
        <v>46230</v>
      </c>
      <c r="AE167" s="34" t="s">
        <v>465</v>
      </c>
      <c r="AF167" s="19" t="s">
        <v>532</v>
      </c>
      <c r="AG167" s="14"/>
      <c r="AH167" s="14" t="s">
        <v>225</v>
      </c>
      <c r="AI167" s="14"/>
      <c r="AJ167" s="14"/>
      <c r="AK167" s="16"/>
      <c r="AL167" s="11"/>
      <c r="AM167" s="11"/>
      <c r="AN167" s="14"/>
      <c r="AO167" s="14"/>
      <c r="AP167" s="13"/>
      <c r="AQ167" s="14"/>
      <c r="AR167" s="11">
        <v>18</v>
      </c>
      <c r="AS167" s="14" t="s">
        <v>201</v>
      </c>
      <c r="AT167" s="14"/>
      <c r="AU167" s="11"/>
      <c r="AV167" s="14"/>
    </row>
    <row r="168" spans="1:49" s="45" customFormat="1" ht="15" x14ac:dyDescent="0.25">
      <c r="A168" s="226">
        <v>46199</v>
      </c>
      <c r="B168" s="33"/>
      <c r="C168" s="48" t="s">
        <v>49</v>
      </c>
      <c r="D168" s="48" t="s">
        <v>292</v>
      </c>
      <c r="E168" s="34"/>
      <c r="F168" s="71">
        <v>633</v>
      </c>
      <c r="G168" s="48" t="s">
        <v>50</v>
      </c>
      <c r="H168" s="31">
        <v>20601358892</v>
      </c>
      <c r="I168" s="222" t="str">
        <f>IF(H168="","",VLOOKUP(H168,[1]ENTIDAD!$B$2:$C$605,2,0))</f>
        <v>ARAUCO CONDE SOLUCIONES INMOBILIARIAS S.A.C.</v>
      </c>
      <c r="J168" s="35"/>
      <c r="K168" s="35"/>
      <c r="L168" s="35"/>
      <c r="M168" s="35"/>
      <c r="N168" s="35">
        <f t="shared" si="13"/>
        <v>0</v>
      </c>
      <c r="O168" s="35">
        <f t="shared" si="11"/>
        <v>0</v>
      </c>
      <c r="P168" s="35">
        <v>2000</v>
      </c>
      <c r="Q168" s="35"/>
      <c r="R168" s="35"/>
      <c r="S168" s="35">
        <v>2000</v>
      </c>
      <c r="T168" s="34"/>
      <c r="U168" s="34"/>
      <c r="V168" s="33"/>
      <c r="W168" s="36"/>
      <c r="X168" s="33"/>
      <c r="Y168" s="34"/>
      <c r="Z168" s="34"/>
      <c r="AA168" s="34"/>
      <c r="AB168" s="48" t="s">
        <v>224</v>
      </c>
      <c r="AC168" s="35"/>
      <c r="AD168" s="72">
        <v>46229</v>
      </c>
      <c r="AE168" s="34" t="s">
        <v>465</v>
      </c>
      <c r="AF168" s="19" t="s">
        <v>203</v>
      </c>
      <c r="AG168" s="34"/>
      <c r="AH168" s="34" t="s">
        <v>225</v>
      </c>
      <c r="AI168" s="34"/>
      <c r="AJ168" s="34"/>
      <c r="AK168" s="38"/>
      <c r="AL168" s="35"/>
      <c r="AM168" s="35"/>
      <c r="AN168" s="34"/>
      <c r="AO168" s="34"/>
      <c r="AP168" s="33"/>
      <c r="AQ168" s="34"/>
      <c r="AR168" s="35">
        <v>18</v>
      </c>
      <c r="AS168" s="34" t="s">
        <v>6476</v>
      </c>
      <c r="AT168" s="34"/>
      <c r="AU168" s="35"/>
      <c r="AV168" s="34"/>
      <c r="AW168"/>
    </row>
    <row r="169" spans="1:49" s="45" customFormat="1" ht="15" x14ac:dyDescent="0.25">
      <c r="A169" s="226">
        <v>46199</v>
      </c>
      <c r="B169" s="33"/>
      <c r="C169" s="48" t="s">
        <v>49</v>
      </c>
      <c r="D169" s="48" t="s">
        <v>292</v>
      </c>
      <c r="E169" s="34"/>
      <c r="F169" s="71">
        <v>631</v>
      </c>
      <c r="G169" s="48" t="s">
        <v>50</v>
      </c>
      <c r="H169" s="31">
        <v>20601358892</v>
      </c>
      <c r="I169" s="222" t="str">
        <f>IF(H169="","",VLOOKUP(H169,[1]ENTIDAD!$B$2:$C$605,2,0))</f>
        <v>ARAUCO CONDE SOLUCIONES INMOBILIARIAS S.A.C.</v>
      </c>
      <c r="J169" s="35"/>
      <c r="K169" s="35"/>
      <c r="L169" s="35"/>
      <c r="M169" s="35"/>
      <c r="N169" s="35">
        <f t="shared" si="13"/>
        <v>0</v>
      </c>
      <c r="O169" s="35">
        <f t="shared" si="11"/>
        <v>0</v>
      </c>
      <c r="P169" s="35">
        <v>3000</v>
      </c>
      <c r="Q169" s="35"/>
      <c r="R169" s="35"/>
      <c r="S169" s="35">
        <v>3000</v>
      </c>
      <c r="T169" s="34"/>
      <c r="U169" s="34"/>
      <c r="V169" s="33"/>
      <c r="W169" s="36"/>
      <c r="X169" s="33"/>
      <c r="Y169" s="34"/>
      <c r="Z169" s="34"/>
      <c r="AA169" s="34"/>
      <c r="AB169" s="48" t="s">
        <v>224</v>
      </c>
      <c r="AC169" s="35"/>
      <c r="AD169" s="72">
        <v>46229</v>
      </c>
      <c r="AE169" s="34" t="s">
        <v>465</v>
      </c>
      <c r="AF169" s="19" t="s">
        <v>203</v>
      </c>
      <c r="AG169" s="34"/>
      <c r="AH169" s="34" t="s">
        <v>225</v>
      </c>
      <c r="AI169" s="34"/>
      <c r="AJ169" s="34"/>
      <c r="AK169" s="38"/>
      <c r="AL169" s="35"/>
      <c r="AM169" s="35"/>
      <c r="AN169" s="34"/>
      <c r="AO169" s="34"/>
      <c r="AP169" s="33"/>
      <c r="AQ169" s="34"/>
      <c r="AR169" s="35">
        <v>18</v>
      </c>
      <c r="AS169" s="34" t="s">
        <v>6477</v>
      </c>
      <c r="AT169" s="34"/>
      <c r="AU169" s="35"/>
      <c r="AV169" s="34"/>
      <c r="AW169"/>
    </row>
    <row r="170" spans="1:49" s="45" customFormat="1" ht="15" x14ac:dyDescent="0.25">
      <c r="A170" s="199">
        <v>46200</v>
      </c>
      <c r="B170" s="72"/>
      <c r="C170" s="42" t="s">
        <v>49</v>
      </c>
      <c r="D170" s="42" t="s">
        <v>301</v>
      </c>
      <c r="E170" s="14"/>
      <c r="F170" s="71">
        <v>19058</v>
      </c>
      <c r="G170" s="42" t="s">
        <v>50</v>
      </c>
      <c r="H170" s="31">
        <v>20493508645</v>
      </c>
      <c r="I170" s="138" t="str">
        <f>IF(H170="","",VLOOKUP(H170,[1]ENTIDAD!$B$2:$C$605,2,0))</f>
        <v>HONDA SELVA DEL PERU S.A.</v>
      </c>
      <c r="J170" s="11"/>
      <c r="K170" s="11"/>
      <c r="L170" s="11"/>
      <c r="M170" s="11"/>
      <c r="N170" s="11">
        <f t="shared" si="13"/>
        <v>2.7542372886967055E-3</v>
      </c>
      <c r="O170" s="11">
        <f t="shared" si="11"/>
        <v>4.9576271196540695E-4</v>
      </c>
      <c r="P170" s="11">
        <v>5838.11</v>
      </c>
      <c r="Q170" s="11"/>
      <c r="R170" s="11"/>
      <c r="S170" s="11">
        <f>W170*AC170</f>
        <v>5838.1132500000003</v>
      </c>
      <c r="T170" s="14"/>
      <c r="U170" s="14"/>
      <c r="V170" s="13"/>
      <c r="W170" s="15">
        <v>3.415</v>
      </c>
      <c r="X170" s="13"/>
      <c r="Y170" s="14"/>
      <c r="Z170" s="14"/>
      <c r="AA170" s="14"/>
      <c r="AB170" s="42" t="s">
        <v>383</v>
      </c>
      <c r="AC170" s="11">
        <v>1709.55</v>
      </c>
      <c r="AD170" s="33">
        <v>46230</v>
      </c>
      <c r="AE170" s="34" t="s">
        <v>465</v>
      </c>
      <c r="AF170" s="19" t="s">
        <v>532</v>
      </c>
      <c r="AG170" s="14"/>
      <c r="AH170" s="14" t="s">
        <v>225</v>
      </c>
      <c r="AI170" s="14"/>
      <c r="AJ170" s="14"/>
      <c r="AK170" s="16"/>
      <c r="AL170" s="11"/>
      <c r="AM170" s="11"/>
      <c r="AN170" s="14"/>
      <c r="AO170" s="14"/>
      <c r="AP170" s="13"/>
      <c r="AQ170" s="14"/>
      <c r="AR170" s="11">
        <v>18</v>
      </c>
      <c r="AS170" s="14" t="s">
        <v>201</v>
      </c>
      <c r="AT170" s="14"/>
      <c r="AU170" s="11"/>
      <c r="AV170" s="14"/>
    </row>
    <row r="171" spans="1:49" s="45" customFormat="1" ht="15" x14ac:dyDescent="0.25">
      <c r="A171" s="199">
        <v>46200</v>
      </c>
      <c r="B171" s="72"/>
      <c r="C171" s="42" t="s">
        <v>49</v>
      </c>
      <c r="D171" s="42" t="s">
        <v>451</v>
      </c>
      <c r="E171" s="14"/>
      <c r="F171" s="71">
        <v>346</v>
      </c>
      <c r="G171" s="42" t="s">
        <v>50</v>
      </c>
      <c r="H171" s="31">
        <v>10209907327</v>
      </c>
      <c r="I171" s="138" t="str">
        <f>IF(H171="","",VLOOKUP(H171,[1]ENTIDAD!$B$2:$C$605,2,0))</f>
        <v>TORPOCO,MAYTA,HECTOR,ALFONSO</v>
      </c>
      <c r="J171" s="11"/>
      <c r="K171" s="11"/>
      <c r="L171" s="11"/>
      <c r="M171" s="11"/>
      <c r="N171" s="11">
        <f t="shared" si="13"/>
        <v>0</v>
      </c>
      <c r="O171" s="11">
        <f t="shared" si="11"/>
        <v>0</v>
      </c>
      <c r="P171" s="11">
        <v>20</v>
      </c>
      <c r="Q171" s="11"/>
      <c r="R171" s="11"/>
      <c r="S171" s="11">
        <v>20</v>
      </c>
      <c r="T171" s="14"/>
      <c r="U171" s="14"/>
      <c r="V171" s="13"/>
      <c r="W171" s="15"/>
      <c r="X171" s="13"/>
      <c r="Y171" s="14"/>
      <c r="Z171" s="14"/>
      <c r="AA171" s="14"/>
      <c r="AB171" s="42" t="s">
        <v>224</v>
      </c>
      <c r="AC171" s="11"/>
      <c r="AD171" s="13">
        <v>46200</v>
      </c>
      <c r="AE171" s="34" t="s">
        <v>262</v>
      </c>
      <c r="AF171" s="19" t="s">
        <v>486</v>
      </c>
      <c r="AG171" s="14"/>
      <c r="AH171" s="14" t="s">
        <v>225</v>
      </c>
      <c r="AI171" s="14"/>
      <c r="AJ171" s="14"/>
      <c r="AK171" s="16"/>
      <c r="AL171" s="11"/>
      <c r="AM171" s="11"/>
      <c r="AN171" s="14"/>
      <c r="AO171" s="14"/>
      <c r="AP171" s="13"/>
      <c r="AQ171" s="14"/>
      <c r="AR171" s="11">
        <v>18</v>
      </c>
      <c r="AS171" s="14" t="s">
        <v>764</v>
      </c>
      <c r="AT171" s="14"/>
      <c r="AU171" s="11"/>
      <c r="AV171" s="14"/>
    </row>
    <row r="172" spans="1:49" s="45" customFormat="1" ht="15" x14ac:dyDescent="0.25">
      <c r="A172" s="199">
        <v>46200</v>
      </c>
      <c r="B172" s="72"/>
      <c r="C172" s="42" t="s">
        <v>49</v>
      </c>
      <c r="D172" s="42" t="s">
        <v>294</v>
      </c>
      <c r="E172" s="14"/>
      <c r="F172" s="71">
        <v>12819</v>
      </c>
      <c r="G172" s="42" t="s">
        <v>50</v>
      </c>
      <c r="H172" s="31">
        <v>10209907327</v>
      </c>
      <c r="I172" s="138" t="str">
        <f>IF(H172="","",VLOOKUP(H172,[1]ENTIDAD!$B$2:$C$605,2,0))</f>
        <v>TORPOCO,MAYTA,HECTOR,ALFONSO</v>
      </c>
      <c r="J172" s="11"/>
      <c r="K172" s="11"/>
      <c r="L172" s="11"/>
      <c r="M172" s="11"/>
      <c r="N172" s="11">
        <f t="shared" si="13"/>
        <v>0</v>
      </c>
      <c r="O172" s="11">
        <f t="shared" si="11"/>
        <v>0</v>
      </c>
      <c r="P172" s="11">
        <v>10</v>
      </c>
      <c r="Q172" s="11"/>
      <c r="R172" s="11"/>
      <c r="S172" s="11">
        <v>10</v>
      </c>
      <c r="T172" s="14"/>
      <c r="U172" s="14"/>
      <c r="V172" s="13"/>
      <c r="W172" s="15"/>
      <c r="X172" s="13"/>
      <c r="Y172" s="14"/>
      <c r="Z172" s="14"/>
      <c r="AA172" s="14"/>
      <c r="AB172" s="42" t="s">
        <v>224</v>
      </c>
      <c r="AC172" s="11"/>
      <c r="AD172" s="13">
        <v>46200</v>
      </c>
      <c r="AE172" s="34" t="s">
        <v>262</v>
      </c>
      <c r="AF172" s="19" t="s">
        <v>486</v>
      </c>
      <c r="AG172" s="14"/>
      <c r="AH172" s="14" t="s">
        <v>225</v>
      </c>
      <c r="AI172" s="14"/>
      <c r="AJ172" s="14"/>
      <c r="AK172" s="16"/>
      <c r="AL172" s="11"/>
      <c r="AM172" s="11"/>
      <c r="AN172" s="14"/>
      <c r="AO172" s="14"/>
      <c r="AP172" s="13"/>
      <c r="AQ172" s="14"/>
      <c r="AR172" s="11">
        <v>18</v>
      </c>
      <c r="AS172" s="14" t="s">
        <v>764</v>
      </c>
      <c r="AT172" s="14"/>
      <c r="AU172" s="11"/>
      <c r="AV172" s="14"/>
    </row>
    <row r="173" spans="1:49" s="45" customFormat="1" ht="15" x14ac:dyDescent="0.25">
      <c r="A173" s="199">
        <v>46200</v>
      </c>
      <c r="B173" s="46"/>
      <c r="C173" s="42" t="s">
        <v>49</v>
      </c>
      <c r="D173" s="42" t="s">
        <v>299</v>
      </c>
      <c r="E173" s="14"/>
      <c r="F173" s="63">
        <v>3955024</v>
      </c>
      <c r="G173" s="42" t="s">
        <v>50</v>
      </c>
      <c r="H173" s="184">
        <v>20101973922</v>
      </c>
      <c r="I173" s="138" t="str">
        <f>IF(H173="","",VLOOKUP(H173,[1]ENTIDAD!$B$2:$C$605,2,0))</f>
        <v>ASOCIACION AUTOMOTRIZ DEL PERU</v>
      </c>
      <c r="J173" s="11"/>
      <c r="K173" s="11"/>
      <c r="L173" s="11"/>
      <c r="M173" s="11"/>
      <c r="N173" s="11">
        <v>0</v>
      </c>
      <c r="O173" s="11">
        <f t="shared" si="11"/>
        <v>0</v>
      </c>
      <c r="P173" s="11">
        <v>0</v>
      </c>
      <c r="Q173" s="11"/>
      <c r="R173" s="11">
        <v>66.8</v>
      </c>
      <c r="S173" s="11">
        <v>66.8</v>
      </c>
      <c r="T173" s="14"/>
      <c r="U173" s="14"/>
      <c r="V173" s="13"/>
      <c r="W173" s="15"/>
      <c r="X173" s="13"/>
      <c r="Y173" s="14"/>
      <c r="Z173" s="14"/>
      <c r="AA173" s="14"/>
      <c r="AB173" s="42" t="s">
        <v>224</v>
      </c>
      <c r="AC173" s="11"/>
      <c r="AD173" s="13">
        <v>46230</v>
      </c>
      <c r="AE173" s="34" t="s">
        <v>465</v>
      </c>
      <c r="AF173" s="37" t="s">
        <v>550</v>
      </c>
      <c r="AG173" s="14" t="s">
        <v>513</v>
      </c>
      <c r="AH173" s="14" t="s">
        <v>225</v>
      </c>
      <c r="AI173" s="14"/>
      <c r="AJ173" s="14"/>
      <c r="AK173" s="16"/>
      <c r="AL173" s="11"/>
      <c r="AM173" s="11"/>
      <c r="AN173" s="14"/>
      <c r="AO173" s="14"/>
      <c r="AP173" s="13"/>
      <c r="AQ173" s="14"/>
      <c r="AR173" s="11">
        <v>18</v>
      </c>
      <c r="AS173" s="14" t="s">
        <v>566</v>
      </c>
      <c r="AT173" s="14"/>
      <c r="AU173" s="11"/>
      <c r="AV173" s="14"/>
    </row>
    <row r="174" spans="1:49" s="45" customFormat="1" ht="15" x14ac:dyDescent="0.25">
      <c r="A174" s="199">
        <v>46200</v>
      </c>
      <c r="B174" s="46"/>
      <c r="C174" s="42" t="s">
        <v>49</v>
      </c>
      <c r="D174" s="42" t="s">
        <v>299</v>
      </c>
      <c r="E174" s="14"/>
      <c r="F174" s="63">
        <v>3955025</v>
      </c>
      <c r="G174" s="42" t="s">
        <v>50</v>
      </c>
      <c r="H174" s="184">
        <v>20101973922</v>
      </c>
      <c r="I174" s="138" t="str">
        <f>IF(H174="","",VLOOKUP(H174,[1]ENTIDAD!$B$2:$C$605,2,0))</f>
        <v>ASOCIACION AUTOMOTRIZ DEL PERU</v>
      </c>
      <c r="J174" s="11"/>
      <c r="K174" s="11"/>
      <c r="L174" s="11"/>
      <c r="M174" s="11"/>
      <c r="N174" s="11">
        <v>0</v>
      </c>
      <c r="O174" s="11">
        <f t="shared" si="11"/>
        <v>0</v>
      </c>
      <c r="P174" s="11">
        <v>0</v>
      </c>
      <c r="Q174" s="11"/>
      <c r="R174" s="11">
        <v>66.8</v>
      </c>
      <c r="S174" s="11">
        <v>66.8</v>
      </c>
      <c r="T174" s="14"/>
      <c r="U174" s="14"/>
      <c r="V174" s="13"/>
      <c r="W174" s="15"/>
      <c r="X174" s="13"/>
      <c r="Y174" s="14"/>
      <c r="Z174" s="14"/>
      <c r="AA174" s="14"/>
      <c r="AB174" s="42" t="s">
        <v>224</v>
      </c>
      <c r="AC174" s="11"/>
      <c r="AD174" s="13">
        <v>46230</v>
      </c>
      <c r="AE174" s="34" t="s">
        <v>465</v>
      </c>
      <c r="AF174" s="37" t="s">
        <v>550</v>
      </c>
      <c r="AG174" s="14" t="s">
        <v>513</v>
      </c>
      <c r="AH174" s="14" t="s">
        <v>225</v>
      </c>
      <c r="AI174" s="14"/>
      <c r="AJ174" s="14"/>
      <c r="AK174" s="16"/>
      <c r="AL174" s="11"/>
      <c r="AM174" s="11"/>
      <c r="AN174" s="14"/>
      <c r="AO174" s="14"/>
      <c r="AP174" s="13"/>
      <c r="AQ174" s="14"/>
      <c r="AR174" s="11">
        <v>18</v>
      </c>
      <c r="AS174" s="14" t="s">
        <v>566</v>
      </c>
      <c r="AT174" s="14"/>
      <c r="AU174" s="11"/>
      <c r="AV174" s="14"/>
    </row>
    <row r="175" spans="1:49" s="47" customFormat="1" ht="15" x14ac:dyDescent="0.25">
      <c r="A175" s="199">
        <v>46200</v>
      </c>
      <c r="B175" s="46"/>
      <c r="C175" s="42" t="s">
        <v>49</v>
      </c>
      <c r="D175" s="42" t="s">
        <v>299</v>
      </c>
      <c r="E175" s="14"/>
      <c r="F175" s="63">
        <v>3955026</v>
      </c>
      <c r="G175" s="42" t="s">
        <v>50</v>
      </c>
      <c r="H175" s="184">
        <v>20101973922</v>
      </c>
      <c r="I175" s="138" t="str">
        <f>IF(H175="","",VLOOKUP(H175,[1]ENTIDAD!$B$2:$C$605,2,0))</f>
        <v>ASOCIACION AUTOMOTRIZ DEL PERU</v>
      </c>
      <c r="J175" s="11"/>
      <c r="K175" s="11"/>
      <c r="L175" s="11"/>
      <c r="M175" s="11"/>
      <c r="N175" s="11">
        <v>0</v>
      </c>
      <c r="O175" s="11">
        <f t="shared" si="11"/>
        <v>0</v>
      </c>
      <c r="P175" s="11">
        <v>0</v>
      </c>
      <c r="Q175" s="11"/>
      <c r="R175" s="11">
        <v>66.8</v>
      </c>
      <c r="S175" s="11">
        <v>66.8</v>
      </c>
      <c r="T175" s="14"/>
      <c r="U175" s="14"/>
      <c r="V175" s="13"/>
      <c r="W175" s="15"/>
      <c r="X175" s="13"/>
      <c r="Y175" s="14"/>
      <c r="Z175" s="14"/>
      <c r="AA175" s="14"/>
      <c r="AB175" s="42" t="s">
        <v>224</v>
      </c>
      <c r="AC175" s="11"/>
      <c r="AD175" s="13">
        <v>46230</v>
      </c>
      <c r="AE175" s="34" t="s">
        <v>465</v>
      </c>
      <c r="AF175" s="37" t="s">
        <v>550</v>
      </c>
      <c r="AG175" s="14" t="s">
        <v>513</v>
      </c>
      <c r="AH175" s="14" t="s">
        <v>225</v>
      </c>
      <c r="AI175" s="14"/>
      <c r="AJ175" s="14"/>
      <c r="AK175" s="16"/>
      <c r="AL175" s="11"/>
      <c r="AM175" s="11"/>
      <c r="AN175" s="14"/>
      <c r="AO175" s="14"/>
      <c r="AP175" s="13"/>
      <c r="AQ175" s="14"/>
      <c r="AR175" s="11">
        <v>18</v>
      </c>
      <c r="AS175" s="14" t="s">
        <v>566</v>
      </c>
      <c r="AT175" s="14"/>
      <c r="AU175" s="11"/>
      <c r="AV175" s="14"/>
      <c r="AW175" s="45"/>
    </row>
    <row r="176" spans="1:49" customFormat="1" ht="15" x14ac:dyDescent="0.25">
      <c r="A176" s="199">
        <v>46200</v>
      </c>
      <c r="B176" s="46"/>
      <c r="C176" s="42" t="s">
        <v>49</v>
      </c>
      <c r="D176" s="42" t="s">
        <v>299</v>
      </c>
      <c r="E176" s="14"/>
      <c r="F176" s="63">
        <v>3955027</v>
      </c>
      <c r="G176" s="42" t="s">
        <v>50</v>
      </c>
      <c r="H176" s="184">
        <v>20101973922</v>
      </c>
      <c r="I176" s="138" t="str">
        <f>IF(H176="","",VLOOKUP(H176,[1]ENTIDAD!$B$2:$C$605,2,0))</f>
        <v>ASOCIACION AUTOMOTRIZ DEL PERU</v>
      </c>
      <c r="J176" s="11"/>
      <c r="K176" s="11"/>
      <c r="L176" s="11"/>
      <c r="M176" s="11"/>
      <c r="N176" s="11">
        <v>0</v>
      </c>
      <c r="O176" s="11">
        <f t="shared" si="11"/>
        <v>0</v>
      </c>
      <c r="P176" s="11">
        <v>0</v>
      </c>
      <c r="Q176" s="11"/>
      <c r="R176" s="11">
        <v>66.8</v>
      </c>
      <c r="S176" s="11">
        <v>66.8</v>
      </c>
      <c r="T176" s="14"/>
      <c r="U176" s="14"/>
      <c r="V176" s="13"/>
      <c r="W176" s="15"/>
      <c r="X176" s="13"/>
      <c r="Y176" s="14"/>
      <c r="Z176" s="14"/>
      <c r="AA176" s="14"/>
      <c r="AB176" s="42" t="s">
        <v>224</v>
      </c>
      <c r="AC176" s="11"/>
      <c r="AD176" s="13">
        <v>46230</v>
      </c>
      <c r="AE176" s="34" t="s">
        <v>465</v>
      </c>
      <c r="AF176" s="37" t="s">
        <v>550</v>
      </c>
      <c r="AG176" s="14" t="s">
        <v>513</v>
      </c>
      <c r="AH176" s="14" t="s">
        <v>225</v>
      </c>
      <c r="AI176" s="14"/>
      <c r="AJ176" s="14"/>
      <c r="AK176" s="16"/>
      <c r="AL176" s="11"/>
      <c r="AM176" s="11"/>
      <c r="AN176" s="14"/>
      <c r="AO176" s="14"/>
      <c r="AP176" s="13"/>
      <c r="AQ176" s="14"/>
      <c r="AR176" s="11">
        <v>18</v>
      </c>
      <c r="AS176" s="14" t="s">
        <v>566</v>
      </c>
      <c r="AT176" s="14"/>
      <c r="AU176" s="11"/>
      <c r="AV176" s="14"/>
      <c r="AW176" s="45"/>
    </row>
    <row r="177" spans="1:49" customFormat="1" ht="15" x14ac:dyDescent="0.25">
      <c r="A177" s="199">
        <v>46203</v>
      </c>
      <c r="B177" s="72"/>
      <c r="C177" s="42" t="s">
        <v>49</v>
      </c>
      <c r="D177" s="42" t="s">
        <v>301</v>
      </c>
      <c r="E177" s="14"/>
      <c r="F177" s="71">
        <v>19083</v>
      </c>
      <c r="G177" s="42" t="s">
        <v>50</v>
      </c>
      <c r="H177" s="31">
        <v>20493508645</v>
      </c>
      <c r="I177" s="138" t="str">
        <f>IF(H177="","",VLOOKUP(H177,[1]ENTIDAD!$B$2:$C$605,2,0))</f>
        <v>HONDA SELVA DEL PERU S.A.</v>
      </c>
      <c r="J177" s="11"/>
      <c r="K177" s="11"/>
      <c r="L177" s="11"/>
      <c r="M177" s="11"/>
      <c r="N177" s="11">
        <f>(S177-P177)/1.18</f>
        <v>2.4152542363928228E-3</v>
      </c>
      <c r="O177" s="11">
        <f t="shared" si="11"/>
        <v>4.3474576255070807E-4</v>
      </c>
      <c r="P177" s="11">
        <v>10415.030000000001</v>
      </c>
      <c r="Q177" s="11"/>
      <c r="R177" s="11"/>
      <c r="S177" s="11">
        <f>W177*AC177</f>
        <v>10415.03285</v>
      </c>
      <c r="T177" s="14"/>
      <c r="U177" s="14"/>
      <c r="V177" s="13"/>
      <c r="W177" s="15">
        <v>3.415</v>
      </c>
      <c r="X177" s="13"/>
      <c r="Y177" s="14"/>
      <c r="Z177" s="14"/>
      <c r="AA177" s="14"/>
      <c r="AB177" s="42" t="s">
        <v>383</v>
      </c>
      <c r="AC177" s="11">
        <v>3049.79</v>
      </c>
      <c r="AD177" s="33">
        <v>46233</v>
      </c>
      <c r="AE177" s="34" t="s">
        <v>465</v>
      </c>
      <c r="AF177" s="19" t="s">
        <v>532</v>
      </c>
      <c r="AG177" s="14"/>
      <c r="AH177" s="14" t="s">
        <v>225</v>
      </c>
      <c r="AI177" s="14"/>
      <c r="AJ177" s="14"/>
      <c r="AK177" s="16"/>
      <c r="AL177" s="11"/>
      <c r="AM177" s="11"/>
      <c r="AN177" s="14"/>
      <c r="AO177" s="14"/>
      <c r="AP177" s="13"/>
      <c r="AQ177" s="14"/>
      <c r="AR177" s="11">
        <v>18</v>
      </c>
      <c r="AS177" s="14" t="s">
        <v>201</v>
      </c>
      <c r="AT177" s="14"/>
      <c r="AU177" s="11"/>
      <c r="AV177" s="14"/>
      <c r="AW177" s="45"/>
    </row>
    <row r="178" spans="1:49" customFormat="1" ht="15" x14ac:dyDescent="0.25">
      <c r="A178" s="199">
        <v>46203</v>
      </c>
      <c r="B178" s="72"/>
      <c r="C178" s="42" t="s">
        <v>49</v>
      </c>
      <c r="D178" s="42" t="s">
        <v>294</v>
      </c>
      <c r="E178" s="14"/>
      <c r="F178" s="71">
        <v>5438</v>
      </c>
      <c r="G178" s="42" t="s">
        <v>50</v>
      </c>
      <c r="H178" s="31">
        <v>10061702071</v>
      </c>
      <c r="I178" s="138" t="str">
        <f>IF(H178="","",VLOOKUP(H178,[1]ENTIDAD!$B$2:$C$605,2,0))</f>
        <v>CORAL FLORES IVAN MARTIN</v>
      </c>
      <c r="J178" s="11"/>
      <c r="K178" s="11"/>
      <c r="L178" s="11"/>
      <c r="M178" s="11"/>
      <c r="N178" s="11">
        <v>0</v>
      </c>
      <c r="O178" s="11">
        <f t="shared" si="11"/>
        <v>0</v>
      </c>
      <c r="P178" s="11">
        <v>0</v>
      </c>
      <c r="Q178" s="11"/>
      <c r="R178" s="11">
        <v>330</v>
      </c>
      <c r="S178" s="11">
        <v>330</v>
      </c>
      <c r="T178" s="14"/>
      <c r="U178" s="14"/>
      <c r="V178" s="13"/>
      <c r="W178" s="15"/>
      <c r="X178" s="13"/>
      <c r="Y178" s="14"/>
      <c r="Z178" s="14"/>
      <c r="AA178" s="14"/>
      <c r="AB178" s="42" t="s">
        <v>224</v>
      </c>
      <c r="AC178" s="11"/>
      <c r="AD178" s="13">
        <v>46233</v>
      </c>
      <c r="AE178" s="34" t="s">
        <v>465</v>
      </c>
      <c r="AF178" s="37" t="s">
        <v>550</v>
      </c>
      <c r="AG178" s="14" t="s">
        <v>513</v>
      </c>
      <c r="AH178" s="14" t="s">
        <v>225</v>
      </c>
      <c r="AI178" s="14"/>
      <c r="AJ178" s="14"/>
      <c r="AK178" s="16"/>
      <c r="AL178" s="11"/>
      <c r="AM178" s="11"/>
      <c r="AN178" s="14"/>
      <c r="AO178" s="14"/>
      <c r="AP178" s="13"/>
      <c r="AQ178" s="14"/>
      <c r="AR178" s="11">
        <v>18</v>
      </c>
      <c r="AS178" s="14" t="s">
        <v>719</v>
      </c>
      <c r="AT178" s="14"/>
      <c r="AU178" s="11"/>
      <c r="AV178" s="14"/>
      <c r="AW178" s="45"/>
    </row>
    <row r="179" spans="1:49" customFormat="1" ht="15" x14ac:dyDescent="0.25">
      <c r="A179" s="199">
        <v>46203</v>
      </c>
      <c r="B179" s="72"/>
      <c r="C179" s="42" t="s">
        <v>49</v>
      </c>
      <c r="D179" s="42" t="s">
        <v>451</v>
      </c>
      <c r="E179" s="14"/>
      <c r="F179" s="71">
        <v>297</v>
      </c>
      <c r="G179" s="42" t="s">
        <v>50</v>
      </c>
      <c r="H179" s="31">
        <v>20486549328</v>
      </c>
      <c r="I179" s="138" t="str">
        <f>IF(H179="","",VLOOKUP(H179,[1]ENTIDAD!$B$2:$C$605,2,0))</f>
        <v>SANTISIMA TRINIDAD E.I.R.L.</v>
      </c>
      <c r="J179" s="11"/>
      <c r="K179" s="11"/>
      <c r="L179" s="11"/>
      <c r="M179" s="11"/>
      <c r="N179" s="11">
        <f>(S179-P179)/1.18</f>
        <v>0</v>
      </c>
      <c r="O179" s="11">
        <f t="shared" si="11"/>
        <v>0</v>
      </c>
      <c r="P179" s="11">
        <v>99</v>
      </c>
      <c r="Q179" s="11"/>
      <c r="R179" s="11"/>
      <c r="S179" s="11">
        <v>99</v>
      </c>
      <c r="T179" s="14"/>
      <c r="U179" s="14"/>
      <c r="V179" s="13"/>
      <c r="W179" s="15"/>
      <c r="X179" s="13"/>
      <c r="Y179" s="14"/>
      <c r="Z179" s="14"/>
      <c r="AA179" s="14"/>
      <c r="AB179" s="42" t="s">
        <v>224</v>
      </c>
      <c r="AC179" s="11"/>
      <c r="AD179" s="33">
        <v>46203</v>
      </c>
      <c r="AE179" s="14" t="s">
        <v>262</v>
      </c>
      <c r="AF179" s="37" t="s">
        <v>521</v>
      </c>
      <c r="AG179" s="14"/>
      <c r="AH179" s="14" t="s">
        <v>225</v>
      </c>
      <c r="AI179" s="14"/>
      <c r="AJ179" s="14"/>
      <c r="AK179" s="16"/>
      <c r="AL179" s="11"/>
      <c r="AM179" s="11"/>
      <c r="AN179" s="14"/>
      <c r="AO179" s="14"/>
      <c r="AP179" s="13"/>
      <c r="AQ179" s="14"/>
      <c r="AR179" s="11">
        <v>18</v>
      </c>
      <c r="AS179" s="14" t="s">
        <v>660</v>
      </c>
      <c r="AT179" s="14"/>
      <c r="AU179" s="11"/>
      <c r="AV179" s="14"/>
      <c r="AW179" s="45"/>
    </row>
    <row r="180" spans="1:49" customFormat="1" ht="15" x14ac:dyDescent="0.25">
      <c r="A180" s="199">
        <v>46203</v>
      </c>
      <c r="B180" s="13"/>
      <c r="C180" s="42" t="s">
        <v>49</v>
      </c>
      <c r="D180" s="42" t="s">
        <v>301</v>
      </c>
      <c r="E180" s="14"/>
      <c r="F180" s="71">
        <v>19095</v>
      </c>
      <c r="G180" s="42" t="s">
        <v>50</v>
      </c>
      <c r="H180" s="31">
        <v>20493508645</v>
      </c>
      <c r="I180" s="138" t="str">
        <f>IF(H180="","",VLOOKUP(H180,[1]ENTIDAD!$B$2:$C$605,2,0))</f>
        <v>HONDA SELVA DEL PERU S.A.</v>
      </c>
      <c r="J180" s="11"/>
      <c r="K180" s="11"/>
      <c r="L180" s="11"/>
      <c r="M180" s="11"/>
      <c r="N180" s="11">
        <f>(S180-P180)/1.18</f>
        <v>-1.6101694893870323E-3</v>
      </c>
      <c r="O180" s="11">
        <f t="shared" si="11"/>
        <v>-2.8983050808966581E-4</v>
      </c>
      <c r="P180" s="11">
        <v>14165.9</v>
      </c>
      <c r="Q180" s="11"/>
      <c r="R180" s="11"/>
      <c r="S180" s="11">
        <f>W180*AC180</f>
        <v>14165.898100000002</v>
      </c>
      <c r="T180" s="14"/>
      <c r="U180" s="14"/>
      <c r="V180" s="13"/>
      <c r="W180" s="15">
        <v>3.415</v>
      </c>
      <c r="X180" s="13"/>
      <c r="Y180" s="14"/>
      <c r="Z180" s="14"/>
      <c r="AA180" s="14"/>
      <c r="AB180" s="42" t="s">
        <v>383</v>
      </c>
      <c r="AC180" s="11">
        <v>4148.1400000000003</v>
      </c>
      <c r="AD180" s="46">
        <v>46233</v>
      </c>
      <c r="AE180" s="34" t="s">
        <v>465</v>
      </c>
      <c r="AF180" s="19" t="s">
        <v>532</v>
      </c>
      <c r="AG180" s="14"/>
      <c r="AH180" s="14" t="s">
        <v>225</v>
      </c>
      <c r="AI180" s="14"/>
      <c r="AJ180" s="14"/>
      <c r="AK180" s="16"/>
      <c r="AL180" s="11"/>
      <c r="AM180" s="11"/>
      <c r="AN180" s="14"/>
      <c r="AO180" s="14"/>
      <c r="AP180" s="13"/>
      <c r="AQ180" s="14"/>
      <c r="AR180" s="11">
        <v>18</v>
      </c>
      <c r="AS180" s="14" t="s">
        <v>201</v>
      </c>
      <c r="AT180" s="14"/>
      <c r="AU180" s="11"/>
      <c r="AV180" s="14"/>
      <c r="AW180" s="45"/>
    </row>
    <row r="181" spans="1:49" s="45" customFormat="1" ht="15" x14ac:dyDescent="0.25">
      <c r="A181" s="199">
        <v>46203</v>
      </c>
      <c r="B181" s="13"/>
      <c r="C181" s="42" t="s">
        <v>49</v>
      </c>
      <c r="D181" s="42" t="s">
        <v>692</v>
      </c>
      <c r="E181" s="14"/>
      <c r="F181" s="71">
        <v>27900180</v>
      </c>
      <c r="G181" s="42" t="s">
        <v>50</v>
      </c>
      <c r="H181" s="31">
        <v>20100130204</v>
      </c>
      <c r="I181" s="138" t="str">
        <f>IF(H181="","",VLOOKUP(H181,[1]ENTIDAD!$B$2:$C$605,2,0))</f>
        <v>BANCO BBVA PERU</v>
      </c>
      <c r="J181" s="11"/>
      <c r="K181" s="11"/>
      <c r="L181" s="11"/>
      <c r="M181" s="11"/>
      <c r="N181" s="11">
        <f>(S181-P181)/1.18</f>
        <v>0</v>
      </c>
      <c r="O181" s="11">
        <f t="shared" si="11"/>
        <v>0</v>
      </c>
      <c r="P181" s="11">
        <v>40</v>
      </c>
      <c r="Q181" s="11"/>
      <c r="R181" s="11"/>
      <c r="S181" s="11">
        <v>40</v>
      </c>
      <c r="T181" s="14"/>
      <c r="U181" s="14"/>
      <c r="V181" s="13"/>
      <c r="W181" s="15"/>
      <c r="X181" s="13"/>
      <c r="Y181" s="14"/>
      <c r="Z181" s="14"/>
      <c r="AA181" s="14"/>
      <c r="AB181" s="42" t="s">
        <v>224</v>
      </c>
      <c r="AC181" s="11"/>
      <c r="AD181" s="46">
        <v>46233</v>
      </c>
      <c r="AE181" s="14" t="s">
        <v>465</v>
      </c>
      <c r="AF181" s="19" t="s">
        <v>494</v>
      </c>
      <c r="AG181" s="14"/>
      <c r="AH181" s="14" t="s">
        <v>225</v>
      </c>
      <c r="AI181" s="14"/>
      <c r="AJ181" s="14"/>
      <c r="AK181" s="16"/>
      <c r="AL181" s="11"/>
      <c r="AM181" s="11"/>
      <c r="AN181" s="14"/>
      <c r="AO181" s="14"/>
      <c r="AP181" s="13"/>
      <c r="AQ181" s="14"/>
      <c r="AR181" s="11">
        <v>18</v>
      </c>
      <c r="AS181" s="14" t="s">
        <v>495</v>
      </c>
      <c r="AT181" s="14"/>
      <c r="AU181" s="11"/>
      <c r="AV181" s="14"/>
    </row>
    <row r="182" spans="1:49" s="45" customFormat="1" ht="15" x14ac:dyDescent="0.25">
      <c r="A182" s="223">
        <v>46203</v>
      </c>
      <c r="B182" s="50"/>
      <c r="C182" s="52" t="s">
        <v>300</v>
      </c>
      <c r="D182" s="52" t="s">
        <v>301</v>
      </c>
      <c r="E182" s="53"/>
      <c r="F182" s="64">
        <v>2502</v>
      </c>
      <c r="G182" s="52" t="s">
        <v>50</v>
      </c>
      <c r="H182" s="69">
        <v>20493508645</v>
      </c>
      <c r="I182" s="140" t="str">
        <f>IF(H182="","",VLOOKUP(H182,[1]ENTIDAD!$B$2:$C$605,2,0))</f>
        <v>HONDA SELVA DEL PERU S.A.</v>
      </c>
      <c r="J182" s="55"/>
      <c r="K182" s="55"/>
      <c r="L182" s="55"/>
      <c r="M182" s="55"/>
      <c r="N182" s="55">
        <f>(S182-P182)/1.18</f>
        <v>-2.6882144284480986E-3</v>
      </c>
      <c r="O182" s="55">
        <f t="shared" si="11"/>
        <v>-4.8387859712065775E-4</v>
      </c>
      <c r="P182" s="55">
        <v>-11934.49</v>
      </c>
      <c r="Q182" s="55"/>
      <c r="R182" s="55"/>
      <c r="S182" s="55">
        <f>-W182*AC182</f>
        <v>-11934.493172093025</v>
      </c>
      <c r="T182" s="53"/>
      <c r="U182" s="53"/>
      <c r="V182" s="50"/>
      <c r="W182" s="25">
        <v>3.429767441860466</v>
      </c>
      <c r="X182" s="50">
        <v>45987</v>
      </c>
      <c r="Y182" s="53" t="s">
        <v>49</v>
      </c>
      <c r="Z182" s="53" t="s">
        <v>553</v>
      </c>
      <c r="AA182" s="53" t="s">
        <v>6480</v>
      </c>
      <c r="AB182" s="52" t="s">
        <v>383</v>
      </c>
      <c r="AC182" s="55">
        <v>3479.68</v>
      </c>
      <c r="AD182" s="68">
        <v>46233</v>
      </c>
      <c r="AE182" s="53" t="s">
        <v>465</v>
      </c>
      <c r="AF182" s="60" t="s">
        <v>533</v>
      </c>
      <c r="AG182" s="53"/>
      <c r="AH182" s="53" t="s">
        <v>225</v>
      </c>
      <c r="AI182" s="53"/>
      <c r="AJ182" s="53"/>
      <c r="AK182" s="61"/>
      <c r="AL182" s="55"/>
      <c r="AM182" s="55"/>
      <c r="AN182" s="53"/>
      <c r="AO182" s="53"/>
      <c r="AP182" s="50"/>
      <c r="AQ182" s="53"/>
      <c r="AR182" s="55">
        <v>18</v>
      </c>
      <c r="AS182" s="53" t="s">
        <v>6469</v>
      </c>
      <c r="AT182" s="53"/>
      <c r="AU182" s="55"/>
      <c r="AV182" s="53"/>
      <c r="AW182" s="47"/>
    </row>
    <row r="183" spans="1:49" customFormat="1" ht="15" x14ac:dyDescent="0.25">
      <c r="A183" s="199">
        <v>46203</v>
      </c>
      <c r="B183" s="13"/>
      <c r="C183" s="42" t="s">
        <v>49</v>
      </c>
      <c r="D183" s="42" t="s">
        <v>294</v>
      </c>
      <c r="E183" s="14"/>
      <c r="F183" s="71">
        <v>17072</v>
      </c>
      <c r="G183" s="42" t="s">
        <v>50</v>
      </c>
      <c r="H183" s="31">
        <v>20444766906</v>
      </c>
      <c r="I183" s="138" t="str">
        <f>IF(H183="","",VLOOKUP(H183,[1]ENTIDAD!$B$2:$C$605,2,0))</f>
        <v> EMPRESA DE TRANSPORTES PROFAMSE SRL</v>
      </c>
      <c r="J183" s="11"/>
      <c r="K183" s="11"/>
      <c r="L183" s="11"/>
      <c r="M183" s="11"/>
      <c r="N183" s="11">
        <v>0</v>
      </c>
      <c r="O183" s="11">
        <f t="shared" si="11"/>
        <v>0</v>
      </c>
      <c r="P183" s="11">
        <v>0</v>
      </c>
      <c r="Q183" s="11"/>
      <c r="R183" s="11">
        <v>40</v>
      </c>
      <c r="S183" s="11">
        <v>40</v>
      </c>
      <c r="T183" s="14"/>
      <c r="U183" s="14"/>
      <c r="V183" s="13"/>
      <c r="W183" s="15"/>
      <c r="X183" s="13"/>
      <c r="Y183" s="14"/>
      <c r="Z183" s="14"/>
      <c r="AA183" s="14"/>
      <c r="AB183" s="42" t="s">
        <v>224</v>
      </c>
      <c r="AC183" s="11"/>
      <c r="AD183" s="46">
        <v>46233</v>
      </c>
      <c r="AE183" s="34" t="s">
        <v>465</v>
      </c>
      <c r="AF183" s="37" t="s">
        <v>597</v>
      </c>
      <c r="AG183" s="14" t="s">
        <v>513</v>
      </c>
      <c r="AH183" s="14" t="s">
        <v>225</v>
      </c>
      <c r="AI183" s="14"/>
      <c r="AJ183" s="14"/>
      <c r="AK183" s="16"/>
      <c r="AL183" s="11"/>
      <c r="AM183" s="11"/>
      <c r="AN183" s="14"/>
      <c r="AO183" s="14"/>
      <c r="AP183" s="13"/>
      <c r="AQ183" s="14"/>
      <c r="AR183" s="11">
        <v>18</v>
      </c>
      <c r="AS183" s="14" t="s">
        <v>516</v>
      </c>
      <c r="AT183" s="14"/>
      <c r="AU183" s="11"/>
      <c r="AV183" s="14"/>
      <c r="AW183" s="45"/>
    </row>
    <row r="184" spans="1:49" s="91" customFormat="1" ht="15" x14ac:dyDescent="0.25">
      <c r="A184" s="226">
        <v>46203</v>
      </c>
      <c r="B184" s="33"/>
      <c r="C184" s="48" t="s">
        <v>49</v>
      </c>
      <c r="D184" s="48" t="s">
        <v>567</v>
      </c>
      <c r="E184" s="34"/>
      <c r="F184" s="71">
        <v>12071</v>
      </c>
      <c r="G184" s="48" t="s">
        <v>50</v>
      </c>
      <c r="H184" s="31">
        <v>20485981536</v>
      </c>
      <c r="I184" s="222" t="str">
        <f>IF(H184="","",VLOOKUP(H184,[1]ENTIDAD!$B$2:$C$605,2,0))</f>
        <v>EMPRESA DE TRANSPORTES TURISMO Y SERVICIOS MULTIPLES SHIMA E.I.R.L.</v>
      </c>
      <c r="J184" s="35"/>
      <c r="K184" s="35"/>
      <c r="L184" s="35"/>
      <c r="M184" s="35"/>
      <c r="N184" s="35">
        <v>0</v>
      </c>
      <c r="O184" s="35">
        <f t="shared" si="11"/>
        <v>0</v>
      </c>
      <c r="P184" s="35">
        <v>0</v>
      </c>
      <c r="Q184" s="35"/>
      <c r="R184" s="35">
        <v>40</v>
      </c>
      <c r="S184" s="35">
        <v>40</v>
      </c>
      <c r="T184" s="34"/>
      <c r="U184" s="34"/>
      <c r="V184" s="33"/>
      <c r="W184" s="36"/>
      <c r="X184" s="33"/>
      <c r="Y184" s="34"/>
      <c r="Z184" s="34"/>
      <c r="AA184" s="34"/>
      <c r="AB184" s="48" t="s">
        <v>224</v>
      </c>
      <c r="AC184" s="35"/>
      <c r="AD184" s="46">
        <v>46233</v>
      </c>
      <c r="AE184" s="34" t="s">
        <v>465</v>
      </c>
      <c r="AF184" s="37" t="s">
        <v>597</v>
      </c>
      <c r="AG184" s="14" t="s">
        <v>513</v>
      </c>
      <c r="AH184" s="14" t="s">
        <v>225</v>
      </c>
      <c r="AI184" s="14"/>
      <c r="AJ184" s="14"/>
      <c r="AK184" s="16"/>
      <c r="AL184" s="11"/>
      <c r="AM184" s="11"/>
      <c r="AN184" s="14"/>
      <c r="AO184" s="14"/>
      <c r="AP184" s="13"/>
      <c r="AQ184" s="14"/>
      <c r="AR184" s="11">
        <v>18</v>
      </c>
      <c r="AS184" s="14" t="s">
        <v>516</v>
      </c>
      <c r="AT184" s="34"/>
      <c r="AU184" s="35"/>
      <c r="AV184" s="34"/>
      <c r="AW184"/>
    </row>
    <row r="185" spans="1:49" s="45" customFormat="1" ht="15" x14ac:dyDescent="0.25">
      <c r="A185" s="199">
        <v>46203</v>
      </c>
      <c r="B185" s="13"/>
      <c r="C185" s="42" t="s">
        <v>49</v>
      </c>
      <c r="D185" s="42" t="s">
        <v>294</v>
      </c>
      <c r="E185" s="14"/>
      <c r="F185" s="71">
        <v>5014015</v>
      </c>
      <c r="G185" s="42" t="s">
        <v>50</v>
      </c>
      <c r="H185" s="31">
        <v>20432405525</v>
      </c>
      <c r="I185" s="222" t="s">
        <v>731</v>
      </c>
      <c r="J185" s="11"/>
      <c r="K185" s="11"/>
      <c r="L185" s="11"/>
      <c r="M185" s="11"/>
      <c r="N185" s="11">
        <f>(S185-P185)/1.18</f>
        <v>1</v>
      </c>
      <c r="O185" s="11">
        <f t="shared" si="11"/>
        <v>0.18</v>
      </c>
      <c r="P185" s="11">
        <v>0</v>
      </c>
      <c r="Q185" s="11"/>
      <c r="R185" s="11"/>
      <c r="S185" s="11">
        <v>1.18</v>
      </c>
      <c r="T185" s="14"/>
      <c r="U185" s="14"/>
      <c r="V185" s="13"/>
      <c r="W185" s="15"/>
      <c r="X185" s="13"/>
      <c r="Y185" s="14"/>
      <c r="Z185" s="14"/>
      <c r="AA185" s="14"/>
      <c r="AB185" s="42" t="s">
        <v>224</v>
      </c>
      <c r="AC185" s="11"/>
      <c r="AD185" s="46">
        <v>46233</v>
      </c>
      <c r="AE185" s="14" t="s">
        <v>465</v>
      </c>
      <c r="AF185" s="19" t="s">
        <v>494</v>
      </c>
      <c r="AG185" s="14"/>
      <c r="AH185" s="14" t="s">
        <v>225</v>
      </c>
      <c r="AI185" s="14"/>
      <c r="AJ185" s="14"/>
      <c r="AK185" s="16"/>
      <c r="AL185" s="11"/>
      <c r="AM185" s="11"/>
      <c r="AN185" s="14"/>
      <c r="AO185" s="14"/>
      <c r="AP185" s="13"/>
      <c r="AQ185" s="14"/>
      <c r="AR185" s="11">
        <v>18</v>
      </c>
      <c r="AS185" s="14" t="s">
        <v>6485</v>
      </c>
      <c r="AT185" s="14"/>
      <c r="AU185" s="11"/>
      <c r="AV185" s="14"/>
    </row>
    <row r="186" spans="1:49" s="45" customFormat="1" ht="15" x14ac:dyDescent="0.25">
      <c r="A186" s="199">
        <v>46203</v>
      </c>
      <c r="B186" s="13"/>
      <c r="C186" s="42" t="s">
        <v>49</v>
      </c>
      <c r="D186" s="42" t="s">
        <v>294</v>
      </c>
      <c r="E186" s="14"/>
      <c r="F186" s="71">
        <v>1155504</v>
      </c>
      <c r="G186" s="42" t="s">
        <v>50</v>
      </c>
      <c r="H186" s="31">
        <v>20265681299</v>
      </c>
      <c r="I186" s="138" t="str">
        <f>IF(H186="","",VLOOKUP(H186,[1]ENTIDAD!$B$2:$C$605,2,0))</f>
        <v>EQUIFAX PERU S.A.</v>
      </c>
      <c r="J186" s="11"/>
      <c r="K186" s="11"/>
      <c r="L186" s="11"/>
      <c r="M186" s="11"/>
      <c r="N186" s="11">
        <f>(S186-P186)/1.18</f>
        <v>262.00000000000006</v>
      </c>
      <c r="O186" s="11">
        <f t="shared" si="11"/>
        <v>47.160000000000011</v>
      </c>
      <c r="P186" s="11">
        <v>0</v>
      </c>
      <c r="Q186" s="11"/>
      <c r="R186" s="11"/>
      <c r="S186" s="11">
        <v>309.16000000000003</v>
      </c>
      <c r="T186" s="14"/>
      <c r="U186" s="14"/>
      <c r="V186" s="13"/>
      <c r="W186" s="15"/>
      <c r="X186" s="13"/>
      <c r="Y186" s="14"/>
      <c r="Z186" s="14"/>
      <c r="AA186" s="14"/>
      <c r="AB186" s="42" t="s">
        <v>224</v>
      </c>
      <c r="AC186" s="11"/>
      <c r="AD186" s="13">
        <v>46233</v>
      </c>
      <c r="AE186" s="34" t="s">
        <v>465</v>
      </c>
      <c r="AF186" s="19" t="s">
        <v>600</v>
      </c>
      <c r="AG186" s="14"/>
      <c r="AH186" s="14" t="s">
        <v>225</v>
      </c>
      <c r="AI186" s="14"/>
      <c r="AJ186" s="14"/>
      <c r="AK186" s="16"/>
      <c r="AL186" s="11"/>
      <c r="AM186" s="11"/>
      <c r="AN186" s="14"/>
      <c r="AO186" s="14"/>
      <c r="AP186" s="13"/>
      <c r="AQ186" s="14"/>
      <c r="AR186" s="11">
        <v>18</v>
      </c>
      <c r="AS186" s="14" t="s">
        <v>689</v>
      </c>
      <c r="AT186" s="14"/>
      <c r="AU186" s="11"/>
      <c r="AV186" s="14"/>
    </row>
    <row r="187" spans="1:49" s="45" customFormat="1" ht="15" x14ac:dyDescent="0.25">
      <c r="A187" s="199"/>
      <c r="B187" s="13"/>
      <c r="C187" s="42" t="s">
        <v>49</v>
      </c>
      <c r="D187" s="42"/>
      <c r="E187" s="14"/>
      <c r="F187" s="71">
        <v>0</v>
      </c>
      <c r="G187" s="42" t="s">
        <v>50</v>
      </c>
      <c r="H187" s="31">
        <v>0</v>
      </c>
      <c r="I187" s="138" t="e">
        <f>IF(H187="","",VLOOKUP(H187,[1]ENTIDAD!$B$2:$C$605,2,0))</f>
        <v>#N/A</v>
      </c>
      <c r="J187" s="11"/>
      <c r="K187" s="11"/>
      <c r="L187" s="11"/>
      <c r="M187" s="11"/>
      <c r="N187" s="11">
        <f>(S187-P187)/1.18</f>
        <v>0</v>
      </c>
      <c r="O187" s="11">
        <f t="shared" si="11"/>
        <v>0</v>
      </c>
      <c r="P187" s="11">
        <v>0</v>
      </c>
      <c r="Q187" s="11"/>
      <c r="R187" s="11"/>
      <c r="S187" s="11">
        <v>0</v>
      </c>
      <c r="T187" s="14"/>
      <c r="U187" s="14"/>
      <c r="V187" s="13"/>
      <c r="W187" s="15"/>
      <c r="X187" s="13"/>
      <c r="Y187" s="14"/>
      <c r="Z187" s="14"/>
      <c r="AA187" s="14"/>
      <c r="AB187" s="42" t="s">
        <v>224</v>
      </c>
      <c r="AC187" s="11"/>
      <c r="AD187" s="13"/>
      <c r="AE187" s="34"/>
      <c r="AF187" s="73"/>
      <c r="AG187" s="14"/>
      <c r="AH187" s="14" t="s">
        <v>225</v>
      </c>
      <c r="AI187" s="14"/>
      <c r="AJ187" s="14"/>
      <c r="AK187" s="16"/>
      <c r="AL187" s="11"/>
      <c r="AM187" s="11"/>
      <c r="AN187" s="14"/>
      <c r="AO187" s="14"/>
      <c r="AP187" s="13"/>
      <c r="AQ187" s="14"/>
      <c r="AR187" s="11">
        <v>18</v>
      </c>
      <c r="AS187" s="14"/>
      <c r="AT187" s="14"/>
      <c r="AU187" s="11"/>
      <c r="AV187" s="14"/>
    </row>
    <row r="188" spans="1:49" customFormat="1" ht="15" x14ac:dyDescent="0.25">
      <c r="A188" s="201"/>
      <c r="B188" s="141"/>
      <c r="C188" s="141"/>
      <c r="D188" s="141"/>
      <c r="E188" s="141"/>
      <c r="F188" s="141"/>
      <c r="G188" s="141"/>
      <c r="H188" s="141"/>
      <c r="I188" s="141"/>
      <c r="J188" s="142">
        <f>SUM(J4:J72)</f>
        <v>0</v>
      </c>
      <c r="K188" s="142">
        <f>SUM(K4:K72)</f>
        <v>0</v>
      </c>
      <c r="L188" s="142">
        <f>SUM(L4:L72)</f>
        <v>0</v>
      </c>
      <c r="M188" s="142">
        <f>SUM(M4:M72)</f>
        <v>0</v>
      </c>
      <c r="N188" s="142">
        <f>SUM(N4:N187)</f>
        <v>2884.3457100906694</v>
      </c>
      <c r="O188" s="142">
        <f>SUM(O4:O187)</f>
        <v>519.18222781632062</v>
      </c>
      <c r="P188" s="142">
        <f>SUM(P4:P187)</f>
        <v>480867.57000000007</v>
      </c>
      <c r="Q188" s="142">
        <f>SUM(Q4:Q72)</f>
        <v>0</v>
      </c>
      <c r="R188" s="142">
        <f>SUM(R4:R72)</f>
        <v>2296.1999999999998</v>
      </c>
      <c r="S188" s="142">
        <f>SUM(S4:S187)</f>
        <v>491562.70178790687</v>
      </c>
      <c r="T188" s="141"/>
      <c r="U188" s="141"/>
      <c r="V188" s="141"/>
      <c r="W188" s="17"/>
      <c r="X188" s="141"/>
      <c r="Y188" s="18"/>
      <c r="Z188" s="18"/>
      <c r="AA188" s="18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</row>
    <row r="190" spans="1:49" x14ac:dyDescent="0.2">
      <c r="H190" s="213"/>
      <c r="I190" s="214"/>
      <c r="P190" s="23"/>
    </row>
    <row r="191" spans="1:49" x14ac:dyDescent="0.2">
      <c r="AR191" s="4"/>
    </row>
  </sheetData>
  <autoFilter ref="A3:AW188" xr:uid="{04E51B7C-9C64-4144-8C1D-10649A999ECD}"/>
  <mergeCells count="39">
    <mergeCell ref="J1:K2"/>
    <mergeCell ref="A1:A3"/>
    <mergeCell ref="B1:B3"/>
    <mergeCell ref="C1:E2"/>
    <mergeCell ref="F1:F3"/>
    <mergeCell ref="G1:I1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AE1:AE3"/>
    <mergeCell ref="AF1:AF3"/>
    <mergeCell ref="AG1:AG3"/>
    <mergeCell ref="AH1:AH3"/>
    <mergeCell ref="AI1:AI3"/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</mergeCells>
  <conditionalFormatting sqref="F179:F182">
    <cfRule type="duplicateValues" dxfId="196" priority="44"/>
    <cfRule type="duplicateValues" dxfId="195" priority="45"/>
    <cfRule type="duplicateValues" dxfId="194" priority="46"/>
    <cfRule type="duplicateValues" dxfId="193" priority="47"/>
    <cfRule type="duplicateValues" dxfId="192" priority="48"/>
    <cfRule type="duplicateValues" dxfId="191" priority="41"/>
    <cfRule type="duplicateValues" dxfId="190" priority="42"/>
    <cfRule type="duplicateValues" dxfId="189" priority="43"/>
  </conditionalFormatting>
  <conditionalFormatting sqref="F185">
    <cfRule type="duplicateValues" dxfId="188" priority="8655"/>
    <cfRule type="duplicateValues" dxfId="187" priority="8649"/>
    <cfRule type="duplicateValues" dxfId="186" priority="8648"/>
    <cfRule type="duplicateValues" dxfId="185" priority="8650"/>
    <cfRule type="duplicateValues" dxfId="184" priority="8651"/>
    <cfRule type="duplicateValues" dxfId="183" priority="8652"/>
    <cfRule type="duplicateValues" dxfId="182" priority="8653"/>
    <cfRule type="duplicateValues" dxfId="181" priority="8654"/>
  </conditionalFormatting>
  <conditionalFormatting sqref="F186">
    <cfRule type="duplicateValues" dxfId="180" priority="7"/>
    <cfRule type="duplicateValues" dxfId="179" priority="8"/>
    <cfRule type="duplicateValues" dxfId="178" priority="1"/>
    <cfRule type="duplicateValues" dxfId="177" priority="2"/>
    <cfRule type="duplicateValues" dxfId="176" priority="3"/>
    <cfRule type="duplicateValues" dxfId="175" priority="4"/>
    <cfRule type="duplicateValues" dxfId="174" priority="5"/>
    <cfRule type="duplicateValues" dxfId="173" priority="6"/>
  </conditionalFormatting>
  <conditionalFormatting sqref="F187 F183:F184 F4:F178">
    <cfRule type="duplicateValues" dxfId="172" priority="8628"/>
    <cfRule type="duplicateValues" dxfId="171" priority="8629"/>
    <cfRule type="duplicateValues" dxfId="170" priority="8630"/>
    <cfRule type="duplicateValues" dxfId="169" priority="8631"/>
    <cfRule type="duplicateValues" dxfId="168" priority="8624"/>
    <cfRule type="duplicateValues" dxfId="167" priority="8625"/>
    <cfRule type="duplicateValues" dxfId="166" priority="8626"/>
    <cfRule type="duplicateValues" dxfId="165" priority="8627"/>
  </conditionalFormatting>
  <conditionalFormatting sqref="F188:F1048576 F1:F3">
    <cfRule type="duplicateValues" dxfId="164" priority="73"/>
  </conditionalFormatting>
  <conditionalFormatting sqref="F188:F1048576">
    <cfRule type="duplicateValues" dxfId="163" priority="74"/>
    <cfRule type="duplicateValues" dxfId="162" priority="76"/>
    <cfRule type="duplicateValues" dxfId="161" priority="75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FEAB-777A-4115-9FCC-7F4A4E434F81}">
  <sheetPr>
    <tabColor rgb="FF0070C0"/>
  </sheetPr>
  <dimension ref="A1:AW162"/>
  <sheetViews>
    <sheetView tabSelected="1" zoomScaleNormal="100" workbookViewId="0">
      <pane xSplit="9" ySplit="3" topLeftCell="N4" activePane="bottomRight" state="frozenSplit"/>
      <selection pane="topRight" activeCell="J1" sqref="J1"/>
      <selection pane="bottomLeft" activeCell="A4" sqref="A4"/>
      <selection pane="bottomRight" activeCell="I12" sqref="I12"/>
    </sheetView>
  </sheetViews>
  <sheetFormatPr baseColWidth="10" defaultRowHeight="14.25" x14ac:dyDescent="0.2"/>
  <cols>
    <col min="1" max="1" width="11.7109375" style="202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4" customWidth="1"/>
    <col min="7" max="7" width="2.85546875" style="6" customWidth="1"/>
    <col min="8" max="8" width="13" style="1" customWidth="1"/>
    <col min="9" max="9" width="27" style="4" customWidth="1"/>
    <col min="10" max="10" width="4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8.14062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312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312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313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199">
        <v>46193</v>
      </c>
      <c r="B4" s="72">
        <v>46211</v>
      </c>
      <c r="C4" s="42" t="s">
        <v>388</v>
      </c>
      <c r="D4" s="42" t="s">
        <v>645</v>
      </c>
      <c r="E4" s="14"/>
      <c r="F4" s="71">
        <v>293791246</v>
      </c>
      <c r="G4" s="42" t="s">
        <v>50</v>
      </c>
      <c r="H4" s="31">
        <v>20467534026</v>
      </c>
      <c r="I4" s="138" t="str">
        <f>IF(H4="","",VLOOKUP(H4,[1]ENTIDAD!$B$2:$C$605,2,0))</f>
        <v>AMERICA MOVIL PERU S.A.C.</v>
      </c>
      <c r="J4" s="11"/>
      <c r="K4" s="11"/>
      <c r="L4" s="11"/>
      <c r="M4" s="11"/>
      <c r="N4" s="116">
        <f t="shared" ref="N4:N24" si="0">(S4-P4)/1.18</f>
        <v>23.491525423728813</v>
      </c>
      <c r="O4" s="116">
        <f t="shared" ref="O4:O24" si="1">N4*0.18</f>
        <v>4.2284745762711866</v>
      </c>
      <c r="P4" s="11">
        <v>0</v>
      </c>
      <c r="Q4" s="11"/>
      <c r="R4" s="11"/>
      <c r="S4" s="11">
        <v>27.72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33">
        <v>46211</v>
      </c>
      <c r="AE4" s="34" t="s">
        <v>465</v>
      </c>
      <c r="AF4" s="19">
        <v>6365095</v>
      </c>
      <c r="AG4" s="14"/>
      <c r="AH4" s="1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6523</v>
      </c>
      <c r="AT4" s="14"/>
      <c r="AU4" s="11"/>
      <c r="AV4" s="14"/>
    </row>
    <row r="5" spans="1:49" s="45" customFormat="1" ht="15" x14ac:dyDescent="0.25">
      <c r="A5" s="199">
        <v>46200</v>
      </c>
      <c r="B5" s="72">
        <v>46216</v>
      </c>
      <c r="C5" s="42" t="s">
        <v>388</v>
      </c>
      <c r="D5" s="42" t="s">
        <v>557</v>
      </c>
      <c r="E5" s="14"/>
      <c r="F5" s="71">
        <v>5844321</v>
      </c>
      <c r="G5" s="42" t="s">
        <v>50</v>
      </c>
      <c r="H5" s="31">
        <v>20129646099</v>
      </c>
      <c r="I5" s="138" t="str">
        <f>IF(H5="","",VLOOKUP(H5,[1]ENTIDAD!$B$2:$C$605,2,0))</f>
        <v>ELECTROCENTRO S.A.</v>
      </c>
      <c r="J5" s="11"/>
      <c r="K5" s="11"/>
      <c r="L5" s="11"/>
      <c r="M5" s="11"/>
      <c r="N5" s="116">
        <f t="shared" si="0"/>
        <v>0</v>
      </c>
      <c r="O5" s="116">
        <f t="shared" si="1"/>
        <v>0</v>
      </c>
      <c r="P5" s="11">
        <v>517.20000000000005</v>
      </c>
      <c r="Q5" s="11"/>
      <c r="R5" s="11"/>
      <c r="S5" s="11">
        <v>517.20000000000005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13">
        <v>46216</v>
      </c>
      <c r="AE5" s="34" t="s">
        <v>465</v>
      </c>
      <c r="AF5" s="19" t="s">
        <v>559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6494</v>
      </c>
      <c r="AT5" s="14"/>
      <c r="AU5" s="11"/>
      <c r="AV5" s="14"/>
    </row>
    <row r="6" spans="1:49" s="45" customFormat="1" ht="15" x14ac:dyDescent="0.25">
      <c r="A6" s="199">
        <v>46200</v>
      </c>
      <c r="B6" s="72">
        <v>46216</v>
      </c>
      <c r="C6" s="42" t="s">
        <v>388</v>
      </c>
      <c r="D6" s="42" t="s">
        <v>557</v>
      </c>
      <c r="E6" s="14"/>
      <c r="F6" s="71">
        <v>5844103</v>
      </c>
      <c r="G6" s="42" t="s">
        <v>50</v>
      </c>
      <c r="H6" s="31">
        <v>20129646099</v>
      </c>
      <c r="I6" s="138" t="str">
        <f>IF(H6="","",VLOOKUP(H6,[1]ENTIDAD!$B$2:$C$605,2,0))</f>
        <v>ELECTROCENTRO S.A.</v>
      </c>
      <c r="J6" s="11"/>
      <c r="K6" s="11"/>
      <c r="L6" s="11"/>
      <c r="M6" s="11"/>
      <c r="N6" s="116">
        <f t="shared" si="0"/>
        <v>0</v>
      </c>
      <c r="O6" s="116">
        <f t="shared" si="1"/>
        <v>0</v>
      </c>
      <c r="P6" s="11">
        <v>111.4</v>
      </c>
      <c r="Q6" s="11"/>
      <c r="R6" s="11"/>
      <c r="S6" s="11">
        <v>111.4</v>
      </c>
      <c r="T6" s="14"/>
      <c r="U6" s="14"/>
      <c r="V6" s="13"/>
      <c r="W6" s="15"/>
      <c r="X6" s="13"/>
      <c r="Y6" s="14"/>
      <c r="Z6" s="14"/>
      <c r="AA6" s="14"/>
      <c r="AB6" s="42" t="s">
        <v>224</v>
      </c>
      <c r="AC6" s="11"/>
      <c r="AD6" s="13">
        <v>46216</v>
      </c>
      <c r="AE6" s="34" t="s">
        <v>465</v>
      </c>
      <c r="AF6" s="19" t="s">
        <v>559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6495</v>
      </c>
      <c r="AT6" s="14"/>
      <c r="AU6" s="11"/>
      <c r="AV6" s="14"/>
    </row>
    <row r="7" spans="1:49" s="45" customFormat="1" ht="15" x14ac:dyDescent="0.25">
      <c r="A7" s="199">
        <v>46200</v>
      </c>
      <c r="B7" s="72">
        <v>46216</v>
      </c>
      <c r="C7" s="42" t="s">
        <v>388</v>
      </c>
      <c r="D7" s="42" t="s">
        <v>557</v>
      </c>
      <c r="E7" s="14"/>
      <c r="F7" s="71">
        <v>5844098</v>
      </c>
      <c r="G7" s="42" t="s">
        <v>50</v>
      </c>
      <c r="H7" s="31">
        <v>20129646099</v>
      </c>
      <c r="I7" s="138" t="str">
        <f>IF(H7="","",VLOOKUP(H7,[1]ENTIDAD!$B$2:$C$605,2,0))</f>
        <v>ELECTROCENTRO S.A.</v>
      </c>
      <c r="J7" s="11"/>
      <c r="K7" s="11"/>
      <c r="L7" s="11"/>
      <c r="M7" s="11"/>
      <c r="N7" s="116">
        <f t="shared" si="0"/>
        <v>0</v>
      </c>
      <c r="O7" s="116">
        <f t="shared" si="1"/>
        <v>0</v>
      </c>
      <c r="P7" s="11">
        <v>484.6</v>
      </c>
      <c r="Q7" s="11"/>
      <c r="R7" s="11"/>
      <c r="S7" s="11">
        <v>484.6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13">
        <v>46216</v>
      </c>
      <c r="AE7" s="34" t="s">
        <v>465</v>
      </c>
      <c r="AF7" s="19" t="s">
        <v>559</v>
      </c>
      <c r="AG7" s="14"/>
      <c r="AH7" s="14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4" t="s">
        <v>6496</v>
      </c>
      <c r="AT7" s="14"/>
      <c r="AU7" s="11"/>
      <c r="AV7" s="14"/>
    </row>
    <row r="8" spans="1:49" s="45" customFormat="1" ht="15" x14ac:dyDescent="0.25">
      <c r="A8" s="199">
        <v>46203</v>
      </c>
      <c r="B8" s="13">
        <v>46234</v>
      </c>
      <c r="C8" s="42" t="s">
        <v>388</v>
      </c>
      <c r="D8" s="42" t="s">
        <v>626</v>
      </c>
      <c r="E8" s="14"/>
      <c r="F8" s="71">
        <v>1078518</v>
      </c>
      <c r="G8" s="42" t="s">
        <v>50</v>
      </c>
      <c r="H8" s="31">
        <v>20121876290</v>
      </c>
      <c r="I8" s="138" t="str">
        <f>IF(H8="","",VLOOKUP(H8,[1]ENTIDAD!$B$2:$C$605,2,0))</f>
        <v>ENT.PREST.SERV.SANEAM.SELVA CENTRAL S.A</v>
      </c>
      <c r="J8" s="11"/>
      <c r="K8" s="11"/>
      <c r="L8" s="11"/>
      <c r="M8" s="11"/>
      <c r="N8" s="116">
        <f t="shared" si="0"/>
        <v>0</v>
      </c>
      <c r="O8" s="116">
        <f t="shared" si="1"/>
        <v>0</v>
      </c>
      <c r="P8" s="11">
        <v>26.5</v>
      </c>
      <c r="Q8" s="11"/>
      <c r="R8" s="11"/>
      <c r="S8" s="11">
        <v>26.5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13">
        <v>46234</v>
      </c>
      <c r="AE8" s="14" t="s">
        <v>465</v>
      </c>
      <c r="AF8" s="19" t="s">
        <v>561</v>
      </c>
      <c r="AG8" s="14"/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6491</v>
      </c>
      <c r="AT8" s="14"/>
      <c r="AU8" s="11"/>
      <c r="AV8" s="14"/>
    </row>
    <row r="9" spans="1:49" s="45" customFormat="1" ht="15" x14ac:dyDescent="0.25">
      <c r="A9" s="199">
        <v>46203</v>
      </c>
      <c r="B9" s="33">
        <v>46234</v>
      </c>
      <c r="C9" s="42" t="s">
        <v>388</v>
      </c>
      <c r="D9" s="42" t="s">
        <v>626</v>
      </c>
      <c r="E9" s="14"/>
      <c r="F9" s="71">
        <v>1079274</v>
      </c>
      <c r="G9" s="42" t="s">
        <v>50</v>
      </c>
      <c r="H9" s="31">
        <v>20121876290</v>
      </c>
      <c r="I9" s="138" t="str">
        <f>IF(H9="","",VLOOKUP(H9,[1]ENTIDAD!$B$2:$C$605,2,0))</f>
        <v>ENT.PREST.SERV.SANEAM.SELVA CENTRAL S.A</v>
      </c>
      <c r="J9" s="11"/>
      <c r="K9" s="11"/>
      <c r="L9" s="11"/>
      <c r="M9" s="11"/>
      <c r="N9" s="116">
        <f t="shared" si="0"/>
        <v>0</v>
      </c>
      <c r="O9" s="116">
        <f t="shared" si="1"/>
        <v>0</v>
      </c>
      <c r="P9" s="11">
        <v>64.599999999999994</v>
      </c>
      <c r="Q9" s="11"/>
      <c r="R9" s="11"/>
      <c r="S9" s="11">
        <v>64.599999999999994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33">
        <v>46234</v>
      </c>
      <c r="AE9" s="14" t="s">
        <v>465</v>
      </c>
      <c r="AF9" s="19" t="s">
        <v>561</v>
      </c>
      <c r="AG9" s="14"/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6492</v>
      </c>
      <c r="AT9" s="14"/>
      <c r="AU9" s="11"/>
      <c r="AV9" s="14"/>
    </row>
    <row r="10" spans="1:49" s="45" customFormat="1" ht="14.25" customHeight="1" x14ac:dyDescent="0.25">
      <c r="A10" s="199">
        <v>46203</v>
      </c>
      <c r="B10" s="13">
        <v>46234</v>
      </c>
      <c r="C10" s="42" t="s">
        <v>388</v>
      </c>
      <c r="D10" s="42" t="s">
        <v>626</v>
      </c>
      <c r="E10" s="14"/>
      <c r="F10" s="71">
        <v>1080100</v>
      </c>
      <c r="G10" s="42" t="s">
        <v>50</v>
      </c>
      <c r="H10" s="31">
        <v>20121876290</v>
      </c>
      <c r="I10" s="138" t="str">
        <f>IF(H10="","",VLOOKUP(H10,ENTIDAD!$B$2:$C$613,2,0))</f>
        <v>ENT.PREST.SERV.SANEAM.SELVA CENTRAL S.A</v>
      </c>
      <c r="J10" s="11"/>
      <c r="K10" s="11"/>
      <c r="L10" s="11"/>
      <c r="M10" s="11"/>
      <c r="N10" s="116">
        <f t="shared" si="0"/>
        <v>0</v>
      </c>
      <c r="O10" s="116">
        <f t="shared" si="1"/>
        <v>0</v>
      </c>
      <c r="P10" s="11">
        <v>39.299999999999997</v>
      </c>
      <c r="Q10" s="11"/>
      <c r="R10" s="11"/>
      <c r="S10" s="11">
        <v>39.299999999999997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13">
        <v>46234</v>
      </c>
      <c r="AE10" s="14" t="s">
        <v>465</v>
      </c>
      <c r="AF10" s="19" t="s">
        <v>561</v>
      </c>
      <c r="AG10" s="14"/>
      <c r="AH10" s="14" t="s">
        <v>225</v>
      </c>
      <c r="AI10" s="14"/>
      <c r="AJ10" s="14"/>
      <c r="AK10" s="16"/>
      <c r="AL10" s="11"/>
      <c r="AM10" s="11"/>
      <c r="AN10" s="14"/>
      <c r="AO10" s="14"/>
      <c r="AP10" s="13"/>
      <c r="AQ10" s="14"/>
      <c r="AR10" s="11">
        <v>18</v>
      </c>
      <c r="AS10" s="14" t="s">
        <v>6493</v>
      </c>
      <c r="AT10" s="14"/>
      <c r="AU10" s="11"/>
      <c r="AV10" s="14"/>
    </row>
    <row r="11" spans="1:49" s="45" customFormat="1" ht="15" x14ac:dyDescent="0.25">
      <c r="A11" s="199">
        <v>46204</v>
      </c>
      <c r="B11" s="126">
        <v>46235</v>
      </c>
      <c r="C11" s="42" t="s">
        <v>49</v>
      </c>
      <c r="D11" s="42" t="s">
        <v>292</v>
      </c>
      <c r="E11" s="14"/>
      <c r="F11" s="71">
        <v>1922</v>
      </c>
      <c r="G11" s="42" t="s">
        <v>50</v>
      </c>
      <c r="H11" s="31">
        <v>20486339510</v>
      </c>
      <c r="I11" s="138" t="str">
        <f>IF(H11="","",VLOOKUP(H11,[1]ENTIDAD!$B$2:$C$605,2,0))</f>
        <v>SERVICIOS CONTABLES Y AUDITORIA INTERNA S.A.</v>
      </c>
      <c r="J11" s="11"/>
      <c r="K11" s="11"/>
      <c r="L11" s="11"/>
      <c r="M11" s="11"/>
      <c r="N11" s="116">
        <f t="shared" si="0"/>
        <v>1694.9152542372883</v>
      </c>
      <c r="O11" s="116">
        <f t="shared" si="1"/>
        <v>305.08474576271186</v>
      </c>
      <c r="P11" s="11">
        <v>0</v>
      </c>
      <c r="Q11" s="11"/>
      <c r="R11" s="11"/>
      <c r="S11" s="11">
        <v>2000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126">
        <v>46235</v>
      </c>
      <c r="AE11" s="14" t="s">
        <v>465</v>
      </c>
      <c r="AF11" s="19" t="s">
        <v>576</v>
      </c>
      <c r="AG11" s="34"/>
      <c r="AH11" s="3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577</v>
      </c>
      <c r="AT11" s="14"/>
      <c r="AU11" s="11"/>
      <c r="AV11" s="14"/>
    </row>
    <row r="12" spans="1:49" s="45" customFormat="1" ht="15" x14ac:dyDescent="0.25">
      <c r="A12" s="200">
        <v>46204</v>
      </c>
      <c r="B12" s="136">
        <v>46223</v>
      </c>
      <c r="C12" s="111" t="s">
        <v>388</v>
      </c>
      <c r="D12" s="111" t="s">
        <v>595</v>
      </c>
      <c r="E12" s="112"/>
      <c r="F12" s="113">
        <v>638203619</v>
      </c>
      <c r="G12" s="111" t="s">
        <v>50</v>
      </c>
      <c r="H12" s="114">
        <v>20467534026</v>
      </c>
      <c r="I12" s="115" t="str">
        <f>IF(H12="","",VLOOKUP(H12,[1]ENTIDAD!$B$2:$C$605,2,0))</f>
        <v>AMERICA MOVIL PERU S.A.C.</v>
      </c>
      <c r="J12" s="116"/>
      <c r="K12" s="116"/>
      <c r="L12" s="116"/>
      <c r="M12" s="116"/>
      <c r="N12" s="116">
        <f t="shared" si="0"/>
        <v>75.423728813559322</v>
      </c>
      <c r="O12" s="116">
        <f t="shared" si="1"/>
        <v>13.576271186440678</v>
      </c>
      <c r="P12" s="11">
        <v>0</v>
      </c>
      <c r="Q12" s="116"/>
      <c r="R12" s="116"/>
      <c r="S12" s="116">
        <v>89</v>
      </c>
      <c r="T12" s="112"/>
      <c r="U12" s="112"/>
      <c r="V12" s="109"/>
      <c r="W12" s="118"/>
      <c r="X12" s="109"/>
      <c r="Y12" s="112"/>
      <c r="Z12" s="112"/>
      <c r="AA12" s="112"/>
      <c r="AB12" s="111" t="s">
        <v>224</v>
      </c>
      <c r="AC12" s="116"/>
      <c r="AD12" s="136">
        <v>46223</v>
      </c>
      <c r="AE12" s="34" t="s">
        <v>465</v>
      </c>
      <c r="AF12" s="19">
        <v>6365095</v>
      </c>
      <c r="AG12" s="14"/>
      <c r="AH12" s="14" t="s">
        <v>225</v>
      </c>
      <c r="AI12" s="112"/>
      <c r="AJ12" s="112"/>
      <c r="AK12" s="120"/>
      <c r="AL12" s="116"/>
      <c r="AM12" s="116"/>
      <c r="AN12" s="112"/>
      <c r="AO12" s="112"/>
      <c r="AP12" s="109"/>
      <c r="AQ12" s="112"/>
      <c r="AR12" s="116">
        <v>18</v>
      </c>
      <c r="AS12" s="112" t="s">
        <v>6490</v>
      </c>
      <c r="AT12" s="112"/>
      <c r="AU12" s="116"/>
      <c r="AV12" s="112"/>
      <c r="AW12" s="121"/>
    </row>
    <row r="13" spans="1:49" s="45" customFormat="1" ht="15" x14ac:dyDescent="0.25">
      <c r="A13" s="199">
        <v>46205</v>
      </c>
      <c r="B13" s="136">
        <v>46236</v>
      </c>
      <c r="C13" s="42" t="s">
        <v>49</v>
      </c>
      <c r="D13" s="42" t="s">
        <v>292</v>
      </c>
      <c r="E13" s="14"/>
      <c r="F13" s="71">
        <v>264</v>
      </c>
      <c r="G13" s="42" t="s">
        <v>50</v>
      </c>
      <c r="H13" s="31">
        <v>10447422951</v>
      </c>
      <c r="I13" s="43" t="str">
        <f>IF(H13="","",VLOOKUP(H13,[1]ENTIDAD!$B$2:$C$605,2,0))</f>
        <v>ZEGARRA AZAÑERO JORGE KEY</v>
      </c>
      <c r="J13" s="11"/>
      <c r="K13" s="11"/>
      <c r="L13" s="11"/>
      <c r="M13" s="11"/>
      <c r="N13" s="116">
        <f t="shared" si="0"/>
        <v>0</v>
      </c>
      <c r="O13" s="116">
        <f t="shared" si="1"/>
        <v>0</v>
      </c>
      <c r="P13" s="11">
        <v>450</v>
      </c>
      <c r="Q13" s="11"/>
      <c r="R13" s="11"/>
      <c r="S13" s="11">
        <v>450</v>
      </c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72">
        <v>46236</v>
      </c>
      <c r="AE13" s="127" t="s">
        <v>465</v>
      </c>
      <c r="AF13" s="119" t="s">
        <v>606</v>
      </c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 t="s">
        <v>6507</v>
      </c>
      <c r="AT13" s="14"/>
      <c r="AU13" s="11"/>
      <c r="AV13" s="14"/>
    </row>
    <row r="14" spans="1:49" s="45" customFormat="1" ht="15" x14ac:dyDescent="0.25">
      <c r="A14" s="199">
        <v>46205</v>
      </c>
      <c r="B14" s="126">
        <v>46236</v>
      </c>
      <c r="C14" s="42" t="s">
        <v>49</v>
      </c>
      <c r="D14" s="42" t="s">
        <v>409</v>
      </c>
      <c r="E14" s="14"/>
      <c r="F14" s="71">
        <v>7036892</v>
      </c>
      <c r="G14" s="42" t="s">
        <v>50</v>
      </c>
      <c r="H14" s="31">
        <v>20100047218</v>
      </c>
      <c r="I14" s="138" t="str">
        <f>IF(H14="","",VLOOKUP(H14,[1]ENTIDAD!$B$2:$C$605,2,0))</f>
        <v>BANCO DE CREDITO DEL PERU</v>
      </c>
      <c r="J14" s="11"/>
      <c r="K14" s="11"/>
      <c r="L14" s="11"/>
      <c r="M14" s="11"/>
      <c r="N14" s="116">
        <f t="shared" si="0"/>
        <v>2038.2457627118647</v>
      </c>
      <c r="O14" s="116">
        <f t="shared" si="1"/>
        <v>366.88423728813564</v>
      </c>
      <c r="P14" s="11">
        <v>0</v>
      </c>
      <c r="Q14" s="11"/>
      <c r="R14" s="11"/>
      <c r="S14" s="11">
        <v>2405.13</v>
      </c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33">
        <v>46236</v>
      </c>
      <c r="AE14" s="14" t="s">
        <v>465</v>
      </c>
      <c r="AF14" s="19" t="s">
        <v>494</v>
      </c>
      <c r="AG14" s="14"/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 t="s">
        <v>6508</v>
      </c>
      <c r="AT14" s="14"/>
      <c r="AU14" s="11"/>
      <c r="AV14" s="14"/>
    </row>
    <row r="15" spans="1:49" s="45" customFormat="1" ht="15" x14ac:dyDescent="0.25">
      <c r="A15" s="199">
        <v>46205</v>
      </c>
      <c r="B15" s="126">
        <v>46236</v>
      </c>
      <c r="C15" s="42" t="s">
        <v>49</v>
      </c>
      <c r="D15" s="42" t="s">
        <v>732</v>
      </c>
      <c r="E15" s="14"/>
      <c r="F15" s="71">
        <v>5246180</v>
      </c>
      <c r="G15" s="42" t="s">
        <v>50</v>
      </c>
      <c r="H15" s="31">
        <v>20100130204</v>
      </c>
      <c r="I15" s="138" t="str">
        <f>IF(H15="","",VLOOKUP(H15,[1]ENTIDAD!$B$2:$C$605,2,0))</f>
        <v>BANCO BBVA PERU</v>
      </c>
      <c r="J15" s="11"/>
      <c r="K15" s="11"/>
      <c r="L15" s="11"/>
      <c r="M15" s="11"/>
      <c r="N15" s="116">
        <f t="shared" si="0"/>
        <v>0</v>
      </c>
      <c r="O15" s="116">
        <f t="shared" si="1"/>
        <v>0</v>
      </c>
      <c r="P15" s="11">
        <v>40</v>
      </c>
      <c r="Q15" s="11"/>
      <c r="R15" s="11"/>
      <c r="S15" s="11">
        <v>40</v>
      </c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33">
        <v>46236</v>
      </c>
      <c r="AE15" s="14" t="s">
        <v>465</v>
      </c>
      <c r="AF15" s="19" t="s">
        <v>494</v>
      </c>
      <c r="AG15" s="14"/>
      <c r="AH15" s="14" t="s">
        <v>225</v>
      </c>
      <c r="AI15" s="112"/>
      <c r="AJ15" s="112"/>
      <c r="AK15" s="120"/>
      <c r="AL15" s="116"/>
      <c r="AM15" s="116"/>
      <c r="AN15" s="112"/>
      <c r="AO15" s="112"/>
      <c r="AP15" s="109"/>
      <c r="AQ15" s="112"/>
      <c r="AR15" s="116">
        <v>18</v>
      </c>
      <c r="AS15" s="112" t="s">
        <v>6488</v>
      </c>
      <c r="AT15" s="14"/>
      <c r="AU15" s="11"/>
      <c r="AV15" s="14"/>
    </row>
    <row r="16" spans="1:49" s="45" customFormat="1" ht="15" x14ac:dyDescent="0.25">
      <c r="A16" s="199">
        <v>46206</v>
      </c>
      <c r="B16" s="136">
        <v>46237</v>
      </c>
      <c r="C16" s="42" t="s">
        <v>49</v>
      </c>
      <c r="D16" s="42" t="s">
        <v>440</v>
      </c>
      <c r="E16" s="14"/>
      <c r="F16" s="71">
        <v>2927354</v>
      </c>
      <c r="G16" s="42" t="s">
        <v>50</v>
      </c>
      <c r="H16" s="31">
        <v>20100047218</v>
      </c>
      <c r="I16" s="138" t="str">
        <f>IF(H16="","",VLOOKUP(H16,[1]ENTIDAD!$B$2:$C$605,2,0))</f>
        <v>BANCO DE CREDITO DEL PERU</v>
      </c>
      <c r="J16" s="11"/>
      <c r="K16" s="11"/>
      <c r="L16" s="11"/>
      <c r="M16" s="11"/>
      <c r="N16" s="116">
        <f t="shared" si="0"/>
        <v>-4.2372881355893666E-3</v>
      </c>
      <c r="O16" s="116">
        <f t="shared" si="1"/>
        <v>-7.62711864406086E-4</v>
      </c>
      <c r="P16" s="11">
        <v>119.32</v>
      </c>
      <c r="Q16" s="11"/>
      <c r="R16" s="11"/>
      <c r="S16" s="11">
        <f>W16*AC16</f>
        <v>119.315</v>
      </c>
      <c r="T16" s="14"/>
      <c r="U16" s="14"/>
      <c r="V16" s="13"/>
      <c r="W16" s="15">
        <v>3.4089999999999998</v>
      </c>
      <c r="X16" s="13"/>
      <c r="Y16" s="14"/>
      <c r="Z16" s="14"/>
      <c r="AA16" s="14"/>
      <c r="AB16" s="42" t="s">
        <v>383</v>
      </c>
      <c r="AC16" s="11">
        <v>35</v>
      </c>
      <c r="AD16" s="72">
        <v>46237</v>
      </c>
      <c r="AE16" s="14" t="s">
        <v>465</v>
      </c>
      <c r="AF16" s="19" t="s">
        <v>494</v>
      </c>
      <c r="AG16" s="14"/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 t="s">
        <v>6448</v>
      </c>
      <c r="AT16" s="14"/>
      <c r="AU16" s="11"/>
      <c r="AV16" s="14"/>
    </row>
    <row r="17" spans="1:49" s="47" customFormat="1" ht="15" x14ac:dyDescent="0.25">
      <c r="A17" s="199">
        <v>46206</v>
      </c>
      <c r="B17" s="126">
        <v>46237</v>
      </c>
      <c r="C17" s="42" t="s">
        <v>49</v>
      </c>
      <c r="D17" s="42" t="s">
        <v>451</v>
      </c>
      <c r="E17" s="14"/>
      <c r="F17" s="71">
        <v>159</v>
      </c>
      <c r="G17" s="42" t="s">
        <v>50</v>
      </c>
      <c r="H17" s="31">
        <v>20600454065</v>
      </c>
      <c r="I17" s="138" t="str">
        <f>IF(H17="","",VLOOKUP(H17,ENTIDAD!$B$2:$C$613,2,0))</f>
        <v>REPUESTOS Y SERVICIOS ARAUCO E.I.R.L.</v>
      </c>
      <c r="J17" s="11"/>
      <c r="K17" s="11"/>
      <c r="L17" s="11"/>
      <c r="M17" s="11"/>
      <c r="N17" s="116">
        <f t="shared" si="0"/>
        <v>0</v>
      </c>
      <c r="O17" s="116">
        <f t="shared" si="1"/>
        <v>0</v>
      </c>
      <c r="P17" s="11">
        <v>2050</v>
      </c>
      <c r="Q17" s="11"/>
      <c r="R17" s="11"/>
      <c r="S17" s="11">
        <v>2050</v>
      </c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33">
        <v>46237</v>
      </c>
      <c r="AE17" s="112" t="s">
        <v>465</v>
      </c>
      <c r="AF17" s="119" t="s">
        <v>616</v>
      </c>
      <c r="AG17" s="14"/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12" t="s">
        <v>617</v>
      </c>
      <c r="AT17" s="14"/>
      <c r="AU17" s="11"/>
      <c r="AV17" s="14"/>
      <c r="AW17" s="45"/>
    </row>
    <row r="18" spans="1:49" s="45" customFormat="1" ht="15" x14ac:dyDescent="0.25">
      <c r="A18" s="199">
        <v>46209</v>
      </c>
      <c r="B18" s="136">
        <v>46209</v>
      </c>
      <c r="C18" s="42" t="s">
        <v>49</v>
      </c>
      <c r="D18" s="42" t="s">
        <v>294</v>
      </c>
      <c r="E18" s="14"/>
      <c r="F18" s="71">
        <v>12844</v>
      </c>
      <c r="G18" s="42" t="s">
        <v>50</v>
      </c>
      <c r="H18" s="31">
        <v>10209907327</v>
      </c>
      <c r="I18" s="138" t="str">
        <f>IF(H18="","",VLOOKUP(H18,[1]ENTIDAD!$B$2:$C$605,2,0))</f>
        <v>TORPOCO,MAYTA,HECTOR,ALFONSO</v>
      </c>
      <c r="J18" s="11"/>
      <c r="K18" s="11"/>
      <c r="L18" s="11"/>
      <c r="M18" s="11"/>
      <c r="N18" s="116">
        <f t="shared" si="0"/>
        <v>0</v>
      </c>
      <c r="O18" s="116">
        <f t="shared" si="1"/>
        <v>0</v>
      </c>
      <c r="P18" s="11">
        <v>10</v>
      </c>
      <c r="Q18" s="11"/>
      <c r="R18" s="11"/>
      <c r="S18" s="11">
        <v>10</v>
      </c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72">
        <v>46209</v>
      </c>
      <c r="AE18" s="14" t="s">
        <v>262</v>
      </c>
      <c r="AF18" s="19" t="s">
        <v>486</v>
      </c>
      <c r="AG18" s="14"/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 t="s">
        <v>6486</v>
      </c>
      <c r="AT18" s="14"/>
      <c r="AU18" s="11"/>
      <c r="AV18" s="14"/>
    </row>
    <row r="19" spans="1:49" s="45" customFormat="1" ht="15" x14ac:dyDescent="0.25">
      <c r="A19" s="199">
        <v>46209</v>
      </c>
      <c r="B19" s="136">
        <v>46240</v>
      </c>
      <c r="C19" s="42" t="s">
        <v>49</v>
      </c>
      <c r="D19" s="42" t="s">
        <v>6487</v>
      </c>
      <c r="E19" s="14"/>
      <c r="F19" s="71">
        <v>28145707</v>
      </c>
      <c r="G19" s="42" t="s">
        <v>50</v>
      </c>
      <c r="H19" s="31">
        <v>20100130204</v>
      </c>
      <c r="I19" s="138" t="str">
        <f>IF(H19="","",VLOOKUP(H19,[1]ENTIDAD!$B$2:$C$605,2,0))</f>
        <v>BANCO BBVA PERU</v>
      </c>
      <c r="J19" s="11"/>
      <c r="K19" s="11"/>
      <c r="L19" s="11"/>
      <c r="M19" s="11"/>
      <c r="N19" s="116">
        <f t="shared" si="0"/>
        <v>0</v>
      </c>
      <c r="O19" s="116">
        <f t="shared" si="1"/>
        <v>0</v>
      </c>
      <c r="P19" s="11">
        <v>10</v>
      </c>
      <c r="Q19" s="11"/>
      <c r="R19" s="11"/>
      <c r="S19" s="11">
        <v>10</v>
      </c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72">
        <v>46240</v>
      </c>
      <c r="AE19" s="14" t="s">
        <v>465</v>
      </c>
      <c r="AF19" s="19" t="s">
        <v>494</v>
      </c>
      <c r="AG19" s="14"/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 t="s">
        <v>6448</v>
      </c>
      <c r="AT19" s="14"/>
      <c r="AU19" s="11"/>
      <c r="AV19" s="14"/>
    </row>
    <row r="20" spans="1:49" s="45" customFormat="1" ht="15" x14ac:dyDescent="0.25">
      <c r="A20" s="199">
        <v>46209</v>
      </c>
      <c r="B20" s="136">
        <v>46240</v>
      </c>
      <c r="C20" s="42" t="s">
        <v>49</v>
      </c>
      <c r="D20" s="42" t="s">
        <v>442</v>
      </c>
      <c r="E20" s="14"/>
      <c r="F20" s="71">
        <v>20103769</v>
      </c>
      <c r="G20" s="42" t="s">
        <v>50</v>
      </c>
      <c r="H20" s="31">
        <v>20100047218</v>
      </c>
      <c r="I20" s="138" t="str">
        <f>IF(H20="","",VLOOKUP(H20,[1]ENTIDAD!$B$2:$C$605,2,0))</f>
        <v>BANCO DE CREDITO DEL PERU</v>
      </c>
      <c r="J20" s="11"/>
      <c r="K20" s="11"/>
      <c r="L20" s="11"/>
      <c r="M20" s="11"/>
      <c r="N20" s="116">
        <f t="shared" si="0"/>
        <v>0</v>
      </c>
      <c r="O20" s="116">
        <f t="shared" si="1"/>
        <v>0</v>
      </c>
      <c r="P20" s="11">
        <v>882.46</v>
      </c>
      <c r="Q20" s="11"/>
      <c r="R20" s="11"/>
      <c r="S20" s="11">
        <v>882.46</v>
      </c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72">
        <v>46240</v>
      </c>
      <c r="AE20" s="14" t="s">
        <v>465</v>
      </c>
      <c r="AF20" s="19" t="s">
        <v>494</v>
      </c>
      <c r="AG20" s="14"/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 t="s">
        <v>6544</v>
      </c>
      <c r="AT20" s="14"/>
      <c r="AU20" s="11"/>
      <c r="AV20" s="14"/>
    </row>
    <row r="21" spans="1:49" s="47" customFormat="1" ht="15" x14ac:dyDescent="0.25">
      <c r="A21" s="199">
        <v>46209</v>
      </c>
      <c r="B21" s="136">
        <v>46240</v>
      </c>
      <c r="C21" s="42" t="s">
        <v>49</v>
      </c>
      <c r="D21" s="42" t="s">
        <v>442</v>
      </c>
      <c r="E21" s="14"/>
      <c r="F21" s="71">
        <v>20093230</v>
      </c>
      <c r="G21" s="42" t="s">
        <v>50</v>
      </c>
      <c r="H21" s="31">
        <v>20100047218</v>
      </c>
      <c r="I21" s="138" t="str">
        <f>IF(H21="","",VLOOKUP(H21,[1]ENTIDAD!$B$2:$C$605,2,0))</f>
        <v>BANCO DE CREDITO DEL PERU</v>
      </c>
      <c r="J21" s="11"/>
      <c r="K21" s="11"/>
      <c r="L21" s="11"/>
      <c r="M21" s="11"/>
      <c r="N21" s="116">
        <f t="shared" si="0"/>
        <v>3.3898305084726979E-3</v>
      </c>
      <c r="O21" s="116">
        <f t="shared" si="1"/>
        <v>6.1016949152508564E-4</v>
      </c>
      <c r="P21" s="11">
        <v>61.25</v>
      </c>
      <c r="Q21" s="11"/>
      <c r="R21" s="11"/>
      <c r="S21" s="11">
        <f>W21*AC21</f>
        <v>61.253999999999998</v>
      </c>
      <c r="T21" s="14"/>
      <c r="U21" s="14"/>
      <c r="V21" s="13"/>
      <c r="W21" s="15">
        <v>3.403</v>
      </c>
      <c r="X21" s="13"/>
      <c r="Y21" s="14"/>
      <c r="Z21" s="14"/>
      <c r="AA21" s="14"/>
      <c r="AB21" s="42" t="s">
        <v>383</v>
      </c>
      <c r="AC21" s="11">
        <v>18</v>
      </c>
      <c r="AD21" s="72">
        <v>46240</v>
      </c>
      <c r="AE21" s="14" t="s">
        <v>465</v>
      </c>
      <c r="AF21" s="19" t="s">
        <v>494</v>
      </c>
      <c r="AG21" s="14"/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 t="s">
        <v>6448</v>
      </c>
      <c r="AT21" s="14"/>
      <c r="AU21" s="11"/>
      <c r="AV21" s="14"/>
      <c r="AW21" s="45"/>
    </row>
    <row r="22" spans="1:49" s="122" customFormat="1" ht="15" x14ac:dyDescent="0.25">
      <c r="A22" s="199">
        <v>46210</v>
      </c>
      <c r="B22" s="109">
        <v>46241</v>
      </c>
      <c r="C22" s="42" t="s">
        <v>49</v>
      </c>
      <c r="D22" s="42" t="s">
        <v>301</v>
      </c>
      <c r="E22" s="14"/>
      <c r="F22" s="71">
        <v>19194</v>
      </c>
      <c r="G22" s="42" t="s">
        <v>50</v>
      </c>
      <c r="H22" s="31">
        <v>20493508645</v>
      </c>
      <c r="I22" s="138" t="str">
        <f>IF(H22="","",VLOOKUP(H22,[1]ENTIDAD!$B$2:$C$605,2,0))</f>
        <v>HONDA SELVA DEL PERU S.A.</v>
      </c>
      <c r="J22" s="11"/>
      <c r="K22" s="11"/>
      <c r="L22" s="11"/>
      <c r="M22" s="11"/>
      <c r="N22" s="116">
        <f t="shared" si="0"/>
        <v>-2.2203389824549591E-3</v>
      </c>
      <c r="O22" s="116">
        <f t="shared" si="1"/>
        <v>-3.9966101684189262E-4</v>
      </c>
      <c r="P22" s="11">
        <v>20805.669999999998</v>
      </c>
      <c r="Q22" s="11"/>
      <c r="R22" s="11"/>
      <c r="S22" s="11">
        <f>W22*AC22</f>
        <v>20805.667379999999</v>
      </c>
      <c r="T22" s="14"/>
      <c r="U22" s="14"/>
      <c r="V22" s="13"/>
      <c r="W22" s="15">
        <v>3.411</v>
      </c>
      <c r="X22" s="13"/>
      <c r="Y22" s="14"/>
      <c r="Z22" s="14"/>
      <c r="AA22" s="14"/>
      <c r="AB22" s="42" t="s">
        <v>383</v>
      </c>
      <c r="AC22" s="11">
        <v>6099.58</v>
      </c>
      <c r="AD22" s="13">
        <v>46241</v>
      </c>
      <c r="AE22" s="34" t="s">
        <v>465</v>
      </c>
      <c r="AF22" s="19" t="s">
        <v>532</v>
      </c>
      <c r="AG22" s="14"/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 t="s">
        <v>201</v>
      </c>
      <c r="AT22" s="14"/>
      <c r="AU22" s="11"/>
      <c r="AV22" s="14"/>
      <c r="AW22" s="45"/>
    </row>
    <row r="23" spans="1:49" s="121" customFormat="1" ht="15" x14ac:dyDescent="0.25">
      <c r="A23" s="199">
        <v>46210</v>
      </c>
      <c r="B23" s="109">
        <v>46241</v>
      </c>
      <c r="C23" s="42" t="s">
        <v>49</v>
      </c>
      <c r="D23" s="42" t="s">
        <v>389</v>
      </c>
      <c r="E23" s="14"/>
      <c r="F23" s="71">
        <v>82301</v>
      </c>
      <c r="G23" s="42" t="s">
        <v>50</v>
      </c>
      <c r="H23" s="31">
        <v>20103733015</v>
      </c>
      <c r="I23" s="138" t="str">
        <f>IF(H23="","",VLOOKUP(H23,[1]ENTIDAD!$B$2:$C$605,2,0))</f>
        <v>HONDA DEL PERU S.A</v>
      </c>
      <c r="J23" s="11"/>
      <c r="K23" s="11"/>
      <c r="L23" s="11"/>
      <c r="M23" s="11"/>
      <c r="N23" s="116">
        <f t="shared" si="0"/>
        <v>21072.984559322034</v>
      </c>
      <c r="O23" s="116">
        <f t="shared" si="1"/>
        <v>3793.1372206779661</v>
      </c>
      <c r="P23" s="11">
        <v>0</v>
      </c>
      <c r="Q23" s="11"/>
      <c r="R23" s="11"/>
      <c r="S23" s="11">
        <f>W23*AC23</f>
        <v>24866.121779999998</v>
      </c>
      <c r="T23" s="14"/>
      <c r="U23" s="14"/>
      <c r="V23" s="13"/>
      <c r="W23" s="15">
        <v>3.411</v>
      </c>
      <c r="X23" s="13"/>
      <c r="Y23" s="14"/>
      <c r="Z23" s="14"/>
      <c r="AA23" s="14"/>
      <c r="AB23" s="42" t="s">
        <v>383</v>
      </c>
      <c r="AC23" s="11">
        <v>7289.98</v>
      </c>
      <c r="AD23" s="13">
        <v>46241</v>
      </c>
      <c r="AE23" s="34" t="s">
        <v>465</v>
      </c>
      <c r="AF23" s="19" t="s">
        <v>532</v>
      </c>
      <c r="AG23" s="14"/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 t="s">
        <v>201</v>
      </c>
      <c r="AT23" s="14"/>
      <c r="AU23" s="11"/>
      <c r="AV23" s="14"/>
      <c r="AW23" s="45"/>
    </row>
    <row r="24" spans="1:49" s="121" customFormat="1" ht="15" x14ac:dyDescent="0.25">
      <c r="A24" s="199">
        <v>46210</v>
      </c>
      <c r="B24" s="109">
        <v>46241</v>
      </c>
      <c r="C24" s="42" t="s">
        <v>49</v>
      </c>
      <c r="D24" s="42" t="s">
        <v>441</v>
      </c>
      <c r="E24" s="14"/>
      <c r="F24" s="71">
        <v>48144324</v>
      </c>
      <c r="G24" s="42" t="s">
        <v>50</v>
      </c>
      <c r="H24" s="31">
        <v>20100047218</v>
      </c>
      <c r="I24" s="138" t="str">
        <f>IF(H24="","",VLOOKUP(H24,[1]ENTIDAD!$B$2:$C$605,2,0))</f>
        <v>BANCO DE CREDITO DEL PERU</v>
      </c>
      <c r="J24" s="11"/>
      <c r="K24" s="11"/>
      <c r="L24" s="11"/>
      <c r="M24" s="11"/>
      <c r="N24" s="116">
        <f t="shared" si="0"/>
        <v>0</v>
      </c>
      <c r="O24" s="116">
        <f t="shared" si="1"/>
        <v>0</v>
      </c>
      <c r="P24" s="11">
        <v>4.3</v>
      </c>
      <c r="Q24" s="11"/>
      <c r="R24" s="11"/>
      <c r="S24" s="11">
        <v>4.3</v>
      </c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13">
        <v>46241</v>
      </c>
      <c r="AE24" s="14" t="s">
        <v>465</v>
      </c>
      <c r="AF24" s="19" t="s">
        <v>494</v>
      </c>
      <c r="AG24" s="14"/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 t="s">
        <v>6448</v>
      </c>
      <c r="AT24" s="14"/>
      <c r="AU24" s="11"/>
      <c r="AV24" s="14"/>
      <c r="AW24" s="45"/>
    </row>
    <row r="25" spans="1:49" s="133" customFormat="1" ht="15" x14ac:dyDescent="0.25">
      <c r="A25" s="199">
        <v>46210</v>
      </c>
      <c r="B25" s="109">
        <v>46241</v>
      </c>
      <c r="C25" s="42" t="s">
        <v>49</v>
      </c>
      <c r="D25" s="42" t="s">
        <v>299</v>
      </c>
      <c r="E25" s="14"/>
      <c r="F25" s="71">
        <v>3973633</v>
      </c>
      <c r="G25" s="42" t="s">
        <v>50</v>
      </c>
      <c r="H25" s="31">
        <v>20101973922</v>
      </c>
      <c r="I25" s="138" t="str">
        <f>IF(H25="","",VLOOKUP(H25,[1]ENTIDAD!$B$2:$C$605,2,0))</f>
        <v>ASOCIACION AUTOMOTRIZ DEL PERU</v>
      </c>
      <c r="J25" s="11"/>
      <c r="K25" s="11"/>
      <c r="L25" s="11"/>
      <c r="M25" s="11"/>
      <c r="N25" s="116"/>
      <c r="O25" s="116"/>
      <c r="P25" s="11">
        <v>0</v>
      </c>
      <c r="Q25" s="11"/>
      <c r="R25" s="11">
        <v>66.8</v>
      </c>
      <c r="S25" s="11">
        <v>66.8</v>
      </c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13">
        <v>46241</v>
      </c>
      <c r="AE25" s="34" t="s">
        <v>465</v>
      </c>
      <c r="AF25" s="37" t="s">
        <v>597</v>
      </c>
      <c r="AG25" s="14" t="s">
        <v>513</v>
      </c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 t="s">
        <v>566</v>
      </c>
      <c r="AT25" s="14"/>
      <c r="AU25" s="11"/>
      <c r="AV25" s="14"/>
      <c r="AW25" s="45"/>
    </row>
    <row r="26" spans="1:49" s="121" customFormat="1" ht="15" x14ac:dyDescent="0.25">
      <c r="A26" s="199">
        <v>46210</v>
      </c>
      <c r="B26" s="109">
        <v>46241</v>
      </c>
      <c r="C26" s="42" t="s">
        <v>49</v>
      </c>
      <c r="D26" s="42" t="s">
        <v>299</v>
      </c>
      <c r="E26" s="14"/>
      <c r="F26" s="71">
        <v>3973632</v>
      </c>
      <c r="G26" s="42" t="s">
        <v>50</v>
      </c>
      <c r="H26" s="31">
        <v>20101973922</v>
      </c>
      <c r="I26" s="138" t="str">
        <f>IF(H26="","",VLOOKUP(H26,[1]ENTIDAD!$B$2:$C$605,2,0))</f>
        <v>ASOCIACION AUTOMOTRIZ DEL PERU</v>
      </c>
      <c r="J26" s="11"/>
      <c r="K26" s="11"/>
      <c r="L26" s="11"/>
      <c r="M26" s="11"/>
      <c r="N26" s="116"/>
      <c r="O26" s="116"/>
      <c r="P26" s="11">
        <v>0</v>
      </c>
      <c r="Q26" s="11"/>
      <c r="R26" s="11">
        <v>66.8</v>
      </c>
      <c r="S26" s="11">
        <v>66.8</v>
      </c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13">
        <v>46241</v>
      </c>
      <c r="AE26" s="34" t="s">
        <v>465</v>
      </c>
      <c r="AF26" s="37" t="s">
        <v>597</v>
      </c>
      <c r="AG26" s="14" t="s">
        <v>513</v>
      </c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 t="s">
        <v>566</v>
      </c>
      <c r="AT26" s="14"/>
      <c r="AU26" s="11"/>
      <c r="AV26" s="14"/>
      <c r="AW26" s="45"/>
    </row>
    <row r="27" spans="1:49" s="45" customFormat="1" ht="15" x14ac:dyDescent="0.25">
      <c r="A27" s="199">
        <v>46210</v>
      </c>
      <c r="B27" s="109">
        <v>46241</v>
      </c>
      <c r="C27" s="42" t="s">
        <v>49</v>
      </c>
      <c r="D27" s="42" t="s">
        <v>299</v>
      </c>
      <c r="E27" s="14"/>
      <c r="F27" s="71">
        <v>3973631</v>
      </c>
      <c r="G27" s="42" t="s">
        <v>50</v>
      </c>
      <c r="H27" s="31">
        <v>20101973922</v>
      </c>
      <c r="I27" s="138" t="str">
        <f>IF(H27="","",VLOOKUP(H27,[1]ENTIDAD!$B$2:$C$605,2,0))</f>
        <v>ASOCIACION AUTOMOTRIZ DEL PERU</v>
      </c>
      <c r="J27" s="11"/>
      <c r="K27" s="11"/>
      <c r="L27" s="11"/>
      <c r="M27" s="11"/>
      <c r="N27" s="116"/>
      <c r="O27" s="116"/>
      <c r="P27" s="11">
        <v>0</v>
      </c>
      <c r="Q27" s="11"/>
      <c r="R27" s="11">
        <v>66.8</v>
      </c>
      <c r="S27" s="11">
        <v>66.8</v>
      </c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13">
        <v>46241</v>
      </c>
      <c r="AE27" s="34" t="s">
        <v>465</v>
      </c>
      <c r="AF27" s="37" t="s">
        <v>597</v>
      </c>
      <c r="AG27" s="14" t="s">
        <v>513</v>
      </c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 t="s">
        <v>566</v>
      </c>
      <c r="AT27" s="14"/>
      <c r="AU27" s="11"/>
      <c r="AV27" s="14"/>
    </row>
    <row r="28" spans="1:49" s="45" customFormat="1" ht="15" x14ac:dyDescent="0.25">
      <c r="A28" s="199">
        <v>46210</v>
      </c>
      <c r="B28" s="109">
        <v>46241</v>
      </c>
      <c r="C28" s="42" t="s">
        <v>49</v>
      </c>
      <c r="D28" s="42" t="s">
        <v>299</v>
      </c>
      <c r="E28" s="14"/>
      <c r="F28" s="71">
        <v>3973630</v>
      </c>
      <c r="G28" s="42" t="s">
        <v>50</v>
      </c>
      <c r="H28" s="31">
        <v>20101973922</v>
      </c>
      <c r="I28" s="138" t="str">
        <f>IF(H28="","",VLOOKUP(H28,[1]ENTIDAD!$B$2:$C$605,2,0))</f>
        <v>ASOCIACION AUTOMOTRIZ DEL PERU</v>
      </c>
      <c r="J28" s="11"/>
      <c r="K28" s="11"/>
      <c r="L28" s="11"/>
      <c r="M28" s="11"/>
      <c r="N28" s="116"/>
      <c r="O28" s="116"/>
      <c r="P28" s="11">
        <v>0</v>
      </c>
      <c r="Q28" s="11"/>
      <c r="R28" s="11">
        <v>66.8</v>
      </c>
      <c r="S28" s="11">
        <v>66.8</v>
      </c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13">
        <v>46241</v>
      </c>
      <c r="AE28" s="34" t="s">
        <v>465</v>
      </c>
      <c r="AF28" s="37" t="s">
        <v>597</v>
      </c>
      <c r="AG28" s="14" t="s">
        <v>513</v>
      </c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 t="s">
        <v>566</v>
      </c>
      <c r="AT28" s="14"/>
      <c r="AU28" s="11"/>
      <c r="AV28" s="14"/>
    </row>
    <row r="29" spans="1:49" s="45" customFormat="1" ht="15" x14ac:dyDescent="0.25">
      <c r="A29" s="199">
        <v>46210</v>
      </c>
      <c r="B29" s="109">
        <v>46241</v>
      </c>
      <c r="C29" s="42" t="s">
        <v>49</v>
      </c>
      <c r="D29" s="42" t="s">
        <v>299</v>
      </c>
      <c r="E29" s="14"/>
      <c r="F29" s="71">
        <v>3973629</v>
      </c>
      <c r="G29" s="42" t="s">
        <v>50</v>
      </c>
      <c r="H29" s="31">
        <v>20101973922</v>
      </c>
      <c r="I29" s="138" t="str">
        <f>IF(H29="","",VLOOKUP(H29,[1]ENTIDAD!$B$2:$C$605,2,0))</f>
        <v>ASOCIACION AUTOMOTRIZ DEL PERU</v>
      </c>
      <c r="J29" s="11"/>
      <c r="K29" s="11"/>
      <c r="L29" s="11"/>
      <c r="M29" s="11"/>
      <c r="N29" s="116"/>
      <c r="O29" s="116"/>
      <c r="P29" s="11">
        <v>0</v>
      </c>
      <c r="Q29" s="11"/>
      <c r="R29" s="11">
        <v>66.8</v>
      </c>
      <c r="S29" s="11">
        <v>66.8</v>
      </c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13">
        <v>46241</v>
      </c>
      <c r="AE29" s="34" t="s">
        <v>465</v>
      </c>
      <c r="AF29" s="37" t="s">
        <v>597</v>
      </c>
      <c r="AG29" s="14" t="s">
        <v>513</v>
      </c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 t="s">
        <v>566</v>
      </c>
      <c r="AT29" s="14"/>
      <c r="AU29" s="11"/>
      <c r="AV29" s="14"/>
    </row>
    <row r="30" spans="1:49" s="45" customFormat="1" ht="15" x14ac:dyDescent="0.25">
      <c r="A30" s="199">
        <v>46210</v>
      </c>
      <c r="B30" s="109">
        <v>46241</v>
      </c>
      <c r="C30" s="42" t="s">
        <v>49</v>
      </c>
      <c r="D30" s="42" t="s">
        <v>299</v>
      </c>
      <c r="E30" s="14"/>
      <c r="F30" s="71">
        <v>3973628</v>
      </c>
      <c r="G30" s="42" t="s">
        <v>50</v>
      </c>
      <c r="H30" s="31">
        <v>20101973922</v>
      </c>
      <c r="I30" s="138" t="str">
        <f>IF(H30="","",VLOOKUP(H30,[1]ENTIDAD!$B$2:$C$605,2,0))</f>
        <v>ASOCIACION AUTOMOTRIZ DEL PERU</v>
      </c>
      <c r="J30" s="11"/>
      <c r="K30" s="11"/>
      <c r="L30" s="11"/>
      <c r="M30" s="11"/>
      <c r="N30" s="116"/>
      <c r="O30" s="116"/>
      <c r="P30" s="11">
        <v>0</v>
      </c>
      <c r="Q30" s="11"/>
      <c r="R30" s="11">
        <v>66.8</v>
      </c>
      <c r="S30" s="11">
        <v>66.8</v>
      </c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13">
        <v>46241</v>
      </c>
      <c r="AE30" s="34" t="s">
        <v>465</v>
      </c>
      <c r="AF30" s="37" t="s">
        <v>597</v>
      </c>
      <c r="AG30" s="14" t="s">
        <v>513</v>
      </c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 t="s">
        <v>566</v>
      </c>
      <c r="AT30" s="14"/>
      <c r="AU30" s="11"/>
      <c r="AV30" s="14"/>
    </row>
    <row r="31" spans="1:49" s="45" customFormat="1" ht="15" x14ac:dyDescent="0.25">
      <c r="A31" s="199">
        <v>46210</v>
      </c>
      <c r="B31" s="109">
        <v>46241</v>
      </c>
      <c r="C31" s="42" t="s">
        <v>49</v>
      </c>
      <c r="D31" s="42" t="s">
        <v>299</v>
      </c>
      <c r="E31" s="14"/>
      <c r="F31" s="71">
        <v>3973627</v>
      </c>
      <c r="G31" s="42" t="s">
        <v>50</v>
      </c>
      <c r="H31" s="31">
        <v>20101973922</v>
      </c>
      <c r="I31" s="138" t="str">
        <f>IF(H31="","",VLOOKUP(H31,[1]ENTIDAD!$B$2:$C$605,2,0))</f>
        <v>ASOCIACION AUTOMOTRIZ DEL PERU</v>
      </c>
      <c r="J31" s="11"/>
      <c r="K31" s="11"/>
      <c r="L31" s="11"/>
      <c r="M31" s="11"/>
      <c r="N31" s="116"/>
      <c r="O31" s="116"/>
      <c r="P31" s="11">
        <v>0</v>
      </c>
      <c r="Q31" s="11"/>
      <c r="R31" s="11">
        <v>66.8</v>
      </c>
      <c r="S31" s="11">
        <v>66.8</v>
      </c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13">
        <v>46241</v>
      </c>
      <c r="AE31" s="34" t="s">
        <v>465</v>
      </c>
      <c r="AF31" s="37" t="s">
        <v>597</v>
      </c>
      <c r="AG31" s="14" t="s">
        <v>513</v>
      </c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 t="s">
        <v>566</v>
      </c>
      <c r="AT31" s="14"/>
      <c r="AU31" s="11"/>
      <c r="AV31" s="14"/>
    </row>
    <row r="32" spans="1:49" s="45" customFormat="1" ht="15" x14ac:dyDescent="0.25">
      <c r="A32" s="199">
        <v>46210</v>
      </c>
      <c r="B32" s="109">
        <v>46241</v>
      </c>
      <c r="C32" s="42" t="s">
        <v>49</v>
      </c>
      <c r="D32" s="42" t="s">
        <v>299</v>
      </c>
      <c r="E32" s="14"/>
      <c r="F32" s="71">
        <v>3973626</v>
      </c>
      <c r="G32" s="42" t="s">
        <v>50</v>
      </c>
      <c r="H32" s="31">
        <v>20101973922</v>
      </c>
      <c r="I32" s="138" t="str">
        <f>IF(H32="","",VLOOKUP(H32,[1]ENTIDAD!$B$2:$C$605,2,0))</f>
        <v>ASOCIACION AUTOMOTRIZ DEL PERU</v>
      </c>
      <c r="J32" s="11"/>
      <c r="K32" s="11"/>
      <c r="L32" s="11"/>
      <c r="M32" s="11"/>
      <c r="N32" s="116"/>
      <c r="O32" s="116"/>
      <c r="P32" s="11">
        <v>0</v>
      </c>
      <c r="Q32" s="11"/>
      <c r="R32" s="11">
        <v>66.8</v>
      </c>
      <c r="S32" s="11">
        <v>66.8</v>
      </c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13">
        <v>46241</v>
      </c>
      <c r="AE32" s="34" t="s">
        <v>465</v>
      </c>
      <c r="AF32" s="37" t="s">
        <v>597</v>
      </c>
      <c r="AG32" s="14" t="s">
        <v>513</v>
      </c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 t="s">
        <v>566</v>
      </c>
      <c r="AT32" s="14"/>
      <c r="AU32" s="11"/>
      <c r="AV32" s="14"/>
    </row>
    <row r="33" spans="1:49" s="47" customFormat="1" ht="15" x14ac:dyDescent="0.25">
      <c r="A33" s="199">
        <v>46210</v>
      </c>
      <c r="B33" s="109">
        <v>46241</v>
      </c>
      <c r="C33" s="42" t="s">
        <v>49</v>
      </c>
      <c r="D33" s="42" t="s">
        <v>299</v>
      </c>
      <c r="E33" s="14"/>
      <c r="F33" s="71">
        <v>3973625</v>
      </c>
      <c r="G33" s="42" t="s">
        <v>50</v>
      </c>
      <c r="H33" s="31">
        <v>20101973922</v>
      </c>
      <c r="I33" s="138" t="str">
        <f>IF(H33="","",VLOOKUP(H33,[1]ENTIDAD!$B$2:$C$605,2,0))</f>
        <v>ASOCIACION AUTOMOTRIZ DEL PERU</v>
      </c>
      <c r="J33" s="11"/>
      <c r="K33" s="11"/>
      <c r="L33" s="11"/>
      <c r="M33" s="11"/>
      <c r="N33" s="116"/>
      <c r="O33" s="116"/>
      <c r="P33" s="11">
        <v>0</v>
      </c>
      <c r="Q33" s="11"/>
      <c r="R33" s="11">
        <v>66.8</v>
      </c>
      <c r="S33" s="11">
        <v>66.8</v>
      </c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13">
        <v>46241</v>
      </c>
      <c r="AE33" s="34" t="s">
        <v>465</v>
      </c>
      <c r="AF33" s="37" t="s">
        <v>597</v>
      </c>
      <c r="AG33" s="14" t="s">
        <v>513</v>
      </c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 t="s">
        <v>566</v>
      </c>
      <c r="AT33" s="14"/>
      <c r="AU33" s="11"/>
      <c r="AV33" s="14"/>
      <c r="AW33" s="45"/>
    </row>
    <row r="34" spans="1:49" s="45" customFormat="1" ht="15" x14ac:dyDescent="0.25">
      <c r="A34" s="199">
        <v>46210</v>
      </c>
      <c r="B34" s="109">
        <v>46241</v>
      </c>
      <c r="C34" s="42" t="s">
        <v>49</v>
      </c>
      <c r="D34" s="42" t="s">
        <v>299</v>
      </c>
      <c r="E34" s="14"/>
      <c r="F34" s="71">
        <v>3973624</v>
      </c>
      <c r="G34" s="42" t="s">
        <v>50</v>
      </c>
      <c r="H34" s="31">
        <v>20101973922</v>
      </c>
      <c r="I34" s="138" t="str">
        <f>IF(H34="","",VLOOKUP(H34,[1]ENTIDAD!$B$2:$C$605,2,0))</f>
        <v>ASOCIACION AUTOMOTRIZ DEL PERU</v>
      </c>
      <c r="J34" s="11"/>
      <c r="K34" s="11"/>
      <c r="L34" s="11"/>
      <c r="M34" s="11"/>
      <c r="N34" s="116"/>
      <c r="O34" s="116"/>
      <c r="P34" s="11">
        <v>0</v>
      </c>
      <c r="Q34" s="11"/>
      <c r="R34" s="11">
        <v>66.8</v>
      </c>
      <c r="S34" s="11">
        <v>66.8</v>
      </c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13">
        <v>46241</v>
      </c>
      <c r="AE34" s="34" t="s">
        <v>465</v>
      </c>
      <c r="AF34" s="37" t="s">
        <v>597</v>
      </c>
      <c r="AG34" s="14" t="s">
        <v>513</v>
      </c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 t="s">
        <v>566</v>
      </c>
      <c r="AT34" s="14"/>
      <c r="AU34" s="11"/>
      <c r="AV34" s="14"/>
    </row>
    <row r="35" spans="1:49" s="45" customFormat="1" ht="15" x14ac:dyDescent="0.25">
      <c r="A35" s="200">
        <v>46210</v>
      </c>
      <c r="B35" s="109">
        <v>46241</v>
      </c>
      <c r="C35" s="111" t="s">
        <v>49</v>
      </c>
      <c r="D35" s="42" t="s">
        <v>299</v>
      </c>
      <c r="E35" s="112"/>
      <c r="F35" s="71">
        <v>3973623</v>
      </c>
      <c r="G35" s="111" t="s">
        <v>50</v>
      </c>
      <c r="H35" s="31">
        <v>20101973922</v>
      </c>
      <c r="I35" s="139" t="str">
        <f>IF(H35="","",VLOOKUP(H35,[1]ENTIDAD!$B$2:$C$605,2,0))</f>
        <v>ASOCIACION AUTOMOTRIZ DEL PERU</v>
      </c>
      <c r="J35" s="116"/>
      <c r="K35" s="116"/>
      <c r="L35" s="116"/>
      <c r="M35" s="116"/>
      <c r="N35" s="116"/>
      <c r="O35" s="116"/>
      <c r="P35" s="11">
        <v>0</v>
      </c>
      <c r="Q35" s="116"/>
      <c r="R35" s="116">
        <v>66.8</v>
      </c>
      <c r="S35" s="11">
        <v>66.8</v>
      </c>
      <c r="T35" s="112"/>
      <c r="U35" s="112"/>
      <c r="V35" s="109"/>
      <c r="W35" s="118"/>
      <c r="X35" s="109"/>
      <c r="Y35" s="112"/>
      <c r="Z35" s="112"/>
      <c r="AA35" s="112"/>
      <c r="AB35" s="42" t="s">
        <v>224</v>
      </c>
      <c r="AC35" s="11"/>
      <c r="AD35" s="13">
        <v>46241</v>
      </c>
      <c r="AE35" s="34" t="s">
        <v>465</v>
      </c>
      <c r="AF35" s="37" t="s">
        <v>597</v>
      </c>
      <c r="AG35" s="14" t="s">
        <v>513</v>
      </c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 t="s">
        <v>566</v>
      </c>
      <c r="AT35" s="112"/>
      <c r="AU35" s="116"/>
      <c r="AV35" s="112"/>
      <c r="AW35" s="121"/>
    </row>
    <row r="36" spans="1:49" s="121" customFormat="1" ht="15" x14ac:dyDescent="0.25">
      <c r="A36" s="200">
        <v>46210</v>
      </c>
      <c r="B36" s="109">
        <v>46241</v>
      </c>
      <c r="C36" s="111" t="s">
        <v>49</v>
      </c>
      <c r="D36" s="42" t="s">
        <v>299</v>
      </c>
      <c r="E36" s="112"/>
      <c r="F36" s="71">
        <v>3973622</v>
      </c>
      <c r="G36" s="111" t="s">
        <v>50</v>
      </c>
      <c r="H36" s="31">
        <v>20101973922</v>
      </c>
      <c r="I36" s="139" t="str">
        <f>IF(H36="","",VLOOKUP(H36,[1]ENTIDAD!$B$2:$C$605,2,0))</f>
        <v>ASOCIACION AUTOMOTRIZ DEL PERU</v>
      </c>
      <c r="J36" s="116"/>
      <c r="K36" s="116"/>
      <c r="L36" s="116"/>
      <c r="M36" s="116"/>
      <c r="N36" s="116"/>
      <c r="O36" s="116"/>
      <c r="P36" s="11">
        <v>0</v>
      </c>
      <c r="Q36" s="116"/>
      <c r="R36" s="116">
        <v>66.8</v>
      </c>
      <c r="S36" s="11">
        <v>66.8</v>
      </c>
      <c r="T36" s="112"/>
      <c r="U36" s="112"/>
      <c r="V36" s="109"/>
      <c r="W36" s="118"/>
      <c r="X36" s="109"/>
      <c r="Y36" s="112"/>
      <c r="Z36" s="112"/>
      <c r="AA36" s="112"/>
      <c r="AB36" s="42" t="s">
        <v>224</v>
      </c>
      <c r="AC36" s="11"/>
      <c r="AD36" s="13">
        <v>46241</v>
      </c>
      <c r="AE36" s="34" t="s">
        <v>465</v>
      </c>
      <c r="AF36" s="37" t="s">
        <v>597</v>
      </c>
      <c r="AG36" s="14" t="s">
        <v>513</v>
      </c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 t="s">
        <v>566</v>
      </c>
      <c r="AT36" s="112"/>
      <c r="AU36" s="116"/>
      <c r="AV36" s="112"/>
    </row>
    <row r="37" spans="1:49" s="121" customFormat="1" ht="15" x14ac:dyDescent="0.25">
      <c r="A37" s="200">
        <v>46210</v>
      </c>
      <c r="B37" s="109">
        <v>46241</v>
      </c>
      <c r="C37" s="111" t="s">
        <v>49</v>
      </c>
      <c r="D37" s="42" t="s">
        <v>299</v>
      </c>
      <c r="E37" s="112"/>
      <c r="F37" s="71">
        <v>3973621</v>
      </c>
      <c r="G37" s="111" t="s">
        <v>50</v>
      </c>
      <c r="H37" s="31">
        <v>20101973922</v>
      </c>
      <c r="I37" s="139" t="str">
        <f>IF(H37="","",VLOOKUP(H37,[1]ENTIDAD!$B$2:$C$605,2,0))</f>
        <v>ASOCIACION AUTOMOTRIZ DEL PERU</v>
      </c>
      <c r="J37" s="116"/>
      <c r="K37" s="116"/>
      <c r="L37" s="116"/>
      <c r="M37" s="116"/>
      <c r="N37" s="116"/>
      <c r="O37" s="116"/>
      <c r="P37" s="11">
        <v>0</v>
      </c>
      <c r="Q37" s="116"/>
      <c r="R37" s="116">
        <v>66.8</v>
      </c>
      <c r="S37" s="11">
        <v>66.8</v>
      </c>
      <c r="T37" s="112"/>
      <c r="U37" s="112"/>
      <c r="V37" s="109"/>
      <c r="W37" s="118"/>
      <c r="X37" s="109"/>
      <c r="Y37" s="112"/>
      <c r="Z37" s="112"/>
      <c r="AA37" s="112"/>
      <c r="AB37" s="42" t="s">
        <v>224</v>
      </c>
      <c r="AC37" s="11"/>
      <c r="AD37" s="13">
        <v>46241</v>
      </c>
      <c r="AE37" s="34" t="s">
        <v>465</v>
      </c>
      <c r="AF37" s="37" t="s">
        <v>597</v>
      </c>
      <c r="AG37" s="14" t="s">
        <v>513</v>
      </c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 t="s">
        <v>566</v>
      </c>
      <c r="AT37" s="112"/>
      <c r="AU37" s="116"/>
      <c r="AV37" s="112"/>
    </row>
    <row r="38" spans="1:49" s="121" customFormat="1" ht="15" x14ac:dyDescent="0.25">
      <c r="A38" s="200">
        <v>46210</v>
      </c>
      <c r="B38" s="109">
        <v>46241</v>
      </c>
      <c r="C38" s="111" t="s">
        <v>49</v>
      </c>
      <c r="D38" s="42" t="s">
        <v>299</v>
      </c>
      <c r="E38" s="112"/>
      <c r="F38" s="71">
        <v>3973620</v>
      </c>
      <c r="G38" s="111" t="s">
        <v>50</v>
      </c>
      <c r="H38" s="31">
        <v>20101973922</v>
      </c>
      <c r="I38" s="139" t="str">
        <f>IF(H38="","",VLOOKUP(H38,[1]ENTIDAD!$B$2:$C$605,2,0))</f>
        <v>ASOCIACION AUTOMOTRIZ DEL PERU</v>
      </c>
      <c r="J38" s="116"/>
      <c r="K38" s="116"/>
      <c r="L38" s="116"/>
      <c r="M38" s="116"/>
      <c r="N38" s="116"/>
      <c r="O38" s="116"/>
      <c r="P38" s="11">
        <v>0</v>
      </c>
      <c r="Q38" s="116"/>
      <c r="R38" s="116">
        <v>66.8</v>
      </c>
      <c r="S38" s="11">
        <v>66.8</v>
      </c>
      <c r="T38" s="112"/>
      <c r="U38" s="112"/>
      <c r="V38" s="109"/>
      <c r="W38" s="118"/>
      <c r="X38" s="109"/>
      <c r="Y38" s="112"/>
      <c r="Z38" s="112"/>
      <c r="AA38" s="112"/>
      <c r="AB38" s="42" t="s">
        <v>224</v>
      </c>
      <c r="AC38" s="11"/>
      <c r="AD38" s="13">
        <v>46241</v>
      </c>
      <c r="AE38" s="34" t="s">
        <v>465</v>
      </c>
      <c r="AF38" s="37" t="s">
        <v>597</v>
      </c>
      <c r="AG38" s="14" t="s">
        <v>513</v>
      </c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 t="s">
        <v>566</v>
      </c>
      <c r="AT38" s="112"/>
      <c r="AU38" s="116"/>
      <c r="AV38" s="112"/>
    </row>
    <row r="39" spans="1:49" s="45" customFormat="1" ht="15" x14ac:dyDescent="0.25">
      <c r="A39" s="200">
        <v>46210</v>
      </c>
      <c r="B39" s="109">
        <v>46241</v>
      </c>
      <c r="C39" s="111" t="s">
        <v>49</v>
      </c>
      <c r="D39" s="42" t="s">
        <v>299</v>
      </c>
      <c r="E39" s="112"/>
      <c r="F39" s="71">
        <v>3973619</v>
      </c>
      <c r="G39" s="111" t="s">
        <v>50</v>
      </c>
      <c r="H39" s="31">
        <v>20101973922</v>
      </c>
      <c r="I39" s="139" t="str">
        <f>IF(H39="","",VLOOKUP(H39,[1]ENTIDAD!$B$2:$C$605,2,0))</f>
        <v>ASOCIACION AUTOMOTRIZ DEL PERU</v>
      </c>
      <c r="J39" s="116"/>
      <c r="K39" s="116"/>
      <c r="L39" s="116"/>
      <c r="M39" s="116"/>
      <c r="N39" s="116"/>
      <c r="O39" s="116"/>
      <c r="P39" s="11">
        <v>0</v>
      </c>
      <c r="Q39" s="116"/>
      <c r="R39" s="116">
        <v>66.8</v>
      </c>
      <c r="S39" s="11">
        <v>66.8</v>
      </c>
      <c r="T39" s="112"/>
      <c r="U39" s="112"/>
      <c r="V39" s="109"/>
      <c r="W39" s="118"/>
      <c r="X39" s="109"/>
      <c r="Y39" s="112"/>
      <c r="Z39" s="112"/>
      <c r="AA39" s="112"/>
      <c r="AB39" s="42" t="s">
        <v>224</v>
      </c>
      <c r="AC39" s="11"/>
      <c r="AD39" s="13">
        <v>46241</v>
      </c>
      <c r="AE39" s="34" t="s">
        <v>465</v>
      </c>
      <c r="AF39" s="37" t="s">
        <v>597</v>
      </c>
      <c r="AG39" s="14" t="s">
        <v>513</v>
      </c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 t="s">
        <v>566</v>
      </c>
      <c r="AT39" s="112"/>
      <c r="AU39" s="116"/>
      <c r="AV39" s="112"/>
      <c r="AW39" s="121"/>
    </row>
    <row r="40" spans="1:49" s="45" customFormat="1" ht="15" x14ac:dyDescent="0.25">
      <c r="A40" s="199">
        <v>46210</v>
      </c>
      <c r="B40" s="109">
        <v>46241</v>
      </c>
      <c r="C40" s="42" t="s">
        <v>49</v>
      </c>
      <c r="D40" s="42" t="s">
        <v>299</v>
      </c>
      <c r="E40" s="14"/>
      <c r="F40" s="71">
        <v>3973618</v>
      </c>
      <c r="G40" s="42" t="s">
        <v>50</v>
      </c>
      <c r="H40" s="31">
        <v>20101973922</v>
      </c>
      <c r="I40" s="138" t="str">
        <f>IF(H40="","",VLOOKUP(H40,[1]ENTIDAD!$B$2:$C$605,2,0))</f>
        <v>ASOCIACION AUTOMOTRIZ DEL PERU</v>
      </c>
      <c r="J40" s="11"/>
      <c r="K40" s="11"/>
      <c r="L40" s="11"/>
      <c r="M40" s="11"/>
      <c r="N40" s="116"/>
      <c r="O40" s="116"/>
      <c r="P40" s="11">
        <v>0</v>
      </c>
      <c r="Q40" s="11"/>
      <c r="R40" s="11">
        <v>66.8</v>
      </c>
      <c r="S40" s="11">
        <v>66.8</v>
      </c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13">
        <v>46241</v>
      </c>
      <c r="AE40" s="34" t="s">
        <v>465</v>
      </c>
      <c r="AF40" s="37" t="s">
        <v>597</v>
      </c>
      <c r="AG40" s="14" t="s">
        <v>513</v>
      </c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 t="s">
        <v>566</v>
      </c>
      <c r="AT40" s="14"/>
      <c r="AU40" s="11"/>
      <c r="AV40" s="14"/>
    </row>
    <row r="41" spans="1:49" s="45" customFormat="1" ht="15" x14ac:dyDescent="0.25">
      <c r="A41" s="199">
        <v>46210</v>
      </c>
      <c r="B41" s="109">
        <v>46241</v>
      </c>
      <c r="C41" s="42" t="s">
        <v>49</v>
      </c>
      <c r="D41" s="42" t="s">
        <v>299</v>
      </c>
      <c r="E41" s="14"/>
      <c r="F41" s="71">
        <v>3973617</v>
      </c>
      <c r="G41" s="42" t="s">
        <v>50</v>
      </c>
      <c r="H41" s="31">
        <v>20101973922</v>
      </c>
      <c r="I41" s="138" t="str">
        <f>IF(H41="","",VLOOKUP(H41,[1]ENTIDAD!$B$2:$C$605,2,0))</f>
        <v>ASOCIACION AUTOMOTRIZ DEL PERU</v>
      </c>
      <c r="J41" s="11"/>
      <c r="K41" s="11"/>
      <c r="L41" s="11"/>
      <c r="M41" s="11"/>
      <c r="N41" s="116"/>
      <c r="O41" s="116"/>
      <c r="P41" s="11">
        <v>0</v>
      </c>
      <c r="Q41" s="11"/>
      <c r="R41" s="11">
        <v>66.8</v>
      </c>
      <c r="S41" s="11">
        <v>66.8</v>
      </c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13">
        <v>46241</v>
      </c>
      <c r="AE41" s="34" t="s">
        <v>465</v>
      </c>
      <c r="AF41" s="37" t="s">
        <v>597</v>
      </c>
      <c r="AG41" s="14" t="s">
        <v>513</v>
      </c>
      <c r="AH41" s="14" t="s">
        <v>225</v>
      </c>
      <c r="AI41" s="14"/>
      <c r="AJ41" s="14"/>
      <c r="AK41" s="16"/>
      <c r="AL41" s="11"/>
      <c r="AM41" s="11"/>
      <c r="AN41" s="14"/>
      <c r="AO41" s="14"/>
      <c r="AP41" s="13"/>
      <c r="AQ41" s="14"/>
      <c r="AR41" s="11">
        <v>18</v>
      </c>
      <c r="AS41" s="14" t="s">
        <v>566</v>
      </c>
      <c r="AT41" s="14"/>
      <c r="AU41" s="11"/>
      <c r="AV41" s="14"/>
    </row>
    <row r="42" spans="1:49" s="45" customFormat="1" ht="15" x14ac:dyDescent="0.25">
      <c r="A42" s="199">
        <v>46210</v>
      </c>
      <c r="B42" s="109">
        <v>46241</v>
      </c>
      <c r="C42" s="42" t="s">
        <v>49</v>
      </c>
      <c r="D42" s="42" t="s">
        <v>299</v>
      </c>
      <c r="E42" s="14"/>
      <c r="F42" s="71">
        <v>3973616</v>
      </c>
      <c r="G42" s="42" t="s">
        <v>50</v>
      </c>
      <c r="H42" s="31">
        <v>20101973922</v>
      </c>
      <c r="I42" s="138" t="str">
        <f>IF(H42="","",VLOOKUP(H42,[1]ENTIDAD!$B$2:$C$605,2,0))</f>
        <v>ASOCIACION AUTOMOTRIZ DEL PERU</v>
      </c>
      <c r="J42" s="11"/>
      <c r="K42" s="11"/>
      <c r="L42" s="11"/>
      <c r="M42" s="11"/>
      <c r="N42" s="116"/>
      <c r="O42" s="116"/>
      <c r="P42" s="11">
        <v>0</v>
      </c>
      <c r="Q42" s="11"/>
      <c r="R42" s="11">
        <v>66.8</v>
      </c>
      <c r="S42" s="11">
        <v>66.8</v>
      </c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13">
        <v>46241</v>
      </c>
      <c r="AE42" s="34" t="s">
        <v>465</v>
      </c>
      <c r="AF42" s="37" t="s">
        <v>597</v>
      </c>
      <c r="AG42" s="14" t="s">
        <v>513</v>
      </c>
      <c r="AH42" s="14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 t="s">
        <v>566</v>
      </c>
      <c r="AT42" s="14"/>
      <c r="AU42" s="11"/>
      <c r="AV42" s="14"/>
    </row>
    <row r="43" spans="1:49" s="45" customFormat="1" ht="15" x14ac:dyDescent="0.25">
      <c r="A43" s="199">
        <v>46210</v>
      </c>
      <c r="B43" s="109">
        <v>46241</v>
      </c>
      <c r="C43" s="42" t="s">
        <v>49</v>
      </c>
      <c r="D43" s="42" t="s">
        <v>299</v>
      </c>
      <c r="E43" s="14"/>
      <c r="F43" s="71">
        <v>3973615</v>
      </c>
      <c r="G43" s="42" t="s">
        <v>50</v>
      </c>
      <c r="H43" s="31">
        <v>20101973922</v>
      </c>
      <c r="I43" s="138" t="str">
        <f>IF(H43="","",VLOOKUP(H43,[1]ENTIDAD!$B$2:$C$605,2,0))</f>
        <v>ASOCIACION AUTOMOTRIZ DEL PERU</v>
      </c>
      <c r="J43" s="11"/>
      <c r="K43" s="11"/>
      <c r="L43" s="11"/>
      <c r="M43" s="11"/>
      <c r="N43" s="116"/>
      <c r="O43" s="116"/>
      <c r="P43" s="11">
        <v>0</v>
      </c>
      <c r="Q43" s="11"/>
      <c r="R43" s="11">
        <v>66.8</v>
      </c>
      <c r="S43" s="11">
        <v>66.8</v>
      </c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13">
        <v>46241</v>
      </c>
      <c r="AE43" s="34" t="s">
        <v>465</v>
      </c>
      <c r="AF43" s="37" t="s">
        <v>597</v>
      </c>
      <c r="AG43" s="14" t="s">
        <v>513</v>
      </c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 t="s">
        <v>566</v>
      </c>
      <c r="AT43" s="14"/>
      <c r="AU43" s="11"/>
      <c r="AV43" s="14"/>
    </row>
    <row r="44" spans="1:49" s="45" customFormat="1" ht="15" x14ac:dyDescent="0.25">
      <c r="A44" s="199">
        <v>46210</v>
      </c>
      <c r="B44" s="109">
        <v>46241</v>
      </c>
      <c r="C44" s="42" t="s">
        <v>49</v>
      </c>
      <c r="D44" s="42" t="s">
        <v>299</v>
      </c>
      <c r="E44" s="14"/>
      <c r="F44" s="71">
        <v>3973614</v>
      </c>
      <c r="G44" s="42" t="s">
        <v>50</v>
      </c>
      <c r="H44" s="31">
        <v>20101973922</v>
      </c>
      <c r="I44" s="138" t="str">
        <f>IF(H44="","",VLOOKUP(H44,[1]ENTIDAD!$B$2:$C$605,2,0))</f>
        <v>ASOCIACION AUTOMOTRIZ DEL PERU</v>
      </c>
      <c r="J44" s="11"/>
      <c r="K44" s="11"/>
      <c r="L44" s="11"/>
      <c r="M44" s="11"/>
      <c r="N44" s="116"/>
      <c r="O44" s="116"/>
      <c r="P44" s="11">
        <v>0</v>
      </c>
      <c r="Q44" s="11"/>
      <c r="R44" s="11">
        <v>66.8</v>
      </c>
      <c r="S44" s="11">
        <v>66.8</v>
      </c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13">
        <v>46241</v>
      </c>
      <c r="AE44" s="34" t="s">
        <v>465</v>
      </c>
      <c r="AF44" s="37" t="s">
        <v>597</v>
      </c>
      <c r="AG44" s="14" t="s">
        <v>513</v>
      </c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 t="s">
        <v>566</v>
      </c>
      <c r="AT44" s="14"/>
      <c r="AU44" s="11"/>
      <c r="AV44" s="14"/>
    </row>
    <row r="45" spans="1:49" s="45" customFormat="1" ht="15" x14ac:dyDescent="0.25">
      <c r="A45" s="199">
        <v>46210</v>
      </c>
      <c r="B45" s="126">
        <v>46241</v>
      </c>
      <c r="C45" s="42" t="s">
        <v>49</v>
      </c>
      <c r="D45" s="42" t="s">
        <v>299</v>
      </c>
      <c r="E45" s="14"/>
      <c r="F45" s="71">
        <v>3973613</v>
      </c>
      <c r="G45" s="42" t="s">
        <v>50</v>
      </c>
      <c r="H45" s="31">
        <v>20101973922</v>
      </c>
      <c r="I45" s="138" t="str">
        <f>IF(H45="","",VLOOKUP(H45,[1]ENTIDAD!$B$2:$C$605,2,0))</f>
        <v>ASOCIACION AUTOMOTRIZ DEL PERU</v>
      </c>
      <c r="J45" s="11"/>
      <c r="K45" s="11"/>
      <c r="L45" s="11"/>
      <c r="M45" s="11"/>
      <c r="N45" s="116"/>
      <c r="O45" s="116"/>
      <c r="P45" s="11">
        <v>0</v>
      </c>
      <c r="Q45" s="11"/>
      <c r="R45" s="11">
        <v>66.8</v>
      </c>
      <c r="S45" s="11">
        <v>66.8</v>
      </c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33">
        <v>46241</v>
      </c>
      <c r="AE45" s="34" t="s">
        <v>465</v>
      </c>
      <c r="AF45" s="37" t="s">
        <v>597</v>
      </c>
      <c r="AG45" s="14" t="s">
        <v>513</v>
      </c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 t="s">
        <v>566</v>
      </c>
      <c r="AT45" s="14"/>
      <c r="AU45" s="11"/>
      <c r="AV45" s="14"/>
    </row>
    <row r="46" spans="1:49" s="45" customFormat="1" ht="15" x14ac:dyDescent="0.25">
      <c r="A46" s="199">
        <v>46210</v>
      </c>
      <c r="B46" s="126">
        <v>46241</v>
      </c>
      <c r="C46" s="42" t="s">
        <v>49</v>
      </c>
      <c r="D46" s="42" t="s">
        <v>299</v>
      </c>
      <c r="E46" s="14"/>
      <c r="F46" s="71">
        <v>3973612</v>
      </c>
      <c r="G46" s="42" t="s">
        <v>50</v>
      </c>
      <c r="H46" s="31">
        <v>20101973922</v>
      </c>
      <c r="I46" s="138" t="str">
        <f>IF(H46="","",VLOOKUP(H46,[1]ENTIDAD!$B$2:$C$605,2,0))</f>
        <v>ASOCIACION AUTOMOTRIZ DEL PERU</v>
      </c>
      <c r="J46" s="11"/>
      <c r="K46" s="11"/>
      <c r="L46" s="11"/>
      <c r="M46" s="11"/>
      <c r="N46" s="116"/>
      <c r="O46" s="116"/>
      <c r="P46" s="11">
        <v>0</v>
      </c>
      <c r="Q46" s="11"/>
      <c r="R46" s="11">
        <v>66.8</v>
      </c>
      <c r="S46" s="11">
        <v>66.8</v>
      </c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33">
        <v>46241</v>
      </c>
      <c r="AE46" s="34" t="s">
        <v>465</v>
      </c>
      <c r="AF46" s="37" t="s">
        <v>597</v>
      </c>
      <c r="AG46" s="14" t="s">
        <v>513</v>
      </c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 t="s">
        <v>566</v>
      </c>
      <c r="AT46" s="14"/>
      <c r="AU46" s="11"/>
      <c r="AV46" s="14"/>
    </row>
    <row r="47" spans="1:49" s="45" customFormat="1" ht="15" x14ac:dyDescent="0.25">
      <c r="A47" s="199">
        <v>46210</v>
      </c>
      <c r="B47" s="136">
        <v>46241</v>
      </c>
      <c r="C47" s="42" t="s">
        <v>49</v>
      </c>
      <c r="D47" s="42" t="s">
        <v>299</v>
      </c>
      <c r="E47" s="14"/>
      <c r="F47" s="71">
        <v>3973611</v>
      </c>
      <c r="G47" s="42" t="s">
        <v>50</v>
      </c>
      <c r="H47" s="31">
        <v>20101973922</v>
      </c>
      <c r="I47" s="138" t="str">
        <f>IF(H47="","",VLOOKUP(H47,[1]ENTIDAD!$B$2:$C$605,2,0))</f>
        <v>ASOCIACION AUTOMOTRIZ DEL PERU</v>
      </c>
      <c r="J47" s="11"/>
      <c r="K47" s="11"/>
      <c r="L47" s="11"/>
      <c r="M47" s="11"/>
      <c r="N47" s="116"/>
      <c r="O47" s="116"/>
      <c r="P47" s="11">
        <v>0</v>
      </c>
      <c r="Q47" s="11"/>
      <c r="R47" s="11">
        <v>66.8</v>
      </c>
      <c r="S47" s="11">
        <v>66.8</v>
      </c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72">
        <v>46241</v>
      </c>
      <c r="AE47" s="34" t="s">
        <v>465</v>
      </c>
      <c r="AF47" s="37" t="s">
        <v>597</v>
      </c>
      <c r="AG47" s="14" t="s">
        <v>513</v>
      </c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 t="s">
        <v>566</v>
      </c>
      <c r="AT47" s="14"/>
      <c r="AU47" s="11"/>
      <c r="AV47" s="14"/>
    </row>
    <row r="48" spans="1:49" s="45" customFormat="1" ht="15" x14ac:dyDescent="0.25">
      <c r="A48" s="200">
        <v>46210</v>
      </c>
      <c r="B48" s="109">
        <v>46241</v>
      </c>
      <c r="C48" s="111" t="s">
        <v>49</v>
      </c>
      <c r="D48" s="42" t="s">
        <v>299</v>
      </c>
      <c r="E48" s="112"/>
      <c r="F48" s="71">
        <v>3973610</v>
      </c>
      <c r="G48" s="111" t="s">
        <v>50</v>
      </c>
      <c r="H48" s="31">
        <v>20101973922</v>
      </c>
      <c r="I48" s="139" t="str">
        <f>IF(H48="","",VLOOKUP(H48,[1]ENTIDAD!$B$2:$C$605,2,0))</f>
        <v>ASOCIACION AUTOMOTRIZ DEL PERU</v>
      </c>
      <c r="J48" s="116"/>
      <c r="K48" s="116"/>
      <c r="L48" s="116"/>
      <c r="M48" s="116"/>
      <c r="N48" s="116"/>
      <c r="O48" s="116"/>
      <c r="P48" s="11">
        <v>0</v>
      </c>
      <c r="Q48" s="116"/>
      <c r="R48" s="116">
        <v>66.8</v>
      </c>
      <c r="S48" s="11">
        <v>66.8</v>
      </c>
      <c r="T48" s="112"/>
      <c r="U48" s="112"/>
      <c r="V48" s="109"/>
      <c r="W48" s="118"/>
      <c r="X48" s="109"/>
      <c r="Y48" s="112"/>
      <c r="Z48" s="112"/>
      <c r="AA48" s="112"/>
      <c r="AB48" s="42" t="s">
        <v>224</v>
      </c>
      <c r="AC48" s="11"/>
      <c r="AD48" s="13">
        <v>46241</v>
      </c>
      <c r="AE48" s="34" t="s">
        <v>465</v>
      </c>
      <c r="AF48" s="37" t="s">
        <v>597</v>
      </c>
      <c r="AG48" s="14" t="s">
        <v>513</v>
      </c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 t="s">
        <v>566</v>
      </c>
      <c r="AT48" s="112"/>
      <c r="AU48" s="116"/>
      <c r="AV48" s="112"/>
      <c r="AW48" s="121"/>
    </row>
    <row r="49" spans="1:49" s="47" customFormat="1" ht="15" x14ac:dyDescent="0.25">
      <c r="A49" s="200">
        <v>46210</v>
      </c>
      <c r="B49" s="109">
        <v>46241</v>
      </c>
      <c r="C49" s="111" t="s">
        <v>49</v>
      </c>
      <c r="D49" s="42" t="s">
        <v>299</v>
      </c>
      <c r="E49" s="112"/>
      <c r="F49" s="71">
        <v>3973609</v>
      </c>
      <c r="G49" s="111" t="s">
        <v>50</v>
      </c>
      <c r="H49" s="31">
        <v>20101973922</v>
      </c>
      <c r="I49" s="139" t="str">
        <f>IF(H49="","",VLOOKUP(H49,[1]ENTIDAD!$B$2:$C$605,2,0))</f>
        <v>ASOCIACION AUTOMOTRIZ DEL PERU</v>
      </c>
      <c r="J49" s="116"/>
      <c r="K49" s="116"/>
      <c r="L49" s="116"/>
      <c r="M49" s="116"/>
      <c r="N49" s="116"/>
      <c r="O49" s="116"/>
      <c r="P49" s="11">
        <v>0</v>
      </c>
      <c r="Q49" s="116"/>
      <c r="R49" s="116">
        <v>66.8</v>
      </c>
      <c r="S49" s="11">
        <v>66.8</v>
      </c>
      <c r="T49" s="112"/>
      <c r="U49" s="112"/>
      <c r="V49" s="109"/>
      <c r="W49" s="118"/>
      <c r="X49" s="109"/>
      <c r="Y49" s="112"/>
      <c r="Z49" s="112"/>
      <c r="AA49" s="112"/>
      <c r="AB49" s="42" t="s">
        <v>224</v>
      </c>
      <c r="AC49" s="11"/>
      <c r="AD49" s="13">
        <v>46241</v>
      </c>
      <c r="AE49" s="34" t="s">
        <v>465</v>
      </c>
      <c r="AF49" s="37" t="s">
        <v>597</v>
      </c>
      <c r="AG49" s="14" t="s">
        <v>513</v>
      </c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 t="s">
        <v>566</v>
      </c>
      <c r="AT49" s="112"/>
      <c r="AU49" s="116"/>
      <c r="AV49" s="112"/>
      <c r="AW49" s="121"/>
    </row>
    <row r="50" spans="1:49" s="47" customFormat="1" ht="15" x14ac:dyDescent="0.25">
      <c r="A50" s="200">
        <v>46210</v>
      </c>
      <c r="B50" s="109">
        <v>46241</v>
      </c>
      <c r="C50" s="111" t="s">
        <v>49</v>
      </c>
      <c r="D50" s="42" t="s">
        <v>299</v>
      </c>
      <c r="E50" s="112"/>
      <c r="F50" s="71">
        <v>3973608</v>
      </c>
      <c r="G50" s="111" t="s">
        <v>50</v>
      </c>
      <c r="H50" s="31">
        <v>20101973922</v>
      </c>
      <c r="I50" s="139" t="str">
        <f>IF(H50="","",VLOOKUP(H50,[1]ENTIDAD!$B$2:$C$605,2,0))</f>
        <v>ASOCIACION AUTOMOTRIZ DEL PERU</v>
      </c>
      <c r="J50" s="116"/>
      <c r="K50" s="116"/>
      <c r="L50" s="116"/>
      <c r="M50" s="116"/>
      <c r="N50" s="116"/>
      <c r="O50" s="116"/>
      <c r="P50" s="11">
        <v>0</v>
      </c>
      <c r="Q50" s="116"/>
      <c r="R50" s="116">
        <v>66.8</v>
      </c>
      <c r="S50" s="11">
        <v>66.8</v>
      </c>
      <c r="T50" s="112"/>
      <c r="U50" s="112"/>
      <c r="V50" s="109"/>
      <c r="W50" s="118"/>
      <c r="X50" s="109"/>
      <c r="Y50" s="112"/>
      <c r="Z50" s="112"/>
      <c r="AA50" s="112"/>
      <c r="AB50" s="42" t="s">
        <v>224</v>
      </c>
      <c r="AC50" s="11"/>
      <c r="AD50" s="13">
        <v>46241</v>
      </c>
      <c r="AE50" s="34" t="s">
        <v>465</v>
      </c>
      <c r="AF50" s="37" t="s">
        <v>597</v>
      </c>
      <c r="AG50" s="14" t="s">
        <v>513</v>
      </c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 t="s">
        <v>566</v>
      </c>
      <c r="AT50" s="112"/>
      <c r="AU50" s="116"/>
      <c r="AV50" s="112"/>
      <c r="AW50" s="121"/>
    </row>
    <row r="51" spans="1:49" s="45" customFormat="1" ht="15" x14ac:dyDescent="0.25">
      <c r="A51" s="199">
        <v>46210</v>
      </c>
      <c r="B51" s="109">
        <v>46241</v>
      </c>
      <c r="C51" s="42" t="s">
        <v>49</v>
      </c>
      <c r="D51" s="42" t="s">
        <v>299</v>
      </c>
      <c r="E51" s="14"/>
      <c r="F51" s="71">
        <v>3973602</v>
      </c>
      <c r="G51" s="42" t="s">
        <v>50</v>
      </c>
      <c r="H51" s="31">
        <v>20101973922</v>
      </c>
      <c r="I51" s="138" t="str">
        <f>IF(H51="","",VLOOKUP(H51,[1]ENTIDAD!$B$2:$C$605,2,0))</f>
        <v>ASOCIACION AUTOMOTRIZ DEL PERU</v>
      </c>
      <c r="J51" s="11"/>
      <c r="K51" s="11"/>
      <c r="L51" s="11"/>
      <c r="M51" s="11"/>
      <c r="N51" s="116"/>
      <c r="O51" s="116"/>
      <c r="P51" s="11">
        <v>0</v>
      </c>
      <c r="Q51" s="11"/>
      <c r="R51" s="11">
        <v>66.8</v>
      </c>
      <c r="S51" s="11">
        <v>66.8</v>
      </c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13">
        <v>46241</v>
      </c>
      <c r="AE51" s="34" t="s">
        <v>465</v>
      </c>
      <c r="AF51" s="37" t="s">
        <v>597</v>
      </c>
      <c r="AG51" s="14" t="s">
        <v>513</v>
      </c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 t="s">
        <v>566</v>
      </c>
      <c r="AT51" s="14"/>
      <c r="AU51" s="11"/>
      <c r="AV51" s="14"/>
    </row>
    <row r="52" spans="1:49" s="47" customFormat="1" ht="15" x14ac:dyDescent="0.25">
      <c r="A52" s="199">
        <v>46210</v>
      </c>
      <c r="B52" s="126">
        <v>46241</v>
      </c>
      <c r="C52" s="42" t="s">
        <v>49</v>
      </c>
      <c r="D52" s="42" t="s">
        <v>299</v>
      </c>
      <c r="E52" s="14"/>
      <c r="F52" s="71">
        <v>3973601</v>
      </c>
      <c r="G52" s="42" t="s">
        <v>50</v>
      </c>
      <c r="H52" s="31">
        <v>20101973922</v>
      </c>
      <c r="I52" s="138" t="str">
        <f>IF(H52="","",VLOOKUP(H52,[1]ENTIDAD!$B$2:$C$605,2,0))</f>
        <v>ASOCIACION AUTOMOTRIZ DEL PERU</v>
      </c>
      <c r="J52" s="11"/>
      <c r="K52" s="11"/>
      <c r="L52" s="11"/>
      <c r="M52" s="11"/>
      <c r="N52" s="116"/>
      <c r="O52" s="116"/>
      <c r="P52" s="11">
        <v>0</v>
      </c>
      <c r="Q52" s="11"/>
      <c r="R52" s="11">
        <v>66.8</v>
      </c>
      <c r="S52" s="11">
        <v>66.8</v>
      </c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33">
        <v>46241</v>
      </c>
      <c r="AE52" s="34" t="s">
        <v>465</v>
      </c>
      <c r="AF52" s="37" t="s">
        <v>597</v>
      </c>
      <c r="AG52" s="14" t="s">
        <v>513</v>
      </c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 t="s">
        <v>566</v>
      </c>
      <c r="AT52" s="14"/>
      <c r="AU52" s="11"/>
      <c r="AV52" s="14"/>
      <c r="AW52" s="45"/>
    </row>
    <row r="53" spans="1:49" s="121" customFormat="1" ht="15" x14ac:dyDescent="0.25">
      <c r="A53" s="199">
        <v>46211</v>
      </c>
      <c r="B53" s="109">
        <v>46242</v>
      </c>
      <c r="C53" s="42" t="s">
        <v>49</v>
      </c>
      <c r="D53" s="42" t="s">
        <v>301</v>
      </c>
      <c r="E53" s="14"/>
      <c r="F53" s="71">
        <v>19212</v>
      </c>
      <c r="G53" s="42" t="s">
        <v>50</v>
      </c>
      <c r="H53" s="31">
        <v>20493508645</v>
      </c>
      <c r="I53" s="138" t="str">
        <f>IF(H53="","",VLOOKUP(H53,[1]ENTIDAD!$B$2:$C$605,2,0))</f>
        <v>HONDA SELVA DEL PERU S.A.</v>
      </c>
      <c r="J53" s="11"/>
      <c r="K53" s="11"/>
      <c r="L53" s="11"/>
      <c r="M53" s="11"/>
      <c r="N53" s="116">
        <f t="shared" ref="N53:N59" si="2">(S53-P53)/1.18</f>
        <v>3.4830508473347992E-3</v>
      </c>
      <c r="O53" s="116">
        <f t="shared" ref="O53:O67" si="3">N53*0.18</f>
        <v>6.269491525202638E-4</v>
      </c>
      <c r="P53" s="11">
        <v>10396.73</v>
      </c>
      <c r="Q53" s="11"/>
      <c r="R53" s="11"/>
      <c r="S53" s="11">
        <f>W53*AC53</f>
        <v>10396.734109999999</v>
      </c>
      <c r="T53" s="14"/>
      <c r="U53" s="14"/>
      <c r="V53" s="13"/>
      <c r="W53" s="15">
        <v>3.4089999999999998</v>
      </c>
      <c r="X53" s="13"/>
      <c r="Y53" s="14"/>
      <c r="Z53" s="14"/>
      <c r="AA53" s="14"/>
      <c r="AB53" s="42" t="s">
        <v>383</v>
      </c>
      <c r="AC53" s="11">
        <v>3049.79</v>
      </c>
      <c r="AD53" s="13">
        <v>46242</v>
      </c>
      <c r="AE53" s="34" t="s">
        <v>465</v>
      </c>
      <c r="AF53" s="19" t="s">
        <v>532</v>
      </c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 t="s">
        <v>201</v>
      </c>
      <c r="AT53" s="14"/>
      <c r="AU53" s="11"/>
      <c r="AV53" s="14"/>
      <c r="AW53" s="45"/>
    </row>
    <row r="54" spans="1:49" s="45" customFormat="1" ht="15" x14ac:dyDescent="0.25">
      <c r="A54" s="199">
        <v>46211</v>
      </c>
      <c r="B54" s="72">
        <v>46242</v>
      </c>
      <c r="C54" s="42" t="s">
        <v>49</v>
      </c>
      <c r="D54" s="42" t="s">
        <v>6542</v>
      </c>
      <c r="E54" s="14"/>
      <c r="F54" s="71">
        <v>1421353</v>
      </c>
      <c r="G54" s="42" t="s">
        <v>50</v>
      </c>
      <c r="H54" s="184">
        <v>20100047218</v>
      </c>
      <c r="I54" s="138" t="str">
        <f>IF(H54="","",VLOOKUP(H54,[1]ENTIDAD!$B$2:$C$605,2,0))</f>
        <v>BANCO DE CREDITO DEL PERU</v>
      </c>
      <c r="J54" s="11"/>
      <c r="K54" s="11"/>
      <c r="L54" s="11"/>
      <c r="M54" s="11"/>
      <c r="N54" s="116">
        <f t="shared" si="2"/>
        <v>0</v>
      </c>
      <c r="O54" s="116">
        <f t="shared" si="3"/>
        <v>0</v>
      </c>
      <c r="P54" s="11">
        <v>391</v>
      </c>
      <c r="Q54" s="11"/>
      <c r="R54" s="11"/>
      <c r="S54" s="11">
        <v>391</v>
      </c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33">
        <v>46242</v>
      </c>
      <c r="AE54" s="14" t="s">
        <v>465</v>
      </c>
      <c r="AF54" s="19" t="s">
        <v>494</v>
      </c>
      <c r="AG54" s="14"/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 t="s">
        <v>6532</v>
      </c>
      <c r="AT54" s="14"/>
      <c r="AU54" s="11"/>
      <c r="AV54" s="14"/>
    </row>
    <row r="55" spans="1:49" s="45" customFormat="1" ht="15" x14ac:dyDescent="0.25">
      <c r="A55" s="199">
        <v>46212</v>
      </c>
      <c r="B55" s="126">
        <v>46212</v>
      </c>
      <c r="C55" s="42" t="s">
        <v>49</v>
      </c>
      <c r="D55" s="42" t="s">
        <v>6497</v>
      </c>
      <c r="E55" s="14"/>
      <c r="F55" s="71">
        <v>6</v>
      </c>
      <c r="G55" s="42" t="s">
        <v>50</v>
      </c>
      <c r="H55" s="31">
        <v>20611526572</v>
      </c>
      <c r="I55" s="138" t="str">
        <f>IF(H55="","",VLOOKUP(H55,[1]ENTIDAD!$B$2:$C$605,2,0))</f>
        <v>GRUPO SUKKIE E.I.R.L.</v>
      </c>
      <c r="J55" s="11"/>
      <c r="K55" s="11"/>
      <c r="L55" s="11"/>
      <c r="M55" s="11"/>
      <c r="N55" s="116">
        <f t="shared" si="2"/>
        <v>0</v>
      </c>
      <c r="O55" s="116">
        <f t="shared" si="3"/>
        <v>0</v>
      </c>
      <c r="P55" s="11">
        <v>73.400000000000006</v>
      </c>
      <c r="Q55" s="11"/>
      <c r="R55" s="11"/>
      <c r="S55" s="11">
        <v>73.400000000000006</v>
      </c>
      <c r="T55" s="14"/>
      <c r="U55" s="14"/>
      <c r="V55" s="13"/>
      <c r="W55" s="15"/>
      <c r="X55" s="13"/>
      <c r="Y55" s="14"/>
      <c r="Z55" s="14"/>
      <c r="AA55" s="14"/>
      <c r="AB55" s="42" t="s">
        <v>224</v>
      </c>
      <c r="AC55" s="11"/>
      <c r="AD55" s="33">
        <v>46212</v>
      </c>
      <c r="AE55" s="14" t="s">
        <v>262</v>
      </c>
      <c r="AF55" s="19" t="s">
        <v>515</v>
      </c>
      <c r="AG55" s="14"/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 t="s">
        <v>670</v>
      </c>
      <c r="AT55" s="14"/>
      <c r="AU55" s="11"/>
      <c r="AV55" s="14"/>
    </row>
    <row r="56" spans="1:49" s="45" customFormat="1" ht="15" x14ac:dyDescent="0.25">
      <c r="A56" s="199">
        <v>46212</v>
      </c>
      <c r="B56" s="126">
        <v>46212</v>
      </c>
      <c r="C56" s="42" t="s">
        <v>49</v>
      </c>
      <c r="D56" s="42" t="s">
        <v>301</v>
      </c>
      <c r="E56" s="14"/>
      <c r="F56" s="71">
        <v>602</v>
      </c>
      <c r="G56" s="42" t="s">
        <v>50</v>
      </c>
      <c r="H56" s="31">
        <v>20602109225</v>
      </c>
      <c r="I56" s="138" t="str">
        <f>IF(H56="","",VLOOKUP(H56,[1]ENTIDAD!$B$2:$C$605,2,0))</f>
        <v>SISTEMA ECOLÓGICO INTEGRAL DE TECNOLOGÍAS E INFORMÁTICA SOCIEDAD ANONIMA CERRADA - ECO SITI S.A.C.</v>
      </c>
      <c r="J56" s="11"/>
      <c r="K56" s="11"/>
      <c r="L56" s="11"/>
      <c r="M56" s="11"/>
      <c r="N56" s="116">
        <f t="shared" si="2"/>
        <v>0</v>
      </c>
      <c r="O56" s="116">
        <f t="shared" si="3"/>
        <v>0</v>
      </c>
      <c r="P56" s="11">
        <v>119.7</v>
      </c>
      <c r="Q56" s="11"/>
      <c r="R56" s="11"/>
      <c r="S56" s="11">
        <v>119.7</v>
      </c>
      <c r="T56" s="14"/>
      <c r="U56" s="14"/>
      <c r="V56" s="13"/>
      <c r="W56" s="15"/>
      <c r="X56" s="13"/>
      <c r="Y56" s="14"/>
      <c r="Z56" s="14"/>
      <c r="AA56" s="14"/>
      <c r="AB56" s="42" t="s">
        <v>224</v>
      </c>
      <c r="AC56" s="11"/>
      <c r="AD56" s="33">
        <v>46212</v>
      </c>
      <c r="AE56" s="14" t="s">
        <v>262</v>
      </c>
      <c r="AF56" s="19" t="s">
        <v>696</v>
      </c>
      <c r="AG56" s="14"/>
      <c r="AH56" s="14" t="s">
        <v>225</v>
      </c>
      <c r="AI56" s="14"/>
      <c r="AJ56" s="14"/>
      <c r="AK56" s="16"/>
      <c r="AL56" s="11"/>
      <c r="AM56" s="11"/>
      <c r="AN56" s="14"/>
      <c r="AO56" s="14"/>
      <c r="AP56" s="13"/>
      <c r="AQ56" s="14"/>
      <c r="AR56" s="11">
        <v>18</v>
      </c>
      <c r="AS56" s="14" t="s">
        <v>6499</v>
      </c>
      <c r="AT56" s="14"/>
      <c r="AU56" s="11"/>
      <c r="AV56" s="14"/>
    </row>
    <row r="57" spans="1:49" s="45" customFormat="1" ht="15" x14ac:dyDescent="0.25">
      <c r="A57" s="200">
        <v>46212</v>
      </c>
      <c r="B57" s="126">
        <v>46212</v>
      </c>
      <c r="C57" s="111" t="s">
        <v>49</v>
      </c>
      <c r="D57" s="111" t="s">
        <v>294</v>
      </c>
      <c r="E57" s="112"/>
      <c r="F57" s="71">
        <v>6663</v>
      </c>
      <c r="G57" s="111" t="s">
        <v>50</v>
      </c>
      <c r="H57" s="114">
        <v>20610275045</v>
      </c>
      <c r="I57" s="139" t="str">
        <f>IF(H57="","",VLOOKUP(H57,[1]ENTIDAD!$B$2:$C$605,2,0))</f>
        <v>ALMA FOOD S.A.C.</v>
      </c>
      <c r="J57" s="116"/>
      <c r="K57" s="116"/>
      <c r="L57" s="116"/>
      <c r="M57" s="116"/>
      <c r="N57" s="116">
        <f t="shared" si="2"/>
        <v>0</v>
      </c>
      <c r="O57" s="116">
        <f t="shared" si="3"/>
        <v>0</v>
      </c>
      <c r="P57" s="11">
        <v>85</v>
      </c>
      <c r="Q57" s="116"/>
      <c r="R57" s="116"/>
      <c r="S57" s="116">
        <v>85</v>
      </c>
      <c r="T57" s="112"/>
      <c r="U57" s="112"/>
      <c r="V57" s="109"/>
      <c r="W57" s="118"/>
      <c r="X57" s="109"/>
      <c r="Y57" s="112"/>
      <c r="Z57" s="112"/>
      <c r="AA57" s="112"/>
      <c r="AB57" s="111" t="s">
        <v>224</v>
      </c>
      <c r="AC57" s="116"/>
      <c r="AD57" s="126">
        <v>46212</v>
      </c>
      <c r="AE57" s="14" t="s">
        <v>262</v>
      </c>
      <c r="AF57" s="19" t="s">
        <v>601</v>
      </c>
      <c r="AG57" s="14"/>
      <c r="AH57" s="14" t="s">
        <v>225</v>
      </c>
      <c r="AI57" s="112"/>
      <c r="AJ57" s="112"/>
      <c r="AK57" s="120"/>
      <c r="AL57" s="116"/>
      <c r="AM57" s="116"/>
      <c r="AN57" s="112"/>
      <c r="AO57" s="112"/>
      <c r="AP57" s="109"/>
      <c r="AQ57" s="112"/>
      <c r="AR57" s="116">
        <v>18</v>
      </c>
      <c r="AS57" s="112" t="s">
        <v>6498</v>
      </c>
      <c r="AT57" s="112"/>
      <c r="AU57" s="116"/>
      <c r="AV57" s="112"/>
      <c r="AW57" s="121"/>
    </row>
    <row r="58" spans="1:49" s="45" customFormat="1" ht="15" x14ac:dyDescent="0.25">
      <c r="A58" s="199">
        <v>46212</v>
      </c>
      <c r="B58" s="109">
        <v>46212</v>
      </c>
      <c r="C58" s="42" t="s">
        <v>49</v>
      </c>
      <c r="D58" s="42" t="s">
        <v>294</v>
      </c>
      <c r="E58" s="14"/>
      <c r="F58" s="71">
        <v>21956</v>
      </c>
      <c r="G58" s="42" t="s">
        <v>50</v>
      </c>
      <c r="H58" s="31">
        <v>20605377115</v>
      </c>
      <c r="I58" s="138" t="str">
        <f>IF(H58="","",VLOOKUP(H58,[1]ENTIDAD!$B$2:$C$605,2,0))</f>
        <v>CORPORACIÓN FERNANDO´S E.I.R.L.</v>
      </c>
      <c r="J58" s="11"/>
      <c r="K58" s="11"/>
      <c r="L58" s="11"/>
      <c r="M58" s="11"/>
      <c r="N58" s="116">
        <f t="shared" si="2"/>
        <v>0</v>
      </c>
      <c r="O58" s="116">
        <f t="shared" si="3"/>
        <v>0</v>
      </c>
      <c r="P58" s="11">
        <v>100</v>
      </c>
      <c r="Q58" s="11"/>
      <c r="R58" s="11"/>
      <c r="S58" s="11">
        <v>100</v>
      </c>
      <c r="T58" s="14"/>
      <c r="U58" s="14"/>
      <c r="V58" s="13"/>
      <c r="W58" s="15"/>
      <c r="X58" s="13"/>
      <c r="Y58" s="14"/>
      <c r="Z58" s="14"/>
      <c r="AA58" s="14"/>
      <c r="AB58" s="42" t="s">
        <v>224</v>
      </c>
      <c r="AC58" s="11"/>
      <c r="AD58" s="13">
        <v>46212</v>
      </c>
      <c r="AE58" s="14" t="s">
        <v>262</v>
      </c>
      <c r="AF58" s="19" t="s">
        <v>486</v>
      </c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 t="s">
        <v>6500</v>
      </c>
      <c r="AT58" s="14"/>
      <c r="AU58" s="11"/>
      <c r="AV58" s="14"/>
    </row>
    <row r="59" spans="1:49" s="45" customFormat="1" ht="14.25" customHeight="1" x14ac:dyDescent="0.25">
      <c r="A59" s="199">
        <v>46212</v>
      </c>
      <c r="B59" s="126">
        <v>46212</v>
      </c>
      <c r="C59" s="42" t="s">
        <v>49</v>
      </c>
      <c r="D59" s="42" t="s">
        <v>574</v>
      </c>
      <c r="E59" s="14"/>
      <c r="F59" s="71">
        <v>701</v>
      </c>
      <c r="G59" s="42" t="s">
        <v>50</v>
      </c>
      <c r="H59" s="31">
        <v>10421947665</v>
      </c>
      <c r="I59" s="138" t="str">
        <f>IF(H59="","",VLOOKUP(H59,[1]ENTIDAD!$B$2:$C$605,2,0))</f>
        <v>MAYTA,MADUEÑO,SAUL,JESUS</v>
      </c>
      <c r="J59" s="11"/>
      <c r="K59" s="11"/>
      <c r="L59" s="11"/>
      <c r="M59" s="11"/>
      <c r="N59" s="116">
        <f t="shared" si="2"/>
        <v>0</v>
      </c>
      <c r="O59" s="116">
        <f t="shared" si="3"/>
        <v>0</v>
      </c>
      <c r="P59" s="11">
        <v>5.3</v>
      </c>
      <c r="Q59" s="11"/>
      <c r="R59" s="11"/>
      <c r="S59" s="11">
        <v>5.3</v>
      </c>
      <c r="T59" s="14"/>
      <c r="U59" s="14"/>
      <c r="V59" s="13"/>
      <c r="W59" s="15"/>
      <c r="X59" s="13"/>
      <c r="Y59" s="14"/>
      <c r="Z59" s="14"/>
      <c r="AA59" s="14"/>
      <c r="AB59" s="42" t="s">
        <v>224</v>
      </c>
      <c r="AC59" s="11"/>
      <c r="AD59" s="126">
        <v>46212</v>
      </c>
      <c r="AE59" s="14" t="s">
        <v>262</v>
      </c>
      <c r="AF59" s="19" t="s">
        <v>601</v>
      </c>
      <c r="AG59" s="14"/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 t="s">
        <v>6501</v>
      </c>
      <c r="AT59" s="14"/>
      <c r="AU59" s="11"/>
      <c r="AV59" s="14"/>
    </row>
    <row r="60" spans="1:49" s="45" customFormat="1" ht="15" x14ac:dyDescent="0.25">
      <c r="A60" s="200">
        <v>46213</v>
      </c>
      <c r="B60" s="109">
        <v>46244</v>
      </c>
      <c r="C60" s="111" t="s">
        <v>49</v>
      </c>
      <c r="D60" s="42" t="s">
        <v>292</v>
      </c>
      <c r="E60" s="112"/>
      <c r="F60" s="71">
        <v>225</v>
      </c>
      <c r="G60" s="111" t="s">
        <v>50</v>
      </c>
      <c r="H60" s="31">
        <v>20444327066</v>
      </c>
      <c r="I60" s="139" t="str">
        <f>IF(H60="","",VLOOKUP(H60,[1]ENTIDAD!$B$2:$C$605,2,0))</f>
        <v>CAMARA DE COMERCIO E INDUSTRIAS SATIPO</v>
      </c>
      <c r="J60" s="116"/>
      <c r="K60" s="116"/>
      <c r="L60" s="116"/>
      <c r="M60" s="116"/>
      <c r="N60" s="116"/>
      <c r="O60" s="116"/>
      <c r="P60" s="116">
        <v>153</v>
      </c>
      <c r="Q60" s="116"/>
      <c r="R60" s="116"/>
      <c r="S60" s="11">
        <v>153</v>
      </c>
      <c r="T60" s="112"/>
      <c r="U60" s="112"/>
      <c r="V60" s="109"/>
      <c r="W60" s="118"/>
      <c r="X60" s="109"/>
      <c r="Y60" s="112"/>
      <c r="Z60" s="112"/>
      <c r="AA60" s="112"/>
      <c r="AB60" s="42" t="s">
        <v>224</v>
      </c>
      <c r="AC60" s="11"/>
      <c r="AD60" s="109">
        <v>46244</v>
      </c>
      <c r="AE60" s="34" t="s">
        <v>465</v>
      </c>
      <c r="AF60" s="37" t="s">
        <v>597</v>
      </c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 t="s">
        <v>6502</v>
      </c>
      <c r="AT60" s="112"/>
      <c r="AU60" s="116"/>
      <c r="AV60" s="112"/>
      <c r="AW60" s="121"/>
    </row>
    <row r="61" spans="1:49" s="45" customFormat="1" ht="15" x14ac:dyDescent="0.25">
      <c r="A61" s="199">
        <v>46213</v>
      </c>
      <c r="B61" s="126">
        <v>46213</v>
      </c>
      <c r="C61" s="42" t="s">
        <v>49</v>
      </c>
      <c r="D61" s="42" t="s">
        <v>451</v>
      </c>
      <c r="E61" s="14"/>
      <c r="F61" s="71">
        <v>339</v>
      </c>
      <c r="G61" s="42" t="s">
        <v>50</v>
      </c>
      <c r="H61" s="31">
        <v>20486549328</v>
      </c>
      <c r="I61" s="138" t="str">
        <f>IF(H61="","",VLOOKUP(H61,[1]ENTIDAD!$B$2:$C$605,2,0))</f>
        <v>SANTISIMA TRINIDAD E.I.R.L.</v>
      </c>
      <c r="J61" s="11"/>
      <c r="K61" s="11"/>
      <c r="L61" s="11"/>
      <c r="M61" s="11"/>
      <c r="N61" s="116">
        <f t="shared" ref="N61:N104" si="4">(S61-P61)/1.18</f>
        <v>0</v>
      </c>
      <c r="O61" s="116">
        <f t="shared" si="3"/>
        <v>0</v>
      </c>
      <c r="P61" s="11">
        <v>175</v>
      </c>
      <c r="Q61" s="11"/>
      <c r="R61" s="11"/>
      <c r="S61" s="11">
        <v>175</v>
      </c>
      <c r="T61" s="14"/>
      <c r="U61" s="14"/>
      <c r="V61" s="13"/>
      <c r="W61" s="15"/>
      <c r="X61" s="13"/>
      <c r="Y61" s="14"/>
      <c r="Z61" s="14"/>
      <c r="AA61" s="14"/>
      <c r="AB61" s="42" t="s">
        <v>224</v>
      </c>
      <c r="AC61" s="11"/>
      <c r="AD61" s="33">
        <v>46213</v>
      </c>
      <c r="AE61" s="14" t="s">
        <v>262</v>
      </c>
      <c r="AF61" s="19" t="s">
        <v>604</v>
      </c>
      <c r="AG61" s="14"/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4" t="s">
        <v>6509</v>
      </c>
      <c r="AT61" s="14"/>
      <c r="AU61" s="11"/>
      <c r="AV61" s="14"/>
    </row>
    <row r="62" spans="1:49" s="45" customFormat="1" ht="15" x14ac:dyDescent="0.25">
      <c r="A62" s="199">
        <v>46214</v>
      </c>
      <c r="B62" s="126">
        <v>46214</v>
      </c>
      <c r="C62" s="42" t="s">
        <v>49</v>
      </c>
      <c r="D62" s="42" t="s">
        <v>294</v>
      </c>
      <c r="E62" s="14"/>
      <c r="F62" s="71">
        <v>121781</v>
      </c>
      <c r="G62" s="42" t="s">
        <v>50</v>
      </c>
      <c r="H62" s="31">
        <v>20568499043</v>
      </c>
      <c r="I62" s="138" t="str">
        <f>IF(H62="","",VLOOKUP(H62,[1]ENTIDAD!$B$2:$C$605,2,0))</f>
        <v>SURTIDORES SAN MIGUEL E.I.R.L.</v>
      </c>
      <c r="J62" s="11"/>
      <c r="K62" s="11"/>
      <c r="L62" s="11"/>
      <c r="M62" s="11"/>
      <c r="N62" s="116">
        <f t="shared" si="4"/>
        <v>0</v>
      </c>
      <c r="O62" s="116">
        <f t="shared" si="3"/>
        <v>0</v>
      </c>
      <c r="P62" s="11">
        <v>100</v>
      </c>
      <c r="Q62" s="11"/>
      <c r="R62" s="11"/>
      <c r="S62" s="11">
        <v>100</v>
      </c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33">
        <v>46214</v>
      </c>
      <c r="AE62" s="14" t="s">
        <v>262</v>
      </c>
      <c r="AF62" s="19" t="s">
        <v>486</v>
      </c>
      <c r="AG62" s="14"/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12" t="s">
        <v>6447</v>
      </c>
      <c r="AT62" s="14"/>
      <c r="AU62" s="11"/>
      <c r="AV62" s="14"/>
    </row>
    <row r="63" spans="1:49" s="45" customFormat="1" ht="15" x14ac:dyDescent="0.25">
      <c r="A63" s="199">
        <v>46214</v>
      </c>
      <c r="B63" s="126">
        <v>46245</v>
      </c>
      <c r="C63" s="42" t="s">
        <v>49</v>
      </c>
      <c r="D63" s="42" t="s">
        <v>301</v>
      </c>
      <c r="E63" s="14"/>
      <c r="F63" s="71">
        <v>19241</v>
      </c>
      <c r="G63" s="42" t="s">
        <v>50</v>
      </c>
      <c r="H63" s="31">
        <v>20493508645</v>
      </c>
      <c r="I63" s="138" t="str">
        <f>IF(H63="","",VLOOKUP(H63,[1]ENTIDAD!$B$2:$C$605,2,0))</f>
        <v>HONDA SELVA DEL PERU S.A.</v>
      </c>
      <c r="J63" s="11"/>
      <c r="K63" s="11"/>
      <c r="L63" s="11"/>
      <c r="M63" s="11"/>
      <c r="N63" s="116">
        <f t="shared" si="4"/>
        <v>-3.7288135576152672E-4</v>
      </c>
      <c r="O63" s="116">
        <f t="shared" si="3"/>
        <v>-6.7118644037074813E-5</v>
      </c>
      <c r="P63" s="11">
        <v>26420.1</v>
      </c>
      <c r="Q63" s="11"/>
      <c r="R63" s="11"/>
      <c r="S63" s="11">
        <f>W63*AC63</f>
        <v>26420.099559999999</v>
      </c>
      <c r="T63" s="14"/>
      <c r="U63" s="14"/>
      <c r="V63" s="13"/>
      <c r="W63" s="15">
        <v>3.3969999999999998</v>
      </c>
      <c r="X63" s="13"/>
      <c r="Y63" s="14"/>
      <c r="Z63" s="14"/>
      <c r="AA63" s="14"/>
      <c r="AB63" s="42" t="s">
        <v>383</v>
      </c>
      <c r="AC63" s="11">
        <v>7777.48</v>
      </c>
      <c r="AD63" s="33">
        <v>46245</v>
      </c>
      <c r="AE63" s="34" t="s">
        <v>465</v>
      </c>
      <c r="AF63" s="19" t="s">
        <v>532</v>
      </c>
      <c r="AG63" s="14"/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 t="s">
        <v>201</v>
      </c>
      <c r="AT63" s="14"/>
      <c r="AU63" s="11"/>
      <c r="AV63" s="14"/>
    </row>
    <row r="64" spans="1:49" s="45" customFormat="1" ht="15" x14ac:dyDescent="0.25">
      <c r="A64" s="199">
        <v>46214</v>
      </c>
      <c r="B64" s="126">
        <v>46245</v>
      </c>
      <c r="C64" s="42" t="s">
        <v>49</v>
      </c>
      <c r="D64" s="42" t="s">
        <v>301</v>
      </c>
      <c r="E64" s="14"/>
      <c r="F64" s="71">
        <v>19240</v>
      </c>
      <c r="G64" s="42" t="s">
        <v>50</v>
      </c>
      <c r="H64" s="31">
        <v>20493508645</v>
      </c>
      <c r="I64" s="138" t="str">
        <f>IF(H64="","",VLOOKUP(H64,[1]ENTIDAD!$B$2:$C$605,2,0))</f>
        <v>HONDA SELVA DEL PERU S.A.</v>
      </c>
      <c r="J64" s="11"/>
      <c r="K64" s="11"/>
      <c r="L64" s="11"/>
      <c r="M64" s="11"/>
      <c r="N64" s="116">
        <f t="shared" si="4"/>
        <v>-3.7288135576152672E-4</v>
      </c>
      <c r="O64" s="116">
        <f t="shared" si="3"/>
        <v>-6.7118644037074813E-5</v>
      </c>
      <c r="P64" s="11">
        <v>26420.1</v>
      </c>
      <c r="Q64" s="11"/>
      <c r="R64" s="11"/>
      <c r="S64" s="11">
        <f>W64*AC64</f>
        <v>26420.099559999999</v>
      </c>
      <c r="T64" s="14"/>
      <c r="U64" s="14"/>
      <c r="V64" s="13"/>
      <c r="W64" s="15">
        <v>3.3969999999999998</v>
      </c>
      <c r="X64" s="13"/>
      <c r="Y64" s="14"/>
      <c r="Z64" s="14"/>
      <c r="AA64" s="14"/>
      <c r="AB64" s="42" t="s">
        <v>383</v>
      </c>
      <c r="AC64" s="11">
        <v>7777.48</v>
      </c>
      <c r="AD64" s="33">
        <v>46245</v>
      </c>
      <c r="AE64" s="34" t="s">
        <v>465</v>
      </c>
      <c r="AF64" s="19" t="s">
        <v>532</v>
      </c>
      <c r="AG64" s="14"/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 t="s">
        <v>201</v>
      </c>
      <c r="AT64" s="14"/>
      <c r="AU64" s="11"/>
      <c r="AV64" s="14"/>
    </row>
    <row r="65" spans="1:49" s="45" customFormat="1" ht="15" x14ac:dyDescent="0.25">
      <c r="A65" s="199">
        <v>46214</v>
      </c>
      <c r="B65" s="109">
        <v>46214</v>
      </c>
      <c r="C65" s="42" t="s">
        <v>49</v>
      </c>
      <c r="D65" s="42" t="s">
        <v>451</v>
      </c>
      <c r="E65" s="14"/>
      <c r="F65" s="71">
        <v>369</v>
      </c>
      <c r="G65" s="111" t="s">
        <v>50</v>
      </c>
      <c r="H65" s="31">
        <v>10209907327</v>
      </c>
      <c r="I65" s="138" t="str">
        <f>IF(H65="","",VLOOKUP(H65,[1]ENTIDAD!$B$2:$C$605,2,0))</f>
        <v>TORPOCO,MAYTA,HECTOR,ALFONSO</v>
      </c>
      <c r="J65" s="11"/>
      <c r="K65" s="11"/>
      <c r="L65" s="11"/>
      <c r="M65" s="11"/>
      <c r="N65" s="116">
        <f t="shared" si="4"/>
        <v>0</v>
      </c>
      <c r="O65" s="116">
        <f t="shared" si="3"/>
        <v>0</v>
      </c>
      <c r="P65" s="11">
        <v>10</v>
      </c>
      <c r="Q65" s="11"/>
      <c r="R65" s="11"/>
      <c r="S65" s="11">
        <v>10</v>
      </c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13">
        <v>46214</v>
      </c>
      <c r="AE65" s="14" t="s">
        <v>262</v>
      </c>
      <c r="AF65" s="19" t="s">
        <v>486</v>
      </c>
      <c r="AG65" s="14"/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 t="s">
        <v>764</v>
      </c>
      <c r="AT65" s="14"/>
      <c r="AU65" s="11"/>
      <c r="AV65" s="14"/>
    </row>
    <row r="66" spans="1:49" s="45" customFormat="1" ht="15" x14ac:dyDescent="0.25">
      <c r="A66" s="199">
        <v>46214</v>
      </c>
      <c r="B66" s="126">
        <v>46214</v>
      </c>
      <c r="C66" s="42" t="s">
        <v>49</v>
      </c>
      <c r="D66" s="42" t="s">
        <v>292</v>
      </c>
      <c r="E66" s="14"/>
      <c r="F66" s="71">
        <v>6330</v>
      </c>
      <c r="G66" s="42" t="s">
        <v>50</v>
      </c>
      <c r="H66" s="31">
        <v>20602783341</v>
      </c>
      <c r="I66" s="138" t="str">
        <f>IF(H66="","",VLOOKUP(H66,[1]ENTIDAD!$B$2:$C$605,2,0))</f>
        <v>CODISSER VRAEM E.I.R.L.</v>
      </c>
      <c r="J66" s="11"/>
      <c r="K66" s="11"/>
      <c r="L66" s="11"/>
      <c r="M66" s="11"/>
      <c r="N66" s="116">
        <f t="shared" si="4"/>
        <v>0</v>
      </c>
      <c r="O66" s="116">
        <f t="shared" si="3"/>
        <v>0</v>
      </c>
      <c r="P66" s="11">
        <v>8</v>
      </c>
      <c r="Q66" s="11"/>
      <c r="R66" s="11"/>
      <c r="S66" s="11">
        <v>8</v>
      </c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>
        <v>46214</v>
      </c>
      <c r="AE66" s="14" t="s">
        <v>262</v>
      </c>
      <c r="AF66" s="19" t="s">
        <v>601</v>
      </c>
      <c r="AG66" s="14"/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 t="s">
        <v>6521</v>
      </c>
      <c r="AT66" s="14"/>
      <c r="AU66" s="11"/>
      <c r="AV66" s="14"/>
    </row>
    <row r="67" spans="1:49" s="45" customFormat="1" ht="15" x14ac:dyDescent="0.25">
      <c r="A67" s="199">
        <v>46216</v>
      </c>
      <c r="B67" s="126">
        <v>46247</v>
      </c>
      <c r="C67" s="42" t="s">
        <v>49</v>
      </c>
      <c r="D67" s="42" t="s">
        <v>301</v>
      </c>
      <c r="E67" s="14"/>
      <c r="F67" s="71">
        <v>19267</v>
      </c>
      <c r="G67" s="42" t="s">
        <v>50</v>
      </c>
      <c r="H67" s="31">
        <v>20493508645</v>
      </c>
      <c r="I67" s="138" t="str">
        <f>IF(H67="","",VLOOKUP(H67,[1]ENTIDAD!$B$2:$C$605,2,0))</f>
        <v>HONDA SELVA DEL PERU S.A.</v>
      </c>
      <c r="J67" s="11"/>
      <c r="K67" s="11"/>
      <c r="L67" s="11"/>
      <c r="M67" s="11"/>
      <c r="N67" s="116">
        <f t="shared" si="4"/>
        <v>1.3389830509352625E-3</v>
      </c>
      <c r="O67" s="116">
        <f t="shared" si="3"/>
        <v>2.4101694916834723E-4</v>
      </c>
      <c r="P67" s="11">
        <v>14091.23</v>
      </c>
      <c r="Q67" s="11"/>
      <c r="R67" s="11"/>
      <c r="S67" s="11">
        <f>W67*AC67</f>
        <v>14091.23158</v>
      </c>
      <c r="T67" s="14"/>
      <c r="U67" s="14"/>
      <c r="V67" s="13"/>
      <c r="W67" s="15">
        <v>3.3969999999999998</v>
      </c>
      <c r="X67" s="13"/>
      <c r="Y67" s="14"/>
      <c r="Z67" s="14"/>
      <c r="AA67" s="14"/>
      <c r="AB67" s="42" t="s">
        <v>383</v>
      </c>
      <c r="AC67" s="11">
        <v>4148.1400000000003</v>
      </c>
      <c r="AD67" s="33">
        <v>46247</v>
      </c>
      <c r="AE67" s="34" t="s">
        <v>465</v>
      </c>
      <c r="AF67" s="19" t="s">
        <v>532</v>
      </c>
      <c r="AG67" s="14"/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 t="s">
        <v>201</v>
      </c>
      <c r="AT67" s="14"/>
      <c r="AU67" s="11"/>
      <c r="AV67" s="14"/>
    </row>
    <row r="68" spans="1:49" s="45" customFormat="1" ht="15" x14ac:dyDescent="0.25">
      <c r="A68" s="199">
        <v>46216</v>
      </c>
      <c r="B68" s="126">
        <v>46247</v>
      </c>
      <c r="C68" s="42" t="s">
        <v>49</v>
      </c>
      <c r="D68" s="42" t="s">
        <v>301</v>
      </c>
      <c r="E68" s="14"/>
      <c r="F68" s="71">
        <v>19273</v>
      </c>
      <c r="G68" s="42" t="s">
        <v>50</v>
      </c>
      <c r="H68" s="31">
        <v>20493508645</v>
      </c>
      <c r="I68" s="138" t="str">
        <f>IF(H68="","",VLOOKUP(H68,[1]ENTIDAD!$B$2:$C$605,2,0))</f>
        <v>HONDA SELVA DEL PERU S.A.</v>
      </c>
      <c r="J68" s="11"/>
      <c r="K68" s="11"/>
      <c r="L68" s="11"/>
      <c r="M68" s="11"/>
      <c r="N68" s="116">
        <f t="shared" si="4"/>
        <v>1.3389830509352625E-3</v>
      </c>
      <c r="O68" s="116">
        <f t="shared" ref="O68:O99" si="5">N68*0.18</f>
        <v>2.4101694916834723E-4</v>
      </c>
      <c r="P68" s="11">
        <v>14091.23</v>
      </c>
      <c r="Q68" s="11"/>
      <c r="R68" s="11"/>
      <c r="S68" s="11">
        <f>W68*AC68</f>
        <v>14091.23158</v>
      </c>
      <c r="T68" s="14"/>
      <c r="U68" s="14"/>
      <c r="V68" s="13"/>
      <c r="W68" s="15">
        <v>3.3969999999999998</v>
      </c>
      <c r="X68" s="13"/>
      <c r="Y68" s="14"/>
      <c r="Z68" s="14"/>
      <c r="AA68" s="14"/>
      <c r="AB68" s="42" t="s">
        <v>383</v>
      </c>
      <c r="AC68" s="11">
        <v>4148.1400000000003</v>
      </c>
      <c r="AD68" s="33">
        <v>46247</v>
      </c>
      <c r="AE68" s="34" t="s">
        <v>465</v>
      </c>
      <c r="AF68" s="19" t="s">
        <v>532</v>
      </c>
      <c r="AG68" s="14"/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 t="s">
        <v>201</v>
      </c>
      <c r="AT68" s="14"/>
      <c r="AU68" s="11"/>
      <c r="AV68" s="14"/>
    </row>
    <row r="69" spans="1:49" s="45" customFormat="1" ht="15" x14ac:dyDescent="0.25">
      <c r="A69" s="199">
        <v>46216</v>
      </c>
      <c r="B69" s="126">
        <v>46247</v>
      </c>
      <c r="C69" s="42" t="s">
        <v>49</v>
      </c>
      <c r="D69" s="42" t="s">
        <v>299</v>
      </c>
      <c r="E69" s="14"/>
      <c r="F69" s="71">
        <v>9515</v>
      </c>
      <c r="G69" s="42" t="s">
        <v>50</v>
      </c>
      <c r="H69" s="31">
        <v>20603360401</v>
      </c>
      <c r="I69" s="138" t="str">
        <f>IF(H69="","",VLOOKUP(H69,ENTIDAD!$B$2:$C$613,2,0))</f>
        <v>VENTAS &amp; OFERTAS ON LINE PERU SOCIEDAD ANONIMA CERRADA - VENTAS &amp; ON LINE S.A.C.</v>
      </c>
      <c r="J69" s="11"/>
      <c r="K69" s="11"/>
      <c r="L69" s="11"/>
      <c r="M69" s="11"/>
      <c r="N69" s="116">
        <f t="shared" si="4"/>
        <v>66.101694915254242</v>
      </c>
      <c r="O69" s="116">
        <f t="shared" si="5"/>
        <v>11.898305084745763</v>
      </c>
      <c r="P69" s="11">
        <v>0</v>
      </c>
      <c r="Q69" s="11"/>
      <c r="R69" s="11"/>
      <c r="S69" s="11">
        <v>78</v>
      </c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33">
        <v>46247</v>
      </c>
      <c r="AE69" s="34" t="s">
        <v>465</v>
      </c>
      <c r="AF69" s="29" t="s">
        <v>703</v>
      </c>
      <c r="AG69" s="14"/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 t="s">
        <v>6519</v>
      </c>
      <c r="AT69" s="14"/>
      <c r="AU69" s="11"/>
      <c r="AV69" s="14"/>
    </row>
    <row r="70" spans="1:49" s="45" customFormat="1" ht="15" x14ac:dyDescent="0.25">
      <c r="A70" s="199">
        <v>46217</v>
      </c>
      <c r="B70" s="109">
        <v>46217</v>
      </c>
      <c r="C70" s="42" t="s">
        <v>49</v>
      </c>
      <c r="D70" s="42" t="s">
        <v>451</v>
      </c>
      <c r="E70" s="14"/>
      <c r="F70" s="71">
        <v>1138</v>
      </c>
      <c r="G70" s="111" t="s">
        <v>50</v>
      </c>
      <c r="H70" s="31">
        <v>20611936606</v>
      </c>
      <c r="I70" s="138" t="str">
        <f>IF(H70="","",VLOOKUP(H70,[1]ENTIDAD!$B$2:$C$605,2,0))</f>
        <v>GAS VIVA EMPRESA INDIVIDUAL DE RESPONSABILIDAD LIMITADA</v>
      </c>
      <c r="J70" s="11"/>
      <c r="K70" s="11"/>
      <c r="L70" s="11"/>
      <c r="M70" s="11"/>
      <c r="N70" s="116">
        <f t="shared" si="4"/>
        <v>0</v>
      </c>
      <c r="O70" s="116">
        <f t="shared" si="5"/>
        <v>0</v>
      </c>
      <c r="P70" s="11">
        <v>10</v>
      </c>
      <c r="Q70" s="11"/>
      <c r="R70" s="11"/>
      <c r="S70" s="11">
        <v>10</v>
      </c>
      <c r="T70" s="14"/>
      <c r="U70" s="14"/>
      <c r="V70" s="13"/>
      <c r="W70" s="15"/>
      <c r="X70" s="13"/>
      <c r="Y70" s="14"/>
      <c r="Z70" s="14"/>
      <c r="AA70" s="14"/>
      <c r="AB70" s="42" t="s">
        <v>224</v>
      </c>
      <c r="AC70" s="11"/>
      <c r="AD70" s="13">
        <v>46217</v>
      </c>
      <c r="AE70" s="14" t="s">
        <v>262</v>
      </c>
      <c r="AF70" s="19" t="s">
        <v>486</v>
      </c>
      <c r="AG70" s="14"/>
      <c r="AH70" s="14" t="s">
        <v>225</v>
      </c>
      <c r="AI70" s="14"/>
      <c r="AJ70" s="14"/>
      <c r="AK70" s="16"/>
      <c r="AL70" s="11"/>
      <c r="AM70" s="11"/>
      <c r="AN70" s="14"/>
      <c r="AO70" s="14"/>
      <c r="AP70" s="13"/>
      <c r="AQ70" s="14"/>
      <c r="AR70" s="11">
        <v>18</v>
      </c>
      <c r="AS70" s="14" t="s">
        <v>764</v>
      </c>
      <c r="AT70" s="14"/>
      <c r="AU70" s="11"/>
      <c r="AV70" s="14"/>
    </row>
    <row r="71" spans="1:49" s="45" customFormat="1" ht="15" x14ac:dyDescent="0.25">
      <c r="A71" s="226">
        <v>46217</v>
      </c>
      <c r="B71" s="126">
        <v>46248</v>
      </c>
      <c r="C71" s="48" t="s">
        <v>49</v>
      </c>
      <c r="D71" s="48" t="s">
        <v>544</v>
      </c>
      <c r="E71" s="34"/>
      <c r="F71" s="71">
        <v>627809</v>
      </c>
      <c r="G71" s="48" t="s">
        <v>50</v>
      </c>
      <c r="H71" s="31">
        <v>20100047218</v>
      </c>
      <c r="I71" s="138" t="str">
        <f>IF(H71="","",VLOOKUP(H71,[1]ENTIDAD!$B$2:$C$605,2,0))</f>
        <v>BANCO DE CREDITO DEL PERU</v>
      </c>
      <c r="J71" s="35"/>
      <c r="K71" s="35"/>
      <c r="L71" s="35"/>
      <c r="M71" s="35"/>
      <c r="N71" s="116">
        <f t="shared" si="4"/>
        <v>0</v>
      </c>
      <c r="O71" s="116">
        <f t="shared" si="5"/>
        <v>0</v>
      </c>
      <c r="P71" s="11">
        <v>5503.5</v>
      </c>
      <c r="Q71" s="35"/>
      <c r="R71" s="35"/>
      <c r="S71" s="35">
        <v>5503.5</v>
      </c>
      <c r="T71" s="34"/>
      <c r="U71" s="34"/>
      <c r="V71" s="33"/>
      <c r="W71" s="36"/>
      <c r="X71" s="33"/>
      <c r="Y71" s="34"/>
      <c r="Z71" s="34"/>
      <c r="AA71" s="34"/>
      <c r="AB71" s="42" t="s">
        <v>224</v>
      </c>
      <c r="AC71" s="35"/>
      <c r="AD71" s="33">
        <v>46248</v>
      </c>
      <c r="AE71" s="14" t="s">
        <v>465</v>
      </c>
      <c r="AF71" s="19" t="s">
        <v>494</v>
      </c>
      <c r="AG71" s="14"/>
      <c r="AH71" s="14" t="s">
        <v>225</v>
      </c>
      <c r="AI71" s="34"/>
      <c r="AJ71" s="34"/>
      <c r="AK71" s="38"/>
      <c r="AL71" s="35"/>
      <c r="AM71" s="35"/>
      <c r="AN71" s="34"/>
      <c r="AO71" s="34"/>
      <c r="AP71" s="33"/>
      <c r="AQ71" s="34"/>
      <c r="AR71" s="35">
        <v>18</v>
      </c>
      <c r="AS71" s="34" t="s">
        <v>6506</v>
      </c>
      <c r="AT71" s="34"/>
      <c r="AU71" s="35"/>
      <c r="AV71" s="34"/>
      <c r="AW71"/>
    </row>
    <row r="72" spans="1:49" s="45" customFormat="1" ht="15" x14ac:dyDescent="0.25">
      <c r="A72" s="199">
        <v>46217</v>
      </c>
      <c r="B72" s="126">
        <v>46248</v>
      </c>
      <c r="C72" s="42" t="s">
        <v>49</v>
      </c>
      <c r="D72" s="42" t="s">
        <v>301</v>
      </c>
      <c r="E72" s="14"/>
      <c r="F72" s="71">
        <v>19303</v>
      </c>
      <c r="G72" s="111" t="s">
        <v>50</v>
      </c>
      <c r="H72" s="114">
        <v>20493508645</v>
      </c>
      <c r="I72" s="138" t="str">
        <f>IF(H72="","",VLOOKUP(H72,[1]ENTIDAD!$B$2:$C$605,2,0))</f>
        <v>HONDA SELVA DEL PERU S.A.</v>
      </c>
      <c r="J72" s="11"/>
      <c r="K72" s="11"/>
      <c r="L72" s="11"/>
      <c r="M72" s="11"/>
      <c r="N72" s="116">
        <f t="shared" si="4"/>
        <v>1.5932203388143475E-3</v>
      </c>
      <c r="O72" s="116">
        <f t="shared" si="5"/>
        <v>2.8677966098658255E-4</v>
      </c>
      <c r="P72" s="11">
        <v>17660.04</v>
      </c>
      <c r="Q72" s="11"/>
      <c r="R72" s="11"/>
      <c r="S72" s="11">
        <f>W72*AC72</f>
        <v>17660.041880000001</v>
      </c>
      <c r="T72" s="14"/>
      <c r="U72" s="14"/>
      <c r="V72" s="13"/>
      <c r="W72" s="15">
        <v>3.4060000000000001</v>
      </c>
      <c r="X72" s="13"/>
      <c r="Y72" s="14"/>
      <c r="Z72" s="14"/>
      <c r="AA72" s="14"/>
      <c r="AB72" s="42" t="s">
        <v>383</v>
      </c>
      <c r="AC72" s="11">
        <v>5184.9799999999996</v>
      </c>
      <c r="AD72" s="33">
        <v>46248</v>
      </c>
      <c r="AE72" s="34" t="s">
        <v>465</v>
      </c>
      <c r="AF72" s="19" t="s">
        <v>532</v>
      </c>
      <c r="AG72" s="14"/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 t="s">
        <v>201</v>
      </c>
      <c r="AT72" s="14"/>
      <c r="AU72" s="11"/>
      <c r="AV72" s="14"/>
    </row>
    <row r="73" spans="1:49" s="45" customFormat="1" ht="15" x14ac:dyDescent="0.25">
      <c r="A73" s="199">
        <v>46217</v>
      </c>
      <c r="B73" s="126">
        <v>46248</v>
      </c>
      <c r="C73" s="42" t="s">
        <v>49</v>
      </c>
      <c r="D73" s="42" t="s">
        <v>299</v>
      </c>
      <c r="E73" s="14"/>
      <c r="F73" s="71">
        <v>3989382</v>
      </c>
      <c r="G73" s="42" t="s">
        <v>50</v>
      </c>
      <c r="H73" s="31">
        <v>20101973922</v>
      </c>
      <c r="I73" s="138" t="str">
        <f>IF(H73="","",VLOOKUP(H73,ENTIDAD!$B$2:$C$613,2,0))</f>
        <v>ASOCIACION AUTOMOTRIZ DEL PERU</v>
      </c>
      <c r="J73" s="11"/>
      <c r="K73" s="11"/>
      <c r="L73" s="11"/>
      <c r="M73" s="11"/>
      <c r="N73" s="116"/>
      <c r="O73" s="116"/>
      <c r="P73" s="11">
        <v>0</v>
      </c>
      <c r="Q73" s="11"/>
      <c r="R73" s="11">
        <v>66.8</v>
      </c>
      <c r="S73" s="11">
        <v>66.8</v>
      </c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>
        <v>46248</v>
      </c>
      <c r="AE73" s="34" t="s">
        <v>465</v>
      </c>
      <c r="AF73" s="37" t="s">
        <v>597</v>
      </c>
      <c r="AG73" s="14" t="s">
        <v>513</v>
      </c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 t="s">
        <v>566</v>
      </c>
      <c r="AT73" s="14"/>
      <c r="AU73" s="11"/>
      <c r="AV73" s="14"/>
    </row>
    <row r="74" spans="1:49" s="45" customFormat="1" ht="13.5" customHeight="1" x14ac:dyDescent="0.25">
      <c r="A74" s="199">
        <v>46217</v>
      </c>
      <c r="B74" s="126">
        <v>46248</v>
      </c>
      <c r="C74" s="42" t="s">
        <v>49</v>
      </c>
      <c r="D74" s="42" t="s">
        <v>299</v>
      </c>
      <c r="E74" s="14"/>
      <c r="F74" s="71">
        <v>3989381</v>
      </c>
      <c r="G74" s="42" t="s">
        <v>50</v>
      </c>
      <c r="H74" s="31">
        <v>20101973922</v>
      </c>
      <c r="I74" s="138" t="str">
        <f>IF(H74="","",VLOOKUP(H74,ENTIDAD!$B$2:$C$613,2,0))</f>
        <v>ASOCIACION AUTOMOTRIZ DEL PERU</v>
      </c>
      <c r="J74" s="11"/>
      <c r="K74" s="11"/>
      <c r="L74" s="11"/>
      <c r="M74" s="11"/>
      <c r="N74" s="116"/>
      <c r="O74" s="116"/>
      <c r="P74" s="11">
        <v>0</v>
      </c>
      <c r="Q74" s="11"/>
      <c r="R74" s="11">
        <v>66.8</v>
      </c>
      <c r="S74" s="11">
        <v>66.8</v>
      </c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33">
        <v>46248</v>
      </c>
      <c r="AE74" s="34" t="s">
        <v>465</v>
      </c>
      <c r="AF74" s="37" t="s">
        <v>597</v>
      </c>
      <c r="AG74" s="14" t="s">
        <v>513</v>
      </c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 t="s">
        <v>566</v>
      </c>
      <c r="AT74" s="14"/>
      <c r="AU74" s="11"/>
      <c r="AV74" s="14"/>
    </row>
    <row r="75" spans="1:49" s="45" customFormat="1" ht="15" x14ac:dyDescent="0.25">
      <c r="A75" s="199">
        <v>46217</v>
      </c>
      <c r="B75" s="126">
        <v>46248</v>
      </c>
      <c r="C75" s="42" t="s">
        <v>49</v>
      </c>
      <c r="D75" s="42" t="s">
        <v>299</v>
      </c>
      <c r="E75" s="14"/>
      <c r="F75" s="71">
        <v>3989380</v>
      </c>
      <c r="G75" s="42" t="s">
        <v>50</v>
      </c>
      <c r="H75" s="31">
        <v>20101973922</v>
      </c>
      <c r="I75" s="138" t="str">
        <f>IF(H75="","",VLOOKUP(H75,ENTIDAD!$B$2:$C$613,2,0))</f>
        <v>ASOCIACION AUTOMOTRIZ DEL PERU</v>
      </c>
      <c r="J75" s="11"/>
      <c r="K75" s="11"/>
      <c r="L75" s="11"/>
      <c r="M75" s="11"/>
      <c r="N75" s="116"/>
      <c r="O75" s="116"/>
      <c r="P75" s="11">
        <v>0</v>
      </c>
      <c r="Q75" s="11"/>
      <c r="R75" s="11">
        <v>66.8</v>
      </c>
      <c r="S75" s="11">
        <v>66.8</v>
      </c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>
        <v>46248</v>
      </c>
      <c r="AE75" s="34" t="s">
        <v>465</v>
      </c>
      <c r="AF75" s="37" t="s">
        <v>597</v>
      </c>
      <c r="AG75" s="14" t="s">
        <v>513</v>
      </c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 t="s">
        <v>566</v>
      </c>
      <c r="AT75" s="14"/>
      <c r="AU75" s="11"/>
      <c r="AV75" s="14"/>
    </row>
    <row r="76" spans="1:49" s="45" customFormat="1" ht="15" x14ac:dyDescent="0.25">
      <c r="A76" s="199">
        <v>46217</v>
      </c>
      <c r="B76" s="126">
        <v>46248</v>
      </c>
      <c r="C76" s="42" t="s">
        <v>49</v>
      </c>
      <c r="D76" s="42" t="s">
        <v>299</v>
      </c>
      <c r="E76" s="14"/>
      <c r="F76" s="71">
        <v>3989379</v>
      </c>
      <c r="G76" s="42" t="s">
        <v>50</v>
      </c>
      <c r="H76" s="31">
        <v>20101973922</v>
      </c>
      <c r="I76" s="138" t="str">
        <f>IF(H76="","",VLOOKUP(H76,ENTIDAD!$B$2:$C$613,2,0))</f>
        <v>ASOCIACION AUTOMOTRIZ DEL PERU</v>
      </c>
      <c r="J76" s="11"/>
      <c r="K76" s="11"/>
      <c r="L76" s="11"/>
      <c r="M76" s="11"/>
      <c r="N76" s="116"/>
      <c r="O76" s="116"/>
      <c r="P76" s="11">
        <v>0</v>
      </c>
      <c r="Q76" s="11"/>
      <c r="R76" s="11">
        <v>66.8</v>
      </c>
      <c r="S76" s="11">
        <v>66.8</v>
      </c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>
        <v>46248</v>
      </c>
      <c r="AE76" s="34" t="s">
        <v>465</v>
      </c>
      <c r="AF76" s="37" t="s">
        <v>597</v>
      </c>
      <c r="AG76" s="14" t="s">
        <v>513</v>
      </c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 t="s">
        <v>566</v>
      </c>
      <c r="AT76" s="14"/>
      <c r="AU76" s="11"/>
      <c r="AV76" s="14"/>
    </row>
    <row r="77" spans="1:49" s="45" customFormat="1" ht="15" x14ac:dyDescent="0.25">
      <c r="A77" s="199">
        <v>46217</v>
      </c>
      <c r="B77" s="126">
        <v>46248</v>
      </c>
      <c r="C77" s="42" t="s">
        <v>49</v>
      </c>
      <c r="D77" s="42" t="s">
        <v>299</v>
      </c>
      <c r="E77" s="14"/>
      <c r="F77" s="71">
        <v>3989378</v>
      </c>
      <c r="G77" s="42" t="s">
        <v>50</v>
      </c>
      <c r="H77" s="31">
        <v>20101973922</v>
      </c>
      <c r="I77" s="138" t="str">
        <f>IF(H77="","",VLOOKUP(H77,ENTIDAD!$B$2:$C$613,2,0))</f>
        <v>ASOCIACION AUTOMOTRIZ DEL PERU</v>
      </c>
      <c r="J77" s="11"/>
      <c r="K77" s="11"/>
      <c r="L77" s="11"/>
      <c r="M77" s="11"/>
      <c r="N77" s="116"/>
      <c r="O77" s="116"/>
      <c r="P77" s="11">
        <v>0</v>
      </c>
      <c r="Q77" s="11"/>
      <c r="R77" s="11">
        <v>66.8</v>
      </c>
      <c r="S77" s="11">
        <v>66.8</v>
      </c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>
        <v>46248</v>
      </c>
      <c r="AE77" s="34" t="s">
        <v>465</v>
      </c>
      <c r="AF77" s="37" t="s">
        <v>597</v>
      </c>
      <c r="AG77" s="14" t="s">
        <v>513</v>
      </c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 t="s">
        <v>566</v>
      </c>
      <c r="AT77" s="14"/>
      <c r="AU77" s="11"/>
      <c r="AV77" s="14"/>
    </row>
    <row r="78" spans="1:49" s="45" customFormat="1" ht="15.75" customHeight="1" x14ac:dyDescent="0.25">
      <c r="A78" s="199">
        <v>46217</v>
      </c>
      <c r="B78" s="126">
        <v>46248</v>
      </c>
      <c r="C78" s="42" t="s">
        <v>49</v>
      </c>
      <c r="D78" s="42" t="s">
        <v>299</v>
      </c>
      <c r="E78" s="14"/>
      <c r="F78" s="71">
        <v>3989377</v>
      </c>
      <c r="G78" s="42" t="s">
        <v>50</v>
      </c>
      <c r="H78" s="31">
        <v>20101973922</v>
      </c>
      <c r="I78" s="138" t="str">
        <f>IF(H78="","",VLOOKUP(H78,ENTIDAD!$B$2:$C$613,2,0))</f>
        <v>ASOCIACION AUTOMOTRIZ DEL PERU</v>
      </c>
      <c r="J78" s="11"/>
      <c r="K78" s="11"/>
      <c r="L78" s="11"/>
      <c r="M78" s="11"/>
      <c r="N78" s="116"/>
      <c r="O78" s="116"/>
      <c r="P78" s="11">
        <v>0</v>
      </c>
      <c r="Q78" s="11"/>
      <c r="R78" s="11">
        <v>66.8</v>
      </c>
      <c r="S78" s="11">
        <v>66.8</v>
      </c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>
        <v>46248</v>
      </c>
      <c r="AE78" s="34" t="s">
        <v>465</v>
      </c>
      <c r="AF78" s="37" t="s">
        <v>597</v>
      </c>
      <c r="AG78" s="14" t="s">
        <v>513</v>
      </c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 t="s">
        <v>566</v>
      </c>
      <c r="AT78" s="14"/>
      <c r="AU78" s="11"/>
      <c r="AV78" s="14"/>
    </row>
    <row r="79" spans="1:49" s="45" customFormat="1" ht="15" x14ac:dyDescent="0.25">
      <c r="A79" s="199">
        <v>46217</v>
      </c>
      <c r="B79" s="126">
        <v>46248</v>
      </c>
      <c r="C79" s="42" t="s">
        <v>49</v>
      </c>
      <c r="D79" s="42" t="s">
        <v>299</v>
      </c>
      <c r="E79" s="14"/>
      <c r="F79" s="71">
        <v>3989376</v>
      </c>
      <c r="G79" s="42" t="s">
        <v>50</v>
      </c>
      <c r="H79" s="31">
        <v>20101973922</v>
      </c>
      <c r="I79" s="138" t="str">
        <f>IF(H79="","",VLOOKUP(H79,ENTIDAD!$B$2:$C$613,2,0))</f>
        <v>ASOCIACION AUTOMOTRIZ DEL PERU</v>
      </c>
      <c r="J79" s="11"/>
      <c r="K79" s="11"/>
      <c r="L79" s="11"/>
      <c r="M79" s="11"/>
      <c r="N79" s="116"/>
      <c r="O79" s="116"/>
      <c r="P79" s="11">
        <v>0</v>
      </c>
      <c r="Q79" s="11"/>
      <c r="R79" s="11">
        <v>66.8</v>
      </c>
      <c r="S79" s="11">
        <v>66.8</v>
      </c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>
        <v>46248</v>
      </c>
      <c r="AE79" s="34" t="s">
        <v>465</v>
      </c>
      <c r="AF79" s="37" t="s">
        <v>597</v>
      </c>
      <c r="AG79" s="14" t="s">
        <v>513</v>
      </c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 t="s">
        <v>566</v>
      </c>
      <c r="AT79" s="14"/>
      <c r="AU79" s="11"/>
      <c r="AV79" s="14"/>
    </row>
    <row r="80" spans="1:49" s="45" customFormat="1" ht="15" x14ac:dyDescent="0.25">
      <c r="A80" s="199">
        <v>46217</v>
      </c>
      <c r="B80" s="126">
        <v>46248</v>
      </c>
      <c r="C80" s="42" t="s">
        <v>49</v>
      </c>
      <c r="D80" s="42" t="s">
        <v>299</v>
      </c>
      <c r="E80" s="14"/>
      <c r="F80" s="71">
        <v>3989375</v>
      </c>
      <c r="G80" s="42" t="s">
        <v>50</v>
      </c>
      <c r="H80" s="31">
        <v>20101973922</v>
      </c>
      <c r="I80" s="138" t="str">
        <f>IF(H80="","",VLOOKUP(H80,[1]ENTIDAD!$B$2:$C$605,2,0))</f>
        <v>ASOCIACION AUTOMOTRIZ DEL PERU</v>
      </c>
      <c r="J80" s="11"/>
      <c r="K80" s="11"/>
      <c r="L80" s="11"/>
      <c r="M80" s="11"/>
      <c r="N80" s="116"/>
      <c r="O80" s="116"/>
      <c r="P80" s="11">
        <v>0</v>
      </c>
      <c r="Q80" s="11"/>
      <c r="R80" s="11">
        <v>66.8</v>
      </c>
      <c r="S80" s="11">
        <v>66.8</v>
      </c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33">
        <v>46248</v>
      </c>
      <c r="AE80" s="34" t="s">
        <v>465</v>
      </c>
      <c r="AF80" s="37" t="s">
        <v>597</v>
      </c>
      <c r="AG80" s="14" t="s">
        <v>513</v>
      </c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 t="s">
        <v>566</v>
      </c>
      <c r="AT80" s="14"/>
      <c r="AU80" s="11"/>
      <c r="AV80" s="14"/>
    </row>
    <row r="81" spans="1:49" s="121" customFormat="1" ht="15" x14ac:dyDescent="0.25">
      <c r="A81" s="199">
        <v>46217</v>
      </c>
      <c r="B81" s="126">
        <v>46248</v>
      </c>
      <c r="C81" s="42" t="s">
        <v>49</v>
      </c>
      <c r="D81" s="42" t="s">
        <v>299</v>
      </c>
      <c r="E81" s="14"/>
      <c r="F81" s="71">
        <v>3989374</v>
      </c>
      <c r="G81" s="42" t="s">
        <v>50</v>
      </c>
      <c r="H81" s="31">
        <v>20101973922</v>
      </c>
      <c r="I81" s="138" t="str">
        <f>IF(H81="","",VLOOKUP(H81,[1]ENTIDAD!$B$2:$C$605,2,0))</f>
        <v>ASOCIACION AUTOMOTRIZ DEL PERU</v>
      </c>
      <c r="J81" s="11"/>
      <c r="K81" s="11"/>
      <c r="L81" s="11"/>
      <c r="M81" s="11"/>
      <c r="N81" s="116"/>
      <c r="O81" s="116"/>
      <c r="P81" s="11">
        <v>0</v>
      </c>
      <c r="Q81" s="11"/>
      <c r="R81" s="11">
        <v>66.8</v>
      </c>
      <c r="S81" s="11">
        <v>66.8</v>
      </c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33">
        <v>46248</v>
      </c>
      <c r="AE81" s="34" t="s">
        <v>465</v>
      </c>
      <c r="AF81" s="37" t="s">
        <v>597</v>
      </c>
      <c r="AG81" s="14" t="s">
        <v>513</v>
      </c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 t="s">
        <v>566</v>
      </c>
      <c r="AT81" s="14"/>
      <c r="AU81" s="11"/>
      <c r="AV81" s="14"/>
      <c r="AW81" s="45"/>
    </row>
    <row r="82" spans="1:49" s="45" customFormat="1" ht="15" x14ac:dyDescent="0.25">
      <c r="A82" s="199">
        <v>46217</v>
      </c>
      <c r="B82" s="126">
        <v>46248</v>
      </c>
      <c r="C82" s="42" t="s">
        <v>49</v>
      </c>
      <c r="D82" s="42" t="s">
        <v>299</v>
      </c>
      <c r="E82" s="14"/>
      <c r="F82" s="71">
        <v>3989373</v>
      </c>
      <c r="G82" s="42" t="s">
        <v>50</v>
      </c>
      <c r="H82" s="31">
        <v>20101973922</v>
      </c>
      <c r="I82" s="43" t="str">
        <f>IF(H82="","",VLOOKUP(H82,[1]ENTIDAD!$B$2:$C$605,2,0))</f>
        <v>ASOCIACION AUTOMOTRIZ DEL PERU</v>
      </c>
      <c r="J82" s="11"/>
      <c r="K82" s="11"/>
      <c r="L82" s="11"/>
      <c r="M82" s="11"/>
      <c r="N82" s="116"/>
      <c r="O82" s="116"/>
      <c r="P82" s="11">
        <v>0</v>
      </c>
      <c r="Q82" s="11"/>
      <c r="R82" s="11">
        <v>66.8</v>
      </c>
      <c r="S82" s="11">
        <v>66.8</v>
      </c>
      <c r="T82" s="14"/>
      <c r="U82" s="14"/>
      <c r="V82" s="13"/>
      <c r="W82" s="15"/>
      <c r="X82" s="13"/>
      <c r="Y82" s="14"/>
      <c r="Z82" s="14"/>
      <c r="AA82" s="14"/>
      <c r="AB82" s="42" t="s">
        <v>224</v>
      </c>
      <c r="AC82" s="11"/>
      <c r="AD82" s="33">
        <v>46248</v>
      </c>
      <c r="AE82" s="34" t="s">
        <v>465</v>
      </c>
      <c r="AF82" s="37" t="s">
        <v>597</v>
      </c>
      <c r="AG82" s="14" t="s">
        <v>513</v>
      </c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 t="s">
        <v>566</v>
      </c>
      <c r="AT82" s="14"/>
      <c r="AU82" s="11"/>
      <c r="AV82" s="14"/>
    </row>
    <row r="83" spans="1:49" s="45" customFormat="1" ht="15" x14ac:dyDescent="0.25">
      <c r="A83" s="200">
        <v>46217</v>
      </c>
      <c r="B83" s="126">
        <v>46248</v>
      </c>
      <c r="C83" s="111" t="s">
        <v>49</v>
      </c>
      <c r="D83" s="42" t="s">
        <v>299</v>
      </c>
      <c r="E83" s="112"/>
      <c r="F83" s="71">
        <v>3989372</v>
      </c>
      <c r="G83" s="111" t="s">
        <v>50</v>
      </c>
      <c r="H83" s="31">
        <v>20101973922</v>
      </c>
      <c r="I83" s="43" t="str">
        <f>IF(H83="","",VLOOKUP(H83,[1]ENTIDAD!$B$2:$C$605,2,0))</f>
        <v>ASOCIACION AUTOMOTRIZ DEL PERU</v>
      </c>
      <c r="J83" s="116"/>
      <c r="K83" s="116"/>
      <c r="L83" s="116"/>
      <c r="M83" s="116"/>
      <c r="N83" s="116"/>
      <c r="O83" s="116"/>
      <c r="P83" s="11">
        <v>0</v>
      </c>
      <c r="Q83" s="116"/>
      <c r="R83" s="11">
        <v>66.8</v>
      </c>
      <c r="S83" s="11">
        <v>66.8</v>
      </c>
      <c r="T83" s="112"/>
      <c r="U83" s="112"/>
      <c r="V83" s="109"/>
      <c r="W83" s="118"/>
      <c r="X83" s="109"/>
      <c r="Y83" s="112"/>
      <c r="Z83" s="112"/>
      <c r="AA83" s="112"/>
      <c r="AB83" s="42" t="s">
        <v>224</v>
      </c>
      <c r="AC83" s="11"/>
      <c r="AD83" s="33">
        <v>46248</v>
      </c>
      <c r="AE83" s="34" t="s">
        <v>465</v>
      </c>
      <c r="AF83" s="37" t="s">
        <v>597</v>
      </c>
      <c r="AG83" s="14" t="s">
        <v>513</v>
      </c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 t="s">
        <v>566</v>
      </c>
      <c r="AT83" s="112"/>
      <c r="AU83" s="116"/>
      <c r="AV83" s="112"/>
      <c r="AW83" s="121"/>
    </row>
    <row r="84" spans="1:49" s="45" customFormat="1" ht="15" x14ac:dyDescent="0.25">
      <c r="A84" s="199">
        <v>46217</v>
      </c>
      <c r="B84" s="126">
        <v>46248</v>
      </c>
      <c r="C84" s="42" t="s">
        <v>49</v>
      </c>
      <c r="D84" s="42" t="s">
        <v>299</v>
      </c>
      <c r="E84" s="14"/>
      <c r="F84" s="71">
        <v>3989371</v>
      </c>
      <c r="G84" s="42" t="s">
        <v>50</v>
      </c>
      <c r="H84" s="31">
        <v>20101973922</v>
      </c>
      <c r="I84" s="43" t="str">
        <f>IF(H84="","",VLOOKUP(H84,[1]ENTIDAD!$B$2:$C$605,2,0))</f>
        <v>ASOCIACION AUTOMOTRIZ DEL PERU</v>
      </c>
      <c r="J84" s="11"/>
      <c r="K84" s="11"/>
      <c r="L84" s="11"/>
      <c r="M84" s="11"/>
      <c r="N84" s="116"/>
      <c r="O84" s="116"/>
      <c r="P84" s="11">
        <v>0</v>
      </c>
      <c r="Q84" s="11"/>
      <c r="R84" s="11">
        <v>66.8</v>
      </c>
      <c r="S84" s="11">
        <v>66.8</v>
      </c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33">
        <v>46248</v>
      </c>
      <c r="AE84" s="34" t="s">
        <v>465</v>
      </c>
      <c r="AF84" s="37" t="s">
        <v>597</v>
      </c>
      <c r="AG84" s="14" t="s">
        <v>513</v>
      </c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 t="s">
        <v>566</v>
      </c>
      <c r="AT84" s="14"/>
      <c r="AU84" s="11"/>
      <c r="AV84" s="14"/>
    </row>
    <row r="85" spans="1:49" s="45" customFormat="1" ht="15" x14ac:dyDescent="0.25">
      <c r="A85" s="199">
        <v>46217</v>
      </c>
      <c r="B85" s="126">
        <v>46248</v>
      </c>
      <c r="C85" s="42" t="s">
        <v>49</v>
      </c>
      <c r="D85" s="42" t="s">
        <v>299</v>
      </c>
      <c r="E85" s="14"/>
      <c r="F85" s="71">
        <v>3989370</v>
      </c>
      <c r="G85" s="42" t="s">
        <v>50</v>
      </c>
      <c r="H85" s="31">
        <v>20101973922</v>
      </c>
      <c r="I85" s="43" t="str">
        <f>IF(H85="","",VLOOKUP(H85,[1]ENTIDAD!$B$2:$C$605,2,0))</f>
        <v>ASOCIACION AUTOMOTRIZ DEL PERU</v>
      </c>
      <c r="J85" s="11"/>
      <c r="K85" s="11"/>
      <c r="L85" s="11"/>
      <c r="M85" s="11"/>
      <c r="N85" s="116"/>
      <c r="O85" s="116"/>
      <c r="P85" s="11">
        <v>0</v>
      </c>
      <c r="Q85" s="11"/>
      <c r="R85" s="11">
        <v>66.8</v>
      </c>
      <c r="S85" s="11">
        <v>66.8</v>
      </c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>
        <v>46248</v>
      </c>
      <c r="AE85" s="34" t="s">
        <v>465</v>
      </c>
      <c r="AF85" s="37" t="s">
        <v>597</v>
      </c>
      <c r="AG85" s="14" t="s">
        <v>513</v>
      </c>
      <c r="AH85" s="1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 t="s">
        <v>566</v>
      </c>
      <c r="AT85" s="14"/>
      <c r="AU85" s="11"/>
      <c r="AV85" s="14"/>
    </row>
    <row r="86" spans="1:49" s="45" customFormat="1" ht="15" x14ac:dyDescent="0.25">
      <c r="A86" s="199">
        <v>46217</v>
      </c>
      <c r="B86" s="126">
        <v>46248</v>
      </c>
      <c r="C86" s="42" t="s">
        <v>49</v>
      </c>
      <c r="D86" s="42" t="s">
        <v>299</v>
      </c>
      <c r="E86" s="14"/>
      <c r="F86" s="71">
        <v>3989369</v>
      </c>
      <c r="G86" s="42" t="s">
        <v>50</v>
      </c>
      <c r="H86" s="31">
        <v>20101973922</v>
      </c>
      <c r="I86" s="43" t="str">
        <f>IF(H86="","",VLOOKUP(H86,[1]ENTIDAD!$B$2:$C$605,2,0))</f>
        <v>ASOCIACION AUTOMOTRIZ DEL PERU</v>
      </c>
      <c r="J86" s="11"/>
      <c r="K86" s="11"/>
      <c r="L86" s="11"/>
      <c r="M86" s="11"/>
      <c r="N86" s="116"/>
      <c r="O86" s="116"/>
      <c r="P86" s="11">
        <v>0</v>
      </c>
      <c r="Q86" s="11"/>
      <c r="R86" s="11">
        <v>66.8</v>
      </c>
      <c r="S86" s="11">
        <v>66.8</v>
      </c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33">
        <v>46248</v>
      </c>
      <c r="AE86" s="34" t="s">
        <v>465</v>
      </c>
      <c r="AF86" s="37" t="s">
        <v>597</v>
      </c>
      <c r="AG86" s="14" t="s">
        <v>513</v>
      </c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 t="s">
        <v>566</v>
      </c>
      <c r="AT86" s="14"/>
      <c r="AU86" s="11"/>
      <c r="AV86" s="14"/>
    </row>
    <row r="87" spans="1:49" s="45" customFormat="1" ht="15" x14ac:dyDescent="0.25">
      <c r="A87" s="199">
        <v>46217</v>
      </c>
      <c r="B87" s="126">
        <v>46248</v>
      </c>
      <c r="C87" s="42" t="s">
        <v>49</v>
      </c>
      <c r="D87" s="42" t="s">
        <v>299</v>
      </c>
      <c r="E87" s="14"/>
      <c r="F87" s="71">
        <v>3989368</v>
      </c>
      <c r="G87" s="42" t="s">
        <v>50</v>
      </c>
      <c r="H87" s="31">
        <v>20101973922</v>
      </c>
      <c r="I87" s="43" t="str">
        <f>IF(H87="","",VLOOKUP(H87,[1]ENTIDAD!$B$2:$C$605,2,0))</f>
        <v>ASOCIACION AUTOMOTRIZ DEL PERU</v>
      </c>
      <c r="J87" s="11"/>
      <c r="K87" s="11"/>
      <c r="L87" s="11"/>
      <c r="M87" s="11"/>
      <c r="N87" s="116"/>
      <c r="O87" s="116"/>
      <c r="P87" s="11">
        <v>0</v>
      </c>
      <c r="Q87" s="11"/>
      <c r="R87" s="11">
        <v>66.8</v>
      </c>
      <c r="S87" s="11">
        <v>66.8</v>
      </c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33">
        <v>46248</v>
      </c>
      <c r="AE87" s="34" t="s">
        <v>465</v>
      </c>
      <c r="AF87" s="37" t="s">
        <v>597</v>
      </c>
      <c r="AG87" s="14" t="s">
        <v>513</v>
      </c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 t="s">
        <v>566</v>
      </c>
      <c r="AT87" s="14"/>
      <c r="AU87" s="11"/>
      <c r="AV87" s="14"/>
    </row>
    <row r="88" spans="1:49" s="45" customFormat="1" ht="15" x14ac:dyDescent="0.25">
      <c r="A88" s="199">
        <v>46217</v>
      </c>
      <c r="B88" s="126">
        <v>46248</v>
      </c>
      <c r="C88" s="42" t="s">
        <v>49</v>
      </c>
      <c r="D88" s="42" t="s">
        <v>299</v>
      </c>
      <c r="E88" s="14"/>
      <c r="F88" s="71">
        <v>3989367</v>
      </c>
      <c r="G88" s="42" t="s">
        <v>50</v>
      </c>
      <c r="H88" s="31">
        <v>20101973922</v>
      </c>
      <c r="I88" s="43" t="str">
        <f>IF(H88="","",VLOOKUP(H88,[1]ENTIDAD!$B$2:$C$605,2,0))</f>
        <v>ASOCIACION AUTOMOTRIZ DEL PERU</v>
      </c>
      <c r="J88" s="11"/>
      <c r="K88" s="11"/>
      <c r="L88" s="11"/>
      <c r="M88" s="11"/>
      <c r="N88" s="116"/>
      <c r="O88" s="116"/>
      <c r="P88" s="11">
        <v>0</v>
      </c>
      <c r="Q88" s="11"/>
      <c r="R88" s="11">
        <v>66.8</v>
      </c>
      <c r="S88" s="11">
        <v>66.8</v>
      </c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33">
        <v>46248</v>
      </c>
      <c r="AE88" s="34" t="s">
        <v>465</v>
      </c>
      <c r="AF88" s="37" t="s">
        <v>597</v>
      </c>
      <c r="AG88" s="14" t="s">
        <v>513</v>
      </c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 t="s">
        <v>566</v>
      </c>
      <c r="AT88" s="14"/>
      <c r="AU88" s="11"/>
      <c r="AV88" s="14"/>
    </row>
    <row r="89" spans="1:49" s="45" customFormat="1" ht="15" x14ac:dyDescent="0.25">
      <c r="A89" s="199">
        <v>46217</v>
      </c>
      <c r="B89" s="126">
        <v>46248</v>
      </c>
      <c r="C89" s="42" t="s">
        <v>49</v>
      </c>
      <c r="D89" s="42" t="s">
        <v>299</v>
      </c>
      <c r="E89" s="14"/>
      <c r="F89" s="71">
        <v>3989366</v>
      </c>
      <c r="G89" s="42" t="s">
        <v>50</v>
      </c>
      <c r="H89" s="31">
        <v>20101973922</v>
      </c>
      <c r="I89" s="43" t="str">
        <f>IF(H89="","",VLOOKUP(H89,[1]ENTIDAD!$B$2:$C$605,2,0))</f>
        <v>ASOCIACION AUTOMOTRIZ DEL PERU</v>
      </c>
      <c r="J89" s="11"/>
      <c r="K89" s="11"/>
      <c r="L89" s="11"/>
      <c r="M89" s="11"/>
      <c r="N89" s="116"/>
      <c r="O89" s="116"/>
      <c r="P89" s="11">
        <v>0</v>
      </c>
      <c r="Q89" s="11"/>
      <c r="R89" s="11">
        <v>66.8</v>
      </c>
      <c r="S89" s="11">
        <v>66.8</v>
      </c>
      <c r="T89" s="14"/>
      <c r="U89" s="14"/>
      <c r="V89" s="13"/>
      <c r="W89" s="15"/>
      <c r="X89" s="13"/>
      <c r="Y89" s="14"/>
      <c r="Z89" s="14"/>
      <c r="AA89" s="14"/>
      <c r="AB89" s="42" t="s">
        <v>224</v>
      </c>
      <c r="AC89" s="11"/>
      <c r="AD89" s="33">
        <v>46248</v>
      </c>
      <c r="AE89" s="34" t="s">
        <v>465</v>
      </c>
      <c r="AF89" s="37" t="s">
        <v>597</v>
      </c>
      <c r="AG89" s="14" t="s">
        <v>513</v>
      </c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 t="s">
        <v>566</v>
      </c>
      <c r="AT89" s="14"/>
      <c r="AU89" s="11"/>
      <c r="AV89" s="14"/>
    </row>
    <row r="90" spans="1:49" s="45" customFormat="1" ht="15" x14ac:dyDescent="0.25">
      <c r="A90" s="199">
        <v>46217</v>
      </c>
      <c r="B90" s="126">
        <v>46248</v>
      </c>
      <c r="C90" s="42" t="s">
        <v>49</v>
      </c>
      <c r="D90" s="42" t="s">
        <v>299</v>
      </c>
      <c r="E90" s="14"/>
      <c r="F90" s="71">
        <v>3989365</v>
      </c>
      <c r="G90" s="42" t="s">
        <v>50</v>
      </c>
      <c r="H90" s="31">
        <v>20101973922</v>
      </c>
      <c r="I90" s="138" t="str">
        <f>IF(H90="","",VLOOKUP(H90,[1]ENTIDAD!$B$2:$C$605,2,0))</f>
        <v>ASOCIACION AUTOMOTRIZ DEL PERU</v>
      </c>
      <c r="J90" s="11"/>
      <c r="K90" s="11"/>
      <c r="L90" s="11"/>
      <c r="M90" s="11"/>
      <c r="N90" s="116"/>
      <c r="O90" s="116"/>
      <c r="P90" s="11">
        <v>0</v>
      </c>
      <c r="Q90" s="11"/>
      <c r="R90" s="11">
        <v>66.8</v>
      </c>
      <c r="S90" s="11">
        <v>66.8</v>
      </c>
      <c r="T90" s="14"/>
      <c r="U90" s="14"/>
      <c r="V90" s="13"/>
      <c r="W90" s="15"/>
      <c r="X90" s="13"/>
      <c r="Y90" s="14"/>
      <c r="Z90" s="14"/>
      <c r="AA90" s="14"/>
      <c r="AB90" s="42" t="s">
        <v>224</v>
      </c>
      <c r="AC90" s="11"/>
      <c r="AD90" s="33">
        <v>46248</v>
      </c>
      <c r="AE90" s="34" t="s">
        <v>465</v>
      </c>
      <c r="AF90" s="37" t="s">
        <v>597</v>
      </c>
      <c r="AG90" s="14" t="s">
        <v>513</v>
      </c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 t="s">
        <v>566</v>
      </c>
      <c r="AT90" s="14"/>
      <c r="AU90" s="11"/>
      <c r="AV90" s="14"/>
    </row>
    <row r="91" spans="1:49" s="45" customFormat="1" ht="15" x14ac:dyDescent="0.25">
      <c r="A91" s="199">
        <v>46217</v>
      </c>
      <c r="B91" s="126">
        <v>46248</v>
      </c>
      <c r="C91" s="42" t="s">
        <v>49</v>
      </c>
      <c r="D91" s="42" t="s">
        <v>299</v>
      </c>
      <c r="E91" s="14"/>
      <c r="F91" s="71">
        <v>3989364</v>
      </c>
      <c r="G91" s="42" t="s">
        <v>50</v>
      </c>
      <c r="H91" s="31">
        <v>20101973922</v>
      </c>
      <c r="I91" s="138" t="str">
        <f>IF(H91="","",VLOOKUP(H91,[1]ENTIDAD!$B$2:$C$605,2,0))</f>
        <v>ASOCIACION AUTOMOTRIZ DEL PERU</v>
      </c>
      <c r="J91" s="11"/>
      <c r="K91" s="11"/>
      <c r="L91" s="11"/>
      <c r="M91" s="11"/>
      <c r="N91" s="116"/>
      <c r="O91" s="116"/>
      <c r="P91" s="11">
        <v>0</v>
      </c>
      <c r="Q91" s="11"/>
      <c r="R91" s="11">
        <v>66.8</v>
      </c>
      <c r="S91" s="11">
        <v>66.8</v>
      </c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>
        <v>46248</v>
      </c>
      <c r="AE91" s="34" t="s">
        <v>465</v>
      </c>
      <c r="AF91" s="37" t="s">
        <v>597</v>
      </c>
      <c r="AG91" s="14" t="s">
        <v>513</v>
      </c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 t="s">
        <v>566</v>
      </c>
      <c r="AT91" s="14"/>
      <c r="AU91" s="11"/>
      <c r="AV91" s="14"/>
    </row>
    <row r="92" spans="1:49" s="45" customFormat="1" ht="15" x14ac:dyDescent="0.25">
      <c r="A92" s="199">
        <v>46217</v>
      </c>
      <c r="B92" s="126">
        <v>46248</v>
      </c>
      <c r="C92" s="42" t="s">
        <v>49</v>
      </c>
      <c r="D92" s="42" t="s">
        <v>299</v>
      </c>
      <c r="E92" s="14"/>
      <c r="F92" s="71">
        <v>3989363</v>
      </c>
      <c r="G92" s="42" t="s">
        <v>50</v>
      </c>
      <c r="H92" s="31">
        <v>20101973922</v>
      </c>
      <c r="I92" s="138" t="str">
        <f>IF(H92="","",VLOOKUP(H92,[1]ENTIDAD!$B$2:$C$605,2,0))</f>
        <v>ASOCIACION AUTOMOTRIZ DEL PERU</v>
      </c>
      <c r="J92" s="11"/>
      <c r="K92" s="11"/>
      <c r="L92" s="11"/>
      <c r="M92" s="11"/>
      <c r="N92" s="116"/>
      <c r="O92" s="116"/>
      <c r="P92" s="11">
        <v>0</v>
      </c>
      <c r="Q92" s="11"/>
      <c r="R92" s="11">
        <v>66.8</v>
      </c>
      <c r="S92" s="11">
        <v>66.8</v>
      </c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>
        <v>46248</v>
      </c>
      <c r="AE92" s="34" t="s">
        <v>465</v>
      </c>
      <c r="AF92" s="37" t="s">
        <v>597</v>
      </c>
      <c r="AG92" s="14" t="s">
        <v>513</v>
      </c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 t="s">
        <v>566</v>
      </c>
      <c r="AT92" s="14"/>
      <c r="AU92" s="11"/>
      <c r="AV92" s="14"/>
    </row>
    <row r="93" spans="1:49" s="45" customFormat="1" ht="15" x14ac:dyDescent="0.25">
      <c r="A93" s="199">
        <v>46217</v>
      </c>
      <c r="B93" s="126">
        <v>46248</v>
      </c>
      <c r="C93" s="42" t="s">
        <v>49</v>
      </c>
      <c r="D93" s="42" t="s">
        <v>299</v>
      </c>
      <c r="E93" s="14"/>
      <c r="F93" s="71">
        <v>3989362</v>
      </c>
      <c r="G93" s="42" t="s">
        <v>50</v>
      </c>
      <c r="H93" s="31">
        <v>20101973922</v>
      </c>
      <c r="I93" s="138" t="str">
        <f>IF(H93="","",VLOOKUP(H93,[1]ENTIDAD!$B$2:$C$605,2,0))</f>
        <v>ASOCIACION AUTOMOTRIZ DEL PERU</v>
      </c>
      <c r="J93" s="11"/>
      <c r="K93" s="11"/>
      <c r="L93" s="11"/>
      <c r="M93" s="11"/>
      <c r="N93" s="116"/>
      <c r="O93" s="116"/>
      <c r="P93" s="11">
        <v>0</v>
      </c>
      <c r="Q93" s="11"/>
      <c r="R93" s="11">
        <v>66.8</v>
      </c>
      <c r="S93" s="11">
        <v>66.8</v>
      </c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33">
        <v>46248</v>
      </c>
      <c r="AE93" s="34" t="s">
        <v>465</v>
      </c>
      <c r="AF93" s="37" t="s">
        <v>597</v>
      </c>
      <c r="AG93" s="14" t="s">
        <v>513</v>
      </c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 t="s">
        <v>566</v>
      </c>
      <c r="AT93" s="14"/>
      <c r="AU93" s="11"/>
      <c r="AV93" s="14"/>
    </row>
    <row r="94" spans="1:49" s="45" customFormat="1" ht="15" x14ac:dyDescent="0.25">
      <c r="A94" s="199">
        <v>46217</v>
      </c>
      <c r="B94" s="126">
        <v>46248</v>
      </c>
      <c r="C94" s="42" t="s">
        <v>49</v>
      </c>
      <c r="D94" s="42" t="s">
        <v>299</v>
      </c>
      <c r="E94" s="14"/>
      <c r="F94" s="71">
        <v>3989361</v>
      </c>
      <c r="G94" s="42" t="s">
        <v>50</v>
      </c>
      <c r="H94" s="31">
        <v>20101973922</v>
      </c>
      <c r="I94" s="138" t="str">
        <f>IF(H94="","",VLOOKUP(H94,[1]ENTIDAD!$B$2:$C$605,2,0))</f>
        <v>ASOCIACION AUTOMOTRIZ DEL PERU</v>
      </c>
      <c r="J94" s="11"/>
      <c r="K94" s="11"/>
      <c r="L94" s="11"/>
      <c r="M94" s="11"/>
      <c r="N94" s="116"/>
      <c r="O94" s="116"/>
      <c r="P94" s="11">
        <v>0</v>
      </c>
      <c r="Q94" s="11"/>
      <c r="R94" s="11">
        <v>66.8</v>
      </c>
      <c r="S94" s="11">
        <v>66.8</v>
      </c>
      <c r="T94" s="14"/>
      <c r="U94" s="14"/>
      <c r="V94" s="13"/>
      <c r="W94" s="15"/>
      <c r="X94" s="13"/>
      <c r="Y94" s="14"/>
      <c r="Z94" s="14"/>
      <c r="AA94" s="14"/>
      <c r="AB94" s="42" t="s">
        <v>224</v>
      </c>
      <c r="AC94" s="11"/>
      <c r="AD94" s="33">
        <v>46248</v>
      </c>
      <c r="AE94" s="34" t="s">
        <v>465</v>
      </c>
      <c r="AF94" s="37" t="s">
        <v>597</v>
      </c>
      <c r="AG94" s="14" t="s">
        <v>513</v>
      </c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 t="s">
        <v>566</v>
      </c>
      <c r="AT94" s="14"/>
      <c r="AU94" s="11"/>
      <c r="AV94" s="14"/>
    </row>
    <row r="95" spans="1:49" s="45" customFormat="1" ht="15" x14ac:dyDescent="0.25">
      <c r="A95" s="199">
        <v>46217</v>
      </c>
      <c r="B95" s="126">
        <v>46248</v>
      </c>
      <c r="C95" s="42" t="s">
        <v>49</v>
      </c>
      <c r="D95" s="42" t="s">
        <v>299</v>
      </c>
      <c r="E95" s="14"/>
      <c r="F95" s="71">
        <v>3989360</v>
      </c>
      <c r="G95" s="42" t="s">
        <v>50</v>
      </c>
      <c r="H95" s="31">
        <v>20101973922</v>
      </c>
      <c r="I95" s="138" t="str">
        <f>IF(H95="","",VLOOKUP(H95,[1]ENTIDAD!$B$2:$C$605,2,0))</f>
        <v>ASOCIACION AUTOMOTRIZ DEL PERU</v>
      </c>
      <c r="J95" s="11"/>
      <c r="K95" s="11"/>
      <c r="L95" s="11"/>
      <c r="M95" s="11"/>
      <c r="N95" s="116"/>
      <c r="O95" s="116"/>
      <c r="P95" s="11">
        <v>0</v>
      </c>
      <c r="Q95" s="11"/>
      <c r="R95" s="11">
        <v>66.8</v>
      </c>
      <c r="S95" s="11">
        <v>66.8</v>
      </c>
      <c r="T95" s="14"/>
      <c r="U95" s="14"/>
      <c r="V95" s="13"/>
      <c r="W95" s="15"/>
      <c r="X95" s="13"/>
      <c r="Y95" s="14"/>
      <c r="Z95" s="14"/>
      <c r="AA95" s="14"/>
      <c r="AB95" s="42" t="s">
        <v>224</v>
      </c>
      <c r="AC95" s="11"/>
      <c r="AD95" s="33">
        <v>46248</v>
      </c>
      <c r="AE95" s="34" t="s">
        <v>465</v>
      </c>
      <c r="AF95" s="37" t="s">
        <v>597</v>
      </c>
      <c r="AG95" s="14" t="s">
        <v>513</v>
      </c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 t="s">
        <v>566</v>
      </c>
      <c r="AT95" s="14"/>
      <c r="AU95" s="11"/>
      <c r="AV95" s="14"/>
    </row>
    <row r="96" spans="1:49" s="45" customFormat="1" ht="15" x14ac:dyDescent="0.25">
      <c r="A96" s="199">
        <v>46217</v>
      </c>
      <c r="B96" s="126">
        <v>46248</v>
      </c>
      <c r="C96" s="42" t="s">
        <v>49</v>
      </c>
      <c r="D96" s="42" t="s">
        <v>299</v>
      </c>
      <c r="E96" s="14"/>
      <c r="F96" s="71">
        <v>3989359</v>
      </c>
      <c r="G96" s="42" t="s">
        <v>50</v>
      </c>
      <c r="H96" s="31">
        <v>20101973922</v>
      </c>
      <c r="I96" s="138" t="str">
        <f>IF(H96="","",VLOOKUP(H96,[1]ENTIDAD!$B$2:$C$605,2,0))</f>
        <v>ASOCIACION AUTOMOTRIZ DEL PERU</v>
      </c>
      <c r="J96" s="11"/>
      <c r="K96" s="11"/>
      <c r="L96" s="11"/>
      <c r="M96" s="11"/>
      <c r="N96" s="116"/>
      <c r="O96" s="116"/>
      <c r="P96" s="11">
        <v>0</v>
      </c>
      <c r="Q96" s="11"/>
      <c r="R96" s="11">
        <v>66.8</v>
      </c>
      <c r="S96" s="11">
        <v>66.8</v>
      </c>
      <c r="T96" s="14"/>
      <c r="U96" s="14"/>
      <c r="V96" s="13"/>
      <c r="W96" s="15"/>
      <c r="X96" s="13"/>
      <c r="Y96" s="14"/>
      <c r="Z96" s="14"/>
      <c r="AA96" s="14"/>
      <c r="AB96" s="42" t="s">
        <v>224</v>
      </c>
      <c r="AC96" s="11"/>
      <c r="AD96" s="33">
        <v>46248</v>
      </c>
      <c r="AE96" s="34" t="s">
        <v>465</v>
      </c>
      <c r="AF96" s="37" t="s">
        <v>597</v>
      </c>
      <c r="AG96" s="14" t="s">
        <v>513</v>
      </c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 t="s">
        <v>566</v>
      </c>
      <c r="AT96" s="14"/>
      <c r="AU96" s="11"/>
      <c r="AV96" s="14"/>
    </row>
    <row r="97" spans="1:49" s="45" customFormat="1" ht="15" x14ac:dyDescent="0.25">
      <c r="A97" s="199">
        <v>46217</v>
      </c>
      <c r="B97" s="126">
        <v>46248</v>
      </c>
      <c r="C97" s="42" t="s">
        <v>49</v>
      </c>
      <c r="D97" s="42" t="s">
        <v>299</v>
      </c>
      <c r="E97" s="14"/>
      <c r="F97" s="71">
        <v>3989358</v>
      </c>
      <c r="G97" s="42" t="s">
        <v>50</v>
      </c>
      <c r="H97" s="31">
        <v>20101973922</v>
      </c>
      <c r="I97" s="138" t="str">
        <f>IF(H97="","",VLOOKUP(H97,[1]ENTIDAD!$B$2:$C$605,2,0))</f>
        <v>ASOCIACION AUTOMOTRIZ DEL PERU</v>
      </c>
      <c r="J97" s="11"/>
      <c r="K97" s="11"/>
      <c r="L97" s="11"/>
      <c r="M97" s="11"/>
      <c r="N97" s="116"/>
      <c r="O97" s="116"/>
      <c r="P97" s="11">
        <v>0</v>
      </c>
      <c r="Q97" s="11"/>
      <c r="R97" s="11">
        <v>66.8</v>
      </c>
      <c r="S97" s="11">
        <v>66.8</v>
      </c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33">
        <v>46248</v>
      </c>
      <c r="AE97" s="34" t="s">
        <v>465</v>
      </c>
      <c r="AF97" s="37" t="s">
        <v>597</v>
      </c>
      <c r="AG97" s="14" t="s">
        <v>513</v>
      </c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 t="s">
        <v>566</v>
      </c>
      <c r="AT97" s="14"/>
      <c r="AU97" s="11"/>
      <c r="AV97" s="14"/>
    </row>
    <row r="98" spans="1:49" s="45" customFormat="1" ht="15" x14ac:dyDescent="0.25">
      <c r="A98" s="199">
        <v>46217</v>
      </c>
      <c r="B98" s="126">
        <v>46248</v>
      </c>
      <c r="C98" s="42" t="s">
        <v>49</v>
      </c>
      <c r="D98" s="42" t="s">
        <v>299</v>
      </c>
      <c r="E98" s="14"/>
      <c r="F98" s="71">
        <v>3989357</v>
      </c>
      <c r="G98" s="42" t="s">
        <v>50</v>
      </c>
      <c r="H98" s="31">
        <v>20101973922</v>
      </c>
      <c r="I98" s="138" t="str">
        <f>IF(H98="","",VLOOKUP(H98,[1]ENTIDAD!$B$2:$C$605,2,0))</f>
        <v>ASOCIACION AUTOMOTRIZ DEL PERU</v>
      </c>
      <c r="J98" s="11"/>
      <c r="K98" s="11"/>
      <c r="L98" s="11"/>
      <c r="M98" s="11"/>
      <c r="N98" s="116"/>
      <c r="O98" s="116"/>
      <c r="P98" s="11">
        <v>0</v>
      </c>
      <c r="Q98" s="11"/>
      <c r="R98" s="11">
        <v>66.8</v>
      </c>
      <c r="S98" s="11">
        <v>66.8</v>
      </c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33">
        <v>46248</v>
      </c>
      <c r="AE98" s="34" t="s">
        <v>465</v>
      </c>
      <c r="AF98" s="37" t="s">
        <v>597</v>
      </c>
      <c r="AG98" s="14" t="s">
        <v>513</v>
      </c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 t="s">
        <v>566</v>
      </c>
      <c r="AT98" s="14"/>
      <c r="AU98" s="11"/>
      <c r="AV98" s="14"/>
    </row>
    <row r="99" spans="1:49" s="45" customFormat="1" ht="15" x14ac:dyDescent="0.25">
      <c r="A99" s="199">
        <v>46218</v>
      </c>
      <c r="B99" s="126">
        <v>46218</v>
      </c>
      <c r="C99" s="42" t="s">
        <v>49</v>
      </c>
      <c r="D99" s="42" t="s">
        <v>451</v>
      </c>
      <c r="E99" s="14"/>
      <c r="F99" s="71">
        <v>352</v>
      </c>
      <c r="G99" s="42" t="s">
        <v>50</v>
      </c>
      <c r="H99" s="31">
        <v>20486549328</v>
      </c>
      <c r="I99" s="138" t="str">
        <f>IF(H99="","",VLOOKUP(H99,[1]ENTIDAD!$B$2:$C$605,2,0))</f>
        <v>SANTISIMA TRINIDAD E.I.R.L.</v>
      </c>
      <c r="J99" s="11"/>
      <c r="K99" s="11"/>
      <c r="L99" s="11"/>
      <c r="M99" s="11"/>
      <c r="N99" s="116">
        <f t="shared" si="4"/>
        <v>0</v>
      </c>
      <c r="O99" s="116">
        <f t="shared" si="5"/>
        <v>0</v>
      </c>
      <c r="P99" s="11">
        <v>55</v>
      </c>
      <c r="Q99" s="11"/>
      <c r="R99" s="11"/>
      <c r="S99" s="11">
        <v>55</v>
      </c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>
        <v>46218</v>
      </c>
      <c r="AE99" s="14" t="s">
        <v>262</v>
      </c>
      <c r="AF99" s="19" t="s">
        <v>604</v>
      </c>
      <c r="AG99" s="14"/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 t="s">
        <v>6503</v>
      </c>
      <c r="AT99" s="14"/>
      <c r="AU99" s="11"/>
      <c r="AV99" s="14"/>
    </row>
    <row r="100" spans="1:49" s="45" customFormat="1" ht="15" x14ac:dyDescent="0.25">
      <c r="A100" s="199">
        <v>46218</v>
      </c>
      <c r="B100" s="126">
        <v>46218</v>
      </c>
      <c r="C100" s="42" t="s">
        <v>49</v>
      </c>
      <c r="D100" s="42" t="s">
        <v>573</v>
      </c>
      <c r="E100" s="14"/>
      <c r="F100" s="71">
        <v>3401</v>
      </c>
      <c r="G100" s="42" t="s">
        <v>50</v>
      </c>
      <c r="H100" s="31">
        <v>10210135435</v>
      </c>
      <c r="I100" s="138" t="str">
        <f>IF(H100="","",VLOOKUP(H100,[1]ENTIDAD!$B$2:$C$605,2,0))</f>
        <v>LAZO LEANDRO PEDRO ISRAEL</v>
      </c>
      <c r="J100" s="11"/>
      <c r="K100" s="11"/>
      <c r="L100" s="11"/>
      <c r="M100" s="11"/>
      <c r="N100" s="116">
        <f t="shared" si="4"/>
        <v>0</v>
      </c>
      <c r="O100" s="116">
        <f t="shared" ref="O100:O131" si="6">N100*0.18</f>
        <v>0</v>
      </c>
      <c r="P100" s="11">
        <v>249.6</v>
      </c>
      <c r="Q100" s="11"/>
      <c r="R100" s="11"/>
      <c r="S100" s="11">
        <v>249.6</v>
      </c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33">
        <v>46218</v>
      </c>
      <c r="AE100" s="14" t="s">
        <v>262</v>
      </c>
      <c r="AF100" s="127" t="s">
        <v>489</v>
      </c>
      <c r="AG100" s="14"/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 t="s">
        <v>6505</v>
      </c>
      <c r="AT100" s="14"/>
      <c r="AU100" s="11"/>
      <c r="AV100" s="14"/>
    </row>
    <row r="101" spans="1:49" s="45" customFormat="1" ht="15" x14ac:dyDescent="0.25">
      <c r="A101" s="199">
        <v>46218</v>
      </c>
      <c r="B101" s="126">
        <v>46249</v>
      </c>
      <c r="C101" s="42" t="s">
        <v>49</v>
      </c>
      <c r="D101" s="42" t="s">
        <v>301</v>
      </c>
      <c r="E101" s="14"/>
      <c r="F101" s="71">
        <v>19323</v>
      </c>
      <c r="G101" s="111" t="s">
        <v>50</v>
      </c>
      <c r="H101" s="114">
        <v>20493508645</v>
      </c>
      <c r="I101" s="138" t="str">
        <f>IF(H101="","",VLOOKUP(H101,[1]ENTIDAD!$B$2:$C$605,2,0))</f>
        <v>HONDA SELVA DEL PERU S.A.</v>
      </c>
      <c r="J101" s="11"/>
      <c r="K101" s="11"/>
      <c r="L101" s="11"/>
      <c r="M101" s="11"/>
      <c r="N101" s="116">
        <f t="shared" si="4"/>
        <v>4.406779642183318E-4</v>
      </c>
      <c r="O101" s="116">
        <f t="shared" si="6"/>
        <v>7.9322033559299718E-5</v>
      </c>
      <c r="P101" s="11">
        <v>13795.76</v>
      </c>
      <c r="Q101" s="11"/>
      <c r="R101" s="11"/>
      <c r="S101" s="11">
        <f>W101*AC101</f>
        <v>13795.760519999998</v>
      </c>
      <c r="T101" s="14"/>
      <c r="U101" s="14"/>
      <c r="V101" s="13"/>
      <c r="W101" s="15">
        <v>3.3969999999999998</v>
      </c>
      <c r="X101" s="13"/>
      <c r="Y101" s="14"/>
      <c r="Z101" s="14"/>
      <c r="AA101" s="14"/>
      <c r="AB101" s="42" t="s">
        <v>383</v>
      </c>
      <c r="AC101" s="11">
        <v>4061.16</v>
      </c>
      <c r="AD101" s="33">
        <v>46249</v>
      </c>
      <c r="AE101" s="34" t="s">
        <v>465</v>
      </c>
      <c r="AF101" s="19" t="s">
        <v>532</v>
      </c>
      <c r="AG101" s="14"/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 t="s">
        <v>201</v>
      </c>
      <c r="AT101" s="14"/>
      <c r="AU101" s="11"/>
      <c r="AV101" s="14"/>
    </row>
    <row r="102" spans="1:49" s="45" customFormat="1" ht="15" x14ac:dyDescent="0.25">
      <c r="A102" s="199">
        <v>46218</v>
      </c>
      <c r="B102" s="126">
        <v>46249</v>
      </c>
      <c r="C102" s="42" t="s">
        <v>49</v>
      </c>
      <c r="D102" s="42" t="s">
        <v>292</v>
      </c>
      <c r="E102" s="14"/>
      <c r="F102" s="71">
        <v>1050</v>
      </c>
      <c r="G102" s="42" t="s">
        <v>50</v>
      </c>
      <c r="H102" s="31">
        <v>10209953426</v>
      </c>
      <c r="I102" s="138" t="str">
        <f>IF(H102="","",VLOOKUP(H102,[1]ENTIDAD!$B$2:$C$605,2,0))</f>
        <v>BALCON,SALINAS,EDGAR</v>
      </c>
      <c r="J102" s="11"/>
      <c r="K102" s="11"/>
      <c r="L102" s="11"/>
      <c r="M102" s="11"/>
      <c r="N102" s="116">
        <f t="shared" si="4"/>
        <v>0</v>
      </c>
      <c r="O102" s="116">
        <f t="shared" si="6"/>
        <v>0</v>
      </c>
      <c r="P102" s="11">
        <v>350</v>
      </c>
      <c r="Q102" s="11"/>
      <c r="R102" s="11"/>
      <c r="S102" s="11">
        <v>350</v>
      </c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33">
        <v>46249</v>
      </c>
      <c r="AE102" s="34" t="s">
        <v>465</v>
      </c>
      <c r="AF102" s="29" t="s">
        <v>703</v>
      </c>
      <c r="AG102" s="14"/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 t="s">
        <v>6510</v>
      </c>
      <c r="AT102" s="14"/>
      <c r="AU102" s="11"/>
      <c r="AV102" s="14"/>
    </row>
    <row r="103" spans="1:49" s="45" customFormat="1" ht="15" x14ac:dyDescent="0.25">
      <c r="A103" s="199">
        <v>46218</v>
      </c>
      <c r="B103" s="109">
        <v>46249</v>
      </c>
      <c r="C103" s="42" t="s">
        <v>49</v>
      </c>
      <c r="D103" s="42" t="s">
        <v>292</v>
      </c>
      <c r="E103" s="14"/>
      <c r="F103" s="71">
        <v>601</v>
      </c>
      <c r="G103" s="42" t="s">
        <v>50</v>
      </c>
      <c r="H103" s="31">
        <v>20516308746</v>
      </c>
      <c r="I103" s="138" t="str">
        <f>IF(H103="","",VLOOKUP(H103,[1]ENTIDAD!$B$2:$C$605,2,0))</f>
        <v>IMPORTACIONES Y EXPORTACIONES J.J.R. E.I.R.L.</v>
      </c>
      <c r="J103" s="11"/>
      <c r="K103" s="11"/>
      <c r="L103" s="11"/>
      <c r="M103" s="11"/>
      <c r="N103" s="116">
        <f t="shared" si="4"/>
        <v>133.89830508474577</v>
      </c>
      <c r="O103" s="116">
        <f t="shared" si="6"/>
        <v>24.101694915254239</v>
      </c>
      <c r="P103" s="11">
        <v>0</v>
      </c>
      <c r="Q103" s="11"/>
      <c r="R103" s="11"/>
      <c r="S103" s="11">
        <v>158</v>
      </c>
      <c r="T103" s="14"/>
      <c r="U103" s="14"/>
      <c r="V103" s="13"/>
      <c r="W103" s="15"/>
      <c r="X103" s="13"/>
      <c r="Y103" s="14"/>
      <c r="Z103" s="14"/>
      <c r="AA103" s="14"/>
      <c r="AB103" s="42" t="s">
        <v>224</v>
      </c>
      <c r="AC103" s="11"/>
      <c r="AD103" s="13">
        <v>46249</v>
      </c>
      <c r="AE103" s="34" t="s">
        <v>465</v>
      </c>
      <c r="AF103" s="29" t="s">
        <v>619</v>
      </c>
      <c r="AG103" s="14"/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 t="s">
        <v>6512</v>
      </c>
      <c r="AT103" s="14"/>
      <c r="AU103" s="11"/>
      <c r="AV103" s="14"/>
    </row>
    <row r="104" spans="1:49" s="121" customFormat="1" ht="15" x14ac:dyDescent="0.25">
      <c r="A104" s="199">
        <v>46218</v>
      </c>
      <c r="B104" s="126">
        <v>46249</v>
      </c>
      <c r="C104" s="42" t="s">
        <v>49</v>
      </c>
      <c r="D104" s="42" t="s">
        <v>292</v>
      </c>
      <c r="E104" s="14"/>
      <c r="F104" s="71">
        <v>602</v>
      </c>
      <c r="G104" s="42" t="s">
        <v>50</v>
      </c>
      <c r="H104" s="31">
        <v>20516308746</v>
      </c>
      <c r="I104" s="138" t="str">
        <f>IF(H104="","",VLOOKUP(H104,[1]ENTIDAD!$B$2:$C$605,2,0))</f>
        <v>IMPORTACIONES Y EXPORTACIONES J.J.R. E.I.R.L.</v>
      </c>
      <c r="J104" s="11"/>
      <c r="K104" s="11"/>
      <c r="L104" s="11"/>
      <c r="M104" s="11"/>
      <c r="N104" s="116">
        <f t="shared" si="4"/>
        <v>133.89830508474577</v>
      </c>
      <c r="O104" s="116">
        <f t="shared" si="6"/>
        <v>24.101694915254239</v>
      </c>
      <c r="P104" s="11">
        <v>0</v>
      </c>
      <c r="Q104" s="11"/>
      <c r="R104" s="11"/>
      <c r="S104" s="11">
        <v>158</v>
      </c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33">
        <v>46249</v>
      </c>
      <c r="AE104" s="34" t="s">
        <v>465</v>
      </c>
      <c r="AF104" s="29" t="s">
        <v>619</v>
      </c>
      <c r="AG104" s="14"/>
      <c r="AH104" s="1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 t="s">
        <v>6513</v>
      </c>
      <c r="AT104" s="14"/>
      <c r="AU104" s="11"/>
      <c r="AV104" s="14"/>
      <c r="AW104" s="45"/>
    </row>
    <row r="105" spans="1:49" s="45" customFormat="1" ht="15" x14ac:dyDescent="0.25">
      <c r="A105" s="199">
        <v>46218</v>
      </c>
      <c r="B105" s="126">
        <v>46249</v>
      </c>
      <c r="C105" s="42" t="s">
        <v>49</v>
      </c>
      <c r="D105" s="42" t="s">
        <v>294</v>
      </c>
      <c r="E105" s="14"/>
      <c r="F105" s="71">
        <v>5465</v>
      </c>
      <c r="G105" s="42" t="s">
        <v>50</v>
      </c>
      <c r="H105" s="31">
        <v>10061702071</v>
      </c>
      <c r="I105" s="138" t="str">
        <f>IF(H105="","",VLOOKUP(H105,[1]ENTIDAD!$B$2:$C$605,2,0))</f>
        <v>CORAL FLORES IVAN MARTIN</v>
      </c>
      <c r="J105" s="11"/>
      <c r="K105" s="11"/>
      <c r="L105" s="11"/>
      <c r="M105" s="11"/>
      <c r="N105" s="116"/>
      <c r="O105" s="116"/>
      <c r="P105" s="11">
        <v>0</v>
      </c>
      <c r="Q105" s="11"/>
      <c r="R105" s="11">
        <v>270</v>
      </c>
      <c r="S105" s="11">
        <v>270</v>
      </c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33">
        <v>46249</v>
      </c>
      <c r="AE105" s="14" t="s">
        <v>465</v>
      </c>
      <c r="AF105" s="37" t="s">
        <v>597</v>
      </c>
      <c r="AG105" s="34" t="s">
        <v>513</v>
      </c>
      <c r="AH105" s="3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 t="s">
        <v>667</v>
      </c>
      <c r="AT105" s="14"/>
      <c r="AU105" s="11"/>
      <c r="AV105" s="14"/>
    </row>
    <row r="106" spans="1:49" s="45" customFormat="1" ht="15" x14ac:dyDescent="0.25">
      <c r="A106" s="199">
        <v>46218</v>
      </c>
      <c r="B106" s="126">
        <v>46218</v>
      </c>
      <c r="C106" s="42" t="s">
        <v>49</v>
      </c>
      <c r="D106" s="42" t="s">
        <v>292</v>
      </c>
      <c r="E106" s="14"/>
      <c r="F106" s="71">
        <v>570</v>
      </c>
      <c r="G106" s="42" t="s">
        <v>50</v>
      </c>
      <c r="H106" s="184">
        <v>10469834986</v>
      </c>
      <c r="I106" s="138" t="str">
        <f>IF(H106="","",VLOOKUP(H106,[1]ENTIDAD!$B$2:$C$605,2,0))</f>
        <v>UNCHUPAICO LAUREANO DEISY LUZ</v>
      </c>
      <c r="J106" s="11"/>
      <c r="K106" s="11"/>
      <c r="L106" s="11"/>
      <c r="M106" s="11"/>
      <c r="N106" s="116">
        <f t="shared" ref="N106:N111" si="7">(S106-P106)/1.18</f>
        <v>0</v>
      </c>
      <c r="O106" s="116">
        <f t="shared" si="6"/>
        <v>0</v>
      </c>
      <c r="P106" s="11">
        <v>350</v>
      </c>
      <c r="Q106" s="11"/>
      <c r="R106" s="11"/>
      <c r="S106" s="11">
        <v>350</v>
      </c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33">
        <v>46218</v>
      </c>
      <c r="AE106" s="34" t="s">
        <v>465</v>
      </c>
      <c r="AF106" s="19" t="s">
        <v>496</v>
      </c>
      <c r="AG106" s="14"/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 t="s">
        <v>6534</v>
      </c>
      <c r="AT106" s="14"/>
      <c r="AU106" s="11"/>
      <c r="AV106" s="14"/>
    </row>
    <row r="107" spans="1:49" s="45" customFormat="1" ht="15" x14ac:dyDescent="0.25">
      <c r="A107" s="199">
        <v>46219</v>
      </c>
      <c r="B107" s="126">
        <v>46250</v>
      </c>
      <c r="C107" s="42" t="s">
        <v>49</v>
      </c>
      <c r="D107" s="42" t="s">
        <v>6514</v>
      </c>
      <c r="E107" s="14"/>
      <c r="F107" s="71">
        <v>29</v>
      </c>
      <c r="G107" s="42" t="s">
        <v>50</v>
      </c>
      <c r="H107" s="31">
        <v>20103733015</v>
      </c>
      <c r="I107" s="138" t="str">
        <f>IF(H107="","",VLOOKUP(H107,[1]ENTIDAD!$B$2:$C$605,2,0))</f>
        <v>HONDA DEL PERU S.A</v>
      </c>
      <c r="J107" s="11"/>
      <c r="K107" s="11"/>
      <c r="L107" s="11"/>
      <c r="M107" s="11"/>
      <c r="N107" s="116">
        <f t="shared" si="7"/>
        <v>37885.890025423731</v>
      </c>
      <c r="O107" s="116">
        <f t="shared" si="6"/>
        <v>6819.4602045762713</v>
      </c>
      <c r="P107" s="11">
        <v>0</v>
      </c>
      <c r="Q107" s="11"/>
      <c r="R107" s="11"/>
      <c r="S107" s="11">
        <f>W107*AC107</f>
        <v>44705.350230000004</v>
      </c>
      <c r="T107" s="14"/>
      <c r="U107" s="14"/>
      <c r="V107" s="13"/>
      <c r="W107" s="15">
        <v>3.391</v>
      </c>
      <c r="X107" s="13"/>
      <c r="Y107" s="14"/>
      <c r="Z107" s="14"/>
      <c r="AA107" s="14"/>
      <c r="AB107" s="42" t="s">
        <v>383</v>
      </c>
      <c r="AC107" s="11">
        <v>13183.53</v>
      </c>
      <c r="AD107" s="33">
        <v>46250</v>
      </c>
      <c r="AE107" s="34" t="s">
        <v>465</v>
      </c>
      <c r="AF107" s="19" t="s">
        <v>532</v>
      </c>
      <c r="AG107" s="14"/>
      <c r="AH107" s="14" t="s">
        <v>225</v>
      </c>
      <c r="AI107" s="14"/>
      <c r="AJ107" s="14"/>
      <c r="AK107" s="16"/>
      <c r="AL107" s="11"/>
      <c r="AM107" s="11"/>
      <c r="AN107" s="14"/>
      <c r="AO107" s="14"/>
      <c r="AP107" s="13"/>
      <c r="AQ107" s="14"/>
      <c r="AR107" s="11">
        <v>18</v>
      </c>
      <c r="AS107" s="14" t="s">
        <v>201</v>
      </c>
      <c r="AT107" s="14"/>
      <c r="AU107" s="11"/>
      <c r="AV107" s="14"/>
    </row>
    <row r="108" spans="1:49" s="45" customFormat="1" ht="15" x14ac:dyDescent="0.25">
      <c r="A108" s="199">
        <v>46219</v>
      </c>
      <c r="B108" s="126">
        <v>46250</v>
      </c>
      <c r="C108" s="42" t="s">
        <v>49</v>
      </c>
      <c r="D108" s="42" t="s">
        <v>6514</v>
      </c>
      <c r="E108" s="14"/>
      <c r="F108" s="71">
        <v>40</v>
      </c>
      <c r="G108" s="42" t="s">
        <v>50</v>
      </c>
      <c r="H108" s="31">
        <v>20103733015</v>
      </c>
      <c r="I108" s="138" t="str">
        <f>IF(H108="","",VLOOKUP(H108,[1]ENTIDAD!$B$2:$C$605,2,0))</f>
        <v>HONDA DEL PERU S.A</v>
      </c>
      <c r="J108" s="11"/>
      <c r="K108" s="11"/>
      <c r="L108" s="11"/>
      <c r="M108" s="11"/>
      <c r="N108" s="116">
        <f t="shared" si="7"/>
        <v>11612.738135593221</v>
      </c>
      <c r="O108" s="116">
        <f t="shared" si="6"/>
        <v>2090.2928644067797</v>
      </c>
      <c r="P108" s="11">
        <v>0</v>
      </c>
      <c r="Q108" s="11"/>
      <c r="R108" s="11"/>
      <c r="S108" s="11">
        <f>W108*AC108</f>
        <v>13703.031000000001</v>
      </c>
      <c r="T108" s="14"/>
      <c r="U108" s="14"/>
      <c r="V108" s="13"/>
      <c r="W108" s="15">
        <v>3.391</v>
      </c>
      <c r="X108" s="13"/>
      <c r="Y108" s="14"/>
      <c r="Z108" s="14"/>
      <c r="AA108" s="14"/>
      <c r="AB108" s="42" t="s">
        <v>383</v>
      </c>
      <c r="AC108" s="11">
        <v>4041</v>
      </c>
      <c r="AD108" s="33">
        <v>46250</v>
      </c>
      <c r="AE108" s="34" t="s">
        <v>465</v>
      </c>
      <c r="AF108" s="19" t="s">
        <v>532</v>
      </c>
      <c r="AG108" s="14"/>
      <c r="AH108" s="14" t="s">
        <v>225</v>
      </c>
      <c r="AI108" s="14"/>
      <c r="AJ108" s="14"/>
      <c r="AK108" s="16"/>
      <c r="AL108" s="11"/>
      <c r="AM108" s="11"/>
      <c r="AN108" s="14"/>
      <c r="AO108" s="14"/>
      <c r="AP108" s="13"/>
      <c r="AQ108" s="14"/>
      <c r="AR108" s="11">
        <v>18</v>
      </c>
      <c r="AS108" s="14" t="s">
        <v>201</v>
      </c>
      <c r="AT108" s="14"/>
      <c r="AU108" s="11"/>
      <c r="AV108" s="14"/>
    </row>
    <row r="109" spans="1:49" s="45" customFormat="1" ht="15" x14ac:dyDescent="0.25">
      <c r="A109" s="199">
        <v>46219</v>
      </c>
      <c r="B109" s="126">
        <v>46250</v>
      </c>
      <c r="C109" s="42" t="s">
        <v>49</v>
      </c>
      <c r="D109" s="42" t="s">
        <v>441</v>
      </c>
      <c r="E109" s="14"/>
      <c r="F109" s="71">
        <v>48526570</v>
      </c>
      <c r="G109" s="42" t="s">
        <v>50</v>
      </c>
      <c r="H109" s="31">
        <v>20100047218</v>
      </c>
      <c r="I109" s="138" t="str">
        <f>IF(H109="","",VLOOKUP(H109,[1]ENTIDAD!$B$2:$C$605,2,0))</f>
        <v>BANCO DE CREDITO DEL PERU</v>
      </c>
      <c r="J109" s="11"/>
      <c r="K109" s="11"/>
      <c r="L109" s="11"/>
      <c r="M109" s="11"/>
      <c r="N109" s="116">
        <f t="shared" si="7"/>
        <v>0</v>
      </c>
      <c r="O109" s="116">
        <f t="shared" si="6"/>
        <v>0</v>
      </c>
      <c r="P109" s="11">
        <v>10</v>
      </c>
      <c r="Q109" s="11"/>
      <c r="R109" s="11"/>
      <c r="S109" s="11">
        <v>10</v>
      </c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33">
        <v>46250</v>
      </c>
      <c r="AE109" s="14" t="s">
        <v>465</v>
      </c>
      <c r="AF109" s="73" t="s">
        <v>494</v>
      </c>
      <c r="AG109" s="14"/>
      <c r="AH109" s="14" t="s">
        <v>225</v>
      </c>
      <c r="AI109" s="34"/>
      <c r="AJ109" s="34"/>
      <c r="AK109" s="38"/>
      <c r="AL109" s="35"/>
      <c r="AM109" s="35"/>
      <c r="AN109" s="34"/>
      <c r="AO109" s="34"/>
      <c r="AP109" s="33"/>
      <c r="AQ109" s="34"/>
      <c r="AR109" s="35">
        <v>18</v>
      </c>
      <c r="AS109" s="34" t="s">
        <v>6448</v>
      </c>
      <c r="AT109" s="14"/>
      <c r="AU109" s="11"/>
      <c r="AV109" s="14"/>
    </row>
    <row r="110" spans="1:49" s="45" customFormat="1" ht="15" x14ac:dyDescent="0.25">
      <c r="A110" s="199">
        <v>46219</v>
      </c>
      <c r="B110" s="126">
        <v>46250</v>
      </c>
      <c r="C110" s="42" t="s">
        <v>49</v>
      </c>
      <c r="D110" s="42" t="s">
        <v>441</v>
      </c>
      <c r="E110" s="14"/>
      <c r="F110" s="71">
        <v>48526520</v>
      </c>
      <c r="G110" s="42" t="s">
        <v>50</v>
      </c>
      <c r="H110" s="31">
        <v>20100047218</v>
      </c>
      <c r="I110" s="138" t="str">
        <f>IF(H110="","",VLOOKUP(H110,[1]ENTIDAD!$B$2:$C$605,2,0))</f>
        <v>BANCO DE CREDITO DEL PERU</v>
      </c>
      <c r="J110" s="11"/>
      <c r="K110" s="11"/>
      <c r="L110" s="11"/>
      <c r="M110" s="11"/>
      <c r="N110" s="116">
        <f t="shared" si="7"/>
        <v>0</v>
      </c>
      <c r="O110" s="116">
        <f t="shared" si="6"/>
        <v>0</v>
      </c>
      <c r="P110" s="11">
        <v>10</v>
      </c>
      <c r="Q110" s="11"/>
      <c r="R110" s="11"/>
      <c r="S110" s="11">
        <v>10</v>
      </c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33">
        <v>46250</v>
      </c>
      <c r="AE110" s="14" t="s">
        <v>465</v>
      </c>
      <c r="AF110" s="19" t="s">
        <v>494</v>
      </c>
      <c r="AG110" s="14"/>
      <c r="AH110" s="14" t="s">
        <v>225</v>
      </c>
      <c r="AI110" s="34"/>
      <c r="AJ110" s="34"/>
      <c r="AK110" s="38"/>
      <c r="AL110" s="35"/>
      <c r="AM110" s="35"/>
      <c r="AN110" s="34"/>
      <c r="AO110" s="34"/>
      <c r="AP110" s="33"/>
      <c r="AQ110" s="34"/>
      <c r="AR110" s="35">
        <v>18</v>
      </c>
      <c r="AS110" s="34" t="s">
        <v>6448</v>
      </c>
      <c r="AT110" s="14"/>
      <c r="AU110" s="11"/>
      <c r="AV110" s="14"/>
    </row>
    <row r="111" spans="1:49" s="45" customFormat="1" ht="15" x14ac:dyDescent="0.25">
      <c r="A111" s="199">
        <v>46219</v>
      </c>
      <c r="B111" s="126">
        <v>46219</v>
      </c>
      <c r="C111" s="42" t="s">
        <v>49</v>
      </c>
      <c r="D111" s="42" t="s">
        <v>292</v>
      </c>
      <c r="E111" s="14"/>
      <c r="F111" s="71">
        <v>950</v>
      </c>
      <c r="G111" s="42" t="s">
        <v>50</v>
      </c>
      <c r="H111" s="184">
        <v>10452311688</v>
      </c>
      <c r="I111" s="138" t="str">
        <f>IF(H111="","",VLOOKUP(H111,[1]ENTIDAD!$B$2:$C$605,2,0))</f>
        <v>LAREDO AREVALO CHELO DEL ROCIO</v>
      </c>
      <c r="J111" s="11"/>
      <c r="K111" s="11"/>
      <c r="L111" s="11"/>
      <c r="M111" s="11"/>
      <c r="N111" s="116">
        <f t="shared" si="7"/>
        <v>165.25423728813561</v>
      </c>
      <c r="O111" s="116">
        <f t="shared" si="6"/>
        <v>29.745762711864408</v>
      </c>
      <c r="P111" s="11">
        <v>0</v>
      </c>
      <c r="Q111" s="11"/>
      <c r="R111" s="11"/>
      <c r="S111" s="11">
        <v>195</v>
      </c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126">
        <v>46219</v>
      </c>
      <c r="AE111" s="127" t="s">
        <v>262</v>
      </c>
      <c r="AF111" s="89" t="s">
        <v>489</v>
      </c>
      <c r="AG111" s="14"/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 t="s">
        <v>6527</v>
      </c>
      <c r="AT111" s="14"/>
      <c r="AU111" s="11"/>
      <c r="AV111" s="14"/>
    </row>
    <row r="112" spans="1:49" s="45" customFormat="1" ht="15" x14ac:dyDescent="0.25">
      <c r="A112" s="199">
        <v>46220</v>
      </c>
      <c r="B112" s="126">
        <v>46251</v>
      </c>
      <c r="C112" s="42" t="s">
        <v>49</v>
      </c>
      <c r="D112" s="42" t="s">
        <v>568</v>
      </c>
      <c r="E112" s="14"/>
      <c r="F112" s="71">
        <v>20983</v>
      </c>
      <c r="G112" s="42" t="s">
        <v>50</v>
      </c>
      <c r="H112" s="31">
        <v>20485981536</v>
      </c>
      <c r="I112" s="138" t="str">
        <f>IF(H112="","",VLOOKUP(H112,[1]ENTIDAD!$B$2:$C$605,2,0))</f>
        <v>EMPRESA DE TRANSPORTES TURISMO Y SERVICIOS MULTIPLES SHIMA E.I.R.L.</v>
      </c>
      <c r="J112" s="11"/>
      <c r="K112" s="11"/>
      <c r="L112" s="11"/>
      <c r="M112" s="11"/>
      <c r="N112" s="116"/>
      <c r="O112" s="116"/>
      <c r="P112" s="11">
        <v>0</v>
      </c>
      <c r="Q112" s="11"/>
      <c r="R112" s="11">
        <v>40</v>
      </c>
      <c r="S112" s="11">
        <v>40</v>
      </c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33">
        <v>46251</v>
      </c>
      <c r="AE112" s="14" t="s">
        <v>465</v>
      </c>
      <c r="AF112" s="37" t="s">
        <v>597</v>
      </c>
      <c r="AG112" s="14" t="s">
        <v>513</v>
      </c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 t="s">
        <v>688</v>
      </c>
      <c r="AT112" s="14"/>
      <c r="AU112" s="11"/>
      <c r="AV112" s="14"/>
    </row>
    <row r="113" spans="1:48" s="45" customFormat="1" ht="15" x14ac:dyDescent="0.25">
      <c r="A113" s="199">
        <v>46220</v>
      </c>
      <c r="B113" s="126">
        <v>46251</v>
      </c>
      <c r="C113" s="42" t="s">
        <v>49</v>
      </c>
      <c r="D113" s="42" t="s">
        <v>294</v>
      </c>
      <c r="E113" s="14"/>
      <c r="F113" s="71">
        <v>17262</v>
      </c>
      <c r="G113" s="42" t="s">
        <v>50</v>
      </c>
      <c r="H113" s="31">
        <v>20444766906</v>
      </c>
      <c r="I113" s="138" t="str">
        <f>IF(H113="","",VLOOKUP(H113,[1]ENTIDAD!$B$2:$C$605,2,0))</f>
        <v> EMPRESA DE TRANSPORTES PROFAMSE SRL</v>
      </c>
      <c r="J113" s="11"/>
      <c r="K113" s="11"/>
      <c r="L113" s="11"/>
      <c r="M113" s="11"/>
      <c r="N113" s="116"/>
      <c r="O113" s="116"/>
      <c r="P113" s="11">
        <v>0</v>
      </c>
      <c r="Q113" s="11"/>
      <c r="R113" s="11">
        <v>40</v>
      </c>
      <c r="S113" s="11">
        <v>40</v>
      </c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33">
        <v>46251</v>
      </c>
      <c r="AE113" s="14" t="s">
        <v>465</v>
      </c>
      <c r="AF113" s="37" t="s">
        <v>597</v>
      </c>
      <c r="AG113" s="14" t="s">
        <v>513</v>
      </c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 t="s">
        <v>688</v>
      </c>
      <c r="AT113" s="14"/>
      <c r="AU113" s="11"/>
      <c r="AV113" s="14"/>
    </row>
    <row r="114" spans="1:48" s="45" customFormat="1" ht="15" x14ac:dyDescent="0.25">
      <c r="A114" s="199">
        <v>46223</v>
      </c>
      <c r="B114" s="126">
        <v>46254</v>
      </c>
      <c r="C114" s="42" t="s">
        <v>49</v>
      </c>
      <c r="D114" s="42" t="s">
        <v>301</v>
      </c>
      <c r="E114" s="14"/>
      <c r="F114" s="71">
        <v>19407</v>
      </c>
      <c r="G114" s="42" t="s">
        <v>50</v>
      </c>
      <c r="H114" s="31">
        <v>20493508645</v>
      </c>
      <c r="I114" s="138" t="str">
        <f>IF(H114="","",VLOOKUP(H114,[1]ENTIDAD!$B$2:$C$605,2,0))</f>
        <v>HONDA SELVA DEL PERU S.A.</v>
      </c>
      <c r="J114" s="11"/>
      <c r="K114" s="11"/>
      <c r="L114" s="11"/>
      <c r="M114" s="11"/>
      <c r="N114" s="116">
        <f t="shared" ref="N114:N120" si="8">(S114-P114)/1.18</f>
        <v>2.3728813576488362E-3</v>
      </c>
      <c r="O114" s="116">
        <f t="shared" si="6"/>
        <v>4.2711864437679052E-4</v>
      </c>
      <c r="P114" s="11">
        <v>34460.33</v>
      </c>
      <c r="Q114" s="11"/>
      <c r="R114" s="11"/>
      <c r="S114" s="11">
        <f>W114*AC114</f>
        <v>34460.332800000004</v>
      </c>
      <c r="T114" s="14"/>
      <c r="U114" s="14"/>
      <c r="V114" s="13"/>
      <c r="W114" s="15">
        <v>3.4079999999999999</v>
      </c>
      <c r="X114" s="13"/>
      <c r="Y114" s="14"/>
      <c r="Z114" s="14"/>
      <c r="AA114" s="14"/>
      <c r="AB114" s="42" t="s">
        <v>383</v>
      </c>
      <c r="AC114" s="11">
        <v>10111.6</v>
      </c>
      <c r="AD114" s="33">
        <v>46254</v>
      </c>
      <c r="AE114" s="34" t="s">
        <v>465</v>
      </c>
      <c r="AF114" s="19" t="s">
        <v>532</v>
      </c>
      <c r="AG114" s="14"/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 t="s">
        <v>201</v>
      </c>
      <c r="AT114" s="14"/>
      <c r="AU114" s="11"/>
      <c r="AV114" s="14"/>
    </row>
    <row r="115" spans="1:48" s="45" customFormat="1" ht="15" x14ac:dyDescent="0.25">
      <c r="A115" s="199">
        <v>46224</v>
      </c>
      <c r="B115" s="126">
        <v>46255</v>
      </c>
      <c r="C115" s="42" t="s">
        <v>49</v>
      </c>
      <c r="D115" s="42" t="s">
        <v>294</v>
      </c>
      <c r="E115" s="14"/>
      <c r="F115" s="71">
        <v>894</v>
      </c>
      <c r="G115" s="42" t="s">
        <v>50</v>
      </c>
      <c r="H115" s="31">
        <v>10733910921</v>
      </c>
      <c r="I115" s="138" t="str">
        <f>IF(H115="","",VLOOKUP(H115,[1]ENTIDAD!$B$2:$C$605,2,0))</f>
        <v>MADUEÑO HUAMAN LILI CLISSELY</v>
      </c>
      <c r="J115" s="11"/>
      <c r="K115" s="11"/>
      <c r="L115" s="11"/>
      <c r="M115" s="11"/>
      <c r="N115" s="116">
        <f t="shared" si="8"/>
        <v>0</v>
      </c>
      <c r="O115" s="116">
        <f t="shared" si="6"/>
        <v>0</v>
      </c>
      <c r="P115" s="11">
        <v>52</v>
      </c>
      <c r="Q115" s="11"/>
      <c r="R115" s="11"/>
      <c r="S115" s="11">
        <v>52</v>
      </c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33">
        <v>46255</v>
      </c>
      <c r="AE115" s="34" t="s">
        <v>465</v>
      </c>
      <c r="AF115" s="127" t="s">
        <v>703</v>
      </c>
      <c r="AG115" s="14"/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 t="s">
        <v>6520</v>
      </c>
      <c r="AT115" s="14"/>
      <c r="AU115" s="11"/>
      <c r="AV115" s="14"/>
    </row>
    <row r="116" spans="1:48" s="45" customFormat="1" ht="15" x14ac:dyDescent="0.25">
      <c r="A116" s="199">
        <v>46224</v>
      </c>
      <c r="B116" s="126">
        <v>46224</v>
      </c>
      <c r="C116" s="42" t="s">
        <v>49</v>
      </c>
      <c r="D116" s="42" t="s">
        <v>451</v>
      </c>
      <c r="E116" s="14"/>
      <c r="F116" s="71">
        <v>380</v>
      </c>
      <c r="G116" s="42" t="s">
        <v>50</v>
      </c>
      <c r="H116" s="31">
        <v>10209907327</v>
      </c>
      <c r="I116" s="138" t="str">
        <f>IF(H116="","",VLOOKUP(H116,[1]ENTIDAD!$B$2:$C$605,2,0))</f>
        <v>TORPOCO,MAYTA,HECTOR,ALFONSO</v>
      </c>
      <c r="J116" s="11"/>
      <c r="K116" s="11"/>
      <c r="L116" s="11"/>
      <c r="M116" s="11"/>
      <c r="N116" s="116">
        <f t="shared" si="8"/>
        <v>0</v>
      </c>
      <c r="O116" s="116">
        <f t="shared" si="6"/>
        <v>0</v>
      </c>
      <c r="P116" s="11">
        <v>10</v>
      </c>
      <c r="Q116" s="11"/>
      <c r="R116" s="11"/>
      <c r="S116" s="11">
        <v>10</v>
      </c>
      <c r="T116" s="14"/>
      <c r="U116" s="14"/>
      <c r="V116" s="13"/>
      <c r="W116" s="15"/>
      <c r="X116" s="13"/>
      <c r="Y116" s="14"/>
      <c r="Z116" s="14"/>
      <c r="AA116" s="14"/>
      <c r="AB116" s="42" t="s">
        <v>224</v>
      </c>
      <c r="AC116" s="11"/>
      <c r="AD116" s="33">
        <v>46224</v>
      </c>
      <c r="AE116" s="14" t="s">
        <v>262</v>
      </c>
      <c r="AF116" s="19" t="s">
        <v>486</v>
      </c>
      <c r="AG116" s="14"/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 t="s">
        <v>764</v>
      </c>
      <c r="AT116" s="14"/>
      <c r="AU116" s="11"/>
      <c r="AV116" s="14"/>
    </row>
    <row r="117" spans="1:48" s="45" customFormat="1" ht="15" x14ac:dyDescent="0.25">
      <c r="A117" s="199">
        <v>46224</v>
      </c>
      <c r="B117" s="126">
        <v>46224</v>
      </c>
      <c r="C117" s="42" t="s">
        <v>49</v>
      </c>
      <c r="D117" s="42" t="s">
        <v>294</v>
      </c>
      <c r="E117" s="14"/>
      <c r="F117" s="71">
        <v>22138</v>
      </c>
      <c r="G117" s="42" t="s">
        <v>50</v>
      </c>
      <c r="H117" s="31">
        <v>20605377115</v>
      </c>
      <c r="I117" s="138" t="str">
        <f>IF(H117="","",VLOOKUP(H117,[1]ENTIDAD!$B$2:$C$605,2,0))</f>
        <v>CORPORACIÓN FERNANDO´S E.I.R.L.</v>
      </c>
      <c r="J117" s="11"/>
      <c r="K117" s="11"/>
      <c r="L117" s="11"/>
      <c r="M117" s="11"/>
      <c r="N117" s="116">
        <f t="shared" si="8"/>
        <v>0</v>
      </c>
      <c r="O117" s="116">
        <f t="shared" si="6"/>
        <v>0</v>
      </c>
      <c r="P117" s="11">
        <v>10</v>
      </c>
      <c r="Q117" s="11"/>
      <c r="R117" s="11"/>
      <c r="S117" s="11">
        <v>10</v>
      </c>
      <c r="T117" s="14"/>
      <c r="U117" s="14"/>
      <c r="V117" s="13"/>
      <c r="W117" s="15"/>
      <c r="X117" s="13"/>
      <c r="Y117" s="14"/>
      <c r="Z117" s="14"/>
      <c r="AA117" s="14"/>
      <c r="AB117" s="42" t="s">
        <v>224</v>
      </c>
      <c r="AC117" s="11"/>
      <c r="AD117" s="33">
        <v>46224</v>
      </c>
      <c r="AE117" s="14" t="s">
        <v>262</v>
      </c>
      <c r="AF117" s="19" t="s">
        <v>486</v>
      </c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4" t="s">
        <v>764</v>
      </c>
      <c r="AT117" s="14"/>
      <c r="AU117" s="11"/>
      <c r="AV117" s="14"/>
    </row>
    <row r="118" spans="1:48" s="45" customFormat="1" ht="15" x14ac:dyDescent="0.25">
      <c r="A118" s="199">
        <v>46224</v>
      </c>
      <c r="B118" s="126">
        <v>46224</v>
      </c>
      <c r="C118" s="42" t="s">
        <v>49</v>
      </c>
      <c r="D118" s="42" t="s">
        <v>294</v>
      </c>
      <c r="E118" s="14"/>
      <c r="F118" s="71">
        <v>1077</v>
      </c>
      <c r="G118" s="42" t="s">
        <v>50</v>
      </c>
      <c r="H118" s="184">
        <v>10432713593</v>
      </c>
      <c r="I118" s="138" t="str">
        <f>IF(H118="","",VLOOKUP(H118,[1]ENTIDAD!$B$2:$C$605,2,0))</f>
        <v>HUAMAN,RONCAL,MIRIAM</v>
      </c>
      <c r="J118" s="11"/>
      <c r="K118" s="11"/>
      <c r="L118" s="11"/>
      <c r="M118" s="11"/>
      <c r="N118" s="116">
        <f t="shared" si="8"/>
        <v>0</v>
      </c>
      <c r="O118" s="116">
        <f t="shared" si="6"/>
        <v>0</v>
      </c>
      <c r="P118" s="11">
        <v>7.5</v>
      </c>
      <c r="Q118" s="11"/>
      <c r="R118" s="11"/>
      <c r="S118" s="11">
        <v>7.5</v>
      </c>
      <c r="T118" s="14"/>
      <c r="U118" s="14"/>
      <c r="V118" s="13"/>
      <c r="W118" s="15"/>
      <c r="X118" s="13"/>
      <c r="Y118" s="14"/>
      <c r="Z118" s="14"/>
      <c r="AA118" s="14"/>
      <c r="AB118" s="42" t="s">
        <v>224</v>
      </c>
      <c r="AC118" s="11"/>
      <c r="AD118" s="33">
        <v>46224</v>
      </c>
      <c r="AE118" s="14" t="s">
        <v>262</v>
      </c>
      <c r="AF118" s="19" t="s">
        <v>521</v>
      </c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4" t="s">
        <v>6528</v>
      </c>
      <c r="AT118" s="14"/>
      <c r="AU118" s="11"/>
      <c r="AV118" s="14"/>
    </row>
    <row r="119" spans="1:48" s="45" customFormat="1" ht="15" x14ac:dyDescent="0.25">
      <c r="A119" s="199">
        <v>46225</v>
      </c>
      <c r="B119" s="126">
        <v>46225</v>
      </c>
      <c r="C119" s="42" t="s">
        <v>49</v>
      </c>
      <c r="D119" s="42" t="s">
        <v>294</v>
      </c>
      <c r="E119" s="14"/>
      <c r="F119" s="71">
        <v>122199</v>
      </c>
      <c r="G119" s="42" t="s">
        <v>50</v>
      </c>
      <c r="H119" s="31">
        <v>20568499043</v>
      </c>
      <c r="I119" s="138" t="str">
        <f>IF(H119="","",VLOOKUP(H119,[1]ENTIDAD!$B$2:$C$605,2,0))</f>
        <v>SURTIDORES SAN MIGUEL E.I.R.L.</v>
      </c>
      <c r="J119" s="11"/>
      <c r="K119" s="11"/>
      <c r="L119" s="11"/>
      <c r="M119" s="11"/>
      <c r="N119" s="116">
        <f t="shared" si="8"/>
        <v>0</v>
      </c>
      <c r="O119" s="116">
        <f t="shared" si="6"/>
        <v>0</v>
      </c>
      <c r="P119" s="11">
        <v>150</v>
      </c>
      <c r="Q119" s="11"/>
      <c r="R119" s="11"/>
      <c r="S119" s="11">
        <v>150</v>
      </c>
      <c r="T119" s="14"/>
      <c r="U119" s="14"/>
      <c r="V119" s="13"/>
      <c r="W119" s="15"/>
      <c r="X119" s="13"/>
      <c r="Y119" s="14"/>
      <c r="Z119" s="14"/>
      <c r="AA119" s="14"/>
      <c r="AB119" s="42" t="s">
        <v>224</v>
      </c>
      <c r="AC119" s="11"/>
      <c r="AD119" s="33">
        <v>46225</v>
      </c>
      <c r="AE119" s="14" t="s">
        <v>262</v>
      </c>
      <c r="AF119" s="19" t="s">
        <v>486</v>
      </c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12" t="s">
        <v>6447</v>
      </c>
      <c r="AT119" s="14"/>
      <c r="AU119" s="11"/>
      <c r="AV119" s="14"/>
    </row>
    <row r="120" spans="1:48" s="121" customFormat="1" ht="15" x14ac:dyDescent="0.25">
      <c r="A120" s="200">
        <v>46225</v>
      </c>
      <c r="B120" s="126">
        <v>46225</v>
      </c>
      <c r="C120" s="111" t="s">
        <v>49</v>
      </c>
      <c r="D120" s="42" t="s">
        <v>294</v>
      </c>
      <c r="E120" s="112"/>
      <c r="F120" s="71">
        <v>122196</v>
      </c>
      <c r="G120" s="111" t="s">
        <v>50</v>
      </c>
      <c r="H120" s="114">
        <v>20568499043</v>
      </c>
      <c r="I120" s="138" t="str">
        <f>IF(H120="","",VLOOKUP(H120,[1]ENTIDAD!$B$2:$C$605,2,0))</f>
        <v>SURTIDORES SAN MIGUEL E.I.R.L.</v>
      </c>
      <c r="J120" s="116"/>
      <c r="K120" s="116"/>
      <c r="L120" s="116"/>
      <c r="M120" s="116"/>
      <c r="N120" s="116">
        <f t="shared" si="8"/>
        <v>0</v>
      </c>
      <c r="O120" s="116">
        <f t="shared" si="6"/>
        <v>0</v>
      </c>
      <c r="P120" s="11">
        <v>150</v>
      </c>
      <c r="Q120" s="116"/>
      <c r="R120" s="11"/>
      <c r="S120" s="11">
        <v>150</v>
      </c>
      <c r="T120" s="112"/>
      <c r="U120" s="112"/>
      <c r="V120" s="109"/>
      <c r="W120" s="118"/>
      <c r="X120" s="109"/>
      <c r="Y120" s="112"/>
      <c r="Z120" s="112"/>
      <c r="AA120" s="112"/>
      <c r="AB120" s="42" t="s">
        <v>224</v>
      </c>
      <c r="AC120" s="11"/>
      <c r="AD120" s="33">
        <v>46225</v>
      </c>
      <c r="AE120" s="14" t="s">
        <v>262</v>
      </c>
      <c r="AF120" s="73" t="s">
        <v>486</v>
      </c>
      <c r="AG120" s="14"/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12" t="s">
        <v>6522</v>
      </c>
      <c r="AT120" s="112"/>
      <c r="AU120" s="116"/>
      <c r="AV120" s="112"/>
    </row>
    <row r="121" spans="1:48" s="45" customFormat="1" ht="15" x14ac:dyDescent="0.25">
      <c r="A121" s="199">
        <v>46225</v>
      </c>
      <c r="B121" s="126">
        <v>46256</v>
      </c>
      <c r="C121" s="42" t="s">
        <v>49</v>
      </c>
      <c r="D121" s="42" t="s">
        <v>294</v>
      </c>
      <c r="E121" s="14"/>
      <c r="F121" s="71">
        <v>2628</v>
      </c>
      <c r="G121" s="42" t="s">
        <v>50</v>
      </c>
      <c r="H121" s="31">
        <v>20604975159</v>
      </c>
      <c r="I121" s="138" t="str">
        <f>IF(H121="","",VLOOKUP(H121,[1]ENTIDAD!$B$2:$C$605,2,0))</f>
        <v>CORPORACION CARELI EMPRESA INDIVIDUAL DE RESPONSABILIDAD LIMITADA - CORPORACION CARELI E.I.R.L.</v>
      </c>
      <c r="J121" s="11"/>
      <c r="K121" s="11"/>
      <c r="L121" s="11"/>
      <c r="M121" s="11"/>
      <c r="N121" s="116">
        <v>0</v>
      </c>
      <c r="O121" s="116">
        <f t="shared" si="6"/>
        <v>0</v>
      </c>
      <c r="P121" s="11">
        <v>0</v>
      </c>
      <c r="Q121" s="11"/>
      <c r="R121" s="11">
        <v>210</v>
      </c>
      <c r="S121" s="11">
        <v>210</v>
      </c>
      <c r="T121" s="14"/>
      <c r="U121" s="14"/>
      <c r="V121" s="13"/>
      <c r="W121" s="15"/>
      <c r="X121" s="13"/>
      <c r="Y121" s="14"/>
      <c r="Z121" s="14"/>
      <c r="AA121" s="14"/>
      <c r="AB121" s="42" t="s">
        <v>224</v>
      </c>
      <c r="AC121" s="11"/>
      <c r="AD121" s="33">
        <v>46256</v>
      </c>
      <c r="AE121" s="34" t="s">
        <v>465</v>
      </c>
      <c r="AF121" s="29" t="s">
        <v>6466</v>
      </c>
      <c r="AG121" s="14"/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 t="s">
        <v>6525</v>
      </c>
      <c r="AT121" s="14"/>
      <c r="AU121" s="11"/>
      <c r="AV121" s="14"/>
    </row>
    <row r="122" spans="1:48" s="45" customFormat="1" ht="15" x14ac:dyDescent="0.25">
      <c r="A122" s="199">
        <v>46227</v>
      </c>
      <c r="B122" s="126">
        <v>46227</v>
      </c>
      <c r="C122" s="42" t="s">
        <v>49</v>
      </c>
      <c r="D122" s="42" t="s">
        <v>451</v>
      </c>
      <c r="E122" s="14"/>
      <c r="F122" s="71">
        <v>393</v>
      </c>
      <c r="G122" s="42" t="s">
        <v>50</v>
      </c>
      <c r="H122" s="31">
        <v>20486549328</v>
      </c>
      <c r="I122" s="138" t="str">
        <f>IF(H122="","",VLOOKUP(H122,[1]ENTIDAD!$B$2:$C$605,2,0))</f>
        <v>SANTISIMA TRINIDAD E.I.R.L.</v>
      </c>
      <c r="J122" s="11"/>
      <c r="K122" s="11"/>
      <c r="L122" s="11"/>
      <c r="M122" s="11"/>
      <c r="N122" s="116">
        <f>(S122-P122)/1.18</f>
        <v>0</v>
      </c>
      <c r="O122" s="116">
        <f t="shared" si="6"/>
        <v>0</v>
      </c>
      <c r="P122" s="11">
        <v>79</v>
      </c>
      <c r="Q122" s="11"/>
      <c r="R122" s="11"/>
      <c r="S122" s="11">
        <v>79</v>
      </c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33">
        <v>46227</v>
      </c>
      <c r="AE122" s="14" t="s">
        <v>262</v>
      </c>
      <c r="AF122" s="19" t="s">
        <v>604</v>
      </c>
      <c r="AG122" s="14"/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 t="s">
        <v>6524</v>
      </c>
      <c r="AT122" s="14"/>
      <c r="AU122" s="11"/>
      <c r="AV122" s="14"/>
    </row>
    <row r="123" spans="1:48" s="45" customFormat="1" ht="15" x14ac:dyDescent="0.25">
      <c r="A123" s="199">
        <v>46227</v>
      </c>
      <c r="B123" s="126">
        <v>46258</v>
      </c>
      <c r="C123" s="42" t="s">
        <v>49</v>
      </c>
      <c r="D123" s="42" t="s">
        <v>301</v>
      </c>
      <c r="E123" s="14"/>
      <c r="F123" s="71">
        <v>19516</v>
      </c>
      <c r="G123" s="42" t="s">
        <v>50</v>
      </c>
      <c r="H123" s="31">
        <v>20493508645</v>
      </c>
      <c r="I123" s="138" t="str">
        <f>IF(H123="","",VLOOKUP(H123,[1]ENTIDAD!$B$2:$C$605,2,0))</f>
        <v>HONDA SELVA DEL PERU S.A.</v>
      </c>
      <c r="J123" s="11"/>
      <c r="K123" s="11"/>
      <c r="L123" s="11"/>
      <c r="M123" s="11"/>
      <c r="N123" s="116">
        <f>(S123-P123)/1.18</f>
        <v>-1.4237288145893018E-3</v>
      </c>
      <c r="O123" s="116">
        <f t="shared" si="6"/>
        <v>-2.5627118662607432E-4</v>
      </c>
      <c r="P123" s="11">
        <v>20531.5</v>
      </c>
      <c r="Q123" s="11"/>
      <c r="R123" s="11"/>
      <c r="S123" s="11">
        <f>W123*AC123</f>
        <v>20531.498319999999</v>
      </c>
      <c r="T123" s="14"/>
      <c r="U123" s="14"/>
      <c r="V123" s="13"/>
      <c r="W123" s="15">
        <v>3.4039999999999999</v>
      </c>
      <c r="X123" s="13"/>
      <c r="Y123" s="14"/>
      <c r="Z123" s="14"/>
      <c r="AA123" s="14"/>
      <c r="AB123" s="42" t="s">
        <v>383</v>
      </c>
      <c r="AC123" s="11">
        <v>6031.58</v>
      </c>
      <c r="AD123" s="33">
        <v>46258</v>
      </c>
      <c r="AE123" s="34" t="s">
        <v>465</v>
      </c>
      <c r="AF123" s="19" t="s">
        <v>532</v>
      </c>
      <c r="AG123" s="14"/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 t="s">
        <v>201</v>
      </c>
      <c r="AT123" s="14"/>
      <c r="AU123" s="11"/>
      <c r="AV123" s="14"/>
    </row>
    <row r="124" spans="1:48" s="45" customFormat="1" ht="15" x14ac:dyDescent="0.25">
      <c r="A124" s="199">
        <v>46227</v>
      </c>
      <c r="B124" s="126">
        <v>46258</v>
      </c>
      <c r="C124" s="42" t="s">
        <v>49</v>
      </c>
      <c r="D124" s="42" t="s">
        <v>294</v>
      </c>
      <c r="E124" s="14"/>
      <c r="F124" s="71">
        <v>5488</v>
      </c>
      <c r="G124" s="42" t="s">
        <v>50</v>
      </c>
      <c r="H124" s="31">
        <v>10061702071</v>
      </c>
      <c r="I124" s="138" t="str">
        <f>IF(H124="","",VLOOKUP(H124,[1]ENTIDAD!$B$2:$C$605,2,0))</f>
        <v>CORAL FLORES IVAN MARTIN</v>
      </c>
      <c r="J124" s="11"/>
      <c r="K124" s="11"/>
      <c r="L124" s="11"/>
      <c r="M124" s="11"/>
      <c r="N124" s="116"/>
      <c r="O124" s="116"/>
      <c r="P124" s="11">
        <v>0</v>
      </c>
      <c r="Q124" s="11"/>
      <c r="R124" s="11">
        <v>370</v>
      </c>
      <c r="S124" s="11">
        <v>370</v>
      </c>
      <c r="T124" s="14"/>
      <c r="U124" s="14"/>
      <c r="V124" s="13"/>
      <c r="W124" s="15"/>
      <c r="X124" s="13"/>
      <c r="Y124" s="14"/>
      <c r="Z124" s="14"/>
      <c r="AA124" s="14"/>
      <c r="AB124" s="42" t="s">
        <v>224</v>
      </c>
      <c r="AC124" s="11"/>
      <c r="AD124" s="33">
        <v>46258</v>
      </c>
      <c r="AE124" s="14" t="s">
        <v>465</v>
      </c>
      <c r="AF124" s="37" t="s">
        <v>597</v>
      </c>
      <c r="AG124" s="14" t="s">
        <v>513</v>
      </c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 t="s">
        <v>667</v>
      </c>
      <c r="AT124" s="14"/>
      <c r="AU124" s="11"/>
      <c r="AV124" s="14"/>
    </row>
    <row r="125" spans="1:48" s="45" customFormat="1" ht="15" x14ac:dyDescent="0.25">
      <c r="A125" s="199">
        <v>46227</v>
      </c>
      <c r="B125" s="126">
        <v>46258</v>
      </c>
      <c r="C125" s="42" t="s">
        <v>49</v>
      </c>
      <c r="D125" s="42" t="s">
        <v>292</v>
      </c>
      <c r="E125" s="14"/>
      <c r="F125" s="71">
        <v>2016</v>
      </c>
      <c r="G125" s="42" t="s">
        <v>50</v>
      </c>
      <c r="H125" s="31">
        <v>20402406161</v>
      </c>
      <c r="I125" s="138" t="str">
        <f>IF(H125="","",VLOOKUP(H125,[1]ENTIDAD!$B$2:$C$605,2,0))</f>
        <v>SERVI TOURS EXPRESS S.A.</v>
      </c>
      <c r="J125" s="11"/>
      <c r="K125" s="11"/>
      <c r="L125" s="11"/>
      <c r="M125" s="11"/>
      <c r="N125" s="116"/>
      <c r="O125" s="116"/>
      <c r="P125" s="11">
        <v>0</v>
      </c>
      <c r="Q125" s="11"/>
      <c r="R125" s="11">
        <v>40</v>
      </c>
      <c r="S125" s="11">
        <v>40</v>
      </c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33">
        <v>46258</v>
      </c>
      <c r="AE125" s="14" t="s">
        <v>465</v>
      </c>
      <c r="AF125" s="37" t="s">
        <v>597</v>
      </c>
      <c r="AG125" s="14" t="s">
        <v>513</v>
      </c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 t="s">
        <v>688</v>
      </c>
      <c r="AT125" s="14"/>
      <c r="AU125" s="11"/>
      <c r="AV125" s="14"/>
    </row>
    <row r="126" spans="1:48" s="45" customFormat="1" ht="15" x14ac:dyDescent="0.25">
      <c r="A126" s="199">
        <v>46227</v>
      </c>
      <c r="B126" s="126">
        <v>46258</v>
      </c>
      <c r="C126" s="42" t="s">
        <v>49</v>
      </c>
      <c r="D126" s="42" t="s">
        <v>567</v>
      </c>
      <c r="E126" s="14"/>
      <c r="F126" s="71">
        <v>12299</v>
      </c>
      <c r="G126" s="42" t="s">
        <v>50</v>
      </c>
      <c r="H126" s="31">
        <v>20485981536</v>
      </c>
      <c r="I126" s="138" t="str">
        <f>IF(H126="","",VLOOKUP(H126,[1]ENTIDAD!$B$2:$C$605,2,0))</f>
        <v>EMPRESA DE TRANSPORTES TURISMO Y SERVICIOS MULTIPLES SHIMA E.I.R.L.</v>
      </c>
      <c r="J126" s="11"/>
      <c r="K126" s="11"/>
      <c r="L126" s="11"/>
      <c r="M126" s="11"/>
      <c r="N126" s="116"/>
      <c r="O126" s="116"/>
      <c r="P126" s="11">
        <v>0</v>
      </c>
      <c r="Q126" s="11"/>
      <c r="R126" s="11">
        <v>40</v>
      </c>
      <c r="S126" s="11">
        <v>40</v>
      </c>
      <c r="T126" s="14"/>
      <c r="U126" s="14"/>
      <c r="V126" s="13"/>
      <c r="W126" s="15"/>
      <c r="X126" s="13"/>
      <c r="Y126" s="14"/>
      <c r="Z126" s="14"/>
      <c r="AA126" s="14"/>
      <c r="AB126" s="42" t="s">
        <v>224</v>
      </c>
      <c r="AC126" s="11"/>
      <c r="AD126" s="33">
        <v>46258</v>
      </c>
      <c r="AE126" s="14" t="s">
        <v>465</v>
      </c>
      <c r="AF126" s="37" t="s">
        <v>597</v>
      </c>
      <c r="AG126" s="14" t="s">
        <v>513</v>
      </c>
      <c r="AH126" s="14" t="s">
        <v>225</v>
      </c>
      <c r="AI126" s="14"/>
      <c r="AJ126" s="14"/>
      <c r="AK126" s="16"/>
      <c r="AL126" s="11"/>
      <c r="AM126" s="11"/>
      <c r="AN126" s="14"/>
      <c r="AO126" s="14"/>
      <c r="AP126" s="13"/>
      <c r="AQ126" s="14"/>
      <c r="AR126" s="11">
        <v>18</v>
      </c>
      <c r="AS126" s="14" t="s">
        <v>688</v>
      </c>
      <c r="AT126" s="14"/>
      <c r="AU126" s="11"/>
      <c r="AV126" s="14"/>
    </row>
    <row r="127" spans="1:48" s="45" customFormat="1" ht="15" x14ac:dyDescent="0.25">
      <c r="A127" s="199">
        <v>46227</v>
      </c>
      <c r="B127" s="126">
        <v>46258</v>
      </c>
      <c r="C127" s="42" t="s">
        <v>49</v>
      </c>
      <c r="D127" s="42" t="s">
        <v>301</v>
      </c>
      <c r="E127" s="14"/>
      <c r="F127" s="71">
        <v>19545</v>
      </c>
      <c r="G127" s="42" t="s">
        <v>50</v>
      </c>
      <c r="H127" s="31">
        <v>20493508645</v>
      </c>
      <c r="I127" s="138" t="str">
        <f>IF(H127="","",VLOOKUP(H127,[1]ENTIDAD!$B$2:$C$605,2,0))</f>
        <v>HONDA SELVA DEL PERU S.A.</v>
      </c>
      <c r="J127" s="11"/>
      <c r="K127" s="11"/>
      <c r="L127" s="11"/>
      <c r="M127" s="11"/>
      <c r="N127" s="116">
        <f t="shared" ref="N127:N139" si="9">(S127-P127)/1.18</f>
        <v>-1.1525423745960156E-3</v>
      </c>
      <c r="O127" s="116">
        <f t="shared" si="6"/>
        <v>-2.0745762742728279E-4</v>
      </c>
      <c r="P127" s="11">
        <v>13824.19</v>
      </c>
      <c r="Q127" s="11"/>
      <c r="R127" s="11"/>
      <c r="S127" s="11">
        <f>W127*AC127</f>
        <v>13824.188639999998</v>
      </c>
      <c r="T127" s="14"/>
      <c r="U127" s="14"/>
      <c r="V127" s="13"/>
      <c r="W127" s="15">
        <v>3.4039999999999999</v>
      </c>
      <c r="X127" s="13"/>
      <c r="Y127" s="14"/>
      <c r="Z127" s="14"/>
      <c r="AA127" s="14"/>
      <c r="AB127" s="42" t="s">
        <v>383</v>
      </c>
      <c r="AC127" s="11">
        <v>4061.16</v>
      </c>
      <c r="AD127" s="33">
        <v>46258</v>
      </c>
      <c r="AE127" s="34" t="s">
        <v>465</v>
      </c>
      <c r="AF127" s="19" t="s">
        <v>532</v>
      </c>
      <c r="AG127" s="14"/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 t="s">
        <v>201</v>
      </c>
      <c r="AT127" s="14"/>
      <c r="AU127" s="11"/>
      <c r="AV127" s="14"/>
    </row>
    <row r="128" spans="1:48" s="45" customFormat="1" ht="15" x14ac:dyDescent="0.25">
      <c r="A128" s="199">
        <v>46227</v>
      </c>
      <c r="B128" s="126">
        <v>46258</v>
      </c>
      <c r="C128" s="42" t="s">
        <v>49</v>
      </c>
      <c r="D128" s="42" t="s">
        <v>292</v>
      </c>
      <c r="E128" s="14"/>
      <c r="F128" s="71">
        <v>637</v>
      </c>
      <c r="G128" s="42" t="s">
        <v>50</v>
      </c>
      <c r="H128" s="184">
        <v>20601358892</v>
      </c>
      <c r="I128" s="138" t="str">
        <f>IF(H128="","",VLOOKUP(H128,[1]ENTIDAD!$B$2:$C$605,2,0))</f>
        <v>ARAUCO CONDE SOLUCIONES INMOBILIARIAS S.A.C.</v>
      </c>
      <c r="J128" s="11"/>
      <c r="K128" s="11"/>
      <c r="L128" s="11"/>
      <c r="M128" s="11"/>
      <c r="N128" s="116">
        <f t="shared" si="9"/>
        <v>0</v>
      </c>
      <c r="O128" s="116">
        <f t="shared" si="6"/>
        <v>0</v>
      </c>
      <c r="P128" s="11">
        <v>3000</v>
      </c>
      <c r="Q128" s="11"/>
      <c r="R128" s="11"/>
      <c r="S128" s="11">
        <v>3000</v>
      </c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33">
        <v>46258</v>
      </c>
      <c r="AE128" s="34" t="s">
        <v>465</v>
      </c>
      <c r="AF128" s="19" t="s">
        <v>203</v>
      </c>
      <c r="AG128" s="34"/>
      <c r="AH128" s="3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 t="s">
        <v>6539</v>
      </c>
      <c r="AT128" s="14"/>
      <c r="AU128" s="11"/>
      <c r="AV128" s="14"/>
    </row>
    <row r="129" spans="1:49" s="47" customFormat="1" ht="15" x14ac:dyDescent="0.25">
      <c r="A129" s="199">
        <v>46227</v>
      </c>
      <c r="B129" s="126">
        <v>46258</v>
      </c>
      <c r="C129" s="42" t="s">
        <v>49</v>
      </c>
      <c r="D129" s="42" t="s">
        <v>292</v>
      </c>
      <c r="E129" s="14"/>
      <c r="F129" s="71">
        <v>639</v>
      </c>
      <c r="G129" s="42" t="s">
        <v>50</v>
      </c>
      <c r="H129" s="184">
        <v>20601358892</v>
      </c>
      <c r="I129" s="138" t="str">
        <f>IF(H129="","",VLOOKUP(H129,[1]ENTIDAD!$B$2:$C$605,2,0))</f>
        <v>ARAUCO CONDE SOLUCIONES INMOBILIARIAS S.A.C.</v>
      </c>
      <c r="J129" s="11"/>
      <c r="K129" s="11"/>
      <c r="L129" s="11"/>
      <c r="M129" s="11"/>
      <c r="N129" s="116">
        <f t="shared" si="9"/>
        <v>0</v>
      </c>
      <c r="O129" s="116">
        <f t="shared" si="6"/>
        <v>0</v>
      </c>
      <c r="P129" s="11">
        <v>2000</v>
      </c>
      <c r="Q129" s="11"/>
      <c r="R129" s="11"/>
      <c r="S129" s="11">
        <v>2000</v>
      </c>
      <c r="T129" s="14"/>
      <c r="U129" s="14"/>
      <c r="V129" s="13"/>
      <c r="W129" s="15"/>
      <c r="X129" s="13"/>
      <c r="Y129" s="14"/>
      <c r="Z129" s="14"/>
      <c r="AA129" s="14"/>
      <c r="AB129" s="42" t="s">
        <v>224</v>
      </c>
      <c r="AC129" s="11"/>
      <c r="AD129" s="33">
        <v>46258</v>
      </c>
      <c r="AE129" s="34" t="s">
        <v>465</v>
      </c>
      <c r="AF129" s="19" t="s">
        <v>203</v>
      </c>
      <c r="AG129" s="34"/>
      <c r="AH129" s="34" t="s">
        <v>225</v>
      </c>
      <c r="AI129" s="14"/>
      <c r="AJ129" s="14"/>
      <c r="AK129" s="16"/>
      <c r="AL129" s="11"/>
      <c r="AM129" s="11"/>
      <c r="AN129" s="14"/>
      <c r="AO129" s="14"/>
      <c r="AP129" s="13"/>
      <c r="AQ129" s="14"/>
      <c r="AR129" s="11">
        <v>18</v>
      </c>
      <c r="AS129" s="14" t="s">
        <v>6543</v>
      </c>
      <c r="AT129" s="14"/>
      <c r="AU129" s="11"/>
      <c r="AV129" s="14"/>
      <c r="AW129" s="45"/>
    </row>
    <row r="130" spans="1:49" s="45" customFormat="1" ht="15" x14ac:dyDescent="0.25">
      <c r="A130" s="247">
        <v>46228</v>
      </c>
      <c r="B130" s="248">
        <v>46259</v>
      </c>
      <c r="C130" s="249" t="s">
        <v>300</v>
      </c>
      <c r="D130" s="249" t="s">
        <v>389</v>
      </c>
      <c r="E130" s="250"/>
      <c r="F130" s="64">
        <v>13752</v>
      </c>
      <c r="G130" s="249" t="s">
        <v>50</v>
      </c>
      <c r="H130" s="251">
        <v>20103733015</v>
      </c>
      <c r="I130" s="140" t="str">
        <f>IF(H130="","",VLOOKUP(H130,[1]ENTIDAD!$B$2:$C$605,2,0))</f>
        <v>HONDA DEL PERU S.A</v>
      </c>
      <c r="J130" s="252"/>
      <c r="K130" s="252"/>
      <c r="L130" s="252"/>
      <c r="M130" s="252"/>
      <c r="N130" s="252">
        <f t="shared" si="9"/>
        <v>-110.71449152542374</v>
      </c>
      <c r="O130" s="252">
        <f t="shared" si="6"/>
        <v>-19.928608474576272</v>
      </c>
      <c r="P130" s="55">
        <v>0</v>
      </c>
      <c r="Q130" s="252"/>
      <c r="R130" s="252"/>
      <c r="S130" s="55">
        <f>W130*AC130</f>
        <v>-130.6431</v>
      </c>
      <c r="T130" s="53"/>
      <c r="U130" s="53"/>
      <c r="V130" s="50"/>
      <c r="W130" s="25">
        <v>3.4950000000000001</v>
      </c>
      <c r="X130" s="248"/>
      <c r="Y130" s="250"/>
      <c r="Z130" s="250"/>
      <c r="AA130" s="250"/>
      <c r="AB130" s="52" t="s">
        <v>383</v>
      </c>
      <c r="AC130" s="252">
        <v>-37.380000000000003</v>
      </c>
      <c r="AD130" s="248">
        <v>46259</v>
      </c>
      <c r="AE130" s="53" t="s">
        <v>465</v>
      </c>
      <c r="AF130" s="60" t="s">
        <v>533</v>
      </c>
      <c r="AG130" s="53"/>
      <c r="AH130" s="53" t="s">
        <v>225</v>
      </c>
      <c r="AI130" s="53"/>
      <c r="AJ130" s="53"/>
      <c r="AK130" s="61"/>
      <c r="AL130" s="55"/>
      <c r="AM130" s="55"/>
      <c r="AN130" s="53"/>
      <c r="AO130" s="53"/>
      <c r="AP130" s="50"/>
      <c r="AQ130" s="53"/>
      <c r="AR130" s="55">
        <v>18</v>
      </c>
      <c r="AS130" s="53" t="s">
        <v>534</v>
      </c>
      <c r="AT130" s="112"/>
      <c r="AU130" s="116"/>
      <c r="AV130" s="112"/>
      <c r="AW130" s="121"/>
    </row>
    <row r="131" spans="1:49" s="121" customFormat="1" ht="15" x14ac:dyDescent="0.25">
      <c r="A131" s="199">
        <v>46230</v>
      </c>
      <c r="B131" s="126">
        <v>46230</v>
      </c>
      <c r="C131" s="42" t="s">
        <v>49</v>
      </c>
      <c r="D131" s="42" t="s">
        <v>294</v>
      </c>
      <c r="E131" s="14"/>
      <c r="F131" s="71">
        <v>1082</v>
      </c>
      <c r="G131" s="42" t="s">
        <v>50</v>
      </c>
      <c r="H131" s="184">
        <v>10432713593</v>
      </c>
      <c r="I131" s="138" t="str">
        <f>IF(H131="","",VLOOKUP(H131,[1]ENTIDAD!$B$2:$C$605,2,0))</f>
        <v>HUAMAN,RONCAL,MIRIAM</v>
      </c>
      <c r="J131" s="11"/>
      <c r="K131" s="11"/>
      <c r="L131" s="11"/>
      <c r="M131" s="11"/>
      <c r="N131" s="116">
        <f t="shared" si="9"/>
        <v>0</v>
      </c>
      <c r="O131" s="116">
        <f t="shared" si="6"/>
        <v>0</v>
      </c>
      <c r="P131" s="11">
        <v>22.5</v>
      </c>
      <c r="Q131" s="11"/>
      <c r="R131" s="11"/>
      <c r="S131" s="11">
        <v>22.5</v>
      </c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33">
        <v>46230</v>
      </c>
      <c r="AE131" s="14" t="s">
        <v>262</v>
      </c>
      <c r="AF131" s="73" t="s">
        <v>703</v>
      </c>
      <c r="AG131" s="14"/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 t="s">
        <v>6545</v>
      </c>
      <c r="AT131" s="14"/>
      <c r="AU131" s="11"/>
      <c r="AV131" s="14"/>
      <c r="AW131" s="45"/>
    </row>
    <row r="132" spans="1:49" s="45" customFormat="1" ht="15" x14ac:dyDescent="0.25">
      <c r="A132" s="199">
        <v>46230</v>
      </c>
      <c r="B132" s="126">
        <v>46261</v>
      </c>
      <c r="C132" s="42" t="s">
        <v>49</v>
      </c>
      <c r="D132" s="42" t="s">
        <v>6475</v>
      </c>
      <c r="E132" s="14"/>
      <c r="F132" s="71">
        <v>86561</v>
      </c>
      <c r="G132" s="42" t="s">
        <v>50</v>
      </c>
      <c r="H132" s="184">
        <v>20100047218</v>
      </c>
      <c r="I132" s="138" t="str">
        <f>IF(H132="","",VLOOKUP(H132,[1]ENTIDAD!$B$2:$C$605,2,0))</f>
        <v>BANCO DE CREDITO DEL PERU</v>
      </c>
      <c r="J132" s="11"/>
      <c r="K132" s="11"/>
      <c r="L132" s="11"/>
      <c r="M132" s="11"/>
      <c r="N132" s="116">
        <f t="shared" si="9"/>
        <v>0</v>
      </c>
      <c r="O132" s="116">
        <f t="shared" ref="O132:O143" si="10">N132*0.18</f>
        <v>0</v>
      </c>
      <c r="P132" s="11">
        <v>1.38</v>
      </c>
      <c r="Q132" s="11"/>
      <c r="R132" s="11"/>
      <c r="S132" s="11">
        <v>1.38</v>
      </c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33">
        <v>46261</v>
      </c>
      <c r="AE132" s="14" t="s">
        <v>465</v>
      </c>
      <c r="AF132" s="19" t="s">
        <v>494</v>
      </c>
      <c r="AG132" s="14"/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 t="s">
        <v>6538</v>
      </c>
      <c r="AT132" s="14"/>
      <c r="AU132" s="11"/>
      <c r="AV132" s="14"/>
    </row>
    <row r="133" spans="1:49" s="45" customFormat="1" ht="15" x14ac:dyDescent="0.25">
      <c r="A133" s="199">
        <v>46233</v>
      </c>
      <c r="B133" s="126">
        <v>46233</v>
      </c>
      <c r="C133" s="42" t="s">
        <v>49</v>
      </c>
      <c r="D133" s="42" t="s">
        <v>294</v>
      </c>
      <c r="E133" s="14"/>
      <c r="F133" s="71">
        <v>2639</v>
      </c>
      <c r="G133" s="42" t="s">
        <v>50</v>
      </c>
      <c r="H133" s="184">
        <v>20604975159</v>
      </c>
      <c r="I133" s="138" t="str">
        <f>IF(H133="","",VLOOKUP(H133,[1]ENTIDAD!$B$2:$C$605,2,0))</f>
        <v>CORPORACION CARELI EMPRESA INDIVIDUAL DE RESPONSABILIDAD LIMITADA - CORPORACION CARELI E.I.R.L.</v>
      </c>
      <c r="J133" s="11"/>
      <c r="K133" s="11"/>
      <c r="L133" s="11"/>
      <c r="M133" s="11"/>
      <c r="N133" s="116">
        <f t="shared" si="9"/>
        <v>0</v>
      </c>
      <c r="O133" s="116">
        <f t="shared" si="10"/>
        <v>0</v>
      </c>
      <c r="P133" s="11">
        <v>15</v>
      </c>
      <c r="Q133" s="11"/>
      <c r="R133" s="11"/>
      <c r="S133" s="11">
        <v>15</v>
      </c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>
        <v>46233</v>
      </c>
      <c r="AE133" s="34" t="s">
        <v>262</v>
      </c>
      <c r="AF133" s="37" t="s">
        <v>521</v>
      </c>
      <c r="AG133" s="14"/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 t="s">
        <v>6529</v>
      </c>
      <c r="AT133" s="14"/>
      <c r="AU133" s="11"/>
      <c r="AV133" s="14"/>
    </row>
    <row r="134" spans="1:49" s="45" customFormat="1" ht="15" x14ac:dyDescent="0.25">
      <c r="A134" s="223">
        <v>46233</v>
      </c>
      <c r="B134" s="248">
        <v>46264</v>
      </c>
      <c r="C134" s="52" t="s">
        <v>300</v>
      </c>
      <c r="D134" s="52" t="s">
        <v>301</v>
      </c>
      <c r="E134" s="53"/>
      <c r="F134" s="64">
        <v>2750</v>
      </c>
      <c r="G134" s="52" t="s">
        <v>50</v>
      </c>
      <c r="H134" s="69">
        <v>20493508645</v>
      </c>
      <c r="I134" s="140" t="str">
        <f>IF(H134="","",VLOOKUP(H134,[1]ENTIDAD!$B$2:$C$605,2,0))</f>
        <v>HONDA SELVA DEL PERU S.A.</v>
      </c>
      <c r="J134" s="55"/>
      <c r="K134" s="55"/>
      <c r="L134" s="55"/>
      <c r="M134" s="55"/>
      <c r="N134" s="252">
        <f t="shared" si="9"/>
        <v>2.779661019180282E-3</v>
      </c>
      <c r="O134" s="252">
        <f t="shared" si="10"/>
        <v>5.0033898345245079E-4</v>
      </c>
      <c r="P134" s="55">
        <v>-10923.7</v>
      </c>
      <c r="Q134" s="55"/>
      <c r="R134" s="55"/>
      <c r="S134" s="55">
        <f>W134*AC134</f>
        <v>-10923.696719999998</v>
      </c>
      <c r="T134" s="53"/>
      <c r="U134" s="53"/>
      <c r="V134" s="50"/>
      <c r="W134" s="25">
        <v>3.4289999999999998</v>
      </c>
      <c r="X134" s="50"/>
      <c r="Y134" s="53"/>
      <c r="Z134" s="53"/>
      <c r="AA134" s="53"/>
      <c r="AB134" s="52" t="s">
        <v>383</v>
      </c>
      <c r="AC134" s="55">
        <v>-3185.68</v>
      </c>
      <c r="AD134" s="50">
        <v>46264</v>
      </c>
      <c r="AE134" s="53" t="s">
        <v>465</v>
      </c>
      <c r="AF134" s="60" t="s">
        <v>533</v>
      </c>
      <c r="AG134" s="53"/>
      <c r="AH134" s="53" t="s">
        <v>225</v>
      </c>
      <c r="AI134" s="53"/>
      <c r="AJ134" s="53"/>
      <c r="AK134" s="61"/>
      <c r="AL134" s="55"/>
      <c r="AM134" s="55"/>
      <c r="AN134" s="53"/>
      <c r="AO134" s="53"/>
      <c r="AP134" s="50"/>
      <c r="AQ134" s="53"/>
      <c r="AR134" s="55">
        <v>18</v>
      </c>
      <c r="AS134" s="53" t="s">
        <v>534</v>
      </c>
      <c r="AT134" s="14"/>
      <c r="AU134" s="11"/>
      <c r="AV134" s="14"/>
    </row>
    <row r="135" spans="1:49" s="45" customFormat="1" ht="15" x14ac:dyDescent="0.25">
      <c r="A135" s="200">
        <v>46234</v>
      </c>
      <c r="B135" s="126">
        <v>46265</v>
      </c>
      <c r="C135" s="111" t="s">
        <v>49</v>
      </c>
      <c r="D135" s="42" t="s">
        <v>439</v>
      </c>
      <c r="E135" s="14"/>
      <c r="F135" s="71">
        <v>16542</v>
      </c>
      <c r="G135" s="42" t="s">
        <v>50</v>
      </c>
      <c r="H135" s="184">
        <v>20493508645</v>
      </c>
      <c r="I135" s="138" t="str">
        <f>IF(H135="","",VLOOKUP(H135,[1]ENTIDAD!$B$2:$C$605,2,0))</f>
        <v>HONDA SELVA DEL PERU S.A.</v>
      </c>
      <c r="J135" s="11"/>
      <c r="K135" s="11"/>
      <c r="L135" s="11"/>
      <c r="M135" s="116"/>
      <c r="N135" s="116">
        <f t="shared" si="9"/>
        <v>-2.6271186547770198E-4</v>
      </c>
      <c r="O135" s="116">
        <f t="shared" si="10"/>
        <v>-4.7288135785986356E-5</v>
      </c>
      <c r="P135" s="11">
        <v>13168.78</v>
      </c>
      <c r="Q135" s="116"/>
      <c r="R135" s="116"/>
      <c r="S135" s="11">
        <f>W135*AC135</f>
        <v>13168.779689999999</v>
      </c>
      <c r="T135" s="14"/>
      <c r="U135" s="14"/>
      <c r="V135" s="13"/>
      <c r="W135" s="15">
        <v>3.399</v>
      </c>
      <c r="X135" s="109"/>
      <c r="Y135" s="112"/>
      <c r="Z135" s="112"/>
      <c r="AA135" s="112"/>
      <c r="AB135" s="42" t="s">
        <v>383</v>
      </c>
      <c r="AC135" s="11">
        <v>3874.31</v>
      </c>
      <c r="AD135" s="33">
        <v>46265</v>
      </c>
      <c r="AE135" s="34" t="s">
        <v>465</v>
      </c>
      <c r="AF135" s="19" t="s">
        <v>532</v>
      </c>
      <c r="AG135" s="14"/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 t="s">
        <v>201</v>
      </c>
      <c r="AT135" s="112"/>
      <c r="AU135" s="116"/>
      <c r="AV135" s="112"/>
      <c r="AW135" s="121"/>
    </row>
    <row r="136" spans="1:49" s="45" customFormat="1" ht="15" x14ac:dyDescent="0.25">
      <c r="A136" s="199">
        <v>46234</v>
      </c>
      <c r="B136" s="126">
        <v>46265</v>
      </c>
      <c r="C136" s="42" t="s">
        <v>49</v>
      </c>
      <c r="D136" s="42" t="s">
        <v>439</v>
      </c>
      <c r="E136" s="14"/>
      <c r="F136" s="71">
        <v>16541</v>
      </c>
      <c r="G136" s="42" t="s">
        <v>50</v>
      </c>
      <c r="H136" s="184">
        <v>20493508645</v>
      </c>
      <c r="I136" s="138" t="str">
        <f>IF(H136="","",VLOOKUP(H136,[1]ENTIDAD!$B$2:$C$605,2,0))</f>
        <v>HONDA SELVA DEL PERU S.A.</v>
      </c>
      <c r="J136" s="11"/>
      <c r="K136" s="11"/>
      <c r="L136" s="11"/>
      <c r="M136" s="11"/>
      <c r="N136" s="116">
        <f t="shared" si="9"/>
        <v>2.8813559334070061E-3</v>
      </c>
      <c r="O136" s="116">
        <f t="shared" si="10"/>
        <v>5.1864406801326111E-4</v>
      </c>
      <c r="P136" s="11">
        <v>34658.239999999998</v>
      </c>
      <c r="Q136" s="11"/>
      <c r="R136" s="11"/>
      <c r="S136" s="11">
        <f>W136*AC136</f>
        <v>34658.243399999999</v>
      </c>
      <c r="T136" s="14"/>
      <c r="U136" s="14"/>
      <c r="V136" s="13"/>
      <c r="W136" s="15">
        <v>3.399</v>
      </c>
      <c r="X136" s="13"/>
      <c r="Y136" s="14"/>
      <c r="Z136" s="14"/>
      <c r="AA136" s="14"/>
      <c r="AB136" s="42" t="s">
        <v>383</v>
      </c>
      <c r="AC136" s="11">
        <v>10196.6</v>
      </c>
      <c r="AD136" s="33">
        <v>46265</v>
      </c>
      <c r="AE136" s="34" t="s">
        <v>465</v>
      </c>
      <c r="AF136" s="73" t="s">
        <v>532</v>
      </c>
      <c r="AG136" s="14"/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 t="s">
        <v>201</v>
      </c>
      <c r="AT136" s="14"/>
      <c r="AU136" s="11"/>
      <c r="AV136" s="14"/>
    </row>
    <row r="137" spans="1:49" s="45" customFormat="1" ht="15" x14ac:dyDescent="0.25">
      <c r="A137" s="199">
        <v>46234</v>
      </c>
      <c r="B137" s="126">
        <v>46265</v>
      </c>
      <c r="C137" s="42" t="s">
        <v>49</v>
      </c>
      <c r="D137" s="42" t="s">
        <v>6487</v>
      </c>
      <c r="E137" s="14"/>
      <c r="F137" s="71">
        <v>28362188</v>
      </c>
      <c r="G137" s="42" t="s">
        <v>50</v>
      </c>
      <c r="H137" s="184">
        <v>20100130204</v>
      </c>
      <c r="I137" s="138" t="str">
        <f>IF(H137="","",VLOOKUP(H137,[1]ENTIDAD!$B$2:$C$605,2,0))</f>
        <v>BANCO BBVA PERU</v>
      </c>
      <c r="J137" s="11"/>
      <c r="K137" s="11"/>
      <c r="L137" s="11"/>
      <c r="M137" s="11"/>
      <c r="N137" s="116">
        <f t="shared" si="9"/>
        <v>0</v>
      </c>
      <c r="O137" s="116">
        <f t="shared" si="10"/>
        <v>0</v>
      </c>
      <c r="P137" s="11">
        <v>40</v>
      </c>
      <c r="Q137" s="11"/>
      <c r="R137" s="11"/>
      <c r="S137" s="11">
        <v>40</v>
      </c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>
        <v>46265</v>
      </c>
      <c r="AE137" s="14" t="s">
        <v>465</v>
      </c>
      <c r="AF137" s="19" t="s">
        <v>494</v>
      </c>
      <c r="AG137" s="14"/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 t="s">
        <v>6532</v>
      </c>
      <c r="AT137" s="14"/>
      <c r="AU137" s="11"/>
      <c r="AV137" s="14"/>
    </row>
    <row r="138" spans="1:49" s="45" customFormat="1" ht="15" x14ac:dyDescent="0.25">
      <c r="A138" s="199">
        <v>46234</v>
      </c>
      <c r="B138" s="126">
        <v>46265</v>
      </c>
      <c r="C138" s="42" t="s">
        <v>49</v>
      </c>
      <c r="D138" s="42" t="s">
        <v>294</v>
      </c>
      <c r="E138" s="14"/>
      <c r="F138" s="71">
        <v>1170138</v>
      </c>
      <c r="G138" s="42" t="s">
        <v>50</v>
      </c>
      <c r="H138" s="184">
        <v>20265681299</v>
      </c>
      <c r="I138" s="138" t="str">
        <f>IF(H138="","",VLOOKUP(H138,[1]ENTIDAD!$B$2:$C$605,2,0))</f>
        <v>EQUIFAX PERU S.A.</v>
      </c>
      <c r="J138" s="11"/>
      <c r="K138" s="11"/>
      <c r="L138" s="11"/>
      <c r="M138" s="11"/>
      <c r="N138" s="116">
        <f t="shared" si="9"/>
        <v>262.00000000000006</v>
      </c>
      <c r="O138" s="116">
        <f t="shared" si="10"/>
        <v>47.160000000000011</v>
      </c>
      <c r="P138" s="11">
        <v>0</v>
      </c>
      <c r="Q138" s="11"/>
      <c r="R138" s="11"/>
      <c r="S138" s="11">
        <v>309.16000000000003</v>
      </c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>
        <v>46265</v>
      </c>
      <c r="AE138" s="34" t="s">
        <v>465</v>
      </c>
      <c r="AF138" s="19" t="s">
        <v>600</v>
      </c>
      <c r="AG138" s="14"/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 t="s">
        <v>6533</v>
      </c>
      <c r="AT138" s="14"/>
      <c r="AU138" s="11"/>
      <c r="AV138" s="14"/>
    </row>
    <row r="139" spans="1:49" s="45" customFormat="1" ht="15" x14ac:dyDescent="0.25">
      <c r="A139" s="199">
        <v>46234</v>
      </c>
      <c r="B139" s="126">
        <v>46265</v>
      </c>
      <c r="C139" s="42" t="s">
        <v>49</v>
      </c>
      <c r="D139" s="42" t="s">
        <v>294</v>
      </c>
      <c r="E139" s="14"/>
      <c r="F139" s="71">
        <v>5028481</v>
      </c>
      <c r="G139" s="42" t="s">
        <v>50</v>
      </c>
      <c r="H139" s="184">
        <v>20432405525</v>
      </c>
      <c r="I139" s="138" t="str">
        <f>IF(H139="","",VLOOKUP(H139,[1]ENTIDAD!$B$2:$C$605,2,0))</f>
        <v>PROCESOS DE MEDIOS DE PAGO S.A.</v>
      </c>
      <c r="J139" s="11"/>
      <c r="K139" s="11"/>
      <c r="L139" s="11"/>
      <c r="M139" s="11"/>
      <c r="N139" s="116">
        <f t="shared" si="9"/>
        <v>1</v>
      </c>
      <c r="O139" s="116">
        <f t="shared" si="10"/>
        <v>0.18</v>
      </c>
      <c r="P139" s="11">
        <v>0</v>
      </c>
      <c r="Q139" s="11"/>
      <c r="R139" s="11"/>
      <c r="S139" s="11">
        <v>1.18</v>
      </c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>
        <v>46265</v>
      </c>
      <c r="AE139" s="34" t="s">
        <v>465</v>
      </c>
      <c r="AF139" s="19" t="s">
        <v>494</v>
      </c>
      <c r="AG139" s="14"/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 t="s">
        <v>6546</v>
      </c>
      <c r="AT139" s="14"/>
      <c r="AU139" s="11"/>
      <c r="AV139" s="14"/>
    </row>
    <row r="140" spans="1:49" s="45" customFormat="1" ht="15" x14ac:dyDescent="0.25">
      <c r="A140" s="199">
        <v>46234</v>
      </c>
      <c r="B140" s="126">
        <v>46265</v>
      </c>
      <c r="C140" s="42" t="s">
        <v>49</v>
      </c>
      <c r="D140" s="42" t="s">
        <v>568</v>
      </c>
      <c r="E140" s="14"/>
      <c r="F140" s="71">
        <v>21095</v>
      </c>
      <c r="G140" s="42" t="s">
        <v>50</v>
      </c>
      <c r="H140" s="184">
        <v>20485981536</v>
      </c>
      <c r="I140" s="138" t="str">
        <f>IF(H140="","",VLOOKUP(H140,[1]ENTIDAD!$B$2:$C$605,2,0))</f>
        <v>EMPRESA DE TRANSPORTES TURISMO Y SERVICIOS MULTIPLES SHIMA E.I.R.L.</v>
      </c>
      <c r="J140" s="11"/>
      <c r="K140" s="11"/>
      <c r="L140" s="11"/>
      <c r="M140" s="11"/>
      <c r="N140" s="116"/>
      <c r="O140" s="116"/>
      <c r="P140" s="11">
        <v>0</v>
      </c>
      <c r="Q140" s="11"/>
      <c r="R140" s="11">
        <v>40</v>
      </c>
      <c r="S140" s="11">
        <v>40</v>
      </c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>
        <v>46265</v>
      </c>
      <c r="AE140" s="14" t="s">
        <v>465</v>
      </c>
      <c r="AF140" s="37" t="s">
        <v>597</v>
      </c>
      <c r="AG140" s="14" t="s">
        <v>513</v>
      </c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 t="s">
        <v>671</v>
      </c>
      <c r="AT140" s="14"/>
      <c r="AU140" s="11"/>
      <c r="AV140" s="14"/>
    </row>
    <row r="141" spans="1:49" s="45" customFormat="1" ht="15" x14ac:dyDescent="0.25">
      <c r="A141" s="199">
        <v>46234</v>
      </c>
      <c r="B141" s="126">
        <v>46265</v>
      </c>
      <c r="C141" s="42" t="s">
        <v>49</v>
      </c>
      <c r="D141" s="42" t="s">
        <v>567</v>
      </c>
      <c r="E141" s="14"/>
      <c r="F141" s="71">
        <v>12323</v>
      </c>
      <c r="G141" s="42" t="s">
        <v>50</v>
      </c>
      <c r="H141" s="184">
        <v>20485981536</v>
      </c>
      <c r="I141" s="138" t="str">
        <f>IF(H141="","",VLOOKUP(H141,[1]ENTIDAD!$B$2:$C$605,2,0))</f>
        <v>EMPRESA DE TRANSPORTES TURISMO Y SERVICIOS MULTIPLES SHIMA E.I.R.L.</v>
      </c>
      <c r="J141" s="11"/>
      <c r="K141" s="11"/>
      <c r="L141" s="11"/>
      <c r="M141" s="11"/>
      <c r="N141" s="116"/>
      <c r="O141" s="116"/>
      <c r="P141" s="11">
        <v>0</v>
      </c>
      <c r="Q141" s="11"/>
      <c r="R141" s="11">
        <v>40</v>
      </c>
      <c r="S141" s="11">
        <v>40</v>
      </c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>
        <v>46265</v>
      </c>
      <c r="AE141" s="14" t="s">
        <v>465</v>
      </c>
      <c r="AF141" s="37" t="s">
        <v>597</v>
      </c>
      <c r="AG141" s="14" t="s">
        <v>513</v>
      </c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 t="s">
        <v>671</v>
      </c>
      <c r="AT141" s="14"/>
      <c r="AU141" s="11"/>
      <c r="AV141" s="14"/>
    </row>
    <row r="142" spans="1:49" s="45" customFormat="1" ht="15" x14ac:dyDescent="0.25">
      <c r="A142" s="199">
        <v>46234</v>
      </c>
      <c r="B142" s="126">
        <v>46265</v>
      </c>
      <c r="C142" s="42" t="s">
        <v>49</v>
      </c>
      <c r="D142" s="42" t="s">
        <v>294</v>
      </c>
      <c r="E142" s="14"/>
      <c r="F142" s="71">
        <v>5494</v>
      </c>
      <c r="G142" s="42" t="s">
        <v>50</v>
      </c>
      <c r="H142" s="184">
        <v>10061702071</v>
      </c>
      <c r="I142" s="138" t="str">
        <f>IF(H142="","",VLOOKUP(H142,[1]ENTIDAD!$B$2:$C$605,2,0))</f>
        <v>CORAL FLORES IVAN MARTIN</v>
      </c>
      <c r="J142" s="11"/>
      <c r="K142" s="11"/>
      <c r="L142" s="11"/>
      <c r="M142" s="11"/>
      <c r="N142" s="116"/>
      <c r="O142" s="116"/>
      <c r="P142" s="11">
        <v>0</v>
      </c>
      <c r="Q142" s="11"/>
      <c r="R142" s="11">
        <v>315</v>
      </c>
      <c r="S142" s="11">
        <v>315</v>
      </c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>
        <v>46265</v>
      </c>
      <c r="AE142" s="14" t="s">
        <v>465</v>
      </c>
      <c r="AF142" s="37" t="s">
        <v>597</v>
      </c>
      <c r="AG142" s="14" t="s">
        <v>513</v>
      </c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 t="s">
        <v>667</v>
      </c>
      <c r="AT142" s="14"/>
      <c r="AU142" s="11"/>
      <c r="AV142" s="14"/>
    </row>
    <row r="143" spans="1:49" s="121" customFormat="1" ht="15" x14ac:dyDescent="0.25">
      <c r="A143" s="199">
        <v>46234</v>
      </c>
      <c r="B143" s="126">
        <v>46265</v>
      </c>
      <c r="C143" s="42" t="s">
        <v>49</v>
      </c>
      <c r="D143" s="42" t="s">
        <v>292</v>
      </c>
      <c r="E143" s="14"/>
      <c r="F143" s="71">
        <v>250</v>
      </c>
      <c r="G143" s="42" t="s">
        <v>50</v>
      </c>
      <c r="H143" s="184">
        <v>20486949938</v>
      </c>
      <c r="I143" s="138" t="str">
        <f>IF(H143="","",VLOOKUP(H143,[1]ENTIDAD!$B$2:$C$605,2,0))</f>
        <v>EMPRESA DE TRANSPORTES SORCAR SOCIEDAD COMERCIAL DE RESPONSABILIDAD LIMITADA</v>
      </c>
      <c r="J143" s="11"/>
      <c r="K143" s="11"/>
      <c r="L143" s="11"/>
      <c r="M143" s="11"/>
      <c r="N143" s="116">
        <f t="shared" ref="N143" si="11">(S143-P143)/1.18</f>
        <v>0</v>
      </c>
      <c r="O143" s="116">
        <f t="shared" si="10"/>
        <v>0</v>
      </c>
      <c r="P143" s="11">
        <v>200</v>
      </c>
      <c r="Q143" s="11"/>
      <c r="R143" s="11"/>
      <c r="S143" s="11">
        <v>200</v>
      </c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>
        <v>46265</v>
      </c>
      <c r="AE143" s="34" t="s">
        <v>465</v>
      </c>
      <c r="AF143" s="37" t="s">
        <v>741</v>
      </c>
      <c r="AG143" s="14"/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 t="s">
        <v>6535</v>
      </c>
      <c r="AT143" s="14"/>
      <c r="AU143" s="11"/>
      <c r="AV143" s="14"/>
      <c r="AW143" s="45"/>
    </row>
    <row r="144" spans="1:49" s="45" customFormat="1" ht="15" x14ac:dyDescent="0.25">
      <c r="A144" s="200">
        <v>46234</v>
      </c>
      <c r="B144" s="126">
        <v>46265</v>
      </c>
      <c r="C144" s="111" t="s">
        <v>49</v>
      </c>
      <c r="D144" s="42" t="s">
        <v>299</v>
      </c>
      <c r="E144" s="14"/>
      <c r="F144" s="71">
        <v>4017315</v>
      </c>
      <c r="G144" s="42" t="s">
        <v>50</v>
      </c>
      <c r="H144" s="184">
        <v>20101973922</v>
      </c>
      <c r="I144" s="138" t="str">
        <f>IF(H144="","",VLOOKUP(H144,[1]ENTIDAD!$B$2:$C$605,2,0))</f>
        <v>ASOCIACION AUTOMOTRIZ DEL PERU</v>
      </c>
      <c r="J144" s="11"/>
      <c r="K144" s="11"/>
      <c r="L144" s="11"/>
      <c r="M144" s="116"/>
      <c r="N144" s="116"/>
      <c r="O144" s="116"/>
      <c r="P144" s="11">
        <v>0</v>
      </c>
      <c r="Q144" s="116"/>
      <c r="R144" s="116">
        <v>66.8</v>
      </c>
      <c r="S144" s="116">
        <v>66.8</v>
      </c>
      <c r="T144" s="112"/>
      <c r="U144" s="112"/>
      <c r="V144" s="109"/>
      <c r="W144" s="118"/>
      <c r="X144" s="109"/>
      <c r="Y144" s="112"/>
      <c r="Z144" s="112"/>
      <c r="AA144" s="112"/>
      <c r="AB144" s="42" t="s">
        <v>224</v>
      </c>
      <c r="AC144" s="116"/>
      <c r="AD144" s="126">
        <v>46265</v>
      </c>
      <c r="AE144" s="34" t="s">
        <v>465</v>
      </c>
      <c r="AF144" s="37" t="s">
        <v>597</v>
      </c>
      <c r="AG144" s="14" t="s">
        <v>513</v>
      </c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 t="s">
        <v>566</v>
      </c>
      <c r="AT144" s="112"/>
      <c r="AU144" s="116"/>
      <c r="AV144" s="112"/>
      <c r="AW144" s="121"/>
    </row>
    <row r="145" spans="1:49" s="45" customFormat="1" ht="15" x14ac:dyDescent="0.25">
      <c r="A145" s="199">
        <v>46234</v>
      </c>
      <c r="B145" s="126">
        <v>46265</v>
      </c>
      <c r="C145" s="42" t="s">
        <v>49</v>
      </c>
      <c r="D145" s="42" t="s">
        <v>299</v>
      </c>
      <c r="E145" s="14"/>
      <c r="F145" s="71">
        <v>4017316</v>
      </c>
      <c r="G145" s="42" t="s">
        <v>50</v>
      </c>
      <c r="H145" s="184">
        <v>20101973922</v>
      </c>
      <c r="I145" s="138" t="str">
        <f>IF(H145="","",VLOOKUP(H145,[1]ENTIDAD!$B$2:$C$605,2,0))</f>
        <v>ASOCIACION AUTOMOTRIZ DEL PERU</v>
      </c>
      <c r="J145" s="11"/>
      <c r="K145" s="11"/>
      <c r="L145" s="11"/>
      <c r="M145" s="11"/>
      <c r="N145" s="116"/>
      <c r="O145" s="116"/>
      <c r="P145" s="11">
        <v>0</v>
      </c>
      <c r="Q145" s="11"/>
      <c r="R145" s="11">
        <v>66.8</v>
      </c>
      <c r="S145" s="11">
        <v>66.8</v>
      </c>
      <c r="T145" s="14"/>
      <c r="U145" s="14"/>
      <c r="V145" s="13"/>
      <c r="W145" s="15"/>
      <c r="X145" s="13"/>
      <c r="Y145" s="14"/>
      <c r="Z145" s="14"/>
      <c r="AA145" s="14"/>
      <c r="AB145" s="42" t="s">
        <v>224</v>
      </c>
      <c r="AC145" s="11"/>
      <c r="AD145" s="126">
        <v>46265</v>
      </c>
      <c r="AE145" s="34" t="s">
        <v>465</v>
      </c>
      <c r="AF145" s="37" t="s">
        <v>597</v>
      </c>
      <c r="AG145" s="14" t="s">
        <v>513</v>
      </c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 t="s">
        <v>566</v>
      </c>
      <c r="AT145" s="14"/>
      <c r="AU145" s="11"/>
      <c r="AV145" s="14"/>
    </row>
    <row r="146" spans="1:49" s="45" customFormat="1" ht="15" x14ac:dyDescent="0.25">
      <c r="A146" s="199">
        <v>46234</v>
      </c>
      <c r="B146" s="126">
        <v>46265</v>
      </c>
      <c r="C146" s="42" t="s">
        <v>49</v>
      </c>
      <c r="D146" s="42" t="s">
        <v>299</v>
      </c>
      <c r="E146" s="14"/>
      <c r="F146" s="71">
        <v>4017317</v>
      </c>
      <c r="G146" s="42" t="s">
        <v>50</v>
      </c>
      <c r="H146" s="184">
        <v>20101973922</v>
      </c>
      <c r="I146" s="138" t="str">
        <f>IF(H146="","",VLOOKUP(H146,[1]ENTIDAD!$B$2:$C$605,2,0))</f>
        <v>ASOCIACION AUTOMOTRIZ DEL PERU</v>
      </c>
      <c r="J146" s="11"/>
      <c r="K146" s="11"/>
      <c r="L146" s="11"/>
      <c r="M146" s="11"/>
      <c r="N146" s="116"/>
      <c r="O146" s="116"/>
      <c r="P146" s="11">
        <v>0</v>
      </c>
      <c r="Q146" s="11"/>
      <c r="R146" s="11">
        <v>66.8</v>
      </c>
      <c r="S146" s="11">
        <v>66.8</v>
      </c>
      <c r="T146" s="14"/>
      <c r="U146" s="14"/>
      <c r="V146" s="13"/>
      <c r="W146" s="15"/>
      <c r="X146" s="13"/>
      <c r="Y146" s="14"/>
      <c r="Z146" s="14"/>
      <c r="AA146" s="14"/>
      <c r="AB146" s="42" t="s">
        <v>224</v>
      </c>
      <c r="AC146" s="11"/>
      <c r="AD146" s="126">
        <v>46265</v>
      </c>
      <c r="AE146" s="34" t="s">
        <v>465</v>
      </c>
      <c r="AF146" s="37" t="s">
        <v>597</v>
      </c>
      <c r="AG146" s="14" t="s">
        <v>513</v>
      </c>
      <c r="AH146" s="14" t="s">
        <v>225</v>
      </c>
      <c r="AI146" s="14"/>
      <c r="AJ146" s="14"/>
      <c r="AK146" s="16"/>
      <c r="AL146" s="11"/>
      <c r="AM146" s="11"/>
      <c r="AN146" s="14"/>
      <c r="AO146" s="14"/>
      <c r="AP146" s="13"/>
      <c r="AQ146" s="14"/>
      <c r="AR146" s="11">
        <v>18</v>
      </c>
      <c r="AS146" s="14" t="s">
        <v>566</v>
      </c>
      <c r="AT146" s="14"/>
      <c r="AU146" s="11"/>
      <c r="AV146" s="14"/>
    </row>
    <row r="147" spans="1:49" s="45" customFormat="1" ht="15" x14ac:dyDescent="0.25">
      <c r="A147" s="199">
        <v>46234</v>
      </c>
      <c r="B147" s="126">
        <v>46265</v>
      </c>
      <c r="C147" s="42" t="s">
        <v>49</v>
      </c>
      <c r="D147" s="42" t="s">
        <v>299</v>
      </c>
      <c r="E147" s="14"/>
      <c r="F147" s="71">
        <v>4017318</v>
      </c>
      <c r="G147" s="42" t="s">
        <v>50</v>
      </c>
      <c r="H147" s="184">
        <v>20101973922</v>
      </c>
      <c r="I147" s="138" t="str">
        <f>IF(H147="","",VLOOKUP(H147,[1]ENTIDAD!$B$2:$C$605,2,0))</f>
        <v>ASOCIACION AUTOMOTRIZ DEL PERU</v>
      </c>
      <c r="J147" s="11"/>
      <c r="K147" s="11"/>
      <c r="L147" s="11"/>
      <c r="M147" s="11"/>
      <c r="N147" s="116"/>
      <c r="O147" s="116"/>
      <c r="P147" s="11">
        <v>0</v>
      </c>
      <c r="Q147" s="11"/>
      <c r="R147" s="11">
        <v>66.8</v>
      </c>
      <c r="S147" s="11">
        <v>66.8</v>
      </c>
      <c r="T147" s="14"/>
      <c r="U147" s="14"/>
      <c r="V147" s="13"/>
      <c r="W147" s="15"/>
      <c r="X147" s="13"/>
      <c r="Y147" s="14"/>
      <c r="Z147" s="14"/>
      <c r="AA147" s="14"/>
      <c r="AB147" s="42" t="s">
        <v>224</v>
      </c>
      <c r="AC147" s="11"/>
      <c r="AD147" s="126">
        <v>46265</v>
      </c>
      <c r="AE147" s="34" t="s">
        <v>465</v>
      </c>
      <c r="AF147" s="37" t="s">
        <v>597</v>
      </c>
      <c r="AG147" s="14" t="s">
        <v>513</v>
      </c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 t="s">
        <v>566</v>
      </c>
      <c r="AT147" s="14"/>
      <c r="AU147" s="11"/>
      <c r="AV147" s="14"/>
    </row>
    <row r="148" spans="1:49" s="45" customFormat="1" ht="15" x14ac:dyDescent="0.25">
      <c r="A148" s="199">
        <v>46234</v>
      </c>
      <c r="B148" s="126">
        <v>46265</v>
      </c>
      <c r="C148" s="42" t="s">
        <v>49</v>
      </c>
      <c r="D148" s="42" t="s">
        <v>299</v>
      </c>
      <c r="E148" s="14"/>
      <c r="F148" s="71">
        <v>4017319</v>
      </c>
      <c r="G148" s="42" t="s">
        <v>50</v>
      </c>
      <c r="H148" s="184">
        <v>20101973922</v>
      </c>
      <c r="I148" s="138" t="str">
        <f>IF(H148="","",VLOOKUP(H148,[1]ENTIDAD!$B$2:$C$605,2,0))</f>
        <v>ASOCIACION AUTOMOTRIZ DEL PERU</v>
      </c>
      <c r="J148" s="11"/>
      <c r="K148" s="11"/>
      <c r="L148" s="11"/>
      <c r="M148" s="11"/>
      <c r="N148" s="116"/>
      <c r="O148" s="116"/>
      <c r="P148" s="11">
        <v>0</v>
      </c>
      <c r="Q148" s="11"/>
      <c r="R148" s="11">
        <v>66.8</v>
      </c>
      <c r="S148" s="11">
        <v>66.8</v>
      </c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126">
        <v>46265</v>
      </c>
      <c r="AE148" s="34" t="s">
        <v>465</v>
      </c>
      <c r="AF148" s="37" t="s">
        <v>597</v>
      </c>
      <c r="AG148" s="14" t="s">
        <v>513</v>
      </c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 t="s">
        <v>566</v>
      </c>
      <c r="AT148" s="14"/>
      <c r="AU148" s="11"/>
      <c r="AV148" s="14"/>
    </row>
    <row r="149" spans="1:49" s="121" customFormat="1" ht="15" x14ac:dyDescent="0.25">
      <c r="A149" s="199">
        <v>46234</v>
      </c>
      <c r="B149" s="126">
        <v>46265</v>
      </c>
      <c r="C149" s="42" t="s">
        <v>49</v>
      </c>
      <c r="D149" s="42" t="s">
        <v>299</v>
      </c>
      <c r="E149" s="14"/>
      <c r="F149" s="71">
        <v>4017320</v>
      </c>
      <c r="G149" s="42" t="s">
        <v>50</v>
      </c>
      <c r="H149" s="184">
        <v>20101973922</v>
      </c>
      <c r="I149" s="138" t="str">
        <f>IF(H149="","",VLOOKUP(H149,[1]ENTIDAD!$B$2:$C$605,2,0))</f>
        <v>ASOCIACION AUTOMOTRIZ DEL PERU</v>
      </c>
      <c r="J149" s="11"/>
      <c r="K149" s="11"/>
      <c r="L149" s="11"/>
      <c r="M149" s="11"/>
      <c r="N149" s="116"/>
      <c r="O149" s="116"/>
      <c r="P149" s="11">
        <v>0</v>
      </c>
      <c r="Q149" s="11"/>
      <c r="R149" s="11">
        <v>66.8</v>
      </c>
      <c r="S149" s="11">
        <v>66.8</v>
      </c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126">
        <v>46265</v>
      </c>
      <c r="AE149" s="34" t="s">
        <v>465</v>
      </c>
      <c r="AF149" s="37" t="s">
        <v>597</v>
      </c>
      <c r="AG149" s="14" t="s">
        <v>513</v>
      </c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 t="s">
        <v>566</v>
      </c>
      <c r="AT149" s="14"/>
      <c r="AU149" s="11"/>
      <c r="AV149" s="14"/>
      <c r="AW149" s="45"/>
    </row>
    <row r="150" spans="1:49" s="45" customFormat="1" ht="15" x14ac:dyDescent="0.25">
      <c r="A150" s="199">
        <v>46234</v>
      </c>
      <c r="B150" s="126">
        <v>46265</v>
      </c>
      <c r="C150" s="42" t="s">
        <v>49</v>
      </c>
      <c r="D150" s="42" t="s">
        <v>299</v>
      </c>
      <c r="E150" s="14"/>
      <c r="F150" s="71">
        <v>4017321</v>
      </c>
      <c r="G150" s="42" t="s">
        <v>50</v>
      </c>
      <c r="H150" s="184">
        <v>20101973922</v>
      </c>
      <c r="I150" s="138" t="str">
        <f>IF(H150="","",VLOOKUP(H150,[1]ENTIDAD!$B$2:$C$605,2,0))</f>
        <v>ASOCIACION AUTOMOTRIZ DEL PERU</v>
      </c>
      <c r="J150" s="11"/>
      <c r="K150" s="11"/>
      <c r="L150" s="11"/>
      <c r="M150" s="11"/>
      <c r="N150" s="116"/>
      <c r="O150" s="116"/>
      <c r="P150" s="11">
        <v>0</v>
      </c>
      <c r="Q150" s="11"/>
      <c r="R150" s="11">
        <v>66.8</v>
      </c>
      <c r="S150" s="11">
        <v>66.8</v>
      </c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126">
        <v>46265</v>
      </c>
      <c r="AE150" s="34" t="s">
        <v>465</v>
      </c>
      <c r="AF150" s="37" t="s">
        <v>597</v>
      </c>
      <c r="AG150" s="14" t="s">
        <v>513</v>
      </c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 t="s">
        <v>566</v>
      </c>
      <c r="AT150" s="14"/>
      <c r="AU150" s="11"/>
      <c r="AV150" s="14"/>
    </row>
    <row r="151" spans="1:49" s="45" customFormat="1" ht="15" x14ac:dyDescent="0.25">
      <c r="A151" s="199">
        <v>46234</v>
      </c>
      <c r="B151" s="126">
        <v>46265</v>
      </c>
      <c r="C151" s="111" t="s">
        <v>49</v>
      </c>
      <c r="D151" s="111" t="s">
        <v>299</v>
      </c>
      <c r="E151" s="112"/>
      <c r="F151" s="63">
        <v>4017322</v>
      </c>
      <c r="G151" s="111" t="s">
        <v>50</v>
      </c>
      <c r="H151" s="235">
        <v>20101973922</v>
      </c>
      <c r="I151" s="138" t="str">
        <f>IF(H151="","",VLOOKUP(H151,[1]ENTIDAD!$B$2:$C$605,2,0))</f>
        <v>ASOCIACION AUTOMOTRIZ DEL PERU</v>
      </c>
      <c r="J151" s="116"/>
      <c r="K151" s="116"/>
      <c r="L151" s="116"/>
      <c r="M151" s="11"/>
      <c r="N151" s="116"/>
      <c r="O151" s="116"/>
      <c r="P151" s="11">
        <v>0</v>
      </c>
      <c r="Q151" s="11"/>
      <c r="R151" s="11">
        <v>66.8</v>
      </c>
      <c r="S151" s="11">
        <v>66.8</v>
      </c>
      <c r="T151" s="14"/>
      <c r="U151" s="14"/>
      <c r="V151" s="13"/>
      <c r="W151" s="236"/>
      <c r="X151" s="13"/>
      <c r="Y151" s="14"/>
      <c r="Z151" s="14"/>
      <c r="AA151" s="14"/>
      <c r="AB151" s="42" t="s">
        <v>224</v>
      </c>
      <c r="AC151" s="11"/>
      <c r="AD151" s="126">
        <v>46265</v>
      </c>
      <c r="AE151" s="34" t="s">
        <v>465</v>
      </c>
      <c r="AF151" s="37" t="s">
        <v>597</v>
      </c>
      <c r="AG151" s="14" t="s">
        <v>513</v>
      </c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 t="s">
        <v>566</v>
      </c>
      <c r="AT151" s="14"/>
      <c r="AU151" s="11"/>
      <c r="AV151" s="14"/>
    </row>
    <row r="152" spans="1:49" s="45" customFormat="1" ht="15" x14ac:dyDescent="0.25">
      <c r="A152" s="199">
        <v>46234</v>
      </c>
      <c r="B152" s="126">
        <v>46265</v>
      </c>
      <c r="C152" s="111" t="s">
        <v>49</v>
      </c>
      <c r="D152" s="42" t="s">
        <v>299</v>
      </c>
      <c r="E152" s="14"/>
      <c r="F152" s="71">
        <v>4017323</v>
      </c>
      <c r="G152" s="42" t="s">
        <v>50</v>
      </c>
      <c r="H152" s="184">
        <v>20101973922</v>
      </c>
      <c r="I152" s="138" t="str">
        <f>IF(H152="","",VLOOKUP(H152,[1]ENTIDAD!$B$2:$C$605,2,0))</f>
        <v>ASOCIACION AUTOMOTRIZ DEL PERU</v>
      </c>
      <c r="J152" s="11"/>
      <c r="K152" s="11"/>
      <c r="L152" s="11"/>
      <c r="M152" s="11"/>
      <c r="N152" s="116"/>
      <c r="O152" s="116"/>
      <c r="P152" s="11">
        <v>0</v>
      </c>
      <c r="Q152" s="11"/>
      <c r="R152" s="11">
        <v>66.8</v>
      </c>
      <c r="S152" s="11">
        <v>66.8</v>
      </c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11"/>
      <c r="AD152" s="126">
        <v>46265</v>
      </c>
      <c r="AE152" s="34" t="s">
        <v>465</v>
      </c>
      <c r="AF152" s="37" t="s">
        <v>597</v>
      </c>
      <c r="AG152" s="14" t="s">
        <v>513</v>
      </c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 t="s">
        <v>566</v>
      </c>
      <c r="AT152" s="14"/>
      <c r="AU152" s="11"/>
      <c r="AV152" s="14"/>
    </row>
    <row r="153" spans="1:49" s="45" customFormat="1" ht="15" x14ac:dyDescent="0.25">
      <c r="A153" s="199">
        <v>46234</v>
      </c>
      <c r="B153" s="126">
        <v>46265</v>
      </c>
      <c r="C153" s="111" t="s">
        <v>49</v>
      </c>
      <c r="D153" s="42" t="s">
        <v>299</v>
      </c>
      <c r="E153" s="14"/>
      <c r="F153" s="71">
        <v>4017324</v>
      </c>
      <c r="G153" s="42" t="s">
        <v>50</v>
      </c>
      <c r="H153" s="184">
        <v>20101973922</v>
      </c>
      <c r="I153" s="138" t="str">
        <f>IF(H153="","",VLOOKUP(H153,[1]ENTIDAD!$B$2:$C$605,2,0))</f>
        <v>ASOCIACION AUTOMOTRIZ DEL PERU</v>
      </c>
      <c r="J153" s="11"/>
      <c r="K153" s="11"/>
      <c r="L153" s="11"/>
      <c r="M153" s="11"/>
      <c r="N153" s="116"/>
      <c r="O153" s="116"/>
      <c r="P153" s="11">
        <v>0</v>
      </c>
      <c r="Q153" s="11"/>
      <c r="R153" s="11">
        <v>66.8</v>
      </c>
      <c r="S153" s="11">
        <v>66.8</v>
      </c>
      <c r="T153" s="14"/>
      <c r="U153" s="14"/>
      <c r="V153" s="13"/>
      <c r="W153" s="15"/>
      <c r="X153" s="13"/>
      <c r="Y153" s="14"/>
      <c r="Z153" s="14"/>
      <c r="AA153" s="14"/>
      <c r="AB153" s="42" t="s">
        <v>224</v>
      </c>
      <c r="AC153" s="11"/>
      <c r="AD153" s="126">
        <v>46265</v>
      </c>
      <c r="AE153" s="34" t="s">
        <v>465</v>
      </c>
      <c r="AF153" s="37" t="s">
        <v>597</v>
      </c>
      <c r="AG153" s="14" t="s">
        <v>513</v>
      </c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 t="s">
        <v>566</v>
      </c>
      <c r="AT153" s="14"/>
      <c r="AU153" s="11"/>
      <c r="AV153" s="14"/>
    </row>
    <row r="154" spans="1:49" s="47" customFormat="1" ht="15" x14ac:dyDescent="0.25">
      <c r="A154" s="199">
        <v>46234</v>
      </c>
      <c r="B154" s="126">
        <v>46265</v>
      </c>
      <c r="C154" s="111" t="s">
        <v>49</v>
      </c>
      <c r="D154" s="42" t="s">
        <v>299</v>
      </c>
      <c r="E154" s="14"/>
      <c r="F154" s="71">
        <v>4017325</v>
      </c>
      <c r="G154" s="42" t="s">
        <v>50</v>
      </c>
      <c r="H154" s="184">
        <v>20101973922</v>
      </c>
      <c r="I154" s="138" t="str">
        <f>IF(H154="","",VLOOKUP(H154,[1]ENTIDAD!$B$2:$C$605,2,0))</f>
        <v>ASOCIACION AUTOMOTRIZ DEL PERU</v>
      </c>
      <c r="J154" s="11"/>
      <c r="K154" s="11"/>
      <c r="L154" s="11"/>
      <c r="M154" s="11"/>
      <c r="N154" s="116"/>
      <c r="O154" s="116"/>
      <c r="P154" s="11">
        <v>0</v>
      </c>
      <c r="Q154" s="11"/>
      <c r="R154" s="11">
        <v>66.8</v>
      </c>
      <c r="S154" s="11">
        <v>66.8</v>
      </c>
      <c r="T154" s="14"/>
      <c r="U154" s="14"/>
      <c r="V154" s="13"/>
      <c r="W154" s="15"/>
      <c r="X154" s="13"/>
      <c r="Y154" s="14"/>
      <c r="Z154" s="14"/>
      <c r="AA154" s="14"/>
      <c r="AB154" s="42" t="s">
        <v>224</v>
      </c>
      <c r="AC154" s="11"/>
      <c r="AD154" s="126">
        <v>46265</v>
      </c>
      <c r="AE154" s="34" t="s">
        <v>465</v>
      </c>
      <c r="AF154" s="37" t="s">
        <v>597</v>
      </c>
      <c r="AG154" s="14" t="s">
        <v>513</v>
      </c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 t="s">
        <v>566</v>
      </c>
      <c r="AT154" s="14"/>
      <c r="AU154" s="11"/>
      <c r="AV154" s="14"/>
      <c r="AW154" s="45"/>
    </row>
    <row r="155" spans="1:49" s="121" customFormat="1" ht="15" x14ac:dyDescent="0.25">
      <c r="A155" s="199">
        <v>46234</v>
      </c>
      <c r="B155" s="126">
        <v>46265</v>
      </c>
      <c r="C155" s="111" t="s">
        <v>49</v>
      </c>
      <c r="D155" s="42" t="s">
        <v>299</v>
      </c>
      <c r="E155" s="14"/>
      <c r="F155" s="71">
        <v>4017326</v>
      </c>
      <c r="G155" s="42" t="s">
        <v>50</v>
      </c>
      <c r="H155" s="184">
        <v>20101973922</v>
      </c>
      <c r="I155" s="138" t="str">
        <f>IF(H155="","",VLOOKUP(H155,[1]ENTIDAD!$B$2:$C$605,2,0))</f>
        <v>ASOCIACION AUTOMOTRIZ DEL PERU</v>
      </c>
      <c r="J155" s="11"/>
      <c r="K155" s="11"/>
      <c r="L155" s="11"/>
      <c r="M155" s="11"/>
      <c r="N155" s="116"/>
      <c r="O155" s="116"/>
      <c r="P155" s="11">
        <v>0</v>
      </c>
      <c r="Q155" s="11"/>
      <c r="R155" s="11">
        <v>66.8</v>
      </c>
      <c r="S155" s="11">
        <v>66.8</v>
      </c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126">
        <v>46265</v>
      </c>
      <c r="AE155" s="34" t="s">
        <v>465</v>
      </c>
      <c r="AF155" s="37" t="s">
        <v>597</v>
      </c>
      <c r="AG155" s="14" t="s">
        <v>513</v>
      </c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 t="s">
        <v>566</v>
      </c>
      <c r="AT155" s="14"/>
      <c r="AU155" s="11"/>
      <c r="AV155" s="14"/>
      <c r="AW155" s="45"/>
    </row>
    <row r="156" spans="1:49" s="47" customFormat="1" ht="15" x14ac:dyDescent="0.25">
      <c r="A156" s="200">
        <v>46234</v>
      </c>
      <c r="B156" s="126">
        <v>46265</v>
      </c>
      <c r="C156" s="111" t="s">
        <v>49</v>
      </c>
      <c r="D156" s="42" t="s">
        <v>299</v>
      </c>
      <c r="E156" s="14"/>
      <c r="F156" s="71">
        <v>4017327</v>
      </c>
      <c r="G156" s="42" t="s">
        <v>50</v>
      </c>
      <c r="H156" s="184">
        <v>20101973922</v>
      </c>
      <c r="I156" s="138" t="str">
        <f>IF(H156="","",VLOOKUP(H156,[1]ENTIDAD!$B$2:$C$605,2,0))</f>
        <v>ASOCIACION AUTOMOTRIZ DEL PERU</v>
      </c>
      <c r="J156" s="11"/>
      <c r="K156" s="11"/>
      <c r="L156" s="11"/>
      <c r="M156" s="116"/>
      <c r="N156" s="116"/>
      <c r="O156" s="116"/>
      <c r="P156" s="11">
        <v>0</v>
      </c>
      <c r="Q156" s="116"/>
      <c r="R156" s="116">
        <v>66.8</v>
      </c>
      <c r="S156" s="116">
        <v>66.8</v>
      </c>
      <c r="T156" s="112"/>
      <c r="U156" s="112"/>
      <c r="V156" s="109"/>
      <c r="W156" s="118"/>
      <c r="X156" s="109"/>
      <c r="Y156" s="112"/>
      <c r="Z156" s="112"/>
      <c r="AA156" s="112"/>
      <c r="AB156" s="42" t="s">
        <v>224</v>
      </c>
      <c r="AC156" s="116"/>
      <c r="AD156" s="126">
        <v>46265</v>
      </c>
      <c r="AE156" s="34" t="s">
        <v>465</v>
      </c>
      <c r="AF156" s="37" t="s">
        <v>597</v>
      </c>
      <c r="AG156" s="14" t="s">
        <v>513</v>
      </c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 t="s">
        <v>566</v>
      </c>
      <c r="AT156" s="112"/>
      <c r="AU156" s="116"/>
      <c r="AV156" s="112"/>
      <c r="AW156" s="121"/>
    </row>
    <row r="157" spans="1:49" s="45" customFormat="1" ht="15" x14ac:dyDescent="0.25">
      <c r="A157" s="226">
        <v>46234</v>
      </c>
      <c r="B157" s="126">
        <v>46265</v>
      </c>
      <c r="C157" s="111" t="s">
        <v>49</v>
      </c>
      <c r="D157" s="42" t="s">
        <v>299</v>
      </c>
      <c r="E157" s="14"/>
      <c r="F157" s="71">
        <v>4017328</v>
      </c>
      <c r="G157" s="42" t="s">
        <v>50</v>
      </c>
      <c r="H157" s="184">
        <v>20101973922</v>
      </c>
      <c r="I157" s="138" t="str">
        <f>IF(H157="","",VLOOKUP(H157,[1]ENTIDAD!$B$2:$C$605,2,0))</f>
        <v>ASOCIACION AUTOMOTRIZ DEL PERU</v>
      </c>
      <c r="J157" s="11"/>
      <c r="K157" s="11"/>
      <c r="L157" s="11"/>
      <c r="M157" s="35"/>
      <c r="N157" s="116"/>
      <c r="O157" s="116"/>
      <c r="P157" s="11">
        <v>0</v>
      </c>
      <c r="Q157" s="35"/>
      <c r="R157" s="35">
        <v>66.8</v>
      </c>
      <c r="S157" s="35">
        <v>66.8</v>
      </c>
      <c r="T157" s="34"/>
      <c r="U157" s="34"/>
      <c r="V157" s="33"/>
      <c r="W157" s="36"/>
      <c r="X157" s="33"/>
      <c r="Y157" s="34"/>
      <c r="Z157" s="34"/>
      <c r="AA157" s="34"/>
      <c r="AB157" s="42" t="s">
        <v>224</v>
      </c>
      <c r="AC157" s="35"/>
      <c r="AD157" s="126">
        <v>46265</v>
      </c>
      <c r="AE157" s="34" t="s">
        <v>465</v>
      </c>
      <c r="AF157" s="37" t="s">
        <v>597</v>
      </c>
      <c r="AG157" s="14" t="s">
        <v>513</v>
      </c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 t="s">
        <v>566</v>
      </c>
      <c r="AT157" s="34"/>
      <c r="AU157" s="35"/>
      <c r="AV157" s="34"/>
      <c r="AW157"/>
    </row>
    <row r="158" spans="1:49" s="45" customFormat="1" ht="15" x14ac:dyDescent="0.25">
      <c r="A158" s="199">
        <v>46234</v>
      </c>
      <c r="B158" s="126">
        <v>46265</v>
      </c>
      <c r="C158" s="111" t="s">
        <v>49</v>
      </c>
      <c r="D158" s="42" t="s">
        <v>299</v>
      </c>
      <c r="E158" s="14"/>
      <c r="F158" s="71">
        <v>4017329</v>
      </c>
      <c r="G158" s="42" t="s">
        <v>50</v>
      </c>
      <c r="H158" s="184">
        <v>20101973922</v>
      </c>
      <c r="I158" s="138" t="str">
        <f>IF(H158="","",VLOOKUP(H158,[1]ENTIDAD!$B$2:$C$605,2,0))</f>
        <v>ASOCIACION AUTOMOTRIZ DEL PERU</v>
      </c>
      <c r="J158" s="11"/>
      <c r="K158" s="11"/>
      <c r="L158" s="11"/>
      <c r="M158" s="11"/>
      <c r="N158" s="116"/>
      <c r="O158" s="116"/>
      <c r="P158" s="11">
        <v>0</v>
      </c>
      <c r="Q158" s="11"/>
      <c r="R158" s="11">
        <v>66.8</v>
      </c>
      <c r="S158" s="11">
        <v>66.8</v>
      </c>
      <c r="T158" s="14"/>
      <c r="U158" s="14"/>
      <c r="V158" s="13"/>
      <c r="W158" s="15"/>
      <c r="X158" s="13"/>
      <c r="Y158" s="14"/>
      <c r="Z158" s="14"/>
      <c r="AA158" s="14"/>
      <c r="AB158" s="42" t="s">
        <v>224</v>
      </c>
      <c r="AC158" s="11"/>
      <c r="AD158" s="126">
        <v>46265</v>
      </c>
      <c r="AE158" s="34" t="s">
        <v>465</v>
      </c>
      <c r="AF158" s="37" t="s">
        <v>597</v>
      </c>
      <c r="AG158" s="14" t="s">
        <v>513</v>
      </c>
      <c r="AH158" s="14" t="s">
        <v>225</v>
      </c>
      <c r="AI158" s="14"/>
      <c r="AJ158" s="14"/>
      <c r="AK158" s="16"/>
      <c r="AL158" s="11"/>
      <c r="AM158" s="11"/>
      <c r="AN158" s="14"/>
      <c r="AO158" s="14"/>
      <c r="AP158" s="13"/>
      <c r="AQ158" s="14"/>
      <c r="AR158" s="11">
        <v>18</v>
      </c>
      <c r="AS158" s="14" t="s">
        <v>566</v>
      </c>
      <c r="AT158" s="14"/>
      <c r="AU158" s="11"/>
      <c r="AV158" s="14"/>
    </row>
    <row r="159" spans="1:49" s="45" customFormat="1" ht="15" x14ac:dyDescent="0.25">
      <c r="A159" s="199">
        <v>46234</v>
      </c>
      <c r="B159" s="126">
        <v>46265</v>
      </c>
      <c r="C159" s="42" t="s">
        <v>49</v>
      </c>
      <c r="D159" s="42" t="s">
        <v>299</v>
      </c>
      <c r="E159" s="14"/>
      <c r="F159" s="71">
        <v>4017330</v>
      </c>
      <c r="G159" s="42" t="s">
        <v>50</v>
      </c>
      <c r="H159" s="184">
        <v>20101973922</v>
      </c>
      <c r="I159" s="138" t="str">
        <f>IF(H159="","",VLOOKUP(H159,[1]ENTIDAD!$B$2:$C$605,2,0))</f>
        <v>ASOCIACION AUTOMOTRIZ DEL PERU</v>
      </c>
      <c r="J159" s="11"/>
      <c r="K159" s="11"/>
      <c r="L159" s="11"/>
      <c r="M159" s="11"/>
      <c r="N159" s="116"/>
      <c r="O159" s="116"/>
      <c r="P159" s="11">
        <v>0</v>
      </c>
      <c r="Q159" s="11"/>
      <c r="R159" s="11">
        <v>66.8</v>
      </c>
      <c r="S159" s="11">
        <v>66.8</v>
      </c>
      <c r="T159" s="14"/>
      <c r="U159" s="14"/>
      <c r="V159" s="13"/>
      <c r="W159" s="15"/>
      <c r="X159" s="13"/>
      <c r="Y159" s="14"/>
      <c r="Z159" s="14"/>
      <c r="AA159" s="14"/>
      <c r="AB159" s="42" t="s">
        <v>224</v>
      </c>
      <c r="AC159" s="11"/>
      <c r="AD159" s="126">
        <v>46265</v>
      </c>
      <c r="AE159" s="34" t="s">
        <v>465</v>
      </c>
      <c r="AF159" s="37" t="s">
        <v>597</v>
      </c>
      <c r="AG159" s="14" t="s">
        <v>513</v>
      </c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 t="s">
        <v>566</v>
      </c>
      <c r="AT159" s="14"/>
      <c r="AU159" s="11"/>
      <c r="AV159" s="14"/>
    </row>
    <row r="160" spans="1:49" s="45" customFormat="1" ht="15" x14ac:dyDescent="0.25">
      <c r="A160" s="199">
        <v>46234</v>
      </c>
      <c r="B160" s="126">
        <v>46265</v>
      </c>
      <c r="C160" s="42" t="s">
        <v>49</v>
      </c>
      <c r="D160" s="42" t="s">
        <v>299</v>
      </c>
      <c r="E160" s="14"/>
      <c r="F160" s="71">
        <v>4017331</v>
      </c>
      <c r="G160" s="42" t="s">
        <v>50</v>
      </c>
      <c r="H160" s="184">
        <v>20101973922</v>
      </c>
      <c r="I160" s="138" t="str">
        <f>IF(H160="","",VLOOKUP(H160,[1]ENTIDAD!$B$2:$C$605,2,0))</f>
        <v>ASOCIACION AUTOMOTRIZ DEL PERU</v>
      </c>
      <c r="J160" s="11"/>
      <c r="K160" s="11"/>
      <c r="L160" s="11"/>
      <c r="M160" s="11"/>
      <c r="N160" s="116"/>
      <c r="O160" s="116"/>
      <c r="P160" s="11">
        <v>0</v>
      </c>
      <c r="Q160" s="11"/>
      <c r="R160" s="11">
        <v>66.8</v>
      </c>
      <c r="S160" s="11">
        <v>66.8</v>
      </c>
      <c r="T160" s="14"/>
      <c r="U160" s="14"/>
      <c r="V160" s="13"/>
      <c r="W160" s="15"/>
      <c r="X160" s="13"/>
      <c r="Y160" s="14"/>
      <c r="Z160" s="14"/>
      <c r="AA160" s="14"/>
      <c r="AB160" s="42" t="s">
        <v>224</v>
      </c>
      <c r="AC160" s="11"/>
      <c r="AD160" s="126">
        <v>46265</v>
      </c>
      <c r="AE160" s="34" t="s">
        <v>465</v>
      </c>
      <c r="AF160" s="37" t="s">
        <v>597</v>
      </c>
      <c r="AG160" s="14" t="s">
        <v>513</v>
      </c>
      <c r="AH160" s="14" t="s">
        <v>225</v>
      </c>
      <c r="AI160" s="14"/>
      <c r="AJ160" s="14"/>
      <c r="AK160" s="16"/>
      <c r="AL160" s="11"/>
      <c r="AM160" s="11"/>
      <c r="AN160" s="14"/>
      <c r="AO160" s="14"/>
      <c r="AP160" s="13"/>
      <c r="AQ160" s="14"/>
      <c r="AR160" s="11">
        <v>18</v>
      </c>
      <c r="AS160" s="14" t="s">
        <v>566</v>
      </c>
      <c r="AT160" s="14"/>
      <c r="AU160" s="11"/>
      <c r="AV160" s="14"/>
    </row>
    <row r="161" spans="1:48" s="45" customFormat="1" ht="15" x14ac:dyDescent="0.25">
      <c r="A161" s="199">
        <v>46234</v>
      </c>
      <c r="B161" s="126">
        <v>46265</v>
      </c>
      <c r="C161" s="42" t="s">
        <v>49</v>
      </c>
      <c r="D161" s="42" t="s">
        <v>299</v>
      </c>
      <c r="E161" s="14"/>
      <c r="F161" s="71">
        <v>4017332</v>
      </c>
      <c r="G161" s="42" t="s">
        <v>50</v>
      </c>
      <c r="H161" s="184">
        <v>20101973922</v>
      </c>
      <c r="I161" s="138" t="str">
        <f>IF(H161="","",VLOOKUP(H161,[1]ENTIDAD!$B$2:$C$605,2,0))</f>
        <v>ASOCIACION AUTOMOTRIZ DEL PERU</v>
      </c>
      <c r="J161" s="11"/>
      <c r="K161" s="11"/>
      <c r="L161" s="11"/>
      <c r="M161" s="11"/>
      <c r="N161" s="116"/>
      <c r="O161" s="116"/>
      <c r="P161" s="11">
        <v>0</v>
      </c>
      <c r="Q161" s="11"/>
      <c r="R161" s="11">
        <v>66.8</v>
      </c>
      <c r="S161" s="11">
        <v>66.8</v>
      </c>
      <c r="T161" s="14"/>
      <c r="U161" s="14"/>
      <c r="V161" s="13"/>
      <c r="W161" s="15"/>
      <c r="X161" s="13"/>
      <c r="Y161" s="14"/>
      <c r="Z161" s="14"/>
      <c r="AA161" s="14"/>
      <c r="AB161" s="42" t="s">
        <v>224</v>
      </c>
      <c r="AC161" s="11"/>
      <c r="AD161" s="126">
        <v>46265</v>
      </c>
      <c r="AE161" s="34" t="s">
        <v>465</v>
      </c>
      <c r="AF161" s="99" t="s">
        <v>597</v>
      </c>
      <c r="AG161" s="14" t="s">
        <v>513</v>
      </c>
      <c r="AH161" s="14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14" t="s">
        <v>566</v>
      </c>
      <c r="AT161" s="14"/>
      <c r="AU161" s="11"/>
      <c r="AV161" s="14"/>
    </row>
    <row r="162" spans="1:48" customFormat="1" ht="15" x14ac:dyDescent="0.25">
      <c r="A162" s="201"/>
      <c r="B162" s="141"/>
      <c r="C162" s="141"/>
      <c r="D162" s="141"/>
      <c r="E162" s="141"/>
      <c r="F162" s="141"/>
      <c r="G162" s="141"/>
      <c r="H162" s="141"/>
      <c r="I162" s="141"/>
      <c r="J162" s="142">
        <f>SUM(J4:J70)</f>
        <v>0</v>
      </c>
      <c r="K162" s="142">
        <f>SUM(K4:K70)</f>
        <v>0</v>
      </c>
      <c r="L162" s="142">
        <f>SUM(L4:L70)</f>
        <v>0</v>
      </c>
      <c r="M162" s="142">
        <f>SUM(M4:M70)</f>
        <v>0</v>
      </c>
      <c r="N162" s="142">
        <f>SUM(N4:N161)</f>
        <v>75055.136618644057</v>
      </c>
      <c r="O162" s="142">
        <f>SUM(O4:O161)</f>
        <v>13509.92459135593</v>
      </c>
      <c r="P162" s="142">
        <f>SUM(P4:P161)</f>
        <v>267767.01</v>
      </c>
      <c r="Q162" s="142">
        <f>SUM(Q4:Q70)</f>
        <v>0</v>
      </c>
      <c r="R162" s="142">
        <f>SUM(R4:R161)</f>
        <v>6214.6000000000067</v>
      </c>
      <c r="S162" s="142">
        <f>SUM(S4:S161)</f>
        <v>362546.67120999959</v>
      </c>
      <c r="T162" s="141"/>
      <c r="U162" s="141"/>
      <c r="V162" s="141"/>
      <c r="W162" s="17"/>
      <c r="X162" s="141"/>
      <c r="Y162" s="18"/>
      <c r="Z162" s="18"/>
      <c r="AA162" s="18"/>
      <c r="AB162" s="141"/>
      <c r="AC162" s="141"/>
      <c r="AD162" s="141"/>
      <c r="AE162" s="141"/>
      <c r="AF162" s="141"/>
      <c r="AG162" s="141"/>
      <c r="AH162" s="141"/>
      <c r="AI162" s="141"/>
      <c r="AJ162" s="141"/>
      <c r="AK162" s="141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</row>
  </sheetData>
  <autoFilter ref="A3:AW162" xr:uid="{B4A7D045-FFED-4B57-B5DB-CC3BC4CAB55A}"/>
  <mergeCells count="39">
    <mergeCell ref="J1:K2"/>
    <mergeCell ref="A1:A3"/>
    <mergeCell ref="B1:B3"/>
    <mergeCell ref="C1:E2"/>
    <mergeCell ref="F1:F3"/>
    <mergeCell ref="G1:I1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AE1:AE3"/>
    <mergeCell ref="AF1:AF3"/>
    <mergeCell ref="AG1:AG3"/>
    <mergeCell ref="AH1:AH3"/>
    <mergeCell ref="AI1:AI3"/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</mergeCells>
  <conditionalFormatting sqref="F4"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</conditionalFormatting>
  <conditionalFormatting sqref="F5:F161">
    <cfRule type="duplicateValues" dxfId="152" priority="8795"/>
    <cfRule type="duplicateValues" dxfId="151" priority="8796"/>
    <cfRule type="duplicateValues" dxfId="150" priority="8797"/>
    <cfRule type="duplicateValues" dxfId="149" priority="8798"/>
    <cfRule type="duplicateValues" dxfId="148" priority="8799"/>
    <cfRule type="duplicateValues" dxfId="147" priority="8800"/>
    <cfRule type="duplicateValues" dxfId="146" priority="8801"/>
    <cfRule type="duplicateValues" dxfId="145" priority="8802"/>
  </conditionalFormatting>
  <conditionalFormatting sqref="F162:F1048576 F1:F3">
    <cfRule type="duplicateValues" dxfId="144" priority="52"/>
  </conditionalFormatting>
  <conditionalFormatting sqref="F162:F1048576">
    <cfRule type="duplicateValues" dxfId="143" priority="53"/>
    <cfRule type="duplicateValues" dxfId="142" priority="54"/>
    <cfRule type="duplicateValues" dxfId="141" priority="55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40AE-9430-43E9-8D7A-25D6A7045E70}">
  <sheetPr>
    <tabColor theme="0"/>
  </sheetPr>
  <dimension ref="A1:AW189"/>
  <sheetViews>
    <sheetView zoomScaleNormal="100" workbookViewId="0">
      <pane xSplit="9" ySplit="3" topLeftCell="AE4" activePane="bottomRight" state="frozenSplit"/>
      <selection pane="topRight" activeCell="J1" sqref="J1"/>
      <selection pane="bottomLeft" activeCell="A4" sqref="A4"/>
      <selection pane="bottomRight" activeCell="AD18" sqref="AD18"/>
    </sheetView>
  </sheetViews>
  <sheetFormatPr baseColWidth="10" defaultRowHeight="14.25" x14ac:dyDescent="0.2"/>
  <cols>
    <col min="1" max="1" width="11.7109375" style="202" customWidth="1"/>
    <col min="2" max="2" width="12.5703125" style="3" customWidth="1"/>
    <col min="3" max="3" width="5.28515625" style="6" customWidth="1"/>
    <col min="4" max="4" width="7.42578125" style="6" customWidth="1"/>
    <col min="5" max="5" width="1" style="4" customWidth="1"/>
    <col min="6" max="6" width="14.28515625" style="4" customWidth="1"/>
    <col min="7" max="7" width="2.85546875" style="6" customWidth="1"/>
    <col min="8" max="8" width="13" style="1" customWidth="1"/>
    <col min="9" max="9" width="27" style="4" customWidth="1"/>
    <col min="10" max="10" width="4.28515625" style="5" customWidth="1"/>
    <col min="11" max="11" width="4.5703125" style="5" customWidth="1"/>
    <col min="12" max="12" width="1.140625" style="5" customWidth="1"/>
    <col min="13" max="13" width="1.28515625" style="5" customWidth="1"/>
    <col min="14" max="14" width="12.7109375" style="24" customWidth="1"/>
    <col min="15" max="15" width="11.140625" style="24" customWidth="1"/>
    <col min="16" max="16" width="12.28515625" style="8" customWidth="1"/>
    <col min="17" max="17" width="1" style="5" customWidth="1"/>
    <col min="18" max="18" width="9.85546875" style="5" customWidth="1"/>
    <col min="19" max="19" width="10.5703125" style="5" customWidth="1"/>
    <col min="20" max="22" width="0.5703125" style="5" customWidth="1"/>
    <col min="23" max="23" width="8.28515625" style="7" customWidth="1"/>
    <col min="24" max="24" width="10.85546875" style="2" customWidth="1"/>
    <col min="25" max="25" width="5.7109375" style="4" customWidth="1"/>
    <col min="26" max="26" width="8.5703125" style="2" customWidth="1"/>
    <col min="27" max="27" width="14" style="4" customWidth="1"/>
    <col min="28" max="28" width="3.85546875" style="2" customWidth="1"/>
    <col min="29" max="29" width="9.28515625" style="2" customWidth="1"/>
    <col min="30" max="30" width="11.85546875" style="2" customWidth="1"/>
    <col min="31" max="31" width="7" style="2" customWidth="1"/>
    <col min="32" max="32" width="9.5703125" style="4" customWidth="1"/>
    <col min="33" max="33" width="8.140625" style="2" customWidth="1"/>
    <col min="34" max="34" width="4.85546875" style="2" customWidth="1"/>
    <col min="35" max="43" width="0.28515625" style="2" customWidth="1"/>
    <col min="44" max="44" width="7.28515625" style="2" customWidth="1"/>
    <col min="45" max="45" width="48" style="4" customWidth="1"/>
    <col min="46" max="46" width="1.28515625" style="2" customWidth="1"/>
    <col min="47" max="48" width="0.85546875" style="2" customWidth="1"/>
    <col min="49" max="49" width="0.42578125" style="2" customWidth="1"/>
    <col min="50" max="16384" width="11.42578125" style="2"/>
  </cols>
  <sheetData>
    <row r="1" spans="1:49" s="39" customFormat="1" ht="24.75" customHeight="1" x14ac:dyDescent="0.2">
      <c r="A1" s="312" t="s">
        <v>0</v>
      </c>
      <c r="B1" s="298" t="s">
        <v>1</v>
      </c>
      <c r="C1" s="287" t="s">
        <v>2</v>
      </c>
      <c r="D1" s="287"/>
      <c r="E1" s="287"/>
      <c r="F1" s="287" t="s">
        <v>6</v>
      </c>
      <c r="G1" s="289" t="s">
        <v>7</v>
      </c>
      <c r="H1" s="289"/>
      <c r="I1" s="289"/>
      <c r="J1" s="301" t="s">
        <v>11</v>
      </c>
      <c r="K1" s="301"/>
      <c r="L1" s="301" t="s">
        <v>14</v>
      </c>
      <c r="M1" s="301"/>
      <c r="N1" s="302" t="s">
        <v>15</v>
      </c>
      <c r="O1" s="302"/>
      <c r="P1" s="303" t="s">
        <v>16</v>
      </c>
      <c r="Q1" s="301" t="s">
        <v>17</v>
      </c>
      <c r="R1" s="301" t="s">
        <v>18</v>
      </c>
      <c r="S1" s="302" t="s">
        <v>19</v>
      </c>
      <c r="T1" s="301" t="s">
        <v>20</v>
      </c>
      <c r="U1" s="301" t="s">
        <v>21</v>
      </c>
      <c r="V1" s="301"/>
      <c r="W1" s="307" t="s">
        <v>23</v>
      </c>
      <c r="X1" s="309" t="s">
        <v>24</v>
      </c>
      <c r="Y1" s="309"/>
      <c r="Z1" s="309"/>
      <c r="AA1" s="309"/>
      <c r="AB1" s="287" t="s">
        <v>28</v>
      </c>
      <c r="AC1" s="299" t="s">
        <v>29</v>
      </c>
      <c r="AD1" s="298" t="s">
        <v>30</v>
      </c>
      <c r="AE1" s="287" t="s">
        <v>31</v>
      </c>
      <c r="AF1" s="288" t="s">
        <v>32</v>
      </c>
      <c r="AG1" s="288" t="s">
        <v>33</v>
      </c>
      <c r="AH1" s="288" t="s">
        <v>34</v>
      </c>
      <c r="AI1" s="288" t="s">
        <v>35</v>
      </c>
      <c r="AJ1" s="288" t="s">
        <v>36</v>
      </c>
      <c r="AK1" s="296" t="s">
        <v>37</v>
      </c>
      <c r="AL1" s="293" t="s">
        <v>38</v>
      </c>
      <c r="AM1" s="293" t="s">
        <v>39</v>
      </c>
      <c r="AN1" s="288" t="s">
        <v>40</v>
      </c>
      <c r="AO1" s="288" t="s">
        <v>41</v>
      </c>
      <c r="AP1" s="290" t="s">
        <v>42</v>
      </c>
      <c r="AQ1" s="288" t="s">
        <v>43</v>
      </c>
      <c r="AR1" s="293" t="s">
        <v>44</v>
      </c>
      <c r="AS1" s="288" t="s">
        <v>45</v>
      </c>
      <c r="AT1" s="287" t="s">
        <v>46</v>
      </c>
      <c r="AU1" s="295" t="s">
        <v>47</v>
      </c>
      <c r="AV1" s="287" t="s">
        <v>48</v>
      </c>
    </row>
    <row r="2" spans="1:49" s="39" customFormat="1" ht="24.75" customHeight="1" x14ac:dyDescent="0.2">
      <c r="A2" s="312"/>
      <c r="B2" s="298"/>
      <c r="C2" s="287"/>
      <c r="D2" s="287"/>
      <c r="E2" s="287"/>
      <c r="F2" s="287"/>
      <c r="G2" s="289" t="s">
        <v>8</v>
      </c>
      <c r="H2" s="289"/>
      <c r="I2" s="287" t="s">
        <v>10</v>
      </c>
      <c r="J2" s="301"/>
      <c r="K2" s="301"/>
      <c r="L2" s="301"/>
      <c r="M2" s="301"/>
      <c r="N2" s="302"/>
      <c r="O2" s="302"/>
      <c r="P2" s="303"/>
      <c r="Q2" s="301"/>
      <c r="R2" s="301"/>
      <c r="S2" s="302"/>
      <c r="T2" s="301"/>
      <c r="U2" s="301"/>
      <c r="V2" s="301"/>
      <c r="W2" s="307"/>
      <c r="X2" s="309"/>
      <c r="Y2" s="309"/>
      <c r="Z2" s="309"/>
      <c r="AA2" s="309"/>
      <c r="AB2" s="287"/>
      <c r="AC2" s="299"/>
      <c r="AD2" s="298"/>
      <c r="AE2" s="287"/>
      <c r="AF2" s="292"/>
      <c r="AG2" s="292"/>
      <c r="AH2" s="292"/>
      <c r="AI2" s="292"/>
      <c r="AJ2" s="292"/>
      <c r="AK2" s="297"/>
      <c r="AL2" s="294"/>
      <c r="AM2" s="294"/>
      <c r="AN2" s="292"/>
      <c r="AO2" s="292"/>
      <c r="AP2" s="291"/>
      <c r="AQ2" s="292"/>
      <c r="AR2" s="294"/>
      <c r="AS2" s="292"/>
      <c r="AT2" s="287"/>
      <c r="AU2" s="295"/>
      <c r="AV2" s="287"/>
    </row>
    <row r="3" spans="1:49" s="39" customFormat="1" ht="24.75" customHeight="1" x14ac:dyDescent="0.2">
      <c r="A3" s="313"/>
      <c r="B3" s="290"/>
      <c r="C3" s="102" t="s">
        <v>3</v>
      </c>
      <c r="D3" s="102" t="s">
        <v>4</v>
      </c>
      <c r="E3" s="102" t="s">
        <v>5</v>
      </c>
      <c r="F3" s="288"/>
      <c r="G3" s="102" t="s">
        <v>3</v>
      </c>
      <c r="H3" s="103" t="s">
        <v>9</v>
      </c>
      <c r="I3" s="288"/>
      <c r="J3" s="104" t="s">
        <v>12</v>
      </c>
      <c r="K3" s="104" t="s">
        <v>13</v>
      </c>
      <c r="L3" s="104" t="s">
        <v>12</v>
      </c>
      <c r="M3" s="104" t="s">
        <v>13</v>
      </c>
      <c r="N3" s="105" t="s">
        <v>12</v>
      </c>
      <c r="O3" s="105" t="s">
        <v>13</v>
      </c>
      <c r="P3" s="304"/>
      <c r="Q3" s="305"/>
      <c r="R3" s="305"/>
      <c r="S3" s="306"/>
      <c r="T3" s="305"/>
      <c r="U3" s="104" t="s">
        <v>9</v>
      </c>
      <c r="V3" s="104" t="s">
        <v>22</v>
      </c>
      <c r="W3" s="308"/>
      <c r="X3" s="106" t="s">
        <v>25</v>
      </c>
      <c r="Y3" s="102" t="s">
        <v>3</v>
      </c>
      <c r="Z3" s="102" t="s">
        <v>26</v>
      </c>
      <c r="AA3" s="102" t="s">
        <v>27</v>
      </c>
      <c r="AB3" s="288"/>
      <c r="AC3" s="300"/>
      <c r="AD3" s="290"/>
      <c r="AE3" s="288"/>
      <c r="AF3" s="292"/>
      <c r="AG3" s="292"/>
      <c r="AH3" s="292"/>
      <c r="AI3" s="292"/>
      <c r="AJ3" s="292"/>
      <c r="AK3" s="297"/>
      <c r="AL3" s="294"/>
      <c r="AM3" s="294"/>
      <c r="AN3" s="292"/>
      <c r="AO3" s="292"/>
      <c r="AP3" s="291"/>
      <c r="AQ3" s="292"/>
      <c r="AR3" s="294"/>
      <c r="AS3" s="292"/>
      <c r="AT3" s="288"/>
      <c r="AU3" s="293"/>
      <c r="AV3" s="288"/>
    </row>
    <row r="4" spans="1:49" s="45" customFormat="1" ht="15" x14ac:dyDescent="0.25">
      <c r="A4" s="199">
        <v>46237</v>
      </c>
      <c r="B4" s="33">
        <v>46268</v>
      </c>
      <c r="C4" s="42" t="s">
        <v>49</v>
      </c>
      <c r="D4" s="42" t="s">
        <v>292</v>
      </c>
      <c r="E4" s="14"/>
      <c r="F4" s="71">
        <v>1950</v>
      </c>
      <c r="G4" s="42" t="s">
        <v>50</v>
      </c>
      <c r="H4" s="31">
        <v>20486339510</v>
      </c>
      <c r="I4" s="138" t="str">
        <f>IF(H4="","",VLOOKUP(H4,[1]ENTIDAD!$B$2:$C$605,2,0))</f>
        <v>SERVICIOS CONTABLES Y AUDITORIA INTERNA S.A.</v>
      </c>
      <c r="J4" s="11"/>
      <c r="K4" s="11"/>
      <c r="L4" s="11"/>
      <c r="M4" s="11"/>
      <c r="N4" s="116">
        <f>(S4-P4)/1.18</f>
        <v>1694.9152542372883</v>
      </c>
      <c r="O4" s="116">
        <f t="shared" ref="O4:O35" si="0">N4*0.18</f>
        <v>305.08474576271186</v>
      </c>
      <c r="P4" s="11">
        <v>0</v>
      </c>
      <c r="Q4" s="11"/>
      <c r="R4" s="11"/>
      <c r="S4" s="11">
        <v>2000</v>
      </c>
      <c r="T4" s="14"/>
      <c r="U4" s="14"/>
      <c r="V4" s="13"/>
      <c r="W4" s="15"/>
      <c r="X4" s="13"/>
      <c r="Y4" s="14"/>
      <c r="Z4" s="14"/>
      <c r="AA4" s="14"/>
      <c r="AB4" s="42" t="s">
        <v>224</v>
      </c>
      <c r="AC4" s="11"/>
      <c r="AD4" s="33">
        <v>46268</v>
      </c>
      <c r="AE4" s="14" t="s">
        <v>465</v>
      </c>
      <c r="AF4" s="19" t="s">
        <v>576</v>
      </c>
      <c r="AG4" s="34"/>
      <c r="AH4" s="34" t="s">
        <v>225</v>
      </c>
      <c r="AI4" s="14"/>
      <c r="AJ4" s="14"/>
      <c r="AK4" s="16"/>
      <c r="AL4" s="11"/>
      <c r="AM4" s="11"/>
      <c r="AN4" s="14"/>
      <c r="AO4" s="14"/>
      <c r="AP4" s="13"/>
      <c r="AQ4" s="14"/>
      <c r="AR4" s="11">
        <v>18</v>
      </c>
      <c r="AS4" s="14" t="s">
        <v>577</v>
      </c>
      <c r="AT4" s="14"/>
      <c r="AU4" s="11"/>
      <c r="AV4" s="14"/>
    </row>
    <row r="5" spans="1:49" s="45" customFormat="1" ht="15" x14ac:dyDescent="0.25">
      <c r="A5" s="199">
        <v>46237</v>
      </c>
      <c r="B5" s="13">
        <v>46268</v>
      </c>
      <c r="C5" s="42" t="s">
        <v>49</v>
      </c>
      <c r="D5" s="42" t="s">
        <v>6487</v>
      </c>
      <c r="E5" s="14"/>
      <c r="F5" s="71">
        <v>25848874</v>
      </c>
      <c r="G5" s="42" t="s">
        <v>50</v>
      </c>
      <c r="H5" s="31">
        <v>20100130204</v>
      </c>
      <c r="I5" s="138" t="str">
        <f>IF(H5="","",VLOOKUP(H5,[1]ENTIDAD!$B$2:$C$605,2,0))</f>
        <v>BANCO BBVA PERU</v>
      </c>
      <c r="J5" s="11"/>
      <c r="K5" s="11"/>
      <c r="L5" s="11"/>
      <c r="M5" s="11"/>
      <c r="N5" s="116">
        <f>(S5-P5)/1.18</f>
        <v>0</v>
      </c>
      <c r="O5" s="116">
        <f t="shared" si="0"/>
        <v>0</v>
      </c>
      <c r="P5" s="11">
        <v>10</v>
      </c>
      <c r="Q5" s="11"/>
      <c r="R5" s="11"/>
      <c r="S5" s="11">
        <v>10</v>
      </c>
      <c r="T5" s="14"/>
      <c r="U5" s="14"/>
      <c r="V5" s="13"/>
      <c r="W5" s="15"/>
      <c r="X5" s="13"/>
      <c r="Y5" s="14"/>
      <c r="Z5" s="14"/>
      <c r="AA5" s="14"/>
      <c r="AB5" s="42" t="s">
        <v>224</v>
      </c>
      <c r="AC5" s="11"/>
      <c r="AD5" s="13">
        <v>46268</v>
      </c>
      <c r="AE5" s="14" t="s">
        <v>465</v>
      </c>
      <c r="AF5" s="19" t="s">
        <v>494</v>
      </c>
      <c r="AG5" s="14"/>
      <c r="AH5" s="14" t="s">
        <v>225</v>
      </c>
      <c r="AI5" s="14"/>
      <c r="AJ5" s="14"/>
      <c r="AK5" s="16"/>
      <c r="AL5" s="11"/>
      <c r="AM5" s="11"/>
      <c r="AN5" s="14"/>
      <c r="AO5" s="14"/>
      <c r="AP5" s="13"/>
      <c r="AQ5" s="14"/>
      <c r="AR5" s="11">
        <v>18</v>
      </c>
      <c r="AS5" s="14" t="s">
        <v>6536</v>
      </c>
      <c r="AT5" s="14"/>
      <c r="AU5" s="11"/>
      <c r="AV5" s="14"/>
    </row>
    <row r="6" spans="1:49" s="45" customFormat="1" ht="15" x14ac:dyDescent="0.25">
      <c r="A6" s="199">
        <v>46238</v>
      </c>
      <c r="B6" s="13">
        <v>46269</v>
      </c>
      <c r="C6" s="42" t="s">
        <v>49</v>
      </c>
      <c r="D6" s="42" t="s">
        <v>440</v>
      </c>
      <c r="E6" s="14"/>
      <c r="F6" s="71">
        <v>2979587</v>
      </c>
      <c r="G6" s="42" t="s">
        <v>50</v>
      </c>
      <c r="H6" s="31">
        <v>20100047218</v>
      </c>
      <c r="I6" s="138" t="str">
        <f>IF(H6="","",VLOOKUP(H6,[1]ENTIDAD!$B$2:$C$605,2,0))</f>
        <v>BANCO DE CREDITO DEL PERU</v>
      </c>
      <c r="J6" s="11"/>
      <c r="K6" s="11"/>
      <c r="L6" s="11"/>
      <c r="M6" s="11"/>
      <c r="N6" s="116">
        <f>(S6-P6)/1.18</f>
        <v>1.2043097216272886E-14</v>
      </c>
      <c r="O6" s="116">
        <f t="shared" si="0"/>
        <v>2.1677574989291194E-15</v>
      </c>
      <c r="P6" s="11">
        <v>119.07</v>
      </c>
      <c r="Q6" s="11"/>
      <c r="R6" s="11"/>
      <c r="S6" s="11">
        <f>W6*AC6</f>
        <v>119.07000000000001</v>
      </c>
      <c r="T6" s="14"/>
      <c r="U6" s="14"/>
      <c r="V6" s="13"/>
      <c r="W6" s="15">
        <v>3.4020000000000001</v>
      </c>
      <c r="X6" s="13"/>
      <c r="Y6" s="14"/>
      <c r="Z6" s="14"/>
      <c r="AA6" s="14"/>
      <c r="AB6" s="42" t="s">
        <v>383</v>
      </c>
      <c r="AC6" s="11">
        <v>35</v>
      </c>
      <c r="AD6" s="13">
        <v>46269</v>
      </c>
      <c r="AE6" s="14" t="s">
        <v>465</v>
      </c>
      <c r="AF6" s="73" t="s">
        <v>494</v>
      </c>
      <c r="AG6" s="14"/>
      <c r="AH6" s="14" t="s">
        <v>225</v>
      </c>
      <c r="AI6" s="14"/>
      <c r="AJ6" s="14"/>
      <c r="AK6" s="16"/>
      <c r="AL6" s="11"/>
      <c r="AM6" s="11"/>
      <c r="AN6" s="14"/>
      <c r="AO6" s="14"/>
      <c r="AP6" s="13"/>
      <c r="AQ6" s="14"/>
      <c r="AR6" s="11">
        <v>18</v>
      </c>
      <c r="AS6" s="14" t="s">
        <v>770</v>
      </c>
      <c r="AT6" s="14"/>
      <c r="AU6" s="11"/>
      <c r="AV6" s="14"/>
    </row>
    <row r="7" spans="1:49" s="45" customFormat="1" ht="15" x14ac:dyDescent="0.25">
      <c r="A7" s="199">
        <v>46238</v>
      </c>
      <c r="B7" s="13">
        <v>46269</v>
      </c>
      <c r="C7" s="42" t="s">
        <v>49</v>
      </c>
      <c r="D7" s="42" t="s">
        <v>294</v>
      </c>
      <c r="E7" s="14"/>
      <c r="F7" s="71">
        <v>5502</v>
      </c>
      <c r="G7" s="42" t="s">
        <v>50</v>
      </c>
      <c r="H7" s="31">
        <v>10061702071</v>
      </c>
      <c r="I7" s="138" t="str">
        <f>IF(H7="","",VLOOKUP(H7,[1]ENTIDAD!$B$2:$C$605,2,0))</f>
        <v>CORAL FLORES IVAN MARTIN</v>
      </c>
      <c r="J7" s="11"/>
      <c r="K7" s="11"/>
      <c r="L7" s="11"/>
      <c r="M7" s="11"/>
      <c r="N7" s="116">
        <v>0</v>
      </c>
      <c r="O7" s="116">
        <f t="shared" si="0"/>
        <v>0</v>
      </c>
      <c r="P7" s="11">
        <v>0</v>
      </c>
      <c r="Q7" s="11"/>
      <c r="R7" s="11">
        <v>210</v>
      </c>
      <c r="S7" s="11">
        <v>210</v>
      </c>
      <c r="T7" s="14"/>
      <c r="U7" s="14"/>
      <c r="V7" s="13"/>
      <c r="W7" s="15"/>
      <c r="X7" s="13"/>
      <c r="Y7" s="14"/>
      <c r="Z7" s="14"/>
      <c r="AA7" s="14"/>
      <c r="AB7" s="42" t="s">
        <v>224</v>
      </c>
      <c r="AC7" s="11"/>
      <c r="AD7" s="13">
        <v>46269</v>
      </c>
      <c r="AE7" s="14" t="s">
        <v>465</v>
      </c>
      <c r="AF7" s="37" t="s">
        <v>597</v>
      </c>
      <c r="AG7" s="14" t="s">
        <v>513</v>
      </c>
      <c r="AH7" s="14" t="s">
        <v>225</v>
      </c>
      <c r="AI7" s="14"/>
      <c r="AJ7" s="14"/>
      <c r="AK7" s="16"/>
      <c r="AL7" s="11"/>
      <c r="AM7" s="11"/>
      <c r="AN7" s="14"/>
      <c r="AO7" s="14"/>
      <c r="AP7" s="13"/>
      <c r="AQ7" s="14"/>
      <c r="AR7" s="11">
        <v>18</v>
      </c>
      <c r="AS7" s="14" t="s">
        <v>719</v>
      </c>
      <c r="AT7" s="14"/>
      <c r="AU7" s="11"/>
      <c r="AV7" s="14"/>
    </row>
    <row r="8" spans="1:49" s="45" customFormat="1" ht="15" x14ac:dyDescent="0.25">
      <c r="A8" s="199">
        <v>46238</v>
      </c>
      <c r="B8" s="13">
        <v>46269</v>
      </c>
      <c r="C8" s="42" t="s">
        <v>49</v>
      </c>
      <c r="D8" s="42" t="s">
        <v>567</v>
      </c>
      <c r="E8" s="14"/>
      <c r="F8" s="71">
        <v>12340</v>
      </c>
      <c r="G8" s="42" t="s">
        <v>50</v>
      </c>
      <c r="H8" s="31">
        <v>20485981536</v>
      </c>
      <c r="I8" s="138" t="str">
        <f>IF(H8="","",VLOOKUP(H8,[1]ENTIDAD!$B$2:$C$605,2,0))</f>
        <v>EMPRESA DE TRANSPORTES TURISMO Y SERVICIOS MULTIPLES SHIMA E.I.R.L.</v>
      </c>
      <c r="J8" s="11"/>
      <c r="K8" s="11"/>
      <c r="L8" s="11"/>
      <c r="M8" s="11"/>
      <c r="N8" s="116">
        <v>0</v>
      </c>
      <c r="O8" s="116">
        <f t="shared" si="0"/>
        <v>0</v>
      </c>
      <c r="P8" s="11">
        <v>0</v>
      </c>
      <c r="Q8" s="11"/>
      <c r="R8" s="11">
        <v>40</v>
      </c>
      <c r="S8" s="11">
        <v>40</v>
      </c>
      <c r="T8" s="14"/>
      <c r="U8" s="14"/>
      <c r="V8" s="13"/>
      <c r="W8" s="15"/>
      <c r="X8" s="13"/>
      <c r="Y8" s="14"/>
      <c r="Z8" s="14"/>
      <c r="AA8" s="14"/>
      <c r="AB8" s="42" t="s">
        <v>224</v>
      </c>
      <c r="AC8" s="11"/>
      <c r="AD8" s="13">
        <v>46269</v>
      </c>
      <c r="AE8" s="14" t="s">
        <v>465</v>
      </c>
      <c r="AF8" s="37" t="s">
        <v>597</v>
      </c>
      <c r="AG8" s="14" t="s">
        <v>513</v>
      </c>
      <c r="AH8" s="14" t="s">
        <v>225</v>
      </c>
      <c r="AI8" s="14"/>
      <c r="AJ8" s="14"/>
      <c r="AK8" s="16"/>
      <c r="AL8" s="11"/>
      <c r="AM8" s="11"/>
      <c r="AN8" s="14"/>
      <c r="AO8" s="14"/>
      <c r="AP8" s="13"/>
      <c r="AQ8" s="14"/>
      <c r="AR8" s="11">
        <v>18</v>
      </c>
      <c r="AS8" s="14" t="s">
        <v>6537</v>
      </c>
      <c r="AT8" s="14"/>
      <c r="AU8" s="11"/>
      <c r="AV8" s="14"/>
    </row>
    <row r="9" spans="1:49" s="45" customFormat="1" ht="15" x14ac:dyDescent="0.25">
      <c r="A9" s="199">
        <v>46238</v>
      </c>
      <c r="B9" s="13">
        <v>46269</v>
      </c>
      <c r="C9" s="42" t="s">
        <v>49</v>
      </c>
      <c r="D9" s="42" t="s">
        <v>567</v>
      </c>
      <c r="E9" s="14"/>
      <c r="F9" s="71">
        <v>12341</v>
      </c>
      <c r="G9" s="42" t="s">
        <v>50</v>
      </c>
      <c r="H9" s="31">
        <v>20485981536</v>
      </c>
      <c r="I9" s="138" t="str">
        <f>IF(H9="","",VLOOKUP(H9,[1]ENTIDAD!$B$2:$C$605,2,0))</f>
        <v>EMPRESA DE TRANSPORTES TURISMO Y SERVICIOS MULTIPLES SHIMA E.I.R.L.</v>
      </c>
      <c r="J9" s="11"/>
      <c r="K9" s="11"/>
      <c r="L9" s="11"/>
      <c r="M9" s="11"/>
      <c r="N9" s="116">
        <v>0</v>
      </c>
      <c r="O9" s="116">
        <f t="shared" si="0"/>
        <v>0</v>
      </c>
      <c r="P9" s="11">
        <v>0</v>
      </c>
      <c r="Q9" s="11"/>
      <c r="R9" s="11">
        <v>40</v>
      </c>
      <c r="S9" s="11">
        <v>40</v>
      </c>
      <c r="T9" s="14"/>
      <c r="U9" s="14"/>
      <c r="V9" s="13"/>
      <c r="W9" s="15"/>
      <c r="X9" s="13"/>
      <c r="Y9" s="14"/>
      <c r="Z9" s="14"/>
      <c r="AA9" s="14"/>
      <c r="AB9" s="42" t="s">
        <v>224</v>
      </c>
      <c r="AC9" s="11"/>
      <c r="AD9" s="13">
        <v>46269</v>
      </c>
      <c r="AE9" s="14" t="s">
        <v>465</v>
      </c>
      <c r="AF9" s="37" t="s">
        <v>597</v>
      </c>
      <c r="AG9" s="14" t="s">
        <v>513</v>
      </c>
      <c r="AH9" s="14" t="s">
        <v>225</v>
      </c>
      <c r="AI9" s="14"/>
      <c r="AJ9" s="14"/>
      <c r="AK9" s="16"/>
      <c r="AL9" s="11"/>
      <c r="AM9" s="11"/>
      <c r="AN9" s="14"/>
      <c r="AO9" s="14"/>
      <c r="AP9" s="13"/>
      <c r="AQ9" s="14"/>
      <c r="AR9" s="11">
        <v>18</v>
      </c>
      <c r="AS9" s="14" t="s">
        <v>6537</v>
      </c>
      <c r="AT9" s="14"/>
      <c r="AU9" s="11"/>
      <c r="AV9" s="14"/>
    </row>
    <row r="10" spans="1:49" s="45" customFormat="1" ht="14.25" customHeight="1" x14ac:dyDescent="0.25">
      <c r="A10" s="199">
        <v>46238</v>
      </c>
      <c r="B10" s="13">
        <v>46269</v>
      </c>
      <c r="C10" s="42" t="s">
        <v>49</v>
      </c>
      <c r="D10" s="42" t="s">
        <v>451</v>
      </c>
      <c r="E10" s="14"/>
      <c r="F10" s="71">
        <v>163</v>
      </c>
      <c r="G10" s="42" t="s">
        <v>50</v>
      </c>
      <c r="H10" s="31">
        <v>20600454065</v>
      </c>
      <c r="I10" s="138" t="str">
        <f>IF(H10="","",VLOOKUP(H10,ENTIDAD!$B$2:$C$613,2,0))</f>
        <v>REPUESTOS Y SERVICIOS ARAUCO E.I.R.L.</v>
      </c>
      <c r="J10" s="11"/>
      <c r="K10" s="11"/>
      <c r="L10" s="11"/>
      <c r="M10" s="11"/>
      <c r="N10" s="116">
        <f t="shared" ref="N10:N41" si="1">(S10-P10)/1.18</f>
        <v>0</v>
      </c>
      <c r="O10" s="116">
        <f t="shared" si="0"/>
        <v>0</v>
      </c>
      <c r="P10" s="11">
        <v>1725</v>
      </c>
      <c r="Q10" s="11"/>
      <c r="R10" s="11"/>
      <c r="S10" s="11">
        <v>1725</v>
      </c>
      <c r="T10" s="14"/>
      <c r="U10" s="14"/>
      <c r="V10" s="13"/>
      <c r="W10" s="15"/>
      <c r="X10" s="13"/>
      <c r="Y10" s="14"/>
      <c r="Z10" s="14"/>
      <c r="AA10" s="14"/>
      <c r="AB10" s="42" t="s">
        <v>224</v>
      </c>
      <c r="AC10" s="11"/>
      <c r="AD10" s="13">
        <v>46269</v>
      </c>
      <c r="AE10" s="112" t="s">
        <v>465</v>
      </c>
      <c r="AF10" s="119" t="s">
        <v>616</v>
      </c>
      <c r="AG10" s="112"/>
      <c r="AH10" s="112" t="s">
        <v>225</v>
      </c>
      <c r="AI10" s="112"/>
      <c r="AJ10" s="112"/>
      <c r="AK10" s="120"/>
      <c r="AL10" s="116"/>
      <c r="AM10" s="116"/>
      <c r="AN10" s="112"/>
      <c r="AO10" s="112"/>
      <c r="AP10" s="109"/>
      <c r="AQ10" s="112"/>
      <c r="AR10" s="116">
        <v>18</v>
      </c>
      <c r="AS10" s="112" t="s">
        <v>617</v>
      </c>
      <c r="AT10" s="14"/>
      <c r="AU10" s="11"/>
      <c r="AV10" s="14"/>
    </row>
    <row r="11" spans="1:49" s="45" customFormat="1" ht="15" x14ac:dyDescent="0.25">
      <c r="A11" s="199">
        <v>46239</v>
      </c>
      <c r="B11" s="126">
        <v>46270</v>
      </c>
      <c r="C11" s="42" t="s">
        <v>49</v>
      </c>
      <c r="D11" s="42" t="s">
        <v>292</v>
      </c>
      <c r="E11" s="14"/>
      <c r="F11" s="71">
        <v>230</v>
      </c>
      <c r="G11" s="42" t="s">
        <v>50</v>
      </c>
      <c r="H11" s="31">
        <v>20444327066</v>
      </c>
      <c r="I11" s="138" t="str">
        <f>IF(H11="","",VLOOKUP(H11,[1]ENTIDAD!$B$2:$C$605,2,0))</f>
        <v>CAMARA DE COMERCIO E INDUSTRIAS SATIPO</v>
      </c>
      <c r="J11" s="11"/>
      <c r="K11" s="11"/>
      <c r="L11" s="11"/>
      <c r="M11" s="11"/>
      <c r="N11" s="116">
        <f t="shared" si="1"/>
        <v>0</v>
      </c>
      <c r="O11" s="116">
        <f t="shared" si="0"/>
        <v>0</v>
      </c>
      <c r="P11" s="11">
        <v>55</v>
      </c>
      <c r="Q11" s="11"/>
      <c r="R11" s="11"/>
      <c r="S11" s="11">
        <v>55</v>
      </c>
      <c r="T11" s="14"/>
      <c r="U11" s="14"/>
      <c r="V11" s="13"/>
      <c r="W11" s="15"/>
      <c r="X11" s="13"/>
      <c r="Y11" s="14"/>
      <c r="Z11" s="14"/>
      <c r="AA11" s="14"/>
      <c r="AB11" s="42" t="s">
        <v>224</v>
      </c>
      <c r="AC11" s="11"/>
      <c r="AD11" s="126">
        <v>46270</v>
      </c>
      <c r="AE11" s="14" t="s">
        <v>465</v>
      </c>
      <c r="AF11" s="19" t="s">
        <v>565</v>
      </c>
      <c r="AG11" s="14"/>
      <c r="AH11" s="14" t="s">
        <v>225</v>
      </c>
      <c r="AI11" s="14"/>
      <c r="AJ11" s="14"/>
      <c r="AK11" s="16"/>
      <c r="AL11" s="11"/>
      <c r="AM11" s="11"/>
      <c r="AN11" s="14"/>
      <c r="AO11" s="14"/>
      <c r="AP11" s="13"/>
      <c r="AQ11" s="14"/>
      <c r="AR11" s="11">
        <v>18</v>
      </c>
      <c r="AS11" s="14" t="s">
        <v>6540</v>
      </c>
      <c r="AT11" s="14"/>
      <c r="AU11" s="11"/>
      <c r="AV11" s="14"/>
    </row>
    <row r="12" spans="1:49" s="45" customFormat="1" ht="15" x14ac:dyDescent="0.25">
      <c r="A12" s="200">
        <v>46240</v>
      </c>
      <c r="B12" s="136">
        <v>46240</v>
      </c>
      <c r="C12" s="111" t="s">
        <v>49</v>
      </c>
      <c r="D12" s="111" t="s">
        <v>574</v>
      </c>
      <c r="E12" s="112"/>
      <c r="F12" s="113">
        <v>813</v>
      </c>
      <c r="G12" s="111" t="s">
        <v>50</v>
      </c>
      <c r="H12" s="114">
        <v>10421947665</v>
      </c>
      <c r="I12" s="115" t="str">
        <f>IF(H12="","",VLOOKUP(H12,[1]ENTIDAD!$B$2:$C$605,2,0))</f>
        <v>MAYTA,MADUEÑO,SAUL,JESUS</v>
      </c>
      <c r="J12" s="116"/>
      <c r="K12" s="116"/>
      <c r="L12" s="116"/>
      <c r="M12" s="116"/>
      <c r="N12" s="116">
        <f t="shared" si="1"/>
        <v>0</v>
      </c>
      <c r="O12" s="116">
        <f t="shared" si="0"/>
        <v>0</v>
      </c>
      <c r="P12" s="11">
        <v>18</v>
      </c>
      <c r="Q12" s="116"/>
      <c r="R12" s="116"/>
      <c r="S12" s="116">
        <v>18</v>
      </c>
      <c r="T12" s="112"/>
      <c r="U12" s="112"/>
      <c r="V12" s="109"/>
      <c r="W12" s="118"/>
      <c r="X12" s="109"/>
      <c r="Y12" s="112"/>
      <c r="Z12" s="112"/>
      <c r="AA12" s="112"/>
      <c r="AB12" s="42" t="s">
        <v>224</v>
      </c>
      <c r="AC12" s="116"/>
      <c r="AD12" s="136">
        <v>46240</v>
      </c>
      <c r="AE12" s="14" t="s">
        <v>262</v>
      </c>
      <c r="AF12" s="19" t="s">
        <v>515</v>
      </c>
      <c r="AG12" s="14"/>
      <c r="AH12" s="14" t="s">
        <v>225</v>
      </c>
      <c r="AI12" s="112"/>
      <c r="AJ12" s="112"/>
      <c r="AK12" s="120"/>
      <c r="AL12" s="116"/>
      <c r="AM12" s="116"/>
      <c r="AN12" s="112"/>
      <c r="AO12" s="112"/>
      <c r="AP12" s="109"/>
      <c r="AQ12" s="112"/>
      <c r="AR12" s="116">
        <v>18</v>
      </c>
      <c r="AS12" s="112" t="s">
        <v>6541</v>
      </c>
      <c r="AT12" s="112"/>
      <c r="AU12" s="116"/>
      <c r="AV12" s="112"/>
      <c r="AW12" s="121"/>
    </row>
    <row r="13" spans="1:49" s="45" customFormat="1" ht="15" x14ac:dyDescent="0.25">
      <c r="A13" s="199"/>
      <c r="B13" s="72"/>
      <c r="C13" s="42" t="s">
        <v>49</v>
      </c>
      <c r="D13" s="42"/>
      <c r="E13" s="14"/>
      <c r="F13" s="71">
        <v>0</v>
      </c>
      <c r="G13" s="42" t="s">
        <v>50</v>
      </c>
      <c r="H13" s="31">
        <v>0</v>
      </c>
      <c r="I13" s="43" t="e">
        <f>IF(H13="","",VLOOKUP(H13,[1]ENTIDAD!$B$2:$C$605,2,0))</f>
        <v>#N/A</v>
      </c>
      <c r="J13" s="11"/>
      <c r="K13" s="11"/>
      <c r="L13" s="11"/>
      <c r="M13" s="11"/>
      <c r="N13" s="116">
        <f t="shared" si="1"/>
        <v>0</v>
      </c>
      <c r="O13" s="116">
        <f t="shared" si="0"/>
        <v>0</v>
      </c>
      <c r="P13" s="11">
        <v>0</v>
      </c>
      <c r="Q13" s="11"/>
      <c r="R13" s="11"/>
      <c r="S13" s="11"/>
      <c r="T13" s="14"/>
      <c r="U13" s="14"/>
      <c r="V13" s="13"/>
      <c r="W13" s="15"/>
      <c r="X13" s="13"/>
      <c r="Y13" s="14"/>
      <c r="Z13" s="14"/>
      <c r="AA13" s="14"/>
      <c r="AB13" s="42" t="s">
        <v>224</v>
      </c>
      <c r="AC13" s="11"/>
      <c r="AD13" s="72"/>
      <c r="AE13" s="127"/>
      <c r="AF13" s="119"/>
      <c r="AG13" s="14"/>
      <c r="AH13" s="14" t="s">
        <v>225</v>
      </c>
      <c r="AI13" s="14"/>
      <c r="AJ13" s="14"/>
      <c r="AK13" s="16"/>
      <c r="AL13" s="11"/>
      <c r="AM13" s="11"/>
      <c r="AN13" s="14"/>
      <c r="AO13" s="14"/>
      <c r="AP13" s="13"/>
      <c r="AQ13" s="14"/>
      <c r="AR13" s="11">
        <v>18</v>
      </c>
      <c r="AS13" s="14"/>
      <c r="AT13" s="14"/>
      <c r="AU13" s="11"/>
      <c r="AV13" s="14"/>
    </row>
    <row r="14" spans="1:49" s="45" customFormat="1" ht="15" x14ac:dyDescent="0.25">
      <c r="A14" s="199"/>
      <c r="B14" s="13"/>
      <c r="C14" s="42" t="s">
        <v>49</v>
      </c>
      <c r="D14" s="42"/>
      <c r="E14" s="14"/>
      <c r="F14" s="71">
        <v>0</v>
      </c>
      <c r="G14" s="42" t="s">
        <v>50</v>
      </c>
      <c r="H14" s="31">
        <v>0</v>
      </c>
      <c r="I14" s="138" t="e">
        <f>IF(H14="","",VLOOKUP(H14,[1]ENTIDAD!$B$2:$C$605,2,0))</f>
        <v>#N/A</v>
      </c>
      <c r="J14" s="11"/>
      <c r="K14" s="11"/>
      <c r="L14" s="11"/>
      <c r="M14" s="11"/>
      <c r="N14" s="116">
        <f t="shared" si="1"/>
        <v>0</v>
      </c>
      <c r="O14" s="116">
        <f t="shared" si="0"/>
        <v>0</v>
      </c>
      <c r="P14" s="11">
        <v>0</v>
      </c>
      <c r="Q14" s="11"/>
      <c r="R14" s="11"/>
      <c r="S14" s="11"/>
      <c r="T14" s="14"/>
      <c r="U14" s="14"/>
      <c r="V14" s="13"/>
      <c r="W14" s="15"/>
      <c r="X14" s="13"/>
      <c r="Y14" s="14"/>
      <c r="Z14" s="14"/>
      <c r="AA14" s="14"/>
      <c r="AB14" s="42" t="s">
        <v>224</v>
      </c>
      <c r="AC14" s="11"/>
      <c r="AD14" s="33"/>
      <c r="AE14" s="14"/>
      <c r="AF14" s="19"/>
      <c r="AG14" s="14"/>
      <c r="AH14" s="14" t="s">
        <v>225</v>
      </c>
      <c r="AI14" s="14"/>
      <c r="AJ14" s="14"/>
      <c r="AK14" s="16"/>
      <c r="AL14" s="11"/>
      <c r="AM14" s="11"/>
      <c r="AN14" s="14"/>
      <c r="AO14" s="14"/>
      <c r="AP14" s="13"/>
      <c r="AQ14" s="14"/>
      <c r="AR14" s="11">
        <v>18</v>
      </c>
      <c r="AS14" s="14"/>
      <c r="AT14" s="14"/>
      <c r="AU14" s="11"/>
      <c r="AV14" s="14"/>
    </row>
    <row r="15" spans="1:49" s="45" customFormat="1" ht="15" x14ac:dyDescent="0.25">
      <c r="A15" s="199"/>
      <c r="B15" s="13"/>
      <c r="C15" s="42" t="s">
        <v>49</v>
      </c>
      <c r="D15" s="42"/>
      <c r="E15" s="14"/>
      <c r="F15" s="71">
        <v>0</v>
      </c>
      <c r="G15" s="42" t="s">
        <v>50</v>
      </c>
      <c r="H15" s="31">
        <v>0</v>
      </c>
      <c r="I15" s="138" t="e">
        <f>IF(H15="","",VLOOKUP(H15,[1]ENTIDAD!$B$2:$C$605,2,0))</f>
        <v>#N/A</v>
      </c>
      <c r="J15" s="11"/>
      <c r="K15" s="11"/>
      <c r="L15" s="11"/>
      <c r="M15" s="11"/>
      <c r="N15" s="116">
        <f t="shared" si="1"/>
        <v>0</v>
      </c>
      <c r="O15" s="116">
        <f t="shared" si="0"/>
        <v>0</v>
      </c>
      <c r="P15" s="11">
        <v>0</v>
      </c>
      <c r="Q15" s="11"/>
      <c r="R15" s="11"/>
      <c r="S15" s="11"/>
      <c r="T15" s="14"/>
      <c r="U15" s="14"/>
      <c r="V15" s="13"/>
      <c r="W15" s="15"/>
      <c r="X15" s="13"/>
      <c r="Y15" s="14"/>
      <c r="Z15" s="14"/>
      <c r="AA15" s="14"/>
      <c r="AB15" s="42" t="s">
        <v>224</v>
      </c>
      <c r="AC15" s="11"/>
      <c r="AD15" s="33"/>
      <c r="AE15" s="14"/>
      <c r="AF15" s="19"/>
      <c r="AG15" s="14"/>
      <c r="AH15" s="14" t="s">
        <v>225</v>
      </c>
      <c r="AI15" s="112"/>
      <c r="AJ15" s="112"/>
      <c r="AK15" s="120"/>
      <c r="AL15" s="116"/>
      <c r="AM15" s="116"/>
      <c r="AN15" s="112"/>
      <c r="AO15" s="112"/>
      <c r="AP15" s="109"/>
      <c r="AQ15" s="112"/>
      <c r="AR15" s="116">
        <v>18</v>
      </c>
      <c r="AS15" s="112"/>
      <c r="AT15" s="14"/>
      <c r="AU15" s="11"/>
      <c r="AV15" s="14"/>
    </row>
    <row r="16" spans="1:49" s="45" customFormat="1" ht="15" x14ac:dyDescent="0.25">
      <c r="A16" s="199"/>
      <c r="B16" s="72"/>
      <c r="C16" s="42" t="s">
        <v>49</v>
      </c>
      <c r="D16" s="42"/>
      <c r="E16" s="14"/>
      <c r="F16" s="71">
        <v>0</v>
      </c>
      <c r="G16" s="42" t="s">
        <v>50</v>
      </c>
      <c r="H16" s="31">
        <v>0</v>
      </c>
      <c r="I16" s="138" t="e">
        <f>IF(H16="","",VLOOKUP(H16,[1]ENTIDAD!$B$2:$C$605,2,0))</f>
        <v>#N/A</v>
      </c>
      <c r="J16" s="11"/>
      <c r="K16" s="11"/>
      <c r="L16" s="11"/>
      <c r="M16" s="11"/>
      <c r="N16" s="116">
        <f t="shared" si="1"/>
        <v>0</v>
      </c>
      <c r="O16" s="116">
        <f t="shared" si="0"/>
        <v>0</v>
      </c>
      <c r="P16" s="11">
        <v>0</v>
      </c>
      <c r="Q16" s="11"/>
      <c r="R16" s="11"/>
      <c r="S16" s="11"/>
      <c r="T16" s="14"/>
      <c r="U16" s="14"/>
      <c r="V16" s="13"/>
      <c r="W16" s="15"/>
      <c r="X16" s="13"/>
      <c r="Y16" s="14"/>
      <c r="Z16" s="14"/>
      <c r="AA16" s="14"/>
      <c r="AB16" s="42" t="s">
        <v>224</v>
      </c>
      <c r="AC16" s="11"/>
      <c r="AD16" s="72"/>
      <c r="AE16" s="14"/>
      <c r="AF16" s="19"/>
      <c r="AG16" s="14"/>
      <c r="AH16" s="14" t="s">
        <v>225</v>
      </c>
      <c r="AI16" s="14"/>
      <c r="AJ16" s="14"/>
      <c r="AK16" s="16"/>
      <c r="AL16" s="11"/>
      <c r="AM16" s="11"/>
      <c r="AN16" s="14"/>
      <c r="AO16" s="14"/>
      <c r="AP16" s="13"/>
      <c r="AQ16" s="14"/>
      <c r="AR16" s="11">
        <v>18</v>
      </c>
      <c r="AS16" s="14"/>
      <c r="AT16" s="14"/>
      <c r="AU16" s="11"/>
      <c r="AV16" s="14"/>
    </row>
    <row r="17" spans="1:49" s="47" customFormat="1" ht="15" x14ac:dyDescent="0.25">
      <c r="A17" s="199"/>
      <c r="B17" s="13"/>
      <c r="C17" s="42" t="s">
        <v>49</v>
      </c>
      <c r="D17" s="42"/>
      <c r="E17" s="14"/>
      <c r="F17" s="71">
        <v>0</v>
      </c>
      <c r="G17" s="42" t="s">
        <v>50</v>
      </c>
      <c r="H17" s="31">
        <v>0</v>
      </c>
      <c r="I17" s="138" t="e">
        <f>IF(H17="","",VLOOKUP(H17,ENTIDAD!$B$2:$C$613,2,0))</f>
        <v>#N/A</v>
      </c>
      <c r="J17" s="11"/>
      <c r="K17" s="11"/>
      <c r="L17" s="11"/>
      <c r="M17" s="11"/>
      <c r="N17" s="116">
        <f t="shared" si="1"/>
        <v>0</v>
      </c>
      <c r="O17" s="116">
        <f t="shared" si="0"/>
        <v>0</v>
      </c>
      <c r="P17" s="11">
        <v>0</v>
      </c>
      <c r="Q17" s="11"/>
      <c r="R17" s="11"/>
      <c r="S17" s="11"/>
      <c r="T17" s="14"/>
      <c r="U17" s="14"/>
      <c r="V17" s="13"/>
      <c r="W17" s="15"/>
      <c r="X17" s="13"/>
      <c r="Y17" s="14"/>
      <c r="Z17" s="14"/>
      <c r="AA17" s="14"/>
      <c r="AB17" s="42" t="s">
        <v>224</v>
      </c>
      <c r="AC17" s="11"/>
      <c r="AD17" s="33"/>
      <c r="AE17" s="112"/>
      <c r="AF17" s="119"/>
      <c r="AG17" s="14"/>
      <c r="AH17" s="14" t="s">
        <v>225</v>
      </c>
      <c r="AI17" s="14"/>
      <c r="AJ17" s="14"/>
      <c r="AK17" s="16"/>
      <c r="AL17" s="11"/>
      <c r="AM17" s="11"/>
      <c r="AN17" s="14"/>
      <c r="AO17" s="14"/>
      <c r="AP17" s="13"/>
      <c r="AQ17" s="14"/>
      <c r="AR17" s="11">
        <v>18</v>
      </c>
      <c r="AS17" s="112"/>
      <c r="AT17" s="14"/>
      <c r="AU17" s="11"/>
      <c r="AV17" s="14"/>
      <c r="AW17" s="45"/>
    </row>
    <row r="18" spans="1:49" s="45" customFormat="1" ht="15" x14ac:dyDescent="0.25">
      <c r="A18" s="199"/>
      <c r="B18" s="72"/>
      <c r="C18" s="42" t="s">
        <v>49</v>
      </c>
      <c r="D18" s="42"/>
      <c r="E18" s="14"/>
      <c r="F18" s="71">
        <v>0</v>
      </c>
      <c r="G18" s="42" t="s">
        <v>50</v>
      </c>
      <c r="H18" s="31">
        <v>0</v>
      </c>
      <c r="I18" s="138" t="e">
        <f>IF(H18="","",VLOOKUP(H18,[1]ENTIDAD!$B$2:$C$605,2,0))</f>
        <v>#N/A</v>
      </c>
      <c r="J18" s="11"/>
      <c r="K18" s="11"/>
      <c r="L18" s="11"/>
      <c r="M18" s="11"/>
      <c r="N18" s="116">
        <f t="shared" si="1"/>
        <v>0</v>
      </c>
      <c r="O18" s="116">
        <f t="shared" si="0"/>
        <v>0</v>
      </c>
      <c r="P18" s="11">
        <v>0</v>
      </c>
      <c r="Q18" s="11"/>
      <c r="R18" s="11"/>
      <c r="S18" s="11"/>
      <c r="T18" s="14"/>
      <c r="U18" s="14"/>
      <c r="V18" s="13"/>
      <c r="W18" s="15"/>
      <c r="X18" s="13"/>
      <c r="Y18" s="14"/>
      <c r="Z18" s="14"/>
      <c r="AA18" s="14"/>
      <c r="AB18" s="42" t="s">
        <v>224</v>
      </c>
      <c r="AC18" s="11"/>
      <c r="AD18" s="72"/>
      <c r="AE18" s="14"/>
      <c r="AF18" s="19"/>
      <c r="AG18" s="14"/>
      <c r="AH18" s="14" t="s">
        <v>225</v>
      </c>
      <c r="AI18" s="14"/>
      <c r="AJ18" s="14"/>
      <c r="AK18" s="16"/>
      <c r="AL18" s="11"/>
      <c r="AM18" s="11"/>
      <c r="AN18" s="14"/>
      <c r="AO18" s="14"/>
      <c r="AP18" s="13"/>
      <c r="AQ18" s="14"/>
      <c r="AR18" s="11">
        <v>18</v>
      </c>
      <c r="AS18" s="14"/>
      <c r="AT18" s="14"/>
      <c r="AU18" s="11"/>
      <c r="AV18" s="14"/>
    </row>
    <row r="19" spans="1:49" s="45" customFormat="1" ht="15" x14ac:dyDescent="0.25">
      <c r="A19" s="199"/>
      <c r="B19" s="72"/>
      <c r="C19" s="42" t="s">
        <v>49</v>
      </c>
      <c r="D19" s="42"/>
      <c r="E19" s="14"/>
      <c r="F19" s="71">
        <v>0</v>
      </c>
      <c r="G19" s="42" t="s">
        <v>50</v>
      </c>
      <c r="H19" s="31">
        <v>0</v>
      </c>
      <c r="I19" s="138" t="e">
        <f>IF(H19="","",VLOOKUP(H19,[1]ENTIDAD!$B$2:$C$605,2,0))</f>
        <v>#N/A</v>
      </c>
      <c r="J19" s="11"/>
      <c r="K19" s="11"/>
      <c r="L19" s="11"/>
      <c r="M19" s="11"/>
      <c r="N19" s="116">
        <f t="shared" si="1"/>
        <v>0</v>
      </c>
      <c r="O19" s="116">
        <f t="shared" si="0"/>
        <v>0</v>
      </c>
      <c r="P19" s="11">
        <v>0</v>
      </c>
      <c r="Q19" s="11"/>
      <c r="R19" s="11"/>
      <c r="S19" s="11"/>
      <c r="T19" s="14"/>
      <c r="U19" s="14"/>
      <c r="V19" s="13"/>
      <c r="W19" s="15"/>
      <c r="X19" s="13"/>
      <c r="Y19" s="14"/>
      <c r="Z19" s="14"/>
      <c r="AA19" s="14"/>
      <c r="AB19" s="42" t="s">
        <v>224</v>
      </c>
      <c r="AC19" s="11"/>
      <c r="AD19" s="72"/>
      <c r="AE19" s="14"/>
      <c r="AF19" s="19"/>
      <c r="AG19" s="14"/>
      <c r="AH19" s="14" t="s">
        <v>225</v>
      </c>
      <c r="AI19" s="14"/>
      <c r="AJ19" s="14"/>
      <c r="AK19" s="16"/>
      <c r="AL19" s="11"/>
      <c r="AM19" s="11"/>
      <c r="AN19" s="14"/>
      <c r="AO19" s="14"/>
      <c r="AP19" s="13"/>
      <c r="AQ19" s="14"/>
      <c r="AR19" s="11">
        <v>18</v>
      </c>
      <c r="AS19" s="14"/>
      <c r="AT19" s="14"/>
      <c r="AU19" s="11"/>
      <c r="AV19" s="14"/>
    </row>
    <row r="20" spans="1:49" s="45" customFormat="1" ht="15" x14ac:dyDescent="0.25">
      <c r="A20" s="199"/>
      <c r="B20" s="72"/>
      <c r="C20" s="42" t="s">
        <v>49</v>
      </c>
      <c r="D20" s="42"/>
      <c r="E20" s="14"/>
      <c r="F20" s="71">
        <v>0</v>
      </c>
      <c r="G20" s="42" t="s">
        <v>50</v>
      </c>
      <c r="H20" s="31">
        <v>0</v>
      </c>
      <c r="I20" s="138" t="e">
        <f>IF(H20="","",VLOOKUP(H20,[1]ENTIDAD!$B$2:$C$605,2,0))</f>
        <v>#N/A</v>
      </c>
      <c r="J20" s="11"/>
      <c r="K20" s="11"/>
      <c r="L20" s="11"/>
      <c r="M20" s="11"/>
      <c r="N20" s="116">
        <f t="shared" si="1"/>
        <v>0</v>
      </c>
      <c r="O20" s="116">
        <f t="shared" si="0"/>
        <v>0</v>
      </c>
      <c r="P20" s="11">
        <v>0</v>
      </c>
      <c r="Q20" s="11"/>
      <c r="R20" s="11"/>
      <c r="S20" s="11"/>
      <c r="T20" s="14"/>
      <c r="U20" s="14"/>
      <c r="V20" s="13"/>
      <c r="W20" s="15"/>
      <c r="X20" s="13"/>
      <c r="Y20" s="14"/>
      <c r="Z20" s="14"/>
      <c r="AA20" s="14"/>
      <c r="AB20" s="42" t="s">
        <v>224</v>
      </c>
      <c r="AC20" s="11"/>
      <c r="AD20" s="72"/>
      <c r="AE20" s="14"/>
      <c r="AF20" s="19"/>
      <c r="AG20" s="14"/>
      <c r="AH20" s="14" t="s">
        <v>225</v>
      </c>
      <c r="AI20" s="14"/>
      <c r="AJ20" s="14"/>
      <c r="AK20" s="16"/>
      <c r="AL20" s="11"/>
      <c r="AM20" s="11"/>
      <c r="AN20" s="14"/>
      <c r="AO20" s="14"/>
      <c r="AP20" s="13"/>
      <c r="AQ20" s="14"/>
      <c r="AR20" s="11">
        <v>18</v>
      </c>
      <c r="AS20" s="14"/>
      <c r="AT20" s="14"/>
      <c r="AU20" s="11"/>
      <c r="AV20" s="14"/>
    </row>
    <row r="21" spans="1:49" s="47" customFormat="1" ht="15" x14ac:dyDescent="0.25">
      <c r="A21" s="199"/>
      <c r="B21" s="72"/>
      <c r="C21" s="42" t="s">
        <v>49</v>
      </c>
      <c r="D21" s="42"/>
      <c r="E21" s="14"/>
      <c r="F21" s="71">
        <v>0</v>
      </c>
      <c r="G21" s="42" t="s">
        <v>50</v>
      </c>
      <c r="H21" s="31">
        <v>0</v>
      </c>
      <c r="I21" s="138" t="e">
        <f>IF(H21="","",VLOOKUP(H21,[1]ENTIDAD!$B$2:$C$605,2,0))</f>
        <v>#N/A</v>
      </c>
      <c r="J21" s="11"/>
      <c r="K21" s="11"/>
      <c r="L21" s="11"/>
      <c r="M21" s="11"/>
      <c r="N21" s="116">
        <f t="shared" si="1"/>
        <v>0</v>
      </c>
      <c r="O21" s="116">
        <f t="shared" si="0"/>
        <v>0</v>
      </c>
      <c r="P21" s="11">
        <v>0</v>
      </c>
      <c r="Q21" s="11"/>
      <c r="R21" s="11"/>
      <c r="S21" s="11"/>
      <c r="T21" s="14"/>
      <c r="U21" s="14"/>
      <c r="V21" s="13"/>
      <c r="W21" s="15"/>
      <c r="X21" s="13"/>
      <c r="Y21" s="14"/>
      <c r="Z21" s="14"/>
      <c r="AA21" s="14"/>
      <c r="AB21" s="42" t="s">
        <v>224</v>
      </c>
      <c r="AC21" s="11"/>
      <c r="AD21" s="72"/>
      <c r="AE21" s="14"/>
      <c r="AF21" s="19"/>
      <c r="AG21" s="14"/>
      <c r="AH21" s="14" t="s">
        <v>225</v>
      </c>
      <c r="AI21" s="14"/>
      <c r="AJ21" s="14"/>
      <c r="AK21" s="16"/>
      <c r="AL21" s="11"/>
      <c r="AM21" s="11"/>
      <c r="AN21" s="14"/>
      <c r="AO21" s="14"/>
      <c r="AP21" s="13"/>
      <c r="AQ21" s="14"/>
      <c r="AR21" s="11">
        <v>18</v>
      </c>
      <c r="AS21" s="14"/>
      <c r="AT21" s="14"/>
      <c r="AU21" s="11"/>
      <c r="AV21" s="14"/>
      <c r="AW21" s="45"/>
    </row>
    <row r="22" spans="1:49" s="122" customFormat="1" ht="15" x14ac:dyDescent="0.25">
      <c r="A22" s="199"/>
      <c r="B22" s="72"/>
      <c r="C22" s="42" t="s">
        <v>49</v>
      </c>
      <c r="D22" s="42"/>
      <c r="E22" s="14"/>
      <c r="F22" s="71">
        <v>0</v>
      </c>
      <c r="G22" s="42" t="s">
        <v>50</v>
      </c>
      <c r="H22" s="31">
        <v>0</v>
      </c>
      <c r="I22" s="138" t="e">
        <f>IF(H22="","",VLOOKUP(H22,[1]ENTIDAD!$B$2:$C$605,2,0))</f>
        <v>#N/A</v>
      </c>
      <c r="J22" s="11"/>
      <c r="K22" s="11"/>
      <c r="L22" s="11"/>
      <c r="M22" s="11"/>
      <c r="N22" s="116">
        <f t="shared" si="1"/>
        <v>0</v>
      </c>
      <c r="O22" s="116">
        <f t="shared" si="0"/>
        <v>0</v>
      </c>
      <c r="P22" s="11">
        <v>0</v>
      </c>
      <c r="Q22" s="11"/>
      <c r="R22" s="11"/>
      <c r="S22" s="11"/>
      <c r="T22" s="14"/>
      <c r="U22" s="14"/>
      <c r="V22" s="13"/>
      <c r="W22" s="15"/>
      <c r="X22" s="13"/>
      <c r="Y22" s="14"/>
      <c r="Z22" s="14"/>
      <c r="AA22" s="14"/>
      <c r="AB22" s="42" t="s">
        <v>224</v>
      </c>
      <c r="AC22" s="11"/>
      <c r="AD22" s="13"/>
      <c r="AE22" s="34"/>
      <c r="AF22" s="19"/>
      <c r="AG22" s="14"/>
      <c r="AH22" s="14" t="s">
        <v>225</v>
      </c>
      <c r="AI22" s="14"/>
      <c r="AJ22" s="14"/>
      <c r="AK22" s="16"/>
      <c r="AL22" s="11"/>
      <c r="AM22" s="11"/>
      <c r="AN22" s="14"/>
      <c r="AO22" s="14"/>
      <c r="AP22" s="13"/>
      <c r="AQ22" s="14"/>
      <c r="AR22" s="11">
        <v>18</v>
      </c>
      <c r="AS22" s="14"/>
      <c r="AT22" s="14"/>
      <c r="AU22" s="11"/>
      <c r="AV22" s="14"/>
      <c r="AW22" s="45"/>
    </row>
    <row r="23" spans="1:49" s="121" customFormat="1" ht="15" x14ac:dyDescent="0.25">
      <c r="A23" s="199"/>
      <c r="B23" s="72"/>
      <c r="C23" s="42" t="s">
        <v>49</v>
      </c>
      <c r="D23" s="42"/>
      <c r="E23" s="14"/>
      <c r="F23" s="71">
        <v>0</v>
      </c>
      <c r="G23" s="42" t="s">
        <v>50</v>
      </c>
      <c r="H23" s="31">
        <v>0</v>
      </c>
      <c r="I23" s="138" t="e">
        <f>IF(H23="","",VLOOKUP(H23,[1]ENTIDAD!$B$2:$C$605,2,0))</f>
        <v>#N/A</v>
      </c>
      <c r="J23" s="11"/>
      <c r="K23" s="11"/>
      <c r="L23" s="11"/>
      <c r="M23" s="11"/>
      <c r="N23" s="116">
        <f t="shared" si="1"/>
        <v>0</v>
      </c>
      <c r="O23" s="116">
        <f t="shared" si="0"/>
        <v>0</v>
      </c>
      <c r="P23" s="11">
        <v>0</v>
      </c>
      <c r="Q23" s="11"/>
      <c r="R23" s="11"/>
      <c r="S23" s="11"/>
      <c r="T23" s="14"/>
      <c r="U23" s="14"/>
      <c r="V23" s="13"/>
      <c r="W23" s="15"/>
      <c r="X23" s="13"/>
      <c r="Y23" s="14"/>
      <c r="Z23" s="14"/>
      <c r="AA23" s="14"/>
      <c r="AB23" s="42" t="s">
        <v>224</v>
      </c>
      <c r="AC23" s="11"/>
      <c r="AD23" s="13"/>
      <c r="AE23" s="34"/>
      <c r="AF23" s="19"/>
      <c r="AG23" s="14"/>
      <c r="AH23" s="14" t="s">
        <v>225</v>
      </c>
      <c r="AI23" s="14"/>
      <c r="AJ23" s="14"/>
      <c r="AK23" s="16"/>
      <c r="AL23" s="11"/>
      <c r="AM23" s="11"/>
      <c r="AN23" s="14"/>
      <c r="AO23" s="14"/>
      <c r="AP23" s="13"/>
      <c r="AQ23" s="14"/>
      <c r="AR23" s="11">
        <v>18</v>
      </c>
      <c r="AS23" s="14"/>
      <c r="AT23" s="14"/>
      <c r="AU23" s="11"/>
      <c r="AV23" s="14"/>
      <c r="AW23" s="45"/>
    </row>
    <row r="24" spans="1:49" s="121" customFormat="1" ht="15" x14ac:dyDescent="0.25">
      <c r="A24" s="199"/>
      <c r="B24" s="72"/>
      <c r="C24" s="42" t="s">
        <v>49</v>
      </c>
      <c r="D24" s="42"/>
      <c r="E24" s="14"/>
      <c r="F24" s="71">
        <v>0</v>
      </c>
      <c r="G24" s="42" t="s">
        <v>50</v>
      </c>
      <c r="H24" s="31">
        <v>0</v>
      </c>
      <c r="I24" s="138" t="e">
        <f>IF(H24="","",VLOOKUP(H24,[1]ENTIDAD!$B$2:$C$605,2,0))</f>
        <v>#N/A</v>
      </c>
      <c r="J24" s="11"/>
      <c r="K24" s="11"/>
      <c r="L24" s="11"/>
      <c r="M24" s="11"/>
      <c r="N24" s="116">
        <f t="shared" si="1"/>
        <v>0</v>
      </c>
      <c r="O24" s="116">
        <f t="shared" si="0"/>
        <v>0</v>
      </c>
      <c r="P24" s="11">
        <v>0</v>
      </c>
      <c r="Q24" s="11"/>
      <c r="R24" s="11"/>
      <c r="S24" s="11"/>
      <c r="T24" s="14"/>
      <c r="U24" s="14"/>
      <c r="V24" s="13"/>
      <c r="W24" s="15"/>
      <c r="X24" s="13"/>
      <c r="Y24" s="14"/>
      <c r="Z24" s="14"/>
      <c r="AA24" s="14"/>
      <c r="AB24" s="42" t="s">
        <v>224</v>
      </c>
      <c r="AC24" s="11"/>
      <c r="AD24" s="13"/>
      <c r="AE24" s="14"/>
      <c r="AF24" s="19"/>
      <c r="AG24" s="14"/>
      <c r="AH24" s="14" t="s">
        <v>225</v>
      </c>
      <c r="AI24" s="14"/>
      <c r="AJ24" s="14"/>
      <c r="AK24" s="16"/>
      <c r="AL24" s="11"/>
      <c r="AM24" s="11"/>
      <c r="AN24" s="14"/>
      <c r="AO24" s="14"/>
      <c r="AP24" s="13"/>
      <c r="AQ24" s="14"/>
      <c r="AR24" s="11">
        <v>18</v>
      </c>
      <c r="AS24" s="14"/>
      <c r="AT24" s="14"/>
      <c r="AU24" s="11"/>
      <c r="AV24" s="14"/>
      <c r="AW24" s="45"/>
    </row>
    <row r="25" spans="1:49" s="133" customFormat="1" ht="15" x14ac:dyDescent="0.25">
      <c r="A25" s="199"/>
      <c r="B25" s="72"/>
      <c r="C25" s="42" t="s">
        <v>49</v>
      </c>
      <c r="D25" s="42"/>
      <c r="E25" s="14"/>
      <c r="F25" s="71">
        <v>0</v>
      </c>
      <c r="G25" s="42" t="s">
        <v>50</v>
      </c>
      <c r="H25" s="31">
        <v>0</v>
      </c>
      <c r="I25" s="138" t="e">
        <f>IF(H25="","",VLOOKUP(H25,[1]ENTIDAD!$B$2:$C$605,2,0))</f>
        <v>#N/A</v>
      </c>
      <c r="J25" s="11"/>
      <c r="K25" s="11"/>
      <c r="L25" s="11"/>
      <c r="M25" s="11"/>
      <c r="N25" s="116">
        <f t="shared" si="1"/>
        <v>0</v>
      </c>
      <c r="O25" s="116">
        <f t="shared" si="0"/>
        <v>0</v>
      </c>
      <c r="P25" s="11">
        <v>0</v>
      </c>
      <c r="Q25" s="11"/>
      <c r="R25" s="11"/>
      <c r="S25" s="11"/>
      <c r="T25" s="14"/>
      <c r="U25" s="14"/>
      <c r="V25" s="13"/>
      <c r="W25" s="15"/>
      <c r="X25" s="13"/>
      <c r="Y25" s="14"/>
      <c r="Z25" s="14"/>
      <c r="AA25" s="14"/>
      <c r="AB25" s="42" t="s">
        <v>224</v>
      </c>
      <c r="AC25" s="11"/>
      <c r="AD25" s="13"/>
      <c r="AE25" s="34"/>
      <c r="AF25" s="37"/>
      <c r="AG25" s="14"/>
      <c r="AH25" s="14" t="s">
        <v>225</v>
      </c>
      <c r="AI25" s="14"/>
      <c r="AJ25" s="14"/>
      <c r="AK25" s="16"/>
      <c r="AL25" s="11"/>
      <c r="AM25" s="11"/>
      <c r="AN25" s="14"/>
      <c r="AO25" s="14"/>
      <c r="AP25" s="13"/>
      <c r="AQ25" s="14"/>
      <c r="AR25" s="11">
        <v>18</v>
      </c>
      <c r="AS25" s="14"/>
      <c r="AT25" s="14"/>
      <c r="AU25" s="11"/>
      <c r="AV25" s="14"/>
      <c r="AW25" s="45"/>
    </row>
    <row r="26" spans="1:49" s="121" customFormat="1" ht="15" x14ac:dyDescent="0.25">
      <c r="A26" s="199"/>
      <c r="B26" s="72"/>
      <c r="C26" s="42" t="s">
        <v>49</v>
      </c>
      <c r="D26" s="42"/>
      <c r="E26" s="14"/>
      <c r="F26" s="71">
        <v>0</v>
      </c>
      <c r="G26" s="42" t="s">
        <v>50</v>
      </c>
      <c r="H26" s="31">
        <v>0</v>
      </c>
      <c r="I26" s="138" t="e">
        <f>IF(H26="","",VLOOKUP(H26,[1]ENTIDAD!$B$2:$C$605,2,0))</f>
        <v>#N/A</v>
      </c>
      <c r="J26" s="11"/>
      <c r="K26" s="11"/>
      <c r="L26" s="11"/>
      <c r="M26" s="11"/>
      <c r="N26" s="116">
        <f t="shared" si="1"/>
        <v>0</v>
      </c>
      <c r="O26" s="116">
        <f t="shared" si="0"/>
        <v>0</v>
      </c>
      <c r="P26" s="11">
        <v>0</v>
      </c>
      <c r="Q26" s="11"/>
      <c r="R26" s="11"/>
      <c r="S26" s="11"/>
      <c r="T26" s="14"/>
      <c r="U26" s="14"/>
      <c r="V26" s="13"/>
      <c r="W26" s="15"/>
      <c r="X26" s="13"/>
      <c r="Y26" s="14"/>
      <c r="Z26" s="14"/>
      <c r="AA26" s="14"/>
      <c r="AB26" s="42" t="s">
        <v>224</v>
      </c>
      <c r="AC26" s="11"/>
      <c r="AD26" s="13"/>
      <c r="AE26" s="34"/>
      <c r="AF26" s="37"/>
      <c r="AG26" s="14"/>
      <c r="AH26" s="14" t="s">
        <v>225</v>
      </c>
      <c r="AI26" s="14"/>
      <c r="AJ26" s="14"/>
      <c r="AK26" s="16"/>
      <c r="AL26" s="11"/>
      <c r="AM26" s="11"/>
      <c r="AN26" s="14"/>
      <c r="AO26" s="14"/>
      <c r="AP26" s="13"/>
      <c r="AQ26" s="14"/>
      <c r="AR26" s="11">
        <v>18</v>
      </c>
      <c r="AS26" s="14"/>
      <c r="AT26" s="14"/>
      <c r="AU26" s="11"/>
      <c r="AV26" s="14"/>
      <c r="AW26" s="45"/>
    </row>
    <row r="27" spans="1:49" s="45" customFormat="1" ht="15" x14ac:dyDescent="0.25">
      <c r="A27" s="199"/>
      <c r="B27" s="72"/>
      <c r="C27" s="42" t="s">
        <v>49</v>
      </c>
      <c r="D27" s="42"/>
      <c r="E27" s="14"/>
      <c r="F27" s="71">
        <v>0</v>
      </c>
      <c r="G27" s="42" t="s">
        <v>50</v>
      </c>
      <c r="H27" s="31">
        <v>0</v>
      </c>
      <c r="I27" s="138" t="e">
        <f>IF(H27="","",VLOOKUP(H27,[1]ENTIDAD!$B$2:$C$605,2,0))</f>
        <v>#N/A</v>
      </c>
      <c r="J27" s="11"/>
      <c r="K27" s="11"/>
      <c r="L27" s="11"/>
      <c r="M27" s="11"/>
      <c r="N27" s="116">
        <f t="shared" si="1"/>
        <v>0</v>
      </c>
      <c r="O27" s="116">
        <f t="shared" si="0"/>
        <v>0</v>
      </c>
      <c r="P27" s="11">
        <v>0</v>
      </c>
      <c r="Q27" s="11"/>
      <c r="R27" s="11"/>
      <c r="S27" s="11"/>
      <c r="T27" s="14"/>
      <c r="U27" s="14"/>
      <c r="V27" s="13"/>
      <c r="W27" s="15"/>
      <c r="X27" s="13"/>
      <c r="Y27" s="14"/>
      <c r="Z27" s="14"/>
      <c r="AA27" s="14"/>
      <c r="AB27" s="42" t="s">
        <v>224</v>
      </c>
      <c r="AC27" s="11"/>
      <c r="AD27" s="13"/>
      <c r="AE27" s="34"/>
      <c r="AF27" s="37"/>
      <c r="AG27" s="14"/>
      <c r="AH27" s="14" t="s">
        <v>225</v>
      </c>
      <c r="AI27" s="14"/>
      <c r="AJ27" s="14"/>
      <c r="AK27" s="16"/>
      <c r="AL27" s="11"/>
      <c r="AM27" s="11"/>
      <c r="AN27" s="14"/>
      <c r="AO27" s="14"/>
      <c r="AP27" s="13"/>
      <c r="AQ27" s="14"/>
      <c r="AR27" s="11">
        <v>18</v>
      </c>
      <c r="AS27" s="14"/>
      <c r="AT27" s="14"/>
      <c r="AU27" s="11"/>
      <c r="AV27" s="14"/>
    </row>
    <row r="28" spans="1:49" s="45" customFormat="1" ht="15" x14ac:dyDescent="0.25">
      <c r="A28" s="199"/>
      <c r="B28" s="72"/>
      <c r="C28" s="42" t="s">
        <v>49</v>
      </c>
      <c r="D28" s="42"/>
      <c r="E28" s="14"/>
      <c r="F28" s="71">
        <v>0</v>
      </c>
      <c r="G28" s="42" t="s">
        <v>50</v>
      </c>
      <c r="H28" s="31">
        <v>0</v>
      </c>
      <c r="I28" s="138" t="e">
        <f>IF(H28="","",VLOOKUP(H28,[1]ENTIDAD!$B$2:$C$605,2,0))</f>
        <v>#N/A</v>
      </c>
      <c r="J28" s="11"/>
      <c r="K28" s="11"/>
      <c r="L28" s="11"/>
      <c r="M28" s="11"/>
      <c r="N28" s="116">
        <f t="shared" si="1"/>
        <v>0</v>
      </c>
      <c r="O28" s="116">
        <f t="shared" si="0"/>
        <v>0</v>
      </c>
      <c r="P28" s="11">
        <v>0</v>
      </c>
      <c r="Q28" s="11"/>
      <c r="R28" s="11"/>
      <c r="S28" s="11"/>
      <c r="T28" s="14"/>
      <c r="U28" s="14"/>
      <c r="V28" s="13"/>
      <c r="W28" s="15"/>
      <c r="X28" s="13"/>
      <c r="Y28" s="14"/>
      <c r="Z28" s="14"/>
      <c r="AA28" s="14"/>
      <c r="AB28" s="42" t="s">
        <v>224</v>
      </c>
      <c r="AC28" s="11"/>
      <c r="AD28" s="13"/>
      <c r="AE28" s="34"/>
      <c r="AF28" s="37"/>
      <c r="AG28" s="14"/>
      <c r="AH28" s="14" t="s">
        <v>225</v>
      </c>
      <c r="AI28" s="14"/>
      <c r="AJ28" s="14"/>
      <c r="AK28" s="16"/>
      <c r="AL28" s="11"/>
      <c r="AM28" s="11"/>
      <c r="AN28" s="14"/>
      <c r="AO28" s="14"/>
      <c r="AP28" s="13"/>
      <c r="AQ28" s="14"/>
      <c r="AR28" s="11">
        <v>18</v>
      </c>
      <c r="AS28" s="14"/>
      <c r="AT28" s="14"/>
      <c r="AU28" s="11"/>
      <c r="AV28" s="14"/>
    </row>
    <row r="29" spans="1:49" s="45" customFormat="1" ht="15" x14ac:dyDescent="0.25">
      <c r="A29" s="199"/>
      <c r="B29" s="72"/>
      <c r="C29" s="42" t="s">
        <v>49</v>
      </c>
      <c r="D29" s="42"/>
      <c r="E29" s="14"/>
      <c r="F29" s="71">
        <v>0</v>
      </c>
      <c r="G29" s="42" t="s">
        <v>50</v>
      </c>
      <c r="H29" s="31">
        <v>0</v>
      </c>
      <c r="I29" s="138" t="e">
        <f>IF(H29="","",VLOOKUP(H29,[1]ENTIDAD!$B$2:$C$605,2,0))</f>
        <v>#N/A</v>
      </c>
      <c r="J29" s="11"/>
      <c r="K29" s="11"/>
      <c r="L29" s="11"/>
      <c r="M29" s="11"/>
      <c r="N29" s="116">
        <f t="shared" si="1"/>
        <v>0</v>
      </c>
      <c r="O29" s="116">
        <f t="shared" si="0"/>
        <v>0</v>
      </c>
      <c r="P29" s="11">
        <v>0</v>
      </c>
      <c r="Q29" s="11"/>
      <c r="R29" s="11"/>
      <c r="S29" s="11"/>
      <c r="T29" s="14"/>
      <c r="U29" s="14"/>
      <c r="V29" s="13"/>
      <c r="W29" s="15"/>
      <c r="X29" s="13"/>
      <c r="Y29" s="14"/>
      <c r="Z29" s="14"/>
      <c r="AA29" s="14"/>
      <c r="AB29" s="42" t="s">
        <v>224</v>
      </c>
      <c r="AC29" s="11"/>
      <c r="AD29" s="13"/>
      <c r="AE29" s="34"/>
      <c r="AF29" s="37"/>
      <c r="AG29" s="14"/>
      <c r="AH29" s="14" t="s">
        <v>225</v>
      </c>
      <c r="AI29" s="14"/>
      <c r="AJ29" s="14"/>
      <c r="AK29" s="16"/>
      <c r="AL29" s="11"/>
      <c r="AM29" s="11"/>
      <c r="AN29" s="14"/>
      <c r="AO29" s="14"/>
      <c r="AP29" s="13"/>
      <c r="AQ29" s="14"/>
      <c r="AR29" s="11">
        <v>18</v>
      </c>
      <c r="AS29" s="14"/>
      <c r="AT29" s="14"/>
      <c r="AU29" s="11"/>
      <c r="AV29" s="14"/>
    </row>
    <row r="30" spans="1:49" s="45" customFormat="1" ht="15" x14ac:dyDescent="0.25">
      <c r="A30" s="199"/>
      <c r="B30" s="72"/>
      <c r="C30" s="42" t="s">
        <v>49</v>
      </c>
      <c r="D30" s="42"/>
      <c r="E30" s="14"/>
      <c r="F30" s="71">
        <v>0</v>
      </c>
      <c r="G30" s="42" t="s">
        <v>50</v>
      </c>
      <c r="H30" s="31">
        <v>0</v>
      </c>
      <c r="I30" s="138" t="e">
        <f>IF(H30="","",VLOOKUP(H30,[1]ENTIDAD!$B$2:$C$605,2,0))</f>
        <v>#N/A</v>
      </c>
      <c r="J30" s="11"/>
      <c r="K30" s="11"/>
      <c r="L30" s="11"/>
      <c r="M30" s="11"/>
      <c r="N30" s="116">
        <f t="shared" si="1"/>
        <v>0</v>
      </c>
      <c r="O30" s="116">
        <f t="shared" si="0"/>
        <v>0</v>
      </c>
      <c r="P30" s="11">
        <v>0</v>
      </c>
      <c r="Q30" s="11"/>
      <c r="R30" s="11"/>
      <c r="S30" s="11"/>
      <c r="T30" s="14"/>
      <c r="U30" s="14"/>
      <c r="V30" s="13"/>
      <c r="W30" s="15"/>
      <c r="X30" s="13"/>
      <c r="Y30" s="14"/>
      <c r="Z30" s="14"/>
      <c r="AA30" s="14"/>
      <c r="AB30" s="42" t="s">
        <v>224</v>
      </c>
      <c r="AC30" s="11"/>
      <c r="AD30" s="13"/>
      <c r="AE30" s="34"/>
      <c r="AF30" s="37"/>
      <c r="AG30" s="14"/>
      <c r="AH30" s="14" t="s">
        <v>225</v>
      </c>
      <c r="AI30" s="14"/>
      <c r="AJ30" s="14"/>
      <c r="AK30" s="16"/>
      <c r="AL30" s="11"/>
      <c r="AM30" s="11"/>
      <c r="AN30" s="14"/>
      <c r="AO30" s="14"/>
      <c r="AP30" s="13"/>
      <c r="AQ30" s="14"/>
      <c r="AR30" s="11">
        <v>18</v>
      </c>
      <c r="AS30" s="14"/>
      <c r="AT30" s="14"/>
      <c r="AU30" s="11"/>
      <c r="AV30" s="14"/>
    </row>
    <row r="31" spans="1:49" s="45" customFormat="1" ht="15" x14ac:dyDescent="0.25">
      <c r="A31" s="199"/>
      <c r="B31" s="72"/>
      <c r="C31" s="42" t="s">
        <v>49</v>
      </c>
      <c r="D31" s="42"/>
      <c r="E31" s="14"/>
      <c r="F31" s="71">
        <v>0</v>
      </c>
      <c r="G31" s="42" t="s">
        <v>50</v>
      </c>
      <c r="H31" s="31">
        <v>0</v>
      </c>
      <c r="I31" s="138" t="e">
        <f>IF(H31="","",VLOOKUP(H31,[1]ENTIDAD!$B$2:$C$605,2,0))</f>
        <v>#N/A</v>
      </c>
      <c r="J31" s="11"/>
      <c r="K31" s="11"/>
      <c r="L31" s="11"/>
      <c r="M31" s="11"/>
      <c r="N31" s="116">
        <f t="shared" si="1"/>
        <v>0</v>
      </c>
      <c r="O31" s="116">
        <f t="shared" si="0"/>
        <v>0</v>
      </c>
      <c r="P31" s="11">
        <v>0</v>
      </c>
      <c r="Q31" s="11"/>
      <c r="R31" s="11"/>
      <c r="S31" s="11"/>
      <c r="T31" s="14"/>
      <c r="U31" s="14"/>
      <c r="V31" s="13"/>
      <c r="W31" s="15"/>
      <c r="X31" s="13"/>
      <c r="Y31" s="14"/>
      <c r="Z31" s="14"/>
      <c r="AA31" s="14"/>
      <c r="AB31" s="42" t="s">
        <v>224</v>
      </c>
      <c r="AC31" s="11"/>
      <c r="AD31" s="13"/>
      <c r="AE31" s="34"/>
      <c r="AF31" s="37"/>
      <c r="AG31" s="14"/>
      <c r="AH31" s="14" t="s">
        <v>225</v>
      </c>
      <c r="AI31" s="14"/>
      <c r="AJ31" s="14"/>
      <c r="AK31" s="16"/>
      <c r="AL31" s="11"/>
      <c r="AM31" s="11"/>
      <c r="AN31" s="14"/>
      <c r="AO31" s="14"/>
      <c r="AP31" s="13"/>
      <c r="AQ31" s="14"/>
      <c r="AR31" s="11">
        <v>18</v>
      </c>
      <c r="AS31" s="14"/>
      <c r="AT31" s="14"/>
      <c r="AU31" s="11"/>
      <c r="AV31" s="14"/>
    </row>
    <row r="32" spans="1:49" s="45" customFormat="1" ht="15" x14ac:dyDescent="0.25">
      <c r="A32" s="199"/>
      <c r="B32" s="72"/>
      <c r="C32" s="42" t="s">
        <v>49</v>
      </c>
      <c r="D32" s="42"/>
      <c r="E32" s="14"/>
      <c r="F32" s="71">
        <v>0</v>
      </c>
      <c r="G32" s="42" t="s">
        <v>50</v>
      </c>
      <c r="H32" s="31">
        <v>0</v>
      </c>
      <c r="I32" s="138" t="e">
        <f>IF(H32="","",VLOOKUP(H32,[1]ENTIDAD!$B$2:$C$605,2,0))</f>
        <v>#N/A</v>
      </c>
      <c r="J32" s="11"/>
      <c r="K32" s="11"/>
      <c r="L32" s="11"/>
      <c r="M32" s="11"/>
      <c r="N32" s="116">
        <f t="shared" si="1"/>
        <v>0</v>
      </c>
      <c r="O32" s="116">
        <f t="shared" si="0"/>
        <v>0</v>
      </c>
      <c r="P32" s="11">
        <v>0</v>
      </c>
      <c r="Q32" s="11"/>
      <c r="R32" s="11"/>
      <c r="S32" s="11"/>
      <c r="T32" s="14"/>
      <c r="U32" s="14"/>
      <c r="V32" s="13"/>
      <c r="W32" s="15"/>
      <c r="X32" s="13"/>
      <c r="Y32" s="14"/>
      <c r="Z32" s="14"/>
      <c r="AA32" s="14"/>
      <c r="AB32" s="42" t="s">
        <v>224</v>
      </c>
      <c r="AC32" s="11"/>
      <c r="AD32" s="13"/>
      <c r="AE32" s="34"/>
      <c r="AF32" s="37"/>
      <c r="AG32" s="14"/>
      <c r="AH32" s="14" t="s">
        <v>225</v>
      </c>
      <c r="AI32" s="14"/>
      <c r="AJ32" s="14"/>
      <c r="AK32" s="16"/>
      <c r="AL32" s="11"/>
      <c r="AM32" s="11"/>
      <c r="AN32" s="14"/>
      <c r="AO32" s="14"/>
      <c r="AP32" s="13"/>
      <c r="AQ32" s="14"/>
      <c r="AR32" s="11">
        <v>18</v>
      </c>
      <c r="AS32" s="14"/>
      <c r="AT32" s="14"/>
      <c r="AU32" s="11"/>
      <c r="AV32" s="14"/>
    </row>
    <row r="33" spans="1:49" s="47" customFormat="1" ht="15" x14ac:dyDescent="0.25">
      <c r="A33" s="199"/>
      <c r="B33" s="72"/>
      <c r="C33" s="42" t="s">
        <v>49</v>
      </c>
      <c r="D33" s="42"/>
      <c r="E33" s="14"/>
      <c r="F33" s="71">
        <v>0</v>
      </c>
      <c r="G33" s="42" t="s">
        <v>50</v>
      </c>
      <c r="H33" s="31">
        <v>0</v>
      </c>
      <c r="I33" s="138" t="e">
        <f>IF(H33="","",VLOOKUP(H33,[1]ENTIDAD!$B$2:$C$605,2,0))</f>
        <v>#N/A</v>
      </c>
      <c r="J33" s="11"/>
      <c r="K33" s="11"/>
      <c r="L33" s="11"/>
      <c r="M33" s="11"/>
      <c r="N33" s="116">
        <f t="shared" si="1"/>
        <v>0</v>
      </c>
      <c r="O33" s="116">
        <f t="shared" si="0"/>
        <v>0</v>
      </c>
      <c r="P33" s="11">
        <v>0</v>
      </c>
      <c r="Q33" s="11"/>
      <c r="R33" s="11"/>
      <c r="S33" s="11"/>
      <c r="T33" s="14"/>
      <c r="U33" s="14"/>
      <c r="V33" s="13"/>
      <c r="W33" s="15"/>
      <c r="X33" s="13"/>
      <c r="Y33" s="14"/>
      <c r="Z33" s="14"/>
      <c r="AA33" s="14"/>
      <c r="AB33" s="42" t="s">
        <v>224</v>
      </c>
      <c r="AC33" s="11"/>
      <c r="AD33" s="13"/>
      <c r="AE33" s="34"/>
      <c r="AF33" s="37"/>
      <c r="AG33" s="14"/>
      <c r="AH33" s="14" t="s">
        <v>225</v>
      </c>
      <c r="AI33" s="14"/>
      <c r="AJ33" s="14"/>
      <c r="AK33" s="16"/>
      <c r="AL33" s="11"/>
      <c r="AM33" s="11"/>
      <c r="AN33" s="14"/>
      <c r="AO33" s="14"/>
      <c r="AP33" s="13"/>
      <c r="AQ33" s="14"/>
      <c r="AR33" s="11">
        <v>18</v>
      </c>
      <c r="AS33" s="14"/>
      <c r="AT33" s="14"/>
      <c r="AU33" s="11"/>
      <c r="AV33" s="14"/>
      <c r="AW33" s="45"/>
    </row>
    <row r="34" spans="1:49" s="45" customFormat="1" ht="15" x14ac:dyDescent="0.25">
      <c r="A34" s="199"/>
      <c r="B34" s="72"/>
      <c r="C34" s="42" t="s">
        <v>49</v>
      </c>
      <c r="D34" s="42"/>
      <c r="E34" s="14"/>
      <c r="F34" s="71">
        <v>0</v>
      </c>
      <c r="G34" s="42" t="s">
        <v>50</v>
      </c>
      <c r="H34" s="31">
        <v>0</v>
      </c>
      <c r="I34" s="138" t="e">
        <f>IF(H34="","",VLOOKUP(H34,[1]ENTIDAD!$B$2:$C$605,2,0))</f>
        <v>#N/A</v>
      </c>
      <c r="J34" s="11"/>
      <c r="K34" s="11"/>
      <c r="L34" s="11"/>
      <c r="M34" s="11"/>
      <c r="N34" s="116">
        <f t="shared" si="1"/>
        <v>0</v>
      </c>
      <c r="O34" s="116">
        <f t="shared" si="0"/>
        <v>0</v>
      </c>
      <c r="P34" s="11">
        <v>0</v>
      </c>
      <c r="Q34" s="11"/>
      <c r="R34" s="11"/>
      <c r="S34" s="11"/>
      <c r="T34" s="14"/>
      <c r="U34" s="14"/>
      <c r="V34" s="13"/>
      <c r="W34" s="15"/>
      <c r="X34" s="13"/>
      <c r="Y34" s="14"/>
      <c r="Z34" s="14"/>
      <c r="AA34" s="14"/>
      <c r="AB34" s="42" t="s">
        <v>224</v>
      </c>
      <c r="AC34" s="11"/>
      <c r="AD34" s="13"/>
      <c r="AE34" s="34"/>
      <c r="AF34" s="37"/>
      <c r="AG34" s="14"/>
      <c r="AH34" s="14" t="s">
        <v>225</v>
      </c>
      <c r="AI34" s="14"/>
      <c r="AJ34" s="14"/>
      <c r="AK34" s="16"/>
      <c r="AL34" s="11"/>
      <c r="AM34" s="11"/>
      <c r="AN34" s="14"/>
      <c r="AO34" s="14"/>
      <c r="AP34" s="13"/>
      <c r="AQ34" s="14"/>
      <c r="AR34" s="11">
        <v>18</v>
      </c>
      <c r="AS34" s="14"/>
      <c r="AT34" s="14"/>
      <c r="AU34" s="11"/>
      <c r="AV34" s="14"/>
    </row>
    <row r="35" spans="1:49" s="45" customFormat="1" ht="15" x14ac:dyDescent="0.25">
      <c r="A35" s="200"/>
      <c r="B35" s="72"/>
      <c r="C35" s="111" t="s">
        <v>49</v>
      </c>
      <c r="D35" s="42"/>
      <c r="E35" s="112"/>
      <c r="F35" s="71">
        <v>0</v>
      </c>
      <c r="G35" s="111" t="s">
        <v>50</v>
      </c>
      <c r="H35" s="31">
        <v>0</v>
      </c>
      <c r="I35" s="139" t="e">
        <f>IF(H35="","",VLOOKUP(H35,[1]ENTIDAD!$B$2:$C$605,2,0))</f>
        <v>#N/A</v>
      </c>
      <c r="J35" s="116"/>
      <c r="K35" s="116"/>
      <c r="L35" s="116"/>
      <c r="M35" s="116"/>
      <c r="N35" s="116">
        <f t="shared" si="1"/>
        <v>0</v>
      </c>
      <c r="O35" s="116">
        <f t="shared" si="0"/>
        <v>0</v>
      </c>
      <c r="P35" s="11">
        <v>0</v>
      </c>
      <c r="Q35" s="116"/>
      <c r="R35" s="116"/>
      <c r="S35" s="11"/>
      <c r="T35" s="112"/>
      <c r="U35" s="112"/>
      <c r="V35" s="109"/>
      <c r="W35" s="118"/>
      <c r="X35" s="109"/>
      <c r="Y35" s="112"/>
      <c r="Z35" s="112"/>
      <c r="AA35" s="112"/>
      <c r="AB35" s="42" t="s">
        <v>224</v>
      </c>
      <c r="AC35" s="11"/>
      <c r="AD35" s="13"/>
      <c r="AE35" s="34"/>
      <c r="AF35" s="37"/>
      <c r="AG35" s="14"/>
      <c r="AH35" s="14" t="s">
        <v>225</v>
      </c>
      <c r="AI35" s="14"/>
      <c r="AJ35" s="14"/>
      <c r="AK35" s="16"/>
      <c r="AL35" s="11"/>
      <c r="AM35" s="11"/>
      <c r="AN35" s="14"/>
      <c r="AO35" s="14"/>
      <c r="AP35" s="13"/>
      <c r="AQ35" s="14"/>
      <c r="AR35" s="11">
        <v>18</v>
      </c>
      <c r="AS35" s="14"/>
      <c r="AT35" s="112"/>
      <c r="AU35" s="116"/>
      <c r="AV35" s="112"/>
      <c r="AW35" s="121"/>
    </row>
    <row r="36" spans="1:49" s="121" customFormat="1" ht="15" x14ac:dyDescent="0.25">
      <c r="A36" s="200"/>
      <c r="B36" s="72"/>
      <c r="C36" s="111" t="s">
        <v>49</v>
      </c>
      <c r="D36" s="42"/>
      <c r="E36" s="112"/>
      <c r="F36" s="71">
        <v>0</v>
      </c>
      <c r="G36" s="111" t="s">
        <v>50</v>
      </c>
      <c r="H36" s="31">
        <v>0</v>
      </c>
      <c r="I36" s="139" t="e">
        <f>IF(H36="","",VLOOKUP(H36,[1]ENTIDAD!$B$2:$C$605,2,0))</f>
        <v>#N/A</v>
      </c>
      <c r="J36" s="116"/>
      <c r="K36" s="116"/>
      <c r="L36" s="116"/>
      <c r="M36" s="116"/>
      <c r="N36" s="116">
        <f t="shared" si="1"/>
        <v>0</v>
      </c>
      <c r="O36" s="116">
        <f t="shared" ref="O36:O67" si="2">N36*0.18</f>
        <v>0</v>
      </c>
      <c r="P36" s="11">
        <v>0</v>
      </c>
      <c r="Q36" s="116"/>
      <c r="R36" s="116"/>
      <c r="S36" s="11"/>
      <c r="T36" s="112"/>
      <c r="U36" s="112"/>
      <c r="V36" s="109"/>
      <c r="W36" s="118"/>
      <c r="X36" s="109"/>
      <c r="Y36" s="112"/>
      <c r="Z36" s="112"/>
      <c r="AA36" s="112"/>
      <c r="AB36" s="42" t="s">
        <v>224</v>
      </c>
      <c r="AC36" s="11"/>
      <c r="AD36" s="13"/>
      <c r="AE36" s="34"/>
      <c r="AF36" s="37"/>
      <c r="AG36" s="14"/>
      <c r="AH36" s="14" t="s">
        <v>225</v>
      </c>
      <c r="AI36" s="14"/>
      <c r="AJ36" s="14"/>
      <c r="AK36" s="16"/>
      <c r="AL36" s="11"/>
      <c r="AM36" s="11"/>
      <c r="AN36" s="14"/>
      <c r="AO36" s="14"/>
      <c r="AP36" s="13"/>
      <c r="AQ36" s="14"/>
      <c r="AR36" s="11">
        <v>18</v>
      </c>
      <c r="AS36" s="14"/>
      <c r="AT36" s="112"/>
      <c r="AU36" s="116"/>
      <c r="AV36" s="112"/>
    </row>
    <row r="37" spans="1:49" s="121" customFormat="1" ht="15" x14ac:dyDescent="0.25">
      <c r="A37" s="200"/>
      <c r="B37" s="72"/>
      <c r="C37" s="111" t="s">
        <v>49</v>
      </c>
      <c r="D37" s="42"/>
      <c r="E37" s="112"/>
      <c r="F37" s="71">
        <v>0</v>
      </c>
      <c r="G37" s="111" t="s">
        <v>50</v>
      </c>
      <c r="H37" s="31">
        <v>0</v>
      </c>
      <c r="I37" s="139" t="e">
        <f>IF(H37="","",VLOOKUP(H37,[1]ENTIDAD!$B$2:$C$605,2,0))</f>
        <v>#N/A</v>
      </c>
      <c r="J37" s="116"/>
      <c r="K37" s="116"/>
      <c r="L37" s="116"/>
      <c r="M37" s="116"/>
      <c r="N37" s="116">
        <f t="shared" si="1"/>
        <v>0</v>
      </c>
      <c r="O37" s="116">
        <f t="shared" si="2"/>
        <v>0</v>
      </c>
      <c r="P37" s="11">
        <v>0</v>
      </c>
      <c r="Q37" s="116"/>
      <c r="R37" s="116"/>
      <c r="S37" s="11"/>
      <c r="T37" s="112"/>
      <c r="U37" s="112"/>
      <c r="V37" s="109"/>
      <c r="W37" s="118"/>
      <c r="X37" s="109"/>
      <c r="Y37" s="112"/>
      <c r="Z37" s="112"/>
      <c r="AA37" s="112"/>
      <c r="AB37" s="42" t="s">
        <v>224</v>
      </c>
      <c r="AC37" s="11"/>
      <c r="AD37" s="13"/>
      <c r="AE37" s="34"/>
      <c r="AF37" s="37"/>
      <c r="AG37" s="14"/>
      <c r="AH37" s="14" t="s">
        <v>225</v>
      </c>
      <c r="AI37" s="14"/>
      <c r="AJ37" s="14"/>
      <c r="AK37" s="16"/>
      <c r="AL37" s="11"/>
      <c r="AM37" s="11"/>
      <c r="AN37" s="14"/>
      <c r="AO37" s="14"/>
      <c r="AP37" s="13"/>
      <c r="AQ37" s="14"/>
      <c r="AR37" s="11">
        <v>18</v>
      </c>
      <c r="AS37" s="14"/>
      <c r="AT37" s="112"/>
      <c r="AU37" s="116"/>
      <c r="AV37" s="112"/>
    </row>
    <row r="38" spans="1:49" s="121" customFormat="1" ht="15" x14ac:dyDescent="0.25">
      <c r="A38" s="200"/>
      <c r="B38" s="72"/>
      <c r="C38" s="111" t="s">
        <v>49</v>
      </c>
      <c r="D38" s="42"/>
      <c r="E38" s="112"/>
      <c r="F38" s="71">
        <v>0</v>
      </c>
      <c r="G38" s="111" t="s">
        <v>50</v>
      </c>
      <c r="H38" s="31">
        <v>0</v>
      </c>
      <c r="I38" s="139" t="e">
        <f>IF(H38="","",VLOOKUP(H38,[1]ENTIDAD!$B$2:$C$605,2,0))</f>
        <v>#N/A</v>
      </c>
      <c r="J38" s="116"/>
      <c r="K38" s="116"/>
      <c r="L38" s="116"/>
      <c r="M38" s="116"/>
      <c r="N38" s="116">
        <f t="shared" si="1"/>
        <v>0</v>
      </c>
      <c r="O38" s="116">
        <f t="shared" si="2"/>
        <v>0</v>
      </c>
      <c r="P38" s="11">
        <v>0</v>
      </c>
      <c r="Q38" s="116"/>
      <c r="R38" s="116"/>
      <c r="S38" s="11"/>
      <c r="T38" s="112"/>
      <c r="U38" s="112"/>
      <c r="V38" s="109"/>
      <c r="W38" s="118"/>
      <c r="X38" s="109"/>
      <c r="Y38" s="112"/>
      <c r="Z38" s="112"/>
      <c r="AA38" s="112"/>
      <c r="AB38" s="42" t="s">
        <v>224</v>
      </c>
      <c r="AC38" s="11"/>
      <c r="AD38" s="13"/>
      <c r="AE38" s="34"/>
      <c r="AF38" s="37"/>
      <c r="AG38" s="14"/>
      <c r="AH38" s="14" t="s">
        <v>225</v>
      </c>
      <c r="AI38" s="14"/>
      <c r="AJ38" s="14"/>
      <c r="AK38" s="16"/>
      <c r="AL38" s="11"/>
      <c r="AM38" s="11"/>
      <c r="AN38" s="14"/>
      <c r="AO38" s="14"/>
      <c r="AP38" s="13"/>
      <c r="AQ38" s="14"/>
      <c r="AR38" s="11">
        <v>18</v>
      </c>
      <c r="AS38" s="14"/>
      <c r="AT38" s="112"/>
      <c r="AU38" s="116"/>
      <c r="AV38" s="112"/>
    </row>
    <row r="39" spans="1:49" s="45" customFormat="1" ht="15" x14ac:dyDescent="0.25">
      <c r="A39" s="200"/>
      <c r="B39" s="72"/>
      <c r="C39" s="111" t="s">
        <v>49</v>
      </c>
      <c r="D39" s="42"/>
      <c r="E39" s="112"/>
      <c r="F39" s="71">
        <v>0</v>
      </c>
      <c r="G39" s="111" t="s">
        <v>50</v>
      </c>
      <c r="H39" s="31">
        <v>0</v>
      </c>
      <c r="I39" s="139" t="e">
        <f>IF(H39="","",VLOOKUP(H39,[1]ENTIDAD!$B$2:$C$605,2,0))</f>
        <v>#N/A</v>
      </c>
      <c r="J39" s="116"/>
      <c r="K39" s="116"/>
      <c r="L39" s="116"/>
      <c r="M39" s="116"/>
      <c r="N39" s="116">
        <f t="shared" si="1"/>
        <v>0</v>
      </c>
      <c r="O39" s="116">
        <f t="shared" si="2"/>
        <v>0</v>
      </c>
      <c r="P39" s="11">
        <v>0</v>
      </c>
      <c r="Q39" s="116"/>
      <c r="R39" s="116"/>
      <c r="S39" s="11"/>
      <c r="T39" s="112"/>
      <c r="U39" s="112"/>
      <c r="V39" s="109"/>
      <c r="W39" s="118"/>
      <c r="X39" s="109"/>
      <c r="Y39" s="112"/>
      <c r="Z39" s="112"/>
      <c r="AA39" s="112"/>
      <c r="AB39" s="42" t="s">
        <v>224</v>
      </c>
      <c r="AC39" s="11"/>
      <c r="AD39" s="13"/>
      <c r="AE39" s="34"/>
      <c r="AF39" s="37"/>
      <c r="AG39" s="14"/>
      <c r="AH39" s="14" t="s">
        <v>225</v>
      </c>
      <c r="AI39" s="14"/>
      <c r="AJ39" s="14"/>
      <c r="AK39" s="16"/>
      <c r="AL39" s="11"/>
      <c r="AM39" s="11"/>
      <c r="AN39" s="14"/>
      <c r="AO39" s="14"/>
      <c r="AP39" s="13"/>
      <c r="AQ39" s="14"/>
      <c r="AR39" s="11">
        <v>18</v>
      </c>
      <c r="AS39" s="14"/>
      <c r="AT39" s="112"/>
      <c r="AU39" s="116"/>
      <c r="AV39" s="112"/>
      <c r="AW39" s="121"/>
    </row>
    <row r="40" spans="1:49" s="45" customFormat="1" ht="15" x14ac:dyDescent="0.25">
      <c r="A40" s="199"/>
      <c r="B40" s="72"/>
      <c r="C40" s="42" t="s">
        <v>49</v>
      </c>
      <c r="D40" s="42"/>
      <c r="E40" s="14"/>
      <c r="F40" s="71">
        <v>0</v>
      </c>
      <c r="G40" s="42" t="s">
        <v>50</v>
      </c>
      <c r="H40" s="31">
        <v>0</v>
      </c>
      <c r="I40" s="138" t="e">
        <f>IF(H40="","",VLOOKUP(H40,[1]ENTIDAD!$B$2:$C$605,2,0))</f>
        <v>#N/A</v>
      </c>
      <c r="J40" s="11"/>
      <c r="K40" s="11"/>
      <c r="L40" s="11"/>
      <c r="M40" s="11"/>
      <c r="N40" s="116">
        <f t="shared" si="1"/>
        <v>0</v>
      </c>
      <c r="O40" s="116">
        <f t="shared" si="2"/>
        <v>0</v>
      </c>
      <c r="P40" s="11">
        <v>0</v>
      </c>
      <c r="Q40" s="11"/>
      <c r="R40" s="11"/>
      <c r="S40" s="11"/>
      <c r="T40" s="14"/>
      <c r="U40" s="14"/>
      <c r="V40" s="13"/>
      <c r="W40" s="15"/>
      <c r="X40" s="13"/>
      <c r="Y40" s="14"/>
      <c r="Z40" s="14"/>
      <c r="AA40" s="14"/>
      <c r="AB40" s="42" t="s">
        <v>224</v>
      </c>
      <c r="AC40" s="11"/>
      <c r="AD40" s="13"/>
      <c r="AE40" s="34"/>
      <c r="AF40" s="37"/>
      <c r="AG40" s="14"/>
      <c r="AH40" s="14" t="s">
        <v>225</v>
      </c>
      <c r="AI40" s="14"/>
      <c r="AJ40" s="14"/>
      <c r="AK40" s="16"/>
      <c r="AL40" s="11"/>
      <c r="AM40" s="11"/>
      <c r="AN40" s="14"/>
      <c r="AO40" s="14"/>
      <c r="AP40" s="13"/>
      <c r="AQ40" s="14"/>
      <c r="AR40" s="11">
        <v>18</v>
      </c>
      <c r="AS40" s="14"/>
      <c r="AT40" s="14"/>
      <c r="AU40" s="11"/>
      <c r="AV40" s="14"/>
    </row>
    <row r="41" spans="1:49" s="45" customFormat="1" ht="15" x14ac:dyDescent="0.25">
      <c r="A41" s="199"/>
      <c r="B41" s="72"/>
      <c r="C41" s="42" t="s">
        <v>49</v>
      </c>
      <c r="D41" s="42"/>
      <c r="E41" s="14"/>
      <c r="F41" s="71">
        <v>0</v>
      </c>
      <c r="G41" s="42" t="s">
        <v>50</v>
      </c>
      <c r="H41" s="31">
        <v>0</v>
      </c>
      <c r="I41" s="138" t="e">
        <f>IF(H41="","",VLOOKUP(H41,[1]ENTIDAD!$B$2:$C$605,2,0))</f>
        <v>#N/A</v>
      </c>
      <c r="J41" s="11"/>
      <c r="K41" s="11"/>
      <c r="L41" s="11"/>
      <c r="M41" s="11"/>
      <c r="N41" s="116">
        <f t="shared" si="1"/>
        <v>0</v>
      </c>
      <c r="O41" s="116">
        <f t="shared" si="2"/>
        <v>0</v>
      </c>
      <c r="P41" s="11">
        <v>0</v>
      </c>
      <c r="Q41" s="11"/>
      <c r="R41" s="11"/>
      <c r="S41" s="11"/>
      <c r="T41" s="14"/>
      <c r="U41" s="14"/>
      <c r="V41" s="13"/>
      <c r="W41" s="15"/>
      <c r="X41" s="13"/>
      <c r="Y41" s="14"/>
      <c r="Z41" s="14"/>
      <c r="AA41" s="14"/>
      <c r="AB41" s="42" t="s">
        <v>224</v>
      </c>
      <c r="AC41" s="11"/>
      <c r="AD41" s="13"/>
      <c r="AE41" s="34"/>
      <c r="AF41" s="37"/>
      <c r="AG41" s="14"/>
      <c r="AH41" s="14" t="s">
        <v>225</v>
      </c>
      <c r="AI41" s="14"/>
      <c r="AJ41" s="14"/>
      <c r="AK41" s="16"/>
      <c r="AL41" s="11"/>
      <c r="AM41" s="11"/>
      <c r="AN41" s="14"/>
      <c r="AO41" s="14"/>
      <c r="AP41" s="13"/>
      <c r="AQ41" s="14"/>
      <c r="AR41" s="11">
        <v>18</v>
      </c>
      <c r="AS41" s="14"/>
      <c r="AT41" s="14"/>
      <c r="AU41" s="11"/>
      <c r="AV41" s="14"/>
    </row>
    <row r="42" spans="1:49" s="45" customFormat="1" ht="15" x14ac:dyDescent="0.25">
      <c r="A42" s="199"/>
      <c r="B42" s="72"/>
      <c r="C42" s="42" t="s">
        <v>49</v>
      </c>
      <c r="D42" s="42"/>
      <c r="E42" s="14"/>
      <c r="F42" s="71">
        <v>0</v>
      </c>
      <c r="G42" s="42" t="s">
        <v>50</v>
      </c>
      <c r="H42" s="31">
        <v>0</v>
      </c>
      <c r="I42" s="138" t="e">
        <f>IF(H42="","",VLOOKUP(H42,[1]ENTIDAD!$B$2:$C$605,2,0))</f>
        <v>#N/A</v>
      </c>
      <c r="J42" s="11"/>
      <c r="K42" s="11"/>
      <c r="L42" s="11"/>
      <c r="M42" s="11"/>
      <c r="N42" s="116">
        <f t="shared" ref="N42:N58" si="3">(S42-P42)/1.18</f>
        <v>0</v>
      </c>
      <c r="O42" s="116">
        <f t="shared" si="2"/>
        <v>0</v>
      </c>
      <c r="P42" s="11">
        <v>0</v>
      </c>
      <c r="Q42" s="11"/>
      <c r="R42" s="11"/>
      <c r="S42" s="11"/>
      <c r="T42" s="14"/>
      <c r="U42" s="14"/>
      <c r="V42" s="13"/>
      <c r="W42" s="15"/>
      <c r="X42" s="13"/>
      <c r="Y42" s="14"/>
      <c r="Z42" s="14"/>
      <c r="AA42" s="14"/>
      <c r="AB42" s="42" t="s">
        <v>224</v>
      </c>
      <c r="AC42" s="11"/>
      <c r="AD42" s="13"/>
      <c r="AE42" s="34"/>
      <c r="AF42" s="37"/>
      <c r="AG42" s="14"/>
      <c r="AH42" s="14" t="s">
        <v>225</v>
      </c>
      <c r="AI42" s="14"/>
      <c r="AJ42" s="14"/>
      <c r="AK42" s="16"/>
      <c r="AL42" s="11"/>
      <c r="AM42" s="11"/>
      <c r="AN42" s="14"/>
      <c r="AO42" s="14"/>
      <c r="AP42" s="13"/>
      <c r="AQ42" s="14"/>
      <c r="AR42" s="11">
        <v>18</v>
      </c>
      <c r="AS42" s="14"/>
      <c r="AT42" s="14"/>
      <c r="AU42" s="11"/>
      <c r="AV42" s="14"/>
    </row>
    <row r="43" spans="1:49" s="45" customFormat="1" ht="15" x14ac:dyDescent="0.25">
      <c r="A43" s="199"/>
      <c r="B43" s="72"/>
      <c r="C43" s="42" t="s">
        <v>49</v>
      </c>
      <c r="D43" s="42"/>
      <c r="E43" s="14"/>
      <c r="F43" s="71">
        <v>0</v>
      </c>
      <c r="G43" s="42" t="s">
        <v>50</v>
      </c>
      <c r="H43" s="31">
        <v>0</v>
      </c>
      <c r="I43" s="138" t="e">
        <f>IF(H43="","",VLOOKUP(H43,[1]ENTIDAD!$B$2:$C$605,2,0))</f>
        <v>#N/A</v>
      </c>
      <c r="J43" s="11"/>
      <c r="K43" s="11"/>
      <c r="L43" s="11"/>
      <c r="M43" s="11"/>
      <c r="N43" s="116">
        <f t="shared" si="3"/>
        <v>0</v>
      </c>
      <c r="O43" s="116">
        <f t="shared" si="2"/>
        <v>0</v>
      </c>
      <c r="P43" s="11">
        <v>0</v>
      </c>
      <c r="Q43" s="11"/>
      <c r="R43" s="11"/>
      <c r="S43" s="11"/>
      <c r="T43" s="14"/>
      <c r="U43" s="14"/>
      <c r="V43" s="13"/>
      <c r="W43" s="15"/>
      <c r="X43" s="13"/>
      <c r="Y43" s="14"/>
      <c r="Z43" s="14"/>
      <c r="AA43" s="14"/>
      <c r="AB43" s="42" t="s">
        <v>224</v>
      </c>
      <c r="AC43" s="11"/>
      <c r="AD43" s="13"/>
      <c r="AE43" s="34"/>
      <c r="AF43" s="37"/>
      <c r="AG43" s="14"/>
      <c r="AH43" s="14" t="s">
        <v>225</v>
      </c>
      <c r="AI43" s="14"/>
      <c r="AJ43" s="14"/>
      <c r="AK43" s="16"/>
      <c r="AL43" s="11"/>
      <c r="AM43" s="11"/>
      <c r="AN43" s="14"/>
      <c r="AO43" s="14"/>
      <c r="AP43" s="13"/>
      <c r="AQ43" s="14"/>
      <c r="AR43" s="11">
        <v>18</v>
      </c>
      <c r="AS43" s="14"/>
      <c r="AT43" s="14"/>
      <c r="AU43" s="11"/>
      <c r="AV43" s="14"/>
    </row>
    <row r="44" spans="1:49" s="45" customFormat="1" ht="15" x14ac:dyDescent="0.25">
      <c r="A44" s="199"/>
      <c r="B44" s="72"/>
      <c r="C44" s="42" t="s">
        <v>49</v>
      </c>
      <c r="D44" s="42"/>
      <c r="E44" s="14"/>
      <c r="F44" s="71">
        <v>0</v>
      </c>
      <c r="G44" s="42" t="s">
        <v>50</v>
      </c>
      <c r="H44" s="31">
        <v>0</v>
      </c>
      <c r="I44" s="138" t="e">
        <f>IF(H44="","",VLOOKUP(H44,[1]ENTIDAD!$B$2:$C$605,2,0))</f>
        <v>#N/A</v>
      </c>
      <c r="J44" s="11"/>
      <c r="K44" s="11"/>
      <c r="L44" s="11"/>
      <c r="M44" s="11"/>
      <c r="N44" s="116">
        <f t="shared" si="3"/>
        <v>0</v>
      </c>
      <c r="O44" s="116">
        <f t="shared" si="2"/>
        <v>0</v>
      </c>
      <c r="P44" s="11">
        <v>0</v>
      </c>
      <c r="Q44" s="11"/>
      <c r="R44" s="11"/>
      <c r="S44" s="11"/>
      <c r="T44" s="14"/>
      <c r="U44" s="14"/>
      <c r="V44" s="13"/>
      <c r="W44" s="15"/>
      <c r="X44" s="13"/>
      <c r="Y44" s="14"/>
      <c r="Z44" s="14"/>
      <c r="AA44" s="14"/>
      <c r="AB44" s="42" t="s">
        <v>224</v>
      </c>
      <c r="AC44" s="11"/>
      <c r="AD44" s="13"/>
      <c r="AE44" s="34"/>
      <c r="AF44" s="37"/>
      <c r="AG44" s="14"/>
      <c r="AH44" s="14" t="s">
        <v>225</v>
      </c>
      <c r="AI44" s="14"/>
      <c r="AJ44" s="14"/>
      <c r="AK44" s="16"/>
      <c r="AL44" s="11"/>
      <c r="AM44" s="11"/>
      <c r="AN44" s="14"/>
      <c r="AO44" s="14"/>
      <c r="AP44" s="13"/>
      <c r="AQ44" s="14"/>
      <c r="AR44" s="11">
        <v>18</v>
      </c>
      <c r="AS44" s="14"/>
      <c r="AT44" s="14"/>
      <c r="AU44" s="11"/>
      <c r="AV44" s="14"/>
    </row>
    <row r="45" spans="1:49" s="45" customFormat="1" ht="15" x14ac:dyDescent="0.25">
      <c r="A45" s="199"/>
      <c r="B45" s="72"/>
      <c r="C45" s="42" t="s">
        <v>49</v>
      </c>
      <c r="D45" s="42"/>
      <c r="E45" s="14"/>
      <c r="F45" s="71">
        <v>0</v>
      </c>
      <c r="G45" s="42" t="s">
        <v>50</v>
      </c>
      <c r="H45" s="31">
        <v>0</v>
      </c>
      <c r="I45" s="138" t="e">
        <f>IF(H45="","",VLOOKUP(H45,[1]ENTIDAD!$B$2:$C$605,2,0))</f>
        <v>#N/A</v>
      </c>
      <c r="J45" s="11"/>
      <c r="K45" s="11"/>
      <c r="L45" s="11"/>
      <c r="M45" s="11"/>
      <c r="N45" s="116">
        <f t="shared" si="3"/>
        <v>0</v>
      </c>
      <c r="O45" s="116">
        <f t="shared" si="2"/>
        <v>0</v>
      </c>
      <c r="P45" s="11">
        <v>0</v>
      </c>
      <c r="Q45" s="11"/>
      <c r="R45" s="11"/>
      <c r="S45" s="11"/>
      <c r="T45" s="14"/>
      <c r="U45" s="14"/>
      <c r="V45" s="13"/>
      <c r="W45" s="15"/>
      <c r="X45" s="13"/>
      <c r="Y45" s="14"/>
      <c r="Z45" s="14"/>
      <c r="AA45" s="14"/>
      <c r="AB45" s="42" t="s">
        <v>224</v>
      </c>
      <c r="AC45" s="11"/>
      <c r="AD45" s="33"/>
      <c r="AE45" s="34"/>
      <c r="AF45" s="37"/>
      <c r="AG45" s="14"/>
      <c r="AH45" s="14" t="s">
        <v>225</v>
      </c>
      <c r="AI45" s="14"/>
      <c r="AJ45" s="14"/>
      <c r="AK45" s="16"/>
      <c r="AL45" s="11"/>
      <c r="AM45" s="11"/>
      <c r="AN45" s="14"/>
      <c r="AO45" s="14"/>
      <c r="AP45" s="13"/>
      <c r="AQ45" s="14"/>
      <c r="AR45" s="11">
        <v>18</v>
      </c>
      <c r="AS45" s="14"/>
      <c r="AT45" s="14"/>
      <c r="AU45" s="11"/>
      <c r="AV45" s="14"/>
    </row>
    <row r="46" spans="1:49" s="45" customFormat="1" ht="15" x14ac:dyDescent="0.25">
      <c r="A46" s="199"/>
      <c r="B46" s="72"/>
      <c r="C46" s="42" t="s">
        <v>49</v>
      </c>
      <c r="D46" s="42"/>
      <c r="E46" s="14"/>
      <c r="F46" s="71">
        <v>0</v>
      </c>
      <c r="G46" s="42" t="s">
        <v>50</v>
      </c>
      <c r="H46" s="31">
        <v>0</v>
      </c>
      <c r="I46" s="138" t="e">
        <f>IF(H46="","",VLOOKUP(H46,[1]ENTIDAD!$B$2:$C$605,2,0))</f>
        <v>#N/A</v>
      </c>
      <c r="J46" s="11"/>
      <c r="K46" s="11"/>
      <c r="L46" s="11"/>
      <c r="M46" s="11"/>
      <c r="N46" s="116">
        <f t="shared" si="3"/>
        <v>0</v>
      </c>
      <c r="O46" s="116">
        <f t="shared" si="2"/>
        <v>0</v>
      </c>
      <c r="P46" s="11">
        <v>0</v>
      </c>
      <c r="Q46" s="11"/>
      <c r="R46" s="11"/>
      <c r="S46" s="11"/>
      <c r="T46" s="14"/>
      <c r="U46" s="14"/>
      <c r="V46" s="13"/>
      <c r="W46" s="15"/>
      <c r="X46" s="13"/>
      <c r="Y46" s="14"/>
      <c r="Z46" s="14"/>
      <c r="AA46" s="14"/>
      <c r="AB46" s="42" t="s">
        <v>224</v>
      </c>
      <c r="AC46" s="11"/>
      <c r="AD46" s="33"/>
      <c r="AE46" s="34"/>
      <c r="AF46" s="37"/>
      <c r="AG46" s="14"/>
      <c r="AH46" s="14" t="s">
        <v>225</v>
      </c>
      <c r="AI46" s="14"/>
      <c r="AJ46" s="14"/>
      <c r="AK46" s="16"/>
      <c r="AL46" s="11"/>
      <c r="AM46" s="11"/>
      <c r="AN46" s="14"/>
      <c r="AO46" s="14"/>
      <c r="AP46" s="13"/>
      <c r="AQ46" s="14"/>
      <c r="AR46" s="11">
        <v>18</v>
      </c>
      <c r="AS46" s="14"/>
      <c r="AT46" s="14"/>
      <c r="AU46" s="11"/>
      <c r="AV46" s="14"/>
    </row>
    <row r="47" spans="1:49" s="45" customFormat="1" ht="15" x14ac:dyDescent="0.25">
      <c r="A47" s="199"/>
      <c r="B47" s="72"/>
      <c r="C47" s="42" t="s">
        <v>49</v>
      </c>
      <c r="D47" s="42"/>
      <c r="E47" s="14"/>
      <c r="F47" s="71">
        <v>0</v>
      </c>
      <c r="G47" s="42" t="s">
        <v>50</v>
      </c>
      <c r="H47" s="31">
        <v>0</v>
      </c>
      <c r="I47" s="138" t="e">
        <f>IF(H47="","",VLOOKUP(H47,[1]ENTIDAD!$B$2:$C$605,2,0))</f>
        <v>#N/A</v>
      </c>
      <c r="J47" s="11"/>
      <c r="K47" s="11"/>
      <c r="L47" s="11"/>
      <c r="M47" s="11"/>
      <c r="N47" s="116">
        <f t="shared" si="3"/>
        <v>0</v>
      </c>
      <c r="O47" s="116">
        <f t="shared" si="2"/>
        <v>0</v>
      </c>
      <c r="P47" s="11">
        <v>0</v>
      </c>
      <c r="Q47" s="11"/>
      <c r="R47" s="11"/>
      <c r="S47" s="11"/>
      <c r="T47" s="14"/>
      <c r="U47" s="14"/>
      <c r="V47" s="13"/>
      <c r="W47" s="15"/>
      <c r="X47" s="13"/>
      <c r="Y47" s="14"/>
      <c r="Z47" s="14"/>
      <c r="AA47" s="14"/>
      <c r="AB47" s="42" t="s">
        <v>224</v>
      </c>
      <c r="AC47" s="11"/>
      <c r="AD47" s="72"/>
      <c r="AE47" s="34"/>
      <c r="AF47" s="37"/>
      <c r="AG47" s="14"/>
      <c r="AH47" s="14" t="s">
        <v>225</v>
      </c>
      <c r="AI47" s="14"/>
      <c r="AJ47" s="14"/>
      <c r="AK47" s="16"/>
      <c r="AL47" s="11"/>
      <c r="AM47" s="11"/>
      <c r="AN47" s="14"/>
      <c r="AO47" s="14"/>
      <c r="AP47" s="13"/>
      <c r="AQ47" s="14"/>
      <c r="AR47" s="11">
        <v>18</v>
      </c>
      <c r="AS47" s="14"/>
      <c r="AT47" s="14"/>
      <c r="AU47" s="11"/>
      <c r="AV47" s="14"/>
    </row>
    <row r="48" spans="1:49" s="45" customFormat="1" ht="15" x14ac:dyDescent="0.25">
      <c r="A48" s="200"/>
      <c r="B48" s="72"/>
      <c r="C48" s="111" t="s">
        <v>49</v>
      </c>
      <c r="D48" s="42"/>
      <c r="E48" s="112"/>
      <c r="F48" s="71">
        <v>0</v>
      </c>
      <c r="G48" s="111" t="s">
        <v>50</v>
      </c>
      <c r="H48" s="31">
        <v>0</v>
      </c>
      <c r="I48" s="139" t="e">
        <f>IF(H48="","",VLOOKUP(H48,[1]ENTIDAD!$B$2:$C$605,2,0))</f>
        <v>#N/A</v>
      </c>
      <c r="J48" s="116"/>
      <c r="K48" s="116"/>
      <c r="L48" s="116"/>
      <c r="M48" s="116"/>
      <c r="N48" s="116">
        <f t="shared" si="3"/>
        <v>0</v>
      </c>
      <c r="O48" s="116">
        <f t="shared" si="2"/>
        <v>0</v>
      </c>
      <c r="P48" s="11">
        <v>0</v>
      </c>
      <c r="Q48" s="116"/>
      <c r="R48" s="116"/>
      <c r="S48" s="11"/>
      <c r="T48" s="112"/>
      <c r="U48" s="112"/>
      <c r="V48" s="109"/>
      <c r="W48" s="118"/>
      <c r="X48" s="109"/>
      <c r="Y48" s="112"/>
      <c r="Z48" s="112"/>
      <c r="AA48" s="112"/>
      <c r="AB48" s="42" t="s">
        <v>224</v>
      </c>
      <c r="AC48" s="11"/>
      <c r="AD48" s="13"/>
      <c r="AE48" s="34"/>
      <c r="AF48" s="37"/>
      <c r="AG48" s="14"/>
      <c r="AH48" s="14" t="s">
        <v>225</v>
      </c>
      <c r="AI48" s="14"/>
      <c r="AJ48" s="14"/>
      <c r="AK48" s="16"/>
      <c r="AL48" s="11"/>
      <c r="AM48" s="11"/>
      <c r="AN48" s="14"/>
      <c r="AO48" s="14"/>
      <c r="AP48" s="13"/>
      <c r="AQ48" s="14"/>
      <c r="AR48" s="11">
        <v>18</v>
      </c>
      <c r="AS48" s="14"/>
      <c r="AT48" s="112"/>
      <c r="AU48" s="116"/>
      <c r="AV48" s="112"/>
      <c r="AW48" s="121"/>
    </row>
    <row r="49" spans="1:49" s="47" customFormat="1" ht="15" x14ac:dyDescent="0.25">
      <c r="A49" s="200"/>
      <c r="B49" s="72"/>
      <c r="C49" s="111" t="s">
        <v>49</v>
      </c>
      <c r="D49" s="42"/>
      <c r="E49" s="112"/>
      <c r="F49" s="71">
        <v>0</v>
      </c>
      <c r="G49" s="111" t="s">
        <v>50</v>
      </c>
      <c r="H49" s="31">
        <v>0</v>
      </c>
      <c r="I49" s="139" t="e">
        <f>IF(H49="","",VLOOKUP(H49,[1]ENTIDAD!$B$2:$C$605,2,0))</f>
        <v>#N/A</v>
      </c>
      <c r="J49" s="116"/>
      <c r="K49" s="116"/>
      <c r="L49" s="116"/>
      <c r="M49" s="116"/>
      <c r="N49" s="116">
        <f t="shared" si="3"/>
        <v>0</v>
      </c>
      <c r="O49" s="116">
        <f t="shared" si="2"/>
        <v>0</v>
      </c>
      <c r="P49" s="11">
        <v>0</v>
      </c>
      <c r="Q49" s="116"/>
      <c r="R49" s="116"/>
      <c r="S49" s="11"/>
      <c r="T49" s="112"/>
      <c r="U49" s="112"/>
      <c r="V49" s="109"/>
      <c r="W49" s="118"/>
      <c r="X49" s="109"/>
      <c r="Y49" s="112"/>
      <c r="Z49" s="112"/>
      <c r="AA49" s="112"/>
      <c r="AB49" s="42" t="s">
        <v>224</v>
      </c>
      <c r="AC49" s="11"/>
      <c r="AD49" s="13"/>
      <c r="AE49" s="34"/>
      <c r="AF49" s="37"/>
      <c r="AG49" s="14"/>
      <c r="AH49" s="14" t="s">
        <v>225</v>
      </c>
      <c r="AI49" s="14"/>
      <c r="AJ49" s="14"/>
      <c r="AK49" s="16"/>
      <c r="AL49" s="11"/>
      <c r="AM49" s="11"/>
      <c r="AN49" s="14"/>
      <c r="AO49" s="14"/>
      <c r="AP49" s="13"/>
      <c r="AQ49" s="14"/>
      <c r="AR49" s="11">
        <v>18</v>
      </c>
      <c r="AS49" s="14"/>
      <c r="AT49" s="112"/>
      <c r="AU49" s="116"/>
      <c r="AV49" s="112"/>
      <c r="AW49" s="121"/>
    </row>
    <row r="50" spans="1:49" s="47" customFormat="1" ht="15" x14ac:dyDescent="0.25">
      <c r="A50" s="200"/>
      <c r="B50" s="72"/>
      <c r="C50" s="111" t="s">
        <v>49</v>
      </c>
      <c r="D50" s="42"/>
      <c r="E50" s="112"/>
      <c r="F50" s="71">
        <v>0</v>
      </c>
      <c r="G50" s="111" t="s">
        <v>50</v>
      </c>
      <c r="H50" s="31">
        <v>0</v>
      </c>
      <c r="I50" s="139" t="e">
        <f>IF(H50="","",VLOOKUP(H50,[1]ENTIDAD!$B$2:$C$605,2,0))</f>
        <v>#N/A</v>
      </c>
      <c r="J50" s="116"/>
      <c r="K50" s="116"/>
      <c r="L50" s="116"/>
      <c r="M50" s="116"/>
      <c r="N50" s="116">
        <f t="shared" si="3"/>
        <v>0</v>
      </c>
      <c r="O50" s="116">
        <f t="shared" si="2"/>
        <v>0</v>
      </c>
      <c r="P50" s="11">
        <v>0</v>
      </c>
      <c r="Q50" s="116"/>
      <c r="R50" s="116"/>
      <c r="S50" s="11"/>
      <c r="T50" s="112"/>
      <c r="U50" s="112"/>
      <c r="V50" s="109"/>
      <c r="W50" s="118"/>
      <c r="X50" s="109"/>
      <c r="Y50" s="112"/>
      <c r="Z50" s="112"/>
      <c r="AA50" s="112"/>
      <c r="AB50" s="42" t="s">
        <v>224</v>
      </c>
      <c r="AC50" s="11"/>
      <c r="AD50" s="13"/>
      <c r="AE50" s="34"/>
      <c r="AF50" s="37"/>
      <c r="AG50" s="14"/>
      <c r="AH50" s="14" t="s">
        <v>225</v>
      </c>
      <c r="AI50" s="14"/>
      <c r="AJ50" s="14"/>
      <c r="AK50" s="16"/>
      <c r="AL50" s="11"/>
      <c r="AM50" s="11"/>
      <c r="AN50" s="14"/>
      <c r="AO50" s="14"/>
      <c r="AP50" s="13"/>
      <c r="AQ50" s="14"/>
      <c r="AR50" s="11">
        <v>18</v>
      </c>
      <c r="AS50" s="14"/>
      <c r="AT50" s="112"/>
      <c r="AU50" s="116"/>
      <c r="AV50" s="112"/>
      <c r="AW50" s="121"/>
    </row>
    <row r="51" spans="1:49" s="45" customFormat="1" ht="15" x14ac:dyDescent="0.25">
      <c r="A51" s="199"/>
      <c r="B51" s="72"/>
      <c r="C51" s="42" t="s">
        <v>49</v>
      </c>
      <c r="D51" s="42"/>
      <c r="E51" s="14"/>
      <c r="F51" s="71">
        <v>0</v>
      </c>
      <c r="G51" s="42" t="s">
        <v>50</v>
      </c>
      <c r="H51" s="31">
        <v>0</v>
      </c>
      <c r="I51" s="138" t="e">
        <f>IF(H51="","",VLOOKUP(H51,[1]ENTIDAD!$B$2:$C$605,2,0))</f>
        <v>#N/A</v>
      </c>
      <c r="J51" s="11"/>
      <c r="K51" s="11"/>
      <c r="L51" s="11"/>
      <c r="M51" s="11"/>
      <c r="N51" s="116">
        <f t="shared" si="3"/>
        <v>0</v>
      </c>
      <c r="O51" s="116">
        <f t="shared" si="2"/>
        <v>0</v>
      </c>
      <c r="P51" s="11">
        <v>0</v>
      </c>
      <c r="Q51" s="11"/>
      <c r="R51" s="11"/>
      <c r="S51" s="11"/>
      <c r="T51" s="14"/>
      <c r="U51" s="14"/>
      <c r="V51" s="13"/>
      <c r="W51" s="15"/>
      <c r="X51" s="13"/>
      <c r="Y51" s="14"/>
      <c r="Z51" s="14"/>
      <c r="AA51" s="14"/>
      <c r="AB51" s="42" t="s">
        <v>224</v>
      </c>
      <c r="AC51" s="11"/>
      <c r="AD51" s="13"/>
      <c r="AE51" s="34"/>
      <c r="AF51" s="37"/>
      <c r="AG51" s="14"/>
      <c r="AH51" s="14" t="s">
        <v>225</v>
      </c>
      <c r="AI51" s="14"/>
      <c r="AJ51" s="14"/>
      <c r="AK51" s="16"/>
      <c r="AL51" s="11"/>
      <c r="AM51" s="11"/>
      <c r="AN51" s="14"/>
      <c r="AO51" s="14"/>
      <c r="AP51" s="13"/>
      <c r="AQ51" s="14"/>
      <c r="AR51" s="11">
        <v>18</v>
      </c>
      <c r="AS51" s="14"/>
      <c r="AT51" s="14"/>
      <c r="AU51" s="11"/>
      <c r="AV51" s="14"/>
    </row>
    <row r="52" spans="1:49" s="47" customFormat="1" ht="15" x14ac:dyDescent="0.25">
      <c r="A52" s="199"/>
      <c r="B52" s="72"/>
      <c r="C52" s="42" t="s">
        <v>49</v>
      </c>
      <c r="D52" s="42"/>
      <c r="E52" s="14"/>
      <c r="F52" s="71">
        <v>0</v>
      </c>
      <c r="G52" s="42" t="s">
        <v>50</v>
      </c>
      <c r="H52" s="31">
        <v>0</v>
      </c>
      <c r="I52" s="138" t="e">
        <f>IF(H52="","",VLOOKUP(H52,[1]ENTIDAD!$B$2:$C$605,2,0))</f>
        <v>#N/A</v>
      </c>
      <c r="J52" s="11"/>
      <c r="K52" s="11"/>
      <c r="L52" s="11"/>
      <c r="M52" s="11"/>
      <c r="N52" s="116">
        <f t="shared" si="3"/>
        <v>0</v>
      </c>
      <c r="O52" s="116">
        <f t="shared" si="2"/>
        <v>0</v>
      </c>
      <c r="P52" s="11">
        <v>0</v>
      </c>
      <c r="Q52" s="11"/>
      <c r="R52" s="11"/>
      <c r="S52" s="11"/>
      <c r="T52" s="14"/>
      <c r="U52" s="14"/>
      <c r="V52" s="13"/>
      <c r="W52" s="15"/>
      <c r="X52" s="13"/>
      <c r="Y52" s="14"/>
      <c r="Z52" s="14"/>
      <c r="AA52" s="14"/>
      <c r="AB52" s="42" t="s">
        <v>224</v>
      </c>
      <c r="AC52" s="11"/>
      <c r="AD52" s="33"/>
      <c r="AE52" s="34"/>
      <c r="AF52" s="37"/>
      <c r="AG52" s="14"/>
      <c r="AH52" s="14" t="s">
        <v>225</v>
      </c>
      <c r="AI52" s="14"/>
      <c r="AJ52" s="14"/>
      <c r="AK52" s="16"/>
      <c r="AL52" s="11"/>
      <c r="AM52" s="11"/>
      <c r="AN52" s="14"/>
      <c r="AO52" s="14"/>
      <c r="AP52" s="13"/>
      <c r="AQ52" s="14"/>
      <c r="AR52" s="11">
        <v>18</v>
      </c>
      <c r="AS52" s="14"/>
      <c r="AT52" s="14"/>
      <c r="AU52" s="11"/>
      <c r="AV52" s="14"/>
      <c r="AW52" s="45"/>
    </row>
    <row r="53" spans="1:49" s="121" customFormat="1" ht="15" x14ac:dyDescent="0.25">
      <c r="A53" s="199"/>
      <c r="B53" s="72"/>
      <c r="C53" s="42" t="s">
        <v>49</v>
      </c>
      <c r="D53" s="42"/>
      <c r="E53" s="14"/>
      <c r="F53" s="71">
        <v>0</v>
      </c>
      <c r="G53" s="42" t="s">
        <v>50</v>
      </c>
      <c r="H53" s="31">
        <v>0</v>
      </c>
      <c r="I53" s="138" t="e">
        <f>IF(H53="","",VLOOKUP(H53,[1]ENTIDAD!$B$2:$C$605,2,0))</f>
        <v>#N/A</v>
      </c>
      <c r="J53" s="11"/>
      <c r="K53" s="11"/>
      <c r="L53" s="11"/>
      <c r="M53" s="11"/>
      <c r="N53" s="116">
        <f t="shared" si="3"/>
        <v>0</v>
      </c>
      <c r="O53" s="116">
        <f t="shared" si="2"/>
        <v>0</v>
      </c>
      <c r="P53" s="11">
        <v>0</v>
      </c>
      <c r="Q53" s="11"/>
      <c r="R53" s="11"/>
      <c r="S53" s="11"/>
      <c r="T53" s="14"/>
      <c r="U53" s="14"/>
      <c r="V53" s="13"/>
      <c r="W53" s="15"/>
      <c r="X53" s="13"/>
      <c r="Y53" s="14"/>
      <c r="Z53" s="14"/>
      <c r="AA53" s="14"/>
      <c r="AB53" s="42" t="s">
        <v>224</v>
      </c>
      <c r="AC53" s="11"/>
      <c r="AD53" s="13"/>
      <c r="AE53" s="34"/>
      <c r="AF53" s="19"/>
      <c r="AG53" s="14"/>
      <c r="AH53" s="14" t="s">
        <v>225</v>
      </c>
      <c r="AI53" s="14"/>
      <c r="AJ53" s="14"/>
      <c r="AK53" s="16"/>
      <c r="AL53" s="11"/>
      <c r="AM53" s="11"/>
      <c r="AN53" s="14"/>
      <c r="AO53" s="14"/>
      <c r="AP53" s="13"/>
      <c r="AQ53" s="14"/>
      <c r="AR53" s="11">
        <v>18</v>
      </c>
      <c r="AS53" s="14"/>
      <c r="AT53" s="14"/>
      <c r="AU53" s="11"/>
      <c r="AV53" s="14"/>
      <c r="AW53" s="45"/>
    </row>
    <row r="54" spans="1:49" s="45" customFormat="1" ht="15" x14ac:dyDescent="0.25">
      <c r="A54" s="199"/>
      <c r="B54" s="72"/>
      <c r="C54" s="42" t="s">
        <v>49</v>
      </c>
      <c r="D54" s="42"/>
      <c r="E54" s="14"/>
      <c r="F54" s="71">
        <v>0</v>
      </c>
      <c r="G54" s="42" t="s">
        <v>50</v>
      </c>
      <c r="H54" s="31">
        <v>0</v>
      </c>
      <c r="I54" s="138" t="e">
        <f>IF(H54="","",VLOOKUP(H54,[1]ENTIDAD!$B$2:$C$605,2,0))</f>
        <v>#N/A</v>
      </c>
      <c r="J54" s="11"/>
      <c r="K54" s="11"/>
      <c r="L54" s="11"/>
      <c r="M54" s="11"/>
      <c r="N54" s="116">
        <f t="shared" si="3"/>
        <v>0</v>
      </c>
      <c r="O54" s="116">
        <f t="shared" si="2"/>
        <v>0</v>
      </c>
      <c r="P54" s="11">
        <v>0</v>
      </c>
      <c r="Q54" s="11"/>
      <c r="R54" s="11"/>
      <c r="S54" s="11"/>
      <c r="T54" s="14"/>
      <c r="U54" s="14"/>
      <c r="V54" s="13"/>
      <c r="W54" s="15"/>
      <c r="X54" s="13"/>
      <c r="Y54" s="14"/>
      <c r="Z54" s="14"/>
      <c r="AA54" s="14"/>
      <c r="AB54" s="42" t="s">
        <v>224</v>
      </c>
      <c r="AC54" s="11"/>
      <c r="AD54" s="33"/>
      <c r="AE54" s="14"/>
      <c r="AF54" s="19"/>
      <c r="AG54" s="14"/>
      <c r="AH54" s="14" t="s">
        <v>225</v>
      </c>
      <c r="AI54" s="14"/>
      <c r="AJ54" s="14"/>
      <c r="AK54" s="16"/>
      <c r="AL54" s="11"/>
      <c r="AM54" s="11"/>
      <c r="AN54" s="14"/>
      <c r="AO54" s="14"/>
      <c r="AP54" s="13"/>
      <c r="AQ54" s="14"/>
      <c r="AR54" s="11">
        <v>18</v>
      </c>
      <c r="AS54" s="14"/>
      <c r="AT54" s="14"/>
      <c r="AU54" s="11"/>
      <c r="AV54" s="14"/>
    </row>
    <row r="55" spans="1:49" s="45" customFormat="1" ht="15" x14ac:dyDescent="0.25">
      <c r="A55" s="199"/>
      <c r="B55" s="13"/>
      <c r="C55" s="42" t="s">
        <v>49</v>
      </c>
      <c r="D55" s="42"/>
      <c r="E55" s="14"/>
      <c r="F55" s="71">
        <v>0</v>
      </c>
      <c r="G55" s="42" t="s">
        <v>50</v>
      </c>
      <c r="H55" s="31">
        <v>0</v>
      </c>
      <c r="I55" s="138" t="e">
        <f>IF(H55="","",VLOOKUP(H55,[1]ENTIDAD!$B$2:$C$605,2,0))</f>
        <v>#N/A</v>
      </c>
      <c r="J55" s="11"/>
      <c r="K55" s="11"/>
      <c r="L55" s="11"/>
      <c r="M55" s="11"/>
      <c r="N55" s="116">
        <f t="shared" si="3"/>
        <v>0</v>
      </c>
      <c r="O55" s="116">
        <f t="shared" si="2"/>
        <v>0</v>
      </c>
      <c r="P55" s="11">
        <v>0</v>
      </c>
      <c r="Q55" s="11"/>
      <c r="R55" s="11"/>
      <c r="S55" s="11"/>
      <c r="T55" s="14"/>
      <c r="U55" s="14"/>
      <c r="V55" s="13"/>
      <c r="W55" s="15"/>
      <c r="X55" s="13"/>
      <c r="Y55" s="14"/>
      <c r="Z55" s="14"/>
      <c r="AA55" s="14"/>
      <c r="AB55" s="42" t="s">
        <v>224</v>
      </c>
      <c r="AC55" s="11"/>
      <c r="AD55" s="33"/>
      <c r="AE55" s="14"/>
      <c r="AF55" s="19"/>
      <c r="AG55" s="14"/>
      <c r="AH55" s="14" t="s">
        <v>225</v>
      </c>
      <c r="AI55" s="14"/>
      <c r="AJ55" s="14"/>
      <c r="AK55" s="16"/>
      <c r="AL55" s="11"/>
      <c r="AM55" s="11"/>
      <c r="AN55" s="14"/>
      <c r="AO55" s="14"/>
      <c r="AP55" s="13"/>
      <c r="AQ55" s="14"/>
      <c r="AR55" s="11">
        <v>18</v>
      </c>
      <c r="AS55" s="14"/>
      <c r="AT55" s="14"/>
      <c r="AU55" s="11"/>
      <c r="AV55" s="14"/>
    </row>
    <row r="56" spans="1:49" s="45" customFormat="1" ht="15" x14ac:dyDescent="0.25">
      <c r="A56" s="200"/>
      <c r="B56" s="136"/>
      <c r="C56" s="111" t="s">
        <v>49</v>
      </c>
      <c r="D56" s="111"/>
      <c r="E56" s="112"/>
      <c r="F56" s="71">
        <v>0</v>
      </c>
      <c r="G56" s="111" t="s">
        <v>50</v>
      </c>
      <c r="H56" s="114">
        <v>0</v>
      </c>
      <c r="I56" s="139" t="e">
        <f>IF(H56="","",VLOOKUP(H56,[1]ENTIDAD!$B$2:$C$605,2,0))</f>
        <v>#N/A</v>
      </c>
      <c r="J56" s="116"/>
      <c r="K56" s="116"/>
      <c r="L56" s="116"/>
      <c r="M56" s="116"/>
      <c r="N56" s="116">
        <f t="shared" si="3"/>
        <v>0</v>
      </c>
      <c r="O56" s="116">
        <f t="shared" si="2"/>
        <v>0</v>
      </c>
      <c r="P56" s="11">
        <v>0</v>
      </c>
      <c r="Q56" s="116"/>
      <c r="R56" s="116"/>
      <c r="S56" s="116"/>
      <c r="T56" s="112"/>
      <c r="U56" s="112"/>
      <c r="V56" s="109"/>
      <c r="W56" s="118"/>
      <c r="X56" s="109"/>
      <c r="Y56" s="112"/>
      <c r="Z56" s="112"/>
      <c r="AA56" s="112"/>
      <c r="AB56" s="42" t="s">
        <v>224</v>
      </c>
      <c r="AC56" s="116"/>
      <c r="AD56" s="126"/>
      <c r="AE56" s="14"/>
      <c r="AF56" s="19"/>
      <c r="AG56" s="14"/>
      <c r="AH56" s="14" t="s">
        <v>225</v>
      </c>
      <c r="AI56" s="112"/>
      <c r="AJ56" s="112"/>
      <c r="AK56" s="120"/>
      <c r="AL56" s="116"/>
      <c r="AM56" s="116"/>
      <c r="AN56" s="112"/>
      <c r="AO56" s="112"/>
      <c r="AP56" s="109"/>
      <c r="AQ56" s="112"/>
      <c r="AR56" s="116">
        <v>18</v>
      </c>
      <c r="AS56" s="112"/>
      <c r="AT56" s="112"/>
      <c r="AU56" s="116"/>
      <c r="AV56" s="112"/>
      <c r="AW56" s="121"/>
    </row>
    <row r="57" spans="1:49" s="45" customFormat="1" ht="15" x14ac:dyDescent="0.25">
      <c r="A57" s="199"/>
      <c r="B57" s="72"/>
      <c r="C57" s="42" t="s">
        <v>49</v>
      </c>
      <c r="D57" s="42"/>
      <c r="E57" s="14"/>
      <c r="F57" s="71">
        <v>0</v>
      </c>
      <c r="G57" s="42" t="s">
        <v>50</v>
      </c>
      <c r="H57" s="31">
        <v>0</v>
      </c>
      <c r="I57" s="138" t="e">
        <f>IF(H57="","",VLOOKUP(H57,[1]ENTIDAD!$B$2:$C$605,2,0))</f>
        <v>#N/A</v>
      </c>
      <c r="J57" s="11"/>
      <c r="K57" s="11"/>
      <c r="L57" s="11"/>
      <c r="M57" s="11"/>
      <c r="N57" s="116">
        <f t="shared" si="3"/>
        <v>0</v>
      </c>
      <c r="O57" s="116">
        <f t="shared" si="2"/>
        <v>0</v>
      </c>
      <c r="P57" s="11">
        <v>0</v>
      </c>
      <c r="Q57" s="11"/>
      <c r="R57" s="11"/>
      <c r="S57" s="11"/>
      <c r="T57" s="14"/>
      <c r="U57" s="14"/>
      <c r="V57" s="13"/>
      <c r="W57" s="15"/>
      <c r="X57" s="13"/>
      <c r="Y57" s="14"/>
      <c r="Z57" s="14"/>
      <c r="AA57" s="14"/>
      <c r="AB57" s="42" t="s">
        <v>224</v>
      </c>
      <c r="AC57" s="11"/>
      <c r="AD57" s="13"/>
      <c r="AE57" s="14"/>
      <c r="AF57" s="19"/>
      <c r="AG57" s="14"/>
      <c r="AH57" s="14" t="s">
        <v>225</v>
      </c>
      <c r="AI57" s="14"/>
      <c r="AJ57" s="14"/>
      <c r="AK57" s="16"/>
      <c r="AL57" s="11"/>
      <c r="AM57" s="11"/>
      <c r="AN57" s="14"/>
      <c r="AO57" s="14"/>
      <c r="AP57" s="13"/>
      <c r="AQ57" s="14"/>
      <c r="AR57" s="11">
        <v>18</v>
      </c>
      <c r="AS57" s="14"/>
      <c r="AT57" s="14"/>
      <c r="AU57" s="11"/>
      <c r="AV57" s="14"/>
    </row>
    <row r="58" spans="1:49" s="45" customFormat="1" ht="15" x14ac:dyDescent="0.25">
      <c r="A58" s="199"/>
      <c r="B58" s="72"/>
      <c r="C58" s="42" t="s">
        <v>49</v>
      </c>
      <c r="D58" s="42"/>
      <c r="E58" s="14"/>
      <c r="F58" s="71">
        <v>0</v>
      </c>
      <c r="G58" s="42" t="s">
        <v>50</v>
      </c>
      <c r="H58" s="31">
        <v>0</v>
      </c>
      <c r="I58" s="138" t="e">
        <f>IF(H58="","",VLOOKUP(H58,[1]ENTIDAD!$B$2:$C$605,2,0))</f>
        <v>#N/A</v>
      </c>
      <c r="J58" s="11"/>
      <c r="K58" s="11"/>
      <c r="L58" s="11"/>
      <c r="M58" s="11"/>
      <c r="N58" s="116">
        <f t="shared" si="3"/>
        <v>0</v>
      </c>
      <c r="O58" s="116">
        <f t="shared" si="2"/>
        <v>0</v>
      </c>
      <c r="P58" s="11">
        <v>0</v>
      </c>
      <c r="Q58" s="11"/>
      <c r="R58" s="11"/>
      <c r="S58" s="11"/>
      <c r="T58" s="14"/>
      <c r="U58" s="14"/>
      <c r="V58" s="13"/>
      <c r="W58" s="15"/>
      <c r="X58" s="13"/>
      <c r="Y58" s="14"/>
      <c r="Z58" s="14"/>
      <c r="AA58" s="14"/>
      <c r="AB58" s="42" t="s">
        <v>224</v>
      </c>
      <c r="AC58" s="11"/>
      <c r="AD58" s="126"/>
      <c r="AE58" s="14"/>
      <c r="AF58" s="19"/>
      <c r="AG58" s="14"/>
      <c r="AH58" s="14" t="s">
        <v>225</v>
      </c>
      <c r="AI58" s="14"/>
      <c r="AJ58" s="14"/>
      <c r="AK58" s="16"/>
      <c r="AL58" s="11"/>
      <c r="AM58" s="11"/>
      <c r="AN58" s="14"/>
      <c r="AO58" s="14"/>
      <c r="AP58" s="13"/>
      <c r="AQ58" s="14"/>
      <c r="AR58" s="11">
        <v>18</v>
      </c>
      <c r="AS58" s="14"/>
      <c r="AT58" s="14"/>
      <c r="AU58" s="11"/>
      <c r="AV58" s="14"/>
    </row>
    <row r="59" spans="1:49" s="45" customFormat="1" ht="14.25" customHeight="1" x14ac:dyDescent="0.25">
      <c r="A59" s="200"/>
      <c r="B59" s="72"/>
      <c r="C59" s="111" t="s">
        <v>49</v>
      </c>
      <c r="D59" s="42"/>
      <c r="E59" s="112"/>
      <c r="F59" s="71">
        <v>0</v>
      </c>
      <c r="G59" s="111" t="s">
        <v>50</v>
      </c>
      <c r="H59" s="31">
        <v>0</v>
      </c>
      <c r="I59" s="139" t="e">
        <f>IF(H59="","",VLOOKUP(H59,[1]ENTIDAD!$B$2:$C$605,2,0))</f>
        <v>#N/A</v>
      </c>
      <c r="J59" s="116"/>
      <c r="K59" s="116"/>
      <c r="L59" s="116"/>
      <c r="M59" s="116"/>
      <c r="N59" s="116">
        <v>0</v>
      </c>
      <c r="O59" s="116">
        <f t="shared" si="2"/>
        <v>0</v>
      </c>
      <c r="P59" s="11">
        <v>0</v>
      </c>
      <c r="Q59" s="116"/>
      <c r="R59" s="116"/>
      <c r="S59" s="11"/>
      <c r="T59" s="112"/>
      <c r="U59" s="112"/>
      <c r="V59" s="109"/>
      <c r="W59" s="118"/>
      <c r="X59" s="109"/>
      <c r="Y59" s="112"/>
      <c r="Z59" s="112"/>
      <c r="AA59" s="112"/>
      <c r="AB59" s="42" t="s">
        <v>224</v>
      </c>
      <c r="AC59" s="11"/>
      <c r="AD59" s="109"/>
      <c r="AE59" s="34"/>
      <c r="AF59" s="37"/>
      <c r="AG59" s="14"/>
      <c r="AH59" s="14" t="s">
        <v>225</v>
      </c>
      <c r="AI59" s="14"/>
      <c r="AJ59" s="14"/>
      <c r="AK59" s="16"/>
      <c r="AL59" s="11"/>
      <c r="AM59" s="11"/>
      <c r="AN59" s="14"/>
      <c r="AO59" s="14"/>
      <c r="AP59" s="13"/>
      <c r="AQ59" s="14"/>
      <c r="AR59" s="11">
        <v>18</v>
      </c>
      <c r="AS59" s="14"/>
      <c r="AT59" s="112"/>
      <c r="AU59" s="116"/>
      <c r="AV59" s="112"/>
      <c r="AW59" s="121"/>
    </row>
    <row r="60" spans="1:49" s="45" customFormat="1" ht="15" x14ac:dyDescent="0.25">
      <c r="A60" s="199"/>
      <c r="B60" s="72"/>
      <c r="C60" s="42" t="s">
        <v>49</v>
      </c>
      <c r="D60" s="42"/>
      <c r="E60" s="14"/>
      <c r="F60" s="71">
        <v>0</v>
      </c>
      <c r="G60" s="42" t="s">
        <v>50</v>
      </c>
      <c r="H60" s="31">
        <v>0</v>
      </c>
      <c r="I60" s="138" t="e">
        <f>IF(H60="","",VLOOKUP(H60,[1]ENTIDAD!$B$2:$C$605,2,0))</f>
        <v>#N/A</v>
      </c>
      <c r="J60" s="11"/>
      <c r="K60" s="11"/>
      <c r="L60" s="11"/>
      <c r="M60" s="11"/>
      <c r="N60" s="116">
        <f t="shared" ref="N60:N103" si="4">(S60-P60)/1.18</f>
        <v>0</v>
      </c>
      <c r="O60" s="116">
        <f t="shared" si="2"/>
        <v>0</v>
      </c>
      <c r="P60" s="11">
        <v>0</v>
      </c>
      <c r="Q60" s="11"/>
      <c r="R60" s="11"/>
      <c r="S60" s="11"/>
      <c r="T60" s="14"/>
      <c r="U60" s="14"/>
      <c r="V60" s="13"/>
      <c r="W60" s="15"/>
      <c r="X60" s="13"/>
      <c r="Y60" s="14"/>
      <c r="Z60" s="14"/>
      <c r="AA60" s="14"/>
      <c r="AB60" s="42" t="s">
        <v>224</v>
      </c>
      <c r="AC60" s="11"/>
      <c r="AD60" s="33"/>
      <c r="AE60" s="14"/>
      <c r="AF60" s="19"/>
      <c r="AG60" s="14"/>
      <c r="AH60" s="14" t="s">
        <v>225</v>
      </c>
      <c r="AI60" s="14"/>
      <c r="AJ60" s="14"/>
      <c r="AK60" s="16"/>
      <c r="AL60" s="11"/>
      <c r="AM60" s="11"/>
      <c r="AN60" s="14"/>
      <c r="AO60" s="14"/>
      <c r="AP60" s="13"/>
      <c r="AQ60" s="14"/>
      <c r="AR60" s="11">
        <v>18</v>
      </c>
      <c r="AS60" s="14"/>
      <c r="AT60" s="14"/>
      <c r="AU60" s="11"/>
      <c r="AV60" s="14"/>
    </row>
    <row r="61" spans="1:49" s="45" customFormat="1" ht="15" x14ac:dyDescent="0.25">
      <c r="A61" s="199"/>
      <c r="B61" s="72"/>
      <c r="C61" s="42" t="s">
        <v>49</v>
      </c>
      <c r="D61" s="42"/>
      <c r="E61" s="14"/>
      <c r="F61" s="71">
        <v>0</v>
      </c>
      <c r="G61" s="42" t="s">
        <v>50</v>
      </c>
      <c r="H61" s="31">
        <v>0</v>
      </c>
      <c r="I61" s="138" t="e">
        <f>IF(H61="","",VLOOKUP(H61,[1]ENTIDAD!$B$2:$C$605,2,0))</f>
        <v>#N/A</v>
      </c>
      <c r="J61" s="11"/>
      <c r="K61" s="11"/>
      <c r="L61" s="11"/>
      <c r="M61" s="11"/>
      <c r="N61" s="116">
        <f t="shared" si="4"/>
        <v>0</v>
      </c>
      <c r="O61" s="116">
        <f t="shared" si="2"/>
        <v>0</v>
      </c>
      <c r="P61" s="11">
        <v>0</v>
      </c>
      <c r="Q61" s="11"/>
      <c r="R61" s="11"/>
      <c r="S61" s="11"/>
      <c r="T61" s="14"/>
      <c r="U61" s="14"/>
      <c r="V61" s="13"/>
      <c r="W61" s="15"/>
      <c r="X61" s="13"/>
      <c r="Y61" s="14"/>
      <c r="Z61" s="14"/>
      <c r="AA61" s="14"/>
      <c r="AB61" s="42" t="s">
        <v>224</v>
      </c>
      <c r="AC61" s="11"/>
      <c r="AD61" s="33"/>
      <c r="AE61" s="14"/>
      <c r="AF61" s="19"/>
      <c r="AG61" s="14"/>
      <c r="AH61" s="14" t="s">
        <v>225</v>
      </c>
      <c r="AI61" s="14"/>
      <c r="AJ61" s="14"/>
      <c r="AK61" s="16"/>
      <c r="AL61" s="11"/>
      <c r="AM61" s="11"/>
      <c r="AN61" s="14"/>
      <c r="AO61" s="14"/>
      <c r="AP61" s="13"/>
      <c r="AQ61" s="14"/>
      <c r="AR61" s="11">
        <v>18</v>
      </c>
      <c r="AS61" s="112"/>
      <c r="AT61" s="14"/>
      <c r="AU61" s="11"/>
      <c r="AV61" s="14"/>
    </row>
    <row r="62" spans="1:49" s="45" customFormat="1" ht="15" x14ac:dyDescent="0.25">
      <c r="A62" s="199"/>
      <c r="B62" s="72"/>
      <c r="C62" s="42" t="s">
        <v>49</v>
      </c>
      <c r="D62" s="42"/>
      <c r="E62" s="14"/>
      <c r="F62" s="71">
        <v>0</v>
      </c>
      <c r="G62" s="42" t="s">
        <v>50</v>
      </c>
      <c r="H62" s="31">
        <v>0</v>
      </c>
      <c r="I62" s="138" t="e">
        <f>IF(H62="","",VLOOKUP(H62,[1]ENTIDAD!$B$2:$C$605,2,0))</f>
        <v>#N/A</v>
      </c>
      <c r="J62" s="11"/>
      <c r="K62" s="11"/>
      <c r="L62" s="11"/>
      <c r="M62" s="11"/>
      <c r="N62" s="116">
        <f t="shared" si="4"/>
        <v>0</v>
      </c>
      <c r="O62" s="116">
        <f t="shared" si="2"/>
        <v>0</v>
      </c>
      <c r="P62" s="11">
        <v>0</v>
      </c>
      <c r="Q62" s="11"/>
      <c r="R62" s="11"/>
      <c r="S62" s="11"/>
      <c r="T62" s="14"/>
      <c r="U62" s="14"/>
      <c r="V62" s="13"/>
      <c r="W62" s="15"/>
      <c r="X62" s="13"/>
      <c r="Y62" s="14"/>
      <c r="Z62" s="14"/>
      <c r="AA62" s="14"/>
      <c r="AB62" s="42" t="s">
        <v>224</v>
      </c>
      <c r="AC62" s="11"/>
      <c r="AD62" s="33"/>
      <c r="AE62" s="34"/>
      <c r="AF62" s="19"/>
      <c r="AG62" s="14"/>
      <c r="AH62" s="14" t="s">
        <v>225</v>
      </c>
      <c r="AI62" s="14"/>
      <c r="AJ62" s="14"/>
      <c r="AK62" s="16"/>
      <c r="AL62" s="11"/>
      <c r="AM62" s="11"/>
      <c r="AN62" s="14"/>
      <c r="AO62" s="14"/>
      <c r="AP62" s="13"/>
      <c r="AQ62" s="14"/>
      <c r="AR62" s="11">
        <v>18</v>
      </c>
      <c r="AS62" s="14"/>
      <c r="AT62" s="14"/>
      <c r="AU62" s="11"/>
      <c r="AV62" s="14"/>
    </row>
    <row r="63" spans="1:49" s="45" customFormat="1" ht="15" x14ac:dyDescent="0.25">
      <c r="A63" s="199"/>
      <c r="B63" s="72"/>
      <c r="C63" s="42" t="s">
        <v>49</v>
      </c>
      <c r="D63" s="42"/>
      <c r="E63" s="14"/>
      <c r="F63" s="71">
        <v>0</v>
      </c>
      <c r="G63" s="42" t="s">
        <v>50</v>
      </c>
      <c r="H63" s="31">
        <v>0</v>
      </c>
      <c r="I63" s="138" t="e">
        <f>IF(H63="","",VLOOKUP(H63,[1]ENTIDAD!$B$2:$C$605,2,0))</f>
        <v>#N/A</v>
      </c>
      <c r="J63" s="11"/>
      <c r="K63" s="11"/>
      <c r="L63" s="11"/>
      <c r="M63" s="11"/>
      <c r="N63" s="116">
        <f t="shared" si="4"/>
        <v>0</v>
      </c>
      <c r="O63" s="116">
        <f t="shared" si="2"/>
        <v>0</v>
      </c>
      <c r="P63" s="11">
        <v>0</v>
      </c>
      <c r="Q63" s="11"/>
      <c r="R63" s="11"/>
      <c r="S63" s="11"/>
      <c r="T63" s="14"/>
      <c r="U63" s="14"/>
      <c r="V63" s="13"/>
      <c r="W63" s="15"/>
      <c r="X63" s="13"/>
      <c r="Y63" s="14"/>
      <c r="Z63" s="14"/>
      <c r="AA63" s="14"/>
      <c r="AB63" s="42" t="s">
        <v>224</v>
      </c>
      <c r="AC63" s="11"/>
      <c r="AD63" s="33"/>
      <c r="AE63" s="34"/>
      <c r="AF63" s="19"/>
      <c r="AG63" s="14"/>
      <c r="AH63" s="14" t="s">
        <v>225</v>
      </c>
      <c r="AI63" s="14"/>
      <c r="AJ63" s="14"/>
      <c r="AK63" s="16"/>
      <c r="AL63" s="11"/>
      <c r="AM63" s="11"/>
      <c r="AN63" s="14"/>
      <c r="AO63" s="14"/>
      <c r="AP63" s="13"/>
      <c r="AQ63" s="14"/>
      <c r="AR63" s="11">
        <v>18</v>
      </c>
      <c r="AS63" s="14"/>
      <c r="AT63" s="14"/>
      <c r="AU63" s="11"/>
      <c r="AV63" s="14"/>
    </row>
    <row r="64" spans="1:49" s="45" customFormat="1" ht="15" x14ac:dyDescent="0.25">
      <c r="A64" s="199"/>
      <c r="B64" s="72"/>
      <c r="C64" s="42" t="s">
        <v>49</v>
      </c>
      <c r="D64" s="42"/>
      <c r="E64" s="14"/>
      <c r="F64" s="71">
        <v>0</v>
      </c>
      <c r="G64" s="111" t="s">
        <v>50</v>
      </c>
      <c r="H64" s="31">
        <v>0</v>
      </c>
      <c r="I64" s="138" t="e">
        <f>IF(H64="","",VLOOKUP(H64,[1]ENTIDAD!$B$2:$C$605,2,0))</f>
        <v>#N/A</v>
      </c>
      <c r="J64" s="11"/>
      <c r="K64" s="11"/>
      <c r="L64" s="11"/>
      <c r="M64" s="11"/>
      <c r="N64" s="116">
        <f t="shared" si="4"/>
        <v>0</v>
      </c>
      <c r="O64" s="116">
        <f t="shared" si="2"/>
        <v>0</v>
      </c>
      <c r="P64" s="11">
        <v>0</v>
      </c>
      <c r="Q64" s="11"/>
      <c r="R64" s="11"/>
      <c r="S64" s="11"/>
      <c r="T64" s="14"/>
      <c r="U64" s="14"/>
      <c r="V64" s="13"/>
      <c r="W64" s="15"/>
      <c r="X64" s="13"/>
      <c r="Y64" s="14"/>
      <c r="Z64" s="14"/>
      <c r="AA64" s="14"/>
      <c r="AB64" s="42" t="s">
        <v>224</v>
      </c>
      <c r="AC64" s="11"/>
      <c r="AD64" s="13"/>
      <c r="AE64" s="14"/>
      <c r="AF64" s="19"/>
      <c r="AG64" s="14"/>
      <c r="AH64" s="14" t="s">
        <v>225</v>
      </c>
      <c r="AI64" s="14"/>
      <c r="AJ64" s="14"/>
      <c r="AK64" s="16"/>
      <c r="AL64" s="11"/>
      <c r="AM64" s="11"/>
      <c r="AN64" s="14"/>
      <c r="AO64" s="14"/>
      <c r="AP64" s="13"/>
      <c r="AQ64" s="14"/>
      <c r="AR64" s="11">
        <v>18</v>
      </c>
      <c r="AS64" s="14"/>
      <c r="AT64" s="14"/>
      <c r="AU64" s="11"/>
      <c r="AV64" s="14"/>
    </row>
    <row r="65" spans="1:49" s="45" customFormat="1" ht="15" x14ac:dyDescent="0.25">
      <c r="A65" s="199"/>
      <c r="B65" s="72"/>
      <c r="C65" s="42" t="s">
        <v>49</v>
      </c>
      <c r="D65" s="42"/>
      <c r="E65" s="14"/>
      <c r="F65" s="71">
        <v>0</v>
      </c>
      <c r="G65" s="42" t="s">
        <v>50</v>
      </c>
      <c r="H65" s="31">
        <v>0</v>
      </c>
      <c r="I65" s="138" t="e">
        <f>IF(H65="","",VLOOKUP(H65,[1]ENTIDAD!$B$2:$C$605,2,0))</f>
        <v>#N/A</v>
      </c>
      <c r="J65" s="11"/>
      <c r="K65" s="11"/>
      <c r="L65" s="11"/>
      <c r="M65" s="11"/>
      <c r="N65" s="116">
        <f t="shared" si="4"/>
        <v>0</v>
      </c>
      <c r="O65" s="116">
        <f t="shared" si="2"/>
        <v>0</v>
      </c>
      <c r="P65" s="11">
        <v>0</v>
      </c>
      <c r="Q65" s="11"/>
      <c r="R65" s="11"/>
      <c r="S65" s="11"/>
      <c r="T65" s="14"/>
      <c r="U65" s="14"/>
      <c r="V65" s="13"/>
      <c r="W65" s="15"/>
      <c r="X65" s="13"/>
      <c r="Y65" s="14"/>
      <c r="Z65" s="14"/>
      <c r="AA65" s="14"/>
      <c r="AB65" s="42" t="s">
        <v>224</v>
      </c>
      <c r="AC65" s="11"/>
      <c r="AD65" s="33"/>
      <c r="AE65" s="14"/>
      <c r="AF65" s="19"/>
      <c r="AG65" s="14"/>
      <c r="AH65" s="14" t="s">
        <v>225</v>
      </c>
      <c r="AI65" s="14"/>
      <c r="AJ65" s="14"/>
      <c r="AK65" s="16"/>
      <c r="AL65" s="11"/>
      <c r="AM65" s="11"/>
      <c r="AN65" s="14"/>
      <c r="AO65" s="14"/>
      <c r="AP65" s="13"/>
      <c r="AQ65" s="14"/>
      <c r="AR65" s="11">
        <v>18</v>
      </c>
      <c r="AS65" s="14"/>
      <c r="AT65" s="14"/>
      <c r="AU65" s="11"/>
      <c r="AV65" s="14"/>
    </row>
    <row r="66" spans="1:49" s="45" customFormat="1" ht="15" x14ac:dyDescent="0.25">
      <c r="A66" s="199"/>
      <c r="B66" s="72"/>
      <c r="C66" s="42" t="s">
        <v>49</v>
      </c>
      <c r="D66" s="42"/>
      <c r="E66" s="14"/>
      <c r="F66" s="71">
        <v>0</v>
      </c>
      <c r="G66" s="42" t="s">
        <v>50</v>
      </c>
      <c r="H66" s="31">
        <v>0</v>
      </c>
      <c r="I66" s="138" t="e">
        <f>IF(H66="","",VLOOKUP(H66,[1]ENTIDAD!$B$2:$C$605,2,0))</f>
        <v>#N/A</v>
      </c>
      <c r="J66" s="11"/>
      <c r="K66" s="11"/>
      <c r="L66" s="11"/>
      <c r="M66" s="11"/>
      <c r="N66" s="116">
        <f t="shared" si="4"/>
        <v>0</v>
      </c>
      <c r="O66" s="116">
        <f t="shared" si="2"/>
        <v>0</v>
      </c>
      <c r="P66" s="11">
        <v>0</v>
      </c>
      <c r="Q66" s="11"/>
      <c r="R66" s="11"/>
      <c r="S66" s="11"/>
      <c r="T66" s="14"/>
      <c r="U66" s="14"/>
      <c r="V66" s="13"/>
      <c r="W66" s="15"/>
      <c r="X66" s="13"/>
      <c r="Y66" s="14"/>
      <c r="Z66" s="14"/>
      <c r="AA66" s="14"/>
      <c r="AB66" s="42" t="s">
        <v>224</v>
      </c>
      <c r="AC66" s="11"/>
      <c r="AD66" s="33"/>
      <c r="AE66" s="34"/>
      <c r="AF66" s="19"/>
      <c r="AG66" s="14"/>
      <c r="AH66" s="14" t="s">
        <v>225</v>
      </c>
      <c r="AI66" s="14"/>
      <c r="AJ66" s="14"/>
      <c r="AK66" s="16"/>
      <c r="AL66" s="11"/>
      <c r="AM66" s="11"/>
      <c r="AN66" s="14"/>
      <c r="AO66" s="14"/>
      <c r="AP66" s="13"/>
      <c r="AQ66" s="14"/>
      <c r="AR66" s="11">
        <v>18</v>
      </c>
      <c r="AS66" s="14"/>
      <c r="AT66" s="14"/>
      <c r="AU66" s="11"/>
      <c r="AV66" s="14"/>
    </row>
    <row r="67" spans="1:49" s="45" customFormat="1" ht="15" x14ac:dyDescent="0.25">
      <c r="A67" s="199"/>
      <c r="B67" s="72"/>
      <c r="C67" s="42" t="s">
        <v>49</v>
      </c>
      <c r="D67" s="42"/>
      <c r="E67" s="14"/>
      <c r="F67" s="71">
        <v>0</v>
      </c>
      <c r="G67" s="42" t="s">
        <v>50</v>
      </c>
      <c r="H67" s="31">
        <v>0</v>
      </c>
      <c r="I67" s="138" t="e">
        <f>IF(H67="","",VLOOKUP(H67,[1]ENTIDAD!$B$2:$C$605,2,0))</f>
        <v>#N/A</v>
      </c>
      <c r="J67" s="11"/>
      <c r="K67" s="11"/>
      <c r="L67" s="11"/>
      <c r="M67" s="11"/>
      <c r="N67" s="116">
        <f t="shared" si="4"/>
        <v>0</v>
      </c>
      <c r="O67" s="116">
        <f t="shared" si="2"/>
        <v>0</v>
      </c>
      <c r="P67" s="11">
        <v>0</v>
      </c>
      <c r="Q67" s="11"/>
      <c r="R67" s="11"/>
      <c r="S67" s="11"/>
      <c r="T67" s="14"/>
      <c r="U67" s="14"/>
      <c r="V67" s="13"/>
      <c r="W67" s="15"/>
      <c r="X67" s="13"/>
      <c r="Y67" s="14"/>
      <c r="Z67" s="14"/>
      <c r="AA67" s="14"/>
      <c r="AB67" s="42" t="s">
        <v>224</v>
      </c>
      <c r="AC67" s="11"/>
      <c r="AD67" s="33"/>
      <c r="AE67" s="34"/>
      <c r="AF67" s="19"/>
      <c r="AG67" s="14"/>
      <c r="AH67" s="14" t="s">
        <v>225</v>
      </c>
      <c r="AI67" s="14"/>
      <c r="AJ67" s="14"/>
      <c r="AK67" s="16"/>
      <c r="AL67" s="11"/>
      <c r="AM67" s="11"/>
      <c r="AN67" s="14"/>
      <c r="AO67" s="14"/>
      <c r="AP67" s="13"/>
      <c r="AQ67" s="14"/>
      <c r="AR67" s="11">
        <v>18</v>
      </c>
      <c r="AS67" s="14"/>
      <c r="AT67" s="14"/>
      <c r="AU67" s="11"/>
      <c r="AV67" s="14"/>
    </row>
    <row r="68" spans="1:49" s="45" customFormat="1" ht="15" x14ac:dyDescent="0.25">
      <c r="A68" s="199"/>
      <c r="B68" s="72"/>
      <c r="C68" s="42" t="s">
        <v>49</v>
      </c>
      <c r="D68" s="42"/>
      <c r="E68" s="14"/>
      <c r="F68" s="71">
        <v>0</v>
      </c>
      <c r="G68" s="42" t="s">
        <v>50</v>
      </c>
      <c r="H68" s="31">
        <v>0</v>
      </c>
      <c r="I68" s="138" t="e">
        <f>IF(H68="","",VLOOKUP(H68,ENTIDAD!$B$2:$C$613,2,0))</f>
        <v>#N/A</v>
      </c>
      <c r="J68" s="11"/>
      <c r="K68" s="11"/>
      <c r="L68" s="11"/>
      <c r="M68" s="11"/>
      <c r="N68" s="116">
        <f t="shared" si="4"/>
        <v>0</v>
      </c>
      <c r="O68" s="116">
        <f t="shared" ref="O68:O99" si="5">N68*0.18</f>
        <v>0</v>
      </c>
      <c r="P68" s="11">
        <v>0</v>
      </c>
      <c r="Q68" s="11"/>
      <c r="R68" s="11"/>
      <c r="S68" s="11"/>
      <c r="T68" s="14"/>
      <c r="U68" s="14"/>
      <c r="V68" s="13"/>
      <c r="W68" s="15"/>
      <c r="X68" s="13"/>
      <c r="Y68" s="14"/>
      <c r="Z68" s="14"/>
      <c r="AA68" s="14"/>
      <c r="AB68" s="42" t="s">
        <v>224</v>
      </c>
      <c r="AC68" s="11"/>
      <c r="AD68" s="33"/>
      <c r="AE68" s="34"/>
      <c r="AF68" s="119"/>
      <c r="AG68" s="14"/>
      <c r="AH68" s="14" t="s">
        <v>225</v>
      </c>
      <c r="AI68" s="14"/>
      <c r="AJ68" s="14"/>
      <c r="AK68" s="16"/>
      <c r="AL68" s="11"/>
      <c r="AM68" s="11"/>
      <c r="AN68" s="14"/>
      <c r="AO68" s="14"/>
      <c r="AP68" s="13"/>
      <c r="AQ68" s="14"/>
      <c r="AR68" s="11">
        <v>18</v>
      </c>
      <c r="AS68" s="14"/>
      <c r="AT68" s="14"/>
      <c r="AU68" s="11"/>
      <c r="AV68" s="14"/>
    </row>
    <row r="69" spans="1:49" s="45" customFormat="1" ht="15" x14ac:dyDescent="0.25">
      <c r="A69" s="199"/>
      <c r="B69" s="13"/>
      <c r="C69" s="42" t="s">
        <v>49</v>
      </c>
      <c r="D69" s="42"/>
      <c r="E69" s="14"/>
      <c r="F69" s="71">
        <v>0</v>
      </c>
      <c r="G69" s="111" t="s">
        <v>50</v>
      </c>
      <c r="H69" s="31">
        <v>0</v>
      </c>
      <c r="I69" s="138" t="e">
        <f>IF(H69="","",VLOOKUP(H69,[1]ENTIDAD!$B$2:$C$605,2,0))</f>
        <v>#N/A</v>
      </c>
      <c r="J69" s="11"/>
      <c r="K69" s="11"/>
      <c r="L69" s="11"/>
      <c r="M69" s="11"/>
      <c r="N69" s="116">
        <f t="shared" si="4"/>
        <v>0</v>
      </c>
      <c r="O69" s="116">
        <f t="shared" si="5"/>
        <v>0</v>
      </c>
      <c r="P69" s="11">
        <v>0</v>
      </c>
      <c r="Q69" s="11"/>
      <c r="R69" s="11"/>
      <c r="S69" s="11"/>
      <c r="T69" s="14"/>
      <c r="U69" s="14"/>
      <c r="V69" s="13"/>
      <c r="W69" s="15"/>
      <c r="X69" s="13"/>
      <c r="Y69" s="14"/>
      <c r="Z69" s="14"/>
      <c r="AA69" s="14"/>
      <c r="AB69" s="42" t="s">
        <v>224</v>
      </c>
      <c r="AC69" s="11"/>
      <c r="AD69" s="13"/>
      <c r="AE69" s="14"/>
      <c r="AF69" s="19"/>
      <c r="AG69" s="14"/>
      <c r="AH69" s="14" t="s">
        <v>225</v>
      </c>
      <c r="AI69" s="14"/>
      <c r="AJ69" s="14"/>
      <c r="AK69" s="16"/>
      <c r="AL69" s="11"/>
      <c r="AM69" s="11"/>
      <c r="AN69" s="14"/>
      <c r="AO69" s="14"/>
      <c r="AP69" s="13"/>
      <c r="AQ69" s="14"/>
      <c r="AR69" s="11">
        <v>18</v>
      </c>
      <c r="AS69" s="14"/>
      <c r="AT69" s="14"/>
      <c r="AU69" s="11"/>
      <c r="AV69" s="14"/>
    </row>
    <row r="70" spans="1:49" s="45" customFormat="1" ht="15" x14ac:dyDescent="0.25">
      <c r="A70" s="226"/>
      <c r="B70" s="33"/>
      <c r="C70" s="48" t="s">
        <v>49</v>
      </c>
      <c r="D70" s="48"/>
      <c r="E70" s="34"/>
      <c r="F70" s="71">
        <v>0</v>
      </c>
      <c r="G70" s="48" t="s">
        <v>50</v>
      </c>
      <c r="H70" s="31">
        <v>0</v>
      </c>
      <c r="I70" s="138" t="e">
        <f>IF(H70="","",VLOOKUP(H70,[1]ENTIDAD!$B$2:$C$605,2,0))</f>
        <v>#N/A</v>
      </c>
      <c r="J70" s="35"/>
      <c r="K70" s="35"/>
      <c r="L70" s="35"/>
      <c r="M70" s="35"/>
      <c r="N70" s="116">
        <f t="shared" si="4"/>
        <v>0</v>
      </c>
      <c r="O70" s="116">
        <f t="shared" si="5"/>
        <v>0</v>
      </c>
      <c r="P70" s="11">
        <v>0</v>
      </c>
      <c r="Q70" s="35"/>
      <c r="R70" s="35"/>
      <c r="S70" s="35"/>
      <c r="T70" s="34"/>
      <c r="U70" s="34"/>
      <c r="V70" s="33"/>
      <c r="W70" s="36"/>
      <c r="X70" s="33"/>
      <c r="Y70" s="34"/>
      <c r="Z70" s="34"/>
      <c r="AA70" s="34"/>
      <c r="AB70" s="42" t="s">
        <v>224</v>
      </c>
      <c r="AC70" s="35"/>
      <c r="AD70" s="33"/>
      <c r="AE70" s="14"/>
      <c r="AF70" s="19"/>
      <c r="AG70" s="14"/>
      <c r="AH70" s="14" t="s">
        <v>225</v>
      </c>
      <c r="AI70" s="34"/>
      <c r="AJ70" s="34"/>
      <c r="AK70" s="38"/>
      <c r="AL70" s="35"/>
      <c r="AM70" s="35"/>
      <c r="AN70" s="34"/>
      <c r="AO70" s="34"/>
      <c r="AP70" s="33"/>
      <c r="AQ70" s="34"/>
      <c r="AR70" s="35">
        <v>18</v>
      </c>
      <c r="AS70" s="34"/>
      <c r="AT70" s="34"/>
      <c r="AU70" s="35"/>
      <c r="AV70" s="34"/>
      <c r="AW70"/>
    </row>
    <row r="71" spans="1:49" s="45" customFormat="1" ht="15" x14ac:dyDescent="0.25">
      <c r="A71" s="199"/>
      <c r="B71" s="72"/>
      <c r="C71" s="42" t="s">
        <v>49</v>
      </c>
      <c r="D71" s="42"/>
      <c r="E71" s="14"/>
      <c r="F71" s="71">
        <v>0</v>
      </c>
      <c r="G71" s="111" t="s">
        <v>50</v>
      </c>
      <c r="H71" s="114">
        <v>0</v>
      </c>
      <c r="I71" s="138" t="e">
        <f>IF(H71="","",VLOOKUP(H71,[1]ENTIDAD!$B$2:$C$605,2,0))</f>
        <v>#N/A</v>
      </c>
      <c r="J71" s="11"/>
      <c r="K71" s="11"/>
      <c r="L71" s="11"/>
      <c r="M71" s="11"/>
      <c r="N71" s="116">
        <f t="shared" si="4"/>
        <v>0</v>
      </c>
      <c r="O71" s="116">
        <f t="shared" si="5"/>
        <v>0</v>
      </c>
      <c r="P71" s="11">
        <v>0</v>
      </c>
      <c r="Q71" s="11"/>
      <c r="R71" s="11"/>
      <c r="S71" s="11"/>
      <c r="T71" s="14"/>
      <c r="U71" s="14"/>
      <c r="V71" s="13"/>
      <c r="W71" s="15"/>
      <c r="X71" s="13"/>
      <c r="Y71" s="14"/>
      <c r="Z71" s="14"/>
      <c r="AA71" s="14"/>
      <c r="AB71" s="42" t="s">
        <v>224</v>
      </c>
      <c r="AC71" s="11"/>
      <c r="AD71" s="33"/>
      <c r="AE71" s="34"/>
      <c r="AF71" s="19"/>
      <c r="AG71" s="14"/>
      <c r="AH71" s="14" t="s">
        <v>225</v>
      </c>
      <c r="AI71" s="14"/>
      <c r="AJ71" s="14"/>
      <c r="AK71" s="16"/>
      <c r="AL71" s="11"/>
      <c r="AM71" s="11"/>
      <c r="AN71" s="14"/>
      <c r="AO71" s="14"/>
      <c r="AP71" s="13"/>
      <c r="AQ71" s="14"/>
      <c r="AR71" s="11">
        <v>18</v>
      </c>
      <c r="AS71" s="14"/>
      <c r="AT71" s="14"/>
      <c r="AU71" s="11"/>
      <c r="AV71" s="14"/>
    </row>
    <row r="72" spans="1:49" s="45" customFormat="1" ht="15" x14ac:dyDescent="0.25">
      <c r="A72" s="199"/>
      <c r="B72" s="72"/>
      <c r="C72" s="42" t="s">
        <v>49</v>
      </c>
      <c r="D72" s="42"/>
      <c r="E72" s="14"/>
      <c r="F72" s="71">
        <v>0</v>
      </c>
      <c r="G72" s="42" t="s">
        <v>50</v>
      </c>
      <c r="H72" s="31">
        <v>0</v>
      </c>
      <c r="I72" s="138" t="e">
        <f>IF(H72="","",VLOOKUP(H72,ENTIDAD!$B$2:$C$613,2,0))</f>
        <v>#N/A</v>
      </c>
      <c r="J72" s="11"/>
      <c r="K72" s="11"/>
      <c r="L72" s="11"/>
      <c r="M72" s="11"/>
      <c r="N72" s="116">
        <f t="shared" si="4"/>
        <v>0</v>
      </c>
      <c r="O72" s="116">
        <f t="shared" si="5"/>
        <v>0</v>
      </c>
      <c r="P72" s="11">
        <v>0</v>
      </c>
      <c r="Q72" s="11"/>
      <c r="R72" s="11"/>
      <c r="S72" s="11"/>
      <c r="T72" s="14"/>
      <c r="U72" s="14"/>
      <c r="V72" s="13"/>
      <c r="W72" s="15"/>
      <c r="X72" s="13"/>
      <c r="Y72" s="14"/>
      <c r="Z72" s="14"/>
      <c r="AA72" s="14"/>
      <c r="AB72" s="42" t="s">
        <v>224</v>
      </c>
      <c r="AC72" s="11"/>
      <c r="AD72" s="33"/>
      <c r="AE72" s="34"/>
      <c r="AF72" s="37"/>
      <c r="AG72" s="14"/>
      <c r="AH72" s="14" t="s">
        <v>225</v>
      </c>
      <c r="AI72" s="14"/>
      <c r="AJ72" s="14"/>
      <c r="AK72" s="16"/>
      <c r="AL72" s="11"/>
      <c r="AM72" s="11"/>
      <c r="AN72" s="14"/>
      <c r="AO72" s="14"/>
      <c r="AP72" s="13"/>
      <c r="AQ72" s="14"/>
      <c r="AR72" s="11">
        <v>18</v>
      </c>
      <c r="AS72" s="14"/>
      <c r="AT72" s="14"/>
      <c r="AU72" s="11"/>
      <c r="AV72" s="14"/>
    </row>
    <row r="73" spans="1:49" s="45" customFormat="1" ht="15" x14ac:dyDescent="0.25">
      <c r="A73" s="199"/>
      <c r="B73" s="72"/>
      <c r="C73" s="42" t="s">
        <v>49</v>
      </c>
      <c r="D73" s="42"/>
      <c r="E73" s="14"/>
      <c r="F73" s="71">
        <v>0</v>
      </c>
      <c r="G73" s="42" t="s">
        <v>50</v>
      </c>
      <c r="H73" s="31">
        <v>0</v>
      </c>
      <c r="I73" s="138" t="e">
        <f>IF(H73="","",VLOOKUP(H73,ENTIDAD!$B$2:$C$613,2,0))</f>
        <v>#N/A</v>
      </c>
      <c r="J73" s="11"/>
      <c r="K73" s="11"/>
      <c r="L73" s="11"/>
      <c r="M73" s="11"/>
      <c r="N73" s="116">
        <f t="shared" si="4"/>
        <v>0</v>
      </c>
      <c r="O73" s="116">
        <f t="shared" si="5"/>
        <v>0</v>
      </c>
      <c r="P73" s="11">
        <v>0</v>
      </c>
      <c r="Q73" s="11"/>
      <c r="R73" s="11"/>
      <c r="S73" s="11"/>
      <c r="T73" s="14"/>
      <c r="U73" s="14"/>
      <c r="V73" s="13"/>
      <c r="W73" s="15"/>
      <c r="X73" s="13"/>
      <c r="Y73" s="14"/>
      <c r="Z73" s="14"/>
      <c r="AA73" s="14"/>
      <c r="AB73" s="42" t="s">
        <v>224</v>
      </c>
      <c r="AC73" s="11"/>
      <c r="AD73" s="33"/>
      <c r="AE73" s="34"/>
      <c r="AF73" s="37"/>
      <c r="AG73" s="14"/>
      <c r="AH73" s="14" t="s">
        <v>225</v>
      </c>
      <c r="AI73" s="14"/>
      <c r="AJ73" s="14"/>
      <c r="AK73" s="16"/>
      <c r="AL73" s="11"/>
      <c r="AM73" s="11"/>
      <c r="AN73" s="14"/>
      <c r="AO73" s="14"/>
      <c r="AP73" s="13"/>
      <c r="AQ73" s="14"/>
      <c r="AR73" s="11">
        <v>18</v>
      </c>
      <c r="AS73" s="14"/>
      <c r="AT73" s="14"/>
      <c r="AU73" s="11"/>
      <c r="AV73" s="14"/>
    </row>
    <row r="74" spans="1:49" s="45" customFormat="1" ht="13.5" customHeight="1" x14ac:dyDescent="0.25">
      <c r="A74" s="199"/>
      <c r="B74" s="72"/>
      <c r="C74" s="42" t="s">
        <v>49</v>
      </c>
      <c r="D74" s="42"/>
      <c r="E74" s="14"/>
      <c r="F74" s="71">
        <v>0</v>
      </c>
      <c r="G74" s="42" t="s">
        <v>50</v>
      </c>
      <c r="H74" s="31">
        <v>0</v>
      </c>
      <c r="I74" s="138" t="e">
        <f>IF(H74="","",VLOOKUP(H74,ENTIDAD!$B$2:$C$613,2,0))</f>
        <v>#N/A</v>
      </c>
      <c r="J74" s="11"/>
      <c r="K74" s="11"/>
      <c r="L74" s="11"/>
      <c r="M74" s="11"/>
      <c r="N74" s="116">
        <f t="shared" si="4"/>
        <v>0</v>
      </c>
      <c r="O74" s="116">
        <f t="shared" si="5"/>
        <v>0</v>
      </c>
      <c r="P74" s="11">
        <v>0</v>
      </c>
      <c r="Q74" s="11"/>
      <c r="R74" s="11"/>
      <c r="S74" s="11"/>
      <c r="T74" s="14"/>
      <c r="U74" s="14"/>
      <c r="V74" s="13"/>
      <c r="W74" s="15"/>
      <c r="X74" s="13"/>
      <c r="Y74" s="14"/>
      <c r="Z74" s="14"/>
      <c r="AA74" s="14"/>
      <c r="AB74" s="42" t="s">
        <v>224</v>
      </c>
      <c r="AC74" s="11"/>
      <c r="AD74" s="33"/>
      <c r="AE74" s="34"/>
      <c r="AF74" s="37"/>
      <c r="AG74" s="14"/>
      <c r="AH74" s="14" t="s">
        <v>225</v>
      </c>
      <c r="AI74" s="14"/>
      <c r="AJ74" s="14"/>
      <c r="AK74" s="16"/>
      <c r="AL74" s="11"/>
      <c r="AM74" s="11"/>
      <c r="AN74" s="14"/>
      <c r="AO74" s="14"/>
      <c r="AP74" s="13"/>
      <c r="AQ74" s="14"/>
      <c r="AR74" s="11">
        <v>18</v>
      </c>
      <c r="AS74" s="14"/>
      <c r="AT74" s="14"/>
      <c r="AU74" s="11"/>
      <c r="AV74" s="14"/>
    </row>
    <row r="75" spans="1:49" s="45" customFormat="1" ht="15" x14ac:dyDescent="0.25">
      <c r="A75" s="199"/>
      <c r="B75" s="72"/>
      <c r="C75" s="42" t="s">
        <v>49</v>
      </c>
      <c r="D75" s="42"/>
      <c r="E75" s="14"/>
      <c r="F75" s="71">
        <v>0</v>
      </c>
      <c r="G75" s="42" t="s">
        <v>50</v>
      </c>
      <c r="H75" s="31">
        <v>0</v>
      </c>
      <c r="I75" s="138" t="e">
        <f>IF(H75="","",VLOOKUP(H75,ENTIDAD!$B$2:$C$613,2,0))</f>
        <v>#N/A</v>
      </c>
      <c r="J75" s="11"/>
      <c r="K75" s="11"/>
      <c r="L75" s="11"/>
      <c r="M75" s="11"/>
      <c r="N75" s="116">
        <f t="shared" si="4"/>
        <v>0</v>
      </c>
      <c r="O75" s="116">
        <f t="shared" si="5"/>
        <v>0</v>
      </c>
      <c r="P75" s="11">
        <v>0</v>
      </c>
      <c r="Q75" s="11"/>
      <c r="R75" s="11"/>
      <c r="S75" s="11"/>
      <c r="T75" s="14"/>
      <c r="U75" s="14"/>
      <c r="V75" s="13"/>
      <c r="W75" s="15"/>
      <c r="X75" s="13"/>
      <c r="Y75" s="14"/>
      <c r="Z75" s="14"/>
      <c r="AA75" s="14"/>
      <c r="AB75" s="42" t="s">
        <v>224</v>
      </c>
      <c r="AC75" s="11"/>
      <c r="AD75" s="33"/>
      <c r="AE75" s="34"/>
      <c r="AF75" s="37"/>
      <c r="AG75" s="14"/>
      <c r="AH75" s="14" t="s">
        <v>225</v>
      </c>
      <c r="AI75" s="14"/>
      <c r="AJ75" s="14"/>
      <c r="AK75" s="16"/>
      <c r="AL75" s="11"/>
      <c r="AM75" s="11"/>
      <c r="AN75" s="14"/>
      <c r="AO75" s="14"/>
      <c r="AP75" s="13"/>
      <c r="AQ75" s="14"/>
      <c r="AR75" s="11">
        <v>18</v>
      </c>
      <c r="AS75" s="14"/>
      <c r="AT75" s="14"/>
      <c r="AU75" s="11"/>
      <c r="AV75" s="14"/>
    </row>
    <row r="76" spans="1:49" s="45" customFormat="1" ht="15" x14ac:dyDescent="0.25">
      <c r="A76" s="199"/>
      <c r="B76" s="72"/>
      <c r="C76" s="42" t="s">
        <v>49</v>
      </c>
      <c r="D76" s="42"/>
      <c r="E76" s="14"/>
      <c r="F76" s="71">
        <v>0</v>
      </c>
      <c r="G76" s="42" t="s">
        <v>50</v>
      </c>
      <c r="H76" s="31">
        <v>0</v>
      </c>
      <c r="I76" s="138" t="e">
        <f>IF(H76="","",VLOOKUP(H76,ENTIDAD!$B$2:$C$613,2,0))</f>
        <v>#N/A</v>
      </c>
      <c r="J76" s="11"/>
      <c r="K76" s="11"/>
      <c r="L76" s="11"/>
      <c r="M76" s="11"/>
      <c r="N76" s="116">
        <f t="shared" si="4"/>
        <v>0</v>
      </c>
      <c r="O76" s="116">
        <f t="shared" si="5"/>
        <v>0</v>
      </c>
      <c r="P76" s="11">
        <v>0</v>
      </c>
      <c r="Q76" s="11"/>
      <c r="R76" s="11"/>
      <c r="S76" s="11"/>
      <c r="T76" s="14"/>
      <c r="U76" s="14"/>
      <c r="V76" s="13"/>
      <c r="W76" s="15"/>
      <c r="X76" s="13"/>
      <c r="Y76" s="14"/>
      <c r="Z76" s="14"/>
      <c r="AA76" s="14"/>
      <c r="AB76" s="42" t="s">
        <v>224</v>
      </c>
      <c r="AC76" s="11"/>
      <c r="AD76" s="33"/>
      <c r="AE76" s="34"/>
      <c r="AF76" s="37"/>
      <c r="AG76" s="14"/>
      <c r="AH76" s="14" t="s">
        <v>225</v>
      </c>
      <c r="AI76" s="14"/>
      <c r="AJ76" s="14"/>
      <c r="AK76" s="16"/>
      <c r="AL76" s="11"/>
      <c r="AM76" s="11"/>
      <c r="AN76" s="14"/>
      <c r="AO76" s="14"/>
      <c r="AP76" s="13"/>
      <c r="AQ76" s="14"/>
      <c r="AR76" s="11">
        <v>18</v>
      </c>
      <c r="AS76" s="14"/>
      <c r="AT76" s="14"/>
      <c r="AU76" s="11"/>
      <c r="AV76" s="14"/>
    </row>
    <row r="77" spans="1:49" s="45" customFormat="1" ht="15" x14ac:dyDescent="0.25">
      <c r="A77" s="199"/>
      <c r="B77" s="72"/>
      <c r="C77" s="42" t="s">
        <v>49</v>
      </c>
      <c r="D77" s="42"/>
      <c r="E77" s="14"/>
      <c r="F77" s="71">
        <v>0</v>
      </c>
      <c r="G77" s="42" t="s">
        <v>50</v>
      </c>
      <c r="H77" s="31">
        <v>0</v>
      </c>
      <c r="I77" s="138" t="e">
        <f>IF(H77="","",VLOOKUP(H77,ENTIDAD!$B$2:$C$613,2,0))</f>
        <v>#N/A</v>
      </c>
      <c r="J77" s="11"/>
      <c r="K77" s="11"/>
      <c r="L77" s="11"/>
      <c r="M77" s="11"/>
      <c r="N77" s="116">
        <f t="shared" si="4"/>
        <v>0</v>
      </c>
      <c r="O77" s="116">
        <f t="shared" si="5"/>
        <v>0</v>
      </c>
      <c r="P77" s="11">
        <v>0</v>
      </c>
      <c r="Q77" s="11"/>
      <c r="R77" s="11"/>
      <c r="S77" s="11"/>
      <c r="T77" s="14"/>
      <c r="U77" s="14"/>
      <c r="V77" s="13"/>
      <c r="W77" s="15"/>
      <c r="X77" s="13"/>
      <c r="Y77" s="14"/>
      <c r="Z77" s="14"/>
      <c r="AA77" s="14"/>
      <c r="AB77" s="42" t="s">
        <v>224</v>
      </c>
      <c r="AC77" s="11"/>
      <c r="AD77" s="33"/>
      <c r="AE77" s="34"/>
      <c r="AF77" s="37"/>
      <c r="AG77" s="14"/>
      <c r="AH77" s="14" t="s">
        <v>225</v>
      </c>
      <c r="AI77" s="14"/>
      <c r="AJ77" s="14"/>
      <c r="AK77" s="16"/>
      <c r="AL77" s="11"/>
      <c r="AM77" s="11"/>
      <c r="AN77" s="14"/>
      <c r="AO77" s="14"/>
      <c r="AP77" s="13"/>
      <c r="AQ77" s="14"/>
      <c r="AR77" s="11">
        <v>18</v>
      </c>
      <c r="AS77" s="14"/>
      <c r="AT77" s="14"/>
      <c r="AU77" s="11"/>
      <c r="AV77" s="14"/>
    </row>
    <row r="78" spans="1:49" s="45" customFormat="1" ht="15.75" customHeight="1" x14ac:dyDescent="0.25">
      <c r="A78" s="199"/>
      <c r="B78" s="72"/>
      <c r="C78" s="42" t="s">
        <v>49</v>
      </c>
      <c r="D78" s="42"/>
      <c r="E78" s="14"/>
      <c r="F78" s="71">
        <v>0</v>
      </c>
      <c r="G78" s="42" t="s">
        <v>50</v>
      </c>
      <c r="H78" s="31">
        <v>0</v>
      </c>
      <c r="I78" s="138" t="e">
        <f>IF(H78="","",VLOOKUP(H78,ENTIDAD!$B$2:$C$613,2,0))</f>
        <v>#N/A</v>
      </c>
      <c r="J78" s="11"/>
      <c r="K78" s="11"/>
      <c r="L78" s="11"/>
      <c r="M78" s="11"/>
      <c r="N78" s="116">
        <f t="shared" si="4"/>
        <v>0</v>
      </c>
      <c r="O78" s="116">
        <f t="shared" si="5"/>
        <v>0</v>
      </c>
      <c r="P78" s="11">
        <v>0</v>
      </c>
      <c r="Q78" s="11"/>
      <c r="R78" s="11"/>
      <c r="S78" s="11"/>
      <c r="T78" s="14"/>
      <c r="U78" s="14"/>
      <c r="V78" s="13"/>
      <c r="W78" s="15"/>
      <c r="X78" s="13"/>
      <c r="Y78" s="14"/>
      <c r="Z78" s="14"/>
      <c r="AA78" s="14"/>
      <c r="AB78" s="42" t="s">
        <v>224</v>
      </c>
      <c r="AC78" s="11"/>
      <c r="AD78" s="33"/>
      <c r="AE78" s="34"/>
      <c r="AF78" s="37"/>
      <c r="AG78" s="14"/>
      <c r="AH78" s="14" t="s">
        <v>225</v>
      </c>
      <c r="AI78" s="14"/>
      <c r="AJ78" s="14"/>
      <c r="AK78" s="16"/>
      <c r="AL78" s="11"/>
      <c r="AM78" s="11"/>
      <c r="AN78" s="14"/>
      <c r="AO78" s="14"/>
      <c r="AP78" s="13"/>
      <c r="AQ78" s="14"/>
      <c r="AR78" s="11">
        <v>18</v>
      </c>
      <c r="AS78" s="14"/>
      <c r="AT78" s="14"/>
      <c r="AU78" s="11"/>
      <c r="AV78" s="14"/>
    </row>
    <row r="79" spans="1:49" s="45" customFormat="1" ht="15" x14ac:dyDescent="0.25">
      <c r="A79" s="199"/>
      <c r="B79" s="72"/>
      <c r="C79" s="42" t="s">
        <v>49</v>
      </c>
      <c r="D79" s="42"/>
      <c r="E79" s="14"/>
      <c r="F79" s="71">
        <v>0</v>
      </c>
      <c r="G79" s="42" t="s">
        <v>50</v>
      </c>
      <c r="H79" s="31">
        <v>0</v>
      </c>
      <c r="I79" s="138" t="e">
        <f>IF(H79="","",VLOOKUP(H79,[1]ENTIDAD!$B$2:$C$605,2,0))</f>
        <v>#N/A</v>
      </c>
      <c r="J79" s="11"/>
      <c r="K79" s="11"/>
      <c r="L79" s="11"/>
      <c r="M79" s="11"/>
      <c r="N79" s="116">
        <f t="shared" si="4"/>
        <v>0</v>
      </c>
      <c r="O79" s="116">
        <f t="shared" si="5"/>
        <v>0</v>
      </c>
      <c r="P79" s="11">
        <v>0</v>
      </c>
      <c r="Q79" s="11"/>
      <c r="R79" s="11"/>
      <c r="S79" s="11"/>
      <c r="T79" s="14"/>
      <c r="U79" s="14"/>
      <c r="V79" s="13"/>
      <c r="W79" s="15"/>
      <c r="X79" s="13"/>
      <c r="Y79" s="14"/>
      <c r="Z79" s="14"/>
      <c r="AA79" s="14"/>
      <c r="AB79" s="42" t="s">
        <v>224</v>
      </c>
      <c r="AC79" s="11"/>
      <c r="AD79" s="33"/>
      <c r="AE79" s="34"/>
      <c r="AF79" s="37"/>
      <c r="AG79" s="14"/>
      <c r="AH79" s="14" t="s">
        <v>225</v>
      </c>
      <c r="AI79" s="14"/>
      <c r="AJ79" s="14"/>
      <c r="AK79" s="16"/>
      <c r="AL79" s="11"/>
      <c r="AM79" s="11"/>
      <c r="AN79" s="14"/>
      <c r="AO79" s="14"/>
      <c r="AP79" s="13"/>
      <c r="AQ79" s="14"/>
      <c r="AR79" s="11">
        <v>18</v>
      </c>
      <c r="AS79" s="14"/>
      <c r="AT79" s="14"/>
      <c r="AU79" s="11"/>
      <c r="AV79" s="14"/>
    </row>
    <row r="80" spans="1:49" s="45" customFormat="1" ht="15" x14ac:dyDescent="0.25">
      <c r="A80" s="199"/>
      <c r="B80" s="72"/>
      <c r="C80" s="42" t="s">
        <v>49</v>
      </c>
      <c r="D80" s="42"/>
      <c r="E80" s="14"/>
      <c r="F80" s="71">
        <v>0</v>
      </c>
      <c r="G80" s="42" t="s">
        <v>50</v>
      </c>
      <c r="H80" s="31">
        <v>0</v>
      </c>
      <c r="I80" s="138" t="e">
        <f>IF(H80="","",VLOOKUP(H80,[1]ENTIDAD!$B$2:$C$605,2,0))</f>
        <v>#N/A</v>
      </c>
      <c r="J80" s="11"/>
      <c r="K80" s="11"/>
      <c r="L80" s="11"/>
      <c r="M80" s="11"/>
      <c r="N80" s="116">
        <f t="shared" si="4"/>
        <v>0</v>
      </c>
      <c r="O80" s="116">
        <f t="shared" si="5"/>
        <v>0</v>
      </c>
      <c r="P80" s="11">
        <v>0</v>
      </c>
      <c r="Q80" s="11"/>
      <c r="R80" s="11"/>
      <c r="S80" s="11"/>
      <c r="T80" s="14"/>
      <c r="U80" s="14"/>
      <c r="V80" s="13"/>
      <c r="W80" s="15"/>
      <c r="X80" s="13"/>
      <c r="Y80" s="14"/>
      <c r="Z80" s="14"/>
      <c r="AA80" s="14"/>
      <c r="AB80" s="42" t="s">
        <v>224</v>
      </c>
      <c r="AC80" s="11"/>
      <c r="AD80" s="33"/>
      <c r="AE80" s="34"/>
      <c r="AF80" s="37"/>
      <c r="AG80" s="14"/>
      <c r="AH80" s="14" t="s">
        <v>225</v>
      </c>
      <c r="AI80" s="14"/>
      <c r="AJ80" s="14"/>
      <c r="AK80" s="16"/>
      <c r="AL80" s="11"/>
      <c r="AM80" s="11"/>
      <c r="AN80" s="14"/>
      <c r="AO80" s="14"/>
      <c r="AP80" s="13"/>
      <c r="AQ80" s="14"/>
      <c r="AR80" s="11">
        <v>18</v>
      </c>
      <c r="AS80" s="14"/>
      <c r="AT80" s="14"/>
      <c r="AU80" s="11"/>
      <c r="AV80" s="14"/>
    </row>
    <row r="81" spans="1:49" s="121" customFormat="1" ht="15" x14ac:dyDescent="0.25">
      <c r="A81" s="199"/>
      <c r="B81" s="72"/>
      <c r="C81" s="42" t="s">
        <v>49</v>
      </c>
      <c r="D81" s="42"/>
      <c r="E81" s="14"/>
      <c r="F81" s="71">
        <v>0</v>
      </c>
      <c r="G81" s="42" t="s">
        <v>50</v>
      </c>
      <c r="H81" s="31">
        <v>0</v>
      </c>
      <c r="I81" s="138" t="e">
        <f>IF(H81="","",VLOOKUP(H81,[1]ENTIDAD!$B$2:$C$605,2,0))</f>
        <v>#N/A</v>
      </c>
      <c r="J81" s="11"/>
      <c r="K81" s="11"/>
      <c r="L81" s="11"/>
      <c r="M81" s="11"/>
      <c r="N81" s="116">
        <f t="shared" si="4"/>
        <v>0</v>
      </c>
      <c r="O81" s="116">
        <f t="shared" si="5"/>
        <v>0</v>
      </c>
      <c r="P81" s="11">
        <v>0</v>
      </c>
      <c r="Q81" s="11"/>
      <c r="R81" s="11"/>
      <c r="S81" s="11"/>
      <c r="T81" s="14"/>
      <c r="U81" s="14"/>
      <c r="V81" s="13"/>
      <c r="W81" s="15"/>
      <c r="X81" s="13"/>
      <c r="Y81" s="14"/>
      <c r="Z81" s="14"/>
      <c r="AA81" s="14"/>
      <c r="AB81" s="42" t="s">
        <v>224</v>
      </c>
      <c r="AC81" s="11"/>
      <c r="AD81" s="33"/>
      <c r="AE81" s="34"/>
      <c r="AF81" s="37"/>
      <c r="AG81" s="14"/>
      <c r="AH81" s="14" t="s">
        <v>225</v>
      </c>
      <c r="AI81" s="14"/>
      <c r="AJ81" s="14"/>
      <c r="AK81" s="16"/>
      <c r="AL81" s="11"/>
      <c r="AM81" s="11"/>
      <c r="AN81" s="14"/>
      <c r="AO81" s="14"/>
      <c r="AP81" s="13"/>
      <c r="AQ81" s="14"/>
      <c r="AR81" s="11">
        <v>18</v>
      </c>
      <c r="AS81" s="14"/>
      <c r="AT81" s="14"/>
      <c r="AU81" s="11"/>
      <c r="AV81" s="14"/>
      <c r="AW81" s="45"/>
    </row>
    <row r="82" spans="1:49" s="45" customFormat="1" ht="15" x14ac:dyDescent="0.25">
      <c r="A82" s="200"/>
      <c r="B82" s="72"/>
      <c r="C82" s="111" t="s">
        <v>49</v>
      </c>
      <c r="D82" s="42"/>
      <c r="E82" s="112"/>
      <c r="F82" s="71">
        <v>0</v>
      </c>
      <c r="G82" s="111" t="s">
        <v>50</v>
      </c>
      <c r="H82" s="31">
        <v>0</v>
      </c>
      <c r="I82" s="43" t="e">
        <f>IF(H82="","",VLOOKUP(H82,[1]ENTIDAD!$B$2:$C$605,2,0))</f>
        <v>#N/A</v>
      </c>
      <c r="J82" s="116"/>
      <c r="K82" s="116"/>
      <c r="L82" s="116"/>
      <c r="M82" s="116"/>
      <c r="N82" s="116">
        <f t="shared" si="4"/>
        <v>0</v>
      </c>
      <c r="O82" s="116">
        <f t="shared" si="5"/>
        <v>0</v>
      </c>
      <c r="P82" s="11">
        <v>0</v>
      </c>
      <c r="Q82" s="116"/>
      <c r="R82" s="11"/>
      <c r="S82" s="11"/>
      <c r="T82" s="112"/>
      <c r="U82" s="112"/>
      <c r="V82" s="109"/>
      <c r="W82" s="118"/>
      <c r="X82" s="109"/>
      <c r="Y82" s="112"/>
      <c r="Z82" s="112"/>
      <c r="AA82" s="112"/>
      <c r="AB82" s="42" t="s">
        <v>224</v>
      </c>
      <c r="AC82" s="11"/>
      <c r="AD82" s="33"/>
      <c r="AE82" s="34"/>
      <c r="AF82" s="37"/>
      <c r="AG82" s="14"/>
      <c r="AH82" s="14" t="s">
        <v>225</v>
      </c>
      <c r="AI82" s="14"/>
      <c r="AJ82" s="14"/>
      <c r="AK82" s="16"/>
      <c r="AL82" s="11"/>
      <c r="AM82" s="11"/>
      <c r="AN82" s="14"/>
      <c r="AO82" s="14"/>
      <c r="AP82" s="13"/>
      <c r="AQ82" s="14"/>
      <c r="AR82" s="11">
        <v>18</v>
      </c>
      <c r="AS82" s="14"/>
      <c r="AT82" s="112"/>
      <c r="AU82" s="116"/>
      <c r="AV82" s="112"/>
      <c r="AW82" s="121"/>
    </row>
    <row r="83" spans="1:49" s="45" customFormat="1" ht="15" x14ac:dyDescent="0.25">
      <c r="A83" s="199"/>
      <c r="B83" s="72"/>
      <c r="C83" s="42" t="s">
        <v>49</v>
      </c>
      <c r="D83" s="42"/>
      <c r="E83" s="14"/>
      <c r="F83" s="71">
        <v>0</v>
      </c>
      <c r="G83" s="42" t="s">
        <v>50</v>
      </c>
      <c r="H83" s="31">
        <v>0</v>
      </c>
      <c r="I83" s="43" t="e">
        <f>IF(H83="","",VLOOKUP(H83,[1]ENTIDAD!$B$2:$C$605,2,0))</f>
        <v>#N/A</v>
      </c>
      <c r="J83" s="11"/>
      <c r="K83" s="11"/>
      <c r="L83" s="11"/>
      <c r="M83" s="11"/>
      <c r="N83" s="116">
        <f t="shared" si="4"/>
        <v>0</v>
      </c>
      <c r="O83" s="116">
        <f t="shared" si="5"/>
        <v>0</v>
      </c>
      <c r="P83" s="11">
        <v>0</v>
      </c>
      <c r="Q83" s="11"/>
      <c r="R83" s="11"/>
      <c r="S83" s="11"/>
      <c r="T83" s="14"/>
      <c r="U83" s="14"/>
      <c r="V83" s="13"/>
      <c r="W83" s="15"/>
      <c r="X83" s="13"/>
      <c r="Y83" s="14"/>
      <c r="Z83" s="14"/>
      <c r="AA83" s="14"/>
      <c r="AB83" s="42" t="s">
        <v>224</v>
      </c>
      <c r="AC83" s="11"/>
      <c r="AD83" s="33"/>
      <c r="AE83" s="34"/>
      <c r="AF83" s="37"/>
      <c r="AG83" s="14"/>
      <c r="AH83" s="14" t="s">
        <v>225</v>
      </c>
      <c r="AI83" s="14"/>
      <c r="AJ83" s="14"/>
      <c r="AK83" s="16"/>
      <c r="AL83" s="11"/>
      <c r="AM83" s="11"/>
      <c r="AN83" s="14"/>
      <c r="AO83" s="14"/>
      <c r="AP83" s="13"/>
      <c r="AQ83" s="14"/>
      <c r="AR83" s="11">
        <v>18</v>
      </c>
      <c r="AS83" s="14"/>
      <c r="AT83" s="14"/>
      <c r="AU83" s="11"/>
      <c r="AV83" s="14"/>
    </row>
    <row r="84" spans="1:49" s="45" customFormat="1" ht="15" x14ac:dyDescent="0.25">
      <c r="A84" s="199"/>
      <c r="B84" s="72"/>
      <c r="C84" s="42" t="s">
        <v>49</v>
      </c>
      <c r="D84" s="42"/>
      <c r="E84" s="14"/>
      <c r="F84" s="71">
        <v>0</v>
      </c>
      <c r="G84" s="42" t="s">
        <v>50</v>
      </c>
      <c r="H84" s="31">
        <v>0</v>
      </c>
      <c r="I84" s="43" t="e">
        <f>IF(H84="","",VLOOKUP(H84,[1]ENTIDAD!$B$2:$C$605,2,0))</f>
        <v>#N/A</v>
      </c>
      <c r="J84" s="11"/>
      <c r="K84" s="11"/>
      <c r="L84" s="11"/>
      <c r="M84" s="11"/>
      <c r="N84" s="116">
        <f t="shared" si="4"/>
        <v>0</v>
      </c>
      <c r="O84" s="116">
        <f t="shared" si="5"/>
        <v>0</v>
      </c>
      <c r="P84" s="11">
        <v>0</v>
      </c>
      <c r="Q84" s="11"/>
      <c r="R84" s="11"/>
      <c r="S84" s="11"/>
      <c r="T84" s="14"/>
      <c r="U84" s="14"/>
      <c r="V84" s="13"/>
      <c r="W84" s="15"/>
      <c r="X84" s="13"/>
      <c r="Y84" s="14"/>
      <c r="Z84" s="14"/>
      <c r="AA84" s="14"/>
      <c r="AB84" s="42" t="s">
        <v>224</v>
      </c>
      <c r="AC84" s="11"/>
      <c r="AD84" s="33"/>
      <c r="AE84" s="34"/>
      <c r="AF84" s="37"/>
      <c r="AG84" s="14"/>
      <c r="AH84" s="14" t="s">
        <v>225</v>
      </c>
      <c r="AI84" s="14"/>
      <c r="AJ84" s="14"/>
      <c r="AK84" s="16"/>
      <c r="AL84" s="11"/>
      <c r="AM84" s="11"/>
      <c r="AN84" s="14"/>
      <c r="AO84" s="14"/>
      <c r="AP84" s="13"/>
      <c r="AQ84" s="14"/>
      <c r="AR84" s="11">
        <v>18</v>
      </c>
      <c r="AS84" s="14"/>
      <c r="AT84" s="14"/>
      <c r="AU84" s="11"/>
      <c r="AV84" s="14"/>
    </row>
    <row r="85" spans="1:49" s="45" customFormat="1" ht="15" x14ac:dyDescent="0.25">
      <c r="A85" s="199"/>
      <c r="B85" s="72"/>
      <c r="C85" s="42" t="s">
        <v>49</v>
      </c>
      <c r="D85" s="42"/>
      <c r="E85" s="14"/>
      <c r="F85" s="71">
        <v>0</v>
      </c>
      <c r="G85" s="42" t="s">
        <v>50</v>
      </c>
      <c r="H85" s="31">
        <v>0</v>
      </c>
      <c r="I85" s="43" t="e">
        <f>IF(H85="","",VLOOKUP(H85,[1]ENTIDAD!$B$2:$C$605,2,0))</f>
        <v>#N/A</v>
      </c>
      <c r="J85" s="11"/>
      <c r="K85" s="11"/>
      <c r="L85" s="11"/>
      <c r="M85" s="11"/>
      <c r="N85" s="116">
        <f t="shared" si="4"/>
        <v>0</v>
      </c>
      <c r="O85" s="116">
        <f t="shared" si="5"/>
        <v>0</v>
      </c>
      <c r="P85" s="11">
        <v>0</v>
      </c>
      <c r="Q85" s="11"/>
      <c r="R85" s="11"/>
      <c r="S85" s="11"/>
      <c r="T85" s="14"/>
      <c r="U85" s="14"/>
      <c r="V85" s="13"/>
      <c r="W85" s="15"/>
      <c r="X85" s="13"/>
      <c r="Y85" s="14"/>
      <c r="Z85" s="14"/>
      <c r="AA85" s="14"/>
      <c r="AB85" s="42" t="s">
        <v>224</v>
      </c>
      <c r="AC85" s="11"/>
      <c r="AD85" s="33"/>
      <c r="AE85" s="34"/>
      <c r="AF85" s="37"/>
      <c r="AG85" s="14"/>
      <c r="AH85" s="14" t="s">
        <v>225</v>
      </c>
      <c r="AI85" s="14"/>
      <c r="AJ85" s="14"/>
      <c r="AK85" s="16"/>
      <c r="AL85" s="11"/>
      <c r="AM85" s="11"/>
      <c r="AN85" s="14"/>
      <c r="AO85" s="14"/>
      <c r="AP85" s="13"/>
      <c r="AQ85" s="14"/>
      <c r="AR85" s="11">
        <v>18</v>
      </c>
      <c r="AS85" s="14"/>
      <c r="AT85" s="14"/>
      <c r="AU85" s="11"/>
      <c r="AV85" s="14"/>
    </row>
    <row r="86" spans="1:49" s="45" customFormat="1" ht="15" x14ac:dyDescent="0.25">
      <c r="A86" s="199"/>
      <c r="B86" s="72"/>
      <c r="C86" s="42" t="s">
        <v>49</v>
      </c>
      <c r="D86" s="42"/>
      <c r="E86" s="14"/>
      <c r="F86" s="71">
        <v>0</v>
      </c>
      <c r="G86" s="42" t="s">
        <v>50</v>
      </c>
      <c r="H86" s="31">
        <v>0</v>
      </c>
      <c r="I86" s="43" t="e">
        <f>IF(H86="","",VLOOKUP(H86,[1]ENTIDAD!$B$2:$C$605,2,0))</f>
        <v>#N/A</v>
      </c>
      <c r="J86" s="11"/>
      <c r="K86" s="11"/>
      <c r="L86" s="11"/>
      <c r="M86" s="11"/>
      <c r="N86" s="116">
        <f t="shared" si="4"/>
        <v>0</v>
      </c>
      <c r="O86" s="116">
        <f t="shared" si="5"/>
        <v>0</v>
      </c>
      <c r="P86" s="11">
        <v>0</v>
      </c>
      <c r="Q86" s="11"/>
      <c r="R86" s="11"/>
      <c r="S86" s="11"/>
      <c r="T86" s="14"/>
      <c r="U86" s="14"/>
      <c r="V86" s="13"/>
      <c r="W86" s="15"/>
      <c r="X86" s="13"/>
      <c r="Y86" s="14"/>
      <c r="Z86" s="14"/>
      <c r="AA86" s="14"/>
      <c r="AB86" s="42" t="s">
        <v>224</v>
      </c>
      <c r="AC86" s="11"/>
      <c r="AD86" s="33"/>
      <c r="AE86" s="34"/>
      <c r="AF86" s="37"/>
      <c r="AG86" s="14"/>
      <c r="AH86" s="14" t="s">
        <v>225</v>
      </c>
      <c r="AI86" s="14"/>
      <c r="AJ86" s="14"/>
      <c r="AK86" s="16"/>
      <c r="AL86" s="11"/>
      <c r="AM86" s="11"/>
      <c r="AN86" s="14"/>
      <c r="AO86" s="14"/>
      <c r="AP86" s="13"/>
      <c r="AQ86" s="14"/>
      <c r="AR86" s="11">
        <v>18</v>
      </c>
      <c r="AS86" s="14"/>
      <c r="AT86" s="14"/>
      <c r="AU86" s="11"/>
      <c r="AV86" s="14"/>
    </row>
    <row r="87" spans="1:49" s="45" customFormat="1" ht="15" x14ac:dyDescent="0.25">
      <c r="A87" s="199"/>
      <c r="B87" s="72"/>
      <c r="C87" s="42" t="s">
        <v>49</v>
      </c>
      <c r="D87" s="42"/>
      <c r="E87" s="14"/>
      <c r="F87" s="71">
        <v>0</v>
      </c>
      <c r="G87" s="42" t="s">
        <v>50</v>
      </c>
      <c r="H87" s="31">
        <v>0</v>
      </c>
      <c r="I87" s="43" t="e">
        <f>IF(H87="","",VLOOKUP(H87,[1]ENTIDAD!$B$2:$C$605,2,0))</f>
        <v>#N/A</v>
      </c>
      <c r="J87" s="11"/>
      <c r="K87" s="11"/>
      <c r="L87" s="11"/>
      <c r="M87" s="11"/>
      <c r="N87" s="116">
        <f t="shared" si="4"/>
        <v>0</v>
      </c>
      <c r="O87" s="116">
        <f t="shared" si="5"/>
        <v>0</v>
      </c>
      <c r="P87" s="11">
        <v>0</v>
      </c>
      <c r="Q87" s="11"/>
      <c r="R87" s="11"/>
      <c r="S87" s="11"/>
      <c r="T87" s="14"/>
      <c r="U87" s="14"/>
      <c r="V87" s="13"/>
      <c r="W87" s="15"/>
      <c r="X87" s="13"/>
      <c r="Y87" s="14"/>
      <c r="Z87" s="14"/>
      <c r="AA87" s="14"/>
      <c r="AB87" s="42" t="s">
        <v>224</v>
      </c>
      <c r="AC87" s="11"/>
      <c r="AD87" s="33"/>
      <c r="AE87" s="34"/>
      <c r="AF87" s="37"/>
      <c r="AG87" s="14"/>
      <c r="AH87" s="14" t="s">
        <v>225</v>
      </c>
      <c r="AI87" s="14"/>
      <c r="AJ87" s="14"/>
      <c r="AK87" s="16"/>
      <c r="AL87" s="11"/>
      <c r="AM87" s="11"/>
      <c r="AN87" s="14"/>
      <c r="AO87" s="14"/>
      <c r="AP87" s="13"/>
      <c r="AQ87" s="14"/>
      <c r="AR87" s="11">
        <v>18</v>
      </c>
      <c r="AS87" s="14"/>
      <c r="AT87" s="14"/>
      <c r="AU87" s="11"/>
      <c r="AV87" s="14"/>
    </row>
    <row r="88" spans="1:49" s="45" customFormat="1" ht="15" x14ac:dyDescent="0.25">
      <c r="A88" s="199"/>
      <c r="B88" s="72"/>
      <c r="C88" s="42" t="s">
        <v>49</v>
      </c>
      <c r="D88" s="42"/>
      <c r="E88" s="14"/>
      <c r="F88" s="71">
        <v>0</v>
      </c>
      <c r="G88" s="42" t="s">
        <v>50</v>
      </c>
      <c r="H88" s="31">
        <v>0</v>
      </c>
      <c r="I88" s="43" t="e">
        <f>IF(H88="","",VLOOKUP(H88,[1]ENTIDAD!$B$2:$C$605,2,0))</f>
        <v>#N/A</v>
      </c>
      <c r="J88" s="11"/>
      <c r="K88" s="11"/>
      <c r="L88" s="11"/>
      <c r="M88" s="11"/>
      <c r="N88" s="116">
        <f t="shared" si="4"/>
        <v>0</v>
      </c>
      <c r="O88" s="116">
        <f t="shared" si="5"/>
        <v>0</v>
      </c>
      <c r="P88" s="11">
        <v>0</v>
      </c>
      <c r="Q88" s="11"/>
      <c r="R88" s="11"/>
      <c r="S88" s="11"/>
      <c r="T88" s="14"/>
      <c r="U88" s="14"/>
      <c r="V88" s="13"/>
      <c r="W88" s="15"/>
      <c r="X88" s="13"/>
      <c r="Y88" s="14"/>
      <c r="Z88" s="14"/>
      <c r="AA88" s="14"/>
      <c r="AB88" s="42" t="s">
        <v>224</v>
      </c>
      <c r="AC88" s="11"/>
      <c r="AD88" s="33"/>
      <c r="AE88" s="34"/>
      <c r="AF88" s="37"/>
      <c r="AG88" s="14"/>
      <c r="AH88" s="14" t="s">
        <v>225</v>
      </c>
      <c r="AI88" s="14"/>
      <c r="AJ88" s="14"/>
      <c r="AK88" s="16"/>
      <c r="AL88" s="11"/>
      <c r="AM88" s="11"/>
      <c r="AN88" s="14"/>
      <c r="AO88" s="14"/>
      <c r="AP88" s="13"/>
      <c r="AQ88" s="14"/>
      <c r="AR88" s="11">
        <v>18</v>
      </c>
      <c r="AS88" s="14"/>
      <c r="AT88" s="14"/>
      <c r="AU88" s="11"/>
      <c r="AV88" s="14"/>
    </row>
    <row r="89" spans="1:49" s="45" customFormat="1" ht="15" x14ac:dyDescent="0.25">
      <c r="A89" s="199"/>
      <c r="B89" s="72"/>
      <c r="C89" s="42" t="s">
        <v>49</v>
      </c>
      <c r="D89" s="42"/>
      <c r="E89" s="14"/>
      <c r="F89" s="71">
        <v>0</v>
      </c>
      <c r="G89" s="42" t="s">
        <v>50</v>
      </c>
      <c r="H89" s="31">
        <v>0</v>
      </c>
      <c r="I89" s="43" t="e">
        <f>IF(H89="","",VLOOKUP(H89,[1]ENTIDAD!$B$2:$C$605,2,0))</f>
        <v>#N/A</v>
      </c>
      <c r="J89" s="11"/>
      <c r="K89" s="11"/>
      <c r="L89" s="11"/>
      <c r="M89" s="11"/>
      <c r="N89" s="116">
        <f t="shared" si="4"/>
        <v>0</v>
      </c>
      <c r="O89" s="116">
        <f t="shared" si="5"/>
        <v>0</v>
      </c>
      <c r="P89" s="11">
        <v>0</v>
      </c>
      <c r="Q89" s="11"/>
      <c r="R89" s="11"/>
      <c r="S89" s="11"/>
      <c r="T89" s="14"/>
      <c r="U89" s="14"/>
      <c r="V89" s="13"/>
      <c r="W89" s="15"/>
      <c r="X89" s="13"/>
      <c r="Y89" s="14"/>
      <c r="Z89" s="14"/>
      <c r="AA89" s="14"/>
      <c r="AB89" s="42" t="s">
        <v>224</v>
      </c>
      <c r="AC89" s="11"/>
      <c r="AD89" s="33"/>
      <c r="AE89" s="34"/>
      <c r="AF89" s="37"/>
      <c r="AG89" s="14"/>
      <c r="AH89" s="14" t="s">
        <v>225</v>
      </c>
      <c r="AI89" s="14"/>
      <c r="AJ89" s="14"/>
      <c r="AK89" s="16"/>
      <c r="AL89" s="11"/>
      <c r="AM89" s="11"/>
      <c r="AN89" s="14"/>
      <c r="AO89" s="14"/>
      <c r="AP89" s="13"/>
      <c r="AQ89" s="14"/>
      <c r="AR89" s="11">
        <v>18</v>
      </c>
      <c r="AS89" s="14"/>
      <c r="AT89" s="14"/>
      <c r="AU89" s="11"/>
      <c r="AV89" s="14"/>
    </row>
    <row r="90" spans="1:49" s="45" customFormat="1" ht="15" x14ac:dyDescent="0.25">
      <c r="A90" s="199"/>
      <c r="B90" s="72"/>
      <c r="C90" s="42" t="s">
        <v>49</v>
      </c>
      <c r="D90" s="42"/>
      <c r="E90" s="14"/>
      <c r="F90" s="71">
        <v>0</v>
      </c>
      <c r="G90" s="42" t="s">
        <v>50</v>
      </c>
      <c r="H90" s="31">
        <v>0</v>
      </c>
      <c r="I90" s="138" t="e">
        <f>IF(H90="","",VLOOKUP(H90,[1]ENTIDAD!$B$2:$C$605,2,0))</f>
        <v>#N/A</v>
      </c>
      <c r="J90" s="11"/>
      <c r="K90" s="11"/>
      <c r="L90" s="11"/>
      <c r="M90" s="11"/>
      <c r="N90" s="116">
        <f t="shared" si="4"/>
        <v>0</v>
      </c>
      <c r="O90" s="116">
        <f t="shared" si="5"/>
        <v>0</v>
      </c>
      <c r="P90" s="11">
        <v>0</v>
      </c>
      <c r="Q90" s="11"/>
      <c r="R90" s="11"/>
      <c r="S90" s="11"/>
      <c r="T90" s="14"/>
      <c r="U90" s="14"/>
      <c r="V90" s="13"/>
      <c r="W90" s="15"/>
      <c r="X90" s="13"/>
      <c r="Y90" s="14"/>
      <c r="Z90" s="14"/>
      <c r="AA90" s="14"/>
      <c r="AB90" s="42" t="s">
        <v>224</v>
      </c>
      <c r="AC90" s="11"/>
      <c r="AD90" s="33"/>
      <c r="AE90" s="34"/>
      <c r="AF90" s="37"/>
      <c r="AG90" s="14"/>
      <c r="AH90" s="14" t="s">
        <v>225</v>
      </c>
      <c r="AI90" s="14"/>
      <c r="AJ90" s="14"/>
      <c r="AK90" s="16"/>
      <c r="AL90" s="11"/>
      <c r="AM90" s="11"/>
      <c r="AN90" s="14"/>
      <c r="AO90" s="14"/>
      <c r="AP90" s="13"/>
      <c r="AQ90" s="14"/>
      <c r="AR90" s="11">
        <v>18</v>
      </c>
      <c r="AS90" s="14"/>
      <c r="AT90" s="14"/>
      <c r="AU90" s="11"/>
      <c r="AV90" s="14"/>
    </row>
    <row r="91" spans="1:49" s="45" customFormat="1" ht="15" x14ac:dyDescent="0.25">
      <c r="A91" s="199"/>
      <c r="B91" s="72"/>
      <c r="C91" s="42" t="s">
        <v>49</v>
      </c>
      <c r="D91" s="42"/>
      <c r="E91" s="14"/>
      <c r="F91" s="71">
        <v>0</v>
      </c>
      <c r="G91" s="42" t="s">
        <v>50</v>
      </c>
      <c r="H91" s="31">
        <v>0</v>
      </c>
      <c r="I91" s="138" t="e">
        <f>IF(H91="","",VLOOKUP(H91,[1]ENTIDAD!$B$2:$C$605,2,0))</f>
        <v>#N/A</v>
      </c>
      <c r="J91" s="11"/>
      <c r="K91" s="11"/>
      <c r="L91" s="11"/>
      <c r="M91" s="11"/>
      <c r="N91" s="116">
        <f t="shared" si="4"/>
        <v>0</v>
      </c>
      <c r="O91" s="116">
        <f t="shared" si="5"/>
        <v>0</v>
      </c>
      <c r="P91" s="11">
        <v>0</v>
      </c>
      <c r="Q91" s="11"/>
      <c r="R91" s="11"/>
      <c r="S91" s="11"/>
      <c r="T91" s="14"/>
      <c r="U91" s="14"/>
      <c r="V91" s="13"/>
      <c r="W91" s="15"/>
      <c r="X91" s="13"/>
      <c r="Y91" s="14"/>
      <c r="Z91" s="14"/>
      <c r="AA91" s="14"/>
      <c r="AB91" s="42" t="s">
        <v>224</v>
      </c>
      <c r="AC91" s="11"/>
      <c r="AD91" s="33"/>
      <c r="AE91" s="34"/>
      <c r="AF91" s="37"/>
      <c r="AG91" s="14"/>
      <c r="AH91" s="14" t="s">
        <v>225</v>
      </c>
      <c r="AI91" s="14"/>
      <c r="AJ91" s="14"/>
      <c r="AK91" s="16"/>
      <c r="AL91" s="11"/>
      <c r="AM91" s="11"/>
      <c r="AN91" s="14"/>
      <c r="AO91" s="14"/>
      <c r="AP91" s="13"/>
      <c r="AQ91" s="14"/>
      <c r="AR91" s="11">
        <v>18</v>
      </c>
      <c r="AS91" s="14"/>
      <c r="AT91" s="14"/>
      <c r="AU91" s="11"/>
      <c r="AV91" s="14"/>
    </row>
    <row r="92" spans="1:49" s="45" customFormat="1" ht="15" x14ac:dyDescent="0.25">
      <c r="A92" s="199"/>
      <c r="B92" s="72"/>
      <c r="C92" s="42" t="s">
        <v>49</v>
      </c>
      <c r="D92" s="42"/>
      <c r="E92" s="14"/>
      <c r="F92" s="71">
        <v>0</v>
      </c>
      <c r="G92" s="42" t="s">
        <v>50</v>
      </c>
      <c r="H92" s="31">
        <v>0</v>
      </c>
      <c r="I92" s="138" t="e">
        <f>IF(H92="","",VLOOKUP(H92,[1]ENTIDAD!$B$2:$C$605,2,0))</f>
        <v>#N/A</v>
      </c>
      <c r="J92" s="11"/>
      <c r="K92" s="11"/>
      <c r="L92" s="11"/>
      <c r="M92" s="11"/>
      <c r="N92" s="116">
        <f t="shared" si="4"/>
        <v>0</v>
      </c>
      <c r="O92" s="116">
        <f t="shared" si="5"/>
        <v>0</v>
      </c>
      <c r="P92" s="11">
        <v>0</v>
      </c>
      <c r="Q92" s="11"/>
      <c r="R92" s="11"/>
      <c r="S92" s="11"/>
      <c r="T92" s="14"/>
      <c r="U92" s="14"/>
      <c r="V92" s="13"/>
      <c r="W92" s="15"/>
      <c r="X92" s="13"/>
      <c r="Y92" s="14"/>
      <c r="Z92" s="14"/>
      <c r="AA92" s="14"/>
      <c r="AB92" s="42" t="s">
        <v>224</v>
      </c>
      <c r="AC92" s="11"/>
      <c r="AD92" s="33"/>
      <c r="AE92" s="34"/>
      <c r="AF92" s="37"/>
      <c r="AG92" s="14"/>
      <c r="AH92" s="14" t="s">
        <v>225</v>
      </c>
      <c r="AI92" s="14"/>
      <c r="AJ92" s="14"/>
      <c r="AK92" s="16"/>
      <c r="AL92" s="11"/>
      <c r="AM92" s="11"/>
      <c r="AN92" s="14"/>
      <c r="AO92" s="14"/>
      <c r="AP92" s="13"/>
      <c r="AQ92" s="14"/>
      <c r="AR92" s="11">
        <v>18</v>
      </c>
      <c r="AS92" s="14"/>
      <c r="AT92" s="14"/>
      <c r="AU92" s="11"/>
      <c r="AV92" s="14"/>
    </row>
    <row r="93" spans="1:49" s="45" customFormat="1" ht="15" x14ac:dyDescent="0.25">
      <c r="A93" s="199"/>
      <c r="B93" s="72"/>
      <c r="C93" s="42" t="s">
        <v>49</v>
      </c>
      <c r="D93" s="42"/>
      <c r="E93" s="14"/>
      <c r="F93" s="71">
        <v>0</v>
      </c>
      <c r="G93" s="42" t="s">
        <v>50</v>
      </c>
      <c r="H93" s="31">
        <v>0</v>
      </c>
      <c r="I93" s="138" t="e">
        <f>IF(H93="","",VLOOKUP(H93,[1]ENTIDAD!$B$2:$C$605,2,0))</f>
        <v>#N/A</v>
      </c>
      <c r="J93" s="11"/>
      <c r="K93" s="11"/>
      <c r="L93" s="11"/>
      <c r="M93" s="11"/>
      <c r="N93" s="116">
        <f t="shared" si="4"/>
        <v>0</v>
      </c>
      <c r="O93" s="116">
        <f t="shared" si="5"/>
        <v>0</v>
      </c>
      <c r="P93" s="11">
        <v>0</v>
      </c>
      <c r="Q93" s="11"/>
      <c r="R93" s="11"/>
      <c r="S93" s="11"/>
      <c r="T93" s="14"/>
      <c r="U93" s="14"/>
      <c r="V93" s="13"/>
      <c r="W93" s="15"/>
      <c r="X93" s="13"/>
      <c r="Y93" s="14"/>
      <c r="Z93" s="14"/>
      <c r="AA93" s="14"/>
      <c r="AB93" s="42" t="s">
        <v>224</v>
      </c>
      <c r="AC93" s="11"/>
      <c r="AD93" s="33"/>
      <c r="AE93" s="34"/>
      <c r="AF93" s="37"/>
      <c r="AG93" s="14"/>
      <c r="AH93" s="14" t="s">
        <v>225</v>
      </c>
      <c r="AI93" s="14"/>
      <c r="AJ93" s="14"/>
      <c r="AK93" s="16"/>
      <c r="AL93" s="11"/>
      <c r="AM93" s="11"/>
      <c r="AN93" s="14"/>
      <c r="AO93" s="14"/>
      <c r="AP93" s="13"/>
      <c r="AQ93" s="14"/>
      <c r="AR93" s="11">
        <v>18</v>
      </c>
      <c r="AS93" s="14"/>
      <c r="AT93" s="14"/>
      <c r="AU93" s="11"/>
      <c r="AV93" s="14"/>
    </row>
    <row r="94" spans="1:49" s="45" customFormat="1" ht="15" x14ac:dyDescent="0.25">
      <c r="A94" s="199"/>
      <c r="B94" s="72"/>
      <c r="C94" s="42" t="s">
        <v>49</v>
      </c>
      <c r="D94" s="42"/>
      <c r="E94" s="14"/>
      <c r="F94" s="71">
        <v>0</v>
      </c>
      <c r="G94" s="42" t="s">
        <v>50</v>
      </c>
      <c r="H94" s="31">
        <v>0</v>
      </c>
      <c r="I94" s="138" t="e">
        <f>IF(H94="","",VLOOKUP(H94,[1]ENTIDAD!$B$2:$C$605,2,0))</f>
        <v>#N/A</v>
      </c>
      <c r="J94" s="11"/>
      <c r="K94" s="11"/>
      <c r="L94" s="11"/>
      <c r="M94" s="11"/>
      <c r="N94" s="116">
        <f t="shared" si="4"/>
        <v>0</v>
      </c>
      <c r="O94" s="116">
        <f t="shared" si="5"/>
        <v>0</v>
      </c>
      <c r="P94" s="11">
        <v>0</v>
      </c>
      <c r="Q94" s="11"/>
      <c r="R94" s="11"/>
      <c r="S94" s="11"/>
      <c r="T94" s="14"/>
      <c r="U94" s="14"/>
      <c r="V94" s="13"/>
      <c r="W94" s="15"/>
      <c r="X94" s="13"/>
      <c r="Y94" s="14"/>
      <c r="Z94" s="14"/>
      <c r="AA94" s="14"/>
      <c r="AB94" s="42" t="s">
        <v>224</v>
      </c>
      <c r="AC94" s="11"/>
      <c r="AD94" s="33"/>
      <c r="AE94" s="34"/>
      <c r="AF94" s="37"/>
      <c r="AG94" s="14"/>
      <c r="AH94" s="14" t="s">
        <v>225</v>
      </c>
      <c r="AI94" s="14"/>
      <c r="AJ94" s="14"/>
      <c r="AK94" s="16"/>
      <c r="AL94" s="11"/>
      <c r="AM94" s="11"/>
      <c r="AN94" s="14"/>
      <c r="AO94" s="14"/>
      <c r="AP94" s="13"/>
      <c r="AQ94" s="14"/>
      <c r="AR94" s="11">
        <v>18</v>
      </c>
      <c r="AS94" s="14"/>
      <c r="AT94" s="14"/>
      <c r="AU94" s="11"/>
      <c r="AV94" s="14"/>
    </row>
    <row r="95" spans="1:49" s="45" customFormat="1" ht="15" x14ac:dyDescent="0.25">
      <c r="A95" s="199"/>
      <c r="B95" s="72"/>
      <c r="C95" s="42" t="s">
        <v>49</v>
      </c>
      <c r="D95" s="42"/>
      <c r="E95" s="14"/>
      <c r="F95" s="71">
        <v>0</v>
      </c>
      <c r="G95" s="42" t="s">
        <v>50</v>
      </c>
      <c r="H95" s="31">
        <v>0</v>
      </c>
      <c r="I95" s="138" t="e">
        <f>IF(H95="","",VLOOKUP(H95,[1]ENTIDAD!$B$2:$C$605,2,0))</f>
        <v>#N/A</v>
      </c>
      <c r="J95" s="11"/>
      <c r="K95" s="11"/>
      <c r="L95" s="11"/>
      <c r="M95" s="11"/>
      <c r="N95" s="116">
        <f t="shared" si="4"/>
        <v>0</v>
      </c>
      <c r="O95" s="116">
        <f t="shared" si="5"/>
        <v>0</v>
      </c>
      <c r="P95" s="11">
        <v>0</v>
      </c>
      <c r="Q95" s="11"/>
      <c r="R95" s="11"/>
      <c r="S95" s="11"/>
      <c r="T95" s="14"/>
      <c r="U95" s="14"/>
      <c r="V95" s="13"/>
      <c r="W95" s="15"/>
      <c r="X95" s="13"/>
      <c r="Y95" s="14"/>
      <c r="Z95" s="14"/>
      <c r="AA95" s="14"/>
      <c r="AB95" s="42" t="s">
        <v>224</v>
      </c>
      <c r="AC95" s="11"/>
      <c r="AD95" s="33"/>
      <c r="AE95" s="34"/>
      <c r="AF95" s="37"/>
      <c r="AG95" s="14"/>
      <c r="AH95" s="14" t="s">
        <v>225</v>
      </c>
      <c r="AI95" s="14"/>
      <c r="AJ95" s="14"/>
      <c r="AK95" s="16"/>
      <c r="AL95" s="11"/>
      <c r="AM95" s="11"/>
      <c r="AN95" s="14"/>
      <c r="AO95" s="14"/>
      <c r="AP95" s="13"/>
      <c r="AQ95" s="14"/>
      <c r="AR95" s="11">
        <v>18</v>
      </c>
      <c r="AS95" s="14"/>
      <c r="AT95" s="14"/>
      <c r="AU95" s="11"/>
      <c r="AV95" s="14"/>
    </row>
    <row r="96" spans="1:49" s="45" customFormat="1" ht="15" x14ac:dyDescent="0.25">
      <c r="A96" s="199"/>
      <c r="B96" s="72"/>
      <c r="C96" s="42" t="s">
        <v>49</v>
      </c>
      <c r="D96" s="42"/>
      <c r="E96" s="14"/>
      <c r="F96" s="71">
        <v>0</v>
      </c>
      <c r="G96" s="42" t="s">
        <v>50</v>
      </c>
      <c r="H96" s="31">
        <v>0</v>
      </c>
      <c r="I96" s="138" t="e">
        <f>IF(H96="","",VLOOKUP(H96,[1]ENTIDAD!$B$2:$C$605,2,0))</f>
        <v>#N/A</v>
      </c>
      <c r="J96" s="11"/>
      <c r="K96" s="11"/>
      <c r="L96" s="11"/>
      <c r="M96" s="11"/>
      <c r="N96" s="116">
        <f t="shared" si="4"/>
        <v>0</v>
      </c>
      <c r="O96" s="116">
        <f t="shared" si="5"/>
        <v>0</v>
      </c>
      <c r="P96" s="11">
        <v>0</v>
      </c>
      <c r="Q96" s="11"/>
      <c r="R96" s="11"/>
      <c r="S96" s="11"/>
      <c r="T96" s="14"/>
      <c r="U96" s="14"/>
      <c r="V96" s="13"/>
      <c r="W96" s="15"/>
      <c r="X96" s="13"/>
      <c r="Y96" s="14"/>
      <c r="Z96" s="14"/>
      <c r="AA96" s="14"/>
      <c r="AB96" s="42" t="s">
        <v>224</v>
      </c>
      <c r="AC96" s="11"/>
      <c r="AD96" s="33"/>
      <c r="AE96" s="34"/>
      <c r="AF96" s="37"/>
      <c r="AG96" s="14"/>
      <c r="AH96" s="14" t="s">
        <v>225</v>
      </c>
      <c r="AI96" s="14"/>
      <c r="AJ96" s="14"/>
      <c r="AK96" s="16"/>
      <c r="AL96" s="11"/>
      <c r="AM96" s="11"/>
      <c r="AN96" s="14"/>
      <c r="AO96" s="14"/>
      <c r="AP96" s="13"/>
      <c r="AQ96" s="14"/>
      <c r="AR96" s="11">
        <v>18</v>
      </c>
      <c r="AS96" s="14"/>
      <c r="AT96" s="14"/>
      <c r="AU96" s="11"/>
      <c r="AV96" s="14"/>
    </row>
    <row r="97" spans="1:49" s="45" customFormat="1" ht="15" x14ac:dyDescent="0.25">
      <c r="A97" s="199"/>
      <c r="B97" s="72"/>
      <c r="C97" s="42" t="s">
        <v>49</v>
      </c>
      <c r="D97" s="42"/>
      <c r="E97" s="14"/>
      <c r="F97" s="71">
        <v>0</v>
      </c>
      <c r="G97" s="42" t="s">
        <v>50</v>
      </c>
      <c r="H97" s="31">
        <v>0</v>
      </c>
      <c r="I97" s="138" t="e">
        <f>IF(H97="","",VLOOKUP(H97,[1]ENTIDAD!$B$2:$C$605,2,0))</f>
        <v>#N/A</v>
      </c>
      <c r="J97" s="11"/>
      <c r="K97" s="11"/>
      <c r="L97" s="11"/>
      <c r="M97" s="11"/>
      <c r="N97" s="116">
        <f t="shared" si="4"/>
        <v>0</v>
      </c>
      <c r="O97" s="116">
        <f t="shared" si="5"/>
        <v>0</v>
      </c>
      <c r="P97" s="11">
        <v>0</v>
      </c>
      <c r="Q97" s="11"/>
      <c r="R97" s="11"/>
      <c r="S97" s="11"/>
      <c r="T97" s="14"/>
      <c r="U97" s="14"/>
      <c r="V97" s="13"/>
      <c r="W97" s="15"/>
      <c r="X97" s="13"/>
      <c r="Y97" s="14"/>
      <c r="Z97" s="14"/>
      <c r="AA97" s="14"/>
      <c r="AB97" s="42" t="s">
        <v>224</v>
      </c>
      <c r="AC97" s="11"/>
      <c r="AD97" s="33"/>
      <c r="AE97" s="34"/>
      <c r="AF97" s="37"/>
      <c r="AG97" s="14"/>
      <c r="AH97" s="14" t="s">
        <v>225</v>
      </c>
      <c r="AI97" s="14"/>
      <c r="AJ97" s="14"/>
      <c r="AK97" s="16"/>
      <c r="AL97" s="11"/>
      <c r="AM97" s="11"/>
      <c r="AN97" s="14"/>
      <c r="AO97" s="14"/>
      <c r="AP97" s="13"/>
      <c r="AQ97" s="14"/>
      <c r="AR97" s="11">
        <v>18</v>
      </c>
      <c r="AS97" s="14"/>
      <c r="AT97" s="14"/>
      <c r="AU97" s="11"/>
      <c r="AV97" s="14"/>
    </row>
    <row r="98" spans="1:49" s="45" customFormat="1" ht="15" x14ac:dyDescent="0.25">
      <c r="A98" s="199"/>
      <c r="B98" s="72"/>
      <c r="C98" s="42" t="s">
        <v>49</v>
      </c>
      <c r="D98" s="42"/>
      <c r="E98" s="14"/>
      <c r="F98" s="71">
        <v>0</v>
      </c>
      <c r="G98" s="42" t="s">
        <v>50</v>
      </c>
      <c r="H98" s="31">
        <v>0</v>
      </c>
      <c r="I98" s="138" t="e">
        <f>IF(H98="","",VLOOKUP(H98,[1]ENTIDAD!$B$2:$C$605,2,0))</f>
        <v>#N/A</v>
      </c>
      <c r="J98" s="11"/>
      <c r="K98" s="11"/>
      <c r="L98" s="11"/>
      <c r="M98" s="11"/>
      <c r="N98" s="116">
        <f t="shared" si="4"/>
        <v>0</v>
      </c>
      <c r="O98" s="116">
        <f t="shared" si="5"/>
        <v>0</v>
      </c>
      <c r="P98" s="11">
        <v>0</v>
      </c>
      <c r="Q98" s="11"/>
      <c r="R98" s="11"/>
      <c r="S98" s="11"/>
      <c r="T98" s="14"/>
      <c r="U98" s="14"/>
      <c r="V98" s="13"/>
      <c r="W98" s="15"/>
      <c r="X98" s="13"/>
      <c r="Y98" s="14"/>
      <c r="Z98" s="14"/>
      <c r="AA98" s="14"/>
      <c r="AB98" s="42" t="s">
        <v>224</v>
      </c>
      <c r="AC98" s="11"/>
      <c r="AD98" s="33"/>
      <c r="AE98" s="14"/>
      <c r="AF98" s="19"/>
      <c r="AG98" s="14"/>
      <c r="AH98" s="14" t="s">
        <v>225</v>
      </c>
      <c r="AI98" s="14"/>
      <c r="AJ98" s="14"/>
      <c r="AK98" s="16"/>
      <c r="AL98" s="11"/>
      <c r="AM98" s="11"/>
      <c r="AN98" s="14"/>
      <c r="AO98" s="14"/>
      <c r="AP98" s="13"/>
      <c r="AQ98" s="14"/>
      <c r="AR98" s="11">
        <v>18</v>
      </c>
      <c r="AS98" s="14"/>
      <c r="AT98" s="14"/>
      <c r="AU98" s="11"/>
      <c r="AV98" s="14"/>
    </row>
    <row r="99" spans="1:49" s="45" customFormat="1" ht="15" x14ac:dyDescent="0.25">
      <c r="A99" s="199"/>
      <c r="B99" s="72"/>
      <c r="C99" s="42" t="s">
        <v>49</v>
      </c>
      <c r="D99" s="42"/>
      <c r="E99" s="14"/>
      <c r="F99" s="71">
        <v>0</v>
      </c>
      <c r="G99" s="42" t="s">
        <v>50</v>
      </c>
      <c r="H99" s="31">
        <v>0</v>
      </c>
      <c r="I99" s="138" t="e">
        <f>IF(H99="","",VLOOKUP(H99,[1]ENTIDAD!$B$2:$C$605,2,0))</f>
        <v>#N/A</v>
      </c>
      <c r="J99" s="11"/>
      <c r="K99" s="11"/>
      <c r="L99" s="11"/>
      <c r="M99" s="11"/>
      <c r="N99" s="116">
        <f t="shared" si="4"/>
        <v>0</v>
      </c>
      <c r="O99" s="116">
        <f t="shared" si="5"/>
        <v>0</v>
      </c>
      <c r="P99" s="11">
        <v>0</v>
      </c>
      <c r="Q99" s="11"/>
      <c r="R99" s="11"/>
      <c r="S99" s="11"/>
      <c r="T99" s="14"/>
      <c r="U99" s="14"/>
      <c r="V99" s="13"/>
      <c r="W99" s="15"/>
      <c r="X99" s="13"/>
      <c r="Y99" s="14"/>
      <c r="Z99" s="14"/>
      <c r="AA99" s="14"/>
      <c r="AB99" s="42" t="s">
        <v>224</v>
      </c>
      <c r="AC99" s="11"/>
      <c r="AD99" s="33"/>
      <c r="AE99" s="14"/>
      <c r="AF99" s="127"/>
      <c r="AG99" s="14"/>
      <c r="AH99" s="14" t="s">
        <v>225</v>
      </c>
      <c r="AI99" s="14"/>
      <c r="AJ99" s="14"/>
      <c r="AK99" s="16"/>
      <c r="AL99" s="11"/>
      <c r="AM99" s="11"/>
      <c r="AN99" s="14"/>
      <c r="AO99" s="14"/>
      <c r="AP99" s="13"/>
      <c r="AQ99" s="14"/>
      <c r="AR99" s="11">
        <v>18</v>
      </c>
      <c r="AS99" s="14"/>
      <c r="AT99" s="14"/>
      <c r="AU99" s="11"/>
      <c r="AV99" s="14"/>
    </row>
    <row r="100" spans="1:49" s="45" customFormat="1" ht="15" x14ac:dyDescent="0.25">
      <c r="A100" s="199"/>
      <c r="B100" s="72"/>
      <c r="C100" s="42" t="s">
        <v>49</v>
      </c>
      <c r="D100" s="42"/>
      <c r="E100" s="14"/>
      <c r="F100" s="71">
        <v>0</v>
      </c>
      <c r="G100" s="111" t="s">
        <v>50</v>
      </c>
      <c r="H100" s="114">
        <v>0</v>
      </c>
      <c r="I100" s="138" t="e">
        <f>IF(H100="","",VLOOKUP(H100,[1]ENTIDAD!$B$2:$C$605,2,0))</f>
        <v>#N/A</v>
      </c>
      <c r="J100" s="11"/>
      <c r="K100" s="11"/>
      <c r="L100" s="11"/>
      <c r="M100" s="11"/>
      <c r="N100" s="116">
        <f t="shared" si="4"/>
        <v>0</v>
      </c>
      <c r="O100" s="116">
        <f t="shared" ref="O100:O131" si="6">N100*0.18</f>
        <v>0</v>
      </c>
      <c r="P100" s="11">
        <v>0</v>
      </c>
      <c r="Q100" s="11"/>
      <c r="R100" s="11"/>
      <c r="S100" s="11"/>
      <c r="T100" s="14"/>
      <c r="U100" s="14"/>
      <c r="V100" s="13"/>
      <c r="W100" s="15"/>
      <c r="X100" s="13"/>
      <c r="Y100" s="14"/>
      <c r="Z100" s="14"/>
      <c r="AA100" s="14"/>
      <c r="AB100" s="42" t="s">
        <v>224</v>
      </c>
      <c r="AC100" s="11"/>
      <c r="AD100" s="33"/>
      <c r="AE100" s="34"/>
      <c r="AF100" s="19"/>
      <c r="AG100" s="14"/>
      <c r="AH100" s="14" t="s">
        <v>225</v>
      </c>
      <c r="AI100" s="14"/>
      <c r="AJ100" s="14"/>
      <c r="AK100" s="16"/>
      <c r="AL100" s="11"/>
      <c r="AM100" s="11"/>
      <c r="AN100" s="14"/>
      <c r="AO100" s="14"/>
      <c r="AP100" s="13"/>
      <c r="AQ100" s="14"/>
      <c r="AR100" s="11">
        <v>18</v>
      </c>
      <c r="AS100" s="14"/>
      <c r="AT100" s="14"/>
      <c r="AU100" s="11"/>
      <c r="AV100" s="14"/>
    </row>
    <row r="101" spans="1:49" s="45" customFormat="1" ht="15" x14ac:dyDescent="0.25">
      <c r="A101" s="199"/>
      <c r="B101" s="72"/>
      <c r="C101" s="42" t="s">
        <v>49</v>
      </c>
      <c r="D101" s="42"/>
      <c r="E101" s="14"/>
      <c r="F101" s="71">
        <v>0</v>
      </c>
      <c r="G101" s="42" t="s">
        <v>50</v>
      </c>
      <c r="H101" s="31">
        <v>0</v>
      </c>
      <c r="I101" s="138" t="e">
        <f>IF(H101="","",VLOOKUP(H101,[1]ENTIDAD!$B$2:$C$605,2,0))</f>
        <v>#N/A</v>
      </c>
      <c r="J101" s="11"/>
      <c r="K101" s="11"/>
      <c r="L101" s="11"/>
      <c r="M101" s="11"/>
      <c r="N101" s="116">
        <f t="shared" si="4"/>
        <v>0</v>
      </c>
      <c r="O101" s="116">
        <f t="shared" si="6"/>
        <v>0</v>
      </c>
      <c r="P101" s="11">
        <v>0</v>
      </c>
      <c r="Q101" s="11"/>
      <c r="R101" s="11"/>
      <c r="S101" s="11"/>
      <c r="T101" s="14"/>
      <c r="U101" s="14"/>
      <c r="V101" s="13"/>
      <c r="W101" s="15"/>
      <c r="X101" s="13"/>
      <c r="Y101" s="14"/>
      <c r="Z101" s="14"/>
      <c r="AA101" s="14"/>
      <c r="AB101" s="42" t="s">
        <v>224</v>
      </c>
      <c r="AC101" s="11"/>
      <c r="AD101" s="126"/>
      <c r="AE101" s="127"/>
      <c r="AF101" s="119"/>
      <c r="AG101" s="14"/>
      <c r="AH101" s="14" t="s">
        <v>225</v>
      </c>
      <c r="AI101" s="14"/>
      <c r="AJ101" s="14"/>
      <c r="AK101" s="16"/>
      <c r="AL101" s="11"/>
      <c r="AM101" s="11"/>
      <c r="AN101" s="14"/>
      <c r="AO101" s="14"/>
      <c r="AP101" s="13"/>
      <c r="AQ101" s="14"/>
      <c r="AR101" s="11">
        <v>18</v>
      </c>
      <c r="AS101" s="14"/>
      <c r="AT101" s="14"/>
      <c r="AU101" s="11"/>
      <c r="AV101" s="14"/>
    </row>
    <row r="102" spans="1:49" s="45" customFormat="1" ht="15" x14ac:dyDescent="0.25">
      <c r="A102" s="199"/>
      <c r="B102" s="72"/>
      <c r="C102" s="42" t="s">
        <v>49</v>
      </c>
      <c r="D102" s="42"/>
      <c r="E102" s="14"/>
      <c r="F102" s="71">
        <v>0</v>
      </c>
      <c r="G102" s="42" t="s">
        <v>50</v>
      </c>
      <c r="H102" s="31">
        <v>0</v>
      </c>
      <c r="I102" s="138" t="e">
        <f>IF(H102="","",VLOOKUP(H102,[1]ENTIDAD!$B$2:$C$605,2,0))</f>
        <v>#N/A</v>
      </c>
      <c r="J102" s="11"/>
      <c r="K102" s="11"/>
      <c r="L102" s="11"/>
      <c r="M102" s="11"/>
      <c r="N102" s="116">
        <f t="shared" si="4"/>
        <v>0</v>
      </c>
      <c r="O102" s="116">
        <f t="shared" si="6"/>
        <v>0</v>
      </c>
      <c r="P102" s="11">
        <v>0</v>
      </c>
      <c r="Q102" s="11"/>
      <c r="R102" s="11"/>
      <c r="S102" s="11"/>
      <c r="T102" s="14"/>
      <c r="U102" s="14"/>
      <c r="V102" s="13"/>
      <c r="W102" s="15"/>
      <c r="X102" s="13"/>
      <c r="Y102" s="14"/>
      <c r="Z102" s="14"/>
      <c r="AA102" s="14"/>
      <c r="AB102" s="42" t="s">
        <v>224</v>
      </c>
      <c r="AC102" s="11"/>
      <c r="AD102" s="109"/>
      <c r="AE102" s="127"/>
      <c r="AF102" s="119"/>
      <c r="AG102" s="14"/>
      <c r="AH102" s="14" t="s">
        <v>225</v>
      </c>
      <c r="AI102" s="14"/>
      <c r="AJ102" s="14"/>
      <c r="AK102" s="16"/>
      <c r="AL102" s="11"/>
      <c r="AM102" s="11"/>
      <c r="AN102" s="14"/>
      <c r="AO102" s="14"/>
      <c r="AP102" s="13"/>
      <c r="AQ102" s="14"/>
      <c r="AR102" s="11">
        <v>18</v>
      </c>
      <c r="AS102" s="14"/>
      <c r="AT102" s="14"/>
      <c r="AU102" s="11"/>
      <c r="AV102" s="14"/>
    </row>
    <row r="103" spans="1:49" s="45" customFormat="1" ht="15" x14ac:dyDescent="0.25">
      <c r="A103" s="199"/>
      <c r="B103" s="72"/>
      <c r="C103" s="42" t="s">
        <v>49</v>
      </c>
      <c r="D103" s="42"/>
      <c r="E103" s="14"/>
      <c r="F103" s="71">
        <v>0</v>
      </c>
      <c r="G103" s="42" t="s">
        <v>50</v>
      </c>
      <c r="H103" s="31">
        <v>0</v>
      </c>
      <c r="I103" s="138" t="e">
        <f>IF(H103="","",VLOOKUP(H103,[1]ENTIDAD!$B$2:$C$605,2,0))</f>
        <v>#N/A</v>
      </c>
      <c r="J103" s="11"/>
      <c r="K103" s="11"/>
      <c r="L103" s="11"/>
      <c r="M103" s="11"/>
      <c r="N103" s="116">
        <f t="shared" si="4"/>
        <v>0</v>
      </c>
      <c r="O103" s="116">
        <f t="shared" si="6"/>
        <v>0</v>
      </c>
      <c r="P103" s="11">
        <v>0</v>
      </c>
      <c r="Q103" s="11"/>
      <c r="R103" s="11"/>
      <c r="S103" s="11"/>
      <c r="T103" s="14"/>
      <c r="U103" s="14"/>
      <c r="V103" s="13"/>
      <c r="W103" s="15"/>
      <c r="X103" s="13"/>
      <c r="Y103" s="14"/>
      <c r="Z103" s="14"/>
      <c r="AA103" s="14"/>
      <c r="AB103" s="42" t="s">
        <v>224</v>
      </c>
      <c r="AC103" s="11"/>
      <c r="AD103" s="126"/>
      <c r="AE103" s="127"/>
      <c r="AF103" s="119"/>
      <c r="AG103" s="14"/>
      <c r="AH103" s="14" t="s">
        <v>225</v>
      </c>
      <c r="AI103" s="14"/>
      <c r="AJ103" s="14"/>
      <c r="AK103" s="16"/>
      <c r="AL103" s="11"/>
      <c r="AM103" s="11"/>
      <c r="AN103" s="14"/>
      <c r="AO103" s="14"/>
      <c r="AP103" s="13"/>
      <c r="AQ103" s="14"/>
      <c r="AR103" s="11">
        <v>18</v>
      </c>
      <c r="AS103" s="14"/>
      <c r="AT103" s="14"/>
      <c r="AU103" s="11"/>
      <c r="AV103" s="14"/>
    </row>
    <row r="104" spans="1:49" s="121" customFormat="1" ht="15" x14ac:dyDescent="0.25">
      <c r="A104" s="199"/>
      <c r="B104" s="72"/>
      <c r="C104" s="42" t="s">
        <v>49</v>
      </c>
      <c r="D104" s="42"/>
      <c r="E104" s="14"/>
      <c r="F104" s="71">
        <v>0</v>
      </c>
      <c r="G104" s="42" t="s">
        <v>50</v>
      </c>
      <c r="H104" s="31">
        <v>0</v>
      </c>
      <c r="I104" s="138" t="e">
        <f>IF(H104="","",VLOOKUP(H104,[1]ENTIDAD!$B$2:$C$605,2,0))</f>
        <v>#N/A</v>
      </c>
      <c r="J104" s="11"/>
      <c r="K104" s="11"/>
      <c r="L104" s="11"/>
      <c r="M104" s="11"/>
      <c r="N104" s="116">
        <v>0</v>
      </c>
      <c r="O104" s="116">
        <f t="shared" si="6"/>
        <v>0</v>
      </c>
      <c r="P104" s="11">
        <v>0</v>
      </c>
      <c r="Q104" s="11"/>
      <c r="R104" s="11"/>
      <c r="S104" s="11"/>
      <c r="T104" s="14"/>
      <c r="U104" s="14"/>
      <c r="V104" s="13"/>
      <c r="W104" s="15"/>
      <c r="X104" s="13"/>
      <c r="Y104" s="14"/>
      <c r="Z104" s="14"/>
      <c r="AA104" s="14"/>
      <c r="AB104" s="42" t="s">
        <v>224</v>
      </c>
      <c r="AC104" s="11"/>
      <c r="AD104" s="126"/>
      <c r="AE104" s="112"/>
      <c r="AF104" s="128"/>
      <c r="AG104" s="34"/>
      <c r="AH104" s="34" t="s">
        <v>225</v>
      </c>
      <c r="AI104" s="14"/>
      <c r="AJ104" s="14"/>
      <c r="AK104" s="16"/>
      <c r="AL104" s="11"/>
      <c r="AM104" s="11"/>
      <c r="AN104" s="14"/>
      <c r="AO104" s="14"/>
      <c r="AP104" s="13"/>
      <c r="AQ104" s="14"/>
      <c r="AR104" s="11">
        <v>18</v>
      </c>
      <c r="AS104" s="14"/>
      <c r="AT104" s="14"/>
      <c r="AU104" s="11"/>
      <c r="AV104" s="14"/>
      <c r="AW104" s="45"/>
    </row>
    <row r="105" spans="1:49" s="45" customFormat="1" ht="15" x14ac:dyDescent="0.25">
      <c r="A105" s="199"/>
      <c r="B105" s="72"/>
      <c r="C105" s="42" t="s">
        <v>49</v>
      </c>
      <c r="D105" s="42"/>
      <c r="E105" s="14"/>
      <c r="F105" s="71">
        <v>0</v>
      </c>
      <c r="G105" s="42" t="s">
        <v>50</v>
      </c>
      <c r="H105" s="31">
        <v>0</v>
      </c>
      <c r="I105" s="138" t="e">
        <f>IF(H105="","",VLOOKUP(H105,[1]ENTIDAD!$B$2:$C$605,2,0))</f>
        <v>#N/A</v>
      </c>
      <c r="J105" s="11"/>
      <c r="K105" s="11"/>
      <c r="L105" s="11"/>
      <c r="M105" s="11"/>
      <c r="N105" s="116">
        <f>(S105-P105)/1.18</f>
        <v>0</v>
      </c>
      <c r="O105" s="116">
        <f t="shared" si="6"/>
        <v>0</v>
      </c>
      <c r="P105" s="11">
        <v>0</v>
      </c>
      <c r="Q105" s="11"/>
      <c r="R105" s="11"/>
      <c r="S105" s="11"/>
      <c r="T105" s="14"/>
      <c r="U105" s="14"/>
      <c r="V105" s="13"/>
      <c r="W105" s="15"/>
      <c r="X105" s="13"/>
      <c r="Y105" s="14"/>
      <c r="Z105" s="14"/>
      <c r="AA105" s="14"/>
      <c r="AB105" s="42" t="s">
        <v>224</v>
      </c>
      <c r="AC105" s="11"/>
      <c r="AD105" s="126"/>
      <c r="AE105" s="127"/>
      <c r="AF105" s="119"/>
      <c r="AG105" s="14"/>
      <c r="AH105" s="14" t="s">
        <v>225</v>
      </c>
      <c r="AI105" s="14"/>
      <c r="AJ105" s="14"/>
      <c r="AK105" s="16"/>
      <c r="AL105" s="11"/>
      <c r="AM105" s="11"/>
      <c r="AN105" s="14"/>
      <c r="AO105" s="14"/>
      <c r="AP105" s="13"/>
      <c r="AQ105" s="14"/>
      <c r="AR105" s="11">
        <v>18</v>
      </c>
      <c r="AS105" s="14"/>
      <c r="AT105" s="14"/>
      <c r="AU105" s="11"/>
      <c r="AV105" s="14"/>
    </row>
    <row r="106" spans="1:49" s="45" customFormat="1" ht="15" x14ac:dyDescent="0.25">
      <c r="A106" s="199"/>
      <c r="B106" s="72"/>
      <c r="C106" s="42" t="s">
        <v>49</v>
      </c>
      <c r="D106" s="42"/>
      <c r="E106" s="14"/>
      <c r="F106" s="71">
        <v>0</v>
      </c>
      <c r="G106" s="42" t="s">
        <v>50</v>
      </c>
      <c r="H106" s="31">
        <v>0</v>
      </c>
      <c r="I106" s="138" t="e">
        <f>IF(H106="","",VLOOKUP(H106,[1]ENTIDAD!$B$2:$C$605,2,0))</f>
        <v>#N/A</v>
      </c>
      <c r="J106" s="11"/>
      <c r="K106" s="11"/>
      <c r="L106" s="11"/>
      <c r="M106" s="11"/>
      <c r="N106" s="116">
        <f>(S106-P106)/1.18</f>
        <v>0</v>
      </c>
      <c r="O106" s="116">
        <f t="shared" si="6"/>
        <v>0</v>
      </c>
      <c r="P106" s="11">
        <v>0</v>
      </c>
      <c r="Q106" s="11"/>
      <c r="R106" s="11"/>
      <c r="S106" s="11"/>
      <c r="T106" s="14"/>
      <c r="U106" s="14"/>
      <c r="V106" s="13"/>
      <c r="W106" s="15"/>
      <c r="X106" s="13"/>
      <c r="Y106" s="14"/>
      <c r="Z106" s="14"/>
      <c r="AA106" s="14"/>
      <c r="AB106" s="42" t="s">
        <v>224</v>
      </c>
      <c r="AC106" s="11"/>
      <c r="AD106" s="126"/>
      <c r="AE106" s="127"/>
      <c r="AF106" s="119"/>
      <c r="AG106" s="14"/>
      <c r="AH106" s="14" t="s">
        <v>225</v>
      </c>
      <c r="AI106" s="14"/>
      <c r="AJ106" s="14"/>
      <c r="AK106" s="16"/>
      <c r="AL106" s="11"/>
      <c r="AM106" s="11"/>
      <c r="AN106" s="14"/>
      <c r="AO106" s="14"/>
      <c r="AP106" s="13"/>
      <c r="AQ106" s="14"/>
      <c r="AR106" s="11">
        <v>18</v>
      </c>
      <c r="AS106" s="14"/>
      <c r="AT106" s="14"/>
      <c r="AU106" s="11"/>
      <c r="AV106" s="14"/>
    </row>
    <row r="107" spans="1:49" s="45" customFormat="1" ht="15" x14ac:dyDescent="0.25">
      <c r="A107" s="199"/>
      <c r="B107" s="72"/>
      <c r="C107" s="42" t="s">
        <v>49</v>
      </c>
      <c r="D107" s="42"/>
      <c r="E107" s="14"/>
      <c r="F107" s="71">
        <v>0</v>
      </c>
      <c r="G107" s="42" t="s">
        <v>50</v>
      </c>
      <c r="H107" s="31">
        <v>0</v>
      </c>
      <c r="I107" s="138" t="e">
        <f>IF(H107="","",VLOOKUP(H107,[1]ENTIDAD!$B$2:$C$605,2,0))</f>
        <v>#N/A</v>
      </c>
      <c r="J107" s="11"/>
      <c r="K107" s="11"/>
      <c r="L107" s="11"/>
      <c r="M107" s="11"/>
      <c r="N107" s="116">
        <f>(S107-P107)/1.18</f>
        <v>0</v>
      </c>
      <c r="O107" s="116">
        <f t="shared" si="6"/>
        <v>0</v>
      </c>
      <c r="P107" s="11">
        <v>0</v>
      </c>
      <c r="Q107" s="11"/>
      <c r="R107" s="11"/>
      <c r="S107" s="11"/>
      <c r="T107" s="14"/>
      <c r="U107" s="14"/>
      <c r="V107" s="13"/>
      <c r="W107" s="15"/>
      <c r="X107" s="13"/>
      <c r="Y107" s="14"/>
      <c r="Z107" s="14"/>
      <c r="AA107" s="14"/>
      <c r="AB107" s="42" t="s">
        <v>224</v>
      </c>
      <c r="AC107" s="11"/>
      <c r="AD107" s="126"/>
      <c r="AE107" s="112"/>
      <c r="AF107" s="119"/>
      <c r="AG107" s="14"/>
      <c r="AH107" s="14" t="s">
        <v>225</v>
      </c>
      <c r="AI107" s="34"/>
      <c r="AJ107" s="34"/>
      <c r="AK107" s="38"/>
      <c r="AL107" s="35"/>
      <c r="AM107" s="35"/>
      <c r="AN107" s="34"/>
      <c r="AO107" s="34"/>
      <c r="AP107" s="33"/>
      <c r="AQ107" s="34"/>
      <c r="AR107" s="35">
        <v>18</v>
      </c>
      <c r="AS107" s="34"/>
      <c r="AT107" s="14"/>
      <c r="AU107" s="11"/>
      <c r="AV107" s="14"/>
    </row>
    <row r="108" spans="1:49" s="45" customFormat="1" ht="15" x14ac:dyDescent="0.25">
      <c r="A108" s="199"/>
      <c r="B108" s="72"/>
      <c r="C108" s="42" t="s">
        <v>49</v>
      </c>
      <c r="D108" s="42"/>
      <c r="E108" s="14"/>
      <c r="F108" s="71">
        <v>0</v>
      </c>
      <c r="G108" s="42" t="s">
        <v>50</v>
      </c>
      <c r="H108" s="31">
        <v>0</v>
      </c>
      <c r="I108" s="138" t="e">
        <f>IF(H108="","",VLOOKUP(H108,[1]ENTIDAD!$B$2:$C$605,2,0))</f>
        <v>#N/A</v>
      </c>
      <c r="J108" s="11"/>
      <c r="K108" s="11"/>
      <c r="L108" s="11"/>
      <c r="M108" s="11"/>
      <c r="N108" s="116">
        <f>(S108-P108)/1.18</f>
        <v>0</v>
      </c>
      <c r="O108" s="116">
        <f t="shared" si="6"/>
        <v>0</v>
      </c>
      <c r="P108" s="11">
        <v>0</v>
      </c>
      <c r="Q108" s="11"/>
      <c r="R108" s="11"/>
      <c r="S108" s="11"/>
      <c r="T108" s="14"/>
      <c r="U108" s="14"/>
      <c r="V108" s="13"/>
      <c r="W108" s="15"/>
      <c r="X108" s="13"/>
      <c r="Y108" s="14"/>
      <c r="Z108" s="14"/>
      <c r="AA108" s="14"/>
      <c r="AB108" s="42" t="s">
        <v>224</v>
      </c>
      <c r="AC108" s="11"/>
      <c r="AD108" s="126"/>
      <c r="AE108" s="112"/>
      <c r="AF108" s="119"/>
      <c r="AG108" s="14"/>
      <c r="AH108" s="14" t="s">
        <v>225</v>
      </c>
      <c r="AI108" s="34"/>
      <c r="AJ108" s="34"/>
      <c r="AK108" s="38"/>
      <c r="AL108" s="35"/>
      <c r="AM108" s="35"/>
      <c r="AN108" s="34"/>
      <c r="AO108" s="34"/>
      <c r="AP108" s="33"/>
      <c r="AQ108" s="34"/>
      <c r="AR108" s="35">
        <v>18</v>
      </c>
      <c r="AS108" s="34"/>
      <c r="AT108" s="14"/>
      <c r="AU108" s="11"/>
      <c r="AV108" s="14"/>
    </row>
    <row r="109" spans="1:49" s="45" customFormat="1" ht="15" x14ac:dyDescent="0.25">
      <c r="A109" s="199"/>
      <c r="B109" s="72"/>
      <c r="C109" s="42" t="s">
        <v>49</v>
      </c>
      <c r="D109" s="42"/>
      <c r="E109" s="14"/>
      <c r="F109" s="71">
        <v>0</v>
      </c>
      <c r="G109" s="42" t="s">
        <v>50</v>
      </c>
      <c r="H109" s="184">
        <v>0</v>
      </c>
      <c r="I109" s="138" t="e">
        <f>IF(H109="","",VLOOKUP(H109,[1]ENTIDAD!$B$2:$C$605,2,0))</f>
        <v>#N/A</v>
      </c>
      <c r="J109" s="11"/>
      <c r="K109" s="11"/>
      <c r="L109" s="11"/>
      <c r="M109" s="11"/>
      <c r="N109" s="116">
        <f>(S109-P109)/1.18</f>
        <v>0</v>
      </c>
      <c r="O109" s="116">
        <f t="shared" si="6"/>
        <v>0</v>
      </c>
      <c r="P109" s="11">
        <v>0</v>
      </c>
      <c r="Q109" s="11"/>
      <c r="R109" s="11"/>
      <c r="S109" s="11"/>
      <c r="T109" s="14"/>
      <c r="U109" s="14"/>
      <c r="V109" s="13"/>
      <c r="W109" s="15"/>
      <c r="X109" s="13"/>
      <c r="Y109" s="14"/>
      <c r="Z109" s="14"/>
      <c r="AA109" s="14"/>
      <c r="AB109" s="42" t="s">
        <v>224</v>
      </c>
      <c r="AC109" s="11"/>
      <c r="AD109" s="126"/>
      <c r="AE109" s="127"/>
      <c r="AF109" s="128"/>
      <c r="AG109" s="14"/>
      <c r="AH109" s="14" t="s">
        <v>225</v>
      </c>
      <c r="AI109" s="14"/>
      <c r="AJ109" s="14"/>
      <c r="AK109" s="16"/>
      <c r="AL109" s="11"/>
      <c r="AM109" s="11"/>
      <c r="AN109" s="14"/>
      <c r="AO109" s="14"/>
      <c r="AP109" s="13"/>
      <c r="AQ109" s="14"/>
      <c r="AR109" s="11">
        <v>18</v>
      </c>
      <c r="AS109" s="14"/>
      <c r="AT109" s="14"/>
      <c r="AU109" s="11"/>
      <c r="AV109" s="14"/>
    </row>
    <row r="110" spans="1:49" s="45" customFormat="1" ht="15" x14ac:dyDescent="0.25">
      <c r="A110" s="199"/>
      <c r="B110" s="72"/>
      <c r="C110" s="42" t="s">
        <v>49</v>
      </c>
      <c r="D110" s="42"/>
      <c r="E110" s="14"/>
      <c r="F110" s="71">
        <v>0</v>
      </c>
      <c r="G110" s="42" t="s">
        <v>50</v>
      </c>
      <c r="H110" s="31">
        <v>0</v>
      </c>
      <c r="I110" s="138" t="e">
        <f>IF(H110="","",VLOOKUP(H110,[1]ENTIDAD!$B$2:$C$605,2,0))</f>
        <v>#N/A</v>
      </c>
      <c r="J110" s="11"/>
      <c r="K110" s="11"/>
      <c r="L110" s="11"/>
      <c r="M110" s="11"/>
      <c r="N110" s="116">
        <v>0</v>
      </c>
      <c r="O110" s="116">
        <f t="shared" si="6"/>
        <v>0</v>
      </c>
      <c r="P110" s="11">
        <v>0</v>
      </c>
      <c r="Q110" s="11"/>
      <c r="R110" s="11"/>
      <c r="S110" s="11"/>
      <c r="T110" s="14"/>
      <c r="U110" s="14"/>
      <c r="V110" s="13"/>
      <c r="W110" s="15"/>
      <c r="X110" s="13"/>
      <c r="Y110" s="14"/>
      <c r="Z110" s="14"/>
      <c r="AA110" s="14"/>
      <c r="AB110" s="42" t="s">
        <v>224</v>
      </c>
      <c r="AC110" s="11"/>
      <c r="AD110" s="126"/>
      <c r="AE110" s="112"/>
      <c r="AF110" s="128"/>
      <c r="AG110" s="14"/>
      <c r="AH110" s="14" t="s">
        <v>225</v>
      </c>
      <c r="AI110" s="14"/>
      <c r="AJ110" s="14"/>
      <c r="AK110" s="16"/>
      <c r="AL110" s="11"/>
      <c r="AM110" s="11"/>
      <c r="AN110" s="14"/>
      <c r="AO110" s="14"/>
      <c r="AP110" s="13"/>
      <c r="AQ110" s="14"/>
      <c r="AR110" s="11">
        <v>18</v>
      </c>
      <c r="AS110" s="14"/>
      <c r="AT110" s="14"/>
      <c r="AU110" s="11"/>
      <c r="AV110" s="14"/>
    </row>
    <row r="111" spans="1:49" s="45" customFormat="1" ht="15" x14ac:dyDescent="0.25">
      <c r="A111" s="199"/>
      <c r="B111" s="72"/>
      <c r="C111" s="42" t="s">
        <v>49</v>
      </c>
      <c r="D111" s="42"/>
      <c r="E111" s="14"/>
      <c r="F111" s="71">
        <v>0</v>
      </c>
      <c r="G111" s="42" t="s">
        <v>50</v>
      </c>
      <c r="H111" s="31">
        <v>0</v>
      </c>
      <c r="I111" s="138" t="e">
        <f>IF(H111="","",VLOOKUP(H111,[1]ENTIDAD!$B$2:$C$605,2,0))</f>
        <v>#N/A</v>
      </c>
      <c r="J111" s="11"/>
      <c r="K111" s="11"/>
      <c r="L111" s="11"/>
      <c r="M111" s="11"/>
      <c r="N111" s="116">
        <v>0</v>
      </c>
      <c r="O111" s="116">
        <f t="shared" si="6"/>
        <v>0</v>
      </c>
      <c r="P111" s="11">
        <v>0</v>
      </c>
      <c r="Q111" s="11"/>
      <c r="R111" s="11"/>
      <c r="S111" s="11"/>
      <c r="T111" s="14"/>
      <c r="U111" s="14"/>
      <c r="V111" s="13"/>
      <c r="W111" s="15"/>
      <c r="X111" s="13"/>
      <c r="Y111" s="14"/>
      <c r="Z111" s="14"/>
      <c r="AA111" s="14"/>
      <c r="AB111" s="42" t="s">
        <v>224</v>
      </c>
      <c r="AC111" s="11"/>
      <c r="AD111" s="126"/>
      <c r="AE111" s="112"/>
      <c r="AF111" s="128"/>
      <c r="AG111" s="14"/>
      <c r="AH111" s="14" t="s">
        <v>225</v>
      </c>
      <c r="AI111" s="14"/>
      <c r="AJ111" s="14"/>
      <c r="AK111" s="16"/>
      <c r="AL111" s="11"/>
      <c r="AM111" s="11"/>
      <c r="AN111" s="14"/>
      <c r="AO111" s="14"/>
      <c r="AP111" s="13"/>
      <c r="AQ111" s="14"/>
      <c r="AR111" s="11">
        <v>18</v>
      </c>
      <c r="AS111" s="14"/>
      <c r="AT111" s="14"/>
      <c r="AU111" s="11"/>
      <c r="AV111" s="14"/>
    </row>
    <row r="112" spans="1:49" s="45" customFormat="1" ht="15" x14ac:dyDescent="0.25">
      <c r="A112" s="199"/>
      <c r="B112" s="72"/>
      <c r="C112" s="42" t="s">
        <v>49</v>
      </c>
      <c r="D112" s="42"/>
      <c r="E112" s="14"/>
      <c r="F112" s="71">
        <v>0</v>
      </c>
      <c r="G112" s="42" t="s">
        <v>50</v>
      </c>
      <c r="H112" s="31">
        <v>0</v>
      </c>
      <c r="I112" s="138" t="e">
        <f>IF(H112="","",VLOOKUP(H112,[1]ENTIDAD!$B$2:$C$605,2,0))</f>
        <v>#N/A</v>
      </c>
      <c r="J112" s="11"/>
      <c r="K112" s="11"/>
      <c r="L112" s="11"/>
      <c r="M112" s="11"/>
      <c r="N112" s="116">
        <f t="shared" ref="N112:N118" si="7">(S112-P112)/1.18</f>
        <v>0</v>
      </c>
      <c r="O112" s="116">
        <f t="shared" si="6"/>
        <v>0</v>
      </c>
      <c r="P112" s="11">
        <v>0</v>
      </c>
      <c r="Q112" s="11"/>
      <c r="R112" s="11"/>
      <c r="S112" s="11"/>
      <c r="T112" s="14"/>
      <c r="U112" s="14"/>
      <c r="V112" s="13"/>
      <c r="W112" s="15"/>
      <c r="X112" s="13"/>
      <c r="Y112" s="14"/>
      <c r="Z112" s="14"/>
      <c r="AA112" s="14"/>
      <c r="AB112" s="42" t="s">
        <v>224</v>
      </c>
      <c r="AC112" s="11"/>
      <c r="AD112" s="126"/>
      <c r="AE112" s="127"/>
      <c r="AF112" s="119"/>
      <c r="AG112" s="14"/>
      <c r="AH112" s="14" t="s">
        <v>225</v>
      </c>
      <c r="AI112" s="14"/>
      <c r="AJ112" s="14"/>
      <c r="AK112" s="16"/>
      <c r="AL112" s="11"/>
      <c r="AM112" s="11"/>
      <c r="AN112" s="14"/>
      <c r="AO112" s="14"/>
      <c r="AP112" s="13"/>
      <c r="AQ112" s="14"/>
      <c r="AR112" s="11">
        <v>18</v>
      </c>
      <c r="AS112" s="14"/>
      <c r="AT112" s="14"/>
      <c r="AU112" s="11"/>
      <c r="AV112" s="14"/>
    </row>
    <row r="113" spans="1:49" s="45" customFormat="1" ht="15" x14ac:dyDescent="0.25">
      <c r="A113" s="199"/>
      <c r="B113" s="72"/>
      <c r="C113" s="42" t="s">
        <v>49</v>
      </c>
      <c r="D113" s="42"/>
      <c r="E113" s="14"/>
      <c r="F113" s="71">
        <v>0</v>
      </c>
      <c r="G113" s="42" t="s">
        <v>50</v>
      </c>
      <c r="H113" s="31">
        <v>0</v>
      </c>
      <c r="I113" s="138" t="e">
        <f>IF(H113="","",VLOOKUP(H113,[1]ENTIDAD!$B$2:$C$605,2,0))</f>
        <v>#N/A</v>
      </c>
      <c r="J113" s="11"/>
      <c r="K113" s="11"/>
      <c r="L113" s="11"/>
      <c r="M113" s="11"/>
      <c r="N113" s="116">
        <f t="shared" si="7"/>
        <v>0</v>
      </c>
      <c r="O113" s="116">
        <f t="shared" si="6"/>
        <v>0</v>
      </c>
      <c r="P113" s="11">
        <v>0</v>
      </c>
      <c r="Q113" s="11"/>
      <c r="R113" s="11"/>
      <c r="S113" s="11"/>
      <c r="T113" s="14"/>
      <c r="U113" s="14"/>
      <c r="V113" s="13"/>
      <c r="W113" s="15"/>
      <c r="X113" s="13"/>
      <c r="Y113" s="14"/>
      <c r="Z113" s="14"/>
      <c r="AA113" s="14"/>
      <c r="AB113" s="42" t="s">
        <v>224</v>
      </c>
      <c r="AC113" s="11"/>
      <c r="AD113" s="126"/>
      <c r="AE113" s="127"/>
      <c r="AF113" s="127"/>
      <c r="AG113" s="14"/>
      <c r="AH113" s="14" t="s">
        <v>225</v>
      </c>
      <c r="AI113" s="14"/>
      <c r="AJ113" s="14"/>
      <c r="AK113" s="16"/>
      <c r="AL113" s="11"/>
      <c r="AM113" s="11"/>
      <c r="AN113" s="14"/>
      <c r="AO113" s="14"/>
      <c r="AP113" s="13"/>
      <c r="AQ113" s="14"/>
      <c r="AR113" s="11">
        <v>18</v>
      </c>
      <c r="AS113" s="14"/>
      <c r="AT113" s="14"/>
      <c r="AU113" s="11"/>
      <c r="AV113" s="14"/>
    </row>
    <row r="114" spans="1:49" s="45" customFormat="1" ht="15" x14ac:dyDescent="0.25">
      <c r="A114" s="199"/>
      <c r="B114" s="72"/>
      <c r="C114" s="42" t="s">
        <v>49</v>
      </c>
      <c r="D114" s="42"/>
      <c r="E114" s="14"/>
      <c r="F114" s="71">
        <v>0</v>
      </c>
      <c r="G114" s="42" t="s">
        <v>50</v>
      </c>
      <c r="H114" s="31">
        <v>0</v>
      </c>
      <c r="I114" s="138" t="e">
        <f>IF(H114="","",VLOOKUP(H114,[1]ENTIDAD!$B$2:$C$605,2,0))</f>
        <v>#N/A</v>
      </c>
      <c r="J114" s="11"/>
      <c r="K114" s="11"/>
      <c r="L114" s="11"/>
      <c r="M114" s="11"/>
      <c r="N114" s="116">
        <f t="shared" si="7"/>
        <v>0</v>
      </c>
      <c r="O114" s="116">
        <f t="shared" si="6"/>
        <v>0</v>
      </c>
      <c r="P114" s="11">
        <v>0</v>
      </c>
      <c r="Q114" s="11"/>
      <c r="R114" s="11"/>
      <c r="S114" s="11"/>
      <c r="T114" s="14"/>
      <c r="U114" s="14"/>
      <c r="V114" s="13"/>
      <c r="W114" s="15"/>
      <c r="X114" s="13"/>
      <c r="Y114" s="14"/>
      <c r="Z114" s="14"/>
      <c r="AA114" s="14"/>
      <c r="AB114" s="42" t="s">
        <v>224</v>
      </c>
      <c r="AC114" s="11"/>
      <c r="AD114" s="126"/>
      <c r="AE114" s="112"/>
      <c r="AF114" s="119"/>
      <c r="AG114" s="14"/>
      <c r="AH114" s="14" t="s">
        <v>225</v>
      </c>
      <c r="AI114" s="14"/>
      <c r="AJ114" s="14"/>
      <c r="AK114" s="16"/>
      <c r="AL114" s="11"/>
      <c r="AM114" s="11"/>
      <c r="AN114" s="14"/>
      <c r="AO114" s="14"/>
      <c r="AP114" s="13"/>
      <c r="AQ114" s="14"/>
      <c r="AR114" s="11">
        <v>18</v>
      </c>
      <c r="AS114" s="14"/>
      <c r="AT114" s="14"/>
      <c r="AU114" s="11"/>
      <c r="AV114" s="14"/>
    </row>
    <row r="115" spans="1:49" s="45" customFormat="1" ht="15" x14ac:dyDescent="0.25">
      <c r="A115" s="199"/>
      <c r="B115" s="72"/>
      <c r="C115" s="42" t="s">
        <v>49</v>
      </c>
      <c r="D115" s="42"/>
      <c r="E115" s="14"/>
      <c r="F115" s="71">
        <v>0</v>
      </c>
      <c r="G115" s="42" t="s">
        <v>50</v>
      </c>
      <c r="H115" s="31">
        <v>0</v>
      </c>
      <c r="I115" s="138" t="e">
        <f>IF(H115="","",VLOOKUP(H115,[1]ENTIDAD!$B$2:$C$605,2,0))</f>
        <v>#N/A</v>
      </c>
      <c r="J115" s="11"/>
      <c r="K115" s="11"/>
      <c r="L115" s="11"/>
      <c r="M115" s="11"/>
      <c r="N115" s="116">
        <f t="shared" si="7"/>
        <v>0</v>
      </c>
      <c r="O115" s="116">
        <f t="shared" si="6"/>
        <v>0</v>
      </c>
      <c r="P115" s="11">
        <v>0</v>
      </c>
      <c r="Q115" s="11"/>
      <c r="R115" s="11"/>
      <c r="S115" s="11"/>
      <c r="T115" s="14"/>
      <c r="U115" s="14"/>
      <c r="V115" s="13"/>
      <c r="W115" s="15"/>
      <c r="X115" s="13"/>
      <c r="Y115" s="14"/>
      <c r="Z115" s="14"/>
      <c r="AA115" s="14"/>
      <c r="AB115" s="42" t="s">
        <v>224</v>
      </c>
      <c r="AC115" s="11"/>
      <c r="AD115" s="126"/>
      <c r="AE115" s="112"/>
      <c r="AF115" s="119"/>
      <c r="AG115" s="14"/>
      <c r="AH115" s="14" t="s">
        <v>225</v>
      </c>
      <c r="AI115" s="14"/>
      <c r="AJ115" s="14"/>
      <c r="AK115" s="16"/>
      <c r="AL115" s="11"/>
      <c r="AM115" s="11"/>
      <c r="AN115" s="14"/>
      <c r="AO115" s="14"/>
      <c r="AP115" s="13"/>
      <c r="AQ115" s="14"/>
      <c r="AR115" s="11">
        <v>18</v>
      </c>
      <c r="AS115" s="14"/>
      <c r="AT115" s="14"/>
      <c r="AU115" s="11"/>
      <c r="AV115" s="14"/>
    </row>
    <row r="116" spans="1:49" s="45" customFormat="1" ht="15" x14ac:dyDescent="0.25">
      <c r="A116" s="199"/>
      <c r="B116" s="72"/>
      <c r="C116" s="42" t="s">
        <v>49</v>
      </c>
      <c r="D116" s="42"/>
      <c r="E116" s="14"/>
      <c r="F116" s="71">
        <v>0</v>
      </c>
      <c r="G116" s="42" t="s">
        <v>50</v>
      </c>
      <c r="H116" s="184">
        <v>0</v>
      </c>
      <c r="I116" s="138" t="e">
        <f>IF(H116="","",VLOOKUP(H116,[1]ENTIDAD!$B$2:$C$605,2,0))</f>
        <v>#N/A</v>
      </c>
      <c r="J116" s="11"/>
      <c r="K116" s="11"/>
      <c r="L116" s="11"/>
      <c r="M116" s="11"/>
      <c r="N116" s="116">
        <f t="shared" si="7"/>
        <v>0</v>
      </c>
      <c r="O116" s="116">
        <f t="shared" si="6"/>
        <v>0</v>
      </c>
      <c r="P116" s="11">
        <v>0</v>
      </c>
      <c r="Q116" s="11"/>
      <c r="R116" s="11"/>
      <c r="S116" s="11"/>
      <c r="T116" s="14"/>
      <c r="U116" s="14"/>
      <c r="V116" s="13"/>
      <c r="W116" s="15"/>
      <c r="X116" s="13"/>
      <c r="Y116" s="14"/>
      <c r="Z116" s="14"/>
      <c r="AA116" s="14"/>
      <c r="AB116" s="42" t="s">
        <v>224</v>
      </c>
      <c r="AC116" s="11"/>
      <c r="AD116" s="126"/>
      <c r="AE116" s="112"/>
      <c r="AF116" s="119"/>
      <c r="AG116" s="14"/>
      <c r="AH116" s="14" t="s">
        <v>225</v>
      </c>
      <c r="AI116" s="14"/>
      <c r="AJ116" s="14"/>
      <c r="AK116" s="16"/>
      <c r="AL116" s="11"/>
      <c r="AM116" s="11"/>
      <c r="AN116" s="14"/>
      <c r="AO116" s="14"/>
      <c r="AP116" s="13"/>
      <c r="AQ116" s="14"/>
      <c r="AR116" s="11">
        <v>18</v>
      </c>
      <c r="AS116" s="14"/>
      <c r="AT116" s="14"/>
      <c r="AU116" s="11"/>
      <c r="AV116" s="14"/>
    </row>
    <row r="117" spans="1:49" s="45" customFormat="1" ht="15" x14ac:dyDescent="0.25">
      <c r="A117" s="199"/>
      <c r="B117" s="72"/>
      <c r="C117" s="42" t="s">
        <v>49</v>
      </c>
      <c r="D117" s="42"/>
      <c r="E117" s="14"/>
      <c r="F117" s="71">
        <v>0</v>
      </c>
      <c r="G117" s="42" t="s">
        <v>50</v>
      </c>
      <c r="H117" s="31">
        <v>0</v>
      </c>
      <c r="I117" s="138" t="e">
        <f>IF(H117="","",VLOOKUP(H117,[1]ENTIDAD!$B$2:$C$605,2,0))</f>
        <v>#N/A</v>
      </c>
      <c r="J117" s="11"/>
      <c r="K117" s="11"/>
      <c r="L117" s="11"/>
      <c r="M117" s="11"/>
      <c r="N117" s="116">
        <f t="shared" si="7"/>
        <v>0</v>
      </c>
      <c r="O117" s="116">
        <f t="shared" si="6"/>
        <v>0</v>
      </c>
      <c r="P117" s="11">
        <v>0</v>
      </c>
      <c r="Q117" s="11"/>
      <c r="R117" s="11"/>
      <c r="S117" s="11"/>
      <c r="T117" s="14"/>
      <c r="U117" s="14"/>
      <c r="V117" s="13"/>
      <c r="W117" s="15"/>
      <c r="X117" s="13"/>
      <c r="Y117" s="14"/>
      <c r="Z117" s="14"/>
      <c r="AA117" s="14"/>
      <c r="AB117" s="42" t="s">
        <v>224</v>
      </c>
      <c r="AC117" s="11"/>
      <c r="AD117" s="126"/>
      <c r="AE117" s="112"/>
      <c r="AF117" s="119"/>
      <c r="AG117" s="14"/>
      <c r="AH117" s="14" t="s">
        <v>225</v>
      </c>
      <c r="AI117" s="14"/>
      <c r="AJ117" s="14"/>
      <c r="AK117" s="16"/>
      <c r="AL117" s="11"/>
      <c r="AM117" s="11"/>
      <c r="AN117" s="14"/>
      <c r="AO117" s="14"/>
      <c r="AP117" s="13"/>
      <c r="AQ117" s="14"/>
      <c r="AR117" s="11">
        <v>18</v>
      </c>
      <c r="AS117" s="112"/>
      <c r="AT117" s="14"/>
      <c r="AU117" s="11"/>
      <c r="AV117" s="14"/>
    </row>
    <row r="118" spans="1:49" s="45" customFormat="1" ht="15" x14ac:dyDescent="0.25">
      <c r="A118" s="200"/>
      <c r="B118" s="109"/>
      <c r="C118" s="111" t="s">
        <v>49</v>
      </c>
      <c r="D118" s="42"/>
      <c r="E118" s="112"/>
      <c r="F118" s="71">
        <v>0</v>
      </c>
      <c r="G118" s="111" t="s">
        <v>50</v>
      </c>
      <c r="H118" s="114">
        <v>0</v>
      </c>
      <c r="I118" s="138" t="e">
        <f>IF(H118="","",VLOOKUP(H118,[1]ENTIDAD!$B$2:$C$605,2,0))</f>
        <v>#N/A</v>
      </c>
      <c r="J118" s="116"/>
      <c r="K118" s="116"/>
      <c r="L118" s="116"/>
      <c r="M118" s="116"/>
      <c r="N118" s="116">
        <f t="shared" si="7"/>
        <v>0</v>
      </c>
      <c r="O118" s="116">
        <f t="shared" si="6"/>
        <v>0</v>
      </c>
      <c r="P118" s="11">
        <v>0</v>
      </c>
      <c r="Q118" s="116"/>
      <c r="R118" s="11"/>
      <c r="S118" s="11"/>
      <c r="T118" s="112"/>
      <c r="U118" s="112"/>
      <c r="V118" s="109"/>
      <c r="W118" s="118"/>
      <c r="X118" s="109"/>
      <c r="Y118" s="112"/>
      <c r="Z118" s="112"/>
      <c r="AA118" s="112"/>
      <c r="AB118" s="42" t="s">
        <v>224</v>
      </c>
      <c r="AC118" s="11"/>
      <c r="AD118" s="126"/>
      <c r="AE118" s="112"/>
      <c r="AF118" s="119"/>
      <c r="AG118" s="14"/>
      <c r="AH118" s="14" t="s">
        <v>225</v>
      </c>
      <c r="AI118" s="14"/>
      <c r="AJ118" s="14"/>
      <c r="AK118" s="16"/>
      <c r="AL118" s="11"/>
      <c r="AM118" s="11"/>
      <c r="AN118" s="14"/>
      <c r="AO118" s="14"/>
      <c r="AP118" s="13"/>
      <c r="AQ118" s="14"/>
      <c r="AR118" s="11">
        <v>18</v>
      </c>
      <c r="AS118" s="112"/>
      <c r="AT118" s="112"/>
      <c r="AU118" s="116"/>
      <c r="AV118" s="112"/>
      <c r="AW118" s="121"/>
    </row>
    <row r="119" spans="1:49" s="45" customFormat="1" ht="15" x14ac:dyDescent="0.25">
      <c r="A119" s="199"/>
      <c r="B119" s="72"/>
      <c r="C119" s="42" t="s">
        <v>49</v>
      </c>
      <c r="D119" s="42"/>
      <c r="E119" s="14"/>
      <c r="F119" s="71">
        <v>0</v>
      </c>
      <c r="G119" s="42" t="s">
        <v>50</v>
      </c>
      <c r="H119" s="31">
        <v>0</v>
      </c>
      <c r="I119" s="138" t="e">
        <f>IF(H119="","",VLOOKUP(H119,[1]ENTIDAD!$B$2:$C$605,2,0))</f>
        <v>#N/A</v>
      </c>
      <c r="J119" s="11"/>
      <c r="K119" s="11"/>
      <c r="L119" s="11"/>
      <c r="M119" s="11"/>
      <c r="N119" s="116">
        <v>0</v>
      </c>
      <c r="O119" s="116">
        <f t="shared" si="6"/>
        <v>0</v>
      </c>
      <c r="P119" s="11">
        <v>0</v>
      </c>
      <c r="Q119" s="11"/>
      <c r="R119" s="11"/>
      <c r="S119" s="11"/>
      <c r="T119" s="14"/>
      <c r="U119" s="14"/>
      <c r="V119" s="13"/>
      <c r="W119" s="15"/>
      <c r="X119" s="13"/>
      <c r="Y119" s="14"/>
      <c r="Z119" s="14"/>
      <c r="AA119" s="14"/>
      <c r="AB119" s="42" t="s">
        <v>224</v>
      </c>
      <c r="AC119" s="11"/>
      <c r="AD119" s="126"/>
      <c r="AE119" s="127"/>
      <c r="AF119" s="119"/>
      <c r="AG119" s="14"/>
      <c r="AH119" s="14" t="s">
        <v>225</v>
      </c>
      <c r="AI119" s="14"/>
      <c r="AJ119" s="14"/>
      <c r="AK119" s="16"/>
      <c r="AL119" s="11"/>
      <c r="AM119" s="11"/>
      <c r="AN119" s="14"/>
      <c r="AO119" s="14"/>
      <c r="AP119" s="13"/>
      <c r="AQ119" s="14"/>
      <c r="AR119" s="11">
        <v>18</v>
      </c>
      <c r="AS119" s="14"/>
      <c r="AT119" s="14"/>
      <c r="AU119" s="11"/>
      <c r="AV119" s="14"/>
    </row>
    <row r="120" spans="1:49" s="45" customFormat="1" ht="15" x14ac:dyDescent="0.25">
      <c r="A120" s="199"/>
      <c r="B120" s="72"/>
      <c r="C120" s="42" t="s">
        <v>49</v>
      </c>
      <c r="D120" s="42"/>
      <c r="E120" s="14"/>
      <c r="F120" s="71">
        <v>0</v>
      </c>
      <c r="G120" s="42" t="s">
        <v>50</v>
      </c>
      <c r="H120" s="31">
        <v>0</v>
      </c>
      <c r="I120" s="138" t="e">
        <f>IF(H120="","",VLOOKUP(H120,[1]ENTIDAD!$B$2:$C$605,2,0))</f>
        <v>#N/A</v>
      </c>
      <c r="J120" s="11"/>
      <c r="K120" s="11"/>
      <c r="L120" s="11"/>
      <c r="M120" s="11"/>
      <c r="N120" s="116">
        <f>(S120-P120)/1.18</f>
        <v>0</v>
      </c>
      <c r="O120" s="116">
        <f t="shared" si="6"/>
        <v>0</v>
      </c>
      <c r="P120" s="11">
        <v>0</v>
      </c>
      <c r="Q120" s="11"/>
      <c r="R120" s="11"/>
      <c r="S120" s="11"/>
      <c r="T120" s="14"/>
      <c r="U120" s="14"/>
      <c r="V120" s="13"/>
      <c r="W120" s="15"/>
      <c r="X120" s="13"/>
      <c r="Y120" s="14"/>
      <c r="Z120" s="14"/>
      <c r="AA120" s="14"/>
      <c r="AB120" s="42" t="s">
        <v>224</v>
      </c>
      <c r="AC120" s="11"/>
      <c r="AD120" s="126"/>
      <c r="AE120" s="112"/>
      <c r="AF120" s="119"/>
      <c r="AG120" s="14"/>
      <c r="AH120" s="14" t="s">
        <v>225</v>
      </c>
      <c r="AI120" s="14"/>
      <c r="AJ120" s="14"/>
      <c r="AK120" s="16"/>
      <c r="AL120" s="11"/>
      <c r="AM120" s="11"/>
      <c r="AN120" s="14"/>
      <c r="AO120" s="14"/>
      <c r="AP120" s="13"/>
      <c r="AQ120" s="14"/>
      <c r="AR120" s="11">
        <v>18</v>
      </c>
      <c r="AS120" s="14"/>
      <c r="AT120" s="14"/>
      <c r="AU120" s="11"/>
      <c r="AV120" s="14"/>
    </row>
    <row r="121" spans="1:49" s="121" customFormat="1" ht="15" x14ac:dyDescent="0.25">
      <c r="A121" s="199"/>
      <c r="B121" s="72"/>
      <c r="C121" s="42" t="s">
        <v>49</v>
      </c>
      <c r="D121" s="42"/>
      <c r="E121" s="14"/>
      <c r="F121" s="71">
        <v>0</v>
      </c>
      <c r="G121" s="42" t="s">
        <v>50</v>
      </c>
      <c r="H121" s="31">
        <v>0</v>
      </c>
      <c r="I121" s="138" t="e">
        <f>IF(H121="","",VLOOKUP(H121,[1]ENTIDAD!$B$2:$C$605,2,0))</f>
        <v>#N/A</v>
      </c>
      <c r="J121" s="11"/>
      <c r="K121" s="11"/>
      <c r="L121" s="11"/>
      <c r="M121" s="11"/>
      <c r="N121" s="116">
        <f>(S121-P121)/1.18</f>
        <v>0</v>
      </c>
      <c r="O121" s="116">
        <f t="shared" si="6"/>
        <v>0</v>
      </c>
      <c r="P121" s="11">
        <v>0</v>
      </c>
      <c r="Q121" s="11"/>
      <c r="R121" s="11"/>
      <c r="S121" s="11"/>
      <c r="T121" s="14"/>
      <c r="U121" s="14"/>
      <c r="V121" s="13"/>
      <c r="W121" s="15"/>
      <c r="X121" s="13"/>
      <c r="Y121" s="14"/>
      <c r="Z121" s="14"/>
      <c r="AA121" s="14"/>
      <c r="AB121" s="42" t="s">
        <v>224</v>
      </c>
      <c r="AC121" s="11"/>
      <c r="AD121" s="126"/>
      <c r="AE121" s="127"/>
      <c r="AF121" s="119"/>
      <c r="AG121" s="14"/>
      <c r="AH121" s="14" t="s">
        <v>225</v>
      </c>
      <c r="AI121" s="14"/>
      <c r="AJ121" s="14"/>
      <c r="AK121" s="16"/>
      <c r="AL121" s="11"/>
      <c r="AM121" s="11"/>
      <c r="AN121" s="14"/>
      <c r="AO121" s="14"/>
      <c r="AP121" s="13"/>
      <c r="AQ121" s="14"/>
      <c r="AR121" s="11">
        <v>18</v>
      </c>
      <c r="AS121" s="14"/>
      <c r="AT121" s="14"/>
      <c r="AU121" s="11"/>
      <c r="AV121" s="14"/>
      <c r="AW121" s="45"/>
    </row>
    <row r="122" spans="1:49" s="45" customFormat="1" ht="15" x14ac:dyDescent="0.25">
      <c r="A122" s="199"/>
      <c r="B122" s="72"/>
      <c r="C122" s="42" t="s">
        <v>49</v>
      </c>
      <c r="D122" s="42"/>
      <c r="E122" s="14"/>
      <c r="F122" s="71">
        <v>0</v>
      </c>
      <c r="G122" s="42" t="s">
        <v>50</v>
      </c>
      <c r="H122" s="31">
        <v>0</v>
      </c>
      <c r="I122" s="138" t="e">
        <f>IF(H122="","",VLOOKUP(H122,[1]ENTIDAD!$B$2:$C$605,2,0))</f>
        <v>#N/A</v>
      </c>
      <c r="J122" s="11"/>
      <c r="K122" s="11"/>
      <c r="L122" s="11"/>
      <c r="M122" s="11"/>
      <c r="N122" s="116">
        <v>0</v>
      </c>
      <c r="O122" s="116">
        <f t="shared" si="6"/>
        <v>0</v>
      </c>
      <c r="P122" s="11">
        <v>0</v>
      </c>
      <c r="Q122" s="11"/>
      <c r="R122" s="11"/>
      <c r="S122" s="11"/>
      <c r="T122" s="14"/>
      <c r="U122" s="14"/>
      <c r="V122" s="13"/>
      <c r="W122" s="15"/>
      <c r="X122" s="13"/>
      <c r="Y122" s="14"/>
      <c r="Z122" s="14"/>
      <c r="AA122" s="14"/>
      <c r="AB122" s="42" t="s">
        <v>224</v>
      </c>
      <c r="AC122" s="11"/>
      <c r="AD122" s="126"/>
      <c r="AE122" s="112"/>
      <c r="AF122" s="128"/>
      <c r="AG122" s="14"/>
      <c r="AH122" s="14" t="s">
        <v>225</v>
      </c>
      <c r="AI122" s="14"/>
      <c r="AJ122" s="14"/>
      <c r="AK122" s="16"/>
      <c r="AL122" s="11"/>
      <c r="AM122" s="11"/>
      <c r="AN122" s="14"/>
      <c r="AO122" s="14"/>
      <c r="AP122" s="13"/>
      <c r="AQ122" s="14"/>
      <c r="AR122" s="11">
        <v>18</v>
      </c>
      <c r="AS122" s="14"/>
      <c r="AT122" s="14"/>
      <c r="AU122" s="11"/>
      <c r="AV122" s="14"/>
    </row>
    <row r="123" spans="1:49" s="45" customFormat="1" ht="15" x14ac:dyDescent="0.25">
      <c r="A123" s="199"/>
      <c r="B123" s="72"/>
      <c r="C123" s="42" t="s">
        <v>49</v>
      </c>
      <c r="D123" s="42"/>
      <c r="E123" s="14"/>
      <c r="F123" s="71">
        <v>0</v>
      </c>
      <c r="G123" s="42" t="s">
        <v>50</v>
      </c>
      <c r="H123" s="31">
        <v>0</v>
      </c>
      <c r="I123" s="138" t="e">
        <f>IF(H123="","",VLOOKUP(H123,[1]ENTIDAD!$B$2:$C$605,2,0))</f>
        <v>#N/A</v>
      </c>
      <c r="J123" s="11"/>
      <c r="K123" s="11"/>
      <c r="L123" s="11"/>
      <c r="M123" s="11"/>
      <c r="N123" s="116">
        <v>0</v>
      </c>
      <c r="O123" s="116">
        <f t="shared" si="6"/>
        <v>0</v>
      </c>
      <c r="P123" s="11">
        <v>0</v>
      </c>
      <c r="Q123" s="11"/>
      <c r="R123" s="11"/>
      <c r="S123" s="11"/>
      <c r="T123" s="14"/>
      <c r="U123" s="14"/>
      <c r="V123" s="13"/>
      <c r="W123" s="15"/>
      <c r="X123" s="13"/>
      <c r="Y123" s="14"/>
      <c r="Z123" s="14"/>
      <c r="AA123" s="14"/>
      <c r="AB123" s="42" t="s">
        <v>224</v>
      </c>
      <c r="AC123" s="11"/>
      <c r="AD123" s="126"/>
      <c r="AE123" s="112"/>
      <c r="AF123" s="128"/>
      <c r="AG123" s="14"/>
      <c r="AH123" s="14" t="s">
        <v>225</v>
      </c>
      <c r="AI123" s="14"/>
      <c r="AJ123" s="14"/>
      <c r="AK123" s="16"/>
      <c r="AL123" s="11"/>
      <c r="AM123" s="11"/>
      <c r="AN123" s="14"/>
      <c r="AO123" s="14"/>
      <c r="AP123" s="13"/>
      <c r="AQ123" s="14"/>
      <c r="AR123" s="11">
        <v>18</v>
      </c>
      <c r="AS123" s="14"/>
      <c r="AT123" s="14"/>
      <c r="AU123" s="11"/>
      <c r="AV123" s="14"/>
    </row>
    <row r="124" spans="1:49" s="45" customFormat="1" ht="15" x14ac:dyDescent="0.25">
      <c r="A124" s="199"/>
      <c r="B124" s="72"/>
      <c r="C124" s="42" t="s">
        <v>49</v>
      </c>
      <c r="D124" s="42"/>
      <c r="E124" s="14"/>
      <c r="F124" s="71">
        <v>0</v>
      </c>
      <c r="G124" s="42" t="s">
        <v>50</v>
      </c>
      <c r="H124" s="31">
        <v>0</v>
      </c>
      <c r="I124" s="138" t="e">
        <f>IF(H124="","",VLOOKUP(H124,[1]ENTIDAD!$B$2:$C$605,2,0))</f>
        <v>#N/A</v>
      </c>
      <c r="J124" s="11"/>
      <c r="K124" s="11"/>
      <c r="L124" s="11"/>
      <c r="M124" s="11"/>
      <c r="N124" s="116">
        <v>0</v>
      </c>
      <c r="O124" s="116">
        <f t="shared" si="6"/>
        <v>0</v>
      </c>
      <c r="P124" s="11">
        <v>0</v>
      </c>
      <c r="Q124" s="11"/>
      <c r="R124" s="11"/>
      <c r="S124" s="11"/>
      <c r="T124" s="14"/>
      <c r="U124" s="14"/>
      <c r="V124" s="13"/>
      <c r="W124" s="15"/>
      <c r="X124" s="13"/>
      <c r="Y124" s="14"/>
      <c r="Z124" s="14"/>
      <c r="AA124" s="14"/>
      <c r="AB124" s="42" t="s">
        <v>224</v>
      </c>
      <c r="AC124" s="11"/>
      <c r="AD124" s="126"/>
      <c r="AE124" s="112"/>
      <c r="AF124" s="128"/>
      <c r="AG124" s="14"/>
      <c r="AH124" s="14" t="s">
        <v>225</v>
      </c>
      <c r="AI124" s="14"/>
      <c r="AJ124" s="14"/>
      <c r="AK124" s="16"/>
      <c r="AL124" s="11"/>
      <c r="AM124" s="11"/>
      <c r="AN124" s="14"/>
      <c r="AO124" s="14"/>
      <c r="AP124" s="13"/>
      <c r="AQ124" s="14"/>
      <c r="AR124" s="11">
        <v>18</v>
      </c>
      <c r="AS124" s="14"/>
      <c r="AT124" s="14"/>
      <c r="AU124" s="11"/>
      <c r="AV124" s="14"/>
    </row>
    <row r="125" spans="1:49" s="45" customFormat="1" ht="15" x14ac:dyDescent="0.25">
      <c r="A125" s="199"/>
      <c r="B125" s="72"/>
      <c r="C125" s="42" t="s">
        <v>49</v>
      </c>
      <c r="D125" s="42"/>
      <c r="E125" s="14"/>
      <c r="F125" s="71">
        <v>0</v>
      </c>
      <c r="G125" s="42" t="s">
        <v>50</v>
      </c>
      <c r="H125" s="31">
        <v>0</v>
      </c>
      <c r="I125" s="138" t="e">
        <f>IF(H125="","",VLOOKUP(H125,[1]ENTIDAD!$B$2:$C$605,2,0))</f>
        <v>#N/A</v>
      </c>
      <c r="J125" s="11"/>
      <c r="K125" s="11"/>
      <c r="L125" s="11"/>
      <c r="M125" s="11"/>
      <c r="N125" s="116">
        <f t="shared" ref="N125:N156" si="8">(S125-P125)/1.18</f>
        <v>0</v>
      </c>
      <c r="O125" s="116">
        <f t="shared" si="6"/>
        <v>0</v>
      </c>
      <c r="P125" s="11">
        <v>0</v>
      </c>
      <c r="Q125" s="11"/>
      <c r="R125" s="11"/>
      <c r="S125" s="11"/>
      <c r="T125" s="14"/>
      <c r="U125" s="14"/>
      <c r="V125" s="13"/>
      <c r="W125" s="15"/>
      <c r="X125" s="13"/>
      <c r="Y125" s="14"/>
      <c r="Z125" s="14"/>
      <c r="AA125" s="14"/>
      <c r="AB125" s="42" t="s">
        <v>224</v>
      </c>
      <c r="AC125" s="11"/>
      <c r="AD125" s="126"/>
      <c r="AE125" s="127"/>
      <c r="AF125" s="119"/>
      <c r="AG125" s="14"/>
      <c r="AH125" s="14" t="s">
        <v>225</v>
      </c>
      <c r="AI125" s="14"/>
      <c r="AJ125" s="14"/>
      <c r="AK125" s="16"/>
      <c r="AL125" s="11"/>
      <c r="AM125" s="11"/>
      <c r="AN125" s="14"/>
      <c r="AO125" s="14"/>
      <c r="AP125" s="13"/>
      <c r="AQ125" s="14"/>
      <c r="AR125" s="11">
        <v>18</v>
      </c>
      <c r="AS125" s="14"/>
      <c r="AT125" s="14"/>
      <c r="AU125" s="11"/>
      <c r="AV125" s="14"/>
    </row>
    <row r="126" spans="1:49" s="45" customFormat="1" ht="15" x14ac:dyDescent="0.25">
      <c r="A126" s="247"/>
      <c r="B126" s="248"/>
      <c r="C126" s="249" t="s">
        <v>300</v>
      </c>
      <c r="D126" s="249"/>
      <c r="E126" s="250"/>
      <c r="F126" s="64">
        <v>0</v>
      </c>
      <c r="G126" s="249" t="s">
        <v>50</v>
      </c>
      <c r="H126" s="251">
        <v>0</v>
      </c>
      <c r="I126" s="140" t="e">
        <f>IF(H126="","",VLOOKUP(H126,[1]ENTIDAD!$B$2:$C$605,2,0))</f>
        <v>#N/A</v>
      </c>
      <c r="J126" s="252"/>
      <c r="K126" s="252"/>
      <c r="L126" s="252"/>
      <c r="M126" s="252"/>
      <c r="N126" s="252">
        <f t="shared" si="8"/>
        <v>0</v>
      </c>
      <c r="O126" s="252">
        <f t="shared" si="6"/>
        <v>0</v>
      </c>
      <c r="P126" s="11">
        <v>0</v>
      </c>
      <c r="Q126" s="252"/>
      <c r="R126" s="252"/>
      <c r="S126" s="55"/>
      <c r="T126" s="53"/>
      <c r="U126" s="53"/>
      <c r="V126" s="50"/>
      <c r="W126" s="25"/>
      <c r="X126" s="248"/>
      <c r="Y126" s="250"/>
      <c r="Z126" s="250"/>
      <c r="AA126" s="250"/>
      <c r="AB126" s="42" t="s">
        <v>224</v>
      </c>
      <c r="AC126" s="252"/>
      <c r="AD126" s="248"/>
      <c r="AE126" s="250"/>
      <c r="AF126" s="258"/>
      <c r="AG126" s="53"/>
      <c r="AH126" s="53" t="s">
        <v>225</v>
      </c>
      <c r="AI126" s="53"/>
      <c r="AJ126" s="53"/>
      <c r="AK126" s="61"/>
      <c r="AL126" s="55"/>
      <c r="AM126" s="55"/>
      <c r="AN126" s="53"/>
      <c r="AO126" s="53"/>
      <c r="AP126" s="50"/>
      <c r="AQ126" s="53"/>
      <c r="AR126" s="55">
        <v>18</v>
      </c>
      <c r="AS126" s="53"/>
      <c r="AT126" s="112"/>
      <c r="AU126" s="116"/>
      <c r="AV126" s="112"/>
      <c r="AW126" s="121"/>
    </row>
    <row r="127" spans="1:49" s="45" customFormat="1" ht="15" x14ac:dyDescent="0.25">
      <c r="A127" s="199"/>
      <c r="B127" s="72"/>
      <c r="C127" s="42" t="s">
        <v>49</v>
      </c>
      <c r="D127" s="42"/>
      <c r="E127" s="14"/>
      <c r="F127" s="71">
        <v>0</v>
      </c>
      <c r="G127" s="42" t="s">
        <v>50</v>
      </c>
      <c r="H127" s="184">
        <v>0</v>
      </c>
      <c r="I127" s="138" t="e">
        <f>IF(H127="","",VLOOKUP(H127,[1]ENTIDAD!$B$2:$C$605,2,0))</f>
        <v>#N/A</v>
      </c>
      <c r="J127" s="11"/>
      <c r="K127" s="11"/>
      <c r="L127" s="11"/>
      <c r="M127" s="11"/>
      <c r="N127" s="116">
        <f t="shared" si="8"/>
        <v>0</v>
      </c>
      <c r="O127" s="116">
        <f t="shared" si="6"/>
        <v>0</v>
      </c>
      <c r="P127" s="11">
        <v>0</v>
      </c>
      <c r="Q127" s="11"/>
      <c r="R127" s="11"/>
      <c r="S127" s="11"/>
      <c r="T127" s="14"/>
      <c r="U127" s="14"/>
      <c r="V127" s="13"/>
      <c r="W127" s="15"/>
      <c r="X127" s="13"/>
      <c r="Y127" s="14"/>
      <c r="Z127" s="14"/>
      <c r="AA127" s="14"/>
      <c r="AB127" s="42" t="s">
        <v>224</v>
      </c>
      <c r="AC127" s="11"/>
      <c r="AD127" s="126"/>
      <c r="AE127" s="112"/>
      <c r="AF127" s="119"/>
      <c r="AG127" s="14"/>
      <c r="AH127" s="14" t="s">
        <v>225</v>
      </c>
      <c r="AI127" s="14"/>
      <c r="AJ127" s="14"/>
      <c r="AK127" s="16"/>
      <c r="AL127" s="11"/>
      <c r="AM127" s="11"/>
      <c r="AN127" s="14"/>
      <c r="AO127" s="14"/>
      <c r="AP127" s="13"/>
      <c r="AQ127" s="14"/>
      <c r="AR127" s="11">
        <v>18</v>
      </c>
      <c r="AS127" s="14"/>
      <c r="AT127" s="14"/>
      <c r="AU127" s="11"/>
      <c r="AV127" s="14"/>
    </row>
    <row r="128" spans="1:49" s="45" customFormat="1" ht="15" x14ac:dyDescent="0.25">
      <c r="A128" s="199"/>
      <c r="B128" s="72"/>
      <c r="C128" s="42" t="s">
        <v>49</v>
      </c>
      <c r="D128" s="42"/>
      <c r="E128" s="14"/>
      <c r="F128" s="71">
        <v>0</v>
      </c>
      <c r="G128" s="42" t="s">
        <v>50</v>
      </c>
      <c r="H128" s="184">
        <v>0</v>
      </c>
      <c r="I128" s="138" t="e">
        <f>IF(H128="","",VLOOKUP(H128,[1]ENTIDAD!$B$2:$C$605,2,0))</f>
        <v>#N/A</v>
      </c>
      <c r="J128" s="11"/>
      <c r="K128" s="11"/>
      <c r="L128" s="11"/>
      <c r="M128" s="11"/>
      <c r="N128" s="116">
        <f t="shared" si="8"/>
        <v>0</v>
      </c>
      <c r="O128" s="116">
        <f t="shared" si="6"/>
        <v>0</v>
      </c>
      <c r="P128" s="11">
        <v>0</v>
      </c>
      <c r="Q128" s="11"/>
      <c r="R128" s="11"/>
      <c r="S128" s="11"/>
      <c r="T128" s="14"/>
      <c r="U128" s="14"/>
      <c r="V128" s="13"/>
      <c r="W128" s="15"/>
      <c r="X128" s="13"/>
      <c r="Y128" s="14"/>
      <c r="Z128" s="14"/>
      <c r="AA128" s="14"/>
      <c r="AB128" s="42" t="s">
        <v>224</v>
      </c>
      <c r="AC128" s="11"/>
      <c r="AD128" s="126"/>
      <c r="AE128" s="127"/>
      <c r="AF128" s="128"/>
      <c r="AG128" s="14"/>
      <c r="AH128" s="14" t="s">
        <v>225</v>
      </c>
      <c r="AI128" s="14"/>
      <c r="AJ128" s="14"/>
      <c r="AK128" s="16"/>
      <c r="AL128" s="11"/>
      <c r="AM128" s="11"/>
      <c r="AN128" s="14"/>
      <c r="AO128" s="14"/>
      <c r="AP128" s="13"/>
      <c r="AQ128" s="14"/>
      <c r="AR128" s="11">
        <v>18</v>
      </c>
      <c r="AS128" s="14"/>
      <c r="AT128" s="14"/>
      <c r="AU128" s="11"/>
      <c r="AV128" s="14"/>
    </row>
    <row r="129" spans="1:49" s="45" customFormat="1" ht="15" x14ac:dyDescent="0.25">
      <c r="A129" s="223"/>
      <c r="B129" s="68"/>
      <c r="C129" s="52" t="s">
        <v>300</v>
      </c>
      <c r="D129" s="52"/>
      <c r="E129" s="53"/>
      <c r="F129" s="64">
        <v>0</v>
      </c>
      <c r="G129" s="52" t="s">
        <v>50</v>
      </c>
      <c r="H129" s="69">
        <v>0</v>
      </c>
      <c r="I129" s="140" t="e">
        <f>IF(H129="","",VLOOKUP(H129,[1]ENTIDAD!$B$2:$C$605,2,0))</f>
        <v>#N/A</v>
      </c>
      <c r="J129" s="55"/>
      <c r="K129" s="55"/>
      <c r="L129" s="55"/>
      <c r="M129" s="55"/>
      <c r="N129" s="252">
        <f t="shared" si="8"/>
        <v>0</v>
      </c>
      <c r="O129" s="252">
        <f t="shared" si="6"/>
        <v>0</v>
      </c>
      <c r="P129" s="11">
        <v>0</v>
      </c>
      <c r="Q129" s="55"/>
      <c r="R129" s="55"/>
      <c r="S129" s="55"/>
      <c r="T129" s="53"/>
      <c r="U129" s="53"/>
      <c r="V129" s="50"/>
      <c r="W129" s="25"/>
      <c r="X129" s="50"/>
      <c r="Y129" s="53"/>
      <c r="Z129" s="53"/>
      <c r="AA129" s="53"/>
      <c r="AB129" s="42" t="s">
        <v>224</v>
      </c>
      <c r="AC129" s="55"/>
      <c r="AD129" s="248"/>
      <c r="AE129" s="250"/>
      <c r="AF129" s="258"/>
      <c r="AG129" s="53"/>
      <c r="AH129" s="53" t="s">
        <v>225</v>
      </c>
      <c r="AI129" s="53"/>
      <c r="AJ129" s="53"/>
      <c r="AK129" s="61"/>
      <c r="AL129" s="55"/>
      <c r="AM129" s="55"/>
      <c r="AN129" s="53"/>
      <c r="AO129" s="53"/>
      <c r="AP129" s="50"/>
      <c r="AQ129" s="53"/>
      <c r="AR129" s="55">
        <v>18</v>
      </c>
      <c r="AS129" s="53"/>
      <c r="AT129" s="14"/>
      <c r="AU129" s="11"/>
      <c r="AV129" s="14"/>
    </row>
    <row r="130" spans="1:49" s="45" customFormat="1" ht="15" x14ac:dyDescent="0.25">
      <c r="A130" s="200"/>
      <c r="B130" s="72"/>
      <c r="C130" s="111" t="s">
        <v>49</v>
      </c>
      <c r="D130" s="42"/>
      <c r="E130" s="14"/>
      <c r="F130" s="71">
        <v>0</v>
      </c>
      <c r="G130" s="42" t="s">
        <v>50</v>
      </c>
      <c r="H130" s="184">
        <v>0</v>
      </c>
      <c r="I130" s="138" t="e">
        <f>IF(H130="","",VLOOKUP(H130,[1]ENTIDAD!$B$2:$C$605,2,0))</f>
        <v>#N/A</v>
      </c>
      <c r="J130" s="11"/>
      <c r="K130" s="11"/>
      <c r="L130" s="11"/>
      <c r="M130" s="116"/>
      <c r="N130" s="116">
        <f t="shared" si="8"/>
        <v>0</v>
      </c>
      <c r="O130" s="116">
        <f t="shared" si="6"/>
        <v>0</v>
      </c>
      <c r="P130" s="11">
        <v>0</v>
      </c>
      <c r="Q130" s="116"/>
      <c r="R130" s="116"/>
      <c r="S130" s="11"/>
      <c r="T130" s="14"/>
      <c r="U130" s="14"/>
      <c r="V130" s="13"/>
      <c r="W130" s="15"/>
      <c r="X130" s="109"/>
      <c r="Y130" s="112"/>
      <c r="Z130" s="112"/>
      <c r="AA130" s="112"/>
      <c r="AB130" s="42" t="s">
        <v>224</v>
      </c>
      <c r="AC130" s="11"/>
      <c r="AD130" s="33"/>
      <c r="AE130" s="34"/>
      <c r="AF130" s="19"/>
      <c r="AG130" s="14"/>
      <c r="AH130" s="14" t="s">
        <v>225</v>
      </c>
      <c r="AI130" s="14"/>
      <c r="AJ130" s="14"/>
      <c r="AK130" s="16"/>
      <c r="AL130" s="11"/>
      <c r="AM130" s="11"/>
      <c r="AN130" s="14"/>
      <c r="AO130" s="14"/>
      <c r="AP130" s="13"/>
      <c r="AQ130" s="14"/>
      <c r="AR130" s="11">
        <v>18</v>
      </c>
      <c r="AS130" s="14"/>
      <c r="AT130" s="112"/>
      <c r="AU130" s="116"/>
      <c r="AV130" s="112"/>
      <c r="AW130" s="121"/>
    </row>
    <row r="131" spans="1:49" s="47" customFormat="1" ht="15" x14ac:dyDescent="0.25">
      <c r="A131" s="199"/>
      <c r="B131" s="72"/>
      <c r="C131" s="42" t="s">
        <v>49</v>
      </c>
      <c r="D131" s="42"/>
      <c r="E131" s="14"/>
      <c r="F131" s="71">
        <v>0</v>
      </c>
      <c r="G131" s="42" t="s">
        <v>50</v>
      </c>
      <c r="H131" s="184">
        <v>0</v>
      </c>
      <c r="I131" s="138" t="e">
        <f>IF(H131="","",VLOOKUP(H131,[1]ENTIDAD!$B$2:$C$605,2,0))</f>
        <v>#N/A</v>
      </c>
      <c r="J131" s="11"/>
      <c r="K131" s="11"/>
      <c r="L131" s="11"/>
      <c r="M131" s="11"/>
      <c r="N131" s="116">
        <f t="shared" si="8"/>
        <v>0</v>
      </c>
      <c r="O131" s="116">
        <f t="shared" si="6"/>
        <v>0</v>
      </c>
      <c r="P131" s="11">
        <v>0</v>
      </c>
      <c r="Q131" s="11"/>
      <c r="R131" s="11"/>
      <c r="S131" s="11"/>
      <c r="T131" s="14"/>
      <c r="U131" s="14"/>
      <c r="V131" s="13"/>
      <c r="W131" s="15"/>
      <c r="X131" s="13"/>
      <c r="Y131" s="14"/>
      <c r="Z131" s="14"/>
      <c r="AA131" s="14"/>
      <c r="AB131" s="42" t="s">
        <v>224</v>
      </c>
      <c r="AC131" s="11"/>
      <c r="AD131" s="33"/>
      <c r="AE131" s="34"/>
      <c r="AF131" s="19"/>
      <c r="AG131" s="14"/>
      <c r="AH131" s="14" t="s">
        <v>225</v>
      </c>
      <c r="AI131" s="14"/>
      <c r="AJ131" s="14"/>
      <c r="AK131" s="16"/>
      <c r="AL131" s="11"/>
      <c r="AM131" s="11"/>
      <c r="AN131" s="14"/>
      <c r="AO131" s="14"/>
      <c r="AP131" s="13"/>
      <c r="AQ131" s="14"/>
      <c r="AR131" s="11">
        <v>18</v>
      </c>
      <c r="AS131" s="14"/>
      <c r="AT131" s="14"/>
      <c r="AU131" s="11"/>
      <c r="AV131" s="14"/>
      <c r="AW131" s="45"/>
    </row>
    <row r="132" spans="1:49" s="45" customFormat="1" ht="15" x14ac:dyDescent="0.25">
      <c r="A132" s="199"/>
      <c r="B132" s="72"/>
      <c r="C132" s="42" t="s">
        <v>49</v>
      </c>
      <c r="D132" s="42"/>
      <c r="E132" s="14"/>
      <c r="F132" s="71">
        <v>0</v>
      </c>
      <c r="G132" s="42" t="s">
        <v>50</v>
      </c>
      <c r="H132" s="184">
        <v>0</v>
      </c>
      <c r="I132" s="138" t="e">
        <f>IF(H132="","",VLOOKUP(H132,[1]ENTIDAD!$B$2:$C$605,2,0))</f>
        <v>#N/A</v>
      </c>
      <c r="J132" s="11"/>
      <c r="K132" s="11"/>
      <c r="L132" s="11"/>
      <c r="M132" s="11"/>
      <c r="N132" s="116">
        <f t="shared" si="8"/>
        <v>0</v>
      </c>
      <c r="O132" s="116">
        <f t="shared" ref="O132:O163" si="9">N132*0.18</f>
        <v>0</v>
      </c>
      <c r="P132" s="11">
        <v>0</v>
      </c>
      <c r="Q132" s="11"/>
      <c r="R132" s="11"/>
      <c r="S132" s="11"/>
      <c r="T132" s="14"/>
      <c r="U132" s="14"/>
      <c r="V132" s="13"/>
      <c r="W132" s="15"/>
      <c r="X132" s="13"/>
      <c r="Y132" s="14"/>
      <c r="Z132" s="14"/>
      <c r="AA132" s="14"/>
      <c r="AB132" s="42" t="s">
        <v>224</v>
      </c>
      <c r="AC132" s="11"/>
      <c r="AD132" s="33"/>
      <c r="AE132" s="34"/>
      <c r="AF132" s="37"/>
      <c r="AG132" s="14"/>
      <c r="AH132" s="14" t="s">
        <v>225</v>
      </c>
      <c r="AI132" s="14"/>
      <c r="AJ132" s="14"/>
      <c r="AK132" s="16"/>
      <c r="AL132" s="11"/>
      <c r="AM132" s="11"/>
      <c r="AN132" s="14"/>
      <c r="AO132" s="14"/>
      <c r="AP132" s="13"/>
      <c r="AQ132" s="14"/>
      <c r="AR132" s="11">
        <v>18</v>
      </c>
      <c r="AS132" s="14"/>
      <c r="AT132" s="14"/>
      <c r="AU132" s="11"/>
      <c r="AV132" s="14"/>
    </row>
    <row r="133" spans="1:49" s="121" customFormat="1" ht="15" x14ac:dyDescent="0.25">
      <c r="A133" s="199"/>
      <c r="B133" s="72"/>
      <c r="C133" s="42" t="s">
        <v>49</v>
      </c>
      <c r="D133" s="42"/>
      <c r="E133" s="14"/>
      <c r="F133" s="71">
        <v>0</v>
      </c>
      <c r="G133" s="42" t="s">
        <v>50</v>
      </c>
      <c r="H133" s="184">
        <v>0</v>
      </c>
      <c r="I133" s="138" t="e">
        <f>IF(H133="","",VLOOKUP(H133,[1]ENTIDAD!$B$2:$C$605,2,0))</f>
        <v>#N/A</v>
      </c>
      <c r="J133" s="11"/>
      <c r="K133" s="11"/>
      <c r="L133" s="11"/>
      <c r="M133" s="11"/>
      <c r="N133" s="116">
        <f t="shared" si="8"/>
        <v>0</v>
      </c>
      <c r="O133" s="116">
        <f t="shared" si="9"/>
        <v>0</v>
      </c>
      <c r="P133" s="11">
        <v>0</v>
      </c>
      <c r="Q133" s="11"/>
      <c r="R133" s="11"/>
      <c r="S133" s="11"/>
      <c r="T133" s="14"/>
      <c r="U133" s="14"/>
      <c r="V133" s="13"/>
      <c r="W133" s="15"/>
      <c r="X133" s="13"/>
      <c r="Y133" s="14"/>
      <c r="Z133" s="14"/>
      <c r="AA133" s="14"/>
      <c r="AB133" s="42" t="s">
        <v>224</v>
      </c>
      <c r="AC133" s="11"/>
      <c r="AD133" s="33"/>
      <c r="AE133" s="34"/>
      <c r="AF133" s="37"/>
      <c r="AG133" s="14"/>
      <c r="AH133" s="14" t="s">
        <v>225</v>
      </c>
      <c r="AI133" s="14"/>
      <c r="AJ133" s="14"/>
      <c r="AK133" s="16"/>
      <c r="AL133" s="11"/>
      <c r="AM133" s="11"/>
      <c r="AN133" s="14"/>
      <c r="AO133" s="14"/>
      <c r="AP133" s="13"/>
      <c r="AQ133" s="14"/>
      <c r="AR133" s="11">
        <v>18</v>
      </c>
      <c r="AS133" s="14"/>
      <c r="AT133" s="14"/>
      <c r="AU133" s="11"/>
      <c r="AV133" s="14"/>
      <c r="AW133" s="45"/>
    </row>
    <row r="134" spans="1:49" s="45" customFormat="1" ht="15" x14ac:dyDescent="0.25">
      <c r="A134" s="199"/>
      <c r="B134" s="72"/>
      <c r="C134" s="42" t="s">
        <v>49</v>
      </c>
      <c r="D134" s="42"/>
      <c r="E134" s="14"/>
      <c r="F134" s="71">
        <v>0</v>
      </c>
      <c r="G134" s="42" t="s">
        <v>50</v>
      </c>
      <c r="H134" s="184">
        <v>0</v>
      </c>
      <c r="I134" s="138" t="e">
        <f>IF(H134="","",VLOOKUP(H134,[1]ENTIDAD!$B$2:$C$605,2,0))</f>
        <v>#N/A</v>
      </c>
      <c r="J134" s="11"/>
      <c r="K134" s="11"/>
      <c r="L134" s="11"/>
      <c r="M134" s="11"/>
      <c r="N134" s="116">
        <f t="shared" si="8"/>
        <v>0</v>
      </c>
      <c r="O134" s="116">
        <f t="shared" si="9"/>
        <v>0</v>
      </c>
      <c r="P134" s="11">
        <v>0</v>
      </c>
      <c r="Q134" s="11"/>
      <c r="R134" s="11"/>
      <c r="S134" s="11"/>
      <c r="T134" s="14"/>
      <c r="U134" s="14"/>
      <c r="V134" s="13"/>
      <c r="W134" s="15"/>
      <c r="X134" s="13"/>
      <c r="Y134" s="14"/>
      <c r="Z134" s="14"/>
      <c r="AA134" s="14"/>
      <c r="AB134" s="42" t="s">
        <v>224</v>
      </c>
      <c r="AC134" s="11"/>
      <c r="AD134" s="33"/>
      <c r="AE134" s="34"/>
      <c r="AF134" s="37"/>
      <c r="AG134" s="14"/>
      <c r="AH134" s="14" t="s">
        <v>225</v>
      </c>
      <c r="AI134" s="14"/>
      <c r="AJ134" s="14"/>
      <c r="AK134" s="16"/>
      <c r="AL134" s="11"/>
      <c r="AM134" s="11"/>
      <c r="AN134" s="14"/>
      <c r="AO134" s="14"/>
      <c r="AP134" s="13"/>
      <c r="AQ134" s="14"/>
      <c r="AR134" s="11">
        <v>18</v>
      </c>
      <c r="AS134" s="14"/>
      <c r="AT134" s="14"/>
      <c r="AU134" s="11"/>
      <c r="AV134" s="14"/>
    </row>
    <row r="135" spans="1:49" s="45" customFormat="1" ht="15" x14ac:dyDescent="0.25">
      <c r="A135" s="199"/>
      <c r="B135" s="72"/>
      <c r="C135" s="42" t="s">
        <v>49</v>
      </c>
      <c r="D135" s="42"/>
      <c r="E135" s="14"/>
      <c r="F135" s="71">
        <v>0</v>
      </c>
      <c r="G135" s="42" t="s">
        <v>50</v>
      </c>
      <c r="H135" s="184">
        <v>0</v>
      </c>
      <c r="I135" s="138" t="e">
        <f>IF(H135="","",VLOOKUP(H135,[1]ENTIDAD!$B$2:$C$605,2,0))</f>
        <v>#N/A</v>
      </c>
      <c r="J135" s="11"/>
      <c r="K135" s="11"/>
      <c r="L135" s="11"/>
      <c r="M135" s="11"/>
      <c r="N135" s="116">
        <f t="shared" si="8"/>
        <v>0</v>
      </c>
      <c r="O135" s="116">
        <f t="shared" si="9"/>
        <v>0</v>
      </c>
      <c r="P135" s="11">
        <v>0</v>
      </c>
      <c r="Q135" s="11"/>
      <c r="R135" s="11"/>
      <c r="S135" s="11"/>
      <c r="T135" s="14"/>
      <c r="U135" s="14"/>
      <c r="V135" s="13"/>
      <c r="W135" s="15"/>
      <c r="X135" s="13"/>
      <c r="Y135" s="14"/>
      <c r="Z135" s="14"/>
      <c r="AA135" s="14"/>
      <c r="AB135" s="42" t="s">
        <v>224</v>
      </c>
      <c r="AC135" s="11"/>
      <c r="AD135" s="33"/>
      <c r="AE135" s="34"/>
      <c r="AF135" s="37"/>
      <c r="AG135" s="14"/>
      <c r="AH135" s="14" t="s">
        <v>225</v>
      </c>
      <c r="AI135" s="14"/>
      <c r="AJ135" s="14"/>
      <c r="AK135" s="16"/>
      <c r="AL135" s="11"/>
      <c r="AM135" s="11"/>
      <c r="AN135" s="14"/>
      <c r="AO135" s="14"/>
      <c r="AP135" s="13"/>
      <c r="AQ135" s="14"/>
      <c r="AR135" s="11">
        <v>18</v>
      </c>
      <c r="AS135" s="14"/>
      <c r="AT135" s="14"/>
      <c r="AU135" s="11"/>
      <c r="AV135" s="14"/>
    </row>
    <row r="136" spans="1:49" s="45" customFormat="1" ht="15" x14ac:dyDescent="0.25">
      <c r="A136" s="199"/>
      <c r="B136" s="72"/>
      <c r="C136" s="42" t="s">
        <v>49</v>
      </c>
      <c r="D136" s="42"/>
      <c r="E136" s="14"/>
      <c r="F136" s="71">
        <v>0</v>
      </c>
      <c r="G136" s="42" t="s">
        <v>50</v>
      </c>
      <c r="H136" s="184">
        <v>0</v>
      </c>
      <c r="I136" s="138" t="e">
        <f>IF(H136="","",VLOOKUP(H136,[1]ENTIDAD!$B$2:$C$605,2,0))</f>
        <v>#N/A</v>
      </c>
      <c r="J136" s="11"/>
      <c r="K136" s="11"/>
      <c r="L136" s="11"/>
      <c r="M136" s="11"/>
      <c r="N136" s="116">
        <f t="shared" si="8"/>
        <v>0</v>
      </c>
      <c r="O136" s="116">
        <f t="shared" si="9"/>
        <v>0</v>
      </c>
      <c r="P136" s="11">
        <v>0</v>
      </c>
      <c r="Q136" s="11"/>
      <c r="R136" s="11"/>
      <c r="S136" s="11"/>
      <c r="T136" s="14"/>
      <c r="U136" s="14"/>
      <c r="V136" s="13"/>
      <c r="W136" s="15"/>
      <c r="X136" s="13"/>
      <c r="Y136" s="14"/>
      <c r="Z136" s="14"/>
      <c r="AA136" s="14"/>
      <c r="AB136" s="42" t="s">
        <v>224</v>
      </c>
      <c r="AC136" s="11"/>
      <c r="AD136" s="33"/>
      <c r="AE136" s="34"/>
      <c r="AF136" s="37"/>
      <c r="AG136" s="14"/>
      <c r="AH136" s="14" t="s">
        <v>225</v>
      </c>
      <c r="AI136" s="14"/>
      <c r="AJ136" s="14"/>
      <c r="AK136" s="16"/>
      <c r="AL136" s="11"/>
      <c r="AM136" s="11"/>
      <c r="AN136" s="14"/>
      <c r="AO136" s="14"/>
      <c r="AP136" s="13"/>
      <c r="AQ136" s="14"/>
      <c r="AR136" s="11">
        <v>18</v>
      </c>
      <c r="AS136" s="14"/>
      <c r="AT136" s="14"/>
      <c r="AU136" s="11"/>
      <c r="AV136" s="14"/>
    </row>
    <row r="137" spans="1:49" s="45" customFormat="1" ht="15" x14ac:dyDescent="0.25">
      <c r="A137" s="199"/>
      <c r="B137" s="72"/>
      <c r="C137" s="42" t="s">
        <v>49</v>
      </c>
      <c r="D137" s="42"/>
      <c r="E137" s="14"/>
      <c r="F137" s="71">
        <v>0</v>
      </c>
      <c r="G137" s="42" t="s">
        <v>50</v>
      </c>
      <c r="H137" s="184">
        <v>0</v>
      </c>
      <c r="I137" s="138" t="e">
        <f>IF(H137="","",VLOOKUP(H137,[1]ENTIDAD!$B$2:$C$605,2,0))</f>
        <v>#N/A</v>
      </c>
      <c r="J137" s="11"/>
      <c r="K137" s="11"/>
      <c r="L137" s="11"/>
      <c r="M137" s="11"/>
      <c r="N137" s="116">
        <f t="shared" si="8"/>
        <v>0</v>
      </c>
      <c r="O137" s="116">
        <f t="shared" si="9"/>
        <v>0</v>
      </c>
      <c r="P137" s="11">
        <v>0</v>
      </c>
      <c r="Q137" s="11"/>
      <c r="R137" s="11"/>
      <c r="S137" s="11"/>
      <c r="T137" s="14"/>
      <c r="U137" s="14"/>
      <c r="V137" s="13"/>
      <c r="W137" s="15"/>
      <c r="X137" s="13"/>
      <c r="Y137" s="14"/>
      <c r="Z137" s="14"/>
      <c r="AA137" s="14"/>
      <c r="AB137" s="42" t="s">
        <v>224</v>
      </c>
      <c r="AC137" s="11"/>
      <c r="AD137" s="33"/>
      <c r="AE137" s="34"/>
      <c r="AF137" s="37"/>
      <c r="AG137" s="14"/>
      <c r="AH137" s="14" t="s">
        <v>225</v>
      </c>
      <c r="AI137" s="14"/>
      <c r="AJ137" s="14"/>
      <c r="AK137" s="16"/>
      <c r="AL137" s="11"/>
      <c r="AM137" s="11"/>
      <c r="AN137" s="14"/>
      <c r="AO137" s="14"/>
      <c r="AP137" s="13"/>
      <c r="AQ137" s="14"/>
      <c r="AR137" s="11">
        <v>18</v>
      </c>
      <c r="AS137" s="14"/>
      <c r="AT137" s="14"/>
      <c r="AU137" s="11"/>
      <c r="AV137" s="14"/>
    </row>
    <row r="138" spans="1:49" s="45" customFormat="1" ht="15" x14ac:dyDescent="0.25">
      <c r="A138" s="199"/>
      <c r="B138" s="72"/>
      <c r="C138" s="42" t="s">
        <v>49</v>
      </c>
      <c r="D138" s="42"/>
      <c r="E138" s="14"/>
      <c r="F138" s="71">
        <v>0</v>
      </c>
      <c r="G138" s="42" t="s">
        <v>50</v>
      </c>
      <c r="H138" s="184">
        <v>0</v>
      </c>
      <c r="I138" s="138" t="e">
        <f>IF(H138="","",VLOOKUP(H138,[1]ENTIDAD!$B$2:$C$605,2,0))</f>
        <v>#N/A</v>
      </c>
      <c r="J138" s="11"/>
      <c r="K138" s="11"/>
      <c r="L138" s="11"/>
      <c r="M138" s="11"/>
      <c r="N138" s="116">
        <f t="shared" si="8"/>
        <v>0</v>
      </c>
      <c r="O138" s="116">
        <f t="shared" si="9"/>
        <v>0</v>
      </c>
      <c r="P138" s="11">
        <v>0</v>
      </c>
      <c r="Q138" s="11"/>
      <c r="R138" s="11"/>
      <c r="S138" s="11"/>
      <c r="T138" s="14"/>
      <c r="U138" s="14"/>
      <c r="V138" s="13"/>
      <c r="W138" s="15"/>
      <c r="X138" s="13"/>
      <c r="Y138" s="14"/>
      <c r="Z138" s="14"/>
      <c r="AA138" s="14"/>
      <c r="AB138" s="42" t="s">
        <v>224</v>
      </c>
      <c r="AC138" s="11"/>
      <c r="AD138" s="33"/>
      <c r="AE138" s="34"/>
      <c r="AF138" s="37"/>
      <c r="AG138" s="14"/>
      <c r="AH138" s="14" t="s">
        <v>225</v>
      </c>
      <c r="AI138" s="14"/>
      <c r="AJ138" s="14"/>
      <c r="AK138" s="16"/>
      <c r="AL138" s="11"/>
      <c r="AM138" s="11"/>
      <c r="AN138" s="14"/>
      <c r="AO138" s="14"/>
      <c r="AP138" s="13"/>
      <c r="AQ138" s="14"/>
      <c r="AR138" s="11">
        <v>18</v>
      </c>
      <c r="AS138" s="14"/>
      <c r="AT138" s="14"/>
      <c r="AU138" s="11"/>
      <c r="AV138" s="14"/>
    </row>
    <row r="139" spans="1:49" s="45" customFormat="1" ht="15" x14ac:dyDescent="0.25">
      <c r="A139" s="199"/>
      <c r="B139" s="72"/>
      <c r="C139" s="42" t="s">
        <v>49</v>
      </c>
      <c r="D139" s="42"/>
      <c r="E139" s="14"/>
      <c r="F139" s="71">
        <v>0</v>
      </c>
      <c r="G139" s="42" t="s">
        <v>50</v>
      </c>
      <c r="H139" s="184">
        <v>0</v>
      </c>
      <c r="I139" s="138" t="e">
        <f>IF(H139="","",VLOOKUP(H139,[1]ENTIDAD!$B$2:$C$605,2,0))</f>
        <v>#N/A</v>
      </c>
      <c r="J139" s="11"/>
      <c r="K139" s="11"/>
      <c r="L139" s="11"/>
      <c r="M139" s="11"/>
      <c r="N139" s="116">
        <f t="shared" si="8"/>
        <v>0</v>
      </c>
      <c r="O139" s="116">
        <f t="shared" si="9"/>
        <v>0</v>
      </c>
      <c r="P139" s="11">
        <v>0</v>
      </c>
      <c r="Q139" s="11"/>
      <c r="R139" s="11"/>
      <c r="S139" s="11"/>
      <c r="T139" s="14"/>
      <c r="U139" s="14"/>
      <c r="V139" s="13"/>
      <c r="W139" s="15"/>
      <c r="X139" s="13"/>
      <c r="Y139" s="14"/>
      <c r="Z139" s="14"/>
      <c r="AA139" s="14"/>
      <c r="AB139" s="42" t="s">
        <v>224</v>
      </c>
      <c r="AC139" s="11"/>
      <c r="AD139" s="33"/>
      <c r="AE139" s="34"/>
      <c r="AF139" s="37"/>
      <c r="AG139" s="14"/>
      <c r="AH139" s="14" t="s">
        <v>225</v>
      </c>
      <c r="AI139" s="14"/>
      <c r="AJ139" s="14"/>
      <c r="AK139" s="16"/>
      <c r="AL139" s="11"/>
      <c r="AM139" s="11"/>
      <c r="AN139" s="14"/>
      <c r="AO139" s="14"/>
      <c r="AP139" s="13"/>
      <c r="AQ139" s="14"/>
      <c r="AR139" s="11">
        <v>18</v>
      </c>
      <c r="AS139" s="14"/>
      <c r="AT139" s="14"/>
      <c r="AU139" s="11"/>
      <c r="AV139" s="14"/>
    </row>
    <row r="140" spans="1:49" s="45" customFormat="1" ht="15" x14ac:dyDescent="0.25">
      <c r="A140" s="199"/>
      <c r="B140" s="72"/>
      <c r="C140" s="42" t="s">
        <v>49</v>
      </c>
      <c r="D140" s="42"/>
      <c r="E140" s="14"/>
      <c r="F140" s="71">
        <v>0</v>
      </c>
      <c r="G140" s="42" t="s">
        <v>50</v>
      </c>
      <c r="H140" s="184">
        <v>0</v>
      </c>
      <c r="I140" s="138" t="e">
        <f>IF(H140="","",VLOOKUP(H140,[1]ENTIDAD!$B$2:$C$605,2,0))</f>
        <v>#N/A</v>
      </c>
      <c r="J140" s="11"/>
      <c r="K140" s="11"/>
      <c r="L140" s="11"/>
      <c r="M140" s="11"/>
      <c r="N140" s="116">
        <f t="shared" si="8"/>
        <v>0</v>
      </c>
      <c r="O140" s="116">
        <f t="shared" si="9"/>
        <v>0</v>
      </c>
      <c r="P140" s="11">
        <v>0</v>
      </c>
      <c r="Q140" s="11"/>
      <c r="R140" s="11"/>
      <c r="S140" s="11"/>
      <c r="T140" s="14"/>
      <c r="U140" s="14"/>
      <c r="V140" s="13"/>
      <c r="W140" s="15"/>
      <c r="X140" s="13"/>
      <c r="Y140" s="14"/>
      <c r="Z140" s="14"/>
      <c r="AA140" s="14"/>
      <c r="AB140" s="42" t="s">
        <v>224</v>
      </c>
      <c r="AC140" s="11"/>
      <c r="AD140" s="33"/>
      <c r="AE140" s="34"/>
      <c r="AF140" s="37"/>
      <c r="AG140" s="14"/>
      <c r="AH140" s="14" t="s">
        <v>225</v>
      </c>
      <c r="AI140" s="14"/>
      <c r="AJ140" s="14"/>
      <c r="AK140" s="16"/>
      <c r="AL140" s="11"/>
      <c r="AM140" s="11"/>
      <c r="AN140" s="14"/>
      <c r="AO140" s="14"/>
      <c r="AP140" s="13"/>
      <c r="AQ140" s="14"/>
      <c r="AR140" s="11">
        <v>18</v>
      </c>
      <c r="AS140" s="14"/>
      <c r="AT140" s="14"/>
      <c r="AU140" s="11"/>
      <c r="AV140" s="14"/>
    </row>
    <row r="141" spans="1:49" s="45" customFormat="1" ht="15" x14ac:dyDescent="0.25">
      <c r="A141" s="199"/>
      <c r="B141" s="72"/>
      <c r="C141" s="42" t="s">
        <v>49</v>
      </c>
      <c r="D141" s="42"/>
      <c r="E141" s="14"/>
      <c r="F141" s="71">
        <v>0</v>
      </c>
      <c r="G141" s="42" t="s">
        <v>50</v>
      </c>
      <c r="H141" s="184">
        <v>0</v>
      </c>
      <c r="I141" s="138" t="e">
        <f>IF(H141="","",VLOOKUP(H141,[1]ENTIDAD!$B$2:$C$605,2,0))</f>
        <v>#N/A</v>
      </c>
      <c r="J141" s="11"/>
      <c r="K141" s="11"/>
      <c r="L141" s="11"/>
      <c r="M141" s="11"/>
      <c r="N141" s="116">
        <f t="shared" si="8"/>
        <v>0</v>
      </c>
      <c r="O141" s="116">
        <f t="shared" si="9"/>
        <v>0</v>
      </c>
      <c r="P141" s="11">
        <v>0</v>
      </c>
      <c r="Q141" s="11"/>
      <c r="R141" s="11"/>
      <c r="S141" s="11"/>
      <c r="T141" s="14"/>
      <c r="U141" s="14"/>
      <c r="V141" s="13"/>
      <c r="W141" s="15"/>
      <c r="X141" s="13"/>
      <c r="Y141" s="14"/>
      <c r="Z141" s="14"/>
      <c r="AA141" s="14"/>
      <c r="AB141" s="42" t="s">
        <v>224</v>
      </c>
      <c r="AC141" s="11"/>
      <c r="AD141" s="33"/>
      <c r="AE141" s="34"/>
      <c r="AF141" s="37"/>
      <c r="AG141" s="14"/>
      <c r="AH141" s="14" t="s">
        <v>225</v>
      </c>
      <c r="AI141" s="14"/>
      <c r="AJ141" s="14"/>
      <c r="AK141" s="16"/>
      <c r="AL141" s="11"/>
      <c r="AM141" s="11"/>
      <c r="AN141" s="14"/>
      <c r="AO141" s="14"/>
      <c r="AP141" s="13"/>
      <c r="AQ141" s="14"/>
      <c r="AR141" s="11">
        <v>18</v>
      </c>
      <c r="AS141" s="14"/>
      <c r="AT141" s="14"/>
      <c r="AU141" s="11"/>
      <c r="AV141" s="14"/>
    </row>
    <row r="142" spans="1:49" s="45" customFormat="1" ht="15" x14ac:dyDescent="0.25">
      <c r="A142" s="199"/>
      <c r="B142" s="72"/>
      <c r="C142" s="42" t="s">
        <v>49</v>
      </c>
      <c r="D142" s="42"/>
      <c r="E142" s="14"/>
      <c r="F142" s="71">
        <v>0</v>
      </c>
      <c r="G142" s="42" t="s">
        <v>50</v>
      </c>
      <c r="H142" s="184">
        <v>0</v>
      </c>
      <c r="I142" s="138" t="e">
        <f>IF(H142="","",VLOOKUP(H142,[1]ENTIDAD!$B$2:$C$605,2,0))</f>
        <v>#N/A</v>
      </c>
      <c r="J142" s="11"/>
      <c r="K142" s="11"/>
      <c r="L142" s="11"/>
      <c r="M142" s="11"/>
      <c r="N142" s="116">
        <f t="shared" si="8"/>
        <v>0</v>
      </c>
      <c r="O142" s="116">
        <f t="shared" si="9"/>
        <v>0</v>
      </c>
      <c r="P142" s="11">
        <v>0</v>
      </c>
      <c r="Q142" s="11"/>
      <c r="R142" s="11"/>
      <c r="S142" s="11"/>
      <c r="T142" s="14"/>
      <c r="U142" s="14"/>
      <c r="V142" s="13"/>
      <c r="W142" s="15"/>
      <c r="X142" s="13"/>
      <c r="Y142" s="14"/>
      <c r="Z142" s="14"/>
      <c r="AA142" s="14"/>
      <c r="AB142" s="42" t="s">
        <v>224</v>
      </c>
      <c r="AC142" s="11"/>
      <c r="AD142" s="33"/>
      <c r="AE142" s="34"/>
      <c r="AF142" s="37"/>
      <c r="AG142" s="14"/>
      <c r="AH142" s="14" t="s">
        <v>225</v>
      </c>
      <c r="AI142" s="14"/>
      <c r="AJ142" s="14"/>
      <c r="AK142" s="16"/>
      <c r="AL142" s="11"/>
      <c r="AM142" s="11"/>
      <c r="AN142" s="14"/>
      <c r="AO142" s="14"/>
      <c r="AP142" s="13"/>
      <c r="AQ142" s="14"/>
      <c r="AR142" s="11">
        <v>18</v>
      </c>
      <c r="AS142" s="14"/>
      <c r="AT142" s="14"/>
      <c r="AU142" s="11"/>
      <c r="AV142" s="14"/>
    </row>
    <row r="143" spans="1:49" s="45" customFormat="1" ht="15" x14ac:dyDescent="0.25">
      <c r="A143" s="199"/>
      <c r="B143" s="72"/>
      <c r="C143" s="42" t="s">
        <v>49</v>
      </c>
      <c r="D143" s="42"/>
      <c r="E143" s="14"/>
      <c r="F143" s="71">
        <v>0</v>
      </c>
      <c r="G143" s="42" t="s">
        <v>50</v>
      </c>
      <c r="H143" s="184">
        <v>0</v>
      </c>
      <c r="I143" s="138" t="e">
        <f>IF(H143="","",VLOOKUP(H143,[1]ENTIDAD!$B$2:$C$605,2,0))</f>
        <v>#N/A</v>
      </c>
      <c r="J143" s="11"/>
      <c r="K143" s="11"/>
      <c r="L143" s="11"/>
      <c r="M143" s="11"/>
      <c r="N143" s="116">
        <f t="shared" si="8"/>
        <v>0</v>
      </c>
      <c r="O143" s="116">
        <f t="shared" si="9"/>
        <v>0</v>
      </c>
      <c r="P143" s="11">
        <v>0</v>
      </c>
      <c r="Q143" s="11"/>
      <c r="R143" s="11"/>
      <c r="S143" s="11"/>
      <c r="T143" s="14"/>
      <c r="U143" s="14"/>
      <c r="V143" s="13"/>
      <c r="W143" s="15"/>
      <c r="X143" s="13"/>
      <c r="Y143" s="14"/>
      <c r="Z143" s="14"/>
      <c r="AA143" s="14"/>
      <c r="AB143" s="42" t="s">
        <v>224</v>
      </c>
      <c r="AC143" s="11"/>
      <c r="AD143" s="33"/>
      <c r="AE143" s="34"/>
      <c r="AF143" s="37"/>
      <c r="AG143" s="14"/>
      <c r="AH143" s="14" t="s">
        <v>225</v>
      </c>
      <c r="AI143" s="14"/>
      <c r="AJ143" s="14"/>
      <c r="AK143" s="16"/>
      <c r="AL143" s="11"/>
      <c r="AM143" s="11"/>
      <c r="AN143" s="14"/>
      <c r="AO143" s="14"/>
      <c r="AP143" s="13"/>
      <c r="AQ143" s="14"/>
      <c r="AR143" s="11">
        <v>18</v>
      </c>
      <c r="AS143" s="14"/>
      <c r="AT143" s="14"/>
      <c r="AU143" s="11"/>
      <c r="AV143" s="14"/>
    </row>
    <row r="144" spans="1:49" s="45" customFormat="1" ht="15" x14ac:dyDescent="0.25">
      <c r="A144" s="199"/>
      <c r="B144" s="72"/>
      <c r="C144" s="42" t="s">
        <v>49</v>
      </c>
      <c r="D144" s="42"/>
      <c r="E144" s="14"/>
      <c r="F144" s="71">
        <v>0</v>
      </c>
      <c r="G144" s="42" t="s">
        <v>50</v>
      </c>
      <c r="H144" s="184">
        <v>0</v>
      </c>
      <c r="I144" s="138" t="e">
        <f>IF(H144="","",VLOOKUP(H144,[1]ENTIDAD!$B$2:$C$605,2,0))</f>
        <v>#N/A</v>
      </c>
      <c r="J144" s="11"/>
      <c r="K144" s="11"/>
      <c r="L144" s="11"/>
      <c r="M144" s="11"/>
      <c r="N144" s="116">
        <f t="shared" si="8"/>
        <v>0</v>
      </c>
      <c r="O144" s="116">
        <f t="shared" si="9"/>
        <v>0</v>
      </c>
      <c r="P144" s="11">
        <v>0</v>
      </c>
      <c r="Q144" s="11"/>
      <c r="R144" s="11"/>
      <c r="S144" s="11"/>
      <c r="T144" s="14"/>
      <c r="U144" s="14"/>
      <c r="V144" s="13"/>
      <c r="W144" s="15"/>
      <c r="X144" s="13"/>
      <c r="Y144" s="14"/>
      <c r="Z144" s="14"/>
      <c r="AA144" s="14"/>
      <c r="AB144" s="42" t="s">
        <v>224</v>
      </c>
      <c r="AC144" s="11"/>
      <c r="AD144" s="33"/>
      <c r="AE144" s="34"/>
      <c r="AF144" s="19"/>
      <c r="AG144" s="14"/>
      <c r="AH144" s="14" t="s">
        <v>225</v>
      </c>
      <c r="AI144" s="14"/>
      <c r="AJ144" s="14"/>
      <c r="AK144" s="16"/>
      <c r="AL144" s="11"/>
      <c r="AM144" s="11"/>
      <c r="AN144" s="14"/>
      <c r="AO144" s="14"/>
      <c r="AP144" s="13"/>
      <c r="AQ144" s="14"/>
      <c r="AR144" s="11">
        <v>18</v>
      </c>
      <c r="AS144" s="14"/>
      <c r="AT144" s="14"/>
      <c r="AU144" s="11"/>
      <c r="AV144" s="14"/>
    </row>
    <row r="145" spans="1:49" s="121" customFormat="1" ht="15" x14ac:dyDescent="0.25">
      <c r="A145" s="199"/>
      <c r="B145" s="72"/>
      <c r="C145" s="42" t="s">
        <v>49</v>
      </c>
      <c r="D145" s="42"/>
      <c r="E145" s="112"/>
      <c r="F145" s="71">
        <v>0</v>
      </c>
      <c r="G145" s="111" t="s">
        <v>50</v>
      </c>
      <c r="H145" s="235">
        <v>0</v>
      </c>
      <c r="I145" s="138" t="e">
        <f>IF(H145="","",VLOOKUP(H145,[1]ENTIDAD!$B$2:$C$605,2,0))</f>
        <v>#N/A</v>
      </c>
      <c r="J145" s="116"/>
      <c r="K145" s="116"/>
      <c r="L145" s="116"/>
      <c r="M145" s="11"/>
      <c r="N145" s="116">
        <f t="shared" si="8"/>
        <v>0</v>
      </c>
      <c r="O145" s="116">
        <f t="shared" si="9"/>
        <v>0</v>
      </c>
      <c r="P145" s="11">
        <v>0</v>
      </c>
      <c r="Q145" s="11"/>
      <c r="R145" s="11"/>
      <c r="S145" s="11"/>
      <c r="T145" s="14"/>
      <c r="U145" s="14"/>
      <c r="V145" s="13"/>
      <c r="W145" s="15"/>
      <c r="X145" s="13"/>
      <c r="Y145" s="14"/>
      <c r="Z145" s="14"/>
      <c r="AA145" s="14"/>
      <c r="AB145" s="42" t="s">
        <v>224</v>
      </c>
      <c r="AC145" s="11"/>
      <c r="AD145" s="33"/>
      <c r="AE145" s="34"/>
      <c r="AF145" s="73"/>
      <c r="AG145" s="14"/>
      <c r="AH145" s="14" t="s">
        <v>225</v>
      </c>
      <c r="AI145" s="14"/>
      <c r="AJ145" s="14"/>
      <c r="AK145" s="16"/>
      <c r="AL145" s="11"/>
      <c r="AM145" s="11"/>
      <c r="AN145" s="14"/>
      <c r="AO145" s="14"/>
      <c r="AP145" s="13"/>
      <c r="AQ145" s="14"/>
      <c r="AR145" s="11">
        <v>18</v>
      </c>
      <c r="AS145" s="14"/>
      <c r="AT145" s="14"/>
      <c r="AU145" s="11"/>
      <c r="AV145" s="14"/>
      <c r="AW145" s="45"/>
    </row>
    <row r="146" spans="1:49" s="45" customFormat="1" ht="15" x14ac:dyDescent="0.25">
      <c r="A146" s="200"/>
      <c r="B146" s="136"/>
      <c r="C146" s="111" t="s">
        <v>49</v>
      </c>
      <c r="D146" s="42"/>
      <c r="E146" s="14"/>
      <c r="F146" s="71">
        <v>0</v>
      </c>
      <c r="G146" s="42" t="s">
        <v>50</v>
      </c>
      <c r="H146" s="184">
        <v>0</v>
      </c>
      <c r="I146" s="138" t="e">
        <f>IF(H146="","",VLOOKUP(H146,[1]ENTIDAD!$B$2:$C$605,2,0))</f>
        <v>#N/A</v>
      </c>
      <c r="J146" s="11"/>
      <c r="K146" s="11"/>
      <c r="L146" s="11"/>
      <c r="M146" s="116"/>
      <c r="N146" s="116">
        <f t="shared" si="8"/>
        <v>0</v>
      </c>
      <c r="O146" s="116">
        <f t="shared" si="9"/>
        <v>0</v>
      </c>
      <c r="P146" s="11">
        <v>0</v>
      </c>
      <c r="Q146" s="116"/>
      <c r="R146" s="116"/>
      <c r="S146" s="116"/>
      <c r="T146" s="112"/>
      <c r="U146" s="112"/>
      <c r="V146" s="109"/>
      <c r="W146" s="118"/>
      <c r="X146" s="109"/>
      <c r="Y146" s="112"/>
      <c r="Z146" s="112"/>
      <c r="AA146" s="112"/>
      <c r="AB146" s="42" t="s">
        <v>224</v>
      </c>
      <c r="AC146" s="116"/>
      <c r="AD146" s="126"/>
      <c r="AE146" s="127"/>
      <c r="AF146" s="127"/>
      <c r="AG146" s="112"/>
      <c r="AH146" s="112" t="s">
        <v>225</v>
      </c>
      <c r="AI146" s="112"/>
      <c r="AJ146" s="112"/>
      <c r="AK146" s="120"/>
      <c r="AL146" s="116"/>
      <c r="AM146" s="116"/>
      <c r="AN146" s="112"/>
      <c r="AO146" s="112"/>
      <c r="AP146" s="109"/>
      <c r="AQ146" s="112"/>
      <c r="AR146" s="116">
        <v>18</v>
      </c>
      <c r="AS146" s="112"/>
      <c r="AT146" s="112"/>
      <c r="AU146" s="116"/>
      <c r="AV146" s="112"/>
      <c r="AW146" s="121"/>
    </row>
    <row r="147" spans="1:49" s="45" customFormat="1" ht="15" x14ac:dyDescent="0.25">
      <c r="A147" s="199"/>
      <c r="B147" s="72"/>
      <c r="C147" s="42" t="s">
        <v>49</v>
      </c>
      <c r="D147" s="42"/>
      <c r="E147" s="14"/>
      <c r="F147" s="71">
        <v>0</v>
      </c>
      <c r="G147" s="42" t="s">
        <v>50</v>
      </c>
      <c r="H147" s="184">
        <v>0</v>
      </c>
      <c r="I147" s="138" t="e">
        <f>IF(H147="","",VLOOKUP(H147,[1]ENTIDAD!$B$2:$C$605,2,0))</f>
        <v>#N/A</v>
      </c>
      <c r="J147" s="11"/>
      <c r="K147" s="11"/>
      <c r="L147" s="11"/>
      <c r="M147" s="11"/>
      <c r="N147" s="116">
        <f t="shared" si="8"/>
        <v>0</v>
      </c>
      <c r="O147" s="116">
        <f t="shared" si="9"/>
        <v>0</v>
      </c>
      <c r="P147" s="11">
        <v>0</v>
      </c>
      <c r="Q147" s="11"/>
      <c r="R147" s="11"/>
      <c r="S147" s="11"/>
      <c r="T147" s="14"/>
      <c r="U147" s="14"/>
      <c r="V147" s="13"/>
      <c r="W147" s="15"/>
      <c r="X147" s="13"/>
      <c r="Y147" s="14"/>
      <c r="Z147" s="14"/>
      <c r="AA147" s="14"/>
      <c r="AB147" s="42" t="s">
        <v>224</v>
      </c>
      <c r="AC147" s="11"/>
      <c r="AD147" s="33"/>
      <c r="AE147" s="34"/>
      <c r="AF147" s="37"/>
      <c r="AG147" s="14"/>
      <c r="AH147" s="14" t="s">
        <v>225</v>
      </c>
      <c r="AI147" s="14"/>
      <c r="AJ147" s="14"/>
      <c r="AK147" s="16"/>
      <c r="AL147" s="11"/>
      <c r="AM147" s="11"/>
      <c r="AN147" s="14"/>
      <c r="AO147" s="14"/>
      <c r="AP147" s="13"/>
      <c r="AQ147" s="14"/>
      <c r="AR147" s="11">
        <v>18</v>
      </c>
      <c r="AS147" s="14"/>
      <c r="AT147" s="14"/>
      <c r="AU147" s="11"/>
      <c r="AV147" s="14"/>
    </row>
    <row r="148" spans="1:49" s="45" customFormat="1" ht="15" x14ac:dyDescent="0.25">
      <c r="A148" s="199"/>
      <c r="B148" s="72"/>
      <c r="C148" s="42" t="s">
        <v>49</v>
      </c>
      <c r="D148" s="42"/>
      <c r="E148" s="14"/>
      <c r="F148" s="71">
        <v>0</v>
      </c>
      <c r="G148" s="42" t="s">
        <v>50</v>
      </c>
      <c r="H148" s="184">
        <v>0</v>
      </c>
      <c r="I148" s="138" t="e">
        <f>IF(H148="","",VLOOKUP(H148,[1]ENTIDAD!$B$2:$C$605,2,0))</f>
        <v>#N/A</v>
      </c>
      <c r="J148" s="11"/>
      <c r="K148" s="11"/>
      <c r="L148" s="11"/>
      <c r="M148" s="11"/>
      <c r="N148" s="116">
        <f t="shared" si="8"/>
        <v>0</v>
      </c>
      <c r="O148" s="116">
        <f t="shared" si="9"/>
        <v>0</v>
      </c>
      <c r="P148" s="11">
        <v>0</v>
      </c>
      <c r="Q148" s="11"/>
      <c r="R148" s="11"/>
      <c r="S148" s="11"/>
      <c r="T148" s="14"/>
      <c r="U148" s="14"/>
      <c r="V148" s="13"/>
      <c r="W148" s="15"/>
      <c r="X148" s="13"/>
      <c r="Y148" s="14"/>
      <c r="Z148" s="14"/>
      <c r="AA148" s="14"/>
      <c r="AB148" s="42" t="s">
        <v>224</v>
      </c>
      <c r="AC148" s="11"/>
      <c r="AD148" s="33"/>
      <c r="AE148" s="34"/>
      <c r="AF148" s="19"/>
      <c r="AG148" s="14"/>
      <c r="AH148" s="14" t="s">
        <v>225</v>
      </c>
      <c r="AI148" s="14"/>
      <c r="AJ148" s="14"/>
      <c r="AK148" s="16"/>
      <c r="AL148" s="11"/>
      <c r="AM148" s="11"/>
      <c r="AN148" s="14"/>
      <c r="AO148" s="14"/>
      <c r="AP148" s="13"/>
      <c r="AQ148" s="14"/>
      <c r="AR148" s="11">
        <v>18</v>
      </c>
      <c r="AS148" s="14"/>
      <c r="AT148" s="14"/>
      <c r="AU148" s="11"/>
      <c r="AV148" s="14"/>
    </row>
    <row r="149" spans="1:49" s="45" customFormat="1" ht="15" x14ac:dyDescent="0.25">
      <c r="A149" s="199"/>
      <c r="B149" s="72"/>
      <c r="C149" s="42" t="s">
        <v>49</v>
      </c>
      <c r="D149" s="42"/>
      <c r="E149" s="14"/>
      <c r="F149" s="71">
        <v>0</v>
      </c>
      <c r="G149" s="42" t="s">
        <v>50</v>
      </c>
      <c r="H149" s="184">
        <v>0</v>
      </c>
      <c r="I149" s="138" t="e">
        <f>IF(H149="","",VLOOKUP(H149,[1]ENTIDAD!$B$2:$C$605,2,0))</f>
        <v>#N/A</v>
      </c>
      <c r="J149" s="11"/>
      <c r="K149" s="11"/>
      <c r="L149" s="11"/>
      <c r="M149" s="11"/>
      <c r="N149" s="116">
        <f t="shared" si="8"/>
        <v>0</v>
      </c>
      <c r="O149" s="116">
        <f t="shared" si="9"/>
        <v>0</v>
      </c>
      <c r="P149" s="11">
        <v>0</v>
      </c>
      <c r="Q149" s="11"/>
      <c r="R149" s="11"/>
      <c r="S149" s="11"/>
      <c r="T149" s="14"/>
      <c r="U149" s="14"/>
      <c r="V149" s="13"/>
      <c r="W149" s="15"/>
      <c r="X149" s="13"/>
      <c r="Y149" s="14"/>
      <c r="Z149" s="14"/>
      <c r="AA149" s="14"/>
      <c r="AB149" s="42" t="s">
        <v>224</v>
      </c>
      <c r="AC149" s="11"/>
      <c r="AD149" s="33"/>
      <c r="AE149" s="34"/>
      <c r="AF149" s="19"/>
      <c r="AG149" s="14"/>
      <c r="AH149" s="14" t="s">
        <v>225</v>
      </c>
      <c r="AI149" s="14"/>
      <c r="AJ149" s="14"/>
      <c r="AK149" s="16"/>
      <c r="AL149" s="11"/>
      <c r="AM149" s="11"/>
      <c r="AN149" s="14"/>
      <c r="AO149" s="14"/>
      <c r="AP149" s="13"/>
      <c r="AQ149" s="14"/>
      <c r="AR149" s="11">
        <v>18</v>
      </c>
      <c r="AS149" s="14"/>
      <c r="AT149" s="14"/>
      <c r="AU149" s="11"/>
      <c r="AV149" s="14"/>
    </row>
    <row r="150" spans="1:49" s="45" customFormat="1" ht="15" x14ac:dyDescent="0.25">
      <c r="A150" s="199"/>
      <c r="B150" s="72"/>
      <c r="C150" s="42" t="s">
        <v>49</v>
      </c>
      <c r="D150" s="42"/>
      <c r="E150" s="14"/>
      <c r="F150" s="71">
        <v>0</v>
      </c>
      <c r="G150" s="42" t="s">
        <v>50</v>
      </c>
      <c r="H150" s="184">
        <v>0</v>
      </c>
      <c r="I150" s="138" t="e">
        <f>IF(H150="","",VLOOKUP(H150,[1]ENTIDAD!$B$2:$C$605,2,0))</f>
        <v>#N/A</v>
      </c>
      <c r="J150" s="11"/>
      <c r="K150" s="11"/>
      <c r="L150" s="11"/>
      <c r="M150" s="11"/>
      <c r="N150" s="116">
        <f t="shared" si="8"/>
        <v>0</v>
      </c>
      <c r="O150" s="116">
        <f t="shared" si="9"/>
        <v>0</v>
      </c>
      <c r="P150" s="11">
        <v>0</v>
      </c>
      <c r="Q150" s="11"/>
      <c r="R150" s="11"/>
      <c r="S150" s="11"/>
      <c r="T150" s="14"/>
      <c r="U150" s="14"/>
      <c r="V150" s="13"/>
      <c r="W150" s="15"/>
      <c r="X150" s="13"/>
      <c r="Y150" s="14"/>
      <c r="Z150" s="14"/>
      <c r="AA150" s="14"/>
      <c r="AB150" s="42" t="s">
        <v>224</v>
      </c>
      <c r="AC150" s="11"/>
      <c r="AD150" s="33"/>
      <c r="AE150" s="34"/>
      <c r="AF150" s="19"/>
      <c r="AG150" s="14"/>
      <c r="AH150" s="14" t="s">
        <v>225</v>
      </c>
      <c r="AI150" s="14"/>
      <c r="AJ150" s="14"/>
      <c r="AK150" s="16"/>
      <c r="AL150" s="11"/>
      <c r="AM150" s="11"/>
      <c r="AN150" s="14"/>
      <c r="AO150" s="14"/>
      <c r="AP150" s="13"/>
      <c r="AQ150" s="14"/>
      <c r="AR150" s="11">
        <v>18</v>
      </c>
      <c r="AS150" s="14"/>
      <c r="AT150" s="14"/>
      <c r="AU150" s="11"/>
      <c r="AV150" s="14"/>
    </row>
    <row r="151" spans="1:49" s="45" customFormat="1" ht="15" x14ac:dyDescent="0.25">
      <c r="A151" s="199"/>
      <c r="B151" s="72"/>
      <c r="C151" s="42" t="s">
        <v>49</v>
      </c>
      <c r="D151" s="42"/>
      <c r="E151" s="14"/>
      <c r="F151" s="71">
        <v>0</v>
      </c>
      <c r="G151" s="42" t="s">
        <v>50</v>
      </c>
      <c r="H151" s="184">
        <v>0</v>
      </c>
      <c r="I151" s="138" t="e">
        <f>IF(H151="","",VLOOKUP(H151,[1]ENTIDAD!$B$2:$C$605,2,0))</f>
        <v>#N/A</v>
      </c>
      <c r="J151" s="11"/>
      <c r="K151" s="11"/>
      <c r="L151" s="11"/>
      <c r="M151" s="11"/>
      <c r="N151" s="116">
        <f t="shared" si="8"/>
        <v>0</v>
      </c>
      <c r="O151" s="116">
        <f t="shared" si="9"/>
        <v>0</v>
      </c>
      <c r="P151" s="11">
        <v>0</v>
      </c>
      <c r="Q151" s="11"/>
      <c r="R151" s="11"/>
      <c r="S151" s="11"/>
      <c r="T151" s="14"/>
      <c r="U151" s="14"/>
      <c r="V151" s="13"/>
      <c r="W151" s="15"/>
      <c r="X151" s="13"/>
      <c r="Y151" s="14"/>
      <c r="Z151" s="14"/>
      <c r="AA151" s="14"/>
      <c r="AB151" s="42" t="s">
        <v>224</v>
      </c>
      <c r="AC151" s="11"/>
      <c r="AD151" s="33"/>
      <c r="AE151" s="34"/>
      <c r="AF151" s="19"/>
      <c r="AG151" s="14"/>
      <c r="AH151" s="14" t="s">
        <v>225</v>
      </c>
      <c r="AI151" s="14"/>
      <c r="AJ151" s="14"/>
      <c r="AK151" s="16"/>
      <c r="AL151" s="11"/>
      <c r="AM151" s="11"/>
      <c r="AN151" s="14"/>
      <c r="AO151" s="14"/>
      <c r="AP151" s="13"/>
      <c r="AQ151" s="14"/>
      <c r="AR151" s="11">
        <v>18</v>
      </c>
      <c r="AS151" s="14"/>
      <c r="AT151" s="14"/>
      <c r="AU151" s="11"/>
      <c r="AV151" s="14"/>
    </row>
    <row r="152" spans="1:49" s="121" customFormat="1" ht="15" x14ac:dyDescent="0.25">
      <c r="A152" s="199"/>
      <c r="B152" s="72"/>
      <c r="C152" s="42" t="s">
        <v>49</v>
      </c>
      <c r="D152" s="42"/>
      <c r="E152" s="14"/>
      <c r="F152" s="71">
        <v>0</v>
      </c>
      <c r="G152" s="42" t="s">
        <v>50</v>
      </c>
      <c r="H152" s="184">
        <v>0</v>
      </c>
      <c r="I152" s="138" t="e">
        <f>IF(H152="","",VLOOKUP(H152,[1]ENTIDAD!$B$2:$C$605,2,0))</f>
        <v>#N/A</v>
      </c>
      <c r="J152" s="11"/>
      <c r="K152" s="11"/>
      <c r="L152" s="11"/>
      <c r="M152" s="11"/>
      <c r="N152" s="116">
        <f t="shared" si="8"/>
        <v>0</v>
      </c>
      <c r="O152" s="116">
        <f t="shared" si="9"/>
        <v>0</v>
      </c>
      <c r="P152" s="11">
        <v>0</v>
      </c>
      <c r="Q152" s="11"/>
      <c r="R152" s="11"/>
      <c r="S152" s="11"/>
      <c r="T152" s="14"/>
      <c r="U152" s="14"/>
      <c r="V152" s="13"/>
      <c r="W152" s="15"/>
      <c r="X152" s="13"/>
      <c r="Y152" s="14"/>
      <c r="Z152" s="14"/>
      <c r="AA152" s="14"/>
      <c r="AB152" s="42" t="s">
        <v>224</v>
      </c>
      <c r="AC152" s="11"/>
      <c r="AD152" s="33"/>
      <c r="AE152" s="34"/>
      <c r="AF152" s="19"/>
      <c r="AG152" s="14"/>
      <c r="AH152" s="14" t="s">
        <v>225</v>
      </c>
      <c r="AI152" s="14"/>
      <c r="AJ152" s="14"/>
      <c r="AK152" s="16"/>
      <c r="AL152" s="11"/>
      <c r="AM152" s="11"/>
      <c r="AN152" s="14"/>
      <c r="AO152" s="14"/>
      <c r="AP152" s="13"/>
      <c r="AQ152" s="14"/>
      <c r="AR152" s="11">
        <v>18</v>
      </c>
      <c r="AS152" s="14"/>
      <c r="AT152" s="14"/>
      <c r="AU152" s="11"/>
      <c r="AV152" s="14"/>
      <c r="AW152" s="45"/>
    </row>
    <row r="153" spans="1:49" s="45" customFormat="1" ht="15" x14ac:dyDescent="0.25">
      <c r="A153" s="199"/>
      <c r="B153" s="46"/>
      <c r="C153" s="111" t="s">
        <v>49</v>
      </c>
      <c r="D153" s="249"/>
      <c r="E153" s="250"/>
      <c r="F153" s="64">
        <v>0</v>
      </c>
      <c r="G153" s="249" t="s">
        <v>50</v>
      </c>
      <c r="H153" s="235">
        <v>0</v>
      </c>
      <c r="I153" s="138" t="e">
        <f>IF(H153="","",VLOOKUP(H153,[1]ENTIDAD!$B$2:$C$605,2,0))</f>
        <v>#N/A</v>
      </c>
      <c r="J153" s="252"/>
      <c r="K153" s="252"/>
      <c r="L153" s="252"/>
      <c r="M153" s="11"/>
      <c r="N153" s="116">
        <f t="shared" si="8"/>
        <v>0</v>
      </c>
      <c r="O153" s="116">
        <f t="shared" si="9"/>
        <v>0</v>
      </c>
      <c r="P153" s="11">
        <v>0</v>
      </c>
      <c r="Q153" s="11"/>
      <c r="R153" s="11"/>
      <c r="S153" s="11"/>
      <c r="T153" s="14"/>
      <c r="U153" s="14"/>
      <c r="V153" s="13"/>
      <c r="W153" s="236"/>
      <c r="X153" s="13"/>
      <c r="Y153" s="14"/>
      <c r="Z153" s="14"/>
      <c r="AA153" s="14"/>
      <c r="AB153" s="42" t="s">
        <v>224</v>
      </c>
      <c r="AC153" s="11"/>
      <c r="AD153" s="13"/>
      <c r="AE153" s="14"/>
      <c r="AF153" s="19"/>
      <c r="AG153" s="14"/>
      <c r="AH153" s="14" t="s">
        <v>225</v>
      </c>
      <c r="AI153" s="14"/>
      <c r="AJ153" s="14"/>
      <c r="AK153" s="16"/>
      <c r="AL153" s="11"/>
      <c r="AM153" s="11"/>
      <c r="AN153" s="14"/>
      <c r="AO153" s="14"/>
      <c r="AP153" s="13"/>
      <c r="AQ153" s="14"/>
      <c r="AR153" s="11">
        <v>18</v>
      </c>
      <c r="AS153" s="14"/>
      <c r="AT153" s="14"/>
      <c r="AU153" s="11"/>
      <c r="AV153" s="14"/>
    </row>
    <row r="154" spans="1:49" s="45" customFormat="1" ht="15" x14ac:dyDescent="0.25">
      <c r="A154" s="199"/>
      <c r="B154" s="72"/>
      <c r="C154" s="111" t="s">
        <v>49</v>
      </c>
      <c r="D154" s="42"/>
      <c r="E154" s="14"/>
      <c r="F154" s="71">
        <v>0</v>
      </c>
      <c r="G154" s="42" t="s">
        <v>50</v>
      </c>
      <c r="H154" s="184">
        <v>0</v>
      </c>
      <c r="I154" s="138" t="e">
        <f>IF(H154="","",VLOOKUP(H154,[1]ENTIDAD!$B$2:$C$605,2,0))</f>
        <v>#N/A</v>
      </c>
      <c r="J154" s="11"/>
      <c r="K154" s="11"/>
      <c r="L154" s="11"/>
      <c r="M154" s="11"/>
      <c r="N154" s="116">
        <f t="shared" si="8"/>
        <v>0</v>
      </c>
      <c r="O154" s="116">
        <f t="shared" si="9"/>
        <v>0</v>
      </c>
      <c r="P154" s="11">
        <v>0</v>
      </c>
      <c r="Q154" s="11"/>
      <c r="R154" s="11"/>
      <c r="S154" s="11"/>
      <c r="T154" s="14"/>
      <c r="U154" s="14"/>
      <c r="V154" s="13"/>
      <c r="W154" s="15"/>
      <c r="X154" s="13"/>
      <c r="Y154" s="14"/>
      <c r="Z154" s="14"/>
      <c r="AA154" s="14"/>
      <c r="AB154" s="42" t="s">
        <v>224</v>
      </c>
      <c r="AC154" s="11"/>
      <c r="AD154" s="33"/>
      <c r="AE154" s="34"/>
      <c r="AF154" s="37"/>
      <c r="AG154" s="14"/>
      <c r="AH154" s="14" t="s">
        <v>225</v>
      </c>
      <c r="AI154" s="14"/>
      <c r="AJ154" s="14"/>
      <c r="AK154" s="16"/>
      <c r="AL154" s="11"/>
      <c r="AM154" s="11"/>
      <c r="AN154" s="14"/>
      <c r="AO154" s="14"/>
      <c r="AP154" s="13"/>
      <c r="AQ154" s="14"/>
      <c r="AR154" s="11">
        <v>18</v>
      </c>
      <c r="AS154" s="14"/>
      <c r="AT154" s="14"/>
      <c r="AU154" s="11"/>
      <c r="AV154" s="14"/>
    </row>
    <row r="155" spans="1:49" s="45" customFormat="1" ht="15" x14ac:dyDescent="0.25">
      <c r="A155" s="199"/>
      <c r="B155" s="72"/>
      <c r="C155" s="111" t="s">
        <v>49</v>
      </c>
      <c r="D155" s="42"/>
      <c r="E155" s="14"/>
      <c r="F155" s="71">
        <v>0</v>
      </c>
      <c r="G155" s="42" t="s">
        <v>50</v>
      </c>
      <c r="H155" s="184">
        <v>0</v>
      </c>
      <c r="I155" s="138" t="e">
        <f>IF(H155="","",VLOOKUP(H155,[1]ENTIDAD!$B$2:$C$605,2,0))</f>
        <v>#N/A</v>
      </c>
      <c r="J155" s="11"/>
      <c r="K155" s="11"/>
      <c r="L155" s="11"/>
      <c r="M155" s="11"/>
      <c r="N155" s="116">
        <f t="shared" si="8"/>
        <v>0</v>
      </c>
      <c r="O155" s="116">
        <f t="shared" si="9"/>
        <v>0</v>
      </c>
      <c r="P155" s="11">
        <v>0</v>
      </c>
      <c r="Q155" s="11"/>
      <c r="R155" s="11"/>
      <c r="S155" s="11"/>
      <c r="T155" s="14"/>
      <c r="U155" s="14"/>
      <c r="V155" s="13"/>
      <c r="W155" s="15"/>
      <c r="X155" s="13"/>
      <c r="Y155" s="14"/>
      <c r="Z155" s="14"/>
      <c r="AA155" s="14"/>
      <c r="AB155" s="42" t="s">
        <v>224</v>
      </c>
      <c r="AC155" s="11"/>
      <c r="AD155" s="33"/>
      <c r="AE155" s="34"/>
      <c r="AF155" s="34"/>
      <c r="AG155" s="14"/>
      <c r="AH155" s="14" t="s">
        <v>225</v>
      </c>
      <c r="AI155" s="14"/>
      <c r="AJ155" s="14"/>
      <c r="AK155" s="16"/>
      <c r="AL155" s="11"/>
      <c r="AM155" s="11"/>
      <c r="AN155" s="14"/>
      <c r="AO155" s="14"/>
      <c r="AP155" s="13"/>
      <c r="AQ155" s="14"/>
      <c r="AR155" s="11">
        <v>18</v>
      </c>
      <c r="AS155" s="14"/>
      <c r="AT155" s="14"/>
      <c r="AU155" s="11"/>
      <c r="AV155" s="14"/>
    </row>
    <row r="156" spans="1:49" s="45" customFormat="1" ht="15" x14ac:dyDescent="0.25">
      <c r="A156" s="199"/>
      <c r="B156" s="72"/>
      <c r="C156" s="111" t="s">
        <v>49</v>
      </c>
      <c r="D156" s="42"/>
      <c r="E156" s="14"/>
      <c r="F156" s="71">
        <v>0</v>
      </c>
      <c r="G156" s="42" t="s">
        <v>50</v>
      </c>
      <c r="H156" s="184">
        <v>0</v>
      </c>
      <c r="I156" s="138" t="e">
        <f>IF(H156="","",VLOOKUP(H156,[1]ENTIDAD!$B$2:$C$605,2,0))</f>
        <v>#N/A</v>
      </c>
      <c r="J156" s="11"/>
      <c r="K156" s="11"/>
      <c r="L156" s="11"/>
      <c r="M156" s="11"/>
      <c r="N156" s="116">
        <f t="shared" si="8"/>
        <v>0</v>
      </c>
      <c r="O156" s="116">
        <f t="shared" si="9"/>
        <v>0</v>
      </c>
      <c r="P156" s="11">
        <v>0</v>
      </c>
      <c r="Q156" s="11"/>
      <c r="R156" s="11"/>
      <c r="S156" s="11"/>
      <c r="T156" s="14"/>
      <c r="U156" s="14"/>
      <c r="V156" s="13"/>
      <c r="W156" s="15"/>
      <c r="X156" s="13"/>
      <c r="Y156" s="14"/>
      <c r="Z156" s="14"/>
      <c r="AA156" s="14"/>
      <c r="AB156" s="42" t="s">
        <v>224</v>
      </c>
      <c r="AC156" s="11"/>
      <c r="AD156" s="33"/>
      <c r="AE156" s="34"/>
      <c r="AF156" s="37"/>
      <c r="AG156" s="14"/>
      <c r="AH156" s="14" t="s">
        <v>225</v>
      </c>
      <c r="AI156" s="14"/>
      <c r="AJ156" s="14"/>
      <c r="AK156" s="16"/>
      <c r="AL156" s="11"/>
      <c r="AM156" s="11"/>
      <c r="AN156" s="14"/>
      <c r="AO156" s="14"/>
      <c r="AP156" s="13"/>
      <c r="AQ156" s="14"/>
      <c r="AR156" s="11">
        <v>18</v>
      </c>
      <c r="AS156" s="14"/>
      <c r="AT156" s="14"/>
      <c r="AU156" s="11"/>
      <c r="AV156" s="14"/>
    </row>
    <row r="157" spans="1:49" s="47" customFormat="1" ht="15" x14ac:dyDescent="0.25">
      <c r="A157" s="199"/>
      <c r="B157" s="72"/>
      <c r="C157" s="111" t="s">
        <v>49</v>
      </c>
      <c r="D157" s="42"/>
      <c r="E157" s="14"/>
      <c r="F157" s="71">
        <v>0</v>
      </c>
      <c r="G157" s="42" t="s">
        <v>50</v>
      </c>
      <c r="H157" s="184">
        <v>0</v>
      </c>
      <c r="I157" s="138" t="e">
        <f>IF(H157="","",VLOOKUP(H157,[1]ENTIDAD!$B$2:$C$605,2,0))</f>
        <v>#N/A</v>
      </c>
      <c r="J157" s="11"/>
      <c r="K157" s="11"/>
      <c r="L157" s="11"/>
      <c r="M157" s="11"/>
      <c r="N157" s="116">
        <f t="shared" ref="N157:N185" si="10">(S157-P157)/1.18</f>
        <v>0</v>
      </c>
      <c r="O157" s="116">
        <f t="shared" si="9"/>
        <v>0</v>
      </c>
      <c r="P157" s="11">
        <v>0</v>
      </c>
      <c r="Q157" s="11"/>
      <c r="R157" s="11"/>
      <c r="S157" s="11"/>
      <c r="T157" s="14"/>
      <c r="U157" s="14"/>
      <c r="V157" s="13"/>
      <c r="W157" s="15"/>
      <c r="X157" s="13"/>
      <c r="Y157" s="14"/>
      <c r="Z157" s="14"/>
      <c r="AA157" s="14"/>
      <c r="AB157" s="42" t="s">
        <v>224</v>
      </c>
      <c r="AC157" s="11"/>
      <c r="AD157" s="33"/>
      <c r="AE157" s="34"/>
      <c r="AF157" s="37"/>
      <c r="AG157" s="14"/>
      <c r="AH157" s="14" t="s">
        <v>225</v>
      </c>
      <c r="AI157" s="14"/>
      <c r="AJ157" s="14"/>
      <c r="AK157" s="16"/>
      <c r="AL157" s="11"/>
      <c r="AM157" s="11"/>
      <c r="AN157" s="14"/>
      <c r="AO157" s="14"/>
      <c r="AP157" s="13"/>
      <c r="AQ157" s="14"/>
      <c r="AR157" s="11">
        <v>18</v>
      </c>
      <c r="AS157" s="14"/>
      <c r="AT157" s="14"/>
      <c r="AU157" s="11"/>
      <c r="AV157" s="14"/>
      <c r="AW157" s="45"/>
    </row>
    <row r="158" spans="1:49" s="121" customFormat="1" ht="15" x14ac:dyDescent="0.25">
      <c r="A158" s="200"/>
      <c r="B158" s="109"/>
      <c r="C158" s="111" t="s">
        <v>49</v>
      </c>
      <c r="D158" s="42"/>
      <c r="E158" s="14"/>
      <c r="F158" s="71">
        <v>0</v>
      </c>
      <c r="G158" s="42" t="s">
        <v>50</v>
      </c>
      <c r="H158" s="184">
        <v>0</v>
      </c>
      <c r="I158" s="138" t="e">
        <f>IF(H158="","",VLOOKUP(H158,[1]ENTIDAD!$B$2:$C$605,2,0))</f>
        <v>#N/A</v>
      </c>
      <c r="J158" s="11"/>
      <c r="K158" s="11"/>
      <c r="L158" s="11"/>
      <c r="M158" s="116"/>
      <c r="N158" s="116">
        <f t="shared" si="10"/>
        <v>0</v>
      </c>
      <c r="O158" s="116">
        <f t="shared" si="9"/>
        <v>0</v>
      </c>
      <c r="P158" s="11">
        <v>0</v>
      </c>
      <c r="Q158" s="116"/>
      <c r="R158" s="116"/>
      <c r="S158" s="116"/>
      <c r="T158" s="112"/>
      <c r="U158" s="112"/>
      <c r="V158" s="109"/>
      <c r="W158" s="118"/>
      <c r="X158" s="109"/>
      <c r="Y158" s="112"/>
      <c r="Z158" s="112"/>
      <c r="AA158" s="112"/>
      <c r="AB158" s="42" t="s">
        <v>224</v>
      </c>
      <c r="AC158" s="116"/>
      <c r="AD158" s="109"/>
      <c r="AE158" s="112"/>
      <c r="AF158" s="112"/>
      <c r="AG158" s="112"/>
      <c r="AH158" s="112" t="s">
        <v>225</v>
      </c>
      <c r="AI158" s="112"/>
      <c r="AJ158" s="112"/>
      <c r="AK158" s="120"/>
      <c r="AL158" s="116"/>
      <c r="AM158" s="116"/>
      <c r="AN158" s="112"/>
      <c r="AO158" s="112"/>
      <c r="AP158" s="109"/>
      <c r="AQ158" s="112"/>
      <c r="AR158" s="116">
        <v>18</v>
      </c>
      <c r="AS158" s="112"/>
      <c r="AT158" s="112"/>
      <c r="AU158" s="116"/>
      <c r="AV158" s="112"/>
    </row>
    <row r="159" spans="1:49" s="47" customFormat="1" ht="15" x14ac:dyDescent="0.25">
      <c r="A159" s="226"/>
      <c r="B159" s="33"/>
      <c r="C159" s="111" t="s">
        <v>49</v>
      </c>
      <c r="D159" s="42"/>
      <c r="E159" s="14"/>
      <c r="F159" s="71">
        <v>0</v>
      </c>
      <c r="G159" s="42" t="s">
        <v>50</v>
      </c>
      <c r="H159" s="184">
        <v>0</v>
      </c>
      <c r="I159" s="138" t="e">
        <f>IF(H159="","",VLOOKUP(H159,[1]ENTIDAD!$B$2:$C$605,2,0))</f>
        <v>#N/A</v>
      </c>
      <c r="J159" s="11"/>
      <c r="K159" s="11"/>
      <c r="L159" s="11"/>
      <c r="M159" s="35"/>
      <c r="N159" s="116">
        <f t="shared" si="10"/>
        <v>0</v>
      </c>
      <c r="O159" s="116">
        <f t="shared" si="9"/>
        <v>0</v>
      </c>
      <c r="P159" s="11">
        <v>0</v>
      </c>
      <c r="Q159" s="35"/>
      <c r="R159" s="35"/>
      <c r="S159" s="35"/>
      <c r="T159" s="34"/>
      <c r="U159" s="34"/>
      <c r="V159" s="33"/>
      <c r="W159" s="36"/>
      <c r="X159" s="33"/>
      <c r="Y159" s="34"/>
      <c r="Z159" s="34"/>
      <c r="AA159" s="34"/>
      <c r="AB159" s="42" t="s">
        <v>224</v>
      </c>
      <c r="AC159" s="35"/>
      <c r="AD159" s="33"/>
      <c r="AE159" s="34"/>
      <c r="AF159" s="34"/>
      <c r="AG159" s="14"/>
      <c r="AH159" s="14" t="s">
        <v>225</v>
      </c>
      <c r="AI159" s="14"/>
      <c r="AJ159" s="14"/>
      <c r="AK159" s="16"/>
      <c r="AL159" s="11"/>
      <c r="AM159" s="11"/>
      <c r="AN159" s="14"/>
      <c r="AO159" s="14"/>
      <c r="AP159" s="13"/>
      <c r="AQ159" s="14"/>
      <c r="AR159" s="11">
        <v>18</v>
      </c>
      <c r="AS159" s="14"/>
      <c r="AT159" s="34"/>
      <c r="AU159" s="35"/>
      <c r="AV159" s="34"/>
      <c r="AW159"/>
    </row>
    <row r="160" spans="1:49" s="45" customFormat="1" ht="15" x14ac:dyDescent="0.25">
      <c r="A160" s="199"/>
      <c r="B160" s="72"/>
      <c r="C160" s="111" t="s">
        <v>49</v>
      </c>
      <c r="D160" s="42"/>
      <c r="E160" s="14"/>
      <c r="F160" s="71">
        <v>0</v>
      </c>
      <c r="G160" s="42" t="s">
        <v>50</v>
      </c>
      <c r="H160" s="184">
        <v>0</v>
      </c>
      <c r="I160" s="138" t="e">
        <f>IF(H160="","",VLOOKUP(H160,[1]ENTIDAD!$B$2:$C$605,2,0))</f>
        <v>#N/A</v>
      </c>
      <c r="J160" s="11"/>
      <c r="K160" s="11"/>
      <c r="L160" s="11"/>
      <c r="M160" s="11"/>
      <c r="N160" s="116">
        <f t="shared" si="10"/>
        <v>0</v>
      </c>
      <c r="O160" s="116">
        <f t="shared" si="9"/>
        <v>0</v>
      </c>
      <c r="P160" s="11">
        <v>0</v>
      </c>
      <c r="Q160" s="11"/>
      <c r="R160" s="11"/>
      <c r="S160" s="11"/>
      <c r="T160" s="14"/>
      <c r="U160" s="14"/>
      <c r="V160" s="13"/>
      <c r="W160" s="15"/>
      <c r="X160" s="13"/>
      <c r="Y160" s="14"/>
      <c r="Z160" s="14"/>
      <c r="AA160" s="14"/>
      <c r="AB160" s="42" t="s">
        <v>224</v>
      </c>
      <c r="AC160" s="11"/>
      <c r="AD160" s="33"/>
      <c r="AE160" s="34"/>
      <c r="AF160" s="19"/>
      <c r="AG160" s="14"/>
      <c r="AH160" s="14" t="s">
        <v>225</v>
      </c>
      <c r="AI160" s="14"/>
      <c r="AJ160" s="14"/>
      <c r="AK160" s="16"/>
      <c r="AL160" s="11"/>
      <c r="AM160" s="11"/>
      <c r="AN160" s="14"/>
      <c r="AO160" s="14"/>
      <c r="AP160" s="13"/>
      <c r="AQ160" s="14"/>
      <c r="AR160" s="11">
        <v>18</v>
      </c>
      <c r="AS160" s="14"/>
      <c r="AT160" s="14"/>
      <c r="AU160" s="11"/>
      <c r="AV160" s="14"/>
    </row>
    <row r="161" spans="1:49" s="45" customFormat="1" ht="15" x14ac:dyDescent="0.25">
      <c r="A161" s="199"/>
      <c r="B161" s="72"/>
      <c r="C161" s="42" t="s">
        <v>49</v>
      </c>
      <c r="D161" s="42"/>
      <c r="E161" s="14"/>
      <c r="F161" s="71">
        <v>0</v>
      </c>
      <c r="G161" s="42" t="s">
        <v>50</v>
      </c>
      <c r="H161" s="184">
        <v>0</v>
      </c>
      <c r="I161" s="138" t="e">
        <f>IF(H161="","",VLOOKUP(H161,[1]ENTIDAD!$B$2:$C$605,2,0))</f>
        <v>#N/A</v>
      </c>
      <c r="J161" s="11"/>
      <c r="K161" s="11"/>
      <c r="L161" s="11"/>
      <c r="M161" s="11"/>
      <c r="N161" s="116">
        <f t="shared" si="10"/>
        <v>0</v>
      </c>
      <c r="O161" s="116">
        <f t="shared" si="9"/>
        <v>0</v>
      </c>
      <c r="P161" s="11">
        <v>0</v>
      </c>
      <c r="Q161" s="11"/>
      <c r="R161" s="11"/>
      <c r="S161" s="11"/>
      <c r="T161" s="14"/>
      <c r="U161" s="14"/>
      <c r="V161" s="13"/>
      <c r="W161" s="15"/>
      <c r="X161" s="13"/>
      <c r="Y161" s="14"/>
      <c r="Z161" s="14"/>
      <c r="AA161" s="14"/>
      <c r="AB161" s="42" t="s">
        <v>224</v>
      </c>
      <c r="AC161" s="11"/>
      <c r="AD161" s="33"/>
      <c r="AE161" s="14"/>
      <c r="AF161" s="19"/>
      <c r="AG161" s="14"/>
      <c r="AH161" s="14" t="s">
        <v>225</v>
      </c>
      <c r="AI161" s="14"/>
      <c r="AJ161" s="14"/>
      <c r="AK161" s="16"/>
      <c r="AL161" s="11"/>
      <c r="AM161" s="11"/>
      <c r="AN161" s="14"/>
      <c r="AO161" s="14"/>
      <c r="AP161" s="13"/>
      <c r="AQ161" s="14"/>
      <c r="AR161" s="11">
        <v>18</v>
      </c>
      <c r="AS161" s="14"/>
      <c r="AT161" s="14"/>
      <c r="AU161" s="11"/>
      <c r="AV161" s="14"/>
    </row>
    <row r="162" spans="1:49" s="45" customFormat="1" ht="15" x14ac:dyDescent="0.25">
      <c r="A162" s="199"/>
      <c r="B162" s="72"/>
      <c r="C162" s="42" t="s">
        <v>49</v>
      </c>
      <c r="D162" s="42"/>
      <c r="E162" s="14"/>
      <c r="F162" s="71">
        <v>0</v>
      </c>
      <c r="G162" s="42" t="s">
        <v>50</v>
      </c>
      <c r="H162" s="184">
        <v>0</v>
      </c>
      <c r="I162" s="138" t="e">
        <f>IF(H162="","",VLOOKUP(H162,[1]ENTIDAD!$B$2:$C$605,2,0))</f>
        <v>#N/A</v>
      </c>
      <c r="J162" s="11"/>
      <c r="K162" s="11"/>
      <c r="L162" s="11"/>
      <c r="M162" s="11"/>
      <c r="N162" s="116">
        <f t="shared" si="10"/>
        <v>0</v>
      </c>
      <c r="O162" s="116">
        <f t="shared" si="9"/>
        <v>0</v>
      </c>
      <c r="P162" s="11">
        <v>0</v>
      </c>
      <c r="Q162" s="11"/>
      <c r="R162" s="11"/>
      <c r="S162" s="11"/>
      <c r="T162" s="14"/>
      <c r="U162" s="14"/>
      <c r="V162" s="13"/>
      <c r="W162" s="15"/>
      <c r="X162" s="13"/>
      <c r="Y162" s="14"/>
      <c r="Z162" s="14"/>
      <c r="AA162" s="14"/>
      <c r="AB162" s="42" t="s">
        <v>224</v>
      </c>
      <c r="AC162" s="11"/>
      <c r="AD162" s="33"/>
      <c r="AE162" s="14"/>
      <c r="AF162" s="19"/>
      <c r="AG162" s="14"/>
      <c r="AH162" s="14" t="s">
        <v>225</v>
      </c>
      <c r="AI162" s="14"/>
      <c r="AJ162" s="14"/>
      <c r="AK162" s="16"/>
      <c r="AL162" s="11"/>
      <c r="AM162" s="11"/>
      <c r="AN162" s="14"/>
      <c r="AO162" s="14"/>
      <c r="AP162" s="13"/>
      <c r="AQ162" s="14"/>
      <c r="AR162" s="11">
        <v>18</v>
      </c>
      <c r="AS162" s="14"/>
      <c r="AT162" s="14"/>
      <c r="AU162" s="11"/>
      <c r="AV162" s="14"/>
    </row>
    <row r="163" spans="1:49" s="45" customFormat="1" ht="15" x14ac:dyDescent="0.25">
      <c r="A163" s="199"/>
      <c r="B163" s="72"/>
      <c r="C163" s="42" t="s">
        <v>49</v>
      </c>
      <c r="D163" s="42"/>
      <c r="E163" s="14"/>
      <c r="F163" s="71">
        <v>0</v>
      </c>
      <c r="G163" s="42" t="s">
        <v>50</v>
      </c>
      <c r="H163" s="184">
        <v>0</v>
      </c>
      <c r="I163" s="138" t="e">
        <f>IF(H163="","",VLOOKUP(H163,[1]ENTIDAD!$B$2:$C$605,2,0))</f>
        <v>#N/A</v>
      </c>
      <c r="J163" s="11"/>
      <c r="K163" s="11"/>
      <c r="L163" s="11"/>
      <c r="M163" s="11"/>
      <c r="N163" s="116">
        <f t="shared" si="10"/>
        <v>0</v>
      </c>
      <c r="O163" s="116">
        <f t="shared" si="9"/>
        <v>0</v>
      </c>
      <c r="P163" s="11">
        <v>0</v>
      </c>
      <c r="Q163" s="11"/>
      <c r="R163" s="11"/>
      <c r="S163" s="11"/>
      <c r="T163" s="14"/>
      <c r="U163" s="14"/>
      <c r="V163" s="13"/>
      <c r="W163" s="15"/>
      <c r="X163" s="13"/>
      <c r="Y163" s="14"/>
      <c r="Z163" s="14"/>
      <c r="AA163" s="14"/>
      <c r="AB163" s="42" t="s">
        <v>224</v>
      </c>
      <c r="AC163" s="11"/>
      <c r="AD163" s="33"/>
      <c r="AE163" s="34"/>
      <c r="AF163" s="19"/>
      <c r="AG163" s="14"/>
      <c r="AH163" s="14" t="s">
        <v>225</v>
      </c>
      <c r="AI163" s="14"/>
      <c r="AJ163" s="14"/>
      <c r="AK163" s="16"/>
      <c r="AL163" s="11"/>
      <c r="AM163" s="11"/>
      <c r="AN163" s="14"/>
      <c r="AO163" s="14"/>
      <c r="AP163" s="13"/>
      <c r="AQ163" s="14"/>
      <c r="AR163" s="11">
        <v>18</v>
      </c>
      <c r="AS163" s="14"/>
      <c r="AT163" s="14"/>
      <c r="AU163" s="11"/>
      <c r="AV163" s="14"/>
    </row>
    <row r="164" spans="1:49" s="45" customFormat="1" ht="15" x14ac:dyDescent="0.25">
      <c r="A164" s="199"/>
      <c r="B164" s="72"/>
      <c r="C164" s="42" t="s">
        <v>49</v>
      </c>
      <c r="D164" s="42"/>
      <c r="E164" s="14"/>
      <c r="F164" s="71">
        <v>0</v>
      </c>
      <c r="G164" s="42" t="s">
        <v>50</v>
      </c>
      <c r="H164" s="184">
        <v>0</v>
      </c>
      <c r="I164" s="138" t="e">
        <f>IF(H164="","",VLOOKUP(H164,[1]ENTIDAD!$B$2:$C$605,2,0))</f>
        <v>#N/A</v>
      </c>
      <c r="J164" s="11"/>
      <c r="K164" s="11"/>
      <c r="L164" s="11"/>
      <c r="M164" s="11"/>
      <c r="N164" s="116">
        <f t="shared" si="10"/>
        <v>0</v>
      </c>
      <c r="O164" s="116">
        <f t="shared" ref="O164:O185" si="11">N164*0.18</f>
        <v>0</v>
      </c>
      <c r="P164" s="11">
        <v>0</v>
      </c>
      <c r="Q164" s="11"/>
      <c r="R164" s="11"/>
      <c r="S164" s="11"/>
      <c r="T164" s="14"/>
      <c r="U164" s="14"/>
      <c r="V164" s="13"/>
      <c r="W164" s="15"/>
      <c r="X164" s="13"/>
      <c r="Y164" s="14"/>
      <c r="Z164" s="14"/>
      <c r="AA164" s="14"/>
      <c r="AB164" s="42" t="s">
        <v>224</v>
      </c>
      <c r="AC164" s="11"/>
      <c r="AD164" s="33"/>
      <c r="AE164" s="34"/>
      <c r="AF164" s="19"/>
      <c r="AG164" s="14"/>
      <c r="AH164" s="14" t="s">
        <v>225</v>
      </c>
      <c r="AI164" s="14"/>
      <c r="AJ164" s="14"/>
      <c r="AK164" s="16"/>
      <c r="AL164" s="11"/>
      <c r="AM164" s="11"/>
      <c r="AN164" s="14"/>
      <c r="AO164" s="14"/>
      <c r="AP164" s="13"/>
      <c r="AQ164" s="14"/>
      <c r="AR164" s="11">
        <v>18</v>
      </c>
      <c r="AS164" s="14"/>
      <c r="AT164" s="14"/>
      <c r="AU164" s="11"/>
      <c r="AV164" s="14"/>
    </row>
    <row r="165" spans="1:49" s="45" customFormat="1" ht="15" x14ac:dyDescent="0.25">
      <c r="A165" s="199"/>
      <c r="B165" s="72"/>
      <c r="C165" s="42" t="s">
        <v>49</v>
      </c>
      <c r="D165" s="42"/>
      <c r="E165" s="14"/>
      <c r="F165" s="71">
        <v>0</v>
      </c>
      <c r="G165" s="42" t="s">
        <v>50</v>
      </c>
      <c r="H165" s="184">
        <v>0</v>
      </c>
      <c r="I165" s="138" t="e">
        <f>IF(H165="","",VLOOKUP(H165,[1]ENTIDAD!$B$2:$C$605,2,0))</f>
        <v>#N/A</v>
      </c>
      <c r="J165" s="11"/>
      <c r="K165" s="11"/>
      <c r="L165" s="11"/>
      <c r="M165" s="11"/>
      <c r="N165" s="116">
        <f t="shared" si="10"/>
        <v>0</v>
      </c>
      <c r="O165" s="116">
        <f t="shared" si="11"/>
        <v>0</v>
      </c>
      <c r="P165" s="11">
        <v>0</v>
      </c>
      <c r="Q165" s="11"/>
      <c r="R165" s="11"/>
      <c r="S165" s="11"/>
      <c r="T165" s="14"/>
      <c r="U165" s="14"/>
      <c r="V165" s="13"/>
      <c r="W165" s="15"/>
      <c r="X165" s="13"/>
      <c r="Y165" s="14"/>
      <c r="Z165" s="14"/>
      <c r="AA165" s="14"/>
      <c r="AB165" s="42" t="s">
        <v>224</v>
      </c>
      <c r="AC165" s="11"/>
      <c r="AD165" s="33"/>
      <c r="AE165" s="34"/>
      <c r="AF165" s="19"/>
      <c r="AG165" s="14"/>
      <c r="AH165" s="14" t="s">
        <v>225</v>
      </c>
      <c r="AI165" s="14"/>
      <c r="AJ165" s="14"/>
      <c r="AK165" s="16"/>
      <c r="AL165" s="11"/>
      <c r="AM165" s="11"/>
      <c r="AN165" s="14"/>
      <c r="AO165" s="14"/>
      <c r="AP165" s="13"/>
      <c r="AQ165" s="14"/>
      <c r="AR165" s="11">
        <v>18</v>
      </c>
      <c r="AS165" s="14"/>
      <c r="AT165" s="14"/>
      <c r="AU165" s="11"/>
      <c r="AV165" s="14"/>
    </row>
    <row r="166" spans="1:49" s="45" customFormat="1" ht="15" x14ac:dyDescent="0.25">
      <c r="A166" s="226"/>
      <c r="B166" s="33"/>
      <c r="C166" s="48" t="s">
        <v>49</v>
      </c>
      <c r="D166" s="42"/>
      <c r="E166" s="14"/>
      <c r="F166" s="71">
        <v>0</v>
      </c>
      <c r="G166" s="42" t="s">
        <v>50</v>
      </c>
      <c r="H166" s="184">
        <v>0</v>
      </c>
      <c r="I166" s="138" t="e">
        <f>IF(H166="","",VLOOKUP(H166,[1]ENTIDAD!$B$2:$C$605,2,0))</f>
        <v>#N/A</v>
      </c>
      <c r="J166" s="11"/>
      <c r="K166" s="11"/>
      <c r="L166" s="11"/>
      <c r="M166" s="35"/>
      <c r="N166" s="116">
        <f t="shared" si="10"/>
        <v>0</v>
      </c>
      <c r="O166" s="116">
        <f t="shared" si="11"/>
        <v>0</v>
      </c>
      <c r="P166" s="11">
        <v>0</v>
      </c>
      <c r="Q166" s="35"/>
      <c r="R166" s="35"/>
      <c r="S166" s="35"/>
      <c r="T166" s="34"/>
      <c r="U166" s="34"/>
      <c r="V166" s="33"/>
      <c r="W166" s="36"/>
      <c r="X166" s="33"/>
      <c r="Y166" s="34"/>
      <c r="Z166" s="34"/>
      <c r="AA166" s="34"/>
      <c r="AB166" s="42" t="s">
        <v>224</v>
      </c>
      <c r="AC166" s="35"/>
      <c r="AD166" s="72"/>
      <c r="AE166" s="34"/>
      <c r="AF166" s="19"/>
      <c r="AG166" s="34"/>
      <c r="AH166" s="34" t="s">
        <v>225</v>
      </c>
      <c r="AI166" s="34"/>
      <c r="AJ166" s="34"/>
      <c r="AK166" s="38"/>
      <c r="AL166" s="35"/>
      <c r="AM166" s="35"/>
      <c r="AN166" s="34"/>
      <c r="AO166" s="34"/>
      <c r="AP166" s="33"/>
      <c r="AQ166" s="34"/>
      <c r="AR166" s="35">
        <v>18</v>
      </c>
      <c r="AS166" s="34"/>
      <c r="AT166" s="34"/>
      <c r="AU166" s="35"/>
      <c r="AV166" s="34"/>
      <c r="AW166"/>
    </row>
    <row r="167" spans="1:49" s="45" customFormat="1" ht="15" x14ac:dyDescent="0.25">
      <c r="A167" s="226"/>
      <c r="B167" s="33"/>
      <c r="C167" s="48" t="s">
        <v>49</v>
      </c>
      <c r="D167" s="42"/>
      <c r="E167" s="14"/>
      <c r="F167" s="71">
        <v>0</v>
      </c>
      <c r="G167" s="42" t="s">
        <v>50</v>
      </c>
      <c r="H167" s="184">
        <v>0</v>
      </c>
      <c r="I167" s="138" t="e">
        <f>IF(H167="","",VLOOKUP(H167,[1]ENTIDAD!$B$2:$C$605,2,0))</f>
        <v>#N/A</v>
      </c>
      <c r="J167" s="11"/>
      <c r="K167" s="11"/>
      <c r="L167" s="11"/>
      <c r="M167" s="35"/>
      <c r="N167" s="116">
        <f t="shared" si="10"/>
        <v>0</v>
      </c>
      <c r="O167" s="116">
        <f t="shared" si="11"/>
        <v>0</v>
      </c>
      <c r="P167" s="11">
        <v>0</v>
      </c>
      <c r="Q167" s="35"/>
      <c r="R167" s="35"/>
      <c r="S167" s="35"/>
      <c r="T167" s="34"/>
      <c r="U167" s="34"/>
      <c r="V167" s="33"/>
      <c r="W167" s="36"/>
      <c r="X167" s="33"/>
      <c r="Y167" s="34"/>
      <c r="Z167" s="34"/>
      <c r="AA167" s="34"/>
      <c r="AB167" s="42" t="s">
        <v>224</v>
      </c>
      <c r="AC167" s="35"/>
      <c r="AD167" s="72"/>
      <c r="AE167" s="34"/>
      <c r="AF167" s="19"/>
      <c r="AG167" s="34"/>
      <c r="AH167" s="34" t="s">
        <v>225</v>
      </c>
      <c r="AI167" s="34"/>
      <c r="AJ167" s="34"/>
      <c r="AK167" s="38"/>
      <c r="AL167" s="35"/>
      <c r="AM167" s="35"/>
      <c r="AN167" s="34"/>
      <c r="AO167" s="34"/>
      <c r="AP167" s="33"/>
      <c r="AQ167" s="34"/>
      <c r="AR167" s="35">
        <v>18</v>
      </c>
      <c r="AS167" s="34"/>
      <c r="AT167" s="34"/>
      <c r="AU167" s="35"/>
      <c r="AV167" s="34"/>
      <c r="AW167"/>
    </row>
    <row r="168" spans="1:49" s="45" customFormat="1" ht="15" x14ac:dyDescent="0.25">
      <c r="A168" s="199"/>
      <c r="B168" s="72"/>
      <c r="C168" s="42" t="s">
        <v>49</v>
      </c>
      <c r="D168" s="42"/>
      <c r="E168" s="14"/>
      <c r="F168" s="71">
        <v>0</v>
      </c>
      <c r="G168" s="42" t="s">
        <v>50</v>
      </c>
      <c r="H168" s="184">
        <v>0</v>
      </c>
      <c r="I168" s="138" t="e">
        <f>IF(H168="","",VLOOKUP(H168,[1]ENTIDAD!$B$2:$C$605,2,0))</f>
        <v>#N/A</v>
      </c>
      <c r="J168" s="11"/>
      <c r="K168" s="11"/>
      <c r="L168" s="11"/>
      <c r="M168" s="11"/>
      <c r="N168" s="116">
        <f t="shared" si="10"/>
        <v>0</v>
      </c>
      <c r="O168" s="116">
        <f t="shared" si="11"/>
        <v>0</v>
      </c>
      <c r="P168" s="11">
        <v>0</v>
      </c>
      <c r="Q168" s="11"/>
      <c r="R168" s="11"/>
      <c r="S168" s="11"/>
      <c r="T168" s="14"/>
      <c r="U168" s="14"/>
      <c r="V168" s="13"/>
      <c r="W168" s="15"/>
      <c r="X168" s="13"/>
      <c r="Y168" s="14"/>
      <c r="Z168" s="14"/>
      <c r="AA168" s="14"/>
      <c r="AB168" s="42" t="s">
        <v>224</v>
      </c>
      <c r="AC168" s="11"/>
      <c r="AD168" s="33"/>
      <c r="AE168" s="34"/>
      <c r="AF168" s="19"/>
      <c r="AG168" s="14"/>
      <c r="AH168" s="14" t="s">
        <v>225</v>
      </c>
      <c r="AI168" s="14"/>
      <c r="AJ168" s="14"/>
      <c r="AK168" s="16"/>
      <c r="AL168" s="11"/>
      <c r="AM168" s="11"/>
      <c r="AN168" s="14"/>
      <c r="AO168" s="14"/>
      <c r="AP168" s="13"/>
      <c r="AQ168" s="14"/>
      <c r="AR168" s="11">
        <v>18</v>
      </c>
      <c r="AS168" s="14"/>
      <c r="AT168" s="14"/>
      <c r="AU168" s="11"/>
      <c r="AV168" s="14"/>
    </row>
    <row r="169" spans="1:49" s="45" customFormat="1" ht="15" x14ac:dyDescent="0.25">
      <c r="A169" s="199"/>
      <c r="B169" s="72"/>
      <c r="C169" s="42" t="s">
        <v>49</v>
      </c>
      <c r="D169" s="42"/>
      <c r="E169" s="14"/>
      <c r="F169" s="71">
        <v>0</v>
      </c>
      <c r="G169" s="42" t="s">
        <v>50</v>
      </c>
      <c r="H169" s="184">
        <v>0</v>
      </c>
      <c r="I169" s="138" t="e">
        <f>IF(H169="","",VLOOKUP(H169,[1]ENTIDAD!$B$2:$C$605,2,0))</f>
        <v>#N/A</v>
      </c>
      <c r="J169" s="11"/>
      <c r="K169" s="11"/>
      <c r="L169" s="11"/>
      <c r="M169" s="11"/>
      <c r="N169" s="116">
        <f t="shared" si="10"/>
        <v>0</v>
      </c>
      <c r="O169" s="116">
        <f t="shared" si="11"/>
        <v>0</v>
      </c>
      <c r="P169" s="11">
        <v>0</v>
      </c>
      <c r="Q169" s="11"/>
      <c r="R169" s="11"/>
      <c r="S169" s="11"/>
      <c r="T169" s="14"/>
      <c r="U169" s="14"/>
      <c r="V169" s="13"/>
      <c r="W169" s="15"/>
      <c r="X169" s="13"/>
      <c r="Y169" s="14"/>
      <c r="Z169" s="14"/>
      <c r="AA169" s="14"/>
      <c r="AB169" s="42" t="s">
        <v>224</v>
      </c>
      <c r="AC169" s="11"/>
      <c r="AD169" s="13"/>
      <c r="AE169" s="34"/>
      <c r="AF169" s="19"/>
      <c r="AG169" s="14"/>
      <c r="AH169" s="14" t="s">
        <v>225</v>
      </c>
      <c r="AI169" s="14"/>
      <c r="AJ169" s="14"/>
      <c r="AK169" s="16"/>
      <c r="AL169" s="11"/>
      <c r="AM169" s="11"/>
      <c r="AN169" s="14"/>
      <c r="AO169" s="14"/>
      <c r="AP169" s="13"/>
      <c r="AQ169" s="14"/>
      <c r="AR169" s="11">
        <v>18</v>
      </c>
      <c r="AS169" s="14"/>
      <c r="AT169" s="14"/>
      <c r="AU169" s="11"/>
      <c r="AV169" s="14"/>
    </row>
    <row r="170" spans="1:49" s="45" customFormat="1" ht="15" x14ac:dyDescent="0.25">
      <c r="A170" s="199"/>
      <c r="B170" s="72"/>
      <c r="C170" s="42" t="s">
        <v>49</v>
      </c>
      <c r="D170" s="42"/>
      <c r="E170" s="14"/>
      <c r="F170" s="71">
        <v>0</v>
      </c>
      <c r="G170" s="42" t="s">
        <v>50</v>
      </c>
      <c r="H170" s="184">
        <v>0</v>
      </c>
      <c r="I170" s="138" t="e">
        <f>IF(H170="","",VLOOKUP(H170,[1]ENTIDAD!$B$2:$C$605,2,0))</f>
        <v>#N/A</v>
      </c>
      <c r="J170" s="11"/>
      <c r="K170" s="11"/>
      <c r="L170" s="11"/>
      <c r="M170" s="11"/>
      <c r="N170" s="116">
        <f t="shared" si="10"/>
        <v>0</v>
      </c>
      <c r="O170" s="116">
        <f t="shared" si="11"/>
        <v>0</v>
      </c>
      <c r="P170" s="11">
        <v>0</v>
      </c>
      <c r="Q170" s="11"/>
      <c r="R170" s="11"/>
      <c r="S170" s="11"/>
      <c r="T170" s="14"/>
      <c r="U170" s="14"/>
      <c r="V170" s="13"/>
      <c r="W170" s="15"/>
      <c r="X170" s="13"/>
      <c r="Y170" s="14"/>
      <c r="Z170" s="14"/>
      <c r="AA170" s="14"/>
      <c r="AB170" s="42" t="s">
        <v>224</v>
      </c>
      <c r="AC170" s="11"/>
      <c r="AD170" s="13"/>
      <c r="AE170" s="34"/>
      <c r="AF170" s="19"/>
      <c r="AG170" s="14"/>
      <c r="AH170" s="14" t="s">
        <v>225</v>
      </c>
      <c r="AI170" s="14"/>
      <c r="AJ170" s="14"/>
      <c r="AK170" s="16"/>
      <c r="AL170" s="11"/>
      <c r="AM170" s="11"/>
      <c r="AN170" s="14"/>
      <c r="AO170" s="14"/>
      <c r="AP170" s="13"/>
      <c r="AQ170" s="14"/>
      <c r="AR170" s="11">
        <v>18</v>
      </c>
      <c r="AS170" s="14"/>
      <c r="AT170" s="14"/>
      <c r="AU170" s="11"/>
      <c r="AV170" s="14"/>
    </row>
    <row r="171" spans="1:49" s="45" customFormat="1" ht="15" x14ac:dyDescent="0.25">
      <c r="A171" s="199"/>
      <c r="B171" s="46"/>
      <c r="C171" s="42" t="s">
        <v>49</v>
      </c>
      <c r="D171" s="42"/>
      <c r="E171" s="14"/>
      <c r="F171" s="71">
        <v>0</v>
      </c>
      <c r="G171" s="42" t="s">
        <v>50</v>
      </c>
      <c r="H171" s="184">
        <v>0</v>
      </c>
      <c r="I171" s="138" t="e">
        <f>IF(H171="","",VLOOKUP(H171,[1]ENTIDAD!$B$2:$C$605,2,0))</f>
        <v>#N/A</v>
      </c>
      <c r="J171" s="11"/>
      <c r="K171" s="11"/>
      <c r="L171" s="11"/>
      <c r="M171" s="11"/>
      <c r="N171" s="116">
        <f t="shared" si="10"/>
        <v>0</v>
      </c>
      <c r="O171" s="116">
        <f t="shared" si="11"/>
        <v>0</v>
      </c>
      <c r="P171" s="11">
        <v>0</v>
      </c>
      <c r="Q171" s="11"/>
      <c r="R171" s="11"/>
      <c r="S171" s="11"/>
      <c r="T171" s="14"/>
      <c r="U171" s="14"/>
      <c r="V171" s="13"/>
      <c r="W171" s="15"/>
      <c r="X171" s="13"/>
      <c r="Y171" s="14"/>
      <c r="Z171" s="14"/>
      <c r="AA171" s="14"/>
      <c r="AB171" s="42" t="s">
        <v>224</v>
      </c>
      <c r="AC171" s="11"/>
      <c r="AD171" s="13"/>
      <c r="AE171" s="34"/>
      <c r="AF171" s="37"/>
      <c r="AG171" s="14"/>
      <c r="AH171" s="14" t="s">
        <v>225</v>
      </c>
      <c r="AI171" s="14"/>
      <c r="AJ171" s="14"/>
      <c r="AK171" s="16"/>
      <c r="AL171" s="11"/>
      <c r="AM171" s="11"/>
      <c r="AN171" s="14"/>
      <c r="AO171" s="14"/>
      <c r="AP171" s="13"/>
      <c r="AQ171" s="14"/>
      <c r="AR171" s="11">
        <v>18</v>
      </c>
      <c r="AS171" s="14"/>
      <c r="AT171" s="14"/>
      <c r="AU171" s="11"/>
      <c r="AV171" s="14"/>
    </row>
    <row r="172" spans="1:49" s="45" customFormat="1" ht="15" x14ac:dyDescent="0.25">
      <c r="A172" s="199"/>
      <c r="B172" s="46"/>
      <c r="C172" s="42" t="s">
        <v>49</v>
      </c>
      <c r="D172" s="42"/>
      <c r="E172" s="14"/>
      <c r="F172" s="71">
        <v>0</v>
      </c>
      <c r="G172" s="42" t="s">
        <v>50</v>
      </c>
      <c r="H172" s="184">
        <v>0</v>
      </c>
      <c r="I172" s="138" t="e">
        <f>IF(H172="","",VLOOKUP(H172,[1]ENTIDAD!$B$2:$C$605,2,0))</f>
        <v>#N/A</v>
      </c>
      <c r="J172" s="11"/>
      <c r="K172" s="11"/>
      <c r="L172" s="11"/>
      <c r="M172" s="11"/>
      <c r="N172" s="116">
        <f t="shared" si="10"/>
        <v>0</v>
      </c>
      <c r="O172" s="116">
        <f t="shared" si="11"/>
        <v>0</v>
      </c>
      <c r="P172" s="11">
        <v>0</v>
      </c>
      <c r="Q172" s="11"/>
      <c r="R172" s="11"/>
      <c r="S172" s="11"/>
      <c r="T172" s="14"/>
      <c r="U172" s="14"/>
      <c r="V172" s="13"/>
      <c r="W172" s="15"/>
      <c r="X172" s="13"/>
      <c r="Y172" s="14"/>
      <c r="Z172" s="14"/>
      <c r="AA172" s="14"/>
      <c r="AB172" s="42" t="s">
        <v>224</v>
      </c>
      <c r="AC172" s="11"/>
      <c r="AD172" s="13"/>
      <c r="AE172" s="34"/>
      <c r="AF172" s="37"/>
      <c r="AG172" s="14"/>
      <c r="AH172" s="14" t="s">
        <v>225</v>
      </c>
      <c r="AI172" s="14"/>
      <c r="AJ172" s="14"/>
      <c r="AK172" s="16"/>
      <c r="AL172" s="11"/>
      <c r="AM172" s="11"/>
      <c r="AN172" s="14"/>
      <c r="AO172" s="14"/>
      <c r="AP172" s="13"/>
      <c r="AQ172" s="14"/>
      <c r="AR172" s="11">
        <v>18</v>
      </c>
      <c r="AS172" s="14"/>
      <c r="AT172" s="14"/>
      <c r="AU172" s="11"/>
      <c r="AV172" s="14"/>
    </row>
    <row r="173" spans="1:49" s="47" customFormat="1" ht="15" x14ac:dyDescent="0.25">
      <c r="A173" s="199"/>
      <c r="B173" s="46"/>
      <c r="C173" s="42" t="s">
        <v>49</v>
      </c>
      <c r="D173" s="42"/>
      <c r="E173" s="14"/>
      <c r="F173" s="71">
        <v>0</v>
      </c>
      <c r="G173" s="42" t="s">
        <v>50</v>
      </c>
      <c r="H173" s="184">
        <v>0</v>
      </c>
      <c r="I173" s="138" t="e">
        <f>IF(H173="","",VLOOKUP(H173,[1]ENTIDAD!$B$2:$C$605,2,0))</f>
        <v>#N/A</v>
      </c>
      <c r="J173" s="11"/>
      <c r="K173" s="11"/>
      <c r="L173" s="11"/>
      <c r="M173" s="11"/>
      <c r="N173" s="116">
        <f t="shared" si="10"/>
        <v>0</v>
      </c>
      <c r="O173" s="116">
        <f t="shared" si="11"/>
        <v>0</v>
      </c>
      <c r="P173" s="11">
        <v>0</v>
      </c>
      <c r="Q173" s="11"/>
      <c r="R173" s="11"/>
      <c r="S173" s="11"/>
      <c r="T173" s="14"/>
      <c r="U173" s="14"/>
      <c r="V173" s="13"/>
      <c r="W173" s="15"/>
      <c r="X173" s="13"/>
      <c r="Y173" s="14"/>
      <c r="Z173" s="14"/>
      <c r="AA173" s="14"/>
      <c r="AB173" s="42" t="s">
        <v>224</v>
      </c>
      <c r="AC173" s="11"/>
      <c r="AD173" s="13"/>
      <c r="AE173" s="34"/>
      <c r="AF173" s="37"/>
      <c r="AG173" s="14"/>
      <c r="AH173" s="14" t="s">
        <v>225</v>
      </c>
      <c r="AI173" s="14"/>
      <c r="AJ173" s="14"/>
      <c r="AK173" s="16"/>
      <c r="AL173" s="11"/>
      <c r="AM173" s="11"/>
      <c r="AN173" s="14"/>
      <c r="AO173" s="14"/>
      <c r="AP173" s="13"/>
      <c r="AQ173" s="14"/>
      <c r="AR173" s="11">
        <v>18</v>
      </c>
      <c r="AS173" s="14"/>
      <c r="AT173" s="14"/>
      <c r="AU173" s="11"/>
      <c r="AV173" s="14"/>
      <c r="AW173" s="45"/>
    </row>
    <row r="174" spans="1:49" customFormat="1" ht="15" x14ac:dyDescent="0.25">
      <c r="A174" s="199"/>
      <c r="B174" s="46"/>
      <c r="C174" s="42" t="s">
        <v>49</v>
      </c>
      <c r="D174" s="42"/>
      <c r="E174" s="112"/>
      <c r="F174" s="71">
        <v>0</v>
      </c>
      <c r="G174" s="111" t="s">
        <v>50</v>
      </c>
      <c r="H174" s="235">
        <v>0</v>
      </c>
      <c r="I174" s="138" t="e">
        <f>IF(H174="","",VLOOKUP(H174,[1]ENTIDAD!$B$2:$C$605,2,0))</f>
        <v>#N/A</v>
      </c>
      <c r="J174" s="116"/>
      <c r="K174" s="116"/>
      <c r="L174" s="116"/>
      <c r="M174" s="11"/>
      <c r="N174" s="116">
        <f t="shared" si="10"/>
        <v>0</v>
      </c>
      <c r="O174" s="116">
        <f t="shared" si="11"/>
        <v>0</v>
      </c>
      <c r="P174" s="11">
        <v>0</v>
      </c>
      <c r="Q174" s="11"/>
      <c r="R174" s="11"/>
      <c r="S174" s="11"/>
      <c r="T174" s="14"/>
      <c r="U174" s="14"/>
      <c r="V174" s="13"/>
      <c r="W174" s="15"/>
      <c r="X174" s="13"/>
      <c r="Y174" s="14"/>
      <c r="Z174" s="14"/>
      <c r="AA174" s="14"/>
      <c r="AB174" s="42" t="s">
        <v>224</v>
      </c>
      <c r="AC174" s="11"/>
      <c r="AD174" s="13"/>
      <c r="AE174" s="34"/>
      <c r="AF174" s="37"/>
      <c r="AG174" s="14"/>
      <c r="AH174" s="14" t="s">
        <v>225</v>
      </c>
      <c r="AI174" s="14"/>
      <c r="AJ174" s="14"/>
      <c r="AK174" s="16"/>
      <c r="AL174" s="11"/>
      <c r="AM174" s="11"/>
      <c r="AN174" s="14"/>
      <c r="AO174" s="14"/>
      <c r="AP174" s="13"/>
      <c r="AQ174" s="14"/>
      <c r="AR174" s="11">
        <v>18</v>
      </c>
      <c r="AS174" s="14"/>
      <c r="AT174" s="14"/>
      <c r="AU174" s="11"/>
      <c r="AV174" s="14"/>
      <c r="AW174" s="45"/>
    </row>
    <row r="175" spans="1:49" customFormat="1" ht="15" x14ac:dyDescent="0.25">
      <c r="A175" s="199"/>
      <c r="B175" s="72"/>
      <c r="C175" s="42" t="s">
        <v>49</v>
      </c>
      <c r="D175" s="42"/>
      <c r="E175" s="14"/>
      <c r="F175" s="71">
        <v>0</v>
      </c>
      <c r="G175" s="42" t="s">
        <v>50</v>
      </c>
      <c r="H175" s="184">
        <v>0</v>
      </c>
      <c r="I175" s="138" t="e">
        <f>IF(H175="","",VLOOKUP(H175,[1]ENTIDAD!$B$2:$C$605,2,0))</f>
        <v>#N/A</v>
      </c>
      <c r="J175" s="11"/>
      <c r="K175" s="11"/>
      <c r="L175" s="11"/>
      <c r="M175" s="11"/>
      <c r="N175" s="116">
        <f t="shared" si="10"/>
        <v>0</v>
      </c>
      <c r="O175" s="116">
        <f t="shared" si="11"/>
        <v>0</v>
      </c>
      <c r="P175" s="11">
        <v>0</v>
      </c>
      <c r="Q175" s="11"/>
      <c r="R175" s="11"/>
      <c r="S175" s="11"/>
      <c r="T175" s="14"/>
      <c r="U175" s="14"/>
      <c r="V175" s="13"/>
      <c r="W175" s="15"/>
      <c r="X175" s="13"/>
      <c r="Y175" s="14"/>
      <c r="Z175" s="14"/>
      <c r="AA175" s="14"/>
      <c r="AB175" s="42" t="s">
        <v>224</v>
      </c>
      <c r="AC175" s="11"/>
      <c r="AD175" s="33"/>
      <c r="AE175" s="34"/>
      <c r="AF175" s="19"/>
      <c r="AG175" s="14"/>
      <c r="AH175" s="14" t="s">
        <v>225</v>
      </c>
      <c r="AI175" s="14"/>
      <c r="AJ175" s="14"/>
      <c r="AK175" s="16"/>
      <c r="AL175" s="11"/>
      <c r="AM175" s="11"/>
      <c r="AN175" s="14"/>
      <c r="AO175" s="14"/>
      <c r="AP175" s="13"/>
      <c r="AQ175" s="14"/>
      <c r="AR175" s="11">
        <v>18</v>
      </c>
      <c r="AS175" s="14"/>
      <c r="AT175" s="14"/>
      <c r="AU175" s="11"/>
      <c r="AV175" s="14"/>
      <c r="AW175" s="45"/>
    </row>
    <row r="176" spans="1:49" customFormat="1" ht="15" x14ac:dyDescent="0.25">
      <c r="A176" s="199"/>
      <c r="B176" s="72"/>
      <c r="C176" s="42" t="s">
        <v>49</v>
      </c>
      <c r="D176" s="42"/>
      <c r="E176" s="14"/>
      <c r="F176" s="71">
        <v>0</v>
      </c>
      <c r="G176" s="42" t="s">
        <v>50</v>
      </c>
      <c r="H176" s="184">
        <v>0</v>
      </c>
      <c r="I176" s="138" t="e">
        <f>IF(H176="","",VLOOKUP(H176,[1]ENTIDAD!$B$2:$C$605,2,0))</f>
        <v>#N/A</v>
      </c>
      <c r="J176" s="11"/>
      <c r="K176" s="11"/>
      <c r="L176" s="11"/>
      <c r="M176" s="11"/>
      <c r="N176" s="116">
        <f t="shared" si="10"/>
        <v>0</v>
      </c>
      <c r="O176" s="116">
        <f t="shared" si="11"/>
        <v>0</v>
      </c>
      <c r="P176" s="11">
        <v>0</v>
      </c>
      <c r="Q176" s="11"/>
      <c r="R176" s="11"/>
      <c r="S176" s="11"/>
      <c r="T176" s="14"/>
      <c r="U176" s="14"/>
      <c r="V176" s="13"/>
      <c r="W176" s="15"/>
      <c r="X176" s="13"/>
      <c r="Y176" s="14"/>
      <c r="Z176" s="14"/>
      <c r="AA176" s="14"/>
      <c r="AB176" s="42" t="s">
        <v>224</v>
      </c>
      <c r="AC176" s="11"/>
      <c r="AD176" s="13"/>
      <c r="AE176" s="34"/>
      <c r="AF176" s="37"/>
      <c r="AG176" s="14"/>
      <c r="AH176" s="14" t="s">
        <v>225</v>
      </c>
      <c r="AI176" s="14"/>
      <c r="AJ176" s="14"/>
      <c r="AK176" s="16"/>
      <c r="AL176" s="11"/>
      <c r="AM176" s="11"/>
      <c r="AN176" s="14"/>
      <c r="AO176" s="14"/>
      <c r="AP176" s="13"/>
      <c r="AQ176" s="14"/>
      <c r="AR176" s="11">
        <v>18</v>
      </c>
      <c r="AS176" s="14"/>
      <c r="AT176" s="14"/>
      <c r="AU176" s="11"/>
      <c r="AV176" s="14"/>
      <c r="AW176" s="45"/>
    </row>
    <row r="177" spans="1:49" customFormat="1" ht="15" x14ac:dyDescent="0.25">
      <c r="A177" s="199"/>
      <c r="B177" s="72"/>
      <c r="C177" s="42" t="s">
        <v>49</v>
      </c>
      <c r="D177" s="42"/>
      <c r="E177" s="14"/>
      <c r="F177" s="71">
        <v>0</v>
      </c>
      <c r="G177" s="42" t="s">
        <v>50</v>
      </c>
      <c r="H177" s="184">
        <v>0</v>
      </c>
      <c r="I177" s="138" t="e">
        <f>IF(H177="","",VLOOKUP(H177,[1]ENTIDAD!$B$2:$C$605,2,0))</f>
        <v>#N/A</v>
      </c>
      <c r="J177" s="11"/>
      <c r="K177" s="11"/>
      <c r="L177" s="11"/>
      <c r="M177" s="11"/>
      <c r="N177" s="116">
        <f t="shared" si="10"/>
        <v>0</v>
      </c>
      <c r="O177" s="116">
        <f t="shared" si="11"/>
        <v>0</v>
      </c>
      <c r="P177" s="11">
        <v>0</v>
      </c>
      <c r="Q177" s="11"/>
      <c r="R177" s="11"/>
      <c r="S177" s="11"/>
      <c r="T177" s="14"/>
      <c r="U177" s="14"/>
      <c r="V177" s="13"/>
      <c r="W177" s="15"/>
      <c r="X177" s="13"/>
      <c r="Y177" s="14"/>
      <c r="Z177" s="14"/>
      <c r="AA177" s="14"/>
      <c r="AB177" s="42" t="s">
        <v>224</v>
      </c>
      <c r="AC177" s="11"/>
      <c r="AD177" s="33"/>
      <c r="AE177" s="14"/>
      <c r="AF177" s="37"/>
      <c r="AG177" s="14"/>
      <c r="AH177" s="14" t="s">
        <v>225</v>
      </c>
      <c r="AI177" s="14"/>
      <c r="AJ177" s="14"/>
      <c r="AK177" s="16"/>
      <c r="AL177" s="11"/>
      <c r="AM177" s="11"/>
      <c r="AN177" s="14"/>
      <c r="AO177" s="14"/>
      <c r="AP177" s="13"/>
      <c r="AQ177" s="14"/>
      <c r="AR177" s="11">
        <v>18</v>
      </c>
      <c r="AS177" s="14"/>
      <c r="AT177" s="14"/>
      <c r="AU177" s="11"/>
      <c r="AV177" s="14"/>
      <c r="AW177" s="45"/>
    </row>
    <row r="178" spans="1:49" customFormat="1" ht="15" x14ac:dyDescent="0.25">
      <c r="A178" s="199"/>
      <c r="B178" s="13"/>
      <c r="C178" s="42" t="s">
        <v>49</v>
      </c>
      <c r="D178" s="42"/>
      <c r="E178" s="14"/>
      <c r="F178" s="71">
        <v>0</v>
      </c>
      <c r="G178" s="42" t="s">
        <v>50</v>
      </c>
      <c r="H178" s="184">
        <v>0</v>
      </c>
      <c r="I178" s="138" t="e">
        <f>IF(H178="","",VLOOKUP(H178,[1]ENTIDAD!$B$2:$C$605,2,0))</f>
        <v>#N/A</v>
      </c>
      <c r="J178" s="11"/>
      <c r="K178" s="11"/>
      <c r="L178" s="11"/>
      <c r="M178" s="11"/>
      <c r="N178" s="116">
        <f t="shared" si="10"/>
        <v>0</v>
      </c>
      <c r="O178" s="116">
        <f t="shared" si="11"/>
        <v>0</v>
      </c>
      <c r="P178" s="11">
        <v>0</v>
      </c>
      <c r="Q178" s="11"/>
      <c r="R178" s="11"/>
      <c r="S178" s="11"/>
      <c r="T178" s="14"/>
      <c r="U178" s="14"/>
      <c r="V178" s="13"/>
      <c r="W178" s="15"/>
      <c r="X178" s="13"/>
      <c r="Y178" s="14"/>
      <c r="Z178" s="14"/>
      <c r="AA178" s="14"/>
      <c r="AB178" s="42" t="s">
        <v>224</v>
      </c>
      <c r="AC178" s="11"/>
      <c r="AD178" s="46"/>
      <c r="AE178" s="34"/>
      <c r="AF178" s="19"/>
      <c r="AG178" s="14"/>
      <c r="AH178" s="14" t="s">
        <v>225</v>
      </c>
      <c r="AI178" s="14"/>
      <c r="AJ178" s="14"/>
      <c r="AK178" s="16"/>
      <c r="AL178" s="11"/>
      <c r="AM178" s="11"/>
      <c r="AN178" s="14"/>
      <c r="AO178" s="14"/>
      <c r="AP178" s="13"/>
      <c r="AQ178" s="14"/>
      <c r="AR178" s="11">
        <v>18</v>
      </c>
      <c r="AS178" s="14"/>
      <c r="AT178" s="14"/>
      <c r="AU178" s="11"/>
      <c r="AV178" s="14"/>
      <c r="AW178" s="45"/>
    </row>
    <row r="179" spans="1:49" s="45" customFormat="1" ht="15" x14ac:dyDescent="0.25">
      <c r="A179" s="199"/>
      <c r="B179" s="13"/>
      <c r="C179" s="42" t="s">
        <v>49</v>
      </c>
      <c r="D179" s="42"/>
      <c r="E179" s="14"/>
      <c r="F179" s="71">
        <v>0</v>
      </c>
      <c r="G179" s="42" t="s">
        <v>50</v>
      </c>
      <c r="H179" s="184">
        <v>0</v>
      </c>
      <c r="I179" s="138" t="e">
        <f>IF(H179="","",VLOOKUP(H179,[1]ENTIDAD!$B$2:$C$605,2,0))</f>
        <v>#N/A</v>
      </c>
      <c r="J179" s="11"/>
      <c r="K179" s="11"/>
      <c r="L179" s="11"/>
      <c r="M179" s="11"/>
      <c r="N179" s="116">
        <f t="shared" si="10"/>
        <v>0</v>
      </c>
      <c r="O179" s="116">
        <f t="shared" si="11"/>
        <v>0</v>
      </c>
      <c r="P179" s="11">
        <v>0</v>
      </c>
      <c r="Q179" s="11"/>
      <c r="R179" s="11"/>
      <c r="S179" s="11"/>
      <c r="T179" s="14"/>
      <c r="U179" s="14"/>
      <c r="V179" s="13"/>
      <c r="W179" s="15"/>
      <c r="X179" s="13"/>
      <c r="Y179" s="14"/>
      <c r="Z179" s="14"/>
      <c r="AA179" s="14"/>
      <c r="AB179" s="42" t="s">
        <v>224</v>
      </c>
      <c r="AC179" s="11"/>
      <c r="AD179" s="46"/>
      <c r="AE179" s="14"/>
      <c r="AF179" s="19"/>
      <c r="AG179" s="14"/>
      <c r="AH179" s="14" t="s">
        <v>225</v>
      </c>
      <c r="AI179" s="14"/>
      <c r="AJ179" s="14"/>
      <c r="AK179" s="16"/>
      <c r="AL179" s="11"/>
      <c r="AM179" s="11"/>
      <c r="AN179" s="14"/>
      <c r="AO179" s="14"/>
      <c r="AP179" s="13"/>
      <c r="AQ179" s="14"/>
      <c r="AR179" s="11">
        <v>18</v>
      </c>
      <c r="AS179" s="14"/>
      <c r="AT179" s="14"/>
      <c r="AU179" s="11"/>
      <c r="AV179" s="14"/>
    </row>
    <row r="180" spans="1:49" s="45" customFormat="1" ht="15" x14ac:dyDescent="0.25">
      <c r="A180" s="199"/>
      <c r="B180" s="13"/>
      <c r="C180" s="42" t="s">
        <v>300</v>
      </c>
      <c r="D180" s="42"/>
      <c r="E180" s="14"/>
      <c r="F180" s="71">
        <v>0</v>
      </c>
      <c r="G180" s="42" t="s">
        <v>50</v>
      </c>
      <c r="H180" s="184">
        <v>0</v>
      </c>
      <c r="I180" s="138" t="e">
        <f>IF(H180="","",VLOOKUP(H180,[1]ENTIDAD!$B$2:$C$605,2,0))</f>
        <v>#N/A</v>
      </c>
      <c r="J180" s="11"/>
      <c r="K180" s="11"/>
      <c r="L180" s="11"/>
      <c r="M180" s="11"/>
      <c r="N180" s="116">
        <f t="shared" si="10"/>
        <v>0</v>
      </c>
      <c r="O180" s="116">
        <f t="shared" si="11"/>
        <v>0</v>
      </c>
      <c r="P180" s="11">
        <v>0</v>
      </c>
      <c r="Q180" s="11"/>
      <c r="R180" s="11"/>
      <c r="S180" s="11"/>
      <c r="T180" s="14"/>
      <c r="U180" s="14"/>
      <c r="V180" s="13"/>
      <c r="W180" s="15"/>
      <c r="X180" s="13"/>
      <c r="Y180" s="14"/>
      <c r="Z180" s="14"/>
      <c r="AA180" s="14"/>
      <c r="AB180" s="42" t="s">
        <v>224</v>
      </c>
      <c r="AC180" s="11"/>
      <c r="AD180" s="46"/>
      <c r="AE180" s="14"/>
      <c r="AF180" s="19"/>
      <c r="AG180" s="14"/>
      <c r="AH180" s="14" t="s">
        <v>225</v>
      </c>
      <c r="AI180" s="14"/>
      <c r="AJ180" s="14"/>
      <c r="AK180" s="16"/>
      <c r="AL180" s="11"/>
      <c r="AM180" s="11"/>
      <c r="AN180" s="14"/>
      <c r="AO180" s="14"/>
      <c r="AP180" s="13"/>
      <c r="AQ180" s="14"/>
      <c r="AR180" s="11">
        <v>18</v>
      </c>
      <c r="AS180" s="14"/>
      <c r="AT180" s="14"/>
      <c r="AU180" s="11"/>
      <c r="AV180" s="14"/>
    </row>
    <row r="181" spans="1:49" customFormat="1" ht="15" x14ac:dyDescent="0.25">
      <c r="A181" s="199"/>
      <c r="B181" s="13"/>
      <c r="C181" s="42" t="s">
        <v>49</v>
      </c>
      <c r="D181" s="42"/>
      <c r="E181" s="14"/>
      <c r="F181" s="71">
        <v>0</v>
      </c>
      <c r="G181" s="42" t="s">
        <v>50</v>
      </c>
      <c r="H181" s="184">
        <v>0</v>
      </c>
      <c r="I181" s="138" t="e">
        <f>IF(H181="","",VLOOKUP(H181,[1]ENTIDAD!$B$2:$C$605,2,0))</f>
        <v>#N/A</v>
      </c>
      <c r="J181" s="11"/>
      <c r="K181" s="11"/>
      <c r="L181" s="11"/>
      <c r="M181" s="11"/>
      <c r="N181" s="116">
        <f t="shared" si="10"/>
        <v>0</v>
      </c>
      <c r="O181" s="116">
        <f t="shared" si="11"/>
        <v>0</v>
      </c>
      <c r="P181" s="11">
        <v>0</v>
      </c>
      <c r="Q181" s="11"/>
      <c r="R181" s="11"/>
      <c r="S181" s="11"/>
      <c r="T181" s="14"/>
      <c r="U181" s="14"/>
      <c r="V181" s="13"/>
      <c r="W181" s="15"/>
      <c r="X181" s="13"/>
      <c r="Y181" s="14"/>
      <c r="Z181" s="14"/>
      <c r="AA181" s="14"/>
      <c r="AB181" s="42" t="s">
        <v>224</v>
      </c>
      <c r="AC181" s="11"/>
      <c r="AD181" s="46"/>
      <c r="AE181" s="34"/>
      <c r="AF181" s="37"/>
      <c r="AG181" s="14"/>
      <c r="AH181" s="14" t="s">
        <v>225</v>
      </c>
      <c r="AI181" s="14"/>
      <c r="AJ181" s="14"/>
      <c r="AK181" s="16"/>
      <c r="AL181" s="11"/>
      <c r="AM181" s="11"/>
      <c r="AN181" s="14"/>
      <c r="AO181" s="14"/>
      <c r="AP181" s="13"/>
      <c r="AQ181" s="14"/>
      <c r="AR181" s="11">
        <v>18</v>
      </c>
      <c r="AS181" s="14"/>
      <c r="AT181" s="14"/>
      <c r="AU181" s="11"/>
      <c r="AV181" s="14"/>
      <c r="AW181" s="45"/>
    </row>
    <row r="182" spans="1:49" s="133" customFormat="1" ht="15" x14ac:dyDescent="0.25">
      <c r="A182" s="237"/>
      <c r="B182" s="126"/>
      <c r="C182" s="238" t="s">
        <v>49</v>
      </c>
      <c r="D182" s="249"/>
      <c r="E182" s="250"/>
      <c r="F182" s="64">
        <v>0</v>
      </c>
      <c r="G182" s="111" t="s">
        <v>50</v>
      </c>
      <c r="H182" s="235">
        <v>0</v>
      </c>
      <c r="I182" s="138" t="e">
        <f>IF(H182="","",VLOOKUP(H182,[1]ENTIDAD!$B$2:$C$605,2,0))</f>
        <v>#N/A</v>
      </c>
      <c r="J182" s="252"/>
      <c r="K182" s="252"/>
      <c r="L182" s="252"/>
      <c r="M182" s="208"/>
      <c r="N182" s="116">
        <f t="shared" si="10"/>
        <v>0</v>
      </c>
      <c r="O182" s="116">
        <f t="shared" si="11"/>
        <v>0</v>
      </c>
      <c r="P182" s="11">
        <v>0</v>
      </c>
      <c r="Q182" s="208"/>
      <c r="R182" s="208"/>
      <c r="S182" s="208"/>
      <c r="T182" s="127"/>
      <c r="U182" s="127"/>
      <c r="V182" s="126"/>
      <c r="W182" s="207"/>
      <c r="X182" s="126"/>
      <c r="Y182" s="127"/>
      <c r="Z182" s="127"/>
      <c r="AA182" s="127"/>
      <c r="AB182" s="42" t="s">
        <v>224</v>
      </c>
      <c r="AC182" s="208"/>
      <c r="AD182" s="108"/>
      <c r="AE182" s="127"/>
      <c r="AF182" s="128"/>
      <c r="AG182" s="112"/>
      <c r="AH182" s="112" t="s">
        <v>225</v>
      </c>
      <c r="AI182" s="112"/>
      <c r="AJ182" s="112"/>
      <c r="AK182" s="120"/>
      <c r="AL182" s="116"/>
      <c r="AM182" s="116"/>
      <c r="AN182" s="112"/>
      <c r="AO182" s="112"/>
      <c r="AP182" s="109"/>
      <c r="AQ182" s="112"/>
      <c r="AR182" s="116">
        <v>18</v>
      </c>
      <c r="AS182" s="112"/>
      <c r="AT182" s="127"/>
      <c r="AU182" s="208"/>
      <c r="AV182" s="127"/>
    </row>
    <row r="183" spans="1:49" s="45" customFormat="1" ht="15" x14ac:dyDescent="0.25">
      <c r="A183" s="199"/>
      <c r="B183" s="13"/>
      <c r="C183" s="42" t="s">
        <v>49</v>
      </c>
      <c r="D183" s="42"/>
      <c r="E183" s="14"/>
      <c r="F183" s="71">
        <v>0</v>
      </c>
      <c r="G183" s="42" t="s">
        <v>50</v>
      </c>
      <c r="H183" s="184">
        <v>0</v>
      </c>
      <c r="I183" s="138" t="e">
        <f>IF(H183="","",VLOOKUP(H183,[1]ENTIDAD!$B$2:$C$605,2,0))</f>
        <v>#N/A</v>
      </c>
      <c r="J183" s="11"/>
      <c r="K183" s="11"/>
      <c r="L183" s="11"/>
      <c r="M183" s="11"/>
      <c r="N183" s="116">
        <f t="shared" si="10"/>
        <v>0</v>
      </c>
      <c r="O183" s="116">
        <f t="shared" si="11"/>
        <v>0</v>
      </c>
      <c r="P183" s="11">
        <v>0</v>
      </c>
      <c r="Q183" s="11"/>
      <c r="R183" s="11"/>
      <c r="S183" s="11"/>
      <c r="T183" s="14"/>
      <c r="U183" s="14"/>
      <c r="V183" s="13"/>
      <c r="W183" s="15"/>
      <c r="X183" s="13"/>
      <c r="Y183" s="14"/>
      <c r="Z183" s="14"/>
      <c r="AA183" s="14"/>
      <c r="AB183" s="42" t="s">
        <v>224</v>
      </c>
      <c r="AC183" s="11"/>
      <c r="AD183" s="46"/>
      <c r="AE183" s="14"/>
      <c r="AF183" s="19"/>
      <c r="AG183" s="14"/>
      <c r="AH183" s="14" t="s">
        <v>225</v>
      </c>
      <c r="AI183" s="14"/>
      <c r="AJ183" s="14"/>
      <c r="AK183" s="16"/>
      <c r="AL183" s="11"/>
      <c r="AM183" s="11"/>
      <c r="AN183" s="14"/>
      <c r="AO183" s="14"/>
      <c r="AP183" s="13"/>
      <c r="AQ183" s="14"/>
      <c r="AR183" s="11">
        <v>18</v>
      </c>
      <c r="AS183" s="14"/>
      <c r="AT183" s="14"/>
      <c r="AU183" s="11"/>
      <c r="AV183" s="14"/>
    </row>
    <row r="184" spans="1:49" s="45" customFormat="1" ht="15" x14ac:dyDescent="0.25">
      <c r="A184" s="199"/>
      <c r="B184" s="13"/>
      <c r="C184" s="42" t="s">
        <v>49</v>
      </c>
      <c r="D184" s="42"/>
      <c r="E184" s="14"/>
      <c r="F184" s="71">
        <v>0</v>
      </c>
      <c r="G184" s="42" t="s">
        <v>50</v>
      </c>
      <c r="H184" s="184">
        <v>0</v>
      </c>
      <c r="I184" s="138" t="e">
        <f>IF(H184="","",VLOOKUP(H184,[1]ENTIDAD!$B$2:$C$605,2,0))</f>
        <v>#N/A</v>
      </c>
      <c r="J184" s="11"/>
      <c r="K184" s="11"/>
      <c r="L184" s="11"/>
      <c r="M184" s="11"/>
      <c r="N184" s="116">
        <f t="shared" si="10"/>
        <v>0</v>
      </c>
      <c r="O184" s="116">
        <f t="shared" si="11"/>
        <v>0</v>
      </c>
      <c r="P184" s="11">
        <v>0</v>
      </c>
      <c r="Q184" s="11"/>
      <c r="R184" s="11"/>
      <c r="S184" s="11"/>
      <c r="T184" s="14"/>
      <c r="U184" s="14"/>
      <c r="V184" s="13"/>
      <c r="W184" s="15"/>
      <c r="X184" s="13"/>
      <c r="Y184" s="14"/>
      <c r="Z184" s="14"/>
      <c r="AA184" s="14"/>
      <c r="AB184" s="42" t="s">
        <v>224</v>
      </c>
      <c r="AC184" s="11"/>
      <c r="AD184" s="13"/>
      <c r="AE184" s="34"/>
      <c r="AF184" s="19"/>
      <c r="AG184" s="14"/>
      <c r="AH184" s="14" t="s">
        <v>225</v>
      </c>
      <c r="AI184" s="14"/>
      <c r="AJ184" s="14"/>
      <c r="AK184" s="16"/>
      <c r="AL184" s="11"/>
      <c r="AM184" s="11"/>
      <c r="AN184" s="14"/>
      <c r="AO184" s="14"/>
      <c r="AP184" s="13"/>
      <c r="AQ184" s="14"/>
      <c r="AR184" s="11">
        <v>18</v>
      </c>
      <c r="AS184" s="14"/>
      <c r="AT184" s="14"/>
      <c r="AU184" s="11"/>
      <c r="AV184" s="14"/>
    </row>
    <row r="185" spans="1:49" s="45" customFormat="1" ht="15" x14ac:dyDescent="0.25">
      <c r="A185" s="199"/>
      <c r="B185" s="13"/>
      <c r="C185" s="42" t="s">
        <v>49</v>
      </c>
      <c r="D185" s="42"/>
      <c r="E185" s="14"/>
      <c r="F185" s="71">
        <v>0</v>
      </c>
      <c r="G185" s="42" t="s">
        <v>50</v>
      </c>
      <c r="H185" s="184">
        <v>0</v>
      </c>
      <c r="I185" s="138" t="e">
        <f>IF(H185="","",VLOOKUP(H185,[1]ENTIDAD!$B$2:$C$605,2,0))</f>
        <v>#N/A</v>
      </c>
      <c r="J185" s="11"/>
      <c r="K185" s="11"/>
      <c r="L185" s="11"/>
      <c r="M185" s="11"/>
      <c r="N185" s="116">
        <f t="shared" si="10"/>
        <v>0</v>
      </c>
      <c r="O185" s="116">
        <f t="shared" si="11"/>
        <v>0</v>
      </c>
      <c r="P185" s="11">
        <v>0</v>
      </c>
      <c r="Q185" s="11"/>
      <c r="R185" s="11"/>
      <c r="S185" s="11"/>
      <c r="T185" s="14"/>
      <c r="U185" s="14"/>
      <c r="V185" s="13"/>
      <c r="W185" s="15"/>
      <c r="X185" s="13"/>
      <c r="Y185" s="14"/>
      <c r="Z185" s="14"/>
      <c r="AA185" s="14"/>
      <c r="AB185" s="42" t="s">
        <v>224</v>
      </c>
      <c r="AC185" s="11"/>
      <c r="AD185" s="13"/>
      <c r="AE185" s="34"/>
      <c r="AF185" s="19"/>
      <c r="AG185" s="14"/>
      <c r="AH185" s="14" t="s">
        <v>225</v>
      </c>
      <c r="AI185" s="14"/>
      <c r="AJ185" s="14"/>
      <c r="AK185" s="16"/>
      <c r="AL185" s="11"/>
      <c r="AM185" s="11"/>
      <c r="AN185" s="14"/>
      <c r="AO185" s="14"/>
      <c r="AP185" s="13"/>
      <c r="AQ185" s="14"/>
      <c r="AR185" s="11">
        <v>18</v>
      </c>
      <c r="AS185" s="14"/>
      <c r="AT185" s="14"/>
      <c r="AU185" s="11"/>
      <c r="AV185" s="14"/>
    </row>
    <row r="186" spans="1:49" customFormat="1" ht="15" x14ac:dyDescent="0.25">
      <c r="A186" s="201"/>
      <c r="B186" s="141"/>
      <c r="C186" s="141"/>
      <c r="D186" s="141"/>
      <c r="E186" s="141"/>
      <c r="F186" s="141"/>
      <c r="G186" s="141"/>
      <c r="H186" s="141"/>
      <c r="I186" s="141"/>
      <c r="J186" s="142">
        <f>SUM(J4:J70)</f>
        <v>0</v>
      </c>
      <c r="K186" s="142">
        <f>SUM(K4:K70)</f>
        <v>0</v>
      </c>
      <c r="L186" s="142">
        <f>SUM(L4:L70)</f>
        <v>0</v>
      </c>
      <c r="M186" s="142">
        <f>SUM(M4:M70)</f>
        <v>0</v>
      </c>
      <c r="N186" s="142">
        <f>SUM(N4:N185)</f>
        <v>1694.9152542372883</v>
      </c>
      <c r="O186" s="142">
        <f>SUM(O4:O185)</f>
        <v>305.08474576271186</v>
      </c>
      <c r="P186" s="142">
        <f>SUM(P4:P185)</f>
        <v>1927.07</v>
      </c>
      <c r="Q186" s="142">
        <f>SUM(Q4:Q70)</f>
        <v>0</v>
      </c>
      <c r="R186" s="142">
        <f>SUM(R4:R185)</f>
        <v>290</v>
      </c>
      <c r="S186" s="142">
        <f>SUM(S4:S185)</f>
        <v>4217.07</v>
      </c>
      <c r="T186" s="141"/>
      <c r="U186" s="141"/>
      <c r="V186" s="141"/>
      <c r="W186" s="17"/>
      <c r="X186" s="141"/>
      <c r="Y186" s="18"/>
      <c r="Z186" s="18"/>
      <c r="AA186" s="18"/>
      <c r="AB186" s="141"/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141"/>
      <c r="AO186" s="141"/>
      <c r="AP186" s="141"/>
      <c r="AQ186" s="141"/>
      <c r="AR186" s="141"/>
      <c r="AS186" s="141"/>
      <c r="AT186" s="141"/>
      <c r="AU186" s="141"/>
      <c r="AV186" s="141"/>
    </row>
    <row r="188" spans="1:49" x14ac:dyDescent="0.2">
      <c r="H188" s="213"/>
      <c r="I188" s="214"/>
      <c r="P188" s="23"/>
    </row>
    <row r="189" spans="1:49" x14ac:dyDescent="0.2">
      <c r="AR189" s="4"/>
    </row>
  </sheetData>
  <autoFilter ref="A3:AW186" xr:uid="{B4A7D045-FFED-4B57-B5DB-CC3BC4CAB55A}">
    <sortState xmlns:xlrd2="http://schemas.microsoft.com/office/spreadsheetml/2017/richdata2" ref="A6:AW186">
      <sortCondition ref="A3:A186"/>
    </sortState>
  </autoFilter>
  <mergeCells count="39">
    <mergeCell ref="J1:K2"/>
    <mergeCell ref="A1:A3"/>
    <mergeCell ref="B1:B3"/>
    <mergeCell ref="C1:E2"/>
    <mergeCell ref="F1:F3"/>
    <mergeCell ref="G1:I1"/>
    <mergeCell ref="AC1:AC3"/>
    <mergeCell ref="L1:M2"/>
    <mergeCell ref="N1:O2"/>
    <mergeCell ref="P1:P3"/>
    <mergeCell ref="Q1:Q3"/>
    <mergeCell ref="R1:R3"/>
    <mergeCell ref="S1:S3"/>
    <mergeCell ref="T1:T3"/>
    <mergeCell ref="U1:V2"/>
    <mergeCell ref="W1:W3"/>
    <mergeCell ref="X1:AA2"/>
    <mergeCell ref="AB1:AB3"/>
    <mergeCell ref="AE1:AE3"/>
    <mergeCell ref="AF1:AF3"/>
    <mergeCell ref="AG1:AG3"/>
    <mergeCell ref="AH1:AH3"/>
    <mergeCell ref="AI1:AI3"/>
    <mergeCell ref="AV1:AV3"/>
    <mergeCell ref="G2:H2"/>
    <mergeCell ref="I2:I3"/>
    <mergeCell ref="AP1:AP3"/>
    <mergeCell ref="AQ1:AQ3"/>
    <mergeCell ref="AR1:AR3"/>
    <mergeCell ref="AS1:AS3"/>
    <mergeCell ref="AT1:AT3"/>
    <mergeCell ref="AU1:AU3"/>
    <mergeCell ref="AJ1:AJ3"/>
    <mergeCell ref="AK1:AK3"/>
    <mergeCell ref="AL1:AL3"/>
    <mergeCell ref="AM1:AM3"/>
    <mergeCell ref="AN1:AN3"/>
    <mergeCell ref="AO1:AO3"/>
    <mergeCell ref="AD1:AD3"/>
  </mergeCells>
  <conditionalFormatting sqref="F4">
    <cfRule type="duplicateValues" dxfId="140" priority="5"/>
    <cfRule type="duplicateValues" dxfId="139" priority="6"/>
    <cfRule type="duplicateValues" dxfId="138" priority="7"/>
    <cfRule type="duplicateValues" dxfId="137" priority="8"/>
    <cfRule type="duplicateValues" dxfId="136" priority="9"/>
    <cfRule type="duplicateValues" dxfId="135" priority="10"/>
    <cfRule type="duplicateValues" dxfId="134" priority="11"/>
    <cfRule type="duplicateValues" dxfId="133" priority="12"/>
  </conditionalFormatting>
  <conditionalFormatting sqref="F5:F185">
    <cfRule type="duplicateValues" dxfId="132" priority="13"/>
    <cfRule type="duplicateValues" dxfId="131" priority="14"/>
    <cfRule type="duplicateValues" dxfId="130" priority="15"/>
    <cfRule type="duplicateValues" dxfId="129" priority="16"/>
    <cfRule type="duplicateValues" dxfId="128" priority="17"/>
    <cfRule type="duplicateValues" dxfId="127" priority="18"/>
    <cfRule type="duplicateValues" dxfId="126" priority="19"/>
    <cfRule type="duplicateValues" dxfId="125" priority="20"/>
  </conditionalFormatting>
  <conditionalFormatting sqref="F186:F1048576 F1:F3">
    <cfRule type="duplicateValues" dxfId="124" priority="1"/>
  </conditionalFormatting>
  <conditionalFormatting sqref="F186:F1048576">
    <cfRule type="duplicateValues" dxfId="123" priority="2"/>
    <cfRule type="duplicateValues" dxfId="122" priority="3"/>
    <cfRule type="duplicateValues" dxfId="121" priority="4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B1:H411"/>
  <sheetViews>
    <sheetView zoomScale="120" zoomScaleNormal="120" workbookViewId="0">
      <pane ySplit="1" topLeftCell="A2" activePane="bottomLeft" state="frozen"/>
      <selection pane="bottomLeft" activeCell="C15" sqref="C15"/>
    </sheetView>
  </sheetViews>
  <sheetFormatPr baseColWidth="10" defaultRowHeight="12.75" x14ac:dyDescent="0.2"/>
  <cols>
    <col min="1" max="1" width="11.42578125" style="97"/>
    <col min="2" max="2" width="16.5703125" style="160" bestFit="1" customWidth="1"/>
    <col min="3" max="3" width="37.140625" style="97" customWidth="1"/>
    <col min="4" max="4" width="11.42578125" style="97"/>
    <col min="5" max="5" width="1.5703125" style="97" customWidth="1"/>
    <col min="6" max="6" width="8.85546875" style="97" customWidth="1"/>
    <col min="7" max="257" width="11.42578125" style="97"/>
    <col min="258" max="258" width="15.42578125" style="97" bestFit="1" customWidth="1"/>
    <col min="259" max="259" width="77.85546875" style="97" customWidth="1"/>
    <col min="260" max="513" width="11.42578125" style="97"/>
    <col min="514" max="514" width="15.42578125" style="97" bestFit="1" customWidth="1"/>
    <col min="515" max="515" width="77.85546875" style="97" customWidth="1"/>
    <col min="516" max="769" width="11.42578125" style="97"/>
    <col min="770" max="770" width="15.42578125" style="97" bestFit="1" customWidth="1"/>
    <col min="771" max="771" width="77.85546875" style="97" customWidth="1"/>
    <col min="772" max="1025" width="11.42578125" style="97"/>
    <col min="1026" max="1026" width="15.42578125" style="97" bestFit="1" customWidth="1"/>
    <col min="1027" max="1027" width="77.85546875" style="97" customWidth="1"/>
    <col min="1028" max="1281" width="11.42578125" style="97"/>
    <col min="1282" max="1282" width="15.42578125" style="97" bestFit="1" customWidth="1"/>
    <col min="1283" max="1283" width="77.85546875" style="97" customWidth="1"/>
    <col min="1284" max="1537" width="11.42578125" style="97"/>
    <col min="1538" max="1538" width="15.42578125" style="97" bestFit="1" customWidth="1"/>
    <col min="1539" max="1539" width="77.85546875" style="97" customWidth="1"/>
    <col min="1540" max="1793" width="11.42578125" style="97"/>
    <col min="1794" max="1794" width="15.42578125" style="97" bestFit="1" customWidth="1"/>
    <col min="1795" max="1795" width="77.85546875" style="97" customWidth="1"/>
    <col min="1796" max="2049" width="11.42578125" style="97"/>
    <col min="2050" max="2050" width="15.42578125" style="97" bestFit="1" customWidth="1"/>
    <col min="2051" max="2051" width="77.85546875" style="97" customWidth="1"/>
    <col min="2052" max="2305" width="11.42578125" style="97"/>
    <col min="2306" max="2306" width="15.42578125" style="97" bestFit="1" customWidth="1"/>
    <col min="2307" max="2307" width="77.85546875" style="97" customWidth="1"/>
    <col min="2308" max="2561" width="11.42578125" style="97"/>
    <col min="2562" max="2562" width="15.42578125" style="97" bestFit="1" customWidth="1"/>
    <col min="2563" max="2563" width="77.85546875" style="97" customWidth="1"/>
    <col min="2564" max="2817" width="11.42578125" style="97"/>
    <col min="2818" max="2818" width="15.42578125" style="97" bestFit="1" customWidth="1"/>
    <col min="2819" max="2819" width="77.85546875" style="97" customWidth="1"/>
    <col min="2820" max="3073" width="11.42578125" style="97"/>
    <col min="3074" max="3074" width="15.42578125" style="97" bestFit="1" customWidth="1"/>
    <col min="3075" max="3075" width="77.85546875" style="97" customWidth="1"/>
    <col min="3076" max="3329" width="11.42578125" style="97"/>
    <col min="3330" max="3330" width="15.42578125" style="97" bestFit="1" customWidth="1"/>
    <col min="3331" max="3331" width="77.85546875" style="97" customWidth="1"/>
    <col min="3332" max="3585" width="11.42578125" style="97"/>
    <col min="3586" max="3586" width="15.42578125" style="97" bestFit="1" customWidth="1"/>
    <col min="3587" max="3587" width="77.85546875" style="97" customWidth="1"/>
    <col min="3588" max="3841" width="11.42578125" style="97"/>
    <col min="3842" max="3842" width="15.42578125" style="97" bestFit="1" customWidth="1"/>
    <col min="3843" max="3843" width="77.85546875" style="97" customWidth="1"/>
    <col min="3844" max="4097" width="11.42578125" style="97"/>
    <col min="4098" max="4098" width="15.42578125" style="97" bestFit="1" customWidth="1"/>
    <col min="4099" max="4099" width="77.85546875" style="97" customWidth="1"/>
    <col min="4100" max="4353" width="11.42578125" style="97"/>
    <col min="4354" max="4354" width="15.42578125" style="97" bestFit="1" customWidth="1"/>
    <col min="4355" max="4355" width="77.85546875" style="97" customWidth="1"/>
    <col min="4356" max="4609" width="11.42578125" style="97"/>
    <col min="4610" max="4610" width="15.42578125" style="97" bestFit="1" customWidth="1"/>
    <col min="4611" max="4611" width="77.85546875" style="97" customWidth="1"/>
    <col min="4612" max="4865" width="11.42578125" style="97"/>
    <col min="4866" max="4866" width="15.42578125" style="97" bestFit="1" customWidth="1"/>
    <col min="4867" max="4867" width="77.85546875" style="97" customWidth="1"/>
    <col min="4868" max="5121" width="11.42578125" style="97"/>
    <col min="5122" max="5122" width="15.42578125" style="97" bestFit="1" customWidth="1"/>
    <col min="5123" max="5123" width="77.85546875" style="97" customWidth="1"/>
    <col min="5124" max="5377" width="11.42578125" style="97"/>
    <col min="5378" max="5378" width="15.42578125" style="97" bestFit="1" customWidth="1"/>
    <col min="5379" max="5379" width="77.85546875" style="97" customWidth="1"/>
    <col min="5380" max="5633" width="11.42578125" style="97"/>
    <col min="5634" max="5634" width="15.42578125" style="97" bestFit="1" customWidth="1"/>
    <col min="5635" max="5635" width="77.85546875" style="97" customWidth="1"/>
    <col min="5636" max="5889" width="11.42578125" style="97"/>
    <col min="5890" max="5890" width="15.42578125" style="97" bestFit="1" customWidth="1"/>
    <col min="5891" max="5891" width="77.85546875" style="97" customWidth="1"/>
    <col min="5892" max="6145" width="11.42578125" style="97"/>
    <col min="6146" max="6146" width="15.42578125" style="97" bestFit="1" customWidth="1"/>
    <col min="6147" max="6147" width="77.85546875" style="97" customWidth="1"/>
    <col min="6148" max="6401" width="11.42578125" style="97"/>
    <col min="6402" max="6402" width="15.42578125" style="97" bestFit="1" customWidth="1"/>
    <col min="6403" max="6403" width="77.85546875" style="97" customWidth="1"/>
    <col min="6404" max="6657" width="11.42578125" style="97"/>
    <col min="6658" max="6658" width="15.42578125" style="97" bestFit="1" customWidth="1"/>
    <col min="6659" max="6659" width="77.85546875" style="97" customWidth="1"/>
    <col min="6660" max="6913" width="11.42578125" style="97"/>
    <col min="6914" max="6914" width="15.42578125" style="97" bestFit="1" customWidth="1"/>
    <col min="6915" max="6915" width="77.85546875" style="97" customWidth="1"/>
    <col min="6916" max="7169" width="11.42578125" style="97"/>
    <col min="7170" max="7170" width="15.42578125" style="97" bestFit="1" customWidth="1"/>
    <col min="7171" max="7171" width="77.85546875" style="97" customWidth="1"/>
    <col min="7172" max="7425" width="11.42578125" style="97"/>
    <col min="7426" max="7426" width="15.42578125" style="97" bestFit="1" customWidth="1"/>
    <col min="7427" max="7427" width="77.85546875" style="97" customWidth="1"/>
    <col min="7428" max="7681" width="11.42578125" style="97"/>
    <col min="7682" max="7682" width="15.42578125" style="97" bestFit="1" customWidth="1"/>
    <col min="7683" max="7683" width="77.85546875" style="97" customWidth="1"/>
    <col min="7684" max="7937" width="11.42578125" style="97"/>
    <col min="7938" max="7938" width="15.42578125" style="97" bestFit="1" customWidth="1"/>
    <col min="7939" max="7939" width="77.85546875" style="97" customWidth="1"/>
    <col min="7940" max="8193" width="11.42578125" style="97"/>
    <col min="8194" max="8194" width="15.42578125" style="97" bestFit="1" customWidth="1"/>
    <col min="8195" max="8195" width="77.85546875" style="97" customWidth="1"/>
    <col min="8196" max="8449" width="11.42578125" style="97"/>
    <col min="8450" max="8450" width="15.42578125" style="97" bestFit="1" customWidth="1"/>
    <col min="8451" max="8451" width="77.85546875" style="97" customWidth="1"/>
    <col min="8452" max="8705" width="11.42578125" style="97"/>
    <col min="8706" max="8706" width="15.42578125" style="97" bestFit="1" customWidth="1"/>
    <col min="8707" max="8707" width="77.85546875" style="97" customWidth="1"/>
    <col min="8708" max="8961" width="11.42578125" style="97"/>
    <col min="8962" max="8962" width="15.42578125" style="97" bestFit="1" customWidth="1"/>
    <col min="8963" max="8963" width="77.85546875" style="97" customWidth="1"/>
    <col min="8964" max="9217" width="11.42578125" style="97"/>
    <col min="9218" max="9218" width="15.42578125" style="97" bestFit="1" customWidth="1"/>
    <col min="9219" max="9219" width="77.85546875" style="97" customWidth="1"/>
    <col min="9220" max="9473" width="11.42578125" style="97"/>
    <col min="9474" max="9474" width="15.42578125" style="97" bestFit="1" customWidth="1"/>
    <col min="9475" max="9475" width="77.85546875" style="97" customWidth="1"/>
    <col min="9476" max="9729" width="11.42578125" style="97"/>
    <col min="9730" max="9730" width="15.42578125" style="97" bestFit="1" customWidth="1"/>
    <col min="9731" max="9731" width="77.85546875" style="97" customWidth="1"/>
    <col min="9732" max="9985" width="11.42578125" style="97"/>
    <col min="9986" max="9986" width="15.42578125" style="97" bestFit="1" customWidth="1"/>
    <col min="9987" max="9987" width="77.85546875" style="97" customWidth="1"/>
    <col min="9988" max="10241" width="11.42578125" style="97"/>
    <col min="10242" max="10242" width="15.42578125" style="97" bestFit="1" customWidth="1"/>
    <col min="10243" max="10243" width="77.85546875" style="97" customWidth="1"/>
    <col min="10244" max="10497" width="11.42578125" style="97"/>
    <col min="10498" max="10498" width="15.42578125" style="97" bestFit="1" customWidth="1"/>
    <col min="10499" max="10499" width="77.85546875" style="97" customWidth="1"/>
    <col min="10500" max="10753" width="11.42578125" style="97"/>
    <col min="10754" max="10754" width="15.42578125" style="97" bestFit="1" customWidth="1"/>
    <col min="10755" max="10755" width="77.85546875" style="97" customWidth="1"/>
    <col min="10756" max="11009" width="11.42578125" style="97"/>
    <col min="11010" max="11010" width="15.42578125" style="97" bestFit="1" customWidth="1"/>
    <col min="11011" max="11011" width="77.85546875" style="97" customWidth="1"/>
    <col min="11012" max="11265" width="11.42578125" style="97"/>
    <col min="11266" max="11266" width="15.42578125" style="97" bestFit="1" customWidth="1"/>
    <col min="11267" max="11267" width="77.85546875" style="97" customWidth="1"/>
    <col min="11268" max="11521" width="11.42578125" style="97"/>
    <col min="11522" max="11522" width="15.42578125" style="97" bestFit="1" customWidth="1"/>
    <col min="11523" max="11523" width="77.85546875" style="97" customWidth="1"/>
    <col min="11524" max="11777" width="11.42578125" style="97"/>
    <col min="11778" max="11778" width="15.42578125" style="97" bestFit="1" customWidth="1"/>
    <col min="11779" max="11779" width="77.85546875" style="97" customWidth="1"/>
    <col min="11780" max="12033" width="11.42578125" style="97"/>
    <col min="12034" max="12034" width="15.42578125" style="97" bestFit="1" customWidth="1"/>
    <col min="12035" max="12035" width="77.85546875" style="97" customWidth="1"/>
    <col min="12036" max="12289" width="11.42578125" style="97"/>
    <col min="12290" max="12290" width="15.42578125" style="97" bestFit="1" customWidth="1"/>
    <col min="12291" max="12291" width="77.85546875" style="97" customWidth="1"/>
    <col min="12292" max="12545" width="11.42578125" style="97"/>
    <col min="12546" max="12546" width="15.42578125" style="97" bestFit="1" customWidth="1"/>
    <col min="12547" max="12547" width="77.85546875" style="97" customWidth="1"/>
    <col min="12548" max="12801" width="11.42578125" style="97"/>
    <col min="12802" max="12802" width="15.42578125" style="97" bestFit="1" customWidth="1"/>
    <col min="12803" max="12803" width="77.85546875" style="97" customWidth="1"/>
    <col min="12804" max="13057" width="11.42578125" style="97"/>
    <col min="13058" max="13058" width="15.42578125" style="97" bestFit="1" customWidth="1"/>
    <col min="13059" max="13059" width="77.85546875" style="97" customWidth="1"/>
    <col min="13060" max="13313" width="11.42578125" style="97"/>
    <col min="13314" max="13314" width="15.42578125" style="97" bestFit="1" customWidth="1"/>
    <col min="13315" max="13315" width="77.85546875" style="97" customWidth="1"/>
    <col min="13316" max="13569" width="11.42578125" style="97"/>
    <col min="13570" max="13570" width="15.42578125" style="97" bestFit="1" customWidth="1"/>
    <col min="13571" max="13571" width="77.85546875" style="97" customWidth="1"/>
    <col min="13572" max="13825" width="11.42578125" style="97"/>
    <col min="13826" max="13826" width="15.42578125" style="97" bestFit="1" customWidth="1"/>
    <col min="13827" max="13827" width="77.85546875" style="97" customWidth="1"/>
    <col min="13828" max="14081" width="11.42578125" style="97"/>
    <col min="14082" max="14082" width="15.42578125" style="97" bestFit="1" customWidth="1"/>
    <col min="14083" max="14083" width="77.85546875" style="97" customWidth="1"/>
    <col min="14084" max="14337" width="11.42578125" style="97"/>
    <col min="14338" max="14338" width="15.42578125" style="97" bestFit="1" customWidth="1"/>
    <col min="14339" max="14339" width="77.85546875" style="97" customWidth="1"/>
    <col min="14340" max="14593" width="11.42578125" style="97"/>
    <col min="14594" max="14594" width="15.42578125" style="97" bestFit="1" customWidth="1"/>
    <col min="14595" max="14595" width="77.85546875" style="97" customWidth="1"/>
    <col min="14596" max="14849" width="11.42578125" style="97"/>
    <col min="14850" max="14850" width="15.42578125" style="97" bestFit="1" customWidth="1"/>
    <col min="14851" max="14851" width="77.85546875" style="97" customWidth="1"/>
    <col min="14852" max="15105" width="11.42578125" style="97"/>
    <col min="15106" max="15106" width="15.42578125" style="97" bestFit="1" customWidth="1"/>
    <col min="15107" max="15107" width="77.85546875" style="97" customWidth="1"/>
    <col min="15108" max="15361" width="11.42578125" style="97"/>
    <col min="15362" max="15362" width="15.42578125" style="97" bestFit="1" customWidth="1"/>
    <col min="15363" max="15363" width="77.85546875" style="97" customWidth="1"/>
    <col min="15364" max="15617" width="11.42578125" style="97"/>
    <col min="15618" max="15618" width="15.42578125" style="97" bestFit="1" customWidth="1"/>
    <col min="15619" max="15619" width="77.85546875" style="97" customWidth="1"/>
    <col min="15620" max="15873" width="11.42578125" style="97"/>
    <col min="15874" max="15874" width="15.42578125" style="97" bestFit="1" customWidth="1"/>
    <col min="15875" max="15875" width="77.85546875" style="97" customWidth="1"/>
    <col min="15876" max="16129" width="11.42578125" style="97"/>
    <col min="16130" max="16130" width="15.42578125" style="97" bestFit="1" customWidth="1"/>
    <col min="16131" max="16131" width="77.85546875" style="97" customWidth="1"/>
    <col min="16132" max="16384" width="11.42578125" style="97"/>
  </cols>
  <sheetData>
    <row r="1" spans="2:7" x14ac:dyDescent="0.2">
      <c r="B1" s="148" t="s">
        <v>6515</v>
      </c>
      <c r="C1" s="149" t="s">
        <v>6516</v>
      </c>
    </row>
    <row r="2" spans="2:7" x14ac:dyDescent="0.2">
      <c r="B2" s="150">
        <v>20493508645</v>
      </c>
      <c r="C2" s="151" t="s">
        <v>52</v>
      </c>
    </row>
    <row r="3" spans="2:7" x14ac:dyDescent="0.2">
      <c r="B3" s="150">
        <v>20103733015</v>
      </c>
      <c r="C3" s="151" t="s">
        <v>53</v>
      </c>
    </row>
    <row r="4" spans="2:7" x14ac:dyDescent="0.2">
      <c r="B4" s="162" t="s">
        <v>730</v>
      </c>
      <c r="C4" s="163" t="s">
        <v>731</v>
      </c>
    </row>
    <row r="5" spans="2:7" x14ac:dyDescent="0.2">
      <c r="B5" s="150">
        <v>20600782658</v>
      </c>
      <c r="C5" s="151" t="s">
        <v>100</v>
      </c>
      <c r="D5" s="97">
        <v>3.681</v>
      </c>
      <c r="G5" s="97">
        <v>3.4940000000000002</v>
      </c>
    </row>
    <row r="6" spans="2:7" x14ac:dyDescent="0.2">
      <c r="B6" s="150">
        <v>20601158095</v>
      </c>
      <c r="C6" s="151" t="s">
        <v>6459</v>
      </c>
      <c r="D6" s="97">
        <v>3.6030000000000002</v>
      </c>
      <c r="G6" s="97">
        <v>3.5110000000000001</v>
      </c>
    </row>
    <row r="7" spans="2:7" x14ac:dyDescent="0.2">
      <c r="B7" s="150">
        <v>20101973922</v>
      </c>
      <c r="C7" s="151" t="s">
        <v>54</v>
      </c>
      <c r="D7" s="97">
        <v>3.5609999999999999</v>
      </c>
      <c r="G7" s="97">
        <v>3.5019999999999998</v>
      </c>
    </row>
    <row r="8" spans="2:7" x14ac:dyDescent="0.2">
      <c r="B8" s="150">
        <v>20601358892</v>
      </c>
      <c r="C8" s="151" t="s">
        <v>157</v>
      </c>
      <c r="D8" s="97">
        <v>3.4990000000000001</v>
      </c>
      <c r="G8" s="97">
        <v>3.387</v>
      </c>
    </row>
    <row r="9" spans="2:7" x14ac:dyDescent="0.2">
      <c r="B9" s="152">
        <v>20485976028</v>
      </c>
      <c r="C9" s="153" t="s">
        <v>644</v>
      </c>
    </row>
    <row r="10" spans="2:7" x14ac:dyDescent="0.2">
      <c r="B10" s="150">
        <v>20487197671</v>
      </c>
      <c r="C10" s="151" t="s">
        <v>51</v>
      </c>
      <c r="D10" s="97">
        <v>3.4940000000000002</v>
      </c>
      <c r="G10" s="97">
        <v>3.387</v>
      </c>
    </row>
    <row r="11" spans="2:7" x14ac:dyDescent="0.2">
      <c r="B11" s="152">
        <v>20607418790</v>
      </c>
      <c r="C11" s="154" t="s">
        <v>649</v>
      </c>
    </row>
    <row r="12" spans="2:7" x14ac:dyDescent="0.2">
      <c r="B12" s="152">
        <v>10766755777</v>
      </c>
      <c r="C12" s="129" t="s">
        <v>646</v>
      </c>
    </row>
    <row r="13" spans="2:7" x14ac:dyDescent="0.2">
      <c r="B13" s="246">
        <v>20603360401</v>
      </c>
      <c r="C13" s="245" t="s">
        <v>6518</v>
      </c>
    </row>
    <row r="14" spans="2:7" x14ac:dyDescent="0.2">
      <c r="B14" s="211">
        <v>10731429923</v>
      </c>
      <c r="C14" s="212" t="s">
        <v>6462</v>
      </c>
    </row>
    <row r="15" spans="2:7" ht="36" x14ac:dyDescent="0.2">
      <c r="B15" s="253">
        <v>10452311688</v>
      </c>
      <c r="C15" s="254" t="s">
        <v>6526</v>
      </c>
    </row>
    <row r="16" spans="2:7" x14ac:dyDescent="0.2">
      <c r="B16" s="150">
        <v>20568383843</v>
      </c>
      <c r="C16" s="151" t="s">
        <v>101</v>
      </c>
      <c r="D16" s="97">
        <v>3.5110000000000001</v>
      </c>
      <c r="G16" s="97">
        <v>3.3959999999999999</v>
      </c>
    </row>
    <row r="17" spans="2:8" x14ac:dyDescent="0.2">
      <c r="B17" s="244">
        <v>20444766906</v>
      </c>
      <c r="C17" s="245" t="s">
        <v>6517</v>
      </c>
    </row>
    <row r="18" spans="2:8" x14ac:dyDescent="0.2">
      <c r="B18" s="239">
        <v>10712006566</v>
      </c>
      <c r="C18" s="240" t="s">
        <v>6489</v>
      </c>
    </row>
    <row r="19" spans="2:8" x14ac:dyDescent="0.2">
      <c r="B19" s="150">
        <v>20568284276</v>
      </c>
      <c r="C19" s="151" t="s">
        <v>56</v>
      </c>
      <c r="D19" s="97">
        <v>3.5019999999999998</v>
      </c>
      <c r="G19" s="97">
        <v>3.3660000000000001</v>
      </c>
    </row>
    <row r="20" spans="2:8" x14ac:dyDescent="0.2">
      <c r="B20" s="150">
        <v>10205788340</v>
      </c>
      <c r="C20" s="151" t="s">
        <v>55</v>
      </c>
      <c r="D20" s="97">
        <v>3.4950000000000001</v>
      </c>
      <c r="G20" s="97">
        <v>3.3719999999999999</v>
      </c>
    </row>
    <row r="21" spans="2:8" ht="15.75" customHeight="1" x14ac:dyDescent="0.2">
      <c r="B21" s="129" t="s">
        <v>643</v>
      </c>
      <c r="C21" s="154" t="s">
        <v>181</v>
      </c>
    </row>
    <row r="22" spans="2:8" x14ac:dyDescent="0.2">
      <c r="B22" s="150">
        <v>20573848161</v>
      </c>
      <c r="C22" s="151" t="s">
        <v>97</v>
      </c>
      <c r="D22" s="97">
        <v>3.4</v>
      </c>
      <c r="F22" s="155">
        <f>SUM(D5:D47)/33</f>
        <v>3.4218787878787875</v>
      </c>
      <c r="G22" s="97">
        <v>3.391</v>
      </c>
      <c r="H22" s="155">
        <f>SUM(G5:G36)/22</f>
        <v>3.3908636363636364</v>
      </c>
    </row>
    <row r="23" spans="2:8" x14ac:dyDescent="0.2">
      <c r="B23" s="150">
        <v>20568499043</v>
      </c>
      <c r="C23" s="151" t="s">
        <v>96</v>
      </c>
      <c r="D23" s="97">
        <v>3.387</v>
      </c>
      <c r="G23" s="97">
        <v>3.383</v>
      </c>
    </row>
    <row r="24" spans="2:8" x14ac:dyDescent="0.2">
      <c r="B24" s="215">
        <v>10465268803</v>
      </c>
      <c r="C24" s="216" t="s">
        <v>6464</v>
      </c>
    </row>
    <row r="25" spans="2:8" x14ac:dyDescent="0.2">
      <c r="B25" s="150">
        <v>20401441451</v>
      </c>
      <c r="C25" s="151" t="s">
        <v>119</v>
      </c>
      <c r="D25" s="97">
        <v>3.387</v>
      </c>
      <c r="G25" s="97">
        <v>3.3690000000000002</v>
      </c>
    </row>
    <row r="26" spans="2:8" x14ac:dyDescent="0.2">
      <c r="B26" s="150">
        <v>10209964932</v>
      </c>
      <c r="C26" s="151" t="s">
        <v>57</v>
      </c>
      <c r="D26" s="97">
        <v>3.3959999999999999</v>
      </c>
      <c r="G26" s="97">
        <v>3.3690000000000002</v>
      </c>
    </row>
    <row r="27" spans="2:8" x14ac:dyDescent="0.2">
      <c r="B27" s="150">
        <v>10411303468</v>
      </c>
      <c r="C27" s="151" t="s">
        <v>75</v>
      </c>
      <c r="D27" s="97">
        <v>3.3940000000000001</v>
      </c>
      <c r="G27" s="97">
        <v>3.3690000000000002</v>
      </c>
    </row>
    <row r="28" spans="2:8" x14ac:dyDescent="0.2">
      <c r="B28" s="150">
        <v>10473550151</v>
      </c>
      <c r="C28" s="151" t="s">
        <v>58</v>
      </c>
      <c r="D28" s="97">
        <v>3.3980000000000001</v>
      </c>
      <c r="G28" s="97">
        <v>3.3780000000000001</v>
      </c>
    </row>
    <row r="29" spans="2:8" x14ac:dyDescent="0.2">
      <c r="B29" s="150">
        <v>20515620894</v>
      </c>
      <c r="C29" s="151" t="s">
        <v>59</v>
      </c>
      <c r="D29" s="97">
        <v>3.3980000000000001</v>
      </c>
      <c r="G29" s="97">
        <v>3.3719999999999999</v>
      </c>
    </row>
    <row r="30" spans="2:8" x14ac:dyDescent="0.2">
      <c r="B30" s="150">
        <v>20573866909</v>
      </c>
      <c r="C30" s="151" t="s">
        <v>60</v>
      </c>
      <c r="D30" s="97">
        <v>3.3980000000000001</v>
      </c>
      <c r="G30" s="97">
        <v>3.3719999999999999</v>
      </c>
    </row>
    <row r="31" spans="2:8" x14ac:dyDescent="0.2">
      <c r="B31" s="150">
        <v>20129646099</v>
      </c>
      <c r="C31" s="151" t="s">
        <v>61</v>
      </c>
      <c r="D31" s="97">
        <v>3.3980000000000001</v>
      </c>
      <c r="G31" s="97">
        <v>3.3719999999999999</v>
      </c>
    </row>
    <row r="32" spans="2:8" x14ac:dyDescent="0.2">
      <c r="B32" s="150">
        <v>20121876290</v>
      </c>
      <c r="C32" s="151" t="s">
        <v>62</v>
      </c>
      <c r="D32" s="97">
        <v>3.3809999999999998</v>
      </c>
      <c r="G32" s="97">
        <v>3.3719999999999999</v>
      </c>
    </row>
    <row r="33" spans="2:7" x14ac:dyDescent="0.2">
      <c r="B33" s="150">
        <v>20602721133</v>
      </c>
      <c r="C33" s="151" t="s">
        <v>63</v>
      </c>
      <c r="D33" s="97">
        <v>3.38</v>
      </c>
      <c r="G33" s="97">
        <v>3.367</v>
      </c>
    </row>
    <row r="34" spans="2:7" x14ac:dyDescent="0.2">
      <c r="B34" s="150">
        <v>20602347126</v>
      </c>
      <c r="C34" s="151" t="s">
        <v>234</v>
      </c>
      <c r="D34" s="97">
        <v>3.38</v>
      </c>
      <c r="G34" s="97">
        <v>3.359</v>
      </c>
    </row>
    <row r="35" spans="2:7" x14ac:dyDescent="0.2">
      <c r="B35" s="150">
        <v>20568884206</v>
      </c>
      <c r="C35" s="151" t="s">
        <v>158</v>
      </c>
      <c r="D35" s="97">
        <v>3.3660000000000001</v>
      </c>
      <c r="G35" s="97">
        <v>3.359</v>
      </c>
    </row>
    <row r="36" spans="2:7" x14ac:dyDescent="0.2">
      <c r="B36" s="150">
        <v>20602763006</v>
      </c>
      <c r="C36" s="151" t="s">
        <v>64</v>
      </c>
      <c r="D36" s="97">
        <v>3.3660000000000001</v>
      </c>
      <c r="G36" s="97">
        <v>3.3519999999999999</v>
      </c>
    </row>
    <row r="37" spans="2:7" x14ac:dyDescent="0.2">
      <c r="B37" s="150">
        <v>10209850023</v>
      </c>
      <c r="C37" s="151" t="s">
        <v>74</v>
      </c>
      <c r="D37" s="97">
        <v>3.3740000000000001</v>
      </c>
    </row>
    <row r="38" spans="2:7" x14ac:dyDescent="0.2">
      <c r="B38" s="150">
        <v>20541326384</v>
      </c>
      <c r="C38" s="151" t="s">
        <v>159</v>
      </c>
      <c r="D38" s="97">
        <v>3.3719999999999999</v>
      </c>
    </row>
    <row r="39" spans="2:7" x14ac:dyDescent="0.2">
      <c r="B39" s="150">
        <v>10433685721</v>
      </c>
      <c r="C39" s="151" t="s">
        <v>235</v>
      </c>
      <c r="D39" s="97">
        <v>3.391</v>
      </c>
    </row>
    <row r="40" spans="2:7" x14ac:dyDescent="0.2">
      <c r="B40" s="150">
        <v>20485981536</v>
      </c>
      <c r="C40" s="151" t="s">
        <v>102</v>
      </c>
      <c r="D40" s="97">
        <v>3.383</v>
      </c>
    </row>
    <row r="41" spans="2:7" x14ac:dyDescent="0.2">
      <c r="B41" s="150">
        <v>20601285712</v>
      </c>
      <c r="C41" s="151" t="s">
        <v>236</v>
      </c>
      <c r="D41" s="97">
        <v>3.383</v>
      </c>
    </row>
    <row r="42" spans="2:7" x14ac:dyDescent="0.2">
      <c r="B42" s="150">
        <v>10410828184</v>
      </c>
      <c r="C42" s="151" t="s">
        <v>73</v>
      </c>
      <c r="D42" s="97">
        <v>3.383</v>
      </c>
    </row>
    <row r="43" spans="2:7" x14ac:dyDescent="0.2">
      <c r="B43" s="150">
        <v>10210648939</v>
      </c>
      <c r="C43" s="151" t="s">
        <v>72</v>
      </c>
      <c r="D43" s="97">
        <v>3.383</v>
      </c>
    </row>
    <row r="44" spans="2:7" x14ac:dyDescent="0.2">
      <c r="B44" s="150">
        <v>20602507361</v>
      </c>
      <c r="C44" s="151" t="s">
        <v>65</v>
      </c>
      <c r="D44" s="97">
        <v>3.371</v>
      </c>
    </row>
    <row r="45" spans="2:7" x14ac:dyDescent="0.2">
      <c r="B45" s="150">
        <v>20568231580</v>
      </c>
      <c r="C45" s="151" t="s">
        <v>66</v>
      </c>
      <c r="D45" s="97">
        <v>3.3690000000000002</v>
      </c>
    </row>
    <row r="46" spans="2:7" x14ac:dyDescent="0.2">
      <c r="B46" s="150">
        <v>10421947665</v>
      </c>
      <c r="C46" s="151" t="s">
        <v>71</v>
      </c>
      <c r="D46" s="97">
        <v>3.3690000000000002</v>
      </c>
    </row>
    <row r="47" spans="2:7" x14ac:dyDescent="0.2">
      <c r="B47" s="150" t="s">
        <v>67</v>
      </c>
      <c r="C47" s="151" t="s">
        <v>68</v>
      </c>
      <c r="D47" s="97">
        <v>3.3690000000000002</v>
      </c>
    </row>
    <row r="48" spans="2:7" x14ac:dyDescent="0.2">
      <c r="B48" s="150">
        <v>20176231506</v>
      </c>
      <c r="C48" s="151" t="s">
        <v>69</v>
      </c>
    </row>
    <row r="49" spans="2:3" x14ac:dyDescent="0.2">
      <c r="B49" s="150">
        <v>10210135435</v>
      </c>
      <c r="C49" s="151" t="s">
        <v>6504</v>
      </c>
    </row>
    <row r="50" spans="2:3" x14ac:dyDescent="0.2">
      <c r="B50" s="150">
        <v>20281033795</v>
      </c>
      <c r="C50" s="151" t="s">
        <v>70</v>
      </c>
    </row>
    <row r="51" spans="2:3" x14ac:dyDescent="0.2">
      <c r="B51" s="150">
        <v>10199304441</v>
      </c>
      <c r="C51" s="151" t="s">
        <v>94</v>
      </c>
    </row>
    <row r="52" spans="2:3" x14ac:dyDescent="0.2">
      <c r="B52" s="150">
        <v>20517289044</v>
      </c>
      <c r="C52" s="151" t="s">
        <v>76</v>
      </c>
    </row>
    <row r="53" spans="2:3" x14ac:dyDescent="0.2">
      <c r="B53" s="150">
        <v>20602801773</v>
      </c>
      <c r="C53" s="151" t="s">
        <v>77</v>
      </c>
    </row>
    <row r="54" spans="2:3" x14ac:dyDescent="0.2">
      <c r="B54" s="242">
        <v>20516308746</v>
      </c>
      <c r="C54" s="243" t="s">
        <v>6511</v>
      </c>
    </row>
    <row r="55" spans="2:3" x14ac:dyDescent="0.2">
      <c r="B55" s="150">
        <v>10210135435</v>
      </c>
      <c r="C55" s="151" t="s">
        <v>6504</v>
      </c>
    </row>
    <row r="56" spans="2:3" x14ac:dyDescent="0.2">
      <c r="B56" s="150">
        <v>10453242272</v>
      </c>
      <c r="C56" s="151" t="s">
        <v>93</v>
      </c>
    </row>
    <row r="57" spans="2:3" x14ac:dyDescent="0.2">
      <c r="B57" s="150">
        <v>20402317737</v>
      </c>
      <c r="C57" s="151" t="s">
        <v>78</v>
      </c>
    </row>
    <row r="58" spans="2:3" x14ac:dyDescent="0.2">
      <c r="B58" s="150">
        <v>10444646450</v>
      </c>
      <c r="C58" s="151" t="s">
        <v>92</v>
      </c>
    </row>
    <row r="59" spans="2:3" x14ac:dyDescent="0.2">
      <c r="B59" s="150">
        <v>10409430550</v>
      </c>
      <c r="C59" s="151" t="s">
        <v>86</v>
      </c>
    </row>
    <row r="60" spans="2:3" x14ac:dyDescent="0.2">
      <c r="B60" s="150">
        <v>20601012261</v>
      </c>
      <c r="C60" s="151" t="s">
        <v>160</v>
      </c>
    </row>
    <row r="61" spans="2:3" x14ac:dyDescent="0.2">
      <c r="B61" s="150">
        <v>20568028784</v>
      </c>
      <c r="C61" s="151" t="s">
        <v>161</v>
      </c>
    </row>
    <row r="62" spans="2:3" x14ac:dyDescent="0.2">
      <c r="B62" s="150">
        <v>20602783341</v>
      </c>
      <c r="C62" s="151" t="s">
        <v>79</v>
      </c>
    </row>
    <row r="63" spans="2:3" x14ac:dyDescent="0.2">
      <c r="B63" s="150">
        <v>20265681299</v>
      </c>
      <c r="C63" s="151" t="s">
        <v>80</v>
      </c>
    </row>
    <row r="64" spans="2:3" x14ac:dyDescent="0.2">
      <c r="B64" s="150">
        <v>20486549328</v>
      </c>
      <c r="C64" s="151" t="s">
        <v>68</v>
      </c>
    </row>
    <row r="65" spans="2:3" x14ac:dyDescent="0.2">
      <c r="B65" s="150">
        <v>10209953426</v>
      </c>
      <c r="C65" s="151" t="s">
        <v>91</v>
      </c>
    </row>
    <row r="66" spans="2:3" x14ac:dyDescent="0.2">
      <c r="B66" s="150">
        <v>10209911031</v>
      </c>
      <c r="C66" s="151" t="s">
        <v>90</v>
      </c>
    </row>
    <row r="67" spans="2:3" x14ac:dyDescent="0.2">
      <c r="B67" s="150">
        <v>20601135605</v>
      </c>
      <c r="C67" s="151" t="s">
        <v>81</v>
      </c>
    </row>
    <row r="68" spans="2:3" x14ac:dyDescent="0.2">
      <c r="B68" s="150">
        <v>10209949453</v>
      </c>
      <c r="C68" s="151" t="s">
        <v>89</v>
      </c>
    </row>
    <row r="69" spans="2:3" x14ac:dyDescent="0.2">
      <c r="B69" s="150">
        <v>10210107679</v>
      </c>
      <c r="C69" s="151" t="s">
        <v>88</v>
      </c>
    </row>
    <row r="70" spans="2:3" x14ac:dyDescent="0.2">
      <c r="B70" s="150">
        <v>20191889062</v>
      </c>
      <c r="C70" s="151" t="s">
        <v>82</v>
      </c>
    </row>
    <row r="71" spans="2:3" x14ac:dyDescent="0.2">
      <c r="B71" s="150">
        <v>20486556537</v>
      </c>
      <c r="C71" s="151" t="s">
        <v>83</v>
      </c>
    </row>
    <row r="72" spans="2:3" x14ac:dyDescent="0.2">
      <c r="B72" s="150">
        <v>20402406161</v>
      </c>
      <c r="C72" s="151" t="s">
        <v>84</v>
      </c>
    </row>
    <row r="73" spans="2:3" x14ac:dyDescent="0.2">
      <c r="B73" s="150">
        <v>10077461138</v>
      </c>
      <c r="C73" s="151" t="s">
        <v>85</v>
      </c>
    </row>
    <row r="74" spans="2:3" x14ac:dyDescent="0.2">
      <c r="B74" s="150">
        <v>20485887866</v>
      </c>
      <c r="C74" s="151" t="s">
        <v>103</v>
      </c>
    </row>
    <row r="75" spans="2:3" x14ac:dyDescent="0.2">
      <c r="B75" s="150" t="s">
        <v>104</v>
      </c>
      <c r="C75" s="151" t="s">
        <v>105</v>
      </c>
    </row>
    <row r="76" spans="2:3" x14ac:dyDescent="0.2">
      <c r="B76" s="150">
        <v>10209835741</v>
      </c>
      <c r="C76" s="151" t="s">
        <v>112</v>
      </c>
    </row>
    <row r="77" spans="2:3" x14ac:dyDescent="0.2">
      <c r="B77" s="150">
        <v>10448055707</v>
      </c>
      <c r="C77" s="151" t="s">
        <v>106</v>
      </c>
    </row>
    <row r="78" spans="2:3" x14ac:dyDescent="0.2">
      <c r="B78" s="150">
        <v>10209907327</v>
      </c>
      <c r="C78" s="151" t="s">
        <v>107</v>
      </c>
    </row>
    <row r="79" spans="2:3" x14ac:dyDescent="0.2">
      <c r="B79" s="150">
        <v>10209900233</v>
      </c>
      <c r="C79" s="151" t="s">
        <v>108</v>
      </c>
    </row>
    <row r="80" spans="2:3" x14ac:dyDescent="0.2">
      <c r="B80" s="150">
        <v>20600426622</v>
      </c>
      <c r="C80" s="151" t="s">
        <v>162</v>
      </c>
    </row>
    <row r="81" spans="2:3" x14ac:dyDescent="0.2">
      <c r="B81" s="150">
        <v>10410599606</v>
      </c>
      <c r="C81" s="151" t="s">
        <v>95</v>
      </c>
    </row>
    <row r="82" spans="2:3" x14ac:dyDescent="0.2">
      <c r="B82" s="150">
        <v>10404698872</v>
      </c>
      <c r="C82" s="151" t="s">
        <v>98</v>
      </c>
    </row>
    <row r="83" spans="2:3" x14ac:dyDescent="0.2">
      <c r="B83" s="150">
        <v>20568951329</v>
      </c>
      <c r="C83" s="151" t="s">
        <v>109</v>
      </c>
    </row>
    <row r="84" spans="2:3" x14ac:dyDescent="0.2">
      <c r="B84" s="150">
        <v>20600454065</v>
      </c>
      <c r="C84" s="151" t="s">
        <v>110</v>
      </c>
    </row>
    <row r="85" spans="2:3" x14ac:dyDescent="0.2">
      <c r="B85" s="150">
        <v>20600098633</v>
      </c>
      <c r="C85" s="151" t="s">
        <v>111</v>
      </c>
    </row>
    <row r="86" spans="2:3" x14ac:dyDescent="0.2">
      <c r="B86" s="150">
        <v>10410993487</v>
      </c>
      <c r="C86" s="151" t="s">
        <v>6457</v>
      </c>
    </row>
    <row r="87" spans="2:3" x14ac:dyDescent="0.2">
      <c r="B87" s="150">
        <v>20510435452</v>
      </c>
      <c r="C87" s="156" t="s">
        <v>113</v>
      </c>
    </row>
    <row r="88" spans="2:3" x14ac:dyDescent="0.2">
      <c r="B88" s="150">
        <v>10065811061</v>
      </c>
      <c r="C88" s="156" t="s">
        <v>114</v>
      </c>
    </row>
    <row r="89" spans="2:3" x14ac:dyDescent="0.2">
      <c r="B89" s="150">
        <v>10424966172</v>
      </c>
      <c r="C89" s="156" t="s">
        <v>115</v>
      </c>
    </row>
    <row r="90" spans="2:3" x14ac:dyDescent="0.2">
      <c r="B90" s="150">
        <v>10474122617</v>
      </c>
      <c r="C90" s="156" t="s">
        <v>116</v>
      </c>
    </row>
    <row r="91" spans="2:3" x14ac:dyDescent="0.2">
      <c r="B91" s="150">
        <v>10210143837</v>
      </c>
      <c r="C91" s="156" t="s">
        <v>87</v>
      </c>
    </row>
    <row r="92" spans="2:3" x14ac:dyDescent="0.2">
      <c r="B92" s="150">
        <v>20604988129</v>
      </c>
      <c r="C92" s="156" t="s">
        <v>117</v>
      </c>
    </row>
    <row r="93" spans="2:3" x14ac:dyDescent="0.2">
      <c r="B93" s="150">
        <v>10210814545</v>
      </c>
      <c r="C93" s="156" t="s">
        <v>118</v>
      </c>
    </row>
    <row r="94" spans="2:3" x14ac:dyDescent="0.2">
      <c r="B94" s="157">
        <v>10405296905</v>
      </c>
      <c r="C94" s="156" t="s">
        <v>120</v>
      </c>
    </row>
    <row r="95" spans="2:3" x14ac:dyDescent="0.2">
      <c r="B95" s="157">
        <v>20603596481</v>
      </c>
      <c r="C95" s="156" t="s">
        <v>163</v>
      </c>
    </row>
    <row r="96" spans="2:3" x14ac:dyDescent="0.2">
      <c r="B96" s="129" t="s">
        <v>730</v>
      </c>
      <c r="C96" s="154" t="s">
        <v>731</v>
      </c>
    </row>
    <row r="97" spans="2:3" x14ac:dyDescent="0.2">
      <c r="B97" s="157">
        <v>10209903917</v>
      </c>
      <c r="C97" s="156" t="s">
        <v>121</v>
      </c>
    </row>
    <row r="98" spans="2:3" x14ac:dyDescent="0.2">
      <c r="B98" s="157">
        <v>10730114252</v>
      </c>
      <c r="C98" s="156" t="s">
        <v>122</v>
      </c>
    </row>
    <row r="99" spans="2:3" x14ac:dyDescent="0.2">
      <c r="B99" s="150">
        <v>10209828354</v>
      </c>
      <c r="C99" s="156" t="s">
        <v>123</v>
      </c>
    </row>
    <row r="100" spans="2:3" x14ac:dyDescent="0.2">
      <c r="B100" s="157">
        <v>10455245210</v>
      </c>
      <c r="C100" s="156" t="s">
        <v>124</v>
      </c>
    </row>
    <row r="101" spans="2:3" x14ac:dyDescent="0.2">
      <c r="B101" s="157">
        <v>10409802848</v>
      </c>
      <c r="C101" s="156" t="s">
        <v>6458</v>
      </c>
    </row>
    <row r="102" spans="2:3" x14ac:dyDescent="0.2">
      <c r="B102" s="130">
        <v>20568818751</v>
      </c>
      <c r="C102" s="156" t="s">
        <v>125</v>
      </c>
    </row>
    <row r="103" spans="2:3" x14ac:dyDescent="0.2">
      <c r="B103" s="130">
        <v>10432713593</v>
      </c>
      <c r="C103" s="156" t="s">
        <v>126</v>
      </c>
    </row>
    <row r="104" spans="2:3" x14ac:dyDescent="0.2">
      <c r="B104" s="130">
        <v>10411143932</v>
      </c>
      <c r="C104" s="156" t="s">
        <v>127</v>
      </c>
    </row>
    <row r="105" spans="2:3" x14ac:dyDescent="0.2">
      <c r="B105" s="150">
        <v>20100017491</v>
      </c>
      <c r="C105" s="156" t="s">
        <v>128</v>
      </c>
    </row>
    <row r="106" spans="2:3" x14ac:dyDescent="0.2">
      <c r="B106" s="150">
        <v>10428830526</v>
      </c>
      <c r="C106" s="156" t="s">
        <v>129</v>
      </c>
    </row>
    <row r="107" spans="2:3" x14ac:dyDescent="0.2">
      <c r="B107" s="150">
        <v>10199540047</v>
      </c>
      <c r="C107" s="156" t="s">
        <v>130</v>
      </c>
    </row>
    <row r="108" spans="2:3" x14ac:dyDescent="0.2">
      <c r="B108" s="150">
        <v>20452262399</v>
      </c>
      <c r="C108" s="156" t="s">
        <v>131</v>
      </c>
    </row>
    <row r="109" spans="2:3" x14ac:dyDescent="0.2">
      <c r="B109" s="150">
        <v>20444766906</v>
      </c>
      <c r="C109" s="156" t="s">
        <v>132</v>
      </c>
    </row>
    <row r="110" spans="2:3" x14ac:dyDescent="0.2">
      <c r="B110" s="150">
        <v>10287037762</v>
      </c>
      <c r="C110" s="156" t="s">
        <v>140</v>
      </c>
    </row>
    <row r="111" spans="2:3" x14ac:dyDescent="0.2">
      <c r="B111" s="130">
        <v>10232729576</v>
      </c>
      <c r="C111" s="156" t="s">
        <v>133</v>
      </c>
    </row>
    <row r="112" spans="2:3" x14ac:dyDescent="0.2">
      <c r="B112" s="150">
        <v>10423770754</v>
      </c>
      <c r="C112" s="156" t="s">
        <v>134</v>
      </c>
    </row>
    <row r="113" spans="2:3" x14ac:dyDescent="0.2">
      <c r="B113" s="150">
        <v>10450864639</v>
      </c>
      <c r="C113" s="156" t="s">
        <v>233</v>
      </c>
    </row>
    <row r="114" spans="2:3" x14ac:dyDescent="0.2">
      <c r="B114" s="150">
        <v>20555901179</v>
      </c>
      <c r="C114" s="156" t="s">
        <v>135</v>
      </c>
    </row>
    <row r="115" spans="2:3" x14ac:dyDescent="0.2">
      <c r="B115" s="150">
        <v>20602902669</v>
      </c>
      <c r="C115" s="156" t="s">
        <v>136</v>
      </c>
    </row>
    <row r="116" spans="2:3" x14ac:dyDescent="0.2">
      <c r="B116" s="150">
        <v>10232116621</v>
      </c>
      <c r="C116" s="156" t="s">
        <v>137</v>
      </c>
    </row>
    <row r="117" spans="2:3" x14ac:dyDescent="0.2">
      <c r="B117" s="130">
        <v>20486021005</v>
      </c>
      <c r="C117" s="156" t="s">
        <v>164</v>
      </c>
    </row>
    <row r="118" spans="2:3" x14ac:dyDescent="0.2">
      <c r="B118" s="150">
        <v>10232053866</v>
      </c>
      <c r="C118" s="156" t="s">
        <v>139</v>
      </c>
    </row>
    <row r="119" spans="2:3" x14ac:dyDescent="0.2">
      <c r="B119" s="150">
        <v>20132757187</v>
      </c>
      <c r="C119" s="156" t="s">
        <v>165</v>
      </c>
    </row>
    <row r="120" spans="2:3" x14ac:dyDescent="0.2">
      <c r="B120" s="150">
        <v>10209637711</v>
      </c>
      <c r="C120" s="156" t="s">
        <v>138</v>
      </c>
    </row>
    <row r="121" spans="2:3" x14ac:dyDescent="0.2">
      <c r="B121" s="150">
        <v>20202380621</v>
      </c>
      <c r="C121" s="156" t="s">
        <v>141</v>
      </c>
    </row>
    <row r="122" spans="2:3" x14ac:dyDescent="0.2">
      <c r="B122" s="150">
        <v>20393378272</v>
      </c>
      <c r="C122" s="159" t="s">
        <v>142</v>
      </c>
    </row>
    <row r="123" spans="2:3" x14ac:dyDescent="0.2">
      <c r="B123" s="150">
        <v>20394064387</v>
      </c>
      <c r="C123" s="159" t="s">
        <v>143</v>
      </c>
    </row>
    <row r="124" spans="2:3" x14ac:dyDescent="0.2">
      <c r="B124" s="150">
        <v>10431129987</v>
      </c>
      <c r="C124" s="159" t="s">
        <v>144</v>
      </c>
    </row>
    <row r="125" spans="2:3" x14ac:dyDescent="0.2">
      <c r="B125" s="150">
        <v>20393248816</v>
      </c>
      <c r="C125" s="159" t="s">
        <v>145</v>
      </c>
    </row>
    <row r="126" spans="2:3" x14ac:dyDescent="0.2">
      <c r="B126" s="150">
        <v>10444483101</v>
      </c>
      <c r="C126" s="159" t="s">
        <v>146</v>
      </c>
    </row>
    <row r="127" spans="2:3" x14ac:dyDescent="0.2">
      <c r="B127" s="150">
        <v>20568736860</v>
      </c>
      <c r="C127" s="159" t="s">
        <v>147</v>
      </c>
    </row>
    <row r="128" spans="2:3" x14ac:dyDescent="0.2">
      <c r="B128" s="150">
        <v>20604353263</v>
      </c>
      <c r="C128" s="159" t="s">
        <v>148</v>
      </c>
    </row>
    <row r="129" spans="2:3" x14ac:dyDescent="0.2">
      <c r="B129" s="150">
        <v>10806340231</v>
      </c>
      <c r="C129" s="159" t="s">
        <v>169</v>
      </c>
    </row>
    <row r="130" spans="2:3" x14ac:dyDescent="0.2">
      <c r="B130" s="150">
        <v>10000085613</v>
      </c>
      <c r="C130" s="159" t="s">
        <v>168</v>
      </c>
    </row>
    <row r="131" spans="2:3" x14ac:dyDescent="0.2">
      <c r="B131" s="150">
        <v>20568570520</v>
      </c>
      <c r="C131" s="159" t="s">
        <v>99</v>
      </c>
    </row>
    <row r="132" spans="2:3" x14ac:dyDescent="0.2">
      <c r="B132" s="150">
        <v>10062827560</v>
      </c>
      <c r="C132" s="97" t="s">
        <v>167</v>
      </c>
    </row>
    <row r="133" spans="2:3" x14ac:dyDescent="0.2">
      <c r="B133" s="130">
        <v>20603231075</v>
      </c>
      <c r="C133" s="97" t="s">
        <v>166</v>
      </c>
    </row>
    <row r="134" spans="2:3" x14ac:dyDescent="0.2">
      <c r="B134" s="150">
        <v>10402193609</v>
      </c>
      <c r="C134" s="159" t="s">
        <v>149</v>
      </c>
    </row>
    <row r="135" spans="2:3" x14ac:dyDescent="0.2">
      <c r="B135" s="150">
        <v>10434045814</v>
      </c>
      <c r="C135" s="159" t="s">
        <v>150</v>
      </c>
    </row>
    <row r="136" spans="2:3" x14ac:dyDescent="0.2">
      <c r="B136" s="150">
        <v>10437761251</v>
      </c>
      <c r="C136" s="97" t="s">
        <v>151</v>
      </c>
    </row>
    <row r="137" spans="2:3" x14ac:dyDescent="0.2">
      <c r="B137" s="130">
        <v>20568947305</v>
      </c>
      <c r="C137" s="159" t="s">
        <v>152</v>
      </c>
    </row>
    <row r="138" spans="2:3" x14ac:dyDescent="0.2">
      <c r="B138" s="150">
        <v>10209841229</v>
      </c>
      <c r="C138" s="159" t="s">
        <v>153</v>
      </c>
    </row>
    <row r="139" spans="2:3" x14ac:dyDescent="0.2">
      <c r="B139" s="150">
        <v>10464972787</v>
      </c>
      <c r="C139" s="159" t="s">
        <v>232</v>
      </c>
    </row>
    <row r="140" spans="2:3" x14ac:dyDescent="0.2">
      <c r="B140" s="150">
        <v>20600999614</v>
      </c>
      <c r="C140" s="159" t="s">
        <v>154</v>
      </c>
    </row>
    <row r="141" spans="2:3" x14ac:dyDescent="0.2">
      <c r="B141" s="150">
        <v>20444327066</v>
      </c>
      <c r="C141" s="159" t="s">
        <v>155</v>
      </c>
    </row>
    <row r="142" spans="2:3" x14ac:dyDescent="0.2">
      <c r="B142" s="167">
        <v>20418896915</v>
      </c>
      <c r="C142" s="97" t="s">
        <v>156</v>
      </c>
    </row>
    <row r="143" spans="2:3" x14ac:dyDescent="0.2">
      <c r="B143" s="150">
        <v>20402402921</v>
      </c>
      <c r="C143" s="159" t="s">
        <v>170</v>
      </c>
    </row>
    <row r="144" spans="2:3" x14ac:dyDescent="0.2">
      <c r="B144" s="150">
        <v>20600238672</v>
      </c>
      <c r="C144" s="159" t="s">
        <v>172</v>
      </c>
    </row>
    <row r="145" spans="2:3" x14ac:dyDescent="0.2">
      <c r="B145" s="150">
        <v>10429834924</v>
      </c>
      <c r="C145" s="159" t="s">
        <v>171</v>
      </c>
    </row>
    <row r="146" spans="2:3" x14ac:dyDescent="0.2">
      <c r="B146" s="150">
        <v>20444924234</v>
      </c>
      <c r="C146" s="159" t="s">
        <v>173</v>
      </c>
    </row>
    <row r="147" spans="2:3" x14ac:dyDescent="0.2">
      <c r="B147" s="150">
        <v>10405598782</v>
      </c>
      <c r="C147" s="159" t="s">
        <v>174</v>
      </c>
    </row>
    <row r="148" spans="2:3" x14ac:dyDescent="0.2">
      <c r="B148" s="150">
        <v>10413030469</v>
      </c>
      <c r="C148" s="159" t="s">
        <v>175</v>
      </c>
    </row>
    <row r="149" spans="2:3" x14ac:dyDescent="0.2">
      <c r="B149" s="150">
        <v>20604214620</v>
      </c>
      <c r="C149" s="159" t="s">
        <v>176</v>
      </c>
    </row>
    <row r="150" spans="2:3" x14ac:dyDescent="0.2">
      <c r="B150" s="150">
        <v>10424473591</v>
      </c>
      <c r="C150" s="159" t="s">
        <v>177</v>
      </c>
    </row>
    <row r="151" spans="2:3" x14ac:dyDescent="0.2">
      <c r="B151" s="150">
        <v>20568867531</v>
      </c>
      <c r="C151" s="97" t="s">
        <v>178</v>
      </c>
    </row>
    <row r="152" spans="2:3" x14ac:dyDescent="0.2">
      <c r="B152" s="150">
        <v>10485326303</v>
      </c>
      <c r="C152" s="97" t="s">
        <v>179</v>
      </c>
    </row>
    <row r="153" spans="2:3" x14ac:dyDescent="0.2">
      <c r="B153" s="150">
        <v>10475610542</v>
      </c>
      <c r="C153" s="159" t="s">
        <v>180</v>
      </c>
    </row>
    <row r="154" spans="2:3" x14ac:dyDescent="0.2">
      <c r="B154" s="150">
        <v>20267811246</v>
      </c>
      <c r="C154" s="159" t="s">
        <v>182</v>
      </c>
    </row>
    <row r="155" spans="2:3" x14ac:dyDescent="0.2">
      <c r="B155" s="150">
        <v>20487251985</v>
      </c>
      <c r="C155" s="159" t="s">
        <v>181</v>
      </c>
    </row>
    <row r="156" spans="2:3" x14ac:dyDescent="0.2">
      <c r="B156" s="150">
        <v>10200499951</v>
      </c>
      <c r="C156" s="159" t="s">
        <v>183</v>
      </c>
    </row>
    <row r="157" spans="2:3" x14ac:dyDescent="0.2">
      <c r="B157" s="150">
        <v>10422032504</v>
      </c>
      <c r="C157" s="159" t="s">
        <v>184</v>
      </c>
    </row>
    <row r="158" spans="2:3" x14ac:dyDescent="0.2">
      <c r="B158" s="150">
        <v>10443873215</v>
      </c>
      <c r="C158" s="159" t="s">
        <v>185</v>
      </c>
    </row>
    <row r="159" spans="2:3" x14ac:dyDescent="0.2">
      <c r="B159" s="150">
        <v>10209925023</v>
      </c>
      <c r="C159" s="159" t="s">
        <v>205</v>
      </c>
    </row>
    <row r="160" spans="2:3" x14ac:dyDescent="0.2">
      <c r="B160" s="150">
        <v>10209855998</v>
      </c>
      <c r="C160" s="159" t="s">
        <v>206</v>
      </c>
    </row>
    <row r="161" spans="2:3" x14ac:dyDescent="0.2">
      <c r="B161" s="150">
        <v>10198503512</v>
      </c>
      <c r="C161" s="159" t="s">
        <v>207</v>
      </c>
    </row>
    <row r="162" spans="2:3" x14ac:dyDescent="0.2">
      <c r="B162" s="150">
        <v>10444197795</v>
      </c>
      <c r="C162" s="159" t="s">
        <v>208</v>
      </c>
    </row>
    <row r="163" spans="2:3" x14ac:dyDescent="0.2">
      <c r="B163" s="150">
        <v>10338198553</v>
      </c>
      <c r="C163" s="159" t="s">
        <v>210</v>
      </c>
    </row>
    <row r="164" spans="2:3" x14ac:dyDescent="0.2">
      <c r="B164" s="150">
        <v>20601297222</v>
      </c>
      <c r="C164" s="159" t="s">
        <v>211</v>
      </c>
    </row>
    <row r="165" spans="2:3" x14ac:dyDescent="0.2">
      <c r="B165" s="150">
        <v>10200737160</v>
      </c>
      <c r="C165" s="159" t="s">
        <v>212</v>
      </c>
    </row>
    <row r="166" spans="2:3" x14ac:dyDescent="0.2">
      <c r="B166" s="150">
        <v>10433030856</v>
      </c>
      <c r="C166" s="159" t="s">
        <v>219</v>
      </c>
    </row>
    <row r="167" spans="2:3" x14ac:dyDescent="0.2">
      <c r="B167" s="150">
        <v>20541497511</v>
      </c>
      <c r="C167" s="97" t="s">
        <v>213</v>
      </c>
    </row>
    <row r="168" spans="2:3" x14ac:dyDescent="0.2">
      <c r="B168" s="150">
        <v>20568610092</v>
      </c>
      <c r="C168" s="159" t="s">
        <v>214</v>
      </c>
    </row>
    <row r="169" spans="2:3" x14ac:dyDescent="0.2">
      <c r="B169" s="150">
        <v>10733677193</v>
      </c>
      <c r="C169" s="159" t="s">
        <v>215</v>
      </c>
    </row>
    <row r="170" spans="2:3" x14ac:dyDescent="0.2">
      <c r="B170" s="150">
        <v>20418140551</v>
      </c>
      <c r="C170" s="159" t="s">
        <v>218</v>
      </c>
    </row>
    <row r="171" spans="2:3" x14ac:dyDescent="0.2">
      <c r="B171" s="150">
        <v>20573842635</v>
      </c>
      <c r="C171" s="159" t="s">
        <v>217</v>
      </c>
    </row>
    <row r="172" spans="2:3" x14ac:dyDescent="0.2">
      <c r="B172" s="150">
        <v>10238490095</v>
      </c>
      <c r="C172" s="159" t="s">
        <v>220</v>
      </c>
    </row>
    <row r="173" spans="2:3" x14ac:dyDescent="0.2">
      <c r="B173" s="150">
        <v>20552919344</v>
      </c>
      <c r="C173" s="159" t="s">
        <v>222</v>
      </c>
    </row>
    <row r="174" spans="2:3" x14ac:dyDescent="0.2">
      <c r="B174" s="150">
        <v>20604235201</v>
      </c>
      <c r="C174" s="159" t="s">
        <v>223</v>
      </c>
    </row>
    <row r="175" spans="2:3" x14ac:dyDescent="0.2">
      <c r="B175" s="150">
        <v>20486039982</v>
      </c>
      <c r="C175" s="159" t="s">
        <v>244</v>
      </c>
    </row>
    <row r="176" spans="2:3" x14ac:dyDescent="0.2">
      <c r="B176" s="150">
        <v>20393268680</v>
      </c>
      <c r="C176" s="159" t="s">
        <v>226</v>
      </c>
    </row>
    <row r="177" spans="2:3" x14ac:dyDescent="0.2">
      <c r="B177" s="150">
        <v>20568819056</v>
      </c>
      <c r="C177" s="159" t="s">
        <v>227</v>
      </c>
    </row>
    <row r="178" spans="2:3" x14ac:dyDescent="0.2">
      <c r="B178" s="150">
        <v>20573301715</v>
      </c>
      <c r="C178" s="159" t="s">
        <v>228</v>
      </c>
    </row>
    <row r="179" spans="2:3" x14ac:dyDescent="0.2">
      <c r="B179" s="150">
        <v>20545952808</v>
      </c>
      <c r="C179" s="159" t="s">
        <v>229</v>
      </c>
    </row>
    <row r="180" spans="2:3" x14ac:dyDescent="0.2">
      <c r="B180" s="150">
        <v>20512452451</v>
      </c>
      <c r="C180" s="159" t="s">
        <v>230</v>
      </c>
    </row>
    <row r="181" spans="2:3" x14ac:dyDescent="0.2">
      <c r="B181" s="150">
        <v>20523880749</v>
      </c>
      <c r="C181" s="159" t="s">
        <v>231</v>
      </c>
    </row>
    <row r="182" spans="2:3" x14ac:dyDescent="0.2">
      <c r="B182" s="150">
        <v>10103515519</v>
      </c>
      <c r="C182" s="97" t="s">
        <v>237</v>
      </c>
    </row>
    <row r="183" spans="2:3" x14ac:dyDescent="0.2">
      <c r="B183" s="150">
        <v>20505365217</v>
      </c>
      <c r="C183" s="159" t="s">
        <v>238</v>
      </c>
    </row>
    <row r="184" spans="2:3" x14ac:dyDescent="0.2">
      <c r="B184" s="150">
        <v>10209844341</v>
      </c>
      <c r="C184" s="159" t="s">
        <v>239</v>
      </c>
    </row>
    <row r="185" spans="2:3" x14ac:dyDescent="0.2">
      <c r="B185" s="150">
        <v>10210138787</v>
      </c>
      <c r="C185" s="159" t="s">
        <v>240</v>
      </c>
    </row>
    <row r="186" spans="2:3" x14ac:dyDescent="0.2">
      <c r="B186" s="150">
        <v>20603851171</v>
      </c>
      <c r="C186" s="159" t="s">
        <v>241</v>
      </c>
    </row>
    <row r="187" spans="2:3" x14ac:dyDescent="0.2">
      <c r="B187" s="150">
        <v>20602481540</v>
      </c>
      <c r="C187" s="97" t="s">
        <v>242</v>
      </c>
    </row>
    <row r="188" spans="2:3" x14ac:dyDescent="0.2">
      <c r="B188" s="150">
        <v>10708371233</v>
      </c>
      <c r="C188" s="159" t="s">
        <v>243</v>
      </c>
    </row>
    <row r="189" spans="2:3" x14ac:dyDescent="0.2">
      <c r="B189" s="150">
        <v>20486767236</v>
      </c>
      <c r="C189" s="159" t="s">
        <v>245</v>
      </c>
    </row>
    <row r="190" spans="2:3" x14ac:dyDescent="0.2">
      <c r="B190" s="150">
        <v>20100041520</v>
      </c>
      <c r="C190" s="159" t="s">
        <v>246</v>
      </c>
    </row>
    <row r="191" spans="2:3" x14ac:dyDescent="0.2">
      <c r="B191" s="150">
        <v>20568051506</v>
      </c>
      <c r="C191" s="159" t="s">
        <v>247</v>
      </c>
    </row>
    <row r="192" spans="2:3" x14ac:dyDescent="0.2">
      <c r="B192" s="150">
        <v>20112401351</v>
      </c>
      <c r="C192" s="159" t="s">
        <v>248</v>
      </c>
    </row>
    <row r="193" spans="2:3" x14ac:dyDescent="0.2">
      <c r="B193" s="150">
        <v>10105031373</v>
      </c>
      <c r="C193" s="159" t="s">
        <v>250</v>
      </c>
    </row>
    <row r="194" spans="2:3" x14ac:dyDescent="0.2">
      <c r="B194" s="150">
        <v>20512528458</v>
      </c>
      <c r="C194" s="159" t="s">
        <v>251</v>
      </c>
    </row>
    <row r="195" spans="2:3" x14ac:dyDescent="0.2">
      <c r="B195" s="150">
        <v>10453832690</v>
      </c>
      <c r="C195" s="159" t="s">
        <v>249</v>
      </c>
    </row>
    <row r="196" spans="2:3" x14ac:dyDescent="0.2">
      <c r="B196" s="150">
        <v>10200804428</v>
      </c>
      <c r="C196" s="159" t="s">
        <v>252</v>
      </c>
    </row>
    <row r="197" spans="2:3" x14ac:dyDescent="0.2">
      <c r="B197" s="150">
        <v>10719575400</v>
      </c>
      <c r="C197" s="159" t="s">
        <v>253</v>
      </c>
    </row>
    <row r="198" spans="2:3" x14ac:dyDescent="0.2">
      <c r="B198" s="150">
        <v>10482942984</v>
      </c>
      <c r="C198" s="159" t="s">
        <v>254</v>
      </c>
    </row>
    <row r="199" spans="2:3" x14ac:dyDescent="0.2">
      <c r="B199" s="150">
        <v>20601604796</v>
      </c>
      <c r="C199" s="159" t="s">
        <v>255</v>
      </c>
    </row>
    <row r="200" spans="2:3" x14ac:dyDescent="0.2">
      <c r="B200" s="150">
        <v>10418682545</v>
      </c>
      <c r="C200" s="97" t="s">
        <v>256</v>
      </c>
    </row>
    <row r="201" spans="2:3" x14ac:dyDescent="0.2">
      <c r="B201" s="150">
        <v>10210060389</v>
      </c>
      <c r="C201" s="159" t="s">
        <v>257</v>
      </c>
    </row>
    <row r="202" spans="2:3" x14ac:dyDescent="0.2">
      <c r="B202" s="150">
        <v>10206857311</v>
      </c>
      <c r="C202" s="97" t="s">
        <v>258</v>
      </c>
    </row>
    <row r="203" spans="2:3" x14ac:dyDescent="0.2">
      <c r="B203" s="150">
        <v>20100130204</v>
      </c>
      <c r="C203" s="129" t="s">
        <v>259</v>
      </c>
    </row>
    <row r="204" spans="2:3" x14ac:dyDescent="0.2">
      <c r="B204" s="150">
        <v>20601411815</v>
      </c>
      <c r="C204" s="129" t="s">
        <v>260</v>
      </c>
    </row>
    <row r="205" spans="2:3" x14ac:dyDescent="0.2">
      <c r="B205" s="150">
        <v>20607824666</v>
      </c>
      <c r="C205" s="159" t="s">
        <v>264</v>
      </c>
    </row>
    <row r="206" spans="2:3" x14ac:dyDescent="0.2">
      <c r="B206" s="150">
        <v>10479426819</v>
      </c>
      <c r="C206" s="159" t="s">
        <v>265</v>
      </c>
    </row>
    <row r="207" spans="2:3" x14ac:dyDescent="0.2">
      <c r="B207" s="150">
        <v>10411688904</v>
      </c>
      <c r="C207" s="159" t="s">
        <v>266</v>
      </c>
    </row>
    <row r="208" spans="2:3" x14ac:dyDescent="0.2">
      <c r="B208" s="150">
        <v>20524888930</v>
      </c>
      <c r="C208" s="159" t="s">
        <v>267</v>
      </c>
    </row>
    <row r="209" spans="2:3" x14ac:dyDescent="0.2">
      <c r="B209" s="150">
        <v>10722422231</v>
      </c>
      <c r="C209" s="159" t="s">
        <v>268</v>
      </c>
    </row>
    <row r="210" spans="2:3" x14ac:dyDescent="0.2">
      <c r="B210" s="150">
        <v>20605377115</v>
      </c>
      <c r="C210" s="159" t="s">
        <v>269</v>
      </c>
    </row>
    <row r="211" spans="2:3" x14ac:dyDescent="0.2">
      <c r="B211" s="150">
        <v>20507614109</v>
      </c>
      <c r="C211" s="159" t="s">
        <v>270</v>
      </c>
    </row>
    <row r="212" spans="2:3" x14ac:dyDescent="0.2">
      <c r="B212" s="150">
        <v>10704234762</v>
      </c>
      <c r="C212" s="159" t="s">
        <v>271</v>
      </c>
    </row>
    <row r="213" spans="2:3" x14ac:dyDescent="0.2">
      <c r="B213" s="150">
        <v>20498189637</v>
      </c>
      <c r="C213" s="159" t="s">
        <v>272</v>
      </c>
    </row>
    <row r="214" spans="2:3" x14ac:dyDescent="0.2">
      <c r="B214" s="150">
        <v>10207210850</v>
      </c>
      <c r="C214" s="159" t="s">
        <v>273</v>
      </c>
    </row>
    <row r="215" spans="2:3" x14ac:dyDescent="0.2">
      <c r="B215" s="150">
        <v>10209953892</v>
      </c>
      <c r="C215" s="159" t="s">
        <v>274</v>
      </c>
    </row>
    <row r="216" spans="2:3" x14ac:dyDescent="0.2">
      <c r="B216" s="150">
        <v>20541583433</v>
      </c>
      <c r="C216" s="159" t="s">
        <v>275</v>
      </c>
    </row>
    <row r="217" spans="2:3" x14ac:dyDescent="0.2">
      <c r="B217" s="150">
        <v>10463070089</v>
      </c>
      <c r="C217" s="159" t="s">
        <v>276</v>
      </c>
    </row>
    <row r="218" spans="2:3" x14ac:dyDescent="0.2">
      <c r="B218" s="150">
        <v>20600509056</v>
      </c>
      <c r="C218" s="159" t="s">
        <v>277</v>
      </c>
    </row>
    <row r="219" spans="2:3" x14ac:dyDescent="0.2">
      <c r="B219" s="150">
        <v>10209765484</v>
      </c>
      <c r="C219" s="159" t="s">
        <v>278</v>
      </c>
    </row>
    <row r="220" spans="2:3" x14ac:dyDescent="0.2">
      <c r="B220" s="150">
        <v>10411143937</v>
      </c>
      <c r="C220" s="159" t="s">
        <v>279</v>
      </c>
    </row>
    <row r="221" spans="2:3" x14ac:dyDescent="0.2">
      <c r="B221" s="150">
        <v>10417193150</v>
      </c>
      <c r="C221" s="159" t="s">
        <v>280</v>
      </c>
    </row>
    <row r="222" spans="2:3" x14ac:dyDescent="0.2">
      <c r="B222" s="167">
        <v>20606603933</v>
      </c>
      <c r="C222" s="97" t="s">
        <v>281</v>
      </c>
    </row>
    <row r="223" spans="2:3" x14ac:dyDescent="0.2">
      <c r="B223" s="150">
        <v>20565493231</v>
      </c>
      <c r="C223" s="161" t="s">
        <v>282</v>
      </c>
    </row>
    <row r="224" spans="2:3" x14ac:dyDescent="0.2">
      <c r="B224" s="150">
        <v>10209765107</v>
      </c>
      <c r="C224" s="161" t="s">
        <v>263</v>
      </c>
    </row>
    <row r="225" spans="2:3" x14ac:dyDescent="0.2">
      <c r="B225" s="150">
        <v>20609260859</v>
      </c>
      <c r="C225" s="161" t="s">
        <v>283</v>
      </c>
    </row>
    <row r="226" spans="2:3" x14ac:dyDescent="0.2">
      <c r="B226" s="150">
        <v>20602574823</v>
      </c>
      <c r="C226" s="161" t="s">
        <v>284</v>
      </c>
    </row>
    <row r="227" spans="2:3" x14ac:dyDescent="0.2">
      <c r="B227" s="150">
        <v>20600226925</v>
      </c>
      <c r="C227" s="161" t="s">
        <v>285</v>
      </c>
    </row>
    <row r="228" spans="2:3" x14ac:dyDescent="0.2">
      <c r="B228" s="150">
        <v>10414983338</v>
      </c>
      <c r="C228" s="161" t="s">
        <v>286</v>
      </c>
    </row>
    <row r="229" spans="2:3" x14ac:dyDescent="0.2">
      <c r="B229" s="150">
        <v>20601198691</v>
      </c>
      <c r="C229" s="161" t="s">
        <v>261</v>
      </c>
    </row>
    <row r="230" spans="2:3" x14ac:dyDescent="0.2">
      <c r="B230" s="150">
        <v>20605297324</v>
      </c>
      <c r="C230" s="159" t="s">
        <v>287</v>
      </c>
    </row>
    <row r="231" spans="2:3" x14ac:dyDescent="0.2">
      <c r="B231" s="150">
        <v>20100210909</v>
      </c>
      <c r="C231" s="159" t="s">
        <v>288</v>
      </c>
    </row>
    <row r="232" spans="2:3" x14ac:dyDescent="0.2">
      <c r="B232" s="150">
        <v>20134572630</v>
      </c>
      <c r="C232" s="159" t="s">
        <v>289</v>
      </c>
    </row>
    <row r="233" spans="2:3" x14ac:dyDescent="0.2">
      <c r="B233" s="150">
        <v>10209965459</v>
      </c>
      <c r="C233" s="159" t="s">
        <v>290</v>
      </c>
    </row>
    <row r="234" spans="2:3" x14ac:dyDescent="0.2">
      <c r="B234" s="150">
        <v>20605909371</v>
      </c>
      <c r="C234" s="159" t="s">
        <v>291</v>
      </c>
    </row>
    <row r="235" spans="2:3" x14ac:dyDescent="0.2">
      <c r="B235" s="150">
        <v>10447422951</v>
      </c>
      <c r="C235" s="159" t="s">
        <v>293</v>
      </c>
    </row>
    <row r="236" spans="2:3" x14ac:dyDescent="0.2">
      <c r="B236" s="150">
        <v>20568369000</v>
      </c>
      <c r="C236" s="159" t="s">
        <v>295</v>
      </c>
    </row>
    <row r="237" spans="2:3" x14ac:dyDescent="0.2">
      <c r="B237" s="150">
        <v>20432405525</v>
      </c>
      <c r="C237" s="159" t="s">
        <v>731</v>
      </c>
    </row>
    <row r="238" spans="2:3" ht="14.25" x14ac:dyDescent="0.2">
      <c r="B238" s="209">
        <v>10712058159</v>
      </c>
      <c r="C238" s="210" t="s">
        <v>6461</v>
      </c>
    </row>
    <row r="239" spans="2:3" x14ac:dyDescent="0.2">
      <c r="B239" s="150">
        <v>20610269720</v>
      </c>
      <c r="C239" s="159" t="s">
        <v>296</v>
      </c>
    </row>
    <row r="240" spans="2:3" x14ac:dyDescent="0.2">
      <c r="B240" s="150">
        <v>20606134046</v>
      </c>
      <c r="C240" s="159" t="s">
        <v>297</v>
      </c>
    </row>
    <row r="241" spans="2:3" x14ac:dyDescent="0.2">
      <c r="B241" s="150">
        <v>20601740525</v>
      </c>
      <c r="C241" s="159" t="s">
        <v>298</v>
      </c>
    </row>
    <row r="242" spans="2:3" x14ac:dyDescent="0.2">
      <c r="B242" s="150">
        <v>20607840785</v>
      </c>
      <c r="C242" s="159" t="s">
        <v>302</v>
      </c>
    </row>
    <row r="243" spans="2:3" x14ac:dyDescent="0.2">
      <c r="B243" s="150" t="s">
        <v>304</v>
      </c>
      <c r="C243" s="159" t="s">
        <v>303</v>
      </c>
    </row>
    <row r="244" spans="2:3" x14ac:dyDescent="0.2">
      <c r="B244" s="150">
        <v>20600250486</v>
      </c>
      <c r="C244" s="159" t="s">
        <v>305</v>
      </c>
    </row>
    <row r="245" spans="2:3" x14ac:dyDescent="0.2">
      <c r="B245" s="150">
        <v>10206627463</v>
      </c>
      <c r="C245" s="159" t="s">
        <v>306</v>
      </c>
    </row>
    <row r="246" spans="2:3" x14ac:dyDescent="0.2">
      <c r="B246" s="150">
        <v>20232236273</v>
      </c>
      <c r="C246" s="159" t="s">
        <v>307</v>
      </c>
    </row>
    <row r="247" spans="2:3" x14ac:dyDescent="0.2">
      <c r="B247" s="150">
        <v>20608557424</v>
      </c>
      <c r="C247" s="159" t="s">
        <v>309</v>
      </c>
    </row>
    <row r="248" spans="2:3" x14ac:dyDescent="0.2">
      <c r="B248" s="150">
        <v>10210142865</v>
      </c>
      <c r="C248" s="159" t="s">
        <v>310</v>
      </c>
    </row>
    <row r="249" spans="2:3" x14ac:dyDescent="0.2">
      <c r="B249" s="150">
        <v>10409035839</v>
      </c>
      <c r="C249" s="159" t="s">
        <v>311</v>
      </c>
    </row>
    <row r="250" spans="2:3" x14ac:dyDescent="0.2">
      <c r="B250" s="150">
        <v>20608834096</v>
      </c>
      <c r="C250" s="159" t="s">
        <v>312</v>
      </c>
    </row>
    <row r="251" spans="2:3" x14ac:dyDescent="0.2">
      <c r="B251" s="150">
        <v>20568404948</v>
      </c>
      <c r="C251" s="159" t="s">
        <v>313</v>
      </c>
    </row>
    <row r="252" spans="2:3" x14ac:dyDescent="0.2">
      <c r="B252" s="150" t="s">
        <v>315</v>
      </c>
      <c r="C252" s="159" t="s">
        <v>314</v>
      </c>
    </row>
    <row r="253" spans="2:3" x14ac:dyDescent="0.2">
      <c r="B253" s="150">
        <v>10801504723</v>
      </c>
      <c r="C253" s="159" t="s">
        <v>316</v>
      </c>
    </row>
    <row r="254" spans="2:3" x14ac:dyDescent="0.2">
      <c r="B254" s="150">
        <v>10712327419</v>
      </c>
      <c r="C254" s="159" t="s">
        <v>317</v>
      </c>
    </row>
    <row r="255" spans="2:3" x14ac:dyDescent="0.2">
      <c r="B255" s="150" t="s">
        <v>319</v>
      </c>
      <c r="C255" s="159" t="s">
        <v>318</v>
      </c>
    </row>
    <row r="256" spans="2:3" x14ac:dyDescent="0.2">
      <c r="B256" s="150">
        <v>20609733358</v>
      </c>
      <c r="C256" s="159" t="s">
        <v>320</v>
      </c>
    </row>
    <row r="257" spans="2:3" x14ac:dyDescent="0.2">
      <c r="B257" s="150">
        <v>10324812551</v>
      </c>
      <c r="C257" s="159" t="s">
        <v>321</v>
      </c>
    </row>
    <row r="258" spans="2:3" x14ac:dyDescent="0.2">
      <c r="B258" s="150">
        <v>20171714371</v>
      </c>
      <c r="C258" s="159" t="s">
        <v>322</v>
      </c>
    </row>
    <row r="259" spans="2:3" x14ac:dyDescent="0.2">
      <c r="B259" s="150">
        <v>20536557858</v>
      </c>
      <c r="C259" s="159" t="s">
        <v>323</v>
      </c>
    </row>
    <row r="260" spans="2:3" x14ac:dyDescent="0.2">
      <c r="B260" s="150">
        <v>20112072277</v>
      </c>
      <c r="C260" s="159" t="s">
        <v>324</v>
      </c>
    </row>
    <row r="261" spans="2:3" x14ac:dyDescent="0.2">
      <c r="B261" s="150">
        <v>20600095235</v>
      </c>
      <c r="C261" s="159" t="s">
        <v>325</v>
      </c>
    </row>
    <row r="262" spans="2:3" x14ac:dyDescent="0.2">
      <c r="B262" s="150">
        <v>20486949938</v>
      </c>
      <c r="C262" s="159" t="s">
        <v>326</v>
      </c>
    </row>
    <row r="263" spans="2:3" x14ac:dyDescent="0.2">
      <c r="B263" s="150">
        <v>10459656583</v>
      </c>
      <c r="C263" s="159" t="s">
        <v>327</v>
      </c>
    </row>
    <row r="264" spans="2:3" x14ac:dyDescent="0.2">
      <c r="B264" s="150">
        <v>10210138612</v>
      </c>
      <c r="C264" s="159" t="s">
        <v>328</v>
      </c>
    </row>
    <row r="265" spans="2:3" x14ac:dyDescent="0.2">
      <c r="B265" s="150">
        <v>10419754957</v>
      </c>
      <c r="C265" s="159" t="s">
        <v>329</v>
      </c>
    </row>
    <row r="266" spans="2:3" x14ac:dyDescent="0.2">
      <c r="B266" s="150">
        <v>20600493044</v>
      </c>
      <c r="C266" s="159" t="s">
        <v>330</v>
      </c>
    </row>
    <row r="267" spans="2:3" x14ac:dyDescent="0.2">
      <c r="B267" s="150" t="s">
        <v>331</v>
      </c>
      <c r="C267" s="159" t="s">
        <v>332</v>
      </c>
    </row>
    <row r="268" spans="2:3" x14ac:dyDescent="0.2">
      <c r="B268" s="150" t="s">
        <v>333</v>
      </c>
      <c r="C268" s="159" t="s">
        <v>334</v>
      </c>
    </row>
    <row r="269" spans="2:3" x14ac:dyDescent="0.2">
      <c r="B269" s="150">
        <v>20605512373</v>
      </c>
      <c r="C269" s="159" t="s">
        <v>335</v>
      </c>
    </row>
    <row r="270" spans="2:3" x14ac:dyDescent="0.2">
      <c r="B270" s="150">
        <v>10458652622</v>
      </c>
      <c r="C270" s="159" t="s">
        <v>336</v>
      </c>
    </row>
    <row r="271" spans="2:3" x14ac:dyDescent="0.2">
      <c r="B271" s="150">
        <v>20601253608</v>
      </c>
      <c r="C271" s="159" t="s">
        <v>337</v>
      </c>
    </row>
    <row r="272" spans="2:3" x14ac:dyDescent="0.2">
      <c r="B272" s="150">
        <v>20512002090</v>
      </c>
      <c r="C272" s="159" t="s">
        <v>332</v>
      </c>
    </row>
    <row r="273" spans="2:3" x14ac:dyDescent="0.2">
      <c r="B273" s="150">
        <v>20604194211</v>
      </c>
      <c r="C273" s="159" t="s">
        <v>338</v>
      </c>
    </row>
    <row r="274" spans="2:3" x14ac:dyDescent="0.2">
      <c r="B274" s="150">
        <v>20603284080</v>
      </c>
      <c r="C274" s="159" t="s">
        <v>339</v>
      </c>
    </row>
    <row r="275" spans="2:3" x14ac:dyDescent="0.2">
      <c r="B275" s="150">
        <v>10210033896</v>
      </c>
      <c r="C275" s="159" t="s">
        <v>340</v>
      </c>
    </row>
    <row r="276" spans="2:3" x14ac:dyDescent="0.2">
      <c r="B276" s="150">
        <v>10730826813</v>
      </c>
      <c r="C276" s="159" t="s">
        <v>341</v>
      </c>
    </row>
    <row r="277" spans="2:3" x14ac:dyDescent="0.2">
      <c r="B277" s="150">
        <v>20608699351</v>
      </c>
      <c r="C277" s="159" t="s">
        <v>342</v>
      </c>
    </row>
    <row r="278" spans="2:3" x14ac:dyDescent="0.2">
      <c r="B278" s="150">
        <v>10207099720</v>
      </c>
      <c r="C278" s="159" t="s">
        <v>343</v>
      </c>
    </row>
    <row r="279" spans="2:3" x14ac:dyDescent="0.2">
      <c r="B279" s="150">
        <v>20602945333</v>
      </c>
      <c r="C279" s="159" t="s">
        <v>344</v>
      </c>
    </row>
    <row r="280" spans="2:3" x14ac:dyDescent="0.2">
      <c r="B280" s="150">
        <v>20603544171</v>
      </c>
      <c r="C280" s="159" t="s">
        <v>345</v>
      </c>
    </row>
    <row r="281" spans="2:3" x14ac:dyDescent="0.2">
      <c r="B281" s="150">
        <v>20573148429</v>
      </c>
      <c r="C281" s="159" t="s">
        <v>346</v>
      </c>
    </row>
    <row r="282" spans="2:3" x14ac:dyDescent="0.2">
      <c r="B282" s="150" t="s">
        <v>348</v>
      </c>
      <c r="C282" s="159" t="s">
        <v>347</v>
      </c>
    </row>
    <row r="283" spans="2:3" x14ac:dyDescent="0.2">
      <c r="B283" s="150" t="s">
        <v>350</v>
      </c>
      <c r="C283" s="159" t="s">
        <v>349</v>
      </c>
    </row>
    <row r="284" spans="2:3" x14ac:dyDescent="0.2">
      <c r="B284" s="150">
        <v>20547903171</v>
      </c>
      <c r="C284" s="159" t="s">
        <v>351</v>
      </c>
    </row>
    <row r="285" spans="2:3" x14ac:dyDescent="0.2">
      <c r="B285" s="150">
        <v>20609373084</v>
      </c>
      <c r="C285" s="159" t="s">
        <v>352</v>
      </c>
    </row>
    <row r="286" spans="2:3" x14ac:dyDescent="0.2">
      <c r="B286" s="150">
        <v>20601561311</v>
      </c>
      <c r="C286" s="159" t="s">
        <v>353</v>
      </c>
    </row>
    <row r="287" spans="2:3" x14ac:dyDescent="0.2">
      <c r="B287" s="150">
        <v>10053928116</v>
      </c>
      <c r="C287" s="159" t="s">
        <v>355</v>
      </c>
    </row>
    <row r="288" spans="2:3" x14ac:dyDescent="0.2">
      <c r="B288" s="150">
        <v>20458940887</v>
      </c>
      <c r="C288" s="159" t="s">
        <v>356</v>
      </c>
    </row>
    <row r="289" spans="2:3" x14ac:dyDescent="0.2">
      <c r="B289" s="150">
        <v>10224889173</v>
      </c>
      <c r="C289" s="159" t="s">
        <v>357</v>
      </c>
    </row>
    <row r="290" spans="2:3" x14ac:dyDescent="0.2">
      <c r="B290" s="150">
        <v>20609234611</v>
      </c>
      <c r="C290" s="159" t="s">
        <v>358</v>
      </c>
    </row>
    <row r="291" spans="2:3" x14ac:dyDescent="0.2">
      <c r="B291" s="150">
        <v>20541514466</v>
      </c>
      <c r="C291" s="159" t="s">
        <v>359</v>
      </c>
    </row>
    <row r="292" spans="2:3" x14ac:dyDescent="0.2">
      <c r="B292" s="150">
        <v>10701499412</v>
      </c>
      <c r="C292" s="159" t="s">
        <v>360</v>
      </c>
    </row>
    <row r="293" spans="2:3" x14ac:dyDescent="0.2">
      <c r="B293" s="150">
        <v>20601297991</v>
      </c>
      <c r="C293" s="159" t="s">
        <v>361</v>
      </c>
    </row>
    <row r="294" spans="2:3" x14ac:dyDescent="0.2">
      <c r="B294" s="150">
        <v>20569029610</v>
      </c>
      <c r="C294" s="159" t="s">
        <v>362</v>
      </c>
    </row>
    <row r="295" spans="2:3" x14ac:dyDescent="0.2">
      <c r="B295" s="150">
        <v>20600500881</v>
      </c>
      <c r="C295" s="159" t="s">
        <v>363</v>
      </c>
    </row>
    <row r="296" spans="2:3" x14ac:dyDescent="0.2">
      <c r="B296" s="150">
        <v>20518164717</v>
      </c>
      <c r="C296" s="159" t="s">
        <v>364</v>
      </c>
    </row>
    <row r="297" spans="2:3" x14ac:dyDescent="0.2">
      <c r="B297" s="150">
        <v>20604736375</v>
      </c>
      <c r="C297" s="159" t="s">
        <v>365</v>
      </c>
    </row>
    <row r="298" spans="2:3" x14ac:dyDescent="0.2">
      <c r="B298" s="150">
        <v>10469834986</v>
      </c>
      <c r="C298" s="159" t="s">
        <v>366</v>
      </c>
    </row>
    <row r="299" spans="2:3" x14ac:dyDescent="0.2">
      <c r="B299" s="150">
        <v>20606082119</v>
      </c>
      <c r="C299" s="159" t="s">
        <v>367</v>
      </c>
    </row>
    <row r="300" spans="2:3" x14ac:dyDescent="0.2">
      <c r="B300" s="150">
        <v>20100047218</v>
      </c>
      <c r="C300" s="159" t="s">
        <v>354</v>
      </c>
    </row>
    <row r="301" spans="2:3" x14ac:dyDescent="0.2">
      <c r="B301" s="150">
        <v>20341198217</v>
      </c>
      <c r="C301" s="159" t="s">
        <v>368</v>
      </c>
    </row>
    <row r="302" spans="2:3" x14ac:dyDescent="0.2">
      <c r="B302" s="150">
        <v>10061702071</v>
      </c>
      <c r="C302" s="159" t="s">
        <v>369</v>
      </c>
    </row>
    <row r="303" spans="2:3" x14ac:dyDescent="0.2">
      <c r="B303" s="150">
        <v>20600220676</v>
      </c>
      <c r="C303" s="159" t="s">
        <v>370</v>
      </c>
    </row>
    <row r="304" spans="2:3" x14ac:dyDescent="0.2">
      <c r="B304" s="150">
        <v>10200704997</v>
      </c>
      <c r="C304" s="159" t="s">
        <v>371</v>
      </c>
    </row>
    <row r="305" spans="2:3" x14ac:dyDescent="0.2">
      <c r="B305" s="150">
        <v>20602659861</v>
      </c>
      <c r="C305" s="159" t="s">
        <v>372</v>
      </c>
    </row>
    <row r="306" spans="2:3" x14ac:dyDescent="0.2">
      <c r="B306" s="150" t="s">
        <v>374</v>
      </c>
      <c r="C306" s="159" t="s">
        <v>373</v>
      </c>
    </row>
    <row r="307" spans="2:3" x14ac:dyDescent="0.2">
      <c r="B307" s="150" t="s">
        <v>376</v>
      </c>
      <c r="C307" s="159" t="s">
        <v>375</v>
      </c>
    </row>
    <row r="308" spans="2:3" x14ac:dyDescent="0.2">
      <c r="B308" s="150">
        <v>20610466771</v>
      </c>
      <c r="C308" s="159" t="s">
        <v>377</v>
      </c>
    </row>
    <row r="309" spans="2:3" x14ac:dyDescent="0.2">
      <c r="B309" s="150">
        <v>20130200789</v>
      </c>
      <c r="C309" s="159" t="s">
        <v>378</v>
      </c>
    </row>
    <row r="310" spans="2:3" x14ac:dyDescent="0.2">
      <c r="B310" s="150">
        <v>20467737300</v>
      </c>
      <c r="C310" s="159" t="s">
        <v>379</v>
      </c>
    </row>
    <row r="311" spans="2:3" x14ac:dyDescent="0.2">
      <c r="B311" s="150">
        <v>20332970411</v>
      </c>
      <c r="C311" s="159" t="s">
        <v>380</v>
      </c>
    </row>
    <row r="312" spans="2:3" x14ac:dyDescent="0.2">
      <c r="B312" s="150" t="s">
        <v>382</v>
      </c>
      <c r="C312" s="159" t="s">
        <v>381</v>
      </c>
    </row>
    <row r="313" spans="2:3" x14ac:dyDescent="0.2">
      <c r="B313" s="150">
        <v>20610016546</v>
      </c>
      <c r="C313" s="159" t="s">
        <v>384</v>
      </c>
    </row>
    <row r="314" spans="2:3" x14ac:dyDescent="0.2">
      <c r="B314" s="150">
        <v>20127765279</v>
      </c>
      <c r="C314" s="159" t="s">
        <v>385</v>
      </c>
    </row>
    <row r="315" spans="2:3" x14ac:dyDescent="0.2">
      <c r="B315" s="150">
        <v>20503840121</v>
      </c>
      <c r="C315" s="159" t="s">
        <v>386</v>
      </c>
    </row>
    <row r="316" spans="2:3" x14ac:dyDescent="0.2">
      <c r="B316" s="150">
        <v>20609448360</v>
      </c>
      <c r="C316" s="159" t="s">
        <v>387</v>
      </c>
    </row>
    <row r="317" spans="2:3" x14ac:dyDescent="0.2">
      <c r="B317" s="150">
        <v>10209841440</v>
      </c>
      <c r="C317" s="159" t="s">
        <v>391</v>
      </c>
    </row>
    <row r="318" spans="2:3" x14ac:dyDescent="0.2">
      <c r="B318" s="150">
        <v>20112273922</v>
      </c>
      <c r="C318" s="159" t="s">
        <v>392</v>
      </c>
    </row>
    <row r="319" spans="2:3" x14ac:dyDescent="0.2">
      <c r="B319" s="150">
        <v>20607868515</v>
      </c>
      <c r="C319" s="159" t="s">
        <v>393</v>
      </c>
    </row>
    <row r="320" spans="2:3" x14ac:dyDescent="0.2">
      <c r="B320" s="150">
        <v>20608564391</v>
      </c>
      <c r="C320" s="159" t="s">
        <v>394</v>
      </c>
    </row>
    <row r="321" spans="2:3" x14ac:dyDescent="0.2">
      <c r="B321" s="150">
        <v>20444074770</v>
      </c>
      <c r="C321" s="159" t="s">
        <v>395</v>
      </c>
    </row>
    <row r="322" spans="2:3" x14ac:dyDescent="0.2">
      <c r="B322" s="150">
        <v>20611604956</v>
      </c>
      <c r="C322" s="159" t="s">
        <v>396</v>
      </c>
    </row>
    <row r="323" spans="2:3" x14ac:dyDescent="0.2">
      <c r="B323" s="150">
        <v>20516908263</v>
      </c>
      <c r="C323" s="159" t="s">
        <v>397</v>
      </c>
    </row>
    <row r="324" spans="2:3" x14ac:dyDescent="0.2">
      <c r="B324" s="150">
        <v>20610959432</v>
      </c>
      <c r="C324" s="159" t="s">
        <v>398</v>
      </c>
    </row>
    <row r="325" spans="2:3" x14ac:dyDescent="0.2">
      <c r="B325" s="150">
        <v>20609536196</v>
      </c>
      <c r="C325" s="159" t="s">
        <v>399</v>
      </c>
    </row>
    <row r="326" spans="2:3" x14ac:dyDescent="0.2">
      <c r="B326" s="150" t="s">
        <v>401</v>
      </c>
      <c r="C326" s="159" t="s">
        <v>400</v>
      </c>
    </row>
    <row r="327" spans="2:3" x14ac:dyDescent="0.2">
      <c r="B327" s="150" t="s">
        <v>403</v>
      </c>
      <c r="C327" s="159" t="s">
        <v>402</v>
      </c>
    </row>
    <row r="328" spans="2:3" x14ac:dyDescent="0.2">
      <c r="B328" s="150">
        <v>10295965881</v>
      </c>
      <c r="C328" s="159" t="s">
        <v>404</v>
      </c>
    </row>
    <row r="329" spans="2:3" x14ac:dyDescent="0.2">
      <c r="B329" s="150">
        <v>10207070098</v>
      </c>
      <c r="C329" s="159" t="s">
        <v>405</v>
      </c>
    </row>
    <row r="330" spans="2:3" x14ac:dyDescent="0.2">
      <c r="B330" s="150">
        <v>20600014529</v>
      </c>
      <c r="C330" s="159" t="s">
        <v>406</v>
      </c>
    </row>
    <row r="331" spans="2:3" x14ac:dyDescent="0.2">
      <c r="B331" s="150">
        <v>20604975159</v>
      </c>
      <c r="C331" s="159" t="s">
        <v>407</v>
      </c>
    </row>
    <row r="332" spans="2:3" x14ac:dyDescent="0.2">
      <c r="B332" s="150">
        <v>20601744024</v>
      </c>
      <c r="C332" s="159" t="s">
        <v>408</v>
      </c>
    </row>
    <row r="333" spans="2:3" x14ac:dyDescent="0.2">
      <c r="B333" s="150">
        <v>20608879171</v>
      </c>
      <c r="C333" s="159" t="s">
        <v>410</v>
      </c>
    </row>
    <row r="334" spans="2:3" x14ac:dyDescent="0.2">
      <c r="B334" s="150">
        <v>20611910887</v>
      </c>
      <c r="C334" s="159" t="s">
        <v>411</v>
      </c>
    </row>
    <row r="335" spans="2:3" x14ac:dyDescent="0.2">
      <c r="B335" s="150" t="s">
        <v>413</v>
      </c>
      <c r="C335" s="159" t="s">
        <v>412</v>
      </c>
    </row>
    <row r="336" spans="2:3" x14ac:dyDescent="0.2">
      <c r="B336" s="150">
        <v>10235682406</v>
      </c>
      <c r="C336" s="159" t="s">
        <v>414</v>
      </c>
    </row>
    <row r="337" spans="2:3" x14ac:dyDescent="0.2">
      <c r="B337" s="150">
        <v>20610275720</v>
      </c>
      <c r="C337" s="158" t="s">
        <v>415</v>
      </c>
    </row>
    <row r="338" spans="2:3" x14ac:dyDescent="0.2">
      <c r="B338" s="156" t="s">
        <v>416</v>
      </c>
      <c r="C338" s="159" t="s">
        <v>417</v>
      </c>
    </row>
    <row r="339" spans="2:3" x14ac:dyDescent="0.2">
      <c r="B339" s="150">
        <v>10762752447</v>
      </c>
      <c r="C339" s="159" t="s">
        <v>418</v>
      </c>
    </row>
    <row r="340" spans="2:3" x14ac:dyDescent="0.2">
      <c r="B340" s="150">
        <v>10434045814</v>
      </c>
      <c r="C340" s="159" t="s">
        <v>419</v>
      </c>
    </row>
    <row r="341" spans="2:3" x14ac:dyDescent="0.2">
      <c r="B341" s="150">
        <v>10780207545</v>
      </c>
      <c r="C341" s="159" t="s">
        <v>420</v>
      </c>
    </row>
    <row r="342" spans="2:3" x14ac:dyDescent="0.2">
      <c r="B342" s="150">
        <v>10106764510</v>
      </c>
      <c r="C342" s="159" t="s">
        <v>390</v>
      </c>
    </row>
    <row r="343" spans="2:3" x14ac:dyDescent="0.2">
      <c r="B343" s="171">
        <v>20555530090</v>
      </c>
      <c r="C343" s="154" t="s">
        <v>746</v>
      </c>
    </row>
    <row r="344" spans="2:3" x14ac:dyDescent="0.2">
      <c r="B344" s="150">
        <v>20607744531</v>
      </c>
      <c r="C344" s="159" t="s">
        <v>421</v>
      </c>
    </row>
    <row r="345" spans="2:3" x14ac:dyDescent="0.2">
      <c r="B345" s="150">
        <v>10287149358</v>
      </c>
      <c r="C345" s="159" t="s">
        <v>422</v>
      </c>
    </row>
    <row r="346" spans="2:3" x14ac:dyDescent="0.2">
      <c r="B346" s="150">
        <v>10776943041</v>
      </c>
      <c r="C346" s="159" t="s">
        <v>423</v>
      </c>
    </row>
    <row r="347" spans="2:3" x14ac:dyDescent="0.2">
      <c r="B347" s="167">
        <v>20615490548</v>
      </c>
      <c r="C347" s="154" t="s">
        <v>640</v>
      </c>
    </row>
    <row r="348" spans="2:3" x14ac:dyDescent="0.2">
      <c r="B348" s="152">
        <v>20609711923</v>
      </c>
      <c r="C348" s="154" t="s">
        <v>641</v>
      </c>
    </row>
    <row r="349" spans="2:3" x14ac:dyDescent="0.2">
      <c r="B349" s="150">
        <v>20602642748</v>
      </c>
      <c r="C349" s="159" t="s">
        <v>424</v>
      </c>
    </row>
    <row r="350" spans="2:3" x14ac:dyDescent="0.2">
      <c r="B350" s="165">
        <v>20432405525</v>
      </c>
      <c r="C350" s="164" t="s">
        <v>731</v>
      </c>
    </row>
    <row r="351" spans="2:3" x14ac:dyDescent="0.2">
      <c r="B351" s="168">
        <v>10759950751</v>
      </c>
      <c r="C351" s="129" t="s">
        <v>425</v>
      </c>
    </row>
    <row r="352" spans="2:3" x14ac:dyDescent="0.2">
      <c r="B352" s="168">
        <v>10443042691</v>
      </c>
      <c r="C352" s="129" t="s">
        <v>426</v>
      </c>
    </row>
    <row r="353" spans="2:3" x14ac:dyDescent="0.2">
      <c r="B353" s="168" t="s">
        <v>427</v>
      </c>
      <c r="C353" s="159" t="s">
        <v>428</v>
      </c>
    </row>
    <row r="354" spans="2:3" ht="25.5" x14ac:dyDescent="0.2">
      <c r="B354" s="168">
        <v>20486020882</v>
      </c>
      <c r="C354" s="129" t="s">
        <v>429</v>
      </c>
    </row>
    <row r="355" spans="2:3" x14ac:dyDescent="0.2">
      <c r="B355" s="168">
        <v>10718803557</v>
      </c>
      <c r="C355" s="129" t="s">
        <v>430</v>
      </c>
    </row>
    <row r="356" spans="2:3" x14ac:dyDescent="0.2">
      <c r="B356" s="168">
        <v>20467534026</v>
      </c>
      <c r="C356" s="129" t="s">
        <v>349</v>
      </c>
    </row>
    <row r="357" spans="2:3" x14ac:dyDescent="0.2">
      <c r="B357" s="168">
        <v>20387152327</v>
      </c>
      <c r="C357" s="129" t="s">
        <v>431</v>
      </c>
    </row>
    <row r="358" spans="2:3" x14ac:dyDescent="0.2">
      <c r="B358" s="168">
        <v>20447349401</v>
      </c>
      <c r="C358" s="129" t="s">
        <v>432</v>
      </c>
    </row>
    <row r="359" spans="2:3" x14ac:dyDescent="0.2">
      <c r="B359" s="168">
        <v>20113604248</v>
      </c>
      <c r="C359" s="129" t="s">
        <v>433</v>
      </c>
    </row>
    <row r="360" spans="2:3" ht="25.5" x14ac:dyDescent="0.2">
      <c r="B360" s="168">
        <v>20610177353</v>
      </c>
      <c r="C360" s="129" t="s">
        <v>434</v>
      </c>
    </row>
    <row r="361" spans="2:3" x14ac:dyDescent="0.2">
      <c r="B361" s="168">
        <v>20554211454</v>
      </c>
      <c r="C361" s="129" t="s">
        <v>435</v>
      </c>
    </row>
    <row r="362" spans="2:3" ht="25.5" x14ac:dyDescent="0.2">
      <c r="B362" s="168">
        <v>20611417269</v>
      </c>
      <c r="C362" s="129" t="s">
        <v>436</v>
      </c>
    </row>
    <row r="363" spans="2:3" x14ac:dyDescent="0.2">
      <c r="B363" s="168">
        <v>10424115041</v>
      </c>
      <c r="C363" s="129" t="s">
        <v>437</v>
      </c>
    </row>
    <row r="364" spans="2:3" x14ac:dyDescent="0.2">
      <c r="B364" s="168">
        <v>10205908892</v>
      </c>
      <c r="C364" s="129" t="s">
        <v>438</v>
      </c>
    </row>
    <row r="365" spans="2:3" ht="51" x14ac:dyDescent="0.2">
      <c r="B365" s="168">
        <v>20602109225</v>
      </c>
      <c r="C365" s="129" t="s">
        <v>443</v>
      </c>
    </row>
    <row r="366" spans="2:3" x14ac:dyDescent="0.2">
      <c r="B366" s="150">
        <v>20611526572</v>
      </c>
      <c r="C366" s="129" t="s">
        <v>445</v>
      </c>
    </row>
    <row r="367" spans="2:3" ht="38.25" x14ac:dyDescent="0.2">
      <c r="B367" s="150">
        <v>20608936638</v>
      </c>
      <c r="C367" s="129" t="s">
        <v>446</v>
      </c>
    </row>
    <row r="368" spans="2:3" ht="25.5" x14ac:dyDescent="0.2">
      <c r="B368" s="150">
        <v>20602508545</v>
      </c>
      <c r="C368" s="129" t="s">
        <v>447</v>
      </c>
    </row>
    <row r="369" spans="2:3" ht="25.5" x14ac:dyDescent="0.2">
      <c r="B369" s="150">
        <v>20401954831</v>
      </c>
      <c r="C369" s="129" t="s">
        <v>448</v>
      </c>
    </row>
    <row r="370" spans="2:3" ht="38.25" x14ac:dyDescent="0.2">
      <c r="B370" s="150">
        <v>20486118009</v>
      </c>
      <c r="C370" s="129" t="s">
        <v>449</v>
      </c>
    </row>
    <row r="371" spans="2:3" x14ac:dyDescent="0.2">
      <c r="B371" s="150">
        <v>20568968051</v>
      </c>
      <c r="C371" s="129" t="s">
        <v>450</v>
      </c>
    </row>
    <row r="372" spans="2:3" x14ac:dyDescent="0.2">
      <c r="B372" s="169">
        <v>20604475237</v>
      </c>
      <c r="C372" s="129" t="s">
        <v>452</v>
      </c>
    </row>
    <row r="373" spans="2:3" ht="25.5" x14ac:dyDescent="0.2">
      <c r="B373" s="169">
        <v>10774243203</v>
      </c>
      <c r="C373" s="129" t="s">
        <v>453</v>
      </c>
    </row>
    <row r="374" spans="2:3" ht="25.5" x14ac:dyDescent="0.2">
      <c r="B374" s="169">
        <v>20606549386</v>
      </c>
      <c r="C374" s="129" t="s">
        <v>454</v>
      </c>
    </row>
    <row r="375" spans="2:3" ht="19.5" customHeight="1" x14ac:dyDescent="0.2">
      <c r="B375" s="169">
        <v>20600512693</v>
      </c>
      <c r="C375" s="129" t="s">
        <v>455</v>
      </c>
    </row>
    <row r="376" spans="2:3" ht="25.5" x14ac:dyDescent="0.2">
      <c r="B376" s="150">
        <v>10733619207</v>
      </c>
      <c r="C376" s="129" t="s">
        <v>457</v>
      </c>
    </row>
    <row r="377" spans="2:3" x14ac:dyDescent="0.2">
      <c r="B377" s="169">
        <v>10209955861</v>
      </c>
      <c r="C377" s="129" t="s">
        <v>458</v>
      </c>
    </row>
    <row r="378" spans="2:3" x14ac:dyDescent="0.2">
      <c r="B378" s="169">
        <v>10461012847</v>
      </c>
      <c r="C378" s="129" t="s">
        <v>459</v>
      </c>
    </row>
    <row r="379" spans="2:3" ht="25.5" x14ac:dyDescent="0.2">
      <c r="B379" s="169">
        <v>10464736498</v>
      </c>
      <c r="C379" s="129" t="s">
        <v>460</v>
      </c>
    </row>
    <row r="380" spans="2:3" ht="25.5" x14ac:dyDescent="0.2">
      <c r="B380" s="169">
        <v>20601908752</v>
      </c>
      <c r="C380" s="129" t="s">
        <v>461</v>
      </c>
    </row>
    <row r="381" spans="2:3" ht="25.5" x14ac:dyDescent="0.2">
      <c r="B381" s="169">
        <v>20486339510</v>
      </c>
      <c r="C381" s="129" t="s">
        <v>462</v>
      </c>
    </row>
    <row r="382" spans="2:3" ht="25.5" x14ac:dyDescent="0.2">
      <c r="B382" s="169">
        <v>20600049861</v>
      </c>
      <c r="C382" s="129" t="s">
        <v>463</v>
      </c>
    </row>
    <row r="383" spans="2:3" x14ac:dyDescent="0.2">
      <c r="B383" s="169">
        <v>20130200789</v>
      </c>
      <c r="C383" s="129" t="s">
        <v>378</v>
      </c>
    </row>
    <row r="384" spans="2:3" x14ac:dyDescent="0.2">
      <c r="B384" s="169">
        <v>20568786379</v>
      </c>
      <c r="C384" s="129" t="s">
        <v>464</v>
      </c>
    </row>
    <row r="385" spans="2:3" x14ac:dyDescent="0.2">
      <c r="B385" s="150">
        <v>20100118760</v>
      </c>
      <c r="C385" s="129" t="s">
        <v>466</v>
      </c>
    </row>
    <row r="386" spans="2:3" ht="25.5" x14ac:dyDescent="0.2">
      <c r="B386" s="150">
        <v>20319734733</v>
      </c>
      <c r="C386" s="129" t="s">
        <v>467</v>
      </c>
    </row>
    <row r="387" spans="2:3" x14ac:dyDescent="0.2">
      <c r="B387" s="169">
        <v>20605836144</v>
      </c>
      <c r="C387" s="129" t="s">
        <v>468</v>
      </c>
    </row>
    <row r="388" spans="2:3" ht="25.5" x14ac:dyDescent="0.2">
      <c r="B388" s="169">
        <v>20611936606</v>
      </c>
      <c r="C388" s="129" t="s">
        <v>469</v>
      </c>
    </row>
    <row r="389" spans="2:3" ht="25.5" x14ac:dyDescent="0.2">
      <c r="B389" s="152" t="s">
        <v>471</v>
      </c>
      <c r="C389" s="129" t="s">
        <v>470</v>
      </c>
    </row>
    <row r="390" spans="2:3" ht="25.5" x14ac:dyDescent="0.2">
      <c r="B390" s="170">
        <v>20613928830</v>
      </c>
      <c r="C390" s="129" t="s">
        <v>470</v>
      </c>
    </row>
    <row r="391" spans="2:3" ht="51" x14ac:dyDescent="0.2">
      <c r="B391" s="170">
        <v>20606198656</v>
      </c>
      <c r="C391" s="129" t="s">
        <v>472</v>
      </c>
    </row>
    <row r="392" spans="2:3" x14ac:dyDescent="0.2">
      <c r="B392" s="169">
        <v>10726508190</v>
      </c>
      <c r="C392" s="129" t="s">
        <v>473</v>
      </c>
    </row>
    <row r="393" spans="2:3" x14ac:dyDescent="0.2">
      <c r="B393" s="169">
        <v>10465499333</v>
      </c>
      <c r="C393" s="129" t="s">
        <v>474</v>
      </c>
    </row>
    <row r="394" spans="2:3" x14ac:dyDescent="0.2">
      <c r="B394" s="169">
        <v>10607553730</v>
      </c>
      <c r="C394" s="129" t="s">
        <v>475</v>
      </c>
    </row>
    <row r="395" spans="2:3" ht="25.5" x14ac:dyDescent="0.2">
      <c r="B395" s="169">
        <v>10097845668</v>
      </c>
      <c r="C395" s="129" t="s">
        <v>476</v>
      </c>
    </row>
    <row r="396" spans="2:3" x14ac:dyDescent="0.2">
      <c r="B396" s="169">
        <v>10733910921</v>
      </c>
      <c r="C396" s="129" t="s">
        <v>477</v>
      </c>
    </row>
    <row r="397" spans="2:3" x14ac:dyDescent="0.2">
      <c r="B397" s="169">
        <v>20610275045</v>
      </c>
      <c r="C397" s="129" t="s">
        <v>478</v>
      </c>
    </row>
    <row r="398" spans="2:3" ht="25.5" x14ac:dyDescent="0.2">
      <c r="B398" s="169">
        <v>20485903811</v>
      </c>
      <c r="C398" s="129" t="s">
        <v>479</v>
      </c>
    </row>
    <row r="399" spans="2:3" x14ac:dyDescent="0.2">
      <c r="B399" s="169">
        <v>20568909128</v>
      </c>
      <c r="C399" s="129" t="s">
        <v>480</v>
      </c>
    </row>
    <row r="400" spans="2:3" x14ac:dyDescent="0.2">
      <c r="B400" s="169">
        <v>10412104035</v>
      </c>
      <c r="C400" s="129" t="s">
        <v>483</v>
      </c>
    </row>
    <row r="401" spans="2:5" ht="18.75" customHeight="1" x14ac:dyDescent="0.2">
      <c r="B401" s="169">
        <v>20609348268</v>
      </c>
      <c r="C401" s="129" t="s">
        <v>481</v>
      </c>
    </row>
    <row r="402" spans="2:5" ht="25.5" x14ac:dyDescent="0.2">
      <c r="B402" s="167">
        <v>20612090778</v>
      </c>
      <c r="C402" s="129" t="s">
        <v>482</v>
      </c>
    </row>
    <row r="403" spans="2:5" x14ac:dyDescent="0.2">
      <c r="B403" s="169">
        <v>20568685424</v>
      </c>
      <c r="C403" s="97" t="s">
        <v>484</v>
      </c>
    </row>
    <row r="404" spans="2:5" x14ac:dyDescent="0.2">
      <c r="B404" s="167">
        <v>10733892469</v>
      </c>
      <c r="C404" s="129" t="s">
        <v>570</v>
      </c>
    </row>
    <row r="405" spans="2:5" ht="38.25" x14ac:dyDescent="0.2">
      <c r="B405" s="167">
        <v>20609912651</v>
      </c>
      <c r="C405" s="129" t="s">
        <v>571</v>
      </c>
    </row>
    <row r="406" spans="2:5" x14ac:dyDescent="0.2">
      <c r="B406" s="167">
        <v>20508647311</v>
      </c>
      <c r="C406" s="129" t="s">
        <v>591</v>
      </c>
    </row>
    <row r="407" spans="2:5" x14ac:dyDescent="0.2">
      <c r="B407" s="169">
        <v>20611975491</v>
      </c>
      <c r="C407" s="129" t="s">
        <v>611</v>
      </c>
    </row>
    <row r="408" spans="2:5" x14ac:dyDescent="0.2">
      <c r="B408" s="167">
        <v>10434454501</v>
      </c>
      <c r="C408" s="129" t="s">
        <v>612</v>
      </c>
    </row>
    <row r="409" spans="2:5" x14ac:dyDescent="0.2">
      <c r="B409" s="169">
        <v>20541377612</v>
      </c>
      <c r="C409" s="129" t="s">
        <v>614</v>
      </c>
      <c r="E409" s="97">
        <f>SUM(D401:D432)/33</f>
        <v>0</v>
      </c>
    </row>
    <row r="410" spans="2:5" x14ac:dyDescent="0.2">
      <c r="B410" s="169">
        <v>10446330441</v>
      </c>
      <c r="C410" s="129" t="s">
        <v>631</v>
      </c>
    </row>
    <row r="411" spans="2:5" ht="25.5" x14ac:dyDescent="0.2">
      <c r="B411" s="167">
        <v>20319194798</v>
      </c>
      <c r="C411" s="129" t="s">
        <v>633</v>
      </c>
    </row>
  </sheetData>
  <autoFilter ref="B1:C1" xr:uid="{0D2F1ADF-402C-4791-9162-D3BB22697DDC}"/>
  <conditionalFormatting sqref="B48:B49">
    <cfRule type="duplicateValues" dxfId="120" priority="25"/>
    <cfRule type="duplicateValues" dxfId="119" priority="19"/>
    <cfRule type="duplicateValues" dxfId="118" priority="20"/>
    <cfRule type="duplicateValues" dxfId="117" priority="21"/>
    <cfRule type="duplicateValues" dxfId="116" priority="22"/>
    <cfRule type="duplicateValues" dxfId="115" priority="23"/>
    <cfRule type="duplicateValues" dxfId="114" priority="24"/>
    <cfRule type="duplicateValues" dxfId="113" priority="27"/>
    <cfRule type="duplicateValues" dxfId="112" priority="26"/>
  </conditionalFormatting>
  <conditionalFormatting sqref="B50 B22:B23 B3 B10 B16 B5:B8 B25:B47 B19:B20">
    <cfRule type="duplicateValues" dxfId="111" priority="8714"/>
    <cfRule type="duplicateValues" dxfId="110" priority="8713"/>
    <cfRule type="duplicateValues" dxfId="109" priority="8712"/>
    <cfRule type="duplicateValues" dxfId="108" priority="8711"/>
    <cfRule type="duplicateValues" dxfId="107" priority="8710"/>
    <cfRule type="duplicateValues" dxfId="106" priority="8709"/>
  </conditionalFormatting>
  <conditionalFormatting sqref="B55">
    <cfRule type="duplicateValues" dxfId="105" priority="2"/>
    <cfRule type="duplicateValues" dxfId="104" priority="3"/>
    <cfRule type="duplicateValues" dxfId="103" priority="4"/>
    <cfRule type="duplicateValues" dxfId="102" priority="5"/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"/>
  </conditionalFormatting>
  <conditionalFormatting sqref="B64:B73">
    <cfRule type="duplicateValues" dxfId="96" priority="2283"/>
    <cfRule type="duplicateValues" dxfId="95" priority="2281"/>
  </conditionalFormatting>
  <conditionalFormatting sqref="B74">
    <cfRule type="duplicateValues" dxfId="94" priority="1855"/>
    <cfRule type="duplicateValues" dxfId="93" priority="1856"/>
  </conditionalFormatting>
  <conditionalFormatting sqref="B75">
    <cfRule type="duplicateValues" dxfId="92" priority="154"/>
    <cfRule type="duplicateValues" dxfId="91" priority="153"/>
    <cfRule type="duplicateValues" dxfId="90" priority="152"/>
    <cfRule type="duplicateValues" dxfId="89" priority="151"/>
    <cfRule type="duplicateValues" dxfId="88" priority="150"/>
    <cfRule type="duplicateValues" dxfId="87" priority="149"/>
  </conditionalFormatting>
  <conditionalFormatting sqref="B151">
    <cfRule type="duplicateValues" dxfId="86" priority="142"/>
    <cfRule type="duplicateValues" dxfId="85" priority="141"/>
    <cfRule type="duplicateValues" dxfId="84" priority="140"/>
    <cfRule type="duplicateValues" dxfId="83" priority="139"/>
    <cfRule type="duplicateValues" dxfId="82" priority="138"/>
    <cfRule type="duplicateValues" dxfId="81" priority="137"/>
  </conditionalFormatting>
  <conditionalFormatting sqref="B152:B154">
    <cfRule type="duplicateValues" dxfId="80" priority="134"/>
    <cfRule type="duplicateValues" dxfId="79" priority="135"/>
    <cfRule type="duplicateValues" dxfId="78" priority="136"/>
    <cfRule type="duplicateValues" dxfId="77" priority="131"/>
    <cfRule type="duplicateValues" dxfId="76" priority="132"/>
    <cfRule type="duplicateValues" dxfId="75" priority="133"/>
  </conditionalFormatting>
  <conditionalFormatting sqref="B167">
    <cfRule type="duplicateValues" dxfId="74" priority="128"/>
    <cfRule type="duplicateValues" dxfId="73" priority="126"/>
    <cfRule type="duplicateValues" dxfId="72" priority="125"/>
    <cfRule type="duplicateValues" dxfId="71" priority="130"/>
    <cfRule type="duplicateValues" dxfId="70" priority="129"/>
    <cfRule type="duplicateValues" dxfId="69" priority="127"/>
  </conditionalFormatting>
  <conditionalFormatting sqref="B175:B181 B139">
    <cfRule type="duplicateValues" dxfId="68" priority="2175"/>
    <cfRule type="duplicateValues" dxfId="67" priority="2174"/>
  </conditionalFormatting>
  <conditionalFormatting sqref="B182">
    <cfRule type="duplicateValues" dxfId="66" priority="115"/>
    <cfRule type="duplicateValues" dxfId="65" priority="117"/>
    <cfRule type="duplicateValues" dxfId="64" priority="116"/>
  </conditionalFormatting>
  <conditionalFormatting sqref="B187">
    <cfRule type="duplicateValues" dxfId="63" priority="114"/>
    <cfRule type="duplicateValues" dxfId="62" priority="113"/>
    <cfRule type="duplicateValues" dxfId="61" priority="112"/>
    <cfRule type="duplicateValues" dxfId="60" priority="111"/>
    <cfRule type="duplicateValues" dxfId="59" priority="110"/>
    <cfRule type="duplicateValues" dxfId="58" priority="109"/>
  </conditionalFormatting>
  <conditionalFormatting sqref="B200">
    <cfRule type="duplicateValues" dxfId="57" priority="104"/>
    <cfRule type="duplicateValues" dxfId="56" priority="103"/>
    <cfRule type="duplicateValues" dxfId="55" priority="106"/>
    <cfRule type="duplicateValues" dxfId="54" priority="107"/>
    <cfRule type="duplicateValues" dxfId="53" priority="108"/>
    <cfRule type="duplicateValues" dxfId="52" priority="105"/>
  </conditionalFormatting>
  <conditionalFormatting sqref="B202">
    <cfRule type="duplicateValues" dxfId="51" priority="99"/>
    <cfRule type="duplicateValues" dxfId="50" priority="98"/>
    <cfRule type="duplicateValues" dxfId="49" priority="97"/>
    <cfRule type="duplicateValues" dxfId="48" priority="101"/>
    <cfRule type="duplicateValues" dxfId="47" priority="100"/>
    <cfRule type="duplicateValues" dxfId="46" priority="102"/>
  </conditionalFormatting>
  <conditionalFormatting sqref="B203:B204">
    <cfRule type="duplicateValues" dxfId="45" priority="96"/>
    <cfRule type="duplicateValues" dxfId="44" priority="95"/>
    <cfRule type="duplicateValues" dxfId="43" priority="94"/>
    <cfRule type="duplicateValues" dxfId="42" priority="93"/>
    <cfRule type="duplicateValues" dxfId="41" priority="92"/>
    <cfRule type="duplicateValues" dxfId="40" priority="91"/>
    <cfRule type="duplicateValues" dxfId="39" priority="90"/>
  </conditionalFormatting>
  <conditionalFormatting sqref="B205:B211 B183:B186 B155:B166 B188:B199 B201 B223:B236 B2 B134:B135 B138 B143:B150 B76:B93 B51:B53 B99 B106:B110 B112:B116 B118:B131 B168:B174 B140:B141 B213:B221 B239:B240 B56:B63">
    <cfRule type="duplicateValues" dxfId="38" priority="3401"/>
  </conditionalFormatting>
  <conditionalFormatting sqref="B205:B211 B183:B186 B155:B166 B188:B199 B201 B223:B236 B2 B134:B135 B138 B143:B150 B76:B93 B51:B53 B99 B106:B110 B112:B116 B118:B131 B168:B174 B140:B141 B213:B221 B239:B241 B56:B63">
    <cfRule type="duplicateValues" dxfId="37" priority="3441"/>
  </conditionalFormatting>
  <conditionalFormatting sqref="B205:B211 B183:B186 B155:B166 B188:B199 B201 B223:B236 B2 B134:B135 B138 B143:B150 B76:B93 B51:B53 B99 B106:B110 B112:B116 B118:B131 B168:B174 B140:B141 B213:B221 B239:B242 B56:B63">
    <cfRule type="duplicateValues" dxfId="36" priority="3309"/>
  </conditionalFormatting>
  <conditionalFormatting sqref="B205:B211 B183:B186 B155:B166 B188:B199 B201 B223:B236 B2 B134:B135 B138 B143:B150 B76:B93 B51:B53 B99 B106:B110 B112:B116 B118:B131 B168:B174 B140:B141 B213:B221 B239:B245 B56:B63">
    <cfRule type="duplicateValues" dxfId="35" priority="3481"/>
  </conditionalFormatting>
  <conditionalFormatting sqref="B212">
    <cfRule type="duplicateValues" dxfId="34" priority="80"/>
    <cfRule type="duplicateValues" dxfId="33" priority="78"/>
    <cfRule type="duplicateValues" dxfId="32" priority="76"/>
    <cfRule type="duplicateValues" dxfId="31" priority="77"/>
    <cfRule type="duplicateValues" dxfId="30" priority="79"/>
    <cfRule type="duplicateValues" dxfId="29" priority="81"/>
    <cfRule type="duplicateValues" dxfId="28" priority="74"/>
    <cfRule type="duplicateValues" dxfId="27" priority="75"/>
  </conditionalFormatting>
  <conditionalFormatting sqref="B237">
    <cfRule type="duplicateValues" dxfId="26" priority="43"/>
    <cfRule type="duplicateValues" dxfId="25" priority="42"/>
    <cfRule type="duplicateValues" dxfId="24" priority="41"/>
    <cfRule type="duplicateValues" dxfId="23" priority="40"/>
    <cfRule type="duplicateValues" dxfId="22" priority="48"/>
    <cfRule type="duplicateValues" dxfId="21" priority="47"/>
    <cfRule type="duplicateValues" dxfId="20" priority="46"/>
    <cfRule type="duplicateValues" dxfId="19" priority="45"/>
    <cfRule type="duplicateValues" dxfId="18" priority="44"/>
  </conditionalFormatting>
  <conditionalFormatting sqref="B339:B340">
    <cfRule type="duplicateValues" dxfId="17" priority="60"/>
    <cfRule type="duplicateValues" dxfId="16" priority="59"/>
    <cfRule type="duplicateValues" dxfId="15" priority="61"/>
    <cfRule type="duplicateValues" dxfId="14" priority="58"/>
  </conditionalFormatting>
  <conditionalFormatting sqref="B341 B205:B211 B183:B186 B155:B166 B188:B199 B201 B223:B236 B2 B134:B135 B138 B143:B150 B76:B93 B51:B53 B99 B106:B110 B112:B116 B118:B131 B168:B174 B140:B141 B213:B221 B239:B336 B56:B63">
    <cfRule type="duplicateValues" dxfId="13" priority="4825"/>
  </conditionalFormatting>
  <conditionalFormatting sqref="B349 B342 B344:B346">
    <cfRule type="duplicateValues" dxfId="12" priority="54"/>
    <cfRule type="duplicateValues" dxfId="11" priority="55"/>
    <cfRule type="duplicateValues" dxfId="10" priority="56"/>
    <cfRule type="duplicateValues" dxfId="9" priority="57"/>
  </conditionalFormatting>
  <conditionalFormatting sqref="B366:B370 B341 B205:B211 B183:B186 B155:B166 B188:B199 B201 B223:B236 B2 B134:B135 B138 B143:B150 B76:B93 B51:B53 B99 B106:B110 B112:B116 B118:B131 B168:B174 B140:B141 B213:B221 B239:B336 B56:B63">
    <cfRule type="duplicateValues" dxfId="8" priority="4805"/>
  </conditionalFormatting>
  <conditionalFormatting sqref="B371">
    <cfRule type="duplicateValues" dxfId="7" priority="52"/>
  </conditionalFormatting>
  <conditionalFormatting sqref="B402 B1:B3 B213:B236 B341 B366:B371 B376 B385:B386 B404:B406 B408 B347 B411:B1048576 B10 B16 B5:B8 B22:B23 B239:B336 B97:B211 B19:B20 B25:B47 B50:B53 B56:B95">
    <cfRule type="duplicateValues" dxfId="6" priority="82"/>
  </conditionalFormatting>
  <conditionalFormatting sqref="B402 B205:B211 B1:B3 B183:B202 B213:B236 B341 B366:B371 B376 B385:B386 B404:B406 B408 B347 B411:B1048576 B10 B16 B5:B8 B22:B23 B239:B336 B97:B181 B19:B20 B25:B47 B50:B53 B56:B95">
    <cfRule type="duplicateValues" dxfId="5" priority="118"/>
  </conditionalFormatting>
  <conditionalFormatting sqref="B402 B366:B371 B376 B385:B386 B404:B406 B408 B411:B1048576 B1:B3 B349 B10 B16 B5:B8 B351:B356 B22:B23 B239:B342 B344:B347 B97:B236 B19:B20 B25:B47 B50:B53 B56:B95">
    <cfRule type="duplicateValues" dxfId="4" priority="53"/>
  </conditionalFormatting>
  <conditionalFormatting sqref="B337:C337">
    <cfRule type="duplicateValues" dxfId="3" priority="66"/>
    <cfRule type="duplicateValues" dxfId="2" priority="69"/>
    <cfRule type="duplicateValues" dxfId="1" priority="68"/>
    <cfRule type="duplicateValues" dxfId="0" priority="67"/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4FF5-A66B-47BB-A54D-76D30899811C}">
  <dimension ref="B2:K2887"/>
  <sheetViews>
    <sheetView workbookViewId="0">
      <pane ySplit="4" topLeftCell="A1947" activePane="bottomLeft" state="frozenSplit"/>
      <selection pane="bottomLeft" activeCell="D1958" sqref="D1958:E1958"/>
    </sheetView>
  </sheetViews>
  <sheetFormatPr baseColWidth="10" defaultRowHeight="15" x14ac:dyDescent="0.25"/>
  <cols>
    <col min="1" max="3" width="3.28515625" customWidth="1"/>
    <col min="4" max="4" width="10.5703125" customWidth="1"/>
    <col min="5" max="5" width="89.42578125" customWidth="1"/>
    <col min="6" max="6" width="7.85546875" customWidth="1"/>
    <col min="7" max="7" width="10.5703125" customWidth="1"/>
    <col min="11" max="11" width="20.7109375" customWidth="1"/>
  </cols>
  <sheetData>
    <row r="2" spans="2:11" x14ac:dyDescent="0.25">
      <c r="B2" s="314" t="s">
        <v>780</v>
      </c>
      <c r="C2" s="314"/>
      <c r="D2" s="314"/>
      <c r="E2" s="314"/>
      <c r="F2" s="314"/>
      <c r="G2" s="314"/>
      <c r="H2" s="314"/>
      <c r="I2" s="314"/>
      <c r="J2" s="314"/>
      <c r="K2" s="314"/>
    </row>
    <row r="3" spans="2:11" ht="15.75" thickBot="1" x14ac:dyDescent="0.3">
      <c r="B3" s="185"/>
      <c r="C3" s="185"/>
      <c r="D3" s="185"/>
      <c r="E3" s="185"/>
      <c r="F3" s="185"/>
      <c r="G3" s="185"/>
      <c r="H3" s="185"/>
      <c r="I3" s="185"/>
      <c r="J3" s="185"/>
      <c r="K3" s="185"/>
    </row>
    <row r="4" spans="2:11" ht="15.75" thickBot="1" x14ac:dyDescent="0.3">
      <c r="B4" s="315" t="s">
        <v>781</v>
      </c>
      <c r="C4" s="315"/>
      <c r="D4" s="315"/>
      <c r="E4" s="186" t="s">
        <v>648</v>
      </c>
      <c r="F4" s="186" t="s">
        <v>782</v>
      </c>
      <c r="G4" s="186" t="s">
        <v>783</v>
      </c>
      <c r="H4" s="186" t="s">
        <v>784</v>
      </c>
      <c r="I4" s="186" t="s">
        <v>3</v>
      </c>
      <c r="J4" s="186" t="s">
        <v>785</v>
      </c>
      <c r="K4" s="186" t="s">
        <v>786</v>
      </c>
    </row>
    <row r="5" spans="2:11" x14ac:dyDescent="0.25">
      <c r="B5" s="187" t="s">
        <v>787</v>
      </c>
      <c r="C5" s="187"/>
      <c r="D5" s="188"/>
      <c r="E5" s="189" t="s">
        <v>788</v>
      </c>
      <c r="F5" s="188" t="s">
        <v>789</v>
      </c>
      <c r="G5" s="188" t="s">
        <v>790</v>
      </c>
      <c r="H5" s="188" t="s">
        <v>790</v>
      </c>
      <c r="I5" s="190" t="s">
        <v>791</v>
      </c>
      <c r="J5" s="190"/>
      <c r="K5" s="190"/>
    </row>
    <row r="6" spans="2:11" x14ac:dyDescent="0.25">
      <c r="B6" s="191"/>
      <c r="C6" s="191" t="s">
        <v>792</v>
      </c>
      <c r="D6" s="192"/>
      <c r="E6" s="185" t="s">
        <v>793</v>
      </c>
      <c r="F6" s="192" t="s">
        <v>789</v>
      </c>
      <c r="G6" s="192" t="s">
        <v>790</v>
      </c>
      <c r="H6" s="192" t="s">
        <v>790</v>
      </c>
      <c r="I6" t="s">
        <v>791</v>
      </c>
    </row>
    <row r="7" spans="2:11" x14ac:dyDescent="0.25">
      <c r="B7" s="191"/>
      <c r="C7" s="191"/>
      <c r="D7" s="192" t="s">
        <v>794</v>
      </c>
      <c r="E7" t="s">
        <v>795</v>
      </c>
      <c r="F7" s="192" t="s">
        <v>789</v>
      </c>
      <c r="G7" s="192" t="s">
        <v>790</v>
      </c>
      <c r="H7" s="192" t="s">
        <v>790</v>
      </c>
      <c r="I7" t="s">
        <v>791</v>
      </c>
      <c r="J7" t="s">
        <v>796</v>
      </c>
      <c r="K7" t="s">
        <v>797</v>
      </c>
    </row>
    <row r="8" spans="2:11" x14ac:dyDescent="0.25">
      <c r="B8" s="191"/>
      <c r="C8" s="191"/>
      <c r="D8" s="192" t="s">
        <v>798</v>
      </c>
      <c r="E8" t="s">
        <v>799</v>
      </c>
      <c r="F8" s="192" t="s">
        <v>789</v>
      </c>
      <c r="G8" s="192" t="s">
        <v>790</v>
      </c>
      <c r="H8" s="192" t="s">
        <v>790</v>
      </c>
      <c r="I8" t="s">
        <v>791</v>
      </c>
      <c r="J8" t="s">
        <v>796</v>
      </c>
      <c r="K8" t="s">
        <v>797</v>
      </c>
    </row>
    <row r="9" spans="2:11" x14ac:dyDescent="0.25">
      <c r="B9" s="191"/>
      <c r="C9" s="191" t="s">
        <v>800</v>
      </c>
      <c r="D9" s="192"/>
      <c r="E9" s="185" t="s">
        <v>801</v>
      </c>
      <c r="F9" s="192" t="s">
        <v>789</v>
      </c>
      <c r="G9" s="192" t="s">
        <v>790</v>
      </c>
      <c r="H9" s="192" t="s">
        <v>790</v>
      </c>
      <c r="I9" t="s">
        <v>791</v>
      </c>
    </row>
    <row r="10" spans="2:11" x14ac:dyDescent="0.25">
      <c r="B10" s="191"/>
      <c r="C10" s="191"/>
      <c r="D10" s="192" t="s">
        <v>802</v>
      </c>
      <c r="E10" t="s">
        <v>803</v>
      </c>
      <c r="F10" s="192" t="s">
        <v>789</v>
      </c>
      <c r="G10" s="192" t="s">
        <v>790</v>
      </c>
      <c r="H10" s="192" t="s">
        <v>790</v>
      </c>
      <c r="I10" t="s">
        <v>791</v>
      </c>
      <c r="J10" t="s">
        <v>796</v>
      </c>
      <c r="K10" t="s">
        <v>797</v>
      </c>
    </row>
    <row r="11" spans="2:11" x14ac:dyDescent="0.25">
      <c r="B11" s="191"/>
      <c r="C11" s="191"/>
      <c r="D11" s="192" t="s">
        <v>804</v>
      </c>
      <c r="E11" t="s">
        <v>805</v>
      </c>
      <c r="F11" s="192" t="s">
        <v>789</v>
      </c>
      <c r="G11" s="192" t="s">
        <v>790</v>
      </c>
      <c r="H11" s="192" t="s">
        <v>790</v>
      </c>
      <c r="I11" t="s">
        <v>791</v>
      </c>
      <c r="J11" t="s">
        <v>796</v>
      </c>
      <c r="K11" t="s">
        <v>797</v>
      </c>
    </row>
    <row r="12" spans="2:11" x14ac:dyDescent="0.25">
      <c r="B12" s="191"/>
      <c r="C12" s="191"/>
      <c r="D12" s="192" t="s">
        <v>806</v>
      </c>
      <c r="E12" t="s">
        <v>807</v>
      </c>
      <c r="F12" s="192" t="s">
        <v>789</v>
      </c>
      <c r="G12" s="192" t="s">
        <v>790</v>
      </c>
      <c r="H12" s="192" t="s">
        <v>790</v>
      </c>
      <c r="I12" t="s">
        <v>791</v>
      </c>
      <c r="J12" t="s">
        <v>796</v>
      </c>
      <c r="K12" t="s">
        <v>797</v>
      </c>
    </row>
    <row r="13" spans="2:11" x14ac:dyDescent="0.25">
      <c r="B13" s="191"/>
      <c r="C13" s="191"/>
      <c r="D13" s="192" t="s">
        <v>808</v>
      </c>
      <c r="E13" t="s">
        <v>809</v>
      </c>
      <c r="F13" s="192" t="s">
        <v>789</v>
      </c>
      <c r="G13" s="192" t="s">
        <v>790</v>
      </c>
      <c r="H13" s="192" t="s">
        <v>790</v>
      </c>
      <c r="I13" t="s">
        <v>791</v>
      </c>
      <c r="J13" t="s">
        <v>796</v>
      </c>
      <c r="K13" t="s">
        <v>797</v>
      </c>
    </row>
    <row r="14" spans="2:11" x14ac:dyDescent="0.25">
      <c r="B14" s="191"/>
      <c r="C14" s="191"/>
      <c r="D14" s="192" t="s">
        <v>810</v>
      </c>
      <c r="E14" t="s">
        <v>811</v>
      </c>
      <c r="F14" s="192" t="s">
        <v>789</v>
      </c>
      <c r="G14" s="192" t="s">
        <v>790</v>
      </c>
      <c r="H14" s="192" t="s">
        <v>790</v>
      </c>
      <c r="I14" t="s">
        <v>791</v>
      </c>
      <c r="J14" t="s">
        <v>796</v>
      </c>
      <c r="K14" t="s">
        <v>797</v>
      </c>
    </row>
    <row r="15" spans="2:11" x14ac:dyDescent="0.25">
      <c r="B15" s="191"/>
      <c r="C15" s="191"/>
      <c r="D15" s="192" t="s">
        <v>812</v>
      </c>
      <c r="E15" t="s">
        <v>813</v>
      </c>
      <c r="F15" s="192" t="s">
        <v>789</v>
      </c>
      <c r="G15" s="192" t="s">
        <v>790</v>
      </c>
      <c r="H15" s="192" t="s">
        <v>790</v>
      </c>
      <c r="I15" t="s">
        <v>791</v>
      </c>
      <c r="J15" t="s">
        <v>796</v>
      </c>
      <c r="K15" t="s">
        <v>797</v>
      </c>
    </row>
    <row r="16" spans="2:11" x14ac:dyDescent="0.25">
      <c r="B16" s="191"/>
      <c r="C16" s="191"/>
      <c r="D16" s="192" t="s">
        <v>814</v>
      </c>
      <c r="E16" t="s">
        <v>815</v>
      </c>
      <c r="F16" s="192" t="s">
        <v>789</v>
      </c>
      <c r="G16" s="192" t="s">
        <v>790</v>
      </c>
      <c r="H16" s="192" t="s">
        <v>790</v>
      </c>
      <c r="I16" t="s">
        <v>791</v>
      </c>
      <c r="J16" t="s">
        <v>796</v>
      </c>
      <c r="K16" t="s">
        <v>797</v>
      </c>
    </row>
    <row r="17" spans="2:11" x14ac:dyDescent="0.25">
      <c r="B17" s="191"/>
      <c r="C17" s="191"/>
      <c r="D17" s="192" t="s">
        <v>816</v>
      </c>
      <c r="E17" t="s">
        <v>817</v>
      </c>
      <c r="F17" s="192" t="s">
        <v>789</v>
      </c>
      <c r="G17" s="192" t="s">
        <v>790</v>
      </c>
      <c r="H17" s="192" t="s">
        <v>790</v>
      </c>
      <c r="I17" t="s">
        <v>791</v>
      </c>
      <c r="J17" t="s">
        <v>796</v>
      </c>
      <c r="K17" t="s">
        <v>797</v>
      </c>
    </row>
    <row r="18" spans="2:11" x14ac:dyDescent="0.25">
      <c r="B18" s="191"/>
      <c r="C18" s="191" t="s">
        <v>818</v>
      </c>
      <c r="D18" s="192"/>
      <c r="E18" s="185" t="s">
        <v>819</v>
      </c>
      <c r="F18" s="192" t="s">
        <v>789</v>
      </c>
      <c r="G18" s="192" t="s">
        <v>790</v>
      </c>
      <c r="H18" s="192" t="s">
        <v>790</v>
      </c>
      <c r="I18" t="s">
        <v>820</v>
      </c>
    </row>
    <row r="19" spans="2:11" x14ac:dyDescent="0.25">
      <c r="B19" s="191"/>
      <c r="C19" s="191"/>
      <c r="D19" s="192" t="s">
        <v>821</v>
      </c>
      <c r="E19" t="s">
        <v>819</v>
      </c>
      <c r="F19" s="192" t="s">
        <v>789</v>
      </c>
      <c r="G19" s="192" t="s">
        <v>790</v>
      </c>
      <c r="H19" s="192" t="s">
        <v>790</v>
      </c>
      <c r="I19" t="s">
        <v>791</v>
      </c>
      <c r="J19" t="s">
        <v>796</v>
      </c>
      <c r="K19" t="s">
        <v>797</v>
      </c>
    </row>
    <row r="20" spans="2:11" x14ac:dyDescent="0.25">
      <c r="B20" s="191" t="s">
        <v>822</v>
      </c>
      <c r="C20" s="191"/>
      <c r="D20" s="192"/>
      <c r="E20" s="185" t="s">
        <v>823</v>
      </c>
      <c r="F20" s="192" t="s">
        <v>789</v>
      </c>
      <c r="G20" s="192" t="s">
        <v>790</v>
      </c>
      <c r="H20" s="192" t="s">
        <v>790</v>
      </c>
      <c r="I20" t="s">
        <v>791</v>
      </c>
    </row>
    <row r="21" spans="2:11" x14ac:dyDescent="0.25">
      <c r="B21" s="191"/>
      <c r="C21" s="191" t="s">
        <v>824</v>
      </c>
      <c r="D21" s="192"/>
      <c r="E21" s="185" t="s">
        <v>825</v>
      </c>
      <c r="F21" s="192" t="s">
        <v>789</v>
      </c>
      <c r="G21" s="192" t="s">
        <v>790</v>
      </c>
      <c r="H21" s="192" t="s">
        <v>790</v>
      </c>
      <c r="I21" t="s">
        <v>791</v>
      </c>
    </row>
    <row r="22" spans="2:11" x14ac:dyDescent="0.25">
      <c r="B22" s="191"/>
      <c r="C22" s="191"/>
      <c r="D22" s="192" t="s">
        <v>826</v>
      </c>
      <c r="E22" t="s">
        <v>827</v>
      </c>
      <c r="F22" s="192" t="s">
        <v>789</v>
      </c>
      <c r="G22" s="192" t="s">
        <v>790</v>
      </c>
      <c r="H22" s="192" t="s">
        <v>790</v>
      </c>
      <c r="I22" t="s">
        <v>791</v>
      </c>
      <c r="J22" t="s">
        <v>796</v>
      </c>
      <c r="K22" t="s">
        <v>797</v>
      </c>
    </row>
    <row r="23" spans="2:11" x14ac:dyDescent="0.25">
      <c r="B23" s="191"/>
      <c r="C23" s="191"/>
      <c r="D23" s="192" t="s">
        <v>828</v>
      </c>
      <c r="E23" t="s">
        <v>829</v>
      </c>
      <c r="F23" s="192" t="s">
        <v>789</v>
      </c>
      <c r="G23" s="192" t="s">
        <v>790</v>
      </c>
      <c r="H23" s="192" t="s">
        <v>790</v>
      </c>
      <c r="I23" t="s">
        <v>791</v>
      </c>
      <c r="J23" t="s">
        <v>796</v>
      </c>
      <c r="K23" t="s">
        <v>797</v>
      </c>
    </row>
    <row r="24" spans="2:11" x14ac:dyDescent="0.25">
      <c r="B24" s="191"/>
      <c r="C24" s="191"/>
      <c r="D24" s="192" t="s">
        <v>830</v>
      </c>
      <c r="E24" t="s">
        <v>831</v>
      </c>
      <c r="F24" s="192" t="s">
        <v>789</v>
      </c>
      <c r="G24" s="192" t="s">
        <v>790</v>
      </c>
      <c r="H24" s="192" t="s">
        <v>790</v>
      </c>
      <c r="I24" t="s">
        <v>791</v>
      </c>
      <c r="J24" t="s">
        <v>796</v>
      </c>
      <c r="K24" t="s">
        <v>797</v>
      </c>
    </row>
    <row r="25" spans="2:11" x14ac:dyDescent="0.25">
      <c r="B25" s="191"/>
      <c r="C25" s="191" t="s">
        <v>832</v>
      </c>
      <c r="D25" s="192"/>
      <c r="E25" s="185" t="s">
        <v>833</v>
      </c>
      <c r="F25" s="192" t="s">
        <v>789</v>
      </c>
      <c r="G25" s="192" t="s">
        <v>790</v>
      </c>
      <c r="H25" s="192" t="s">
        <v>790</v>
      </c>
      <c r="I25" t="s">
        <v>791</v>
      </c>
    </row>
    <row r="26" spans="2:11" x14ac:dyDescent="0.25">
      <c r="B26" s="191"/>
      <c r="C26" s="191"/>
      <c r="D26" s="192" t="s">
        <v>834</v>
      </c>
      <c r="E26" t="s">
        <v>835</v>
      </c>
      <c r="F26" s="192" t="s">
        <v>789</v>
      </c>
      <c r="G26" s="192" t="s">
        <v>790</v>
      </c>
      <c r="H26" s="192" t="s">
        <v>790</v>
      </c>
      <c r="I26" t="s">
        <v>791</v>
      </c>
      <c r="J26" t="s">
        <v>796</v>
      </c>
      <c r="K26" t="s">
        <v>797</v>
      </c>
    </row>
    <row r="27" spans="2:11" x14ac:dyDescent="0.25">
      <c r="B27" s="191"/>
      <c r="C27" s="191"/>
      <c r="D27" s="192" t="s">
        <v>836</v>
      </c>
      <c r="E27" t="s">
        <v>837</v>
      </c>
      <c r="F27" s="192" t="s">
        <v>789</v>
      </c>
      <c r="G27" s="192" t="s">
        <v>790</v>
      </c>
      <c r="H27" s="192" t="s">
        <v>790</v>
      </c>
      <c r="I27" t="s">
        <v>791</v>
      </c>
      <c r="J27" t="s">
        <v>796</v>
      </c>
      <c r="K27" t="s">
        <v>797</v>
      </c>
    </row>
    <row r="28" spans="2:11" x14ac:dyDescent="0.25">
      <c r="B28" s="191"/>
      <c r="C28" s="191"/>
      <c r="D28" s="192" t="s">
        <v>838</v>
      </c>
      <c r="E28" t="s">
        <v>839</v>
      </c>
      <c r="F28" s="192" t="s">
        <v>789</v>
      </c>
      <c r="G28" s="192" t="s">
        <v>790</v>
      </c>
      <c r="H28" s="192" t="s">
        <v>790</v>
      </c>
      <c r="I28" t="s">
        <v>791</v>
      </c>
      <c r="J28" t="s">
        <v>796</v>
      </c>
      <c r="K28" t="s">
        <v>797</v>
      </c>
    </row>
    <row r="29" spans="2:11" x14ac:dyDescent="0.25">
      <c r="B29" s="191"/>
      <c r="C29" s="191"/>
      <c r="D29" s="192" t="s">
        <v>840</v>
      </c>
      <c r="E29" t="s">
        <v>841</v>
      </c>
      <c r="F29" s="192" t="s">
        <v>789</v>
      </c>
      <c r="G29" s="192" t="s">
        <v>790</v>
      </c>
      <c r="H29" s="192" t="s">
        <v>790</v>
      </c>
      <c r="I29" t="s">
        <v>791</v>
      </c>
      <c r="J29" t="s">
        <v>796</v>
      </c>
      <c r="K29" t="s">
        <v>797</v>
      </c>
    </row>
    <row r="30" spans="2:11" x14ac:dyDescent="0.25">
      <c r="B30" s="191"/>
      <c r="C30" s="191" t="s">
        <v>842</v>
      </c>
      <c r="D30" s="192"/>
      <c r="E30" s="185" t="s">
        <v>843</v>
      </c>
      <c r="F30" s="192" t="s">
        <v>789</v>
      </c>
      <c r="G30" s="192" t="s">
        <v>790</v>
      </c>
      <c r="H30" s="192" t="s">
        <v>790</v>
      </c>
      <c r="I30" t="s">
        <v>791</v>
      </c>
    </row>
    <row r="31" spans="2:11" x14ac:dyDescent="0.25">
      <c r="B31" s="191" t="s">
        <v>844</v>
      </c>
      <c r="C31" s="191"/>
      <c r="D31" s="192"/>
      <c r="E31" s="185" t="s">
        <v>845</v>
      </c>
      <c r="F31" s="192" t="s">
        <v>789</v>
      </c>
      <c r="G31" s="192" t="s">
        <v>790</v>
      </c>
      <c r="H31" s="192" t="s">
        <v>790</v>
      </c>
      <c r="I31" t="s">
        <v>791</v>
      </c>
    </row>
    <row r="32" spans="2:11" x14ac:dyDescent="0.25">
      <c r="B32" s="191"/>
      <c r="C32" s="191" t="s">
        <v>846</v>
      </c>
      <c r="D32" s="192"/>
      <c r="E32" s="185" t="s">
        <v>847</v>
      </c>
      <c r="F32" s="192" t="s">
        <v>789</v>
      </c>
      <c r="G32" s="192" t="s">
        <v>790</v>
      </c>
      <c r="H32" s="192" t="s">
        <v>790</v>
      </c>
      <c r="I32" t="s">
        <v>791</v>
      </c>
    </row>
    <row r="33" spans="2:11" x14ac:dyDescent="0.25">
      <c r="B33" s="191"/>
      <c r="C33" s="191"/>
      <c r="D33" s="192" t="s">
        <v>848</v>
      </c>
      <c r="E33" t="s">
        <v>849</v>
      </c>
      <c r="F33" s="192" t="s">
        <v>789</v>
      </c>
      <c r="G33" s="192" t="s">
        <v>790</v>
      </c>
      <c r="H33" s="192" t="s">
        <v>790</v>
      </c>
      <c r="I33" t="s">
        <v>791</v>
      </c>
      <c r="J33" t="s">
        <v>796</v>
      </c>
      <c r="K33" t="s">
        <v>797</v>
      </c>
    </row>
    <row r="34" spans="2:11" x14ac:dyDescent="0.25">
      <c r="B34" s="191"/>
      <c r="C34" s="191"/>
      <c r="D34" s="192" t="s">
        <v>850</v>
      </c>
      <c r="E34" t="s">
        <v>851</v>
      </c>
      <c r="F34" s="192" t="s">
        <v>789</v>
      </c>
      <c r="G34" s="192" t="s">
        <v>790</v>
      </c>
      <c r="H34" s="192" t="s">
        <v>790</v>
      </c>
      <c r="I34" t="s">
        <v>791</v>
      </c>
      <c r="J34" t="s">
        <v>796</v>
      </c>
      <c r="K34" t="s">
        <v>797</v>
      </c>
    </row>
    <row r="35" spans="2:11" x14ac:dyDescent="0.25">
      <c r="B35" s="191"/>
      <c r="C35" s="191" t="s">
        <v>852</v>
      </c>
      <c r="D35" s="192"/>
      <c r="E35" s="185" t="s">
        <v>853</v>
      </c>
      <c r="F35" s="192" t="s">
        <v>789</v>
      </c>
      <c r="G35" s="192" t="s">
        <v>790</v>
      </c>
      <c r="H35" s="192" t="s">
        <v>790</v>
      </c>
      <c r="I35" t="s">
        <v>791</v>
      </c>
    </row>
    <row r="36" spans="2:11" x14ac:dyDescent="0.25">
      <c r="B36" s="191"/>
      <c r="C36" s="191"/>
      <c r="D36" s="192" t="s">
        <v>854</v>
      </c>
      <c r="E36" t="s">
        <v>855</v>
      </c>
      <c r="F36" s="192" t="s">
        <v>789</v>
      </c>
      <c r="G36" s="192" t="s">
        <v>790</v>
      </c>
      <c r="H36" s="192" t="s">
        <v>790</v>
      </c>
      <c r="I36" t="s">
        <v>791</v>
      </c>
      <c r="J36" t="s">
        <v>796</v>
      </c>
      <c r="K36" t="s">
        <v>797</v>
      </c>
    </row>
    <row r="37" spans="2:11" x14ac:dyDescent="0.25">
      <c r="B37" s="191"/>
      <c r="C37" s="191"/>
      <c r="D37" s="192" t="s">
        <v>856</v>
      </c>
      <c r="E37" t="s">
        <v>857</v>
      </c>
      <c r="F37" s="192" t="s">
        <v>789</v>
      </c>
      <c r="G37" s="192" t="s">
        <v>790</v>
      </c>
      <c r="H37" s="192" t="s">
        <v>790</v>
      </c>
      <c r="I37" t="s">
        <v>791</v>
      </c>
      <c r="J37" t="s">
        <v>796</v>
      </c>
      <c r="K37" t="s">
        <v>797</v>
      </c>
    </row>
    <row r="38" spans="2:11" x14ac:dyDescent="0.25">
      <c r="B38" s="191"/>
      <c r="C38" s="191" t="s">
        <v>858</v>
      </c>
      <c r="D38" s="192"/>
      <c r="E38" s="185" t="s">
        <v>859</v>
      </c>
      <c r="F38" s="192" t="s">
        <v>789</v>
      </c>
      <c r="G38" s="192" t="s">
        <v>790</v>
      </c>
      <c r="H38" s="192" t="s">
        <v>790</v>
      </c>
      <c r="I38" t="s">
        <v>791</v>
      </c>
    </row>
    <row r="39" spans="2:11" x14ac:dyDescent="0.25">
      <c r="B39" s="191"/>
      <c r="C39" s="191"/>
      <c r="D39" s="192" t="s">
        <v>860</v>
      </c>
      <c r="E39" t="s">
        <v>859</v>
      </c>
      <c r="F39" s="192" t="s">
        <v>789</v>
      </c>
      <c r="G39" s="192" t="s">
        <v>790</v>
      </c>
      <c r="H39" s="192" t="s">
        <v>790</v>
      </c>
      <c r="I39" t="s">
        <v>791</v>
      </c>
      <c r="J39" t="s">
        <v>796</v>
      </c>
      <c r="K39" t="s">
        <v>797</v>
      </c>
    </row>
    <row r="40" spans="2:11" x14ac:dyDescent="0.25">
      <c r="B40" s="191" t="s">
        <v>861</v>
      </c>
      <c r="C40" s="191"/>
      <c r="D40" s="192"/>
      <c r="E40" s="185" t="s">
        <v>862</v>
      </c>
      <c r="F40" s="192" t="s">
        <v>789</v>
      </c>
      <c r="G40" s="192" t="s">
        <v>790</v>
      </c>
      <c r="H40" s="192" t="s">
        <v>790</v>
      </c>
      <c r="I40" t="s">
        <v>791</v>
      </c>
    </row>
    <row r="41" spans="2:11" x14ac:dyDescent="0.25">
      <c r="B41" s="191"/>
      <c r="C41" s="191" t="s">
        <v>863</v>
      </c>
      <c r="D41" s="192"/>
      <c r="E41" s="185" t="s">
        <v>862</v>
      </c>
      <c r="F41" s="192" t="s">
        <v>789</v>
      </c>
      <c r="G41" s="192" t="s">
        <v>790</v>
      </c>
      <c r="H41" s="192" t="s">
        <v>790</v>
      </c>
      <c r="I41" t="s">
        <v>791</v>
      </c>
    </row>
    <row r="42" spans="2:11" x14ac:dyDescent="0.25">
      <c r="B42" s="191"/>
      <c r="C42" s="191"/>
      <c r="D42" s="192" t="s">
        <v>864</v>
      </c>
      <c r="E42" t="s">
        <v>862</v>
      </c>
      <c r="F42" s="192" t="s">
        <v>789</v>
      </c>
      <c r="G42" s="192" t="s">
        <v>790</v>
      </c>
      <c r="H42" s="192" t="s">
        <v>790</v>
      </c>
      <c r="I42" t="s">
        <v>791</v>
      </c>
      <c r="J42" t="s">
        <v>865</v>
      </c>
      <c r="K42" t="s">
        <v>797</v>
      </c>
    </row>
    <row r="43" spans="2:11" x14ac:dyDescent="0.25">
      <c r="B43" s="191" t="s">
        <v>866</v>
      </c>
      <c r="C43" s="191"/>
      <c r="D43" s="192"/>
      <c r="E43" s="185" t="s">
        <v>867</v>
      </c>
      <c r="F43" s="192" t="s">
        <v>789</v>
      </c>
      <c r="G43" s="192" t="s">
        <v>790</v>
      </c>
      <c r="H43" s="192" t="s">
        <v>790</v>
      </c>
      <c r="I43" t="s">
        <v>791</v>
      </c>
    </row>
    <row r="44" spans="2:11" x14ac:dyDescent="0.25">
      <c r="B44" s="191"/>
      <c r="C44" s="191" t="s">
        <v>868</v>
      </c>
      <c r="D44" s="192"/>
      <c r="E44" s="185" t="s">
        <v>869</v>
      </c>
      <c r="F44" s="192" t="s">
        <v>789</v>
      </c>
      <c r="G44" s="192" t="s">
        <v>790</v>
      </c>
      <c r="H44" s="192" t="s">
        <v>790</v>
      </c>
      <c r="I44" t="s">
        <v>791</v>
      </c>
    </row>
    <row r="45" spans="2:11" x14ac:dyDescent="0.25">
      <c r="B45" s="191"/>
      <c r="C45" s="191"/>
      <c r="D45" s="192" t="s">
        <v>870</v>
      </c>
      <c r="E45" t="s">
        <v>871</v>
      </c>
      <c r="F45" s="192" t="s">
        <v>789</v>
      </c>
      <c r="G45" s="192" t="s">
        <v>790</v>
      </c>
      <c r="H45" s="192" t="s">
        <v>790</v>
      </c>
      <c r="I45" t="s">
        <v>791</v>
      </c>
      <c r="J45" t="s">
        <v>796</v>
      </c>
      <c r="K45" t="s">
        <v>797</v>
      </c>
    </row>
    <row r="46" spans="2:11" x14ac:dyDescent="0.25">
      <c r="B46" s="191"/>
      <c r="C46" s="191"/>
      <c r="D46" s="192" t="s">
        <v>872</v>
      </c>
      <c r="E46" t="s">
        <v>873</v>
      </c>
      <c r="F46" s="192" t="s">
        <v>789</v>
      </c>
      <c r="G46" s="192" t="s">
        <v>790</v>
      </c>
      <c r="H46" s="192" t="s">
        <v>790</v>
      </c>
      <c r="I46" t="s">
        <v>791</v>
      </c>
      <c r="J46" t="s">
        <v>796</v>
      </c>
      <c r="K46" t="s">
        <v>797</v>
      </c>
    </row>
    <row r="47" spans="2:11" x14ac:dyDescent="0.25">
      <c r="B47" s="191"/>
      <c r="C47" s="191" t="s">
        <v>874</v>
      </c>
      <c r="D47" s="192"/>
      <c r="E47" s="185" t="s">
        <v>875</v>
      </c>
      <c r="F47" s="192" t="s">
        <v>789</v>
      </c>
      <c r="G47" s="192" t="s">
        <v>790</v>
      </c>
      <c r="H47" s="192" t="s">
        <v>790</v>
      </c>
      <c r="I47" t="s">
        <v>791</v>
      </c>
    </row>
    <row r="48" spans="2:11" x14ac:dyDescent="0.25">
      <c r="B48" s="191"/>
      <c r="C48" s="191"/>
      <c r="D48" s="192" t="s">
        <v>876</v>
      </c>
      <c r="E48" t="s">
        <v>877</v>
      </c>
      <c r="F48" s="192" t="s">
        <v>789</v>
      </c>
      <c r="G48" s="192" t="s">
        <v>790</v>
      </c>
      <c r="H48" s="192" t="s">
        <v>790</v>
      </c>
      <c r="I48" t="s">
        <v>791</v>
      </c>
      <c r="J48" t="s">
        <v>796</v>
      </c>
      <c r="K48" t="s">
        <v>797</v>
      </c>
    </row>
    <row r="49" spans="2:11" x14ac:dyDescent="0.25">
      <c r="B49" s="191"/>
      <c r="C49" s="191"/>
      <c r="D49" s="192" t="s">
        <v>878</v>
      </c>
      <c r="E49" t="s">
        <v>879</v>
      </c>
      <c r="F49" s="192" t="s">
        <v>789</v>
      </c>
      <c r="G49" s="192" t="s">
        <v>790</v>
      </c>
      <c r="H49" s="192" t="s">
        <v>790</v>
      </c>
      <c r="I49" t="s">
        <v>791</v>
      </c>
      <c r="J49" t="s">
        <v>796</v>
      </c>
      <c r="K49" t="s">
        <v>797</v>
      </c>
    </row>
    <row r="50" spans="2:11" x14ac:dyDescent="0.25">
      <c r="B50" s="191"/>
      <c r="C50" s="191"/>
      <c r="D50" s="192" t="s">
        <v>880</v>
      </c>
      <c r="E50" t="s">
        <v>881</v>
      </c>
      <c r="F50" s="192" t="s">
        <v>789</v>
      </c>
      <c r="G50" s="192" t="s">
        <v>790</v>
      </c>
      <c r="H50" s="192" t="s">
        <v>790</v>
      </c>
      <c r="I50" t="s">
        <v>791</v>
      </c>
      <c r="J50" t="s">
        <v>796</v>
      </c>
      <c r="K50" t="s">
        <v>797</v>
      </c>
    </row>
    <row r="51" spans="2:11" x14ac:dyDescent="0.25">
      <c r="B51" s="191"/>
      <c r="C51" s="191"/>
      <c r="D51" s="192" t="s">
        <v>882</v>
      </c>
      <c r="E51" t="s">
        <v>883</v>
      </c>
      <c r="F51" s="192" t="s">
        <v>789</v>
      </c>
      <c r="G51" s="192" t="s">
        <v>790</v>
      </c>
      <c r="H51" s="192" t="s">
        <v>790</v>
      </c>
      <c r="I51" t="s">
        <v>791</v>
      </c>
      <c r="J51" t="s">
        <v>796</v>
      </c>
      <c r="K51" t="s">
        <v>797</v>
      </c>
    </row>
    <row r="52" spans="2:11" x14ac:dyDescent="0.25">
      <c r="B52" s="191"/>
      <c r="C52" s="191"/>
      <c r="D52" s="192" t="s">
        <v>884</v>
      </c>
      <c r="E52" t="s">
        <v>885</v>
      </c>
      <c r="F52" s="192" t="s">
        <v>789</v>
      </c>
      <c r="G52" s="192" t="s">
        <v>790</v>
      </c>
      <c r="H52" s="192" t="s">
        <v>790</v>
      </c>
      <c r="I52" t="s">
        <v>791</v>
      </c>
      <c r="J52" t="s">
        <v>796</v>
      </c>
      <c r="K52" t="s">
        <v>797</v>
      </c>
    </row>
    <row r="53" spans="2:11" x14ac:dyDescent="0.25">
      <c r="B53" s="191"/>
      <c r="C53" s="191"/>
      <c r="D53" s="192" t="s">
        <v>886</v>
      </c>
      <c r="E53" t="s">
        <v>887</v>
      </c>
      <c r="F53" s="192" t="s">
        <v>789</v>
      </c>
      <c r="G53" s="192" t="s">
        <v>790</v>
      </c>
      <c r="H53" s="192" t="s">
        <v>790</v>
      </c>
      <c r="I53" t="s">
        <v>791</v>
      </c>
      <c r="J53" t="s">
        <v>796</v>
      </c>
      <c r="K53" t="s">
        <v>797</v>
      </c>
    </row>
    <row r="54" spans="2:11" x14ac:dyDescent="0.25">
      <c r="B54" s="191"/>
      <c r="C54" s="191"/>
      <c r="D54" s="192" t="s">
        <v>888</v>
      </c>
      <c r="E54" t="s">
        <v>889</v>
      </c>
      <c r="F54" s="192" t="s">
        <v>789</v>
      </c>
      <c r="G54" s="192" t="s">
        <v>790</v>
      </c>
      <c r="H54" s="192" t="s">
        <v>790</v>
      </c>
      <c r="I54" t="s">
        <v>791</v>
      </c>
      <c r="J54" t="s">
        <v>796</v>
      </c>
      <c r="K54" t="s">
        <v>797</v>
      </c>
    </row>
    <row r="55" spans="2:11" x14ac:dyDescent="0.25">
      <c r="B55" s="191"/>
      <c r="C55" s="191"/>
      <c r="D55" s="192" t="s">
        <v>890</v>
      </c>
      <c r="E55" t="s">
        <v>891</v>
      </c>
      <c r="F55" s="192" t="s">
        <v>789</v>
      </c>
      <c r="G55" s="192" t="s">
        <v>790</v>
      </c>
      <c r="H55" s="192" t="s">
        <v>790</v>
      </c>
      <c r="I55" t="s">
        <v>791</v>
      </c>
      <c r="J55" t="s">
        <v>796</v>
      </c>
      <c r="K55" t="s">
        <v>797</v>
      </c>
    </row>
    <row r="56" spans="2:11" x14ac:dyDescent="0.25">
      <c r="B56" s="191"/>
      <c r="C56" s="191" t="s">
        <v>892</v>
      </c>
      <c r="D56" s="192"/>
      <c r="E56" s="185" t="s">
        <v>893</v>
      </c>
      <c r="F56" s="192" t="s">
        <v>789</v>
      </c>
      <c r="G56" s="192" t="s">
        <v>790</v>
      </c>
      <c r="H56" s="192" t="s">
        <v>790</v>
      </c>
      <c r="I56" t="s">
        <v>791</v>
      </c>
    </row>
    <row r="57" spans="2:11" x14ac:dyDescent="0.25">
      <c r="B57" s="191"/>
      <c r="C57" s="191"/>
      <c r="D57" s="192" t="s">
        <v>894</v>
      </c>
      <c r="E57" t="s">
        <v>893</v>
      </c>
      <c r="F57" s="192" t="s">
        <v>789</v>
      </c>
      <c r="G57" s="192" t="s">
        <v>790</v>
      </c>
      <c r="H57" s="192" t="s">
        <v>790</v>
      </c>
      <c r="I57" t="s">
        <v>791</v>
      </c>
      <c r="J57" t="s">
        <v>796</v>
      </c>
      <c r="K57" t="s">
        <v>797</v>
      </c>
    </row>
    <row r="58" spans="2:11" x14ac:dyDescent="0.25">
      <c r="B58" s="191" t="s">
        <v>895</v>
      </c>
      <c r="C58" s="191"/>
      <c r="D58" s="192"/>
      <c r="E58" s="185" t="s">
        <v>896</v>
      </c>
      <c r="F58" s="192" t="s">
        <v>789</v>
      </c>
      <c r="G58" s="192" t="s">
        <v>790</v>
      </c>
      <c r="H58" s="192" t="s">
        <v>790</v>
      </c>
      <c r="I58" t="s">
        <v>791</v>
      </c>
    </row>
    <row r="59" spans="2:11" x14ac:dyDescent="0.25">
      <c r="B59" s="191"/>
      <c r="C59" s="191" t="s">
        <v>897</v>
      </c>
      <c r="D59" s="192"/>
      <c r="E59" s="185" t="s">
        <v>898</v>
      </c>
      <c r="F59" s="192" t="s">
        <v>789</v>
      </c>
      <c r="G59" s="192" t="s">
        <v>790</v>
      </c>
      <c r="H59" s="192" t="s">
        <v>790</v>
      </c>
      <c r="I59" t="s">
        <v>791</v>
      </c>
    </row>
    <row r="60" spans="2:11" x14ac:dyDescent="0.25">
      <c r="B60" s="191"/>
      <c r="C60" s="191"/>
      <c r="D60" s="192" t="s">
        <v>899</v>
      </c>
      <c r="E60" t="s">
        <v>900</v>
      </c>
      <c r="F60" s="192" t="s">
        <v>789</v>
      </c>
      <c r="G60" s="192" t="s">
        <v>790</v>
      </c>
      <c r="H60" s="192" t="s">
        <v>790</v>
      </c>
      <c r="I60" t="s">
        <v>791</v>
      </c>
      <c r="J60" t="s">
        <v>796</v>
      </c>
      <c r="K60" t="s">
        <v>797</v>
      </c>
    </row>
    <row r="61" spans="2:11" x14ac:dyDescent="0.25">
      <c r="B61" s="191"/>
      <c r="C61" s="191"/>
      <c r="D61" s="192" t="s">
        <v>901</v>
      </c>
      <c r="E61" t="s">
        <v>902</v>
      </c>
      <c r="F61" s="192" t="s">
        <v>789</v>
      </c>
      <c r="G61" s="192" t="s">
        <v>790</v>
      </c>
      <c r="H61" s="192" t="s">
        <v>790</v>
      </c>
      <c r="I61" t="s">
        <v>791</v>
      </c>
      <c r="J61" t="s">
        <v>796</v>
      </c>
      <c r="K61" t="s">
        <v>797</v>
      </c>
    </row>
    <row r="62" spans="2:11" x14ac:dyDescent="0.25">
      <c r="B62" s="191"/>
      <c r="C62" s="191"/>
      <c r="D62" s="192" t="s">
        <v>903</v>
      </c>
      <c r="E62" t="s">
        <v>904</v>
      </c>
      <c r="F62" s="192" t="s">
        <v>789</v>
      </c>
      <c r="G62" s="192" t="s">
        <v>790</v>
      </c>
      <c r="H62" s="192" t="s">
        <v>790</v>
      </c>
      <c r="I62" t="s">
        <v>791</v>
      </c>
      <c r="J62" t="s">
        <v>796</v>
      </c>
      <c r="K62" t="s">
        <v>797</v>
      </c>
    </row>
    <row r="63" spans="2:11" x14ac:dyDescent="0.25">
      <c r="B63" s="191"/>
      <c r="C63" s="191" t="s">
        <v>905</v>
      </c>
      <c r="D63" s="192"/>
      <c r="E63" s="185" t="s">
        <v>906</v>
      </c>
      <c r="F63" s="192" t="s">
        <v>789</v>
      </c>
      <c r="G63" s="192" t="s">
        <v>790</v>
      </c>
      <c r="H63" s="192" t="s">
        <v>790</v>
      </c>
      <c r="I63" t="s">
        <v>791</v>
      </c>
    </row>
    <row r="64" spans="2:11" x14ac:dyDescent="0.25">
      <c r="B64" s="191"/>
      <c r="C64" s="191"/>
      <c r="D64" s="192" t="s">
        <v>907</v>
      </c>
      <c r="E64" t="s">
        <v>908</v>
      </c>
      <c r="F64" s="192" t="s">
        <v>789</v>
      </c>
      <c r="G64" s="192" t="s">
        <v>790</v>
      </c>
      <c r="H64" s="192" t="s">
        <v>790</v>
      </c>
      <c r="I64" t="s">
        <v>791</v>
      </c>
      <c r="J64" t="s">
        <v>796</v>
      </c>
      <c r="K64" t="s">
        <v>797</v>
      </c>
    </row>
    <row r="65" spans="2:11" x14ac:dyDescent="0.25">
      <c r="B65" s="191"/>
      <c r="C65" s="191"/>
      <c r="D65" s="192" t="s">
        <v>909</v>
      </c>
      <c r="E65" t="s">
        <v>910</v>
      </c>
      <c r="F65" s="192" t="s">
        <v>789</v>
      </c>
      <c r="G65" s="192" t="s">
        <v>790</v>
      </c>
      <c r="H65" s="192" t="s">
        <v>790</v>
      </c>
      <c r="I65" t="s">
        <v>791</v>
      </c>
      <c r="J65" t="s">
        <v>796</v>
      </c>
      <c r="K65" t="s">
        <v>797</v>
      </c>
    </row>
    <row r="66" spans="2:11" x14ac:dyDescent="0.25">
      <c r="B66" s="191"/>
      <c r="C66" s="191"/>
      <c r="D66" s="192" t="s">
        <v>911</v>
      </c>
      <c r="E66" t="s">
        <v>912</v>
      </c>
      <c r="F66" s="192" t="s">
        <v>789</v>
      </c>
      <c r="G66" s="192" t="s">
        <v>790</v>
      </c>
      <c r="H66" s="192" t="s">
        <v>790</v>
      </c>
      <c r="I66" t="s">
        <v>791</v>
      </c>
      <c r="J66" t="s">
        <v>796</v>
      </c>
      <c r="K66" t="s">
        <v>797</v>
      </c>
    </row>
    <row r="67" spans="2:11" x14ac:dyDescent="0.25">
      <c r="B67" s="191"/>
      <c r="C67" s="191"/>
      <c r="D67" s="192" t="s">
        <v>913</v>
      </c>
      <c r="E67" t="s">
        <v>914</v>
      </c>
      <c r="F67" s="192" t="s">
        <v>789</v>
      </c>
      <c r="G67" s="192" t="s">
        <v>790</v>
      </c>
      <c r="H67" s="192" t="s">
        <v>790</v>
      </c>
      <c r="I67" t="s">
        <v>791</v>
      </c>
      <c r="J67" t="s">
        <v>796</v>
      </c>
      <c r="K67" t="s">
        <v>797</v>
      </c>
    </row>
    <row r="68" spans="2:11" x14ac:dyDescent="0.25">
      <c r="B68" s="191" t="s">
        <v>915</v>
      </c>
      <c r="C68" s="191"/>
      <c r="D68" s="192"/>
      <c r="E68" s="185" t="s">
        <v>916</v>
      </c>
      <c r="F68" s="192" t="s">
        <v>789</v>
      </c>
      <c r="G68" s="192" t="s">
        <v>790</v>
      </c>
      <c r="H68" s="192" t="s">
        <v>790</v>
      </c>
      <c r="I68" t="s">
        <v>791</v>
      </c>
    </row>
    <row r="69" spans="2:11" x14ac:dyDescent="0.25">
      <c r="B69" s="191"/>
      <c r="C69" s="191" t="s">
        <v>917</v>
      </c>
      <c r="D69" s="192"/>
      <c r="E69" s="185" t="s">
        <v>918</v>
      </c>
      <c r="F69" s="192" t="s">
        <v>789</v>
      </c>
      <c r="G69" s="192" t="s">
        <v>790</v>
      </c>
      <c r="H69" s="192" t="s">
        <v>790</v>
      </c>
      <c r="I69" t="s">
        <v>791</v>
      </c>
    </row>
    <row r="70" spans="2:11" x14ac:dyDescent="0.25">
      <c r="B70" s="191"/>
      <c r="C70" s="191"/>
      <c r="D70" s="192" t="s">
        <v>919</v>
      </c>
      <c r="E70" t="s">
        <v>918</v>
      </c>
      <c r="F70" s="192" t="s">
        <v>789</v>
      </c>
      <c r="G70" s="192" t="s">
        <v>790</v>
      </c>
      <c r="H70" s="192" t="s">
        <v>790</v>
      </c>
      <c r="I70" t="s">
        <v>791</v>
      </c>
      <c r="J70" t="s">
        <v>796</v>
      </c>
      <c r="K70" t="s">
        <v>797</v>
      </c>
    </row>
    <row r="71" spans="2:11" x14ac:dyDescent="0.25">
      <c r="B71" s="191" t="s">
        <v>920</v>
      </c>
      <c r="C71" s="191"/>
      <c r="D71" s="192"/>
      <c r="E71" s="185" t="s">
        <v>921</v>
      </c>
      <c r="F71" s="192" t="s">
        <v>789</v>
      </c>
      <c r="G71" s="192" t="s">
        <v>790</v>
      </c>
      <c r="H71" s="192" t="s">
        <v>790</v>
      </c>
      <c r="I71" t="s">
        <v>791</v>
      </c>
    </row>
    <row r="72" spans="2:11" x14ac:dyDescent="0.25">
      <c r="B72" s="191"/>
      <c r="C72" s="191" t="s">
        <v>922</v>
      </c>
      <c r="D72" s="192"/>
      <c r="E72" s="185" t="s">
        <v>921</v>
      </c>
      <c r="F72" s="192" t="s">
        <v>789</v>
      </c>
      <c r="G72" s="192" t="s">
        <v>790</v>
      </c>
      <c r="H72" s="192" t="s">
        <v>790</v>
      </c>
      <c r="I72" t="s">
        <v>791</v>
      </c>
    </row>
    <row r="73" spans="2:11" x14ac:dyDescent="0.25">
      <c r="B73" s="191"/>
      <c r="C73" s="191"/>
      <c r="D73" s="192" t="s">
        <v>923</v>
      </c>
      <c r="E73" t="s">
        <v>921</v>
      </c>
      <c r="F73" s="192" t="s">
        <v>789</v>
      </c>
      <c r="G73" s="192" t="s">
        <v>790</v>
      </c>
      <c r="H73" s="192" t="s">
        <v>790</v>
      </c>
      <c r="I73" t="s">
        <v>791</v>
      </c>
      <c r="J73" t="s">
        <v>865</v>
      </c>
      <c r="K73" t="s">
        <v>797</v>
      </c>
    </row>
    <row r="74" spans="2:11" x14ac:dyDescent="0.25">
      <c r="B74" s="191" t="s">
        <v>924</v>
      </c>
      <c r="C74" s="191"/>
      <c r="D74" s="192"/>
      <c r="E74" s="185" t="s">
        <v>925</v>
      </c>
      <c r="F74" s="192" t="s">
        <v>789</v>
      </c>
      <c r="G74" s="192" t="s">
        <v>790</v>
      </c>
      <c r="H74" s="192" t="s">
        <v>790</v>
      </c>
      <c r="I74" t="s">
        <v>820</v>
      </c>
      <c r="J74" t="s">
        <v>865</v>
      </c>
    </row>
    <row r="75" spans="2:11" x14ac:dyDescent="0.25">
      <c r="B75" s="191"/>
      <c r="C75" s="191" t="s">
        <v>926</v>
      </c>
      <c r="D75" s="192"/>
      <c r="E75" s="185" t="s">
        <v>927</v>
      </c>
      <c r="F75" s="192" t="s">
        <v>789</v>
      </c>
      <c r="G75" s="192" t="s">
        <v>790</v>
      </c>
      <c r="H75" s="192" t="s">
        <v>790</v>
      </c>
      <c r="I75" t="s">
        <v>820</v>
      </c>
    </row>
    <row r="76" spans="2:11" x14ac:dyDescent="0.25">
      <c r="B76" s="191"/>
      <c r="C76" s="191"/>
      <c r="D76" s="192" t="s">
        <v>928</v>
      </c>
      <c r="E76" t="s">
        <v>929</v>
      </c>
      <c r="F76" s="192" t="s">
        <v>930</v>
      </c>
      <c r="G76" s="192" t="s">
        <v>790</v>
      </c>
      <c r="H76" s="192" t="s">
        <v>790</v>
      </c>
      <c r="I76" t="s">
        <v>820</v>
      </c>
      <c r="J76" t="s">
        <v>931</v>
      </c>
      <c r="K76" t="s">
        <v>797</v>
      </c>
    </row>
    <row r="77" spans="2:11" x14ac:dyDescent="0.25">
      <c r="B77" s="191"/>
      <c r="C77" s="191"/>
      <c r="D77" s="192" t="s">
        <v>932</v>
      </c>
      <c r="E77" t="s">
        <v>933</v>
      </c>
      <c r="F77" s="192" t="s">
        <v>930</v>
      </c>
      <c r="G77" s="192" t="s">
        <v>790</v>
      </c>
      <c r="H77" s="192" t="s">
        <v>790</v>
      </c>
      <c r="I77" t="s">
        <v>820</v>
      </c>
      <c r="J77" t="s">
        <v>931</v>
      </c>
      <c r="K77" t="s">
        <v>797</v>
      </c>
    </row>
    <row r="78" spans="2:11" x14ac:dyDescent="0.25">
      <c r="B78" s="191"/>
      <c r="C78" s="191" t="s">
        <v>934</v>
      </c>
      <c r="D78" s="192"/>
      <c r="E78" s="185" t="s">
        <v>935</v>
      </c>
      <c r="F78" s="192" t="s">
        <v>789</v>
      </c>
      <c r="G78" s="192" t="s">
        <v>790</v>
      </c>
      <c r="H78" s="192" t="s">
        <v>790</v>
      </c>
      <c r="I78" t="s">
        <v>820</v>
      </c>
    </row>
    <row r="79" spans="2:11" x14ac:dyDescent="0.25">
      <c r="B79" s="191"/>
      <c r="C79" s="191"/>
      <c r="D79" s="192" t="s">
        <v>936</v>
      </c>
      <c r="E79" t="s">
        <v>937</v>
      </c>
      <c r="F79" s="192" t="s">
        <v>930</v>
      </c>
      <c r="G79" s="192" t="s">
        <v>790</v>
      </c>
      <c r="H79" s="192" t="s">
        <v>790</v>
      </c>
      <c r="I79" t="s">
        <v>820</v>
      </c>
      <c r="J79" t="s">
        <v>931</v>
      </c>
      <c r="K79" t="s">
        <v>797</v>
      </c>
    </row>
    <row r="80" spans="2:11" x14ac:dyDescent="0.25">
      <c r="B80" s="191"/>
      <c r="C80" s="191"/>
      <c r="D80" s="192" t="s">
        <v>938</v>
      </c>
      <c r="E80" t="s">
        <v>939</v>
      </c>
      <c r="F80" s="192" t="s">
        <v>930</v>
      </c>
      <c r="G80" s="192" t="s">
        <v>790</v>
      </c>
      <c r="H80" s="192" t="s">
        <v>790</v>
      </c>
      <c r="I80" t="s">
        <v>820</v>
      </c>
      <c r="J80" t="s">
        <v>931</v>
      </c>
      <c r="K80" t="s">
        <v>797</v>
      </c>
    </row>
    <row r="81" spans="2:11" x14ac:dyDescent="0.25">
      <c r="B81" s="191"/>
      <c r="C81" s="191" t="s">
        <v>940</v>
      </c>
      <c r="D81" s="192"/>
      <c r="E81" s="185" t="s">
        <v>941</v>
      </c>
      <c r="F81" s="192" t="s">
        <v>789</v>
      </c>
      <c r="G81" s="192" t="s">
        <v>790</v>
      </c>
      <c r="H81" s="192" t="s">
        <v>790</v>
      </c>
      <c r="I81" t="s">
        <v>820</v>
      </c>
    </row>
    <row r="82" spans="2:11" x14ac:dyDescent="0.25">
      <c r="B82" s="191"/>
      <c r="C82" s="191" t="s">
        <v>942</v>
      </c>
      <c r="D82" s="192"/>
      <c r="E82" s="185" t="s">
        <v>943</v>
      </c>
      <c r="F82" s="192" t="s">
        <v>789</v>
      </c>
      <c r="G82" s="192" t="s">
        <v>790</v>
      </c>
      <c r="H82" s="192" t="s">
        <v>790</v>
      </c>
      <c r="I82" t="s">
        <v>820</v>
      </c>
    </row>
    <row r="83" spans="2:11" x14ac:dyDescent="0.25">
      <c r="B83" s="191"/>
      <c r="C83" s="191"/>
      <c r="D83" s="192" t="s">
        <v>944</v>
      </c>
      <c r="E83" t="s">
        <v>945</v>
      </c>
      <c r="F83" s="192" t="s">
        <v>930</v>
      </c>
      <c r="G83" s="192" t="s">
        <v>790</v>
      </c>
      <c r="H83" s="192" t="s">
        <v>790</v>
      </c>
      <c r="I83" t="s">
        <v>820</v>
      </c>
      <c r="J83" t="s">
        <v>931</v>
      </c>
      <c r="K83" t="s">
        <v>797</v>
      </c>
    </row>
    <row r="84" spans="2:11" x14ac:dyDescent="0.25">
      <c r="B84" s="191"/>
      <c r="C84" s="191"/>
      <c r="D84" s="192" t="s">
        <v>946</v>
      </c>
      <c r="E84" t="s">
        <v>947</v>
      </c>
      <c r="F84" s="192" t="s">
        <v>930</v>
      </c>
      <c r="G84" s="192" t="s">
        <v>790</v>
      </c>
      <c r="H84" s="192" t="s">
        <v>790</v>
      </c>
      <c r="I84" t="s">
        <v>820</v>
      </c>
      <c r="J84" t="s">
        <v>931</v>
      </c>
      <c r="K84" t="s">
        <v>797</v>
      </c>
    </row>
    <row r="85" spans="2:11" x14ac:dyDescent="0.25">
      <c r="B85" s="191"/>
      <c r="C85" s="191" t="s">
        <v>948</v>
      </c>
      <c r="D85" s="192"/>
      <c r="E85" s="185" t="s">
        <v>949</v>
      </c>
      <c r="F85" s="192" t="s">
        <v>789</v>
      </c>
      <c r="G85" s="192" t="s">
        <v>790</v>
      </c>
      <c r="H85" s="192" t="s">
        <v>790</v>
      </c>
      <c r="I85" t="s">
        <v>820</v>
      </c>
    </row>
    <row r="86" spans="2:11" x14ac:dyDescent="0.25">
      <c r="B86" s="191"/>
      <c r="C86" s="191"/>
      <c r="D86" s="192" t="s">
        <v>950</v>
      </c>
      <c r="E86" t="s">
        <v>951</v>
      </c>
      <c r="F86" s="192" t="s">
        <v>930</v>
      </c>
      <c r="G86" s="192" t="s">
        <v>790</v>
      </c>
      <c r="H86" s="192" t="s">
        <v>790</v>
      </c>
      <c r="I86" t="s">
        <v>820</v>
      </c>
      <c r="J86" t="s">
        <v>931</v>
      </c>
      <c r="K86" t="s">
        <v>797</v>
      </c>
    </row>
    <row r="87" spans="2:11" x14ac:dyDescent="0.25">
      <c r="B87" s="191"/>
      <c r="C87" s="191"/>
      <c r="D87" s="192" t="s">
        <v>952</v>
      </c>
      <c r="E87" t="s">
        <v>953</v>
      </c>
      <c r="F87" s="192" t="s">
        <v>930</v>
      </c>
      <c r="G87" s="192" t="s">
        <v>790</v>
      </c>
      <c r="H87" s="192" t="s">
        <v>790</v>
      </c>
      <c r="I87" t="s">
        <v>820</v>
      </c>
      <c r="J87" t="s">
        <v>931</v>
      </c>
      <c r="K87" t="s">
        <v>797</v>
      </c>
    </row>
    <row r="88" spans="2:11" x14ac:dyDescent="0.25">
      <c r="B88" s="191"/>
      <c r="C88" s="191" t="s">
        <v>954</v>
      </c>
      <c r="D88" s="192"/>
      <c r="E88" s="185" t="s">
        <v>955</v>
      </c>
      <c r="F88" s="192" t="s">
        <v>789</v>
      </c>
      <c r="G88" s="192" t="s">
        <v>790</v>
      </c>
      <c r="H88" s="192" t="s">
        <v>790</v>
      </c>
      <c r="I88" t="s">
        <v>820</v>
      </c>
    </row>
    <row r="89" spans="2:11" x14ac:dyDescent="0.25">
      <c r="B89" s="191"/>
      <c r="C89" s="191" t="s">
        <v>956</v>
      </c>
      <c r="D89" s="192"/>
      <c r="E89" s="185" t="s">
        <v>957</v>
      </c>
      <c r="F89" s="192" t="s">
        <v>789</v>
      </c>
      <c r="G89" s="192" t="s">
        <v>790</v>
      </c>
      <c r="H89" s="192" t="s">
        <v>790</v>
      </c>
      <c r="I89" t="s">
        <v>820</v>
      </c>
    </row>
    <row r="90" spans="2:11" x14ac:dyDescent="0.25">
      <c r="B90" s="191"/>
      <c r="C90" s="191"/>
      <c r="D90" s="192" t="s">
        <v>958</v>
      </c>
      <c r="E90" t="s">
        <v>959</v>
      </c>
      <c r="F90" s="192" t="s">
        <v>930</v>
      </c>
      <c r="G90" s="192" t="s">
        <v>790</v>
      </c>
      <c r="H90" s="192" t="s">
        <v>790</v>
      </c>
      <c r="I90" t="s">
        <v>820</v>
      </c>
      <c r="J90" t="s">
        <v>931</v>
      </c>
      <c r="K90" t="s">
        <v>797</v>
      </c>
    </row>
    <row r="91" spans="2:11" x14ac:dyDescent="0.25">
      <c r="B91" s="191"/>
      <c r="C91" s="191"/>
      <c r="D91" s="192" t="s">
        <v>960</v>
      </c>
      <c r="E91" t="s">
        <v>961</v>
      </c>
      <c r="F91" s="192" t="s">
        <v>930</v>
      </c>
      <c r="G91" s="192" t="s">
        <v>790</v>
      </c>
      <c r="H91" s="192" t="s">
        <v>790</v>
      </c>
      <c r="I91" t="s">
        <v>820</v>
      </c>
      <c r="J91" t="s">
        <v>931</v>
      </c>
      <c r="K91" t="s">
        <v>797</v>
      </c>
    </row>
    <row r="92" spans="2:11" x14ac:dyDescent="0.25">
      <c r="B92" s="191"/>
      <c r="C92" s="191" t="s">
        <v>962</v>
      </c>
      <c r="D92" s="192"/>
      <c r="E92" s="185" t="s">
        <v>963</v>
      </c>
      <c r="F92" s="192" t="s">
        <v>789</v>
      </c>
      <c r="G92" s="192" t="s">
        <v>790</v>
      </c>
      <c r="H92" s="192" t="s">
        <v>790</v>
      </c>
      <c r="I92" t="s">
        <v>820</v>
      </c>
    </row>
    <row r="93" spans="2:11" x14ac:dyDescent="0.25">
      <c r="B93" s="191"/>
      <c r="C93" s="191"/>
      <c r="D93" s="192" t="s">
        <v>964</v>
      </c>
      <c r="E93" t="s">
        <v>965</v>
      </c>
      <c r="F93" s="192" t="s">
        <v>930</v>
      </c>
      <c r="G93" s="192" t="s">
        <v>790</v>
      </c>
      <c r="H93" s="192" t="s">
        <v>790</v>
      </c>
      <c r="I93" t="s">
        <v>820</v>
      </c>
      <c r="J93" t="s">
        <v>931</v>
      </c>
      <c r="K93" t="s">
        <v>797</v>
      </c>
    </row>
    <row r="94" spans="2:11" x14ac:dyDescent="0.25">
      <c r="B94" s="191"/>
      <c r="C94" s="191" t="s">
        <v>966</v>
      </c>
      <c r="D94" s="192"/>
      <c r="E94" s="185" t="s">
        <v>967</v>
      </c>
      <c r="F94" s="192" t="s">
        <v>789</v>
      </c>
      <c r="G94" s="192" t="s">
        <v>790</v>
      </c>
      <c r="H94" s="192" t="s">
        <v>790</v>
      </c>
      <c r="I94" t="s">
        <v>820</v>
      </c>
    </row>
    <row r="95" spans="2:11" x14ac:dyDescent="0.25">
      <c r="B95" s="191"/>
      <c r="C95" s="191"/>
      <c r="D95" s="192" t="s">
        <v>968</v>
      </c>
      <c r="E95" t="s">
        <v>967</v>
      </c>
      <c r="F95" s="192" t="s">
        <v>930</v>
      </c>
      <c r="G95" s="192" t="s">
        <v>790</v>
      </c>
      <c r="H95" s="192" t="s">
        <v>790</v>
      </c>
      <c r="I95" t="s">
        <v>820</v>
      </c>
      <c r="J95" t="s">
        <v>931</v>
      </c>
      <c r="K95" t="s">
        <v>797</v>
      </c>
    </row>
    <row r="96" spans="2:11" x14ac:dyDescent="0.25">
      <c r="B96" s="191"/>
      <c r="C96" s="191" t="s">
        <v>969</v>
      </c>
      <c r="D96" s="192"/>
      <c r="E96" s="185" t="s">
        <v>970</v>
      </c>
      <c r="F96" s="192" t="s">
        <v>789</v>
      </c>
      <c r="G96" s="192" t="s">
        <v>790</v>
      </c>
      <c r="H96" s="192" t="s">
        <v>790</v>
      </c>
      <c r="I96" t="s">
        <v>820</v>
      </c>
    </row>
    <row r="97" spans="2:11" x14ac:dyDescent="0.25">
      <c r="B97" s="191"/>
      <c r="C97" s="191"/>
      <c r="D97" s="192" t="s">
        <v>971</v>
      </c>
      <c r="E97" t="s">
        <v>972</v>
      </c>
      <c r="F97" s="192" t="s">
        <v>930</v>
      </c>
      <c r="G97" s="192" t="s">
        <v>790</v>
      </c>
      <c r="H97" s="192" t="s">
        <v>790</v>
      </c>
      <c r="I97" t="s">
        <v>820</v>
      </c>
      <c r="J97" t="s">
        <v>931</v>
      </c>
      <c r="K97" t="s">
        <v>797</v>
      </c>
    </row>
    <row r="98" spans="2:11" x14ac:dyDescent="0.25">
      <c r="B98" s="191"/>
      <c r="C98" s="191"/>
      <c r="D98" s="192" t="s">
        <v>973</v>
      </c>
      <c r="E98" t="s">
        <v>974</v>
      </c>
      <c r="F98" s="192" t="s">
        <v>930</v>
      </c>
      <c r="G98" s="192" t="s">
        <v>790</v>
      </c>
      <c r="H98" s="192" t="s">
        <v>790</v>
      </c>
      <c r="I98" t="s">
        <v>820</v>
      </c>
      <c r="J98" t="s">
        <v>931</v>
      </c>
      <c r="K98" t="s">
        <v>797</v>
      </c>
    </row>
    <row r="99" spans="2:11" x14ac:dyDescent="0.25">
      <c r="B99" s="191"/>
      <c r="C99" s="191" t="s">
        <v>975</v>
      </c>
      <c r="D99" s="192"/>
      <c r="E99" s="185" t="s">
        <v>976</v>
      </c>
      <c r="F99" s="192" t="s">
        <v>789</v>
      </c>
      <c r="G99" s="192" t="s">
        <v>790</v>
      </c>
      <c r="H99" s="192" t="s">
        <v>790</v>
      </c>
      <c r="I99" t="s">
        <v>820</v>
      </c>
    </row>
    <row r="100" spans="2:11" x14ac:dyDescent="0.25">
      <c r="B100" s="191"/>
      <c r="C100" s="191"/>
      <c r="D100" s="192" t="s">
        <v>977</v>
      </c>
      <c r="E100" t="s">
        <v>978</v>
      </c>
      <c r="F100" s="192" t="s">
        <v>979</v>
      </c>
      <c r="G100" s="192" t="s">
        <v>790</v>
      </c>
      <c r="H100" s="192" t="s">
        <v>790</v>
      </c>
      <c r="I100" t="s">
        <v>820</v>
      </c>
      <c r="J100" t="s">
        <v>796</v>
      </c>
      <c r="K100" t="s">
        <v>797</v>
      </c>
    </row>
    <row r="101" spans="2:11" x14ac:dyDescent="0.25">
      <c r="B101" s="191"/>
      <c r="C101" s="191"/>
      <c r="D101" s="192" t="s">
        <v>980</v>
      </c>
      <c r="E101" t="s">
        <v>981</v>
      </c>
      <c r="F101" s="192" t="s">
        <v>979</v>
      </c>
      <c r="G101" s="192" t="s">
        <v>790</v>
      </c>
      <c r="H101" s="192" t="s">
        <v>790</v>
      </c>
      <c r="I101" t="s">
        <v>820</v>
      </c>
      <c r="J101" t="s">
        <v>796</v>
      </c>
      <c r="K101" t="s">
        <v>797</v>
      </c>
    </row>
    <row r="102" spans="2:11" x14ac:dyDescent="0.25">
      <c r="B102" s="191"/>
      <c r="C102" s="191"/>
      <c r="D102" s="192" t="s">
        <v>982</v>
      </c>
      <c r="E102" t="s">
        <v>983</v>
      </c>
      <c r="F102" s="192" t="s">
        <v>979</v>
      </c>
      <c r="G102" s="192" t="s">
        <v>790</v>
      </c>
      <c r="H102" s="192" t="s">
        <v>790</v>
      </c>
      <c r="I102" t="s">
        <v>820</v>
      </c>
      <c r="J102" t="s">
        <v>796</v>
      </c>
      <c r="K102" t="s">
        <v>797</v>
      </c>
    </row>
    <row r="103" spans="2:11" x14ac:dyDescent="0.25">
      <c r="B103" s="191" t="s">
        <v>984</v>
      </c>
      <c r="C103" s="191"/>
      <c r="D103" s="192"/>
      <c r="E103" s="185" t="s">
        <v>985</v>
      </c>
      <c r="F103" s="192" t="s">
        <v>789</v>
      </c>
      <c r="G103" s="192" t="s">
        <v>790</v>
      </c>
      <c r="H103" s="192" t="s">
        <v>790</v>
      </c>
      <c r="I103" t="s">
        <v>820</v>
      </c>
    </row>
    <row r="104" spans="2:11" x14ac:dyDescent="0.25">
      <c r="B104" s="191"/>
      <c r="C104" s="191" t="s">
        <v>986</v>
      </c>
      <c r="D104" s="192"/>
      <c r="E104" s="185" t="s">
        <v>987</v>
      </c>
      <c r="F104" s="192" t="s">
        <v>789</v>
      </c>
      <c r="G104" s="192" t="s">
        <v>790</v>
      </c>
      <c r="H104" s="192" t="s">
        <v>790</v>
      </c>
      <c r="I104" t="s">
        <v>820</v>
      </c>
    </row>
    <row r="105" spans="2:11" x14ac:dyDescent="0.25">
      <c r="B105" s="191"/>
      <c r="C105" s="191" t="s">
        <v>988</v>
      </c>
      <c r="D105" s="192"/>
      <c r="E105" s="185" t="s">
        <v>989</v>
      </c>
      <c r="F105" s="192" t="s">
        <v>789</v>
      </c>
      <c r="G105" s="192" t="s">
        <v>790</v>
      </c>
      <c r="H105" s="192" t="s">
        <v>790</v>
      </c>
      <c r="I105" t="s">
        <v>820</v>
      </c>
    </row>
    <row r="106" spans="2:11" x14ac:dyDescent="0.25">
      <c r="B106" s="191"/>
      <c r="C106" s="191"/>
      <c r="D106" s="192" t="s">
        <v>990</v>
      </c>
      <c r="E106" t="s">
        <v>991</v>
      </c>
      <c r="F106" s="192" t="s">
        <v>992</v>
      </c>
      <c r="G106" s="192" t="s">
        <v>790</v>
      </c>
      <c r="H106" s="192" t="s">
        <v>790</v>
      </c>
      <c r="I106" t="s">
        <v>820</v>
      </c>
      <c r="J106" t="s">
        <v>865</v>
      </c>
      <c r="K106" t="s">
        <v>797</v>
      </c>
    </row>
    <row r="107" spans="2:11" x14ac:dyDescent="0.25">
      <c r="B107" s="191"/>
      <c r="C107" s="191"/>
      <c r="D107" s="192" t="s">
        <v>993</v>
      </c>
      <c r="E107" t="s">
        <v>994</v>
      </c>
      <c r="F107" s="192" t="s">
        <v>992</v>
      </c>
      <c r="G107" s="192" t="s">
        <v>790</v>
      </c>
      <c r="H107" s="192" t="s">
        <v>790</v>
      </c>
      <c r="I107" t="s">
        <v>820</v>
      </c>
      <c r="J107" t="s">
        <v>865</v>
      </c>
      <c r="K107" t="s">
        <v>797</v>
      </c>
    </row>
    <row r="108" spans="2:11" x14ac:dyDescent="0.25">
      <c r="B108" s="191"/>
      <c r="C108" s="191" t="s">
        <v>995</v>
      </c>
      <c r="D108" s="192"/>
      <c r="E108" s="185" t="s">
        <v>996</v>
      </c>
      <c r="F108" s="192" t="s">
        <v>789</v>
      </c>
      <c r="G108" s="192" t="s">
        <v>790</v>
      </c>
      <c r="H108" s="192" t="s">
        <v>790</v>
      </c>
      <c r="I108" t="s">
        <v>820</v>
      </c>
    </row>
    <row r="109" spans="2:11" x14ac:dyDescent="0.25">
      <c r="B109" s="191"/>
      <c r="C109" s="191"/>
      <c r="D109" s="192" t="s">
        <v>997</v>
      </c>
      <c r="E109" t="s">
        <v>998</v>
      </c>
      <c r="F109" s="192" t="s">
        <v>992</v>
      </c>
      <c r="G109" s="192" t="s">
        <v>790</v>
      </c>
      <c r="H109" s="192" t="s">
        <v>790</v>
      </c>
      <c r="I109" t="s">
        <v>820</v>
      </c>
      <c r="J109" t="s">
        <v>865</v>
      </c>
      <c r="K109" t="s">
        <v>797</v>
      </c>
    </row>
    <row r="110" spans="2:11" x14ac:dyDescent="0.25">
      <c r="B110" s="191"/>
      <c r="C110" s="191"/>
      <c r="D110" s="192" t="s">
        <v>999</v>
      </c>
      <c r="E110" t="s">
        <v>1000</v>
      </c>
      <c r="F110" s="192" t="s">
        <v>992</v>
      </c>
      <c r="G110" s="192" t="s">
        <v>790</v>
      </c>
      <c r="H110" s="192" t="s">
        <v>790</v>
      </c>
      <c r="I110" t="s">
        <v>820</v>
      </c>
      <c r="J110" t="s">
        <v>865</v>
      </c>
      <c r="K110" t="s">
        <v>797</v>
      </c>
    </row>
    <row r="111" spans="2:11" x14ac:dyDescent="0.25">
      <c r="B111" s="191"/>
      <c r="C111" s="191" t="s">
        <v>1001</v>
      </c>
      <c r="D111" s="192"/>
      <c r="E111" s="185" t="s">
        <v>1002</v>
      </c>
      <c r="F111" s="192" t="s">
        <v>789</v>
      </c>
      <c r="G111" s="192" t="s">
        <v>790</v>
      </c>
      <c r="H111" s="192" t="s">
        <v>790</v>
      </c>
      <c r="I111" t="s">
        <v>820</v>
      </c>
    </row>
    <row r="112" spans="2:11" x14ac:dyDescent="0.25">
      <c r="B112" s="191"/>
      <c r="C112" s="191"/>
      <c r="D112" s="192" t="s">
        <v>1003</v>
      </c>
      <c r="E112" t="s">
        <v>1004</v>
      </c>
      <c r="F112" s="192" t="s">
        <v>992</v>
      </c>
      <c r="G112" s="192" t="s">
        <v>790</v>
      </c>
      <c r="H112" s="192" t="s">
        <v>790</v>
      </c>
      <c r="I112" t="s">
        <v>820</v>
      </c>
      <c r="J112" t="s">
        <v>865</v>
      </c>
      <c r="K112" t="s">
        <v>797</v>
      </c>
    </row>
    <row r="113" spans="2:11" x14ac:dyDescent="0.25">
      <c r="B113" s="191"/>
      <c r="C113" s="191"/>
      <c r="D113" s="192" t="s">
        <v>1005</v>
      </c>
      <c r="E113" t="s">
        <v>1006</v>
      </c>
      <c r="F113" s="192" t="s">
        <v>992</v>
      </c>
      <c r="G113" s="192" t="s">
        <v>790</v>
      </c>
      <c r="H113" s="192" t="s">
        <v>790</v>
      </c>
      <c r="I113" t="s">
        <v>820</v>
      </c>
      <c r="J113" t="s">
        <v>865</v>
      </c>
      <c r="K113" t="s">
        <v>797</v>
      </c>
    </row>
    <row r="114" spans="2:11" x14ac:dyDescent="0.25">
      <c r="B114" s="191"/>
      <c r="C114" s="191" t="s">
        <v>1007</v>
      </c>
      <c r="D114" s="192"/>
      <c r="E114" s="185" t="s">
        <v>1008</v>
      </c>
      <c r="F114" s="192" t="s">
        <v>789</v>
      </c>
      <c r="G114" s="192" t="s">
        <v>790</v>
      </c>
      <c r="H114" s="192" t="s">
        <v>790</v>
      </c>
      <c r="I114" t="s">
        <v>820</v>
      </c>
    </row>
    <row r="115" spans="2:11" x14ac:dyDescent="0.25">
      <c r="B115" s="191"/>
      <c r="C115" s="191"/>
      <c r="D115" s="192" t="s">
        <v>1009</v>
      </c>
      <c r="E115" t="s">
        <v>1010</v>
      </c>
      <c r="F115" s="192" t="s">
        <v>992</v>
      </c>
      <c r="G115" s="192" t="s">
        <v>790</v>
      </c>
      <c r="H115" s="192" t="s">
        <v>790</v>
      </c>
      <c r="I115" t="s">
        <v>820</v>
      </c>
      <c r="J115" t="s">
        <v>865</v>
      </c>
      <c r="K115" t="s">
        <v>797</v>
      </c>
    </row>
    <row r="116" spans="2:11" x14ac:dyDescent="0.25">
      <c r="B116" s="191"/>
      <c r="C116" s="191"/>
      <c r="D116" s="192" t="s">
        <v>1011</v>
      </c>
      <c r="E116" t="s">
        <v>1012</v>
      </c>
      <c r="F116" s="192" t="s">
        <v>992</v>
      </c>
      <c r="G116" s="192" t="s">
        <v>790</v>
      </c>
      <c r="H116" s="192" t="s">
        <v>790</v>
      </c>
      <c r="I116" t="s">
        <v>820</v>
      </c>
      <c r="J116" t="s">
        <v>865</v>
      </c>
      <c r="K116" t="s">
        <v>797</v>
      </c>
    </row>
    <row r="117" spans="2:11" x14ac:dyDescent="0.25">
      <c r="B117" s="191"/>
      <c r="C117" s="191" t="s">
        <v>1013</v>
      </c>
      <c r="D117" s="192"/>
      <c r="E117" s="185" t="s">
        <v>1014</v>
      </c>
      <c r="F117" s="192" t="s">
        <v>789</v>
      </c>
      <c r="G117" s="192" t="s">
        <v>790</v>
      </c>
      <c r="H117" s="192" t="s">
        <v>790</v>
      </c>
      <c r="I117" t="s">
        <v>820</v>
      </c>
    </row>
    <row r="118" spans="2:11" x14ac:dyDescent="0.25">
      <c r="B118" s="191"/>
      <c r="C118" s="191"/>
      <c r="D118" s="192" t="s">
        <v>1015</v>
      </c>
      <c r="E118" t="s">
        <v>1016</v>
      </c>
      <c r="F118" s="192" t="s">
        <v>992</v>
      </c>
      <c r="G118" s="192" t="s">
        <v>790</v>
      </c>
      <c r="H118" s="192" t="s">
        <v>790</v>
      </c>
      <c r="I118" t="s">
        <v>820</v>
      </c>
      <c r="J118" t="s">
        <v>865</v>
      </c>
      <c r="K118" t="s">
        <v>797</v>
      </c>
    </row>
    <row r="119" spans="2:11" x14ac:dyDescent="0.25">
      <c r="B119" s="191"/>
      <c r="C119" s="191"/>
      <c r="D119" s="192" t="s">
        <v>1017</v>
      </c>
      <c r="E119" t="s">
        <v>1018</v>
      </c>
      <c r="F119" s="192" t="s">
        <v>992</v>
      </c>
      <c r="G119" s="192" t="s">
        <v>790</v>
      </c>
      <c r="H119" s="192" t="s">
        <v>790</v>
      </c>
      <c r="I119" t="s">
        <v>820</v>
      </c>
      <c r="J119" t="s">
        <v>865</v>
      </c>
      <c r="K119" t="s">
        <v>797</v>
      </c>
    </row>
    <row r="120" spans="2:11" x14ac:dyDescent="0.25">
      <c r="B120" s="191"/>
      <c r="C120" s="191" t="s">
        <v>1019</v>
      </c>
      <c r="D120" s="192"/>
      <c r="E120" s="185" t="s">
        <v>1020</v>
      </c>
      <c r="F120" s="192" t="s">
        <v>789</v>
      </c>
      <c r="G120" s="192" t="s">
        <v>790</v>
      </c>
      <c r="H120" s="192" t="s">
        <v>790</v>
      </c>
      <c r="I120" t="s">
        <v>820</v>
      </c>
    </row>
    <row r="121" spans="2:11" x14ac:dyDescent="0.25">
      <c r="B121" s="191"/>
      <c r="C121" s="191" t="s">
        <v>1021</v>
      </c>
      <c r="D121" s="192"/>
      <c r="E121" s="185" t="s">
        <v>1020</v>
      </c>
      <c r="F121" s="192" t="s">
        <v>789</v>
      </c>
      <c r="G121" s="192" t="s">
        <v>790</v>
      </c>
      <c r="H121" s="192" t="s">
        <v>790</v>
      </c>
      <c r="I121" t="s">
        <v>820</v>
      </c>
    </row>
    <row r="122" spans="2:11" x14ac:dyDescent="0.25">
      <c r="B122" s="191"/>
      <c r="C122" s="191"/>
      <c r="D122" s="192" t="s">
        <v>1022</v>
      </c>
      <c r="E122" t="s">
        <v>1023</v>
      </c>
      <c r="F122" s="192" t="s">
        <v>992</v>
      </c>
      <c r="G122" s="192" t="s">
        <v>790</v>
      </c>
      <c r="H122" s="192" t="s">
        <v>790</v>
      </c>
      <c r="I122" t="s">
        <v>820</v>
      </c>
      <c r="J122" t="s">
        <v>865</v>
      </c>
      <c r="K122" t="s">
        <v>797</v>
      </c>
    </row>
    <row r="123" spans="2:11" x14ac:dyDescent="0.25">
      <c r="B123" s="191"/>
      <c r="C123" s="191"/>
      <c r="D123" s="192" t="s">
        <v>1024</v>
      </c>
      <c r="E123" t="s">
        <v>1025</v>
      </c>
      <c r="F123" s="192" t="s">
        <v>992</v>
      </c>
      <c r="G123" s="192" t="s">
        <v>790</v>
      </c>
      <c r="H123" s="192" t="s">
        <v>790</v>
      </c>
      <c r="I123" t="s">
        <v>820</v>
      </c>
      <c r="J123" t="s">
        <v>865</v>
      </c>
      <c r="K123" t="s">
        <v>797</v>
      </c>
    </row>
    <row r="124" spans="2:11" x14ac:dyDescent="0.25">
      <c r="B124" s="191"/>
      <c r="C124" s="191" t="s">
        <v>1026</v>
      </c>
      <c r="D124" s="192"/>
      <c r="E124" s="185" t="s">
        <v>1027</v>
      </c>
      <c r="F124" s="192" t="s">
        <v>789</v>
      </c>
      <c r="G124" s="192" t="s">
        <v>790</v>
      </c>
      <c r="H124" s="192" t="s">
        <v>790</v>
      </c>
      <c r="I124" t="s">
        <v>820</v>
      </c>
    </row>
    <row r="125" spans="2:11" x14ac:dyDescent="0.25">
      <c r="B125" s="191"/>
      <c r="C125" s="191" t="s">
        <v>1028</v>
      </c>
      <c r="D125" s="192"/>
      <c r="E125" s="185" t="s">
        <v>1029</v>
      </c>
      <c r="F125" s="192" t="s">
        <v>789</v>
      </c>
      <c r="G125" s="192" t="s">
        <v>790</v>
      </c>
      <c r="H125" s="192" t="s">
        <v>790</v>
      </c>
      <c r="I125" t="s">
        <v>820</v>
      </c>
    </row>
    <row r="126" spans="2:11" x14ac:dyDescent="0.25">
      <c r="B126" s="191"/>
      <c r="C126" s="191"/>
      <c r="D126" s="192" t="s">
        <v>1030</v>
      </c>
      <c r="E126" t="s">
        <v>1031</v>
      </c>
      <c r="F126" s="192" t="s">
        <v>992</v>
      </c>
      <c r="G126" s="192" t="s">
        <v>790</v>
      </c>
      <c r="H126" s="192" t="s">
        <v>790</v>
      </c>
      <c r="I126" t="s">
        <v>820</v>
      </c>
      <c r="J126" t="s">
        <v>865</v>
      </c>
      <c r="K126" t="s">
        <v>797</v>
      </c>
    </row>
    <row r="127" spans="2:11" x14ac:dyDescent="0.25">
      <c r="B127" s="191"/>
      <c r="C127" s="191"/>
      <c r="D127" s="192" t="s">
        <v>1032</v>
      </c>
      <c r="E127" t="s">
        <v>1033</v>
      </c>
      <c r="F127" s="192" t="s">
        <v>992</v>
      </c>
      <c r="G127" s="192" t="s">
        <v>790</v>
      </c>
      <c r="H127" s="192" t="s">
        <v>790</v>
      </c>
      <c r="I127" t="s">
        <v>820</v>
      </c>
      <c r="J127" t="s">
        <v>865</v>
      </c>
      <c r="K127" t="s">
        <v>797</v>
      </c>
    </row>
    <row r="128" spans="2:11" x14ac:dyDescent="0.25">
      <c r="B128" s="191"/>
      <c r="C128" s="191" t="s">
        <v>1034</v>
      </c>
      <c r="D128" s="192"/>
      <c r="E128" s="185" t="s">
        <v>1035</v>
      </c>
      <c r="F128" s="192" t="s">
        <v>789</v>
      </c>
      <c r="G128" s="192" t="s">
        <v>790</v>
      </c>
      <c r="H128" s="192" t="s">
        <v>790</v>
      </c>
      <c r="I128" t="s">
        <v>820</v>
      </c>
    </row>
    <row r="129" spans="2:11" x14ac:dyDescent="0.25">
      <c r="B129" s="191"/>
      <c r="C129" s="191"/>
      <c r="D129" s="192" t="s">
        <v>1036</v>
      </c>
      <c r="E129" t="s">
        <v>1037</v>
      </c>
      <c r="F129" s="192" t="s">
        <v>992</v>
      </c>
      <c r="G129" s="192" t="s">
        <v>790</v>
      </c>
      <c r="H129" s="192" t="s">
        <v>790</v>
      </c>
      <c r="I129" t="s">
        <v>820</v>
      </c>
      <c r="J129" t="s">
        <v>865</v>
      </c>
      <c r="K129" t="s">
        <v>797</v>
      </c>
    </row>
    <row r="130" spans="2:11" x14ac:dyDescent="0.25">
      <c r="B130" s="191"/>
      <c r="C130" s="191"/>
      <c r="D130" s="192" t="s">
        <v>1038</v>
      </c>
      <c r="E130" t="s">
        <v>1039</v>
      </c>
      <c r="F130" s="192" t="s">
        <v>992</v>
      </c>
      <c r="G130" s="192" t="s">
        <v>790</v>
      </c>
      <c r="H130" s="192" t="s">
        <v>790</v>
      </c>
      <c r="I130" t="s">
        <v>820</v>
      </c>
      <c r="J130" t="s">
        <v>865</v>
      </c>
      <c r="K130" t="s">
        <v>797</v>
      </c>
    </row>
    <row r="131" spans="2:11" x14ac:dyDescent="0.25">
      <c r="B131" s="191" t="s">
        <v>1040</v>
      </c>
      <c r="C131" s="191"/>
      <c r="D131" s="192"/>
      <c r="E131" s="185" t="s">
        <v>1041</v>
      </c>
      <c r="F131" s="192" t="s">
        <v>789</v>
      </c>
      <c r="G131" s="192" t="s">
        <v>790</v>
      </c>
      <c r="H131" s="192" t="s">
        <v>790</v>
      </c>
      <c r="I131" t="s">
        <v>820</v>
      </c>
      <c r="J131" t="s">
        <v>865</v>
      </c>
    </row>
    <row r="132" spans="2:11" x14ac:dyDescent="0.25">
      <c r="B132" s="191"/>
      <c r="C132" s="191" t="s">
        <v>1042</v>
      </c>
      <c r="D132" s="192"/>
      <c r="E132" s="185" t="s">
        <v>1043</v>
      </c>
      <c r="F132" s="192" t="s">
        <v>789</v>
      </c>
      <c r="G132" s="192" t="s">
        <v>790</v>
      </c>
      <c r="H132" s="192" t="s">
        <v>790</v>
      </c>
      <c r="I132" t="s">
        <v>820</v>
      </c>
    </row>
    <row r="133" spans="2:11" x14ac:dyDescent="0.25">
      <c r="B133" s="191"/>
      <c r="C133" s="191"/>
      <c r="D133" s="192" t="s">
        <v>1044</v>
      </c>
      <c r="E133" t="s">
        <v>1045</v>
      </c>
      <c r="F133" s="192" t="s">
        <v>1046</v>
      </c>
      <c r="G133" s="192" t="s">
        <v>790</v>
      </c>
      <c r="H133" s="192" t="s">
        <v>790</v>
      </c>
      <c r="I133" t="s">
        <v>820</v>
      </c>
      <c r="J133" t="s">
        <v>796</v>
      </c>
      <c r="K133" t="s">
        <v>797</v>
      </c>
    </row>
    <row r="134" spans="2:11" x14ac:dyDescent="0.25">
      <c r="B134" s="191"/>
      <c r="C134" s="191"/>
      <c r="D134" s="192" t="s">
        <v>1047</v>
      </c>
      <c r="E134" t="s">
        <v>1048</v>
      </c>
      <c r="F134" s="192" t="s">
        <v>1046</v>
      </c>
      <c r="G134" s="192" t="s">
        <v>790</v>
      </c>
      <c r="H134" s="192" t="s">
        <v>790</v>
      </c>
      <c r="I134" t="s">
        <v>820</v>
      </c>
      <c r="J134" t="s">
        <v>796</v>
      </c>
      <c r="K134" t="s">
        <v>797</v>
      </c>
    </row>
    <row r="135" spans="2:11" x14ac:dyDescent="0.25">
      <c r="B135" s="191"/>
      <c r="C135" s="191"/>
      <c r="D135" s="192" t="s">
        <v>1049</v>
      </c>
      <c r="E135" t="s">
        <v>1050</v>
      </c>
      <c r="F135" s="192" t="s">
        <v>1046</v>
      </c>
      <c r="G135" s="192" t="s">
        <v>790</v>
      </c>
      <c r="H135" s="192" t="s">
        <v>790</v>
      </c>
      <c r="I135" t="s">
        <v>820</v>
      </c>
      <c r="J135" t="s">
        <v>796</v>
      </c>
      <c r="K135" t="s">
        <v>797</v>
      </c>
    </row>
    <row r="136" spans="2:11" x14ac:dyDescent="0.25">
      <c r="B136" s="191"/>
      <c r="C136" s="191"/>
      <c r="D136" s="192" t="s">
        <v>1051</v>
      </c>
      <c r="E136" t="s">
        <v>1052</v>
      </c>
      <c r="F136" s="192" t="s">
        <v>1046</v>
      </c>
      <c r="G136" s="192" t="s">
        <v>790</v>
      </c>
      <c r="H136" s="192" t="s">
        <v>790</v>
      </c>
      <c r="I136" t="s">
        <v>820</v>
      </c>
      <c r="J136" t="s">
        <v>796</v>
      </c>
      <c r="K136" t="s">
        <v>797</v>
      </c>
    </row>
    <row r="137" spans="2:11" x14ac:dyDescent="0.25">
      <c r="B137" s="191"/>
      <c r="C137" s="191" t="s">
        <v>1053</v>
      </c>
      <c r="D137" s="192"/>
      <c r="E137" s="185" t="s">
        <v>1054</v>
      </c>
      <c r="F137" s="192" t="s">
        <v>789</v>
      </c>
      <c r="G137" s="192" t="s">
        <v>790</v>
      </c>
      <c r="H137" s="192" t="s">
        <v>790</v>
      </c>
      <c r="I137" t="s">
        <v>820</v>
      </c>
    </row>
    <row r="138" spans="2:11" x14ac:dyDescent="0.25">
      <c r="B138" s="191"/>
      <c r="C138" s="191"/>
      <c r="D138" s="192" t="s">
        <v>1055</v>
      </c>
      <c r="E138" t="s">
        <v>1056</v>
      </c>
      <c r="F138" s="192" t="s">
        <v>1046</v>
      </c>
      <c r="G138" s="192" t="s">
        <v>790</v>
      </c>
      <c r="H138" s="192" t="s">
        <v>790</v>
      </c>
      <c r="I138" t="s">
        <v>820</v>
      </c>
      <c r="J138" t="s">
        <v>796</v>
      </c>
      <c r="K138" t="s">
        <v>797</v>
      </c>
    </row>
    <row r="139" spans="2:11" x14ac:dyDescent="0.25">
      <c r="B139" s="191"/>
      <c r="C139" s="191" t="s">
        <v>1057</v>
      </c>
      <c r="D139" s="192"/>
      <c r="E139" s="185" t="s">
        <v>1058</v>
      </c>
      <c r="F139" s="192" t="s">
        <v>789</v>
      </c>
      <c r="G139" s="192" t="s">
        <v>790</v>
      </c>
      <c r="H139" s="192" t="s">
        <v>790</v>
      </c>
      <c r="I139" t="s">
        <v>820</v>
      </c>
    </row>
    <row r="140" spans="2:11" x14ac:dyDescent="0.25">
      <c r="B140" s="191"/>
      <c r="C140" s="191"/>
      <c r="D140" s="192" t="s">
        <v>1059</v>
      </c>
      <c r="E140" t="s">
        <v>1060</v>
      </c>
      <c r="F140" s="192" t="s">
        <v>1046</v>
      </c>
      <c r="G140" s="192" t="s">
        <v>790</v>
      </c>
      <c r="H140" s="192" t="s">
        <v>790</v>
      </c>
      <c r="I140" t="s">
        <v>820</v>
      </c>
      <c r="J140" t="s">
        <v>796</v>
      </c>
      <c r="K140" t="s">
        <v>797</v>
      </c>
    </row>
    <row r="141" spans="2:11" x14ac:dyDescent="0.25">
      <c r="B141" s="191"/>
      <c r="C141" s="191"/>
      <c r="D141" s="192" t="s">
        <v>1061</v>
      </c>
      <c r="E141" t="s">
        <v>1062</v>
      </c>
      <c r="F141" s="192" t="s">
        <v>1046</v>
      </c>
      <c r="G141" s="192" t="s">
        <v>790</v>
      </c>
      <c r="H141" s="192" t="s">
        <v>790</v>
      </c>
      <c r="I141" t="s">
        <v>820</v>
      </c>
      <c r="J141" t="s">
        <v>796</v>
      </c>
      <c r="K141" t="s">
        <v>797</v>
      </c>
    </row>
    <row r="142" spans="2:11" x14ac:dyDescent="0.25">
      <c r="B142" s="191"/>
      <c r="C142" s="191"/>
      <c r="D142" s="192" t="s">
        <v>1063</v>
      </c>
      <c r="E142" t="s">
        <v>1064</v>
      </c>
      <c r="F142" s="192" t="s">
        <v>1046</v>
      </c>
      <c r="G142" s="192" t="s">
        <v>790</v>
      </c>
      <c r="H142" s="192" t="s">
        <v>790</v>
      </c>
      <c r="I142" t="s">
        <v>820</v>
      </c>
      <c r="J142" t="s">
        <v>796</v>
      </c>
      <c r="K142" t="s">
        <v>797</v>
      </c>
    </row>
    <row r="143" spans="2:11" x14ac:dyDescent="0.25">
      <c r="B143" s="191" t="s">
        <v>1065</v>
      </c>
      <c r="C143" s="191"/>
      <c r="D143" s="192"/>
      <c r="E143" s="185" t="s">
        <v>1066</v>
      </c>
      <c r="F143" s="192" t="s">
        <v>789</v>
      </c>
      <c r="G143" s="192" t="s">
        <v>790</v>
      </c>
      <c r="H143" s="192" t="s">
        <v>790</v>
      </c>
      <c r="I143" t="s">
        <v>820</v>
      </c>
    </row>
    <row r="144" spans="2:11" x14ac:dyDescent="0.25">
      <c r="B144" s="191"/>
      <c r="C144" s="191" t="s">
        <v>1067</v>
      </c>
      <c r="D144" s="192"/>
      <c r="E144" s="185" t="s">
        <v>1068</v>
      </c>
      <c r="F144" s="192" t="s">
        <v>789</v>
      </c>
      <c r="G144" s="192" t="s">
        <v>790</v>
      </c>
      <c r="H144" s="192" t="s">
        <v>790</v>
      </c>
      <c r="I144" t="s">
        <v>820</v>
      </c>
    </row>
    <row r="145" spans="2:11" x14ac:dyDescent="0.25">
      <c r="B145" s="191"/>
      <c r="C145" s="191"/>
      <c r="D145" s="192" t="s">
        <v>1069</v>
      </c>
      <c r="E145" t="s">
        <v>1070</v>
      </c>
      <c r="F145" s="192" t="s">
        <v>1071</v>
      </c>
      <c r="G145" s="192" t="s">
        <v>790</v>
      </c>
      <c r="H145" s="192" t="s">
        <v>790</v>
      </c>
      <c r="I145" t="s">
        <v>820</v>
      </c>
      <c r="J145" t="s">
        <v>796</v>
      </c>
      <c r="K145" t="s">
        <v>797</v>
      </c>
    </row>
    <row r="146" spans="2:11" x14ac:dyDescent="0.25">
      <c r="B146" s="191"/>
      <c r="C146" s="191"/>
      <c r="D146" s="192" t="s">
        <v>1072</v>
      </c>
      <c r="E146" t="s">
        <v>1073</v>
      </c>
      <c r="F146" s="192" t="s">
        <v>1071</v>
      </c>
      <c r="G146" s="192" t="s">
        <v>790</v>
      </c>
      <c r="H146" s="192" t="s">
        <v>790</v>
      </c>
      <c r="I146" t="s">
        <v>820</v>
      </c>
      <c r="J146" t="s">
        <v>796</v>
      </c>
      <c r="K146" t="s">
        <v>797</v>
      </c>
    </row>
    <row r="147" spans="2:11" x14ac:dyDescent="0.25">
      <c r="B147" s="191"/>
      <c r="C147" s="191"/>
      <c r="D147" s="192" t="s">
        <v>1074</v>
      </c>
      <c r="E147" t="s">
        <v>1075</v>
      </c>
      <c r="F147" s="192" t="s">
        <v>1071</v>
      </c>
      <c r="G147" s="192" t="s">
        <v>790</v>
      </c>
      <c r="H147" s="192" t="s">
        <v>790</v>
      </c>
      <c r="I147" t="s">
        <v>820</v>
      </c>
      <c r="J147" t="s">
        <v>796</v>
      </c>
      <c r="K147" t="s">
        <v>797</v>
      </c>
    </row>
    <row r="148" spans="2:11" x14ac:dyDescent="0.25">
      <c r="B148" s="191"/>
      <c r="C148" s="191"/>
      <c r="D148" s="192" t="s">
        <v>1076</v>
      </c>
      <c r="E148" t="s">
        <v>1077</v>
      </c>
      <c r="F148" s="192" t="s">
        <v>1071</v>
      </c>
      <c r="G148" s="192" t="s">
        <v>790</v>
      </c>
      <c r="H148" s="192" t="s">
        <v>790</v>
      </c>
      <c r="I148" t="s">
        <v>820</v>
      </c>
      <c r="J148" t="s">
        <v>796</v>
      </c>
      <c r="K148" t="s">
        <v>797</v>
      </c>
    </row>
    <row r="149" spans="2:11" x14ac:dyDescent="0.25">
      <c r="B149" s="191"/>
      <c r="C149" s="191" t="s">
        <v>1078</v>
      </c>
      <c r="D149" s="192"/>
      <c r="E149" s="185" t="s">
        <v>1079</v>
      </c>
      <c r="F149" s="192" t="s">
        <v>789</v>
      </c>
      <c r="G149" s="192" t="s">
        <v>790</v>
      </c>
      <c r="H149" s="192" t="s">
        <v>790</v>
      </c>
      <c r="I149" t="s">
        <v>820</v>
      </c>
    </row>
    <row r="150" spans="2:11" x14ac:dyDescent="0.25">
      <c r="B150" s="191"/>
      <c r="C150" s="191"/>
      <c r="D150" s="192" t="s">
        <v>1080</v>
      </c>
      <c r="E150" t="s">
        <v>1081</v>
      </c>
      <c r="F150" s="192" t="s">
        <v>1071</v>
      </c>
      <c r="G150" s="192" t="s">
        <v>790</v>
      </c>
      <c r="H150" s="192" t="s">
        <v>790</v>
      </c>
      <c r="I150" t="s">
        <v>820</v>
      </c>
      <c r="J150" t="s">
        <v>796</v>
      </c>
      <c r="K150" t="s">
        <v>797</v>
      </c>
    </row>
    <row r="151" spans="2:11" x14ac:dyDescent="0.25">
      <c r="B151" s="191"/>
      <c r="C151" s="191" t="s">
        <v>1082</v>
      </c>
      <c r="D151" s="192"/>
      <c r="E151" s="185" t="s">
        <v>1083</v>
      </c>
      <c r="F151" s="192" t="s">
        <v>789</v>
      </c>
      <c r="G151" s="192" t="s">
        <v>790</v>
      </c>
      <c r="H151" s="192" t="s">
        <v>790</v>
      </c>
      <c r="I151" t="s">
        <v>820</v>
      </c>
    </row>
    <row r="152" spans="2:11" x14ac:dyDescent="0.25">
      <c r="B152" s="191"/>
      <c r="C152" s="191"/>
      <c r="D152" s="192" t="s">
        <v>1084</v>
      </c>
      <c r="E152" t="s">
        <v>1085</v>
      </c>
      <c r="F152" s="192" t="s">
        <v>1071</v>
      </c>
      <c r="G152" s="192" t="s">
        <v>790</v>
      </c>
      <c r="H152" s="192" t="s">
        <v>790</v>
      </c>
      <c r="I152" t="s">
        <v>820</v>
      </c>
      <c r="J152" t="s">
        <v>796</v>
      </c>
      <c r="K152" t="s">
        <v>797</v>
      </c>
    </row>
    <row r="153" spans="2:11" x14ac:dyDescent="0.25">
      <c r="B153" s="191"/>
      <c r="C153" s="191"/>
      <c r="D153" s="192" t="s">
        <v>1086</v>
      </c>
      <c r="E153" t="s">
        <v>1087</v>
      </c>
      <c r="F153" s="192" t="s">
        <v>1071</v>
      </c>
      <c r="G153" s="192" t="s">
        <v>790</v>
      </c>
      <c r="H153" s="192" t="s">
        <v>790</v>
      </c>
      <c r="I153" t="s">
        <v>820</v>
      </c>
      <c r="J153" t="s">
        <v>796</v>
      </c>
      <c r="K153" t="s">
        <v>797</v>
      </c>
    </row>
    <row r="154" spans="2:11" x14ac:dyDescent="0.25">
      <c r="B154" s="191"/>
      <c r="C154" s="191"/>
      <c r="D154" s="192" t="s">
        <v>1088</v>
      </c>
      <c r="E154" t="s">
        <v>1089</v>
      </c>
      <c r="F154" s="192" t="s">
        <v>1071</v>
      </c>
      <c r="G154" s="192" t="s">
        <v>790</v>
      </c>
      <c r="H154" s="192" t="s">
        <v>790</v>
      </c>
      <c r="I154" t="s">
        <v>820</v>
      </c>
      <c r="J154" t="s">
        <v>796</v>
      </c>
      <c r="K154" t="s">
        <v>797</v>
      </c>
    </row>
    <row r="155" spans="2:11" x14ac:dyDescent="0.25">
      <c r="B155" s="191" t="s">
        <v>1090</v>
      </c>
      <c r="C155" s="191"/>
      <c r="D155" s="192"/>
      <c r="E155" s="185" t="s">
        <v>1091</v>
      </c>
      <c r="F155" s="192" t="s">
        <v>789</v>
      </c>
      <c r="G155" s="192" t="s">
        <v>790</v>
      </c>
      <c r="H155" s="192" t="s">
        <v>790</v>
      </c>
      <c r="I155" t="s">
        <v>820</v>
      </c>
      <c r="J155" t="s">
        <v>865</v>
      </c>
    </row>
    <row r="156" spans="2:11" x14ac:dyDescent="0.25">
      <c r="B156" s="191"/>
      <c r="C156" s="191" t="s">
        <v>1092</v>
      </c>
      <c r="D156" s="192"/>
      <c r="E156" s="185" t="s">
        <v>1093</v>
      </c>
      <c r="F156" s="192" t="s">
        <v>789</v>
      </c>
      <c r="G156" s="192" t="s">
        <v>790</v>
      </c>
      <c r="H156" s="192" t="s">
        <v>790</v>
      </c>
      <c r="I156" t="s">
        <v>820</v>
      </c>
    </row>
    <row r="157" spans="2:11" x14ac:dyDescent="0.25">
      <c r="B157" s="191"/>
      <c r="C157" s="191"/>
      <c r="D157" s="192" t="s">
        <v>1094</v>
      </c>
      <c r="E157" t="s">
        <v>1095</v>
      </c>
      <c r="F157" s="192" t="s">
        <v>1096</v>
      </c>
      <c r="G157" s="192" t="s">
        <v>790</v>
      </c>
      <c r="H157" s="192" t="s">
        <v>790</v>
      </c>
      <c r="I157" t="s">
        <v>820</v>
      </c>
      <c r="J157" t="s">
        <v>796</v>
      </c>
      <c r="K157" t="s">
        <v>797</v>
      </c>
    </row>
    <row r="158" spans="2:11" x14ac:dyDescent="0.25">
      <c r="B158" s="191"/>
      <c r="C158" s="191"/>
      <c r="D158" s="192" t="s">
        <v>1097</v>
      </c>
      <c r="E158" t="s">
        <v>1098</v>
      </c>
      <c r="F158" s="192" t="s">
        <v>1096</v>
      </c>
      <c r="G158" s="192" t="s">
        <v>790</v>
      </c>
      <c r="H158" s="192" t="s">
        <v>790</v>
      </c>
      <c r="I158" t="s">
        <v>820</v>
      </c>
      <c r="J158" t="s">
        <v>796</v>
      </c>
      <c r="K158" t="s">
        <v>797</v>
      </c>
    </row>
    <row r="159" spans="2:11" x14ac:dyDescent="0.25">
      <c r="B159" s="191"/>
      <c r="C159" s="191"/>
      <c r="D159" s="192" t="s">
        <v>1099</v>
      </c>
      <c r="E159" t="s">
        <v>1100</v>
      </c>
      <c r="F159" s="192" t="s">
        <v>1096</v>
      </c>
      <c r="G159" s="192" t="s">
        <v>790</v>
      </c>
      <c r="H159" s="192" t="s">
        <v>790</v>
      </c>
      <c r="I159" t="s">
        <v>820</v>
      </c>
      <c r="J159" t="s">
        <v>796</v>
      </c>
      <c r="K159" t="s">
        <v>797</v>
      </c>
    </row>
    <row r="160" spans="2:11" x14ac:dyDescent="0.25">
      <c r="B160" s="191"/>
      <c r="C160" s="191"/>
      <c r="D160" s="192" t="s">
        <v>1101</v>
      </c>
      <c r="E160" t="s">
        <v>1102</v>
      </c>
      <c r="F160" s="192" t="s">
        <v>1096</v>
      </c>
      <c r="G160" s="192" t="s">
        <v>790</v>
      </c>
      <c r="H160" s="192" t="s">
        <v>790</v>
      </c>
      <c r="I160" t="s">
        <v>820</v>
      </c>
      <c r="J160" t="s">
        <v>796</v>
      </c>
      <c r="K160" t="s">
        <v>797</v>
      </c>
    </row>
    <row r="161" spans="2:11" x14ac:dyDescent="0.25">
      <c r="B161" s="191"/>
      <c r="C161" s="191" t="s">
        <v>1103</v>
      </c>
      <c r="D161" s="192"/>
      <c r="E161" s="185" t="s">
        <v>1104</v>
      </c>
      <c r="F161" s="192" t="s">
        <v>789</v>
      </c>
      <c r="G161" s="192" t="s">
        <v>790</v>
      </c>
      <c r="H161" s="192" t="s">
        <v>790</v>
      </c>
      <c r="I161" t="s">
        <v>820</v>
      </c>
    </row>
    <row r="162" spans="2:11" x14ac:dyDescent="0.25">
      <c r="B162" s="191"/>
      <c r="C162" s="191"/>
      <c r="D162" s="192" t="s">
        <v>1105</v>
      </c>
      <c r="E162" t="s">
        <v>1106</v>
      </c>
      <c r="F162" s="192" t="s">
        <v>1096</v>
      </c>
      <c r="G162" s="192" t="s">
        <v>790</v>
      </c>
      <c r="H162" s="192" t="s">
        <v>790</v>
      </c>
      <c r="I162" t="s">
        <v>820</v>
      </c>
      <c r="J162" t="s">
        <v>796</v>
      </c>
      <c r="K162" t="s">
        <v>797</v>
      </c>
    </row>
    <row r="163" spans="2:11" x14ac:dyDescent="0.25">
      <c r="B163" s="191"/>
      <c r="C163" s="191"/>
      <c r="D163" s="192" t="s">
        <v>1107</v>
      </c>
      <c r="E163" t="s">
        <v>1108</v>
      </c>
      <c r="F163" s="192" t="s">
        <v>1096</v>
      </c>
      <c r="G163" s="192" t="s">
        <v>790</v>
      </c>
      <c r="H163" s="192" t="s">
        <v>790</v>
      </c>
      <c r="I163" t="s">
        <v>820</v>
      </c>
      <c r="J163" t="s">
        <v>796</v>
      </c>
      <c r="K163" t="s">
        <v>797</v>
      </c>
    </row>
    <row r="164" spans="2:11" x14ac:dyDescent="0.25">
      <c r="B164" s="191"/>
      <c r="C164" s="191" t="s">
        <v>1109</v>
      </c>
      <c r="D164" s="192"/>
      <c r="E164" s="185" t="s">
        <v>1110</v>
      </c>
      <c r="F164" s="192" t="s">
        <v>789</v>
      </c>
      <c r="G164" s="192" t="s">
        <v>790</v>
      </c>
      <c r="H164" s="192" t="s">
        <v>790</v>
      </c>
      <c r="I164" t="s">
        <v>820</v>
      </c>
    </row>
    <row r="165" spans="2:11" x14ac:dyDescent="0.25">
      <c r="B165" s="191"/>
      <c r="C165" s="191"/>
      <c r="D165" s="192" t="s">
        <v>1111</v>
      </c>
      <c r="E165" t="s">
        <v>1112</v>
      </c>
      <c r="F165" s="192" t="s">
        <v>1096</v>
      </c>
      <c r="G165" s="192" t="s">
        <v>790</v>
      </c>
      <c r="H165" s="192" t="s">
        <v>790</v>
      </c>
      <c r="I165" t="s">
        <v>820</v>
      </c>
      <c r="J165" t="s">
        <v>796</v>
      </c>
      <c r="K165" t="s">
        <v>797</v>
      </c>
    </row>
    <row r="166" spans="2:11" x14ac:dyDescent="0.25">
      <c r="B166" s="191"/>
      <c r="C166" s="191"/>
      <c r="D166" s="192" t="s">
        <v>1113</v>
      </c>
      <c r="E166" t="s">
        <v>1114</v>
      </c>
      <c r="F166" s="192" t="s">
        <v>1096</v>
      </c>
      <c r="G166" s="192" t="s">
        <v>790</v>
      </c>
      <c r="H166" s="192" t="s">
        <v>790</v>
      </c>
      <c r="I166" t="s">
        <v>820</v>
      </c>
      <c r="J166" t="s">
        <v>796</v>
      </c>
      <c r="K166" t="s">
        <v>797</v>
      </c>
    </row>
    <row r="167" spans="2:11" x14ac:dyDescent="0.25">
      <c r="B167" s="191"/>
      <c r="C167" s="191"/>
      <c r="D167" s="192" t="s">
        <v>1115</v>
      </c>
      <c r="E167" t="s">
        <v>1116</v>
      </c>
      <c r="F167" s="192" t="s">
        <v>1096</v>
      </c>
      <c r="G167" s="192" t="s">
        <v>790</v>
      </c>
      <c r="H167" s="192" t="s">
        <v>790</v>
      </c>
      <c r="I167" t="s">
        <v>820</v>
      </c>
      <c r="J167" t="s">
        <v>796</v>
      </c>
      <c r="K167" t="s">
        <v>797</v>
      </c>
    </row>
    <row r="168" spans="2:11" x14ac:dyDescent="0.25">
      <c r="B168" s="191"/>
      <c r="C168" s="191" t="s">
        <v>1117</v>
      </c>
      <c r="D168" s="192"/>
      <c r="E168" s="185" t="s">
        <v>1118</v>
      </c>
      <c r="F168" s="192" t="s">
        <v>789</v>
      </c>
      <c r="G168" s="192" t="s">
        <v>790</v>
      </c>
      <c r="H168" s="192" t="s">
        <v>790</v>
      </c>
      <c r="I168" t="s">
        <v>820</v>
      </c>
    </row>
    <row r="169" spans="2:11" x14ac:dyDescent="0.25">
      <c r="B169" s="191"/>
      <c r="C169" s="191"/>
      <c r="D169" s="192" t="s">
        <v>1119</v>
      </c>
      <c r="E169" t="s">
        <v>1118</v>
      </c>
      <c r="F169" s="192" t="s">
        <v>1096</v>
      </c>
      <c r="G169" s="192" t="s">
        <v>790</v>
      </c>
      <c r="H169" s="192" t="s">
        <v>790</v>
      </c>
      <c r="I169" t="s">
        <v>820</v>
      </c>
      <c r="J169" t="s">
        <v>796</v>
      </c>
      <c r="K169" t="s">
        <v>797</v>
      </c>
    </row>
    <row r="170" spans="2:11" x14ac:dyDescent="0.25">
      <c r="B170" s="191" t="s">
        <v>1120</v>
      </c>
      <c r="C170" s="191"/>
      <c r="D170" s="192"/>
      <c r="E170" s="185" t="s">
        <v>1121</v>
      </c>
      <c r="F170" s="192" t="s">
        <v>789</v>
      </c>
      <c r="G170" s="192" t="s">
        <v>790</v>
      </c>
      <c r="H170" s="192" t="s">
        <v>790</v>
      </c>
      <c r="I170" t="s">
        <v>820</v>
      </c>
      <c r="J170" t="s">
        <v>865</v>
      </c>
    </row>
    <row r="171" spans="2:11" x14ac:dyDescent="0.25">
      <c r="B171" s="191"/>
      <c r="C171" s="191" t="s">
        <v>1122</v>
      </c>
      <c r="D171" s="192"/>
      <c r="E171" s="185" t="s">
        <v>1123</v>
      </c>
      <c r="F171" s="192" t="s">
        <v>789</v>
      </c>
      <c r="G171" s="192" t="s">
        <v>790</v>
      </c>
      <c r="H171" s="192" t="s">
        <v>790</v>
      </c>
      <c r="I171" t="s">
        <v>820</v>
      </c>
    </row>
    <row r="172" spans="2:11" x14ac:dyDescent="0.25">
      <c r="B172" s="191"/>
      <c r="C172" s="191"/>
      <c r="D172" s="192" t="s">
        <v>1124</v>
      </c>
      <c r="E172" t="s">
        <v>1125</v>
      </c>
      <c r="F172" s="192" t="s">
        <v>979</v>
      </c>
      <c r="G172" s="192" t="s">
        <v>790</v>
      </c>
      <c r="H172" s="192" t="s">
        <v>790</v>
      </c>
      <c r="I172" t="s">
        <v>820</v>
      </c>
      <c r="J172" t="s">
        <v>796</v>
      </c>
      <c r="K172" t="s">
        <v>797</v>
      </c>
    </row>
    <row r="173" spans="2:11" x14ac:dyDescent="0.25">
      <c r="B173" s="191"/>
      <c r="C173" s="191"/>
      <c r="D173" s="192" t="s">
        <v>1126</v>
      </c>
      <c r="E173" t="s">
        <v>1127</v>
      </c>
      <c r="F173" s="192" t="s">
        <v>979</v>
      </c>
      <c r="G173" s="192" t="s">
        <v>790</v>
      </c>
      <c r="H173" s="192" t="s">
        <v>790</v>
      </c>
      <c r="I173" t="s">
        <v>820</v>
      </c>
      <c r="J173" t="s">
        <v>796</v>
      </c>
      <c r="K173" t="s">
        <v>797</v>
      </c>
    </row>
    <row r="174" spans="2:11" x14ac:dyDescent="0.25">
      <c r="B174" s="191"/>
      <c r="C174" s="191" t="s">
        <v>1128</v>
      </c>
      <c r="D174" s="192"/>
      <c r="E174" s="185" t="s">
        <v>1129</v>
      </c>
      <c r="F174" s="192" t="s">
        <v>789</v>
      </c>
      <c r="G174" s="192" t="s">
        <v>790</v>
      </c>
      <c r="H174" s="192" t="s">
        <v>790</v>
      </c>
      <c r="I174" t="s">
        <v>820</v>
      </c>
    </row>
    <row r="175" spans="2:11" x14ac:dyDescent="0.25">
      <c r="B175" s="191"/>
      <c r="C175" s="191"/>
      <c r="D175" s="192" t="s">
        <v>1130</v>
      </c>
      <c r="E175" t="s">
        <v>1131</v>
      </c>
      <c r="F175" s="192" t="s">
        <v>979</v>
      </c>
      <c r="G175" s="192" t="s">
        <v>790</v>
      </c>
      <c r="H175" s="192" t="s">
        <v>790</v>
      </c>
      <c r="I175" t="s">
        <v>820</v>
      </c>
      <c r="J175" t="s">
        <v>796</v>
      </c>
      <c r="K175" t="s">
        <v>797</v>
      </c>
    </row>
    <row r="176" spans="2:11" x14ac:dyDescent="0.25">
      <c r="B176" s="191"/>
      <c r="C176" s="191"/>
      <c r="D176" s="192" t="s">
        <v>1132</v>
      </c>
      <c r="E176" t="s">
        <v>1133</v>
      </c>
      <c r="F176" s="192" t="s">
        <v>979</v>
      </c>
      <c r="G176" s="192" t="s">
        <v>790</v>
      </c>
      <c r="H176" s="192" t="s">
        <v>790</v>
      </c>
      <c r="I176" t="s">
        <v>820</v>
      </c>
      <c r="J176" t="s">
        <v>796</v>
      </c>
      <c r="K176" t="s">
        <v>797</v>
      </c>
    </row>
    <row r="177" spans="2:11" x14ac:dyDescent="0.25">
      <c r="B177" s="191"/>
      <c r="C177" s="191"/>
      <c r="D177" s="192" t="s">
        <v>1134</v>
      </c>
      <c r="E177" t="s">
        <v>1135</v>
      </c>
      <c r="F177" s="192" t="s">
        <v>979</v>
      </c>
      <c r="G177" s="192" t="s">
        <v>790</v>
      </c>
      <c r="H177" s="192" t="s">
        <v>790</v>
      </c>
      <c r="I177" t="s">
        <v>820</v>
      </c>
      <c r="J177" t="s">
        <v>796</v>
      </c>
      <c r="K177" t="s">
        <v>797</v>
      </c>
    </row>
    <row r="178" spans="2:11" x14ac:dyDescent="0.25">
      <c r="B178" s="191"/>
      <c r="C178" s="191"/>
      <c r="D178" s="192" t="s">
        <v>1136</v>
      </c>
      <c r="E178" t="s">
        <v>1137</v>
      </c>
      <c r="F178" s="192" t="s">
        <v>979</v>
      </c>
      <c r="G178" s="192" t="s">
        <v>790</v>
      </c>
      <c r="H178" s="192" t="s">
        <v>790</v>
      </c>
      <c r="I178" t="s">
        <v>820</v>
      </c>
      <c r="J178" t="s">
        <v>796</v>
      </c>
      <c r="K178" t="s">
        <v>797</v>
      </c>
    </row>
    <row r="179" spans="2:11" x14ac:dyDescent="0.25">
      <c r="B179" s="191"/>
      <c r="C179" s="191"/>
      <c r="D179" s="192" t="s">
        <v>1138</v>
      </c>
      <c r="E179" t="s">
        <v>1139</v>
      </c>
      <c r="F179" s="192" t="s">
        <v>979</v>
      </c>
      <c r="G179" s="192" t="s">
        <v>790</v>
      </c>
      <c r="H179" s="192" t="s">
        <v>790</v>
      </c>
      <c r="I179" t="s">
        <v>820</v>
      </c>
      <c r="J179" t="s">
        <v>796</v>
      </c>
      <c r="K179" t="s">
        <v>797</v>
      </c>
    </row>
    <row r="180" spans="2:11" x14ac:dyDescent="0.25">
      <c r="B180" s="191"/>
      <c r="C180" s="191" t="s">
        <v>1140</v>
      </c>
      <c r="D180" s="192"/>
      <c r="E180" s="185" t="s">
        <v>1141</v>
      </c>
      <c r="F180" s="192" t="s">
        <v>789</v>
      </c>
      <c r="G180" s="192" t="s">
        <v>790</v>
      </c>
      <c r="H180" s="192" t="s">
        <v>790</v>
      </c>
      <c r="I180" t="s">
        <v>820</v>
      </c>
    </row>
    <row r="181" spans="2:11" x14ac:dyDescent="0.25">
      <c r="B181" s="191"/>
      <c r="C181" s="191"/>
      <c r="D181" s="192" t="s">
        <v>1142</v>
      </c>
      <c r="E181" t="s">
        <v>1143</v>
      </c>
      <c r="F181" s="192" t="s">
        <v>979</v>
      </c>
      <c r="G181" s="192" t="s">
        <v>790</v>
      </c>
      <c r="H181" s="192" t="s">
        <v>790</v>
      </c>
      <c r="I181" t="s">
        <v>820</v>
      </c>
      <c r="J181" t="s">
        <v>796</v>
      </c>
      <c r="K181" t="s">
        <v>797</v>
      </c>
    </row>
    <row r="182" spans="2:11" x14ac:dyDescent="0.25">
      <c r="B182" s="191"/>
      <c r="C182" s="191"/>
      <c r="D182" s="192" t="s">
        <v>1144</v>
      </c>
      <c r="E182" t="s">
        <v>1145</v>
      </c>
      <c r="F182" s="192" t="s">
        <v>979</v>
      </c>
      <c r="G182" s="192" t="s">
        <v>790</v>
      </c>
      <c r="H182" s="192" t="s">
        <v>790</v>
      </c>
      <c r="I182" t="s">
        <v>820</v>
      </c>
      <c r="J182" t="s">
        <v>796</v>
      </c>
      <c r="K182" t="s">
        <v>797</v>
      </c>
    </row>
    <row r="183" spans="2:11" x14ac:dyDescent="0.25">
      <c r="B183" s="191"/>
      <c r="C183" s="191"/>
      <c r="D183" s="192" t="s">
        <v>1146</v>
      </c>
      <c r="E183" t="s">
        <v>1147</v>
      </c>
      <c r="F183" s="192" t="s">
        <v>979</v>
      </c>
      <c r="G183" s="192" t="s">
        <v>790</v>
      </c>
      <c r="H183" s="192" t="s">
        <v>790</v>
      </c>
      <c r="I183" t="s">
        <v>820</v>
      </c>
      <c r="J183" t="s">
        <v>796</v>
      </c>
      <c r="K183" t="s">
        <v>797</v>
      </c>
    </row>
    <row r="184" spans="2:11" x14ac:dyDescent="0.25">
      <c r="B184" s="191"/>
      <c r="C184" s="191" t="s">
        <v>1148</v>
      </c>
      <c r="D184" s="192"/>
      <c r="E184" s="185" t="s">
        <v>1149</v>
      </c>
      <c r="F184" s="192" t="s">
        <v>789</v>
      </c>
      <c r="G184" s="192" t="s">
        <v>790</v>
      </c>
      <c r="H184" s="192" t="s">
        <v>790</v>
      </c>
      <c r="I184" t="s">
        <v>820</v>
      </c>
    </row>
    <row r="185" spans="2:11" x14ac:dyDescent="0.25">
      <c r="B185" s="191"/>
      <c r="C185" s="191"/>
      <c r="D185" s="192" t="s">
        <v>1150</v>
      </c>
      <c r="E185" t="s">
        <v>1151</v>
      </c>
      <c r="F185" s="192" t="s">
        <v>979</v>
      </c>
      <c r="G185" s="192" t="s">
        <v>790</v>
      </c>
      <c r="H185" s="192" t="s">
        <v>790</v>
      </c>
      <c r="I185" t="s">
        <v>820</v>
      </c>
      <c r="J185" t="s">
        <v>796</v>
      </c>
      <c r="K185" t="s">
        <v>797</v>
      </c>
    </row>
    <row r="186" spans="2:11" x14ac:dyDescent="0.25">
      <c r="B186" s="191"/>
      <c r="C186" s="191"/>
      <c r="D186" s="192" t="s">
        <v>1152</v>
      </c>
      <c r="E186" t="s">
        <v>1153</v>
      </c>
      <c r="F186" s="192" t="s">
        <v>979</v>
      </c>
      <c r="G186" s="192" t="s">
        <v>790</v>
      </c>
      <c r="H186" s="192" t="s">
        <v>790</v>
      </c>
      <c r="I186" t="s">
        <v>820</v>
      </c>
      <c r="J186" t="s">
        <v>796</v>
      </c>
      <c r="K186" t="s">
        <v>797</v>
      </c>
    </row>
    <row r="187" spans="2:11" x14ac:dyDescent="0.25">
      <c r="B187" s="191"/>
      <c r="C187" s="191"/>
      <c r="D187" s="192" t="s">
        <v>1154</v>
      </c>
      <c r="E187" t="s">
        <v>1155</v>
      </c>
      <c r="F187" s="192" t="s">
        <v>979</v>
      </c>
      <c r="G187" s="192" t="s">
        <v>790</v>
      </c>
      <c r="H187" s="192" t="s">
        <v>790</v>
      </c>
      <c r="I187" t="s">
        <v>820</v>
      </c>
      <c r="J187" t="s">
        <v>796</v>
      </c>
      <c r="K187" t="s">
        <v>797</v>
      </c>
    </row>
    <row r="188" spans="2:11" x14ac:dyDescent="0.25">
      <c r="B188" s="191"/>
      <c r="C188" s="191"/>
      <c r="D188" s="192" t="s">
        <v>1156</v>
      </c>
      <c r="E188" t="s">
        <v>1157</v>
      </c>
      <c r="F188" s="192" t="s">
        <v>979</v>
      </c>
      <c r="G188" s="192" t="s">
        <v>790</v>
      </c>
      <c r="H188" s="192" t="s">
        <v>790</v>
      </c>
      <c r="I188" t="s">
        <v>820</v>
      </c>
      <c r="J188" t="s">
        <v>796</v>
      </c>
      <c r="K188" t="s">
        <v>797</v>
      </c>
    </row>
    <row r="189" spans="2:11" x14ac:dyDescent="0.25">
      <c r="B189" s="191"/>
      <c r="C189" s="191" t="s">
        <v>1158</v>
      </c>
      <c r="D189" s="192"/>
      <c r="E189" s="185" t="s">
        <v>1159</v>
      </c>
      <c r="F189" s="192" t="s">
        <v>789</v>
      </c>
      <c r="G189" s="192" t="s">
        <v>790</v>
      </c>
      <c r="H189" s="192" t="s">
        <v>790</v>
      </c>
      <c r="I189" t="s">
        <v>820</v>
      </c>
    </row>
    <row r="190" spans="2:11" x14ac:dyDescent="0.25">
      <c r="B190" s="191"/>
      <c r="C190" s="191"/>
      <c r="D190" s="192" t="s">
        <v>1160</v>
      </c>
      <c r="E190" t="s">
        <v>1161</v>
      </c>
      <c r="F190" s="192" t="s">
        <v>979</v>
      </c>
      <c r="G190" s="192" t="s">
        <v>790</v>
      </c>
      <c r="H190" s="192" t="s">
        <v>790</v>
      </c>
      <c r="I190" t="s">
        <v>820</v>
      </c>
      <c r="J190" t="s">
        <v>796</v>
      </c>
      <c r="K190" t="s">
        <v>797</v>
      </c>
    </row>
    <row r="191" spans="2:11" x14ac:dyDescent="0.25">
      <c r="B191" s="191"/>
      <c r="C191" s="191"/>
      <c r="D191" s="192" t="s">
        <v>1162</v>
      </c>
      <c r="E191" t="s">
        <v>1163</v>
      </c>
      <c r="F191" s="192" t="s">
        <v>979</v>
      </c>
      <c r="G191" s="192" t="s">
        <v>790</v>
      </c>
      <c r="H191" s="192" t="s">
        <v>790</v>
      </c>
      <c r="I191" t="s">
        <v>820</v>
      </c>
      <c r="J191" t="s">
        <v>796</v>
      </c>
      <c r="K191" t="s">
        <v>797</v>
      </c>
    </row>
    <row r="192" spans="2:11" x14ac:dyDescent="0.25">
      <c r="B192" s="191"/>
      <c r="C192" s="191"/>
      <c r="D192" s="192" t="s">
        <v>1164</v>
      </c>
      <c r="E192" t="s">
        <v>1165</v>
      </c>
      <c r="F192" s="192" t="s">
        <v>979</v>
      </c>
      <c r="G192" s="192" t="s">
        <v>790</v>
      </c>
      <c r="H192" s="192" t="s">
        <v>790</v>
      </c>
      <c r="I192" t="s">
        <v>820</v>
      </c>
      <c r="J192" t="s">
        <v>796</v>
      </c>
      <c r="K192" t="s">
        <v>797</v>
      </c>
    </row>
    <row r="193" spans="2:11" x14ac:dyDescent="0.25">
      <c r="B193" s="191"/>
      <c r="C193" s="191"/>
      <c r="D193" s="192" t="s">
        <v>1166</v>
      </c>
      <c r="E193" t="s">
        <v>1167</v>
      </c>
      <c r="F193" s="192" t="s">
        <v>979</v>
      </c>
      <c r="G193" s="192" t="s">
        <v>790</v>
      </c>
      <c r="H193" s="192" t="s">
        <v>790</v>
      </c>
      <c r="I193" t="s">
        <v>820</v>
      </c>
      <c r="J193" t="s">
        <v>796</v>
      </c>
      <c r="K193" t="s">
        <v>797</v>
      </c>
    </row>
    <row r="194" spans="2:11" x14ac:dyDescent="0.25">
      <c r="B194" s="191"/>
      <c r="C194" s="191"/>
      <c r="D194" s="192" t="s">
        <v>1168</v>
      </c>
      <c r="E194" t="s">
        <v>1169</v>
      </c>
      <c r="F194" s="192" t="s">
        <v>979</v>
      </c>
      <c r="G194" s="192" t="s">
        <v>790</v>
      </c>
      <c r="H194" s="192" t="s">
        <v>790</v>
      </c>
      <c r="I194" t="s">
        <v>820</v>
      </c>
      <c r="J194" t="s">
        <v>796</v>
      </c>
      <c r="K194" t="s">
        <v>797</v>
      </c>
    </row>
    <row r="195" spans="2:11" x14ac:dyDescent="0.25">
      <c r="B195" s="191"/>
      <c r="C195" s="191"/>
      <c r="D195" s="192" t="s">
        <v>1170</v>
      </c>
      <c r="E195" t="s">
        <v>1171</v>
      </c>
      <c r="F195" s="192" t="s">
        <v>979</v>
      </c>
      <c r="G195" s="192" t="s">
        <v>790</v>
      </c>
      <c r="H195" s="192" t="s">
        <v>790</v>
      </c>
      <c r="I195" t="s">
        <v>820</v>
      </c>
      <c r="J195" t="s">
        <v>796</v>
      </c>
      <c r="K195" t="s">
        <v>797</v>
      </c>
    </row>
    <row r="196" spans="2:11" x14ac:dyDescent="0.25">
      <c r="B196" s="191"/>
      <c r="C196" s="191" t="s">
        <v>1172</v>
      </c>
      <c r="D196" s="192"/>
      <c r="E196" s="185" t="s">
        <v>1173</v>
      </c>
      <c r="F196" s="192" t="s">
        <v>789</v>
      </c>
      <c r="G196" s="192" t="s">
        <v>790</v>
      </c>
      <c r="H196" s="192" t="s">
        <v>790</v>
      </c>
      <c r="I196" t="s">
        <v>820</v>
      </c>
    </row>
    <row r="197" spans="2:11" x14ac:dyDescent="0.25">
      <c r="B197" s="191"/>
      <c r="C197" s="191" t="s">
        <v>1174</v>
      </c>
      <c r="D197" s="192"/>
      <c r="E197" s="185" t="s">
        <v>1175</v>
      </c>
      <c r="F197" s="192" t="s">
        <v>789</v>
      </c>
      <c r="G197" s="192" t="s">
        <v>790</v>
      </c>
      <c r="H197" s="192" t="s">
        <v>790</v>
      </c>
      <c r="I197" t="s">
        <v>820</v>
      </c>
    </row>
    <row r="198" spans="2:11" x14ac:dyDescent="0.25">
      <c r="B198" s="191"/>
      <c r="C198" s="191"/>
      <c r="D198" s="192" t="s">
        <v>1176</v>
      </c>
      <c r="E198" t="s">
        <v>1177</v>
      </c>
      <c r="F198" s="192" t="s">
        <v>979</v>
      </c>
      <c r="G198" s="192" t="s">
        <v>790</v>
      </c>
      <c r="H198" s="192" t="s">
        <v>790</v>
      </c>
      <c r="I198" t="s">
        <v>820</v>
      </c>
      <c r="J198" t="s">
        <v>796</v>
      </c>
      <c r="K198" t="s">
        <v>797</v>
      </c>
    </row>
    <row r="199" spans="2:11" x14ac:dyDescent="0.25">
      <c r="B199" s="191"/>
      <c r="C199" s="191"/>
      <c r="D199" s="192" t="s">
        <v>1178</v>
      </c>
      <c r="E199" t="s">
        <v>1179</v>
      </c>
      <c r="F199" s="192" t="s">
        <v>979</v>
      </c>
      <c r="G199" s="192" t="s">
        <v>790</v>
      </c>
      <c r="H199" s="192" t="s">
        <v>790</v>
      </c>
      <c r="I199" t="s">
        <v>820</v>
      </c>
      <c r="J199" t="s">
        <v>796</v>
      </c>
      <c r="K199" t="s">
        <v>797</v>
      </c>
    </row>
    <row r="200" spans="2:11" x14ac:dyDescent="0.25">
      <c r="B200" s="191"/>
      <c r="C200" s="191" t="s">
        <v>1180</v>
      </c>
      <c r="D200" s="192"/>
      <c r="E200" s="185" t="s">
        <v>1181</v>
      </c>
      <c r="F200" s="192" t="s">
        <v>789</v>
      </c>
      <c r="G200" s="192" t="s">
        <v>790</v>
      </c>
      <c r="H200" s="192" t="s">
        <v>790</v>
      </c>
      <c r="I200" t="s">
        <v>820</v>
      </c>
    </row>
    <row r="201" spans="2:11" x14ac:dyDescent="0.25">
      <c r="B201" s="191"/>
      <c r="C201" s="191"/>
      <c r="D201" s="192" t="s">
        <v>1182</v>
      </c>
      <c r="E201" t="s">
        <v>1183</v>
      </c>
      <c r="F201" s="192" t="s">
        <v>979</v>
      </c>
      <c r="G201" s="192" t="s">
        <v>790</v>
      </c>
      <c r="H201" s="192" t="s">
        <v>790</v>
      </c>
      <c r="I201" t="s">
        <v>820</v>
      </c>
      <c r="J201" t="s">
        <v>796</v>
      </c>
      <c r="K201" t="s">
        <v>797</v>
      </c>
    </row>
    <row r="202" spans="2:11" x14ac:dyDescent="0.25">
      <c r="B202" s="191"/>
      <c r="C202" s="191"/>
      <c r="D202" s="192" t="s">
        <v>1184</v>
      </c>
      <c r="E202" t="s">
        <v>1185</v>
      </c>
      <c r="F202" s="192" t="s">
        <v>979</v>
      </c>
      <c r="G202" s="192" t="s">
        <v>790</v>
      </c>
      <c r="H202" s="192" t="s">
        <v>790</v>
      </c>
      <c r="I202" t="s">
        <v>820</v>
      </c>
      <c r="J202" t="s">
        <v>796</v>
      </c>
      <c r="K202" t="s">
        <v>797</v>
      </c>
    </row>
    <row r="203" spans="2:11" x14ac:dyDescent="0.25">
      <c r="B203" s="191"/>
      <c r="C203" s="191" t="s">
        <v>1186</v>
      </c>
      <c r="D203" s="192"/>
      <c r="E203" s="185" t="s">
        <v>1187</v>
      </c>
      <c r="F203" s="192" t="s">
        <v>789</v>
      </c>
      <c r="G203" s="192" t="s">
        <v>790</v>
      </c>
      <c r="H203" s="192" t="s">
        <v>790</v>
      </c>
      <c r="I203" t="s">
        <v>820</v>
      </c>
    </row>
    <row r="204" spans="2:11" x14ac:dyDescent="0.25">
      <c r="B204" s="191"/>
      <c r="C204" s="191"/>
      <c r="D204" s="192" t="s">
        <v>1188</v>
      </c>
      <c r="E204" t="s">
        <v>1189</v>
      </c>
      <c r="F204" s="192" t="s">
        <v>979</v>
      </c>
      <c r="G204" s="192" t="s">
        <v>790</v>
      </c>
      <c r="H204" s="192" t="s">
        <v>790</v>
      </c>
      <c r="I204" t="s">
        <v>820</v>
      </c>
      <c r="J204" t="s">
        <v>796</v>
      </c>
      <c r="K204" t="s">
        <v>797</v>
      </c>
    </row>
    <row r="205" spans="2:11" x14ac:dyDescent="0.25">
      <c r="B205" s="191"/>
      <c r="C205" s="191"/>
      <c r="D205" s="192" t="s">
        <v>1190</v>
      </c>
      <c r="E205" t="s">
        <v>1191</v>
      </c>
      <c r="F205" s="192" t="s">
        <v>979</v>
      </c>
      <c r="G205" s="192" t="s">
        <v>790</v>
      </c>
      <c r="H205" s="192" t="s">
        <v>790</v>
      </c>
      <c r="I205" t="s">
        <v>820</v>
      </c>
      <c r="J205" t="s">
        <v>796</v>
      </c>
      <c r="K205" t="s">
        <v>797</v>
      </c>
    </row>
    <row r="206" spans="2:11" x14ac:dyDescent="0.25">
      <c r="B206" s="191"/>
      <c r="C206" s="191"/>
      <c r="D206" s="192" t="s">
        <v>1192</v>
      </c>
      <c r="E206" t="s">
        <v>1193</v>
      </c>
      <c r="F206" s="192" t="s">
        <v>979</v>
      </c>
      <c r="G206" s="192" t="s">
        <v>790</v>
      </c>
      <c r="H206" s="192" t="s">
        <v>790</v>
      </c>
      <c r="I206" t="s">
        <v>820</v>
      </c>
      <c r="J206" t="s">
        <v>796</v>
      </c>
      <c r="K206" t="s">
        <v>797</v>
      </c>
    </row>
    <row r="207" spans="2:11" x14ac:dyDescent="0.25">
      <c r="B207" s="191"/>
      <c r="C207" s="191"/>
      <c r="D207" s="192" t="s">
        <v>1194</v>
      </c>
      <c r="E207" t="s">
        <v>1195</v>
      </c>
      <c r="F207" s="192" t="s">
        <v>979</v>
      </c>
      <c r="G207" s="192" t="s">
        <v>790</v>
      </c>
      <c r="H207" s="192" t="s">
        <v>790</v>
      </c>
      <c r="I207" t="s">
        <v>820</v>
      </c>
      <c r="J207" t="s">
        <v>796</v>
      </c>
      <c r="K207" t="s">
        <v>797</v>
      </c>
    </row>
    <row r="208" spans="2:11" x14ac:dyDescent="0.25">
      <c r="B208" s="191"/>
      <c r="C208" s="191"/>
      <c r="D208" s="192" t="s">
        <v>1196</v>
      </c>
      <c r="E208" t="s">
        <v>1197</v>
      </c>
      <c r="F208" s="192" t="s">
        <v>979</v>
      </c>
      <c r="G208" s="192" t="s">
        <v>790</v>
      </c>
      <c r="H208" s="192" t="s">
        <v>790</v>
      </c>
      <c r="I208" t="s">
        <v>820</v>
      </c>
      <c r="J208" t="s">
        <v>796</v>
      </c>
      <c r="K208" t="s">
        <v>797</v>
      </c>
    </row>
    <row r="209" spans="2:11" x14ac:dyDescent="0.25">
      <c r="B209" s="191"/>
      <c r="C209" s="191" t="s">
        <v>1198</v>
      </c>
      <c r="D209" s="192"/>
      <c r="E209" s="185" t="s">
        <v>1199</v>
      </c>
      <c r="F209" s="192" t="s">
        <v>789</v>
      </c>
      <c r="G209" s="192" t="s">
        <v>790</v>
      </c>
      <c r="H209" s="192" t="s">
        <v>790</v>
      </c>
      <c r="I209" t="s">
        <v>820</v>
      </c>
    </row>
    <row r="210" spans="2:11" x14ac:dyDescent="0.25">
      <c r="B210" s="191"/>
      <c r="C210" s="191"/>
      <c r="D210" s="192" t="s">
        <v>1200</v>
      </c>
      <c r="E210" t="s">
        <v>1201</v>
      </c>
      <c r="F210" s="192" t="s">
        <v>979</v>
      </c>
      <c r="G210" s="192" t="s">
        <v>790</v>
      </c>
      <c r="H210" s="192" t="s">
        <v>790</v>
      </c>
      <c r="I210" t="s">
        <v>820</v>
      </c>
      <c r="J210" t="s">
        <v>796</v>
      </c>
      <c r="K210" t="s">
        <v>797</v>
      </c>
    </row>
    <row r="211" spans="2:11" x14ac:dyDescent="0.25">
      <c r="B211" s="191"/>
      <c r="C211" s="191"/>
      <c r="D211" s="192" t="s">
        <v>1202</v>
      </c>
      <c r="E211" t="s">
        <v>1199</v>
      </c>
      <c r="F211" s="192" t="s">
        <v>979</v>
      </c>
      <c r="G211" s="192" t="s">
        <v>790</v>
      </c>
      <c r="H211" s="192" t="s">
        <v>790</v>
      </c>
      <c r="I211" t="s">
        <v>820</v>
      </c>
      <c r="J211" t="s">
        <v>796</v>
      </c>
      <c r="K211" t="s">
        <v>797</v>
      </c>
    </row>
    <row r="212" spans="2:11" x14ac:dyDescent="0.25">
      <c r="B212" s="191" t="s">
        <v>1203</v>
      </c>
      <c r="C212" s="191"/>
      <c r="D212" s="192"/>
      <c r="E212" s="185" t="s">
        <v>1204</v>
      </c>
      <c r="F212" s="192" t="s">
        <v>789</v>
      </c>
      <c r="G212" s="192" t="s">
        <v>790</v>
      </c>
      <c r="H212" s="192" t="s">
        <v>790</v>
      </c>
      <c r="I212" t="s">
        <v>820</v>
      </c>
    </row>
    <row r="213" spans="2:11" x14ac:dyDescent="0.25">
      <c r="B213" s="191"/>
      <c r="C213" s="191" t="s">
        <v>1205</v>
      </c>
      <c r="D213" s="192"/>
      <c r="E213" s="185" t="s">
        <v>1206</v>
      </c>
      <c r="F213" s="192" t="s">
        <v>789</v>
      </c>
      <c r="G213" s="192" t="s">
        <v>790</v>
      </c>
      <c r="H213" s="192" t="s">
        <v>790</v>
      </c>
      <c r="I213" t="s">
        <v>820</v>
      </c>
    </row>
    <row r="214" spans="2:11" x14ac:dyDescent="0.25">
      <c r="B214" s="191"/>
      <c r="C214" s="191"/>
      <c r="D214" s="192" t="s">
        <v>1207</v>
      </c>
      <c r="E214" t="s">
        <v>1208</v>
      </c>
      <c r="F214" s="192" t="s">
        <v>1209</v>
      </c>
      <c r="G214" s="192" t="s">
        <v>790</v>
      </c>
      <c r="H214" s="192" t="s">
        <v>790</v>
      </c>
      <c r="I214" t="s">
        <v>820</v>
      </c>
      <c r="J214" t="s">
        <v>796</v>
      </c>
      <c r="K214" t="s">
        <v>797</v>
      </c>
    </row>
    <row r="215" spans="2:11" x14ac:dyDescent="0.25">
      <c r="B215" s="191"/>
      <c r="C215" s="191"/>
      <c r="D215" s="192" t="s">
        <v>1210</v>
      </c>
      <c r="E215" t="s">
        <v>1211</v>
      </c>
      <c r="F215" s="192" t="s">
        <v>1209</v>
      </c>
      <c r="G215" s="192" t="s">
        <v>790</v>
      </c>
      <c r="H215" s="192" t="s">
        <v>790</v>
      </c>
      <c r="I215" t="s">
        <v>820</v>
      </c>
      <c r="J215" t="s">
        <v>796</v>
      </c>
      <c r="K215" t="s">
        <v>797</v>
      </c>
    </row>
    <row r="216" spans="2:11" x14ac:dyDescent="0.25">
      <c r="B216" s="191"/>
      <c r="C216" s="191" t="s">
        <v>1212</v>
      </c>
      <c r="D216" s="192"/>
      <c r="E216" s="185" t="s">
        <v>1213</v>
      </c>
      <c r="F216" s="192" t="s">
        <v>789</v>
      </c>
      <c r="G216" s="192" t="s">
        <v>790</v>
      </c>
      <c r="H216" s="192" t="s">
        <v>790</v>
      </c>
      <c r="I216" t="s">
        <v>820</v>
      </c>
    </row>
    <row r="217" spans="2:11" x14ac:dyDescent="0.25">
      <c r="B217" s="191"/>
      <c r="C217" s="191"/>
      <c r="D217" s="192" t="s">
        <v>1214</v>
      </c>
      <c r="E217" t="s">
        <v>1215</v>
      </c>
      <c r="F217" s="192" t="s">
        <v>1209</v>
      </c>
      <c r="G217" s="192" t="s">
        <v>790</v>
      </c>
      <c r="H217" s="192" t="s">
        <v>790</v>
      </c>
      <c r="I217" t="s">
        <v>820</v>
      </c>
      <c r="J217" t="s">
        <v>796</v>
      </c>
      <c r="K217" t="s">
        <v>797</v>
      </c>
    </row>
    <row r="218" spans="2:11" x14ac:dyDescent="0.25">
      <c r="B218" s="191"/>
      <c r="C218" s="191"/>
      <c r="D218" s="192" t="s">
        <v>1216</v>
      </c>
      <c r="E218" t="s">
        <v>1217</v>
      </c>
      <c r="F218" s="192" t="s">
        <v>1209</v>
      </c>
      <c r="G218" s="192" t="s">
        <v>790</v>
      </c>
      <c r="H218" s="192" t="s">
        <v>790</v>
      </c>
      <c r="I218" t="s">
        <v>820</v>
      </c>
      <c r="J218" t="s">
        <v>796</v>
      </c>
      <c r="K218" t="s">
        <v>797</v>
      </c>
    </row>
    <row r="219" spans="2:11" x14ac:dyDescent="0.25">
      <c r="B219" s="191"/>
      <c r="C219" s="191"/>
      <c r="D219" s="192" t="s">
        <v>1218</v>
      </c>
      <c r="E219" t="s">
        <v>1219</v>
      </c>
      <c r="F219" s="192" t="s">
        <v>1209</v>
      </c>
      <c r="G219" s="192" t="s">
        <v>790</v>
      </c>
      <c r="H219" s="192" t="s">
        <v>790</v>
      </c>
      <c r="I219" t="s">
        <v>820</v>
      </c>
      <c r="J219" t="s">
        <v>796</v>
      </c>
      <c r="K219" t="s">
        <v>797</v>
      </c>
    </row>
    <row r="220" spans="2:11" x14ac:dyDescent="0.25">
      <c r="B220" s="191"/>
      <c r="C220" s="191" t="s">
        <v>1220</v>
      </c>
      <c r="D220" s="192"/>
      <c r="E220" s="185" t="s">
        <v>1221</v>
      </c>
      <c r="F220" s="192" t="s">
        <v>789</v>
      </c>
      <c r="G220" s="192" t="s">
        <v>790</v>
      </c>
      <c r="H220" s="192" t="s">
        <v>790</v>
      </c>
      <c r="I220" t="s">
        <v>820</v>
      </c>
    </row>
    <row r="221" spans="2:11" x14ac:dyDescent="0.25">
      <c r="B221" s="191"/>
      <c r="C221" s="191"/>
      <c r="D221" s="192" t="s">
        <v>1222</v>
      </c>
      <c r="E221" t="s">
        <v>1223</v>
      </c>
      <c r="F221" s="192" t="s">
        <v>1209</v>
      </c>
      <c r="G221" s="192" t="s">
        <v>790</v>
      </c>
      <c r="H221" s="192" t="s">
        <v>790</v>
      </c>
      <c r="I221" t="s">
        <v>820</v>
      </c>
      <c r="J221" t="s">
        <v>796</v>
      </c>
      <c r="K221" t="s">
        <v>797</v>
      </c>
    </row>
    <row r="222" spans="2:11" x14ac:dyDescent="0.25">
      <c r="B222" s="191"/>
      <c r="C222" s="191"/>
      <c r="D222" s="192" t="s">
        <v>1224</v>
      </c>
      <c r="E222" t="s">
        <v>1225</v>
      </c>
      <c r="F222" s="192" t="s">
        <v>1209</v>
      </c>
      <c r="G222" s="192" t="s">
        <v>790</v>
      </c>
      <c r="H222" s="192" t="s">
        <v>790</v>
      </c>
      <c r="I222" t="s">
        <v>820</v>
      </c>
      <c r="J222" t="s">
        <v>796</v>
      </c>
      <c r="K222" t="s">
        <v>797</v>
      </c>
    </row>
    <row r="223" spans="2:11" x14ac:dyDescent="0.25">
      <c r="B223" s="191"/>
      <c r="C223" s="191"/>
      <c r="D223" s="192" t="s">
        <v>1226</v>
      </c>
      <c r="E223" t="s">
        <v>1227</v>
      </c>
      <c r="F223" s="192" t="s">
        <v>1209</v>
      </c>
      <c r="G223" s="192" t="s">
        <v>790</v>
      </c>
      <c r="H223" s="192" t="s">
        <v>790</v>
      </c>
      <c r="I223" t="s">
        <v>820</v>
      </c>
      <c r="J223" t="s">
        <v>796</v>
      </c>
      <c r="K223" t="s">
        <v>797</v>
      </c>
    </row>
    <row r="224" spans="2:11" x14ac:dyDescent="0.25">
      <c r="B224" s="191"/>
      <c r="C224" s="191"/>
      <c r="D224" s="192" t="s">
        <v>1228</v>
      </c>
      <c r="E224" t="s">
        <v>1229</v>
      </c>
      <c r="F224" s="192" t="s">
        <v>1209</v>
      </c>
      <c r="G224" s="192" t="s">
        <v>790</v>
      </c>
      <c r="H224" s="192" t="s">
        <v>790</v>
      </c>
      <c r="I224" t="s">
        <v>820</v>
      </c>
      <c r="J224" t="s">
        <v>796</v>
      </c>
      <c r="K224" t="s">
        <v>797</v>
      </c>
    </row>
    <row r="225" spans="2:11" x14ac:dyDescent="0.25">
      <c r="B225" s="191"/>
      <c r="C225" s="191" t="s">
        <v>1230</v>
      </c>
      <c r="D225" s="192"/>
      <c r="E225" s="185" t="s">
        <v>1231</v>
      </c>
      <c r="F225" s="192" t="s">
        <v>789</v>
      </c>
      <c r="G225" s="192" t="s">
        <v>790</v>
      </c>
      <c r="H225" s="192" t="s">
        <v>790</v>
      </c>
      <c r="I225" t="s">
        <v>820</v>
      </c>
    </row>
    <row r="226" spans="2:11" x14ac:dyDescent="0.25">
      <c r="B226" s="191"/>
      <c r="C226" s="191"/>
      <c r="D226" s="192" t="s">
        <v>1232</v>
      </c>
      <c r="E226" t="s">
        <v>1233</v>
      </c>
      <c r="F226" s="192" t="s">
        <v>1209</v>
      </c>
      <c r="G226" s="192" t="s">
        <v>790</v>
      </c>
      <c r="H226" s="192" t="s">
        <v>790</v>
      </c>
      <c r="I226" t="s">
        <v>820</v>
      </c>
      <c r="J226" t="s">
        <v>796</v>
      </c>
      <c r="K226" t="s">
        <v>797</v>
      </c>
    </row>
    <row r="227" spans="2:11" x14ac:dyDescent="0.25">
      <c r="B227" s="191"/>
      <c r="C227" s="191"/>
      <c r="D227" s="192" t="s">
        <v>1234</v>
      </c>
      <c r="E227" t="s">
        <v>1235</v>
      </c>
      <c r="F227" s="192" t="s">
        <v>1209</v>
      </c>
      <c r="G227" s="192" t="s">
        <v>790</v>
      </c>
      <c r="H227" s="192" t="s">
        <v>790</v>
      </c>
      <c r="I227" t="s">
        <v>820</v>
      </c>
      <c r="J227" t="s">
        <v>796</v>
      </c>
      <c r="K227" t="s">
        <v>797</v>
      </c>
    </row>
    <row r="228" spans="2:11" x14ac:dyDescent="0.25">
      <c r="B228" s="191"/>
      <c r="C228" s="191"/>
      <c r="D228" s="192" t="s">
        <v>1236</v>
      </c>
      <c r="E228" t="s">
        <v>1237</v>
      </c>
      <c r="F228" s="192" t="s">
        <v>1209</v>
      </c>
      <c r="G228" s="192" t="s">
        <v>790</v>
      </c>
      <c r="H228" s="192" t="s">
        <v>790</v>
      </c>
      <c r="I228" t="s">
        <v>820</v>
      </c>
      <c r="J228" t="s">
        <v>796</v>
      </c>
      <c r="K228" t="s">
        <v>797</v>
      </c>
    </row>
    <row r="229" spans="2:11" x14ac:dyDescent="0.25">
      <c r="B229" s="191"/>
      <c r="C229" s="191"/>
      <c r="D229" s="192" t="s">
        <v>1238</v>
      </c>
      <c r="E229" t="s">
        <v>1239</v>
      </c>
      <c r="F229" s="192" t="s">
        <v>1209</v>
      </c>
      <c r="G229" s="192" t="s">
        <v>790</v>
      </c>
      <c r="H229" s="192" t="s">
        <v>790</v>
      </c>
      <c r="I229" t="s">
        <v>820</v>
      </c>
      <c r="J229" t="s">
        <v>796</v>
      </c>
      <c r="K229" t="s">
        <v>797</v>
      </c>
    </row>
    <row r="230" spans="2:11" x14ac:dyDescent="0.25">
      <c r="B230" s="191"/>
      <c r="C230" s="191"/>
      <c r="D230" s="192" t="s">
        <v>1240</v>
      </c>
      <c r="E230" t="s">
        <v>1241</v>
      </c>
      <c r="F230" s="192" t="s">
        <v>1209</v>
      </c>
      <c r="G230" s="192" t="s">
        <v>790</v>
      </c>
      <c r="H230" s="192" t="s">
        <v>790</v>
      </c>
      <c r="I230" t="s">
        <v>820</v>
      </c>
      <c r="J230" t="s">
        <v>796</v>
      </c>
      <c r="K230" t="s">
        <v>797</v>
      </c>
    </row>
    <row r="231" spans="2:11" x14ac:dyDescent="0.25">
      <c r="B231" s="191"/>
      <c r="C231" s="191"/>
      <c r="D231" s="192" t="s">
        <v>1242</v>
      </c>
      <c r="E231" t="s">
        <v>1243</v>
      </c>
      <c r="F231" s="192" t="s">
        <v>1209</v>
      </c>
      <c r="G231" s="192" t="s">
        <v>790</v>
      </c>
      <c r="H231" s="192" t="s">
        <v>790</v>
      </c>
      <c r="I231" t="s">
        <v>820</v>
      </c>
      <c r="J231" t="s">
        <v>796</v>
      </c>
      <c r="K231" t="s">
        <v>797</v>
      </c>
    </row>
    <row r="232" spans="2:11" x14ac:dyDescent="0.25">
      <c r="B232" s="191"/>
      <c r="C232" s="191" t="s">
        <v>1244</v>
      </c>
      <c r="D232" s="192"/>
      <c r="E232" s="185" t="s">
        <v>1245</v>
      </c>
      <c r="F232" s="192" t="s">
        <v>789</v>
      </c>
      <c r="G232" s="192" t="s">
        <v>790</v>
      </c>
      <c r="H232" s="192" t="s">
        <v>790</v>
      </c>
      <c r="I232" t="s">
        <v>820</v>
      </c>
    </row>
    <row r="233" spans="2:11" x14ac:dyDescent="0.25">
      <c r="B233" s="191"/>
      <c r="C233" s="191" t="s">
        <v>1246</v>
      </c>
      <c r="D233" s="192"/>
      <c r="E233" s="185" t="s">
        <v>1247</v>
      </c>
      <c r="F233" s="192" t="s">
        <v>789</v>
      </c>
      <c r="G233" s="192" t="s">
        <v>790</v>
      </c>
      <c r="H233" s="192" t="s">
        <v>790</v>
      </c>
      <c r="I233" t="s">
        <v>820</v>
      </c>
    </row>
    <row r="234" spans="2:11" x14ac:dyDescent="0.25">
      <c r="B234" s="191"/>
      <c r="C234" s="191"/>
      <c r="D234" s="192" t="s">
        <v>1248</v>
      </c>
      <c r="E234" t="s">
        <v>1249</v>
      </c>
      <c r="F234" s="192" t="s">
        <v>1209</v>
      </c>
      <c r="G234" s="192" t="s">
        <v>790</v>
      </c>
      <c r="H234" s="192" t="s">
        <v>790</v>
      </c>
      <c r="I234" t="s">
        <v>820</v>
      </c>
      <c r="J234" t="s">
        <v>796</v>
      </c>
      <c r="K234" t="s">
        <v>797</v>
      </c>
    </row>
    <row r="235" spans="2:11" x14ac:dyDescent="0.25">
      <c r="B235" s="191"/>
      <c r="C235" s="191"/>
      <c r="D235" s="192" t="s">
        <v>1250</v>
      </c>
      <c r="E235" t="s">
        <v>1251</v>
      </c>
      <c r="F235" s="192" t="s">
        <v>1209</v>
      </c>
      <c r="G235" s="192" t="s">
        <v>790</v>
      </c>
      <c r="H235" s="192" t="s">
        <v>790</v>
      </c>
      <c r="I235" t="s">
        <v>820</v>
      </c>
      <c r="J235" t="s">
        <v>796</v>
      </c>
      <c r="K235" t="s">
        <v>797</v>
      </c>
    </row>
    <row r="236" spans="2:11" x14ac:dyDescent="0.25">
      <c r="B236" s="191"/>
      <c r="C236" s="191" t="s">
        <v>1252</v>
      </c>
      <c r="D236" s="192"/>
      <c r="E236" s="185" t="s">
        <v>1253</v>
      </c>
      <c r="F236" s="192" t="s">
        <v>789</v>
      </c>
      <c r="G236" s="192" t="s">
        <v>790</v>
      </c>
      <c r="H236" s="192" t="s">
        <v>790</v>
      </c>
      <c r="I236" t="s">
        <v>820</v>
      </c>
    </row>
    <row r="237" spans="2:11" x14ac:dyDescent="0.25">
      <c r="B237" s="191"/>
      <c r="C237" s="191"/>
      <c r="D237" s="192" t="s">
        <v>1254</v>
      </c>
      <c r="E237" t="s">
        <v>1255</v>
      </c>
      <c r="F237" s="192" t="s">
        <v>1209</v>
      </c>
      <c r="G237" s="192" t="s">
        <v>790</v>
      </c>
      <c r="H237" s="192" t="s">
        <v>790</v>
      </c>
      <c r="I237" t="s">
        <v>820</v>
      </c>
      <c r="J237" t="s">
        <v>796</v>
      </c>
      <c r="K237" t="s">
        <v>797</v>
      </c>
    </row>
    <row r="238" spans="2:11" x14ac:dyDescent="0.25">
      <c r="B238" s="191"/>
      <c r="C238" s="191"/>
      <c r="D238" s="192" t="s">
        <v>1256</v>
      </c>
      <c r="E238" t="s">
        <v>1257</v>
      </c>
      <c r="F238" s="192" t="s">
        <v>1209</v>
      </c>
      <c r="G238" s="192" t="s">
        <v>790</v>
      </c>
      <c r="H238" s="192" t="s">
        <v>790</v>
      </c>
      <c r="I238" t="s">
        <v>820</v>
      </c>
      <c r="J238" t="s">
        <v>796</v>
      </c>
      <c r="K238" t="s">
        <v>797</v>
      </c>
    </row>
    <row r="239" spans="2:11" x14ac:dyDescent="0.25">
      <c r="B239" s="191"/>
      <c r="C239" s="191" t="s">
        <v>1258</v>
      </c>
      <c r="D239" s="192"/>
      <c r="E239" s="185" t="s">
        <v>1259</v>
      </c>
      <c r="F239" s="192" t="s">
        <v>789</v>
      </c>
      <c r="G239" s="192" t="s">
        <v>790</v>
      </c>
      <c r="H239" s="192" t="s">
        <v>790</v>
      </c>
      <c r="I239" t="s">
        <v>820</v>
      </c>
    </row>
    <row r="240" spans="2:11" x14ac:dyDescent="0.25">
      <c r="B240" s="191"/>
      <c r="C240" s="191"/>
      <c r="D240" s="192" t="s">
        <v>1260</v>
      </c>
      <c r="E240" t="s">
        <v>1259</v>
      </c>
      <c r="F240" s="192" t="s">
        <v>1209</v>
      </c>
      <c r="G240" s="192" t="s">
        <v>790</v>
      </c>
      <c r="H240" s="192" t="s">
        <v>790</v>
      </c>
      <c r="I240" t="s">
        <v>820</v>
      </c>
      <c r="J240" t="s">
        <v>796</v>
      </c>
      <c r="K240" t="s">
        <v>797</v>
      </c>
    </row>
    <row r="241" spans="2:11" x14ac:dyDescent="0.25">
      <c r="B241" s="191" t="s">
        <v>1261</v>
      </c>
      <c r="C241" s="191"/>
      <c r="D241" s="192"/>
      <c r="E241" s="185" t="s">
        <v>1262</v>
      </c>
      <c r="F241" s="192" t="s">
        <v>789</v>
      </c>
      <c r="G241" s="192" t="s">
        <v>790</v>
      </c>
      <c r="H241" s="192" t="s">
        <v>790</v>
      </c>
      <c r="I241" t="s">
        <v>820</v>
      </c>
    </row>
    <row r="242" spans="2:11" x14ac:dyDescent="0.25">
      <c r="B242" s="191"/>
      <c r="C242" s="191" t="s">
        <v>1263</v>
      </c>
      <c r="D242" s="192"/>
      <c r="E242" s="185" t="s">
        <v>1264</v>
      </c>
      <c r="F242" s="192" t="s">
        <v>789</v>
      </c>
      <c r="G242" s="192" t="s">
        <v>790</v>
      </c>
      <c r="H242" s="192" t="s">
        <v>790</v>
      </c>
      <c r="I242" t="s">
        <v>820</v>
      </c>
    </row>
    <row r="243" spans="2:11" x14ac:dyDescent="0.25">
      <c r="B243" s="191"/>
      <c r="C243" s="191"/>
      <c r="D243" s="192" t="s">
        <v>1265</v>
      </c>
      <c r="E243" t="s">
        <v>1264</v>
      </c>
      <c r="F243" s="192" t="s">
        <v>1266</v>
      </c>
      <c r="G243" s="192" t="s">
        <v>790</v>
      </c>
      <c r="H243" s="192" t="s">
        <v>790</v>
      </c>
      <c r="I243" t="s">
        <v>820</v>
      </c>
      <c r="J243" t="s">
        <v>796</v>
      </c>
      <c r="K243" t="s">
        <v>797</v>
      </c>
    </row>
    <row r="244" spans="2:11" x14ac:dyDescent="0.25">
      <c r="B244" s="191"/>
      <c r="C244" s="191" t="s">
        <v>1267</v>
      </c>
      <c r="D244" s="192"/>
      <c r="E244" s="185" t="s">
        <v>1268</v>
      </c>
      <c r="F244" s="192" t="s">
        <v>789</v>
      </c>
      <c r="G244" s="192" t="s">
        <v>790</v>
      </c>
      <c r="H244" s="192" t="s">
        <v>790</v>
      </c>
      <c r="I244" t="s">
        <v>820</v>
      </c>
    </row>
    <row r="245" spans="2:11" x14ac:dyDescent="0.25">
      <c r="B245" s="191"/>
      <c r="C245" s="191"/>
      <c r="D245" s="192" t="s">
        <v>1269</v>
      </c>
      <c r="E245" t="s">
        <v>1270</v>
      </c>
      <c r="F245" s="192" t="s">
        <v>1266</v>
      </c>
      <c r="G245" s="192" t="s">
        <v>790</v>
      </c>
      <c r="H245" s="192" t="s">
        <v>790</v>
      </c>
      <c r="I245" t="s">
        <v>820</v>
      </c>
      <c r="J245" t="s">
        <v>796</v>
      </c>
      <c r="K245" t="s">
        <v>797</v>
      </c>
    </row>
    <row r="246" spans="2:11" x14ac:dyDescent="0.25">
      <c r="B246" s="191"/>
      <c r="C246" s="191" t="s">
        <v>1271</v>
      </c>
      <c r="D246" s="192"/>
      <c r="E246" s="185" t="s">
        <v>1272</v>
      </c>
      <c r="F246" s="192" t="s">
        <v>789</v>
      </c>
      <c r="G246" s="192" t="s">
        <v>790</v>
      </c>
      <c r="H246" s="192" t="s">
        <v>790</v>
      </c>
      <c r="I246" t="s">
        <v>820</v>
      </c>
    </row>
    <row r="247" spans="2:11" x14ac:dyDescent="0.25">
      <c r="B247" s="191"/>
      <c r="C247" s="191"/>
      <c r="D247" s="192" t="s">
        <v>1273</v>
      </c>
      <c r="E247" t="s">
        <v>1274</v>
      </c>
      <c r="F247" s="192" t="s">
        <v>1266</v>
      </c>
      <c r="G247" s="192" t="s">
        <v>790</v>
      </c>
      <c r="H247" s="192" t="s">
        <v>790</v>
      </c>
      <c r="I247" t="s">
        <v>820</v>
      </c>
      <c r="J247" t="s">
        <v>796</v>
      </c>
      <c r="K247" t="s">
        <v>797</v>
      </c>
    </row>
    <row r="248" spans="2:11" x14ac:dyDescent="0.25">
      <c r="B248" s="191"/>
      <c r="C248" s="191" t="s">
        <v>1275</v>
      </c>
      <c r="D248" s="192"/>
      <c r="E248" s="185" t="s">
        <v>1276</v>
      </c>
      <c r="F248" s="192" t="s">
        <v>789</v>
      </c>
      <c r="G248" s="192" t="s">
        <v>790</v>
      </c>
      <c r="H248" s="192" t="s">
        <v>790</v>
      </c>
      <c r="I248" t="s">
        <v>820</v>
      </c>
    </row>
    <row r="249" spans="2:11" x14ac:dyDescent="0.25">
      <c r="B249" s="191"/>
      <c r="C249" s="191"/>
      <c r="D249" s="192" t="s">
        <v>1277</v>
      </c>
      <c r="E249" t="s">
        <v>1276</v>
      </c>
      <c r="F249" s="192" t="s">
        <v>1266</v>
      </c>
      <c r="G249" s="192" t="s">
        <v>790</v>
      </c>
      <c r="H249" s="192" t="s">
        <v>790</v>
      </c>
      <c r="I249" t="s">
        <v>820</v>
      </c>
      <c r="J249" t="s">
        <v>796</v>
      </c>
      <c r="K249" t="s">
        <v>797</v>
      </c>
    </row>
    <row r="250" spans="2:11" x14ac:dyDescent="0.25">
      <c r="B250" s="191"/>
      <c r="C250" s="191" t="s">
        <v>1278</v>
      </c>
      <c r="D250" s="192"/>
      <c r="E250" s="185" t="s">
        <v>1279</v>
      </c>
      <c r="F250" s="192" t="s">
        <v>789</v>
      </c>
      <c r="G250" s="192" t="s">
        <v>790</v>
      </c>
      <c r="H250" s="192" t="s">
        <v>790</v>
      </c>
      <c r="I250" t="s">
        <v>820</v>
      </c>
    </row>
    <row r="251" spans="2:11" x14ac:dyDescent="0.25">
      <c r="B251" s="191"/>
      <c r="C251" s="191"/>
      <c r="D251" s="192" t="s">
        <v>1280</v>
      </c>
      <c r="E251" t="s">
        <v>1281</v>
      </c>
      <c r="F251" s="192" t="s">
        <v>1266</v>
      </c>
      <c r="G251" s="192" t="s">
        <v>790</v>
      </c>
      <c r="H251" s="192" t="s">
        <v>790</v>
      </c>
      <c r="I251" t="s">
        <v>820</v>
      </c>
      <c r="J251" t="s">
        <v>796</v>
      </c>
      <c r="K251" t="s">
        <v>797</v>
      </c>
    </row>
    <row r="252" spans="2:11" x14ac:dyDescent="0.25">
      <c r="B252" s="191"/>
      <c r="C252" s="191" t="s">
        <v>1282</v>
      </c>
      <c r="D252" s="192"/>
      <c r="E252" s="185" t="s">
        <v>1283</v>
      </c>
      <c r="F252" s="192" t="s">
        <v>789</v>
      </c>
      <c r="G252" s="192" t="s">
        <v>790</v>
      </c>
      <c r="H252" s="192" t="s">
        <v>790</v>
      </c>
      <c r="I252" t="s">
        <v>820</v>
      </c>
    </row>
    <row r="253" spans="2:11" x14ac:dyDescent="0.25">
      <c r="B253" s="191"/>
      <c r="C253" s="191"/>
      <c r="D253" s="192" t="s">
        <v>1284</v>
      </c>
      <c r="E253" t="s">
        <v>1283</v>
      </c>
      <c r="F253" s="192" t="s">
        <v>1266</v>
      </c>
      <c r="G253" s="192" t="s">
        <v>790</v>
      </c>
      <c r="H253" s="192" t="s">
        <v>790</v>
      </c>
      <c r="I253" t="s">
        <v>820</v>
      </c>
      <c r="J253" t="s">
        <v>796</v>
      </c>
      <c r="K253" t="s">
        <v>797</v>
      </c>
    </row>
    <row r="254" spans="2:11" x14ac:dyDescent="0.25">
      <c r="B254" s="191" t="s">
        <v>1285</v>
      </c>
      <c r="C254" s="191"/>
      <c r="D254" s="192"/>
      <c r="E254" s="185" t="s">
        <v>1286</v>
      </c>
      <c r="F254" s="192" t="s">
        <v>789</v>
      </c>
      <c r="G254" s="192" t="s">
        <v>790</v>
      </c>
      <c r="H254" s="192" t="s">
        <v>790</v>
      </c>
      <c r="I254" t="s">
        <v>820</v>
      </c>
      <c r="J254" t="s">
        <v>865</v>
      </c>
    </row>
    <row r="255" spans="2:11" x14ac:dyDescent="0.25">
      <c r="B255" s="191"/>
      <c r="C255" s="191" t="s">
        <v>1287</v>
      </c>
      <c r="D255" s="192"/>
      <c r="E255" s="185" t="s">
        <v>1288</v>
      </c>
      <c r="F255" s="192" t="s">
        <v>789</v>
      </c>
      <c r="G255" s="192" t="s">
        <v>790</v>
      </c>
      <c r="H255" s="192" t="s">
        <v>790</v>
      </c>
      <c r="I255" t="s">
        <v>820</v>
      </c>
    </row>
    <row r="256" spans="2:11" x14ac:dyDescent="0.25">
      <c r="B256" s="191"/>
      <c r="C256" s="191"/>
      <c r="D256" s="192" t="s">
        <v>1289</v>
      </c>
      <c r="E256" t="s">
        <v>1290</v>
      </c>
      <c r="F256" s="192" t="s">
        <v>1291</v>
      </c>
      <c r="G256" s="192" t="s">
        <v>790</v>
      </c>
      <c r="H256" s="192" t="s">
        <v>790</v>
      </c>
      <c r="I256" t="s">
        <v>820</v>
      </c>
      <c r="J256" t="s">
        <v>796</v>
      </c>
      <c r="K256" t="s">
        <v>797</v>
      </c>
    </row>
    <row r="257" spans="2:11" x14ac:dyDescent="0.25">
      <c r="B257" s="191"/>
      <c r="C257" s="191"/>
      <c r="D257" s="192" t="s">
        <v>1292</v>
      </c>
      <c r="E257" t="s">
        <v>1293</v>
      </c>
      <c r="F257" s="192" t="s">
        <v>1291</v>
      </c>
      <c r="G257" s="192" t="s">
        <v>790</v>
      </c>
      <c r="H257" s="192" t="s">
        <v>790</v>
      </c>
      <c r="I257" t="s">
        <v>820</v>
      </c>
      <c r="J257" t="s">
        <v>796</v>
      </c>
      <c r="K257" t="s">
        <v>797</v>
      </c>
    </row>
    <row r="258" spans="2:11" x14ac:dyDescent="0.25">
      <c r="B258" s="191"/>
      <c r="C258" s="191" t="s">
        <v>1294</v>
      </c>
      <c r="D258" s="192"/>
      <c r="E258" s="185" t="s">
        <v>1295</v>
      </c>
      <c r="F258" s="192" t="s">
        <v>789</v>
      </c>
      <c r="G258" s="192" t="s">
        <v>790</v>
      </c>
      <c r="H258" s="192" t="s">
        <v>790</v>
      </c>
      <c r="I258" t="s">
        <v>820</v>
      </c>
    </row>
    <row r="259" spans="2:11" x14ac:dyDescent="0.25">
      <c r="B259" s="191"/>
      <c r="C259" s="191"/>
      <c r="D259" s="192" t="s">
        <v>1296</v>
      </c>
      <c r="E259" t="s">
        <v>1297</v>
      </c>
      <c r="F259" s="192" t="s">
        <v>1291</v>
      </c>
      <c r="G259" s="192" t="s">
        <v>790</v>
      </c>
      <c r="H259" s="192" t="s">
        <v>790</v>
      </c>
      <c r="I259" t="s">
        <v>820</v>
      </c>
      <c r="J259" t="s">
        <v>796</v>
      </c>
      <c r="K259" t="s">
        <v>797</v>
      </c>
    </row>
    <row r="260" spans="2:11" x14ac:dyDescent="0.25">
      <c r="B260" s="191"/>
      <c r="C260" s="191"/>
      <c r="D260" s="192" t="s">
        <v>1298</v>
      </c>
      <c r="E260" t="s">
        <v>1299</v>
      </c>
      <c r="F260" s="192" t="s">
        <v>1291</v>
      </c>
      <c r="G260" s="192" t="s">
        <v>790</v>
      </c>
      <c r="H260" s="192" t="s">
        <v>790</v>
      </c>
      <c r="I260" t="s">
        <v>820</v>
      </c>
      <c r="J260" t="s">
        <v>796</v>
      </c>
      <c r="K260" t="s">
        <v>797</v>
      </c>
    </row>
    <row r="261" spans="2:11" x14ac:dyDescent="0.25">
      <c r="B261" s="191"/>
      <c r="C261" s="191" t="s">
        <v>1300</v>
      </c>
      <c r="D261" s="192"/>
      <c r="E261" s="185" t="s">
        <v>1301</v>
      </c>
      <c r="F261" s="192" t="s">
        <v>789</v>
      </c>
      <c r="G261" s="192" t="s">
        <v>790</v>
      </c>
      <c r="H261" s="192" t="s">
        <v>790</v>
      </c>
      <c r="I261" t="s">
        <v>820</v>
      </c>
    </row>
    <row r="262" spans="2:11" x14ac:dyDescent="0.25">
      <c r="B262" s="191"/>
      <c r="C262" s="191"/>
      <c r="D262" s="192" t="s">
        <v>1302</v>
      </c>
      <c r="E262" t="s">
        <v>1303</v>
      </c>
      <c r="F262" s="192" t="s">
        <v>1291</v>
      </c>
      <c r="G262" s="192" t="s">
        <v>790</v>
      </c>
      <c r="H262" s="192" t="s">
        <v>790</v>
      </c>
      <c r="I262" t="s">
        <v>820</v>
      </c>
      <c r="J262" t="s">
        <v>796</v>
      </c>
      <c r="K262" t="s">
        <v>797</v>
      </c>
    </row>
    <row r="263" spans="2:11" x14ac:dyDescent="0.25">
      <c r="B263" s="191"/>
      <c r="C263" s="191"/>
      <c r="D263" s="192" t="s">
        <v>1304</v>
      </c>
      <c r="E263" t="s">
        <v>1305</v>
      </c>
      <c r="F263" s="192" t="s">
        <v>1291</v>
      </c>
      <c r="G263" s="192" t="s">
        <v>790</v>
      </c>
      <c r="H263" s="192" t="s">
        <v>790</v>
      </c>
      <c r="I263" t="s">
        <v>820</v>
      </c>
      <c r="J263" t="s">
        <v>796</v>
      </c>
      <c r="K263" t="s">
        <v>797</v>
      </c>
    </row>
    <row r="264" spans="2:11" x14ac:dyDescent="0.25">
      <c r="B264" s="191"/>
      <c r="C264" s="191"/>
      <c r="D264" s="192" t="s">
        <v>1306</v>
      </c>
      <c r="E264" t="s">
        <v>1307</v>
      </c>
      <c r="F264" s="192" t="s">
        <v>1291</v>
      </c>
      <c r="G264" s="192" t="s">
        <v>790</v>
      </c>
      <c r="H264" s="192" t="s">
        <v>790</v>
      </c>
      <c r="I264" t="s">
        <v>820</v>
      </c>
      <c r="J264" t="s">
        <v>796</v>
      </c>
      <c r="K264" t="s">
        <v>797</v>
      </c>
    </row>
    <row r="265" spans="2:11" x14ac:dyDescent="0.25">
      <c r="B265" s="191"/>
      <c r="C265" s="191"/>
      <c r="D265" s="192" t="s">
        <v>1308</v>
      </c>
      <c r="E265" t="s">
        <v>1309</v>
      </c>
      <c r="F265" s="192" t="s">
        <v>1291</v>
      </c>
      <c r="G265" s="192" t="s">
        <v>790</v>
      </c>
      <c r="H265" s="192" t="s">
        <v>790</v>
      </c>
      <c r="I265" t="s">
        <v>820</v>
      </c>
      <c r="J265" t="s">
        <v>796</v>
      </c>
      <c r="K265" t="s">
        <v>797</v>
      </c>
    </row>
    <row r="266" spans="2:11" x14ac:dyDescent="0.25">
      <c r="B266" s="191"/>
      <c r="C266" s="191" t="s">
        <v>1310</v>
      </c>
      <c r="D266" s="192"/>
      <c r="E266" s="185" t="s">
        <v>1311</v>
      </c>
      <c r="F266" s="192" t="s">
        <v>789</v>
      </c>
      <c r="G266" s="192" t="s">
        <v>790</v>
      </c>
      <c r="H266" s="192" t="s">
        <v>790</v>
      </c>
      <c r="I266" t="s">
        <v>820</v>
      </c>
    </row>
    <row r="267" spans="2:11" x14ac:dyDescent="0.25">
      <c r="B267" s="191"/>
      <c r="C267" s="191"/>
      <c r="D267" s="192" t="s">
        <v>1312</v>
      </c>
      <c r="E267" t="s">
        <v>1313</v>
      </c>
      <c r="F267" s="192" t="s">
        <v>1291</v>
      </c>
      <c r="G267" s="192" t="s">
        <v>790</v>
      </c>
      <c r="H267" s="192" t="s">
        <v>790</v>
      </c>
      <c r="I267" t="s">
        <v>820</v>
      </c>
      <c r="J267" t="s">
        <v>796</v>
      </c>
      <c r="K267" t="s">
        <v>797</v>
      </c>
    </row>
    <row r="268" spans="2:11" x14ac:dyDescent="0.25">
      <c r="B268" s="191"/>
      <c r="C268" s="191"/>
      <c r="D268" s="192" t="s">
        <v>1314</v>
      </c>
      <c r="E268" t="s">
        <v>1315</v>
      </c>
      <c r="F268" s="192" t="s">
        <v>1291</v>
      </c>
      <c r="G268" s="192" t="s">
        <v>790</v>
      </c>
      <c r="H268" s="192" t="s">
        <v>790</v>
      </c>
      <c r="I268" t="s">
        <v>820</v>
      </c>
      <c r="J268" t="s">
        <v>796</v>
      </c>
      <c r="K268" t="s">
        <v>797</v>
      </c>
    </row>
    <row r="269" spans="2:11" x14ac:dyDescent="0.25">
      <c r="B269" s="191"/>
      <c r="C269" s="191"/>
      <c r="D269" s="192" t="s">
        <v>1316</v>
      </c>
      <c r="E269" t="s">
        <v>1317</v>
      </c>
      <c r="F269" s="192" t="s">
        <v>1291</v>
      </c>
      <c r="G269" s="192" t="s">
        <v>790</v>
      </c>
      <c r="H269" s="192" t="s">
        <v>790</v>
      </c>
      <c r="I269" t="s">
        <v>820</v>
      </c>
      <c r="J269" t="s">
        <v>796</v>
      </c>
      <c r="K269" t="s">
        <v>797</v>
      </c>
    </row>
    <row r="270" spans="2:11" x14ac:dyDescent="0.25">
      <c r="B270" s="191"/>
      <c r="C270" s="191"/>
      <c r="D270" s="192" t="s">
        <v>1318</v>
      </c>
      <c r="E270" t="s">
        <v>1319</v>
      </c>
      <c r="F270" s="192" t="s">
        <v>1291</v>
      </c>
      <c r="G270" s="192" t="s">
        <v>790</v>
      </c>
      <c r="H270" s="192" t="s">
        <v>790</v>
      </c>
      <c r="I270" t="s">
        <v>820</v>
      </c>
      <c r="J270" t="s">
        <v>796</v>
      </c>
      <c r="K270" t="s">
        <v>797</v>
      </c>
    </row>
    <row r="271" spans="2:11" x14ac:dyDescent="0.25">
      <c r="B271" s="191"/>
      <c r="C271" s="191"/>
      <c r="D271" s="192" t="s">
        <v>1320</v>
      </c>
      <c r="E271" t="s">
        <v>1321</v>
      </c>
      <c r="F271" s="192" t="s">
        <v>1291</v>
      </c>
      <c r="G271" s="192" t="s">
        <v>790</v>
      </c>
      <c r="H271" s="192" t="s">
        <v>790</v>
      </c>
      <c r="I271" t="s">
        <v>820</v>
      </c>
      <c r="J271" t="s">
        <v>796</v>
      </c>
      <c r="K271" t="s">
        <v>797</v>
      </c>
    </row>
    <row r="272" spans="2:11" x14ac:dyDescent="0.25">
      <c r="B272" s="191"/>
      <c r="C272" s="191"/>
      <c r="D272" s="192" t="s">
        <v>1322</v>
      </c>
      <c r="E272" t="s">
        <v>1323</v>
      </c>
      <c r="F272" s="192" t="s">
        <v>1291</v>
      </c>
      <c r="G272" s="192" t="s">
        <v>790</v>
      </c>
      <c r="H272" s="192" t="s">
        <v>790</v>
      </c>
      <c r="I272" t="s">
        <v>820</v>
      </c>
      <c r="J272" t="s">
        <v>796</v>
      </c>
      <c r="K272" t="s">
        <v>797</v>
      </c>
    </row>
    <row r="273" spans="2:11" x14ac:dyDescent="0.25">
      <c r="B273" s="191"/>
      <c r="C273" s="191"/>
      <c r="D273" s="192" t="s">
        <v>1324</v>
      </c>
      <c r="E273" t="s">
        <v>1325</v>
      </c>
      <c r="F273" s="192" t="s">
        <v>1291</v>
      </c>
      <c r="G273" s="192" t="s">
        <v>790</v>
      </c>
      <c r="H273" s="192" t="s">
        <v>790</v>
      </c>
      <c r="I273" t="s">
        <v>820</v>
      </c>
      <c r="J273" t="s">
        <v>796</v>
      </c>
      <c r="K273" t="s">
        <v>797</v>
      </c>
    </row>
    <row r="274" spans="2:11" x14ac:dyDescent="0.25">
      <c r="B274" s="191"/>
      <c r="C274" s="191" t="s">
        <v>1326</v>
      </c>
      <c r="D274" s="192"/>
      <c r="E274" s="185" t="s">
        <v>1327</v>
      </c>
      <c r="F274" s="192" t="s">
        <v>789</v>
      </c>
      <c r="G274" s="192" t="s">
        <v>790</v>
      </c>
      <c r="H274" s="192" t="s">
        <v>790</v>
      </c>
      <c r="I274" t="s">
        <v>820</v>
      </c>
    </row>
    <row r="275" spans="2:11" x14ac:dyDescent="0.25">
      <c r="B275" s="191"/>
      <c r="C275" s="191"/>
      <c r="D275" s="192" t="s">
        <v>1328</v>
      </c>
      <c r="E275" t="s">
        <v>1329</v>
      </c>
      <c r="F275" s="192" t="s">
        <v>1291</v>
      </c>
      <c r="G275" s="192" t="s">
        <v>790</v>
      </c>
      <c r="H275" s="192" t="s">
        <v>790</v>
      </c>
      <c r="I275" t="s">
        <v>820</v>
      </c>
      <c r="J275" t="s">
        <v>796</v>
      </c>
      <c r="K275" t="s">
        <v>797</v>
      </c>
    </row>
    <row r="276" spans="2:11" x14ac:dyDescent="0.25">
      <c r="B276" s="191"/>
      <c r="C276" s="191"/>
      <c r="D276" s="192" t="s">
        <v>1330</v>
      </c>
      <c r="E276" t="s">
        <v>1331</v>
      </c>
      <c r="F276" s="192" t="s">
        <v>1291</v>
      </c>
      <c r="G276" s="192" t="s">
        <v>790</v>
      </c>
      <c r="H276" s="192" t="s">
        <v>790</v>
      </c>
      <c r="I276" t="s">
        <v>820</v>
      </c>
      <c r="J276" t="s">
        <v>796</v>
      </c>
      <c r="K276" t="s">
        <v>797</v>
      </c>
    </row>
    <row r="277" spans="2:11" x14ac:dyDescent="0.25">
      <c r="B277" s="191"/>
      <c r="C277" s="191"/>
      <c r="D277" s="192" t="s">
        <v>1332</v>
      </c>
      <c r="E277" t="s">
        <v>1333</v>
      </c>
      <c r="F277" s="192" t="s">
        <v>1291</v>
      </c>
      <c r="G277" s="192" t="s">
        <v>790</v>
      </c>
      <c r="H277" s="192" t="s">
        <v>790</v>
      </c>
      <c r="I277" t="s">
        <v>820</v>
      </c>
      <c r="J277" t="s">
        <v>796</v>
      </c>
      <c r="K277" t="s">
        <v>797</v>
      </c>
    </row>
    <row r="278" spans="2:11" x14ac:dyDescent="0.25">
      <c r="B278" s="191"/>
      <c r="C278" s="191"/>
      <c r="D278" s="192" t="s">
        <v>1334</v>
      </c>
      <c r="E278" t="s">
        <v>1335</v>
      </c>
      <c r="F278" s="192" t="s">
        <v>1291</v>
      </c>
      <c r="G278" s="192" t="s">
        <v>790</v>
      </c>
      <c r="H278" s="192" t="s">
        <v>790</v>
      </c>
      <c r="I278" t="s">
        <v>820</v>
      </c>
      <c r="J278" t="s">
        <v>796</v>
      </c>
      <c r="K278" t="s">
        <v>797</v>
      </c>
    </row>
    <row r="279" spans="2:11" x14ac:dyDescent="0.25">
      <c r="B279" s="191"/>
      <c r="C279" s="191"/>
      <c r="D279" s="192" t="s">
        <v>1336</v>
      </c>
      <c r="E279" t="s">
        <v>1337</v>
      </c>
      <c r="F279" s="192" t="s">
        <v>1291</v>
      </c>
      <c r="G279" s="192" t="s">
        <v>790</v>
      </c>
      <c r="H279" s="192" t="s">
        <v>790</v>
      </c>
      <c r="I279" t="s">
        <v>820</v>
      </c>
      <c r="J279" t="s">
        <v>796</v>
      </c>
      <c r="K279" t="s">
        <v>797</v>
      </c>
    </row>
    <row r="280" spans="2:11" x14ac:dyDescent="0.25">
      <c r="B280" s="191"/>
      <c r="C280" s="191"/>
      <c r="D280" s="192" t="s">
        <v>1338</v>
      </c>
      <c r="E280" t="s">
        <v>1339</v>
      </c>
      <c r="F280" s="192" t="s">
        <v>1291</v>
      </c>
      <c r="G280" s="192" t="s">
        <v>790</v>
      </c>
      <c r="H280" s="192" t="s">
        <v>790</v>
      </c>
      <c r="I280" t="s">
        <v>820</v>
      </c>
      <c r="J280" t="s">
        <v>796</v>
      </c>
      <c r="K280" t="s">
        <v>797</v>
      </c>
    </row>
    <row r="281" spans="2:11" x14ac:dyDescent="0.25">
      <c r="B281" s="191" t="s">
        <v>1340</v>
      </c>
      <c r="C281" s="191"/>
      <c r="D281" s="192"/>
      <c r="E281" s="185" t="s">
        <v>1341</v>
      </c>
      <c r="F281" s="192" t="s">
        <v>789</v>
      </c>
      <c r="G281" s="192" t="s">
        <v>790</v>
      </c>
      <c r="H281" s="192" t="s">
        <v>790</v>
      </c>
      <c r="I281" t="s">
        <v>820</v>
      </c>
      <c r="J281" t="s">
        <v>865</v>
      </c>
    </row>
    <row r="282" spans="2:11" x14ac:dyDescent="0.25">
      <c r="B282" s="191"/>
      <c r="C282" s="191" t="s">
        <v>1342</v>
      </c>
      <c r="D282" s="192"/>
      <c r="E282" s="185" t="s">
        <v>1341</v>
      </c>
      <c r="F282" s="192" t="s">
        <v>789</v>
      </c>
      <c r="G282" s="192" t="s">
        <v>790</v>
      </c>
      <c r="H282" s="192" t="s">
        <v>790</v>
      </c>
      <c r="I282" t="s">
        <v>820</v>
      </c>
    </row>
    <row r="283" spans="2:11" x14ac:dyDescent="0.25">
      <c r="B283" s="191"/>
      <c r="C283" s="191" t="s">
        <v>1343</v>
      </c>
      <c r="D283" s="192"/>
      <c r="E283" s="185" t="s">
        <v>1341</v>
      </c>
      <c r="F283" s="192" t="s">
        <v>789</v>
      </c>
      <c r="G283" s="192" t="s">
        <v>790</v>
      </c>
      <c r="H283" s="192" t="s">
        <v>790</v>
      </c>
      <c r="I283" t="s">
        <v>820</v>
      </c>
    </row>
    <row r="284" spans="2:11" x14ac:dyDescent="0.25">
      <c r="B284" s="191"/>
      <c r="C284" s="191"/>
      <c r="D284" s="192" t="s">
        <v>1344</v>
      </c>
      <c r="E284" t="s">
        <v>1345</v>
      </c>
      <c r="F284" s="192" t="s">
        <v>1346</v>
      </c>
      <c r="G284" s="192" t="s">
        <v>790</v>
      </c>
      <c r="H284" s="192" t="s">
        <v>790</v>
      </c>
      <c r="I284" t="s">
        <v>820</v>
      </c>
      <c r="J284" t="s">
        <v>865</v>
      </c>
      <c r="K284" t="s">
        <v>797</v>
      </c>
    </row>
    <row r="285" spans="2:11" x14ac:dyDescent="0.25">
      <c r="B285" s="191"/>
      <c r="C285" s="191"/>
      <c r="D285" s="192" t="s">
        <v>1347</v>
      </c>
      <c r="E285" t="s">
        <v>1348</v>
      </c>
      <c r="F285" s="192" t="s">
        <v>1346</v>
      </c>
      <c r="G285" s="192" t="s">
        <v>790</v>
      </c>
      <c r="H285" s="192" t="s">
        <v>790</v>
      </c>
      <c r="I285" t="s">
        <v>820</v>
      </c>
      <c r="J285" t="s">
        <v>865</v>
      </c>
      <c r="K285" t="s">
        <v>797</v>
      </c>
    </row>
    <row r="286" spans="2:11" x14ac:dyDescent="0.25">
      <c r="B286" s="191" t="s">
        <v>1349</v>
      </c>
      <c r="C286" s="191"/>
      <c r="D286" s="192"/>
      <c r="E286" s="185" t="s">
        <v>1350</v>
      </c>
      <c r="F286" s="192" t="s">
        <v>789</v>
      </c>
      <c r="G286" s="192" t="s">
        <v>790</v>
      </c>
      <c r="H286" s="192" t="s">
        <v>790</v>
      </c>
      <c r="I286" t="s">
        <v>820</v>
      </c>
      <c r="J286" t="s">
        <v>865</v>
      </c>
    </row>
    <row r="287" spans="2:11" x14ac:dyDescent="0.25">
      <c r="B287" s="191"/>
      <c r="C287" s="191" t="s">
        <v>1351</v>
      </c>
      <c r="D287" s="192"/>
      <c r="E287" s="185" t="s">
        <v>1350</v>
      </c>
      <c r="F287" s="192" t="s">
        <v>789</v>
      </c>
      <c r="G287" s="192" t="s">
        <v>790</v>
      </c>
      <c r="H287" s="192" t="s">
        <v>790</v>
      </c>
      <c r="I287" t="s">
        <v>820</v>
      </c>
    </row>
    <row r="288" spans="2:11" x14ac:dyDescent="0.25">
      <c r="B288" s="191"/>
      <c r="C288" s="191" t="s">
        <v>1352</v>
      </c>
      <c r="D288" s="192"/>
      <c r="E288" s="185" t="s">
        <v>1350</v>
      </c>
      <c r="F288" s="192" t="s">
        <v>789</v>
      </c>
      <c r="G288" s="192" t="s">
        <v>790</v>
      </c>
      <c r="H288" s="192" t="s">
        <v>790</v>
      </c>
      <c r="I288" t="s">
        <v>820</v>
      </c>
    </row>
    <row r="289" spans="2:11" x14ac:dyDescent="0.25">
      <c r="B289" s="191"/>
      <c r="C289" s="191"/>
      <c r="D289" s="192" t="s">
        <v>1353</v>
      </c>
      <c r="E289" t="s">
        <v>1354</v>
      </c>
      <c r="F289" s="192" t="s">
        <v>1355</v>
      </c>
      <c r="G289" s="192" t="s">
        <v>790</v>
      </c>
      <c r="H289" s="192" t="s">
        <v>790</v>
      </c>
      <c r="I289" t="s">
        <v>820</v>
      </c>
      <c r="J289" t="s">
        <v>865</v>
      </c>
      <c r="K289" t="s">
        <v>797</v>
      </c>
    </row>
    <row r="290" spans="2:11" x14ac:dyDescent="0.25">
      <c r="B290" s="191"/>
      <c r="C290" s="191"/>
      <c r="D290" s="192" t="s">
        <v>1356</v>
      </c>
      <c r="E290" t="s">
        <v>1357</v>
      </c>
      <c r="F290" s="192" t="s">
        <v>1355</v>
      </c>
      <c r="G290" s="192" t="s">
        <v>790</v>
      </c>
      <c r="H290" s="192" t="s">
        <v>790</v>
      </c>
      <c r="I290" t="s">
        <v>820</v>
      </c>
      <c r="J290" t="s">
        <v>865</v>
      </c>
      <c r="K290" t="s">
        <v>797</v>
      </c>
    </row>
    <row r="291" spans="2:11" x14ac:dyDescent="0.25">
      <c r="B291" s="191"/>
      <c r="C291" s="191"/>
      <c r="D291" s="192" t="s">
        <v>1358</v>
      </c>
      <c r="E291" t="s">
        <v>1359</v>
      </c>
      <c r="F291" s="192" t="s">
        <v>1355</v>
      </c>
      <c r="G291" s="192" t="s">
        <v>790</v>
      </c>
      <c r="H291" s="192" t="s">
        <v>790</v>
      </c>
      <c r="I291" t="s">
        <v>820</v>
      </c>
      <c r="J291" t="s">
        <v>865</v>
      </c>
      <c r="K291" t="s">
        <v>797</v>
      </c>
    </row>
    <row r="292" spans="2:11" x14ac:dyDescent="0.25">
      <c r="B292" s="191"/>
      <c r="C292" s="191" t="s">
        <v>1360</v>
      </c>
      <c r="D292" s="192"/>
      <c r="E292" s="185" t="s">
        <v>1361</v>
      </c>
      <c r="F292" s="192" t="s">
        <v>789</v>
      </c>
      <c r="G292" s="192" t="s">
        <v>790</v>
      </c>
      <c r="H292" s="192" t="s">
        <v>790</v>
      </c>
      <c r="I292" t="s">
        <v>820</v>
      </c>
    </row>
    <row r="293" spans="2:11" x14ac:dyDescent="0.25">
      <c r="B293" s="191"/>
      <c r="C293" s="191" t="s">
        <v>1362</v>
      </c>
      <c r="D293" s="192"/>
      <c r="E293" s="185" t="s">
        <v>1363</v>
      </c>
      <c r="F293" s="192" t="s">
        <v>789</v>
      </c>
      <c r="G293" s="192" t="s">
        <v>790</v>
      </c>
      <c r="H293" s="192" t="s">
        <v>790</v>
      </c>
      <c r="I293" t="s">
        <v>820</v>
      </c>
    </row>
    <row r="294" spans="2:11" x14ac:dyDescent="0.25">
      <c r="B294" s="191"/>
      <c r="C294" s="191"/>
      <c r="D294" s="192" t="s">
        <v>1364</v>
      </c>
      <c r="E294" t="s">
        <v>1365</v>
      </c>
      <c r="F294" s="192" t="s">
        <v>1355</v>
      </c>
      <c r="G294" s="192" t="s">
        <v>790</v>
      </c>
      <c r="H294" s="192" t="s">
        <v>790</v>
      </c>
      <c r="I294" t="s">
        <v>820</v>
      </c>
      <c r="J294" t="s">
        <v>865</v>
      </c>
      <c r="K294" t="s">
        <v>797</v>
      </c>
    </row>
    <row r="295" spans="2:11" x14ac:dyDescent="0.25">
      <c r="B295" s="191" t="s">
        <v>1366</v>
      </c>
      <c r="C295" s="191"/>
      <c r="D295" s="192"/>
      <c r="E295" s="185" t="s">
        <v>1367</v>
      </c>
      <c r="F295" s="192" t="s">
        <v>789</v>
      </c>
      <c r="G295" s="192" t="s">
        <v>790</v>
      </c>
      <c r="H295" s="192" t="s">
        <v>790</v>
      </c>
      <c r="I295" t="s">
        <v>820</v>
      </c>
      <c r="J295" t="s">
        <v>865</v>
      </c>
    </row>
    <row r="296" spans="2:11" x14ac:dyDescent="0.25">
      <c r="B296" s="191"/>
      <c r="C296" s="191" t="s">
        <v>1368</v>
      </c>
      <c r="D296" s="192"/>
      <c r="E296" s="185" t="s">
        <v>1369</v>
      </c>
      <c r="F296" s="192" t="s">
        <v>789</v>
      </c>
      <c r="G296" s="192" t="s">
        <v>790</v>
      </c>
      <c r="H296" s="192" t="s">
        <v>790</v>
      </c>
      <c r="I296" t="s">
        <v>820</v>
      </c>
    </row>
    <row r="297" spans="2:11" x14ac:dyDescent="0.25">
      <c r="B297" s="191"/>
      <c r="C297" s="191"/>
      <c r="D297" s="192" t="s">
        <v>1370</v>
      </c>
      <c r="E297" t="s">
        <v>1369</v>
      </c>
      <c r="F297" s="192" t="s">
        <v>1371</v>
      </c>
      <c r="G297" s="192" t="s">
        <v>790</v>
      </c>
      <c r="H297" s="192" t="s">
        <v>790</v>
      </c>
      <c r="I297" t="s">
        <v>820</v>
      </c>
      <c r="J297" t="s">
        <v>865</v>
      </c>
      <c r="K297" t="s">
        <v>797</v>
      </c>
    </row>
    <row r="298" spans="2:11" x14ac:dyDescent="0.25">
      <c r="B298" s="191"/>
      <c r="C298" s="191" t="s">
        <v>1372</v>
      </c>
      <c r="D298" s="192"/>
      <c r="E298" s="185" t="s">
        <v>1373</v>
      </c>
      <c r="F298" s="192" t="s">
        <v>789</v>
      </c>
      <c r="G298" s="192" t="s">
        <v>790</v>
      </c>
      <c r="H298" s="192" t="s">
        <v>790</v>
      </c>
      <c r="I298" t="s">
        <v>820</v>
      </c>
    </row>
    <row r="299" spans="2:11" x14ac:dyDescent="0.25">
      <c r="B299" s="191"/>
      <c r="C299" s="191"/>
      <c r="D299" s="192" t="s">
        <v>1374</v>
      </c>
      <c r="E299" t="s">
        <v>1375</v>
      </c>
      <c r="F299" s="192" t="s">
        <v>1371</v>
      </c>
      <c r="G299" s="192" t="s">
        <v>790</v>
      </c>
      <c r="H299" s="192" t="s">
        <v>790</v>
      </c>
      <c r="I299" t="s">
        <v>820</v>
      </c>
      <c r="J299" t="s">
        <v>865</v>
      </c>
      <c r="K299" t="s">
        <v>797</v>
      </c>
    </row>
    <row r="300" spans="2:11" x14ac:dyDescent="0.25">
      <c r="B300" s="191" t="s">
        <v>1376</v>
      </c>
      <c r="C300" s="191"/>
      <c r="D300" s="192"/>
      <c r="E300" s="185" t="s">
        <v>1377</v>
      </c>
      <c r="F300" s="192" t="s">
        <v>789</v>
      </c>
      <c r="G300" s="192" t="s">
        <v>790</v>
      </c>
      <c r="H300" s="192" t="s">
        <v>790</v>
      </c>
      <c r="I300" t="s">
        <v>820</v>
      </c>
      <c r="J300" t="s">
        <v>865</v>
      </c>
    </row>
    <row r="301" spans="2:11" x14ac:dyDescent="0.25">
      <c r="B301" s="191"/>
      <c r="C301" s="191" t="s">
        <v>1378</v>
      </c>
      <c r="D301" s="192"/>
      <c r="E301" s="185" t="s">
        <v>1377</v>
      </c>
      <c r="F301" s="192" t="s">
        <v>789</v>
      </c>
      <c r="G301" s="192" t="s">
        <v>790</v>
      </c>
      <c r="H301" s="192" t="s">
        <v>790</v>
      </c>
      <c r="I301" t="s">
        <v>820</v>
      </c>
    </row>
    <row r="302" spans="2:11" x14ac:dyDescent="0.25">
      <c r="B302" s="191"/>
      <c r="C302" s="191" t="s">
        <v>1379</v>
      </c>
      <c r="D302" s="192"/>
      <c r="E302" s="185" t="s">
        <v>1377</v>
      </c>
      <c r="F302" s="192" t="s">
        <v>789</v>
      </c>
      <c r="G302" s="192" t="s">
        <v>790</v>
      </c>
      <c r="H302" s="192" t="s">
        <v>790</v>
      </c>
      <c r="I302" t="s">
        <v>820</v>
      </c>
    </row>
    <row r="303" spans="2:11" x14ac:dyDescent="0.25">
      <c r="B303" s="191"/>
      <c r="C303" s="191"/>
      <c r="D303" s="192" t="s">
        <v>1380</v>
      </c>
      <c r="E303" t="s">
        <v>1381</v>
      </c>
      <c r="F303" s="192" t="s">
        <v>1382</v>
      </c>
      <c r="G303" s="192" t="s">
        <v>790</v>
      </c>
      <c r="H303" s="192" t="s">
        <v>790</v>
      </c>
      <c r="I303" t="s">
        <v>820</v>
      </c>
      <c r="J303" t="s">
        <v>865</v>
      </c>
      <c r="K303" t="s">
        <v>797</v>
      </c>
    </row>
    <row r="304" spans="2:11" x14ac:dyDescent="0.25">
      <c r="B304" s="191"/>
      <c r="C304" s="191"/>
      <c r="D304" s="192" t="s">
        <v>1383</v>
      </c>
      <c r="E304" t="s">
        <v>1384</v>
      </c>
      <c r="F304" s="192" t="s">
        <v>1382</v>
      </c>
      <c r="G304" s="192" t="s">
        <v>790</v>
      </c>
      <c r="H304" s="192" t="s">
        <v>790</v>
      </c>
      <c r="I304" t="s">
        <v>820</v>
      </c>
      <c r="J304" t="s">
        <v>865</v>
      </c>
      <c r="K304" t="s">
        <v>797</v>
      </c>
    </row>
    <row r="305" spans="2:11" x14ac:dyDescent="0.25">
      <c r="B305" s="191"/>
      <c r="C305" s="191" t="s">
        <v>1385</v>
      </c>
      <c r="D305" s="192"/>
      <c r="E305" s="185" t="s">
        <v>1386</v>
      </c>
      <c r="F305" s="192" t="s">
        <v>789</v>
      </c>
      <c r="G305" s="192" t="s">
        <v>790</v>
      </c>
      <c r="H305" s="192" t="s">
        <v>790</v>
      </c>
      <c r="I305" t="s">
        <v>820</v>
      </c>
    </row>
    <row r="306" spans="2:11" x14ac:dyDescent="0.25">
      <c r="B306" s="191"/>
      <c r="C306" s="191" t="s">
        <v>1387</v>
      </c>
      <c r="D306" s="192"/>
      <c r="E306" s="185" t="s">
        <v>1388</v>
      </c>
      <c r="F306" s="192" t="s">
        <v>789</v>
      </c>
      <c r="G306" s="192" t="s">
        <v>790</v>
      </c>
      <c r="H306" s="192" t="s">
        <v>790</v>
      </c>
      <c r="I306" t="s">
        <v>820</v>
      </c>
    </row>
    <row r="307" spans="2:11" x14ac:dyDescent="0.25">
      <c r="B307" s="191"/>
      <c r="C307" s="191"/>
      <c r="D307" s="192" t="s">
        <v>1389</v>
      </c>
      <c r="E307" t="s">
        <v>1390</v>
      </c>
      <c r="F307" s="192" t="s">
        <v>1382</v>
      </c>
      <c r="G307" s="192" t="s">
        <v>790</v>
      </c>
      <c r="H307" s="192" t="s">
        <v>790</v>
      </c>
      <c r="I307" t="s">
        <v>820</v>
      </c>
      <c r="J307" t="s">
        <v>865</v>
      </c>
      <c r="K307" t="s">
        <v>797</v>
      </c>
    </row>
    <row r="308" spans="2:11" x14ac:dyDescent="0.25">
      <c r="B308" s="191" t="s">
        <v>1391</v>
      </c>
      <c r="C308" s="191"/>
      <c r="D308" s="192"/>
      <c r="E308" s="185" t="s">
        <v>1392</v>
      </c>
      <c r="F308" s="192" t="s">
        <v>789</v>
      </c>
      <c r="G308" s="192" t="s">
        <v>790</v>
      </c>
      <c r="H308" s="192" t="s">
        <v>790</v>
      </c>
      <c r="I308" t="s">
        <v>820</v>
      </c>
      <c r="J308" t="s">
        <v>865</v>
      </c>
    </row>
    <row r="309" spans="2:11" x14ac:dyDescent="0.25">
      <c r="B309" s="191"/>
      <c r="C309" s="191" t="s">
        <v>1393</v>
      </c>
      <c r="D309" s="192"/>
      <c r="E309" s="185" t="s">
        <v>1392</v>
      </c>
      <c r="F309" s="192" t="s">
        <v>789</v>
      </c>
      <c r="G309" s="192" t="s">
        <v>790</v>
      </c>
      <c r="H309" s="192" t="s">
        <v>790</v>
      </c>
      <c r="I309" t="s">
        <v>820</v>
      </c>
    </row>
    <row r="310" spans="2:11" x14ac:dyDescent="0.25">
      <c r="B310" s="191"/>
      <c r="C310" s="191" t="s">
        <v>1394</v>
      </c>
      <c r="D310" s="192"/>
      <c r="E310" s="185" t="s">
        <v>1392</v>
      </c>
      <c r="F310" s="192" t="s">
        <v>789</v>
      </c>
      <c r="G310" s="192" t="s">
        <v>790</v>
      </c>
      <c r="H310" s="192" t="s">
        <v>790</v>
      </c>
      <c r="I310" t="s">
        <v>820</v>
      </c>
    </row>
    <row r="311" spans="2:11" x14ac:dyDescent="0.25">
      <c r="B311" s="191"/>
      <c r="C311" s="191"/>
      <c r="D311" s="192" t="s">
        <v>1395</v>
      </c>
      <c r="E311" t="s">
        <v>1396</v>
      </c>
      <c r="F311" s="192" t="s">
        <v>1397</v>
      </c>
      <c r="G311" s="192" t="s">
        <v>790</v>
      </c>
      <c r="H311" s="192" t="s">
        <v>790</v>
      </c>
      <c r="I311" t="s">
        <v>820</v>
      </c>
      <c r="J311" t="s">
        <v>865</v>
      </c>
      <c r="K311" t="s">
        <v>797</v>
      </c>
    </row>
    <row r="312" spans="2:11" x14ac:dyDescent="0.25">
      <c r="B312" s="191"/>
      <c r="C312" s="191"/>
      <c r="D312" s="192" t="s">
        <v>1398</v>
      </c>
      <c r="E312" t="s">
        <v>1399</v>
      </c>
      <c r="F312" s="192" t="s">
        <v>1397</v>
      </c>
      <c r="G312" s="192" t="s">
        <v>790</v>
      </c>
      <c r="H312" s="192" t="s">
        <v>790</v>
      </c>
      <c r="I312" t="s">
        <v>820</v>
      </c>
      <c r="J312" t="s">
        <v>865</v>
      </c>
      <c r="K312" t="s">
        <v>797</v>
      </c>
    </row>
    <row r="313" spans="2:11" x14ac:dyDescent="0.25">
      <c r="B313" s="191" t="s">
        <v>1400</v>
      </c>
      <c r="C313" s="191"/>
      <c r="D313" s="192"/>
      <c r="E313" s="185" t="s">
        <v>1401</v>
      </c>
      <c r="F313" s="192" t="s">
        <v>789</v>
      </c>
      <c r="G313" s="192" t="s">
        <v>790</v>
      </c>
      <c r="H313" s="192" t="s">
        <v>790</v>
      </c>
      <c r="I313" t="s">
        <v>820</v>
      </c>
      <c r="J313" t="s">
        <v>865</v>
      </c>
    </row>
    <row r="314" spans="2:11" x14ac:dyDescent="0.25">
      <c r="B314" s="191"/>
      <c r="C314" s="191" t="s">
        <v>1402</v>
      </c>
      <c r="D314" s="192"/>
      <c r="E314" s="185" t="s">
        <v>1403</v>
      </c>
      <c r="F314" s="192" t="s">
        <v>789</v>
      </c>
      <c r="G314" s="192" t="s">
        <v>790</v>
      </c>
      <c r="H314" s="192" t="s">
        <v>790</v>
      </c>
      <c r="I314" t="s">
        <v>820</v>
      </c>
    </row>
    <row r="315" spans="2:11" x14ac:dyDescent="0.25">
      <c r="B315" s="191"/>
      <c r="C315" s="191"/>
      <c r="D315" s="192" t="s">
        <v>1404</v>
      </c>
      <c r="E315" t="s">
        <v>1403</v>
      </c>
      <c r="F315" s="192" t="s">
        <v>1405</v>
      </c>
      <c r="G315" s="192" t="s">
        <v>790</v>
      </c>
      <c r="H315" s="192" t="s">
        <v>790</v>
      </c>
      <c r="I315" t="s">
        <v>820</v>
      </c>
      <c r="J315" t="s">
        <v>865</v>
      </c>
      <c r="K315" t="s">
        <v>797</v>
      </c>
    </row>
    <row r="316" spans="2:11" x14ac:dyDescent="0.25">
      <c r="B316" s="191"/>
      <c r="C316" s="191" t="s">
        <v>1406</v>
      </c>
      <c r="D316" s="192"/>
      <c r="E316" s="185" t="s">
        <v>1407</v>
      </c>
      <c r="F316" s="192" t="s">
        <v>789</v>
      </c>
      <c r="G316" s="192" t="s">
        <v>790</v>
      </c>
      <c r="H316" s="192" t="s">
        <v>790</v>
      </c>
      <c r="I316" t="s">
        <v>820</v>
      </c>
    </row>
    <row r="317" spans="2:11" x14ac:dyDescent="0.25">
      <c r="B317" s="191"/>
      <c r="C317" s="191"/>
      <c r="D317" s="192" t="s">
        <v>1408</v>
      </c>
      <c r="E317" t="s">
        <v>1409</v>
      </c>
      <c r="F317" s="192" t="s">
        <v>1405</v>
      </c>
      <c r="G317" s="192" t="s">
        <v>790</v>
      </c>
      <c r="H317" s="192" t="s">
        <v>790</v>
      </c>
      <c r="I317" t="s">
        <v>820</v>
      </c>
      <c r="J317" t="s">
        <v>865</v>
      </c>
      <c r="K317" t="s">
        <v>797</v>
      </c>
    </row>
    <row r="318" spans="2:11" x14ac:dyDescent="0.25">
      <c r="B318" s="191"/>
      <c r="C318" s="191"/>
      <c r="D318" s="192" t="s">
        <v>1410</v>
      </c>
      <c r="E318" t="s">
        <v>1411</v>
      </c>
      <c r="F318" s="192" t="s">
        <v>1405</v>
      </c>
      <c r="G318" s="192" t="s">
        <v>790</v>
      </c>
      <c r="H318" s="192" t="s">
        <v>790</v>
      </c>
      <c r="I318" t="s">
        <v>820</v>
      </c>
      <c r="J318" t="s">
        <v>865</v>
      </c>
      <c r="K318" t="s">
        <v>797</v>
      </c>
    </row>
    <row r="319" spans="2:11" x14ac:dyDescent="0.25">
      <c r="B319" s="191"/>
      <c r="C319" s="191"/>
      <c r="D319" s="192" t="s">
        <v>1412</v>
      </c>
      <c r="E319" t="s">
        <v>1413</v>
      </c>
      <c r="F319" s="192" t="s">
        <v>1405</v>
      </c>
      <c r="G319" s="192" t="s">
        <v>790</v>
      </c>
      <c r="H319" s="192" t="s">
        <v>790</v>
      </c>
      <c r="I319" t="s">
        <v>820</v>
      </c>
      <c r="J319" t="s">
        <v>865</v>
      </c>
      <c r="K319" t="s">
        <v>797</v>
      </c>
    </row>
    <row r="320" spans="2:11" x14ac:dyDescent="0.25">
      <c r="B320" s="191"/>
      <c r="C320" s="191"/>
      <c r="D320" s="192" t="s">
        <v>1414</v>
      </c>
      <c r="E320" t="s">
        <v>1415</v>
      </c>
      <c r="F320" s="192" t="s">
        <v>1405</v>
      </c>
      <c r="G320" s="192" t="s">
        <v>790</v>
      </c>
      <c r="H320" s="192" t="s">
        <v>790</v>
      </c>
      <c r="I320" t="s">
        <v>820</v>
      </c>
      <c r="J320" t="s">
        <v>865</v>
      </c>
      <c r="K320" t="s">
        <v>797</v>
      </c>
    </row>
    <row r="321" spans="2:11" x14ac:dyDescent="0.25">
      <c r="B321" s="191"/>
      <c r="C321" s="191" t="s">
        <v>1416</v>
      </c>
      <c r="D321" s="192"/>
      <c r="E321" s="185" t="s">
        <v>1417</v>
      </c>
      <c r="F321" s="192" t="s">
        <v>789</v>
      </c>
      <c r="G321" s="192" t="s">
        <v>790</v>
      </c>
      <c r="H321" s="192" t="s">
        <v>790</v>
      </c>
      <c r="I321" t="s">
        <v>820</v>
      </c>
    </row>
    <row r="322" spans="2:11" x14ac:dyDescent="0.25">
      <c r="B322" s="191"/>
      <c r="C322" s="191"/>
      <c r="D322" s="192" t="s">
        <v>1418</v>
      </c>
      <c r="E322" t="s">
        <v>1419</v>
      </c>
      <c r="F322" s="192" t="s">
        <v>1405</v>
      </c>
      <c r="G322" s="192" t="s">
        <v>790</v>
      </c>
      <c r="H322" s="192" t="s">
        <v>790</v>
      </c>
      <c r="I322" t="s">
        <v>820</v>
      </c>
      <c r="J322" t="s">
        <v>865</v>
      </c>
      <c r="K322" t="s">
        <v>797</v>
      </c>
    </row>
    <row r="323" spans="2:11" x14ac:dyDescent="0.25">
      <c r="B323" s="191" t="s">
        <v>1420</v>
      </c>
      <c r="C323" s="191"/>
      <c r="D323" s="192"/>
      <c r="E323" s="185" t="s">
        <v>1421</v>
      </c>
      <c r="F323" s="192" t="s">
        <v>789</v>
      </c>
      <c r="G323" s="192" t="s">
        <v>790</v>
      </c>
      <c r="H323" s="192" t="s">
        <v>790</v>
      </c>
      <c r="I323" t="s">
        <v>820</v>
      </c>
      <c r="J323" t="s">
        <v>865</v>
      </c>
    </row>
    <row r="324" spans="2:11" x14ac:dyDescent="0.25">
      <c r="B324" s="191"/>
      <c r="C324" s="191" t="s">
        <v>1422</v>
      </c>
      <c r="D324" s="192"/>
      <c r="E324" s="185" t="s">
        <v>1423</v>
      </c>
      <c r="F324" s="192" t="s">
        <v>789</v>
      </c>
      <c r="G324" s="192" t="s">
        <v>790</v>
      </c>
      <c r="H324" s="192" t="s">
        <v>790</v>
      </c>
      <c r="I324" t="s">
        <v>820</v>
      </c>
    </row>
    <row r="325" spans="2:11" x14ac:dyDescent="0.25">
      <c r="B325" s="191"/>
      <c r="C325" s="191"/>
      <c r="D325" s="192" t="s">
        <v>1424</v>
      </c>
      <c r="E325" t="s">
        <v>1423</v>
      </c>
      <c r="F325" s="192" t="s">
        <v>1425</v>
      </c>
      <c r="G325" s="192" t="s">
        <v>790</v>
      </c>
      <c r="H325" s="192" t="s">
        <v>790</v>
      </c>
      <c r="I325" t="s">
        <v>820</v>
      </c>
      <c r="J325" t="s">
        <v>865</v>
      </c>
      <c r="K325" t="s">
        <v>797</v>
      </c>
    </row>
    <row r="326" spans="2:11" x14ac:dyDescent="0.25">
      <c r="B326" s="191"/>
      <c r="C326" s="191" t="s">
        <v>1426</v>
      </c>
      <c r="D326" s="192"/>
      <c r="E326" s="185" t="s">
        <v>1427</v>
      </c>
      <c r="F326" s="192" t="s">
        <v>789</v>
      </c>
      <c r="G326" s="192" t="s">
        <v>790</v>
      </c>
      <c r="H326" s="192" t="s">
        <v>790</v>
      </c>
      <c r="I326" t="s">
        <v>820</v>
      </c>
    </row>
    <row r="327" spans="2:11" x14ac:dyDescent="0.25">
      <c r="B327" s="191"/>
      <c r="C327" s="191"/>
      <c r="D327" s="192" t="s">
        <v>1428</v>
      </c>
      <c r="E327" t="s">
        <v>1427</v>
      </c>
      <c r="F327" s="192" t="s">
        <v>1425</v>
      </c>
      <c r="G327" s="192" t="s">
        <v>790</v>
      </c>
      <c r="H327" s="192" t="s">
        <v>790</v>
      </c>
      <c r="I327" t="s">
        <v>820</v>
      </c>
      <c r="J327" t="s">
        <v>865</v>
      </c>
      <c r="K327" t="s">
        <v>797</v>
      </c>
    </row>
    <row r="328" spans="2:11" x14ac:dyDescent="0.25">
      <c r="B328" s="191" t="s">
        <v>1429</v>
      </c>
      <c r="C328" s="191"/>
      <c r="D328" s="192"/>
      <c r="E328" s="185" t="s">
        <v>1430</v>
      </c>
      <c r="F328" s="192" t="s">
        <v>789</v>
      </c>
      <c r="G328" s="192" t="s">
        <v>790</v>
      </c>
      <c r="H328" s="192" t="s">
        <v>790</v>
      </c>
      <c r="I328" t="s">
        <v>820</v>
      </c>
    </row>
    <row r="329" spans="2:11" x14ac:dyDescent="0.25">
      <c r="B329" s="191"/>
      <c r="C329" s="191" t="s">
        <v>1431</v>
      </c>
      <c r="D329" s="192"/>
      <c r="E329" s="185" t="s">
        <v>1432</v>
      </c>
      <c r="F329" s="192" t="s">
        <v>789</v>
      </c>
      <c r="G329" s="192" t="s">
        <v>790</v>
      </c>
      <c r="H329" s="192" t="s">
        <v>790</v>
      </c>
      <c r="I329" t="s">
        <v>820</v>
      </c>
    </row>
    <row r="330" spans="2:11" x14ac:dyDescent="0.25">
      <c r="B330" s="191"/>
      <c r="C330" s="191" t="s">
        <v>1433</v>
      </c>
      <c r="D330" s="192"/>
      <c r="E330" s="185" t="s">
        <v>1434</v>
      </c>
      <c r="F330" s="192" t="s">
        <v>789</v>
      </c>
      <c r="G330" s="192" t="s">
        <v>790</v>
      </c>
      <c r="H330" s="192" t="s">
        <v>790</v>
      </c>
      <c r="I330" t="s">
        <v>820</v>
      </c>
    </row>
    <row r="331" spans="2:11" x14ac:dyDescent="0.25">
      <c r="B331" s="191"/>
      <c r="C331" s="191"/>
      <c r="D331" s="192" t="s">
        <v>1435</v>
      </c>
      <c r="E331" t="s">
        <v>1436</v>
      </c>
      <c r="F331" s="192" t="s">
        <v>1437</v>
      </c>
      <c r="G331" s="192" t="s">
        <v>790</v>
      </c>
      <c r="H331" s="192" t="s">
        <v>790</v>
      </c>
      <c r="I331" t="s">
        <v>820</v>
      </c>
      <c r="J331" t="s">
        <v>865</v>
      </c>
      <c r="K331" t="s">
        <v>797</v>
      </c>
    </row>
    <row r="332" spans="2:11" x14ac:dyDescent="0.25">
      <c r="B332" s="191"/>
      <c r="C332" s="191"/>
      <c r="D332" s="192" t="s">
        <v>1438</v>
      </c>
      <c r="E332" t="s">
        <v>1439</v>
      </c>
      <c r="F332" s="192" t="s">
        <v>1437</v>
      </c>
      <c r="G332" s="192" t="s">
        <v>790</v>
      </c>
      <c r="H332" s="192" t="s">
        <v>790</v>
      </c>
      <c r="I332" t="s">
        <v>820</v>
      </c>
      <c r="J332" t="s">
        <v>865</v>
      </c>
      <c r="K332" t="s">
        <v>797</v>
      </c>
    </row>
    <row r="333" spans="2:11" x14ac:dyDescent="0.25">
      <c r="B333" s="191"/>
      <c r="C333" s="191"/>
      <c r="D333" s="192" t="s">
        <v>1440</v>
      </c>
      <c r="E333" t="s">
        <v>1441</v>
      </c>
      <c r="F333" s="192" t="s">
        <v>1437</v>
      </c>
      <c r="G333" s="192" t="s">
        <v>790</v>
      </c>
      <c r="H333" s="192" t="s">
        <v>790</v>
      </c>
      <c r="I333" t="s">
        <v>820</v>
      </c>
      <c r="J333" t="s">
        <v>865</v>
      </c>
      <c r="K333" t="s">
        <v>797</v>
      </c>
    </row>
    <row r="334" spans="2:11" x14ac:dyDescent="0.25">
      <c r="B334" s="191"/>
      <c r="C334" s="191" t="s">
        <v>1442</v>
      </c>
      <c r="D334" s="192"/>
      <c r="E334" s="185" t="s">
        <v>1443</v>
      </c>
      <c r="F334" s="192" t="s">
        <v>789</v>
      </c>
      <c r="G334" s="192" t="s">
        <v>790</v>
      </c>
      <c r="H334" s="192" t="s">
        <v>790</v>
      </c>
      <c r="I334" t="s">
        <v>820</v>
      </c>
    </row>
    <row r="335" spans="2:11" x14ac:dyDescent="0.25">
      <c r="B335" s="191"/>
      <c r="C335" s="191"/>
      <c r="D335" s="192" t="s">
        <v>1444</v>
      </c>
      <c r="E335" t="s">
        <v>1445</v>
      </c>
      <c r="F335" s="192" t="s">
        <v>1437</v>
      </c>
      <c r="G335" s="192" t="s">
        <v>790</v>
      </c>
      <c r="H335" s="192" t="s">
        <v>790</v>
      </c>
      <c r="I335" t="s">
        <v>820</v>
      </c>
      <c r="J335" t="s">
        <v>865</v>
      </c>
      <c r="K335" t="s">
        <v>797</v>
      </c>
    </row>
    <row r="336" spans="2:11" x14ac:dyDescent="0.25">
      <c r="B336" s="191"/>
      <c r="C336" s="191"/>
      <c r="D336" s="192" t="s">
        <v>1446</v>
      </c>
      <c r="E336" t="s">
        <v>1447</v>
      </c>
      <c r="F336" s="192" t="s">
        <v>1437</v>
      </c>
      <c r="G336" s="192" t="s">
        <v>790</v>
      </c>
      <c r="H336" s="192" t="s">
        <v>790</v>
      </c>
      <c r="I336" t="s">
        <v>820</v>
      </c>
      <c r="J336" t="s">
        <v>865</v>
      </c>
      <c r="K336" t="s">
        <v>797</v>
      </c>
    </row>
    <row r="337" spans="2:11" x14ac:dyDescent="0.25">
      <c r="B337" s="191"/>
      <c r="C337" s="191"/>
      <c r="D337" s="192" t="s">
        <v>1448</v>
      </c>
      <c r="E337" t="s">
        <v>1449</v>
      </c>
      <c r="F337" s="192" t="s">
        <v>1437</v>
      </c>
      <c r="G337" s="192" t="s">
        <v>790</v>
      </c>
      <c r="H337" s="192" t="s">
        <v>790</v>
      </c>
      <c r="I337" t="s">
        <v>820</v>
      </c>
      <c r="J337" t="s">
        <v>865</v>
      </c>
      <c r="K337" t="s">
        <v>797</v>
      </c>
    </row>
    <row r="338" spans="2:11" x14ac:dyDescent="0.25">
      <c r="B338" s="191"/>
      <c r="C338" s="191"/>
      <c r="D338" s="192" t="s">
        <v>1450</v>
      </c>
      <c r="E338" t="s">
        <v>1451</v>
      </c>
      <c r="F338" s="192" t="s">
        <v>1437</v>
      </c>
      <c r="G338" s="192" t="s">
        <v>790</v>
      </c>
      <c r="H338" s="192" t="s">
        <v>790</v>
      </c>
      <c r="I338" t="s">
        <v>820</v>
      </c>
      <c r="J338" t="s">
        <v>865</v>
      </c>
      <c r="K338" t="s">
        <v>797</v>
      </c>
    </row>
    <row r="339" spans="2:11" x14ac:dyDescent="0.25">
      <c r="B339" s="191"/>
      <c r="C339" s="191" t="s">
        <v>1452</v>
      </c>
      <c r="D339" s="192"/>
      <c r="E339" s="185" t="s">
        <v>1453</v>
      </c>
      <c r="F339" s="192" t="s">
        <v>789</v>
      </c>
      <c r="G339" s="192" t="s">
        <v>790</v>
      </c>
      <c r="H339" s="192" t="s">
        <v>790</v>
      </c>
      <c r="I339" t="s">
        <v>820</v>
      </c>
    </row>
    <row r="340" spans="2:11" x14ac:dyDescent="0.25">
      <c r="B340" s="191"/>
      <c r="C340" s="191" t="s">
        <v>1454</v>
      </c>
      <c r="D340" s="192"/>
      <c r="E340" s="185" t="s">
        <v>1455</v>
      </c>
      <c r="F340" s="192" t="s">
        <v>789</v>
      </c>
      <c r="G340" s="192" t="s">
        <v>790</v>
      </c>
      <c r="H340" s="192" t="s">
        <v>790</v>
      </c>
      <c r="I340" t="s">
        <v>820</v>
      </c>
    </row>
    <row r="341" spans="2:11" x14ac:dyDescent="0.25">
      <c r="B341" s="191"/>
      <c r="C341" s="191"/>
      <c r="D341" s="192" t="s">
        <v>1456</v>
      </c>
      <c r="E341" t="s">
        <v>1457</v>
      </c>
      <c r="F341" s="192" t="s">
        <v>1437</v>
      </c>
      <c r="G341" s="192" t="s">
        <v>790</v>
      </c>
      <c r="H341" s="192" t="s">
        <v>790</v>
      </c>
      <c r="I341" t="s">
        <v>820</v>
      </c>
      <c r="J341" t="s">
        <v>865</v>
      </c>
      <c r="K341" t="s">
        <v>797</v>
      </c>
    </row>
    <row r="342" spans="2:11" x14ac:dyDescent="0.25">
      <c r="B342" s="191"/>
      <c r="C342" s="191"/>
      <c r="D342" s="192" t="s">
        <v>1458</v>
      </c>
      <c r="E342" t="s">
        <v>1459</v>
      </c>
      <c r="F342" s="192" t="s">
        <v>1437</v>
      </c>
      <c r="G342" s="192" t="s">
        <v>790</v>
      </c>
      <c r="H342" s="192" t="s">
        <v>790</v>
      </c>
      <c r="I342" t="s">
        <v>820</v>
      </c>
      <c r="J342" t="s">
        <v>865</v>
      </c>
      <c r="K342" t="s">
        <v>797</v>
      </c>
    </row>
    <row r="343" spans="2:11" x14ac:dyDescent="0.25">
      <c r="B343" s="191"/>
      <c r="C343" s="191"/>
      <c r="D343" s="192" t="s">
        <v>1460</v>
      </c>
      <c r="E343" t="s">
        <v>1461</v>
      </c>
      <c r="F343" s="192" t="s">
        <v>1437</v>
      </c>
      <c r="G343" s="192" t="s">
        <v>790</v>
      </c>
      <c r="H343" s="192" t="s">
        <v>790</v>
      </c>
      <c r="I343" t="s">
        <v>820</v>
      </c>
      <c r="J343" t="s">
        <v>865</v>
      </c>
      <c r="K343" t="s">
        <v>797</v>
      </c>
    </row>
    <row r="344" spans="2:11" x14ac:dyDescent="0.25">
      <c r="B344" s="191"/>
      <c r="C344" s="191"/>
      <c r="D344" s="192" t="s">
        <v>1462</v>
      </c>
      <c r="E344" t="s">
        <v>1463</v>
      </c>
      <c r="F344" s="192" t="s">
        <v>1437</v>
      </c>
      <c r="G344" s="192" t="s">
        <v>790</v>
      </c>
      <c r="H344" s="192" t="s">
        <v>790</v>
      </c>
      <c r="I344" t="s">
        <v>820</v>
      </c>
      <c r="J344" t="s">
        <v>865</v>
      </c>
      <c r="K344" t="s">
        <v>797</v>
      </c>
    </row>
    <row r="345" spans="2:11" x14ac:dyDescent="0.25">
      <c r="B345" s="191"/>
      <c r="C345" s="191" t="s">
        <v>1464</v>
      </c>
      <c r="D345" s="192"/>
      <c r="E345" s="185" t="s">
        <v>1465</v>
      </c>
      <c r="F345" s="192" t="s">
        <v>789</v>
      </c>
      <c r="G345" s="192" t="s">
        <v>790</v>
      </c>
      <c r="H345" s="192" t="s">
        <v>790</v>
      </c>
      <c r="I345" t="s">
        <v>820</v>
      </c>
    </row>
    <row r="346" spans="2:11" x14ac:dyDescent="0.25">
      <c r="B346" s="191"/>
      <c r="C346" s="191"/>
      <c r="D346" s="192" t="s">
        <v>1466</v>
      </c>
      <c r="E346" t="s">
        <v>1467</v>
      </c>
      <c r="F346" s="192" t="s">
        <v>1437</v>
      </c>
      <c r="G346" s="192" t="s">
        <v>790</v>
      </c>
      <c r="H346" s="192" t="s">
        <v>790</v>
      </c>
      <c r="I346" t="s">
        <v>820</v>
      </c>
      <c r="J346" t="s">
        <v>865</v>
      </c>
      <c r="K346" t="s">
        <v>797</v>
      </c>
    </row>
    <row r="347" spans="2:11" x14ac:dyDescent="0.25">
      <c r="B347" s="191"/>
      <c r="C347" s="191"/>
      <c r="D347" s="192" t="s">
        <v>1468</v>
      </c>
      <c r="E347" t="s">
        <v>1469</v>
      </c>
      <c r="F347" s="192" t="s">
        <v>1437</v>
      </c>
      <c r="G347" s="192" t="s">
        <v>790</v>
      </c>
      <c r="H347" s="192" t="s">
        <v>790</v>
      </c>
      <c r="I347" t="s">
        <v>820</v>
      </c>
      <c r="J347" t="s">
        <v>865</v>
      </c>
      <c r="K347" t="s">
        <v>797</v>
      </c>
    </row>
    <row r="348" spans="2:11" x14ac:dyDescent="0.25">
      <c r="B348" s="191"/>
      <c r="C348" s="191"/>
      <c r="D348" s="192" t="s">
        <v>1470</v>
      </c>
      <c r="E348" t="s">
        <v>1471</v>
      </c>
      <c r="F348" s="192" t="s">
        <v>1437</v>
      </c>
      <c r="G348" s="192" t="s">
        <v>790</v>
      </c>
      <c r="H348" s="192" t="s">
        <v>790</v>
      </c>
      <c r="I348" t="s">
        <v>820</v>
      </c>
      <c r="J348" t="s">
        <v>865</v>
      </c>
      <c r="K348" t="s">
        <v>797</v>
      </c>
    </row>
    <row r="349" spans="2:11" x14ac:dyDescent="0.25">
      <c r="B349" s="191"/>
      <c r="C349" s="191"/>
      <c r="D349" s="192" t="s">
        <v>1472</v>
      </c>
      <c r="E349" t="s">
        <v>1473</v>
      </c>
      <c r="F349" s="192" t="s">
        <v>1437</v>
      </c>
      <c r="G349" s="192" t="s">
        <v>790</v>
      </c>
      <c r="H349" s="192" t="s">
        <v>790</v>
      </c>
      <c r="I349" t="s">
        <v>820</v>
      </c>
      <c r="J349" t="s">
        <v>865</v>
      </c>
      <c r="K349" t="s">
        <v>797</v>
      </c>
    </row>
    <row r="350" spans="2:11" x14ac:dyDescent="0.25">
      <c r="B350" s="191"/>
      <c r="C350" s="191" t="s">
        <v>1474</v>
      </c>
      <c r="D350" s="192"/>
      <c r="E350" s="185" t="s">
        <v>1475</v>
      </c>
      <c r="F350" s="192" t="s">
        <v>789</v>
      </c>
      <c r="G350" s="192" t="s">
        <v>790</v>
      </c>
      <c r="H350" s="192" t="s">
        <v>790</v>
      </c>
      <c r="I350" t="s">
        <v>820</v>
      </c>
    </row>
    <row r="351" spans="2:11" x14ac:dyDescent="0.25">
      <c r="B351" s="191"/>
      <c r="C351" s="191"/>
      <c r="D351" s="192" t="s">
        <v>1476</v>
      </c>
      <c r="E351" t="s">
        <v>1477</v>
      </c>
      <c r="F351" s="192" t="s">
        <v>1437</v>
      </c>
      <c r="G351" s="192" t="s">
        <v>790</v>
      </c>
      <c r="H351" s="192" t="s">
        <v>790</v>
      </c>
      <c r="I351" t="s">
        <v>820</v>
      </c>
      <c r="J351" t="s">
        <v>865</v>
      </c>
      <c r="K351" t="s">
        <v>797</v>
      </c>
    </row>
    <row r="352" spans="2:11" x14ac:dyDescent="0.25">
      <c r="B352" s="191"/>
      <c r="C352" s="191"/>
      <c r="D352" s="192" t="s">
        <v>1478</v>
      </c>
      <c r="E352" t="s">
        <v>1479</v>
      </c>
      <c r="F352" s="192" t="s">
        <v>1437</v>
      </c>
      <c r="G352" s="192" t="s">
        <v>790</v>
      </c>
      <c r="H352" s="192" t="s">
        <v>790</v>
      </c>
      <c r="I352" t="s">
        <v>820</v>
      </c>
      <c r="J352" t="s">
        <v>865</v>
      </c>
      <c r="K352" t="s">
        <v>797</v>
      </c>
    </row>
    <row r="353" spans="2:11" x14ac:dyDescent="0.25">
      <c r="B353" s="191"/>
      <c r="C353" s="191" t="s">
        <v>1480</v>
      </c>
      <c r="D353" s="192"/>
      <c r="E353" s="185" t="s">
        <v>1481</v>
      </c>
      <c r="F353" s="192" t="s">
        <v>789</v>
      </c>
      <c r="G353" s="192" t="s">
        <v>790</v>
      </c>
      <c r="H353" s="192" t="s">
        <v>790</v>
      </c>
      <c r="I353" t="s">
        <v>820</v>
      </c>
    </row>
    <row r="354" spans="2:11" x14ac:dyDescent="0.25">
      <c r="B354" s="191"/>
      <c r="C354" s="191"/>
      <c r="D354" s="192" t="s">
        <v>1482</v>
      </c>
      <c r="E354" t="s">
        <v>1483</v>
      </c>
      <c r="F354" s="192" t="s">
        <v>1437</v>
      </c>
      <c r="G354" s="192" t="s">
        <v>790</v>
      </c>
      <c r="H354" s="192" t="s">
        <v>790</v>
      </c>
      <c r="I354" t="s">
        <v>820</v>
      </c>
      <c r="J354" t="s">
        <v>865</v>
      </c>
      <c r="K354" t="s">
        <v>797</v>
      </c>
    </row>
    <row r="355" spans="2:11" x14ac:dyDescent="0.25">
      <c r="B355" s="191"/>
      <c r="C355" s="191"/>
      <c r="D355" s="192" t="s">
        <v>1484</v>
      </c>
      <c r="E355" t="s">
        <v>1485</v>
      </c>
      <c r="F355" s="192" t="s">
        <v>1437</v>
      </c>
      <c r="G355" s="192" t="s">
        <v>790</v>
      </c>
      <c r="H355" s="192" t="s">
        <v>790</v>
      </c>
      <c r="I355" t="s">
        <v>820</v>
      </c>
      <c r="J355" t="s">
        <v>865</v>
      </c>
      <c r="K355" t="s">
        <v>797</v>
      </c>
    </row>
    <row r="356" spans="2:11" x14ac:dyDescent="0.25">
      <c r="B356" s="191"/>
      <c r="C356" s="191"/>
      <c r="D356" s="192" t="s">
        <v>1486</v>
      </c>
      <c r="E356" t="s">
        <v>1487</v>
      </c>
      <c r="F356" s="192" t="s">
        <v>1437</v>
      </c>
      <c r="G356" s="192" t="s">
        <v>790</v>
      </c>
      <c r="H356" s="192" t="s">
        <v>790</v>
      </c>
      <c r="I356" t="s">
        <v>820</v>
      </c>
      <c r="J356" t="s">
        <v>865</v>
      </c>
      <c r="K356" t="s">
        <v>797</v>
      </c>
    </row>
    <row r="357" spans="2:11" x14ac:dyDescent="0.25">
      <c r="B357" s="191"/>
      <c r="C357" s="191" t="s">
        <v>1488</v>
      </c>
      <c r="D357" s="192"/>
      <c r="E357" s="185" t="s">
        <v>1489</v>
      </c>
      <c r="F357" s="192" t="s">
        <v>789</v>
      </c>
      <c r="G357" s="192" t="s">
        <v>790</v>
      </c>
      <c r="H357" s="192" t="s">
        <v>790</v>
      </c>
      <c r="I357" t="s">
        <v>820</v>
      </c>
    </row>
    <row r="358" spans="2:11" x14ac:dyDescent="0.25">
      <c r="B358" s="191"/>
      <c r="C358" s="191"/>
      <c r="D358" s="192" t="s">
        <v>1490</v>
      </c>
      <c r="E358" t="s">
        <v>1491</v>
      </c>
      <c r="F358" s="192" t="s">
        <v>1437</v>
      </c>
      <c r="G358" s="192" t="s">
        <v>790</v>
      </c>
      <c r="H358" s="192" t="s">
        <v>790</v>
      </c>
      <c r="I358" t="s">
        <v>820</v>
      </c>
      <c r="J358" t="s">
        <v>865</v>
      </c>
      <c r="K358" t="s">
        <v>797</v>
      </c>
    </row>
    <row r="359" spans="2:11" x14ac:dyDescent="0.25">
      <c r="B359" s="191"/>
      <c r="C359" s="191"/>
      <c r="D359" s="192" t="s">
        <v>1492</v>
      </c>
      <c r="E359" t="s">
        <v>1493</v>
      </c>
      <c r="F359" s="192" t="s">
        <v>1437</v>
      </c>
      <c r="G359" s="192" t="s">
        <v>790</v>
      </c>
      <c r="H359" s="192" t="s">
        <v>790</v>
      </c>
      <c r="I359" t="s">
        <v>820</v>
      </c>
      <c r="J359" t="s">
        <v>865</v>
      </c>
      <c r="K359" t="s">
        <v>797</v>
      </c>
    </row>
    <row r="360" spans="2:11" x14ac:dyDescent="0.25">
      <c r="B360" s="191"/>
      <c r="C360" s="191"/>
      <c r="D360" s="192" t="s">
        <v>1494</v>
      </c>
      <c r="E360" t="s">
        <v>1495</v>
      </c>
      <c r="F360" s="192" t="s">
        <v>1437</v>
      </c>
      <c r="G360" s="192" t="s">
        <v>790</v>
      </c>
      <c r="H360" s="192" t="s">
        <v>790</v>
      </c>
      <c r="I360" t="s">
        <v>820</v>
      </c>
      <c r="J360" t="s">
        <v>865</v>
      </c>
      <c r="K360" t="s">
        <v>797</v>
      </c>
    </row>
    <row r="361" spans="2:11" x14ac:dyDescent="0.25">
      <c r="B361" s="191"/>
      <c r="C361" s="191" t="s">
        <v>1496</v>
      </c>
      <c r="D361" s="192"/>
      <c r="E361" s="185" t="s">
        <v>1497</v>
      </c>
      <c r="F361" s="192" t="s">
        <v>789</v>
      </c>
      <c r="G361" s="192" t="s">
        <v>790</v>
      </c>
      <c r="H361" s="192" t="s">
        <v>790</v>
      </c>
      <c r="I361" t="s">
        <v>820</v>
      </c>
    </row>
    <row r="362" spans="2:11" x14ac:dyDescent="0.25">
      <c r="B362" s="191"/>
      <c r="C362" s="191"/>
      <c r="D362" s="192" t="s">
        <v>1498</v>
      </c>
      <c r="E362" t="s">
        <v>1499</v>
      </c>
      <c r="F362" s="192" t="s">
        <v>1437</v>
      </c>
      <c r="G362" s="192" t="s">
        <v>790</v>
      </c>
      <c r="H362" s="192" t="s">
        <v>790</v>
      </c>
      <c r="I362" t="s">
        <v>820</v>
      </c>
      <c r="J362" t="s">
        <v>865</v>
      </c>
      <c r="K362" t="s">
        <v>797</v>
      </c>
    </row>
    <row r="363" spans="2:11" x14ac:dyDescent="0.25">
      <c r="B363" s="191"/>
      <c r="C363" s="191"/>
      <c r="D363" s="192" t="s">
        <v>1500</v>
      </c>
      <c r="E363" t="s">
        <v>1501</v>
      </c>
      <c r="F363" s="192" t="s">
        <v>1437</v>
      </c>
      <c r="G363" s="192" t="s">
        <v>790</v>
      </c>
      <c r="H363" s="192" t="s">
        <v>790</v>
      </c>
      <c r="I363" t="s">
        <v>820</v>
      </c>
      <c r="J363" t="s">
        <v>865</v>
      </c>
      <c r="K363" t="s">
        <v>797</v>
      </c>
    </row>
    <row r="364" spans="2:11" x14ac:dyDescent="0.25">
      <c r="B364" s="191"/>
      <c r="C364" s="191" t="s">
        <v>1502</v>
      </c>
      <c r="D364" s="192"/>
      <c r="E364" s="185" t="s">
        <v>1503</v>
      </c>
      <c r="F364" s="192" t="s">
        <v>789</v>
      </c>
      <c r="G364" s="192" t="s">
        <v>790</v>
      </c>
      <c r="H364" s="192" t="s">
        <v>790</v>
      </c>
      <c r="I364" t="s">
        <v>820</v>
      </c>
    </row>
    <row r="365" spans="2:11" x14ac:dyDescent="0.25">
      <c r="B365" s="191"/>
      <c r="C365" s="191"/>
      <c r="D365" s="192" t="s">
        <v>1504</v>
      </c>
      <c r="E365" t="s">
        <v>1505</v>
      </c>
      <c r="F365" s="192" t="s">
        <v>1437</v>
      </c>
      <c r="G365" s="192" t="s">
        <v>790</v>
      </c>
      <c r="H365" s="192" t="s">
        <v>790</v>
      </c>
      <c r="I365" t="s">
        <v>820</v>
      </c>
      <c r="J365" t="s">
        <v>865</v>
      </c>
      <c r="K365" t="s">
        <v>797</v>
      </c>
    </row>
    <row r="366" spans="2:11" x14ac:dyDescent="0.25">
      <c r="B366" s="191"/>
      <c r="C366" s="191"/>
      <c r="D366" s="192" t="s">
        <v>1506</v>
      </c>
      <c r="E366" t="s">
        <v>1507</v>
      </c>
      <c r="F366" s="192" t="s">
        <v>1437</v>
      </c>
      <c r="G366" s="192" t="s">
        <v>790</v>
      </c>
      <c r="H366" s="192" t="s">
        <v>790</v>
      </c>
      <c r="I366" t="s">
        <v>820</v>
      </c>
      <c r="J366" t="s">
        <v>865</v>
      </c>
      <c r="K366" t="s">
        <v>797</v>
      </c>
    </row>
    <row r="367" spans="2:11" x14ac:dyDescent="0.25">
      <c r="B367" s="191"/>
      <c r="C367" s="191" t="s">
        <v>1508</v>
      </c>
      <c r="D367" s="192"/>
      <c r="E367" s="185" t="s">
        <v>1509</v>
      </c>
      <c r="F367" s="192" t="s">
        <v>789</v>
      </c>
      <c r="G367" s="192" t="s">
        <v>790</v>
      </c>
      <c r="H367" s="192" t="s">
        <v>790</v>
      </c>
      <c r="I367" t="s">
        <v>820</v>
      </c>
    </row>
    <row r="368" spans="2:11" x14ac:dyDescent="0.25">
      <c r="B368" s="191"/>
      <c r="C368" s="191"/>
      <c r="D368" s="192" t="s">
        <v>1510</v>
      </c>
      <c r="E368" t="s">
        <v>1511</v>
      </c>
      <c r="F368" s="192" t="s">
        <v>1437</v>
      </c>
      <c r="G368" s="192" t="s">
        <v>790</v>
      </c>
      <c r="H368" s="192" t="s">
        <v>790</v>
      </c>
      <c r="I368" t="s">
        <v>820</v>
      </c>
      <c r="J368" t="s">
        <v>865</v>
      </c>
      <c r="K368" t="s">
        <v>797</v>
      </c>
    </row>
    <row r="369" spans="2:11" x14ac:dyDescent="0.25">
      <c r="B369" s="191"/>
      <c r="C369" s="191"/>
      <c r="D369" s="192" t="s">
        <v>1512</v>
      </c>
      <c r="E369" t="s">
        <v>1513</v>
      </c>
      <c r="F369" s="192" t="s">
        <v>1437</v>
      </c>
      <c r="G369" s="192" t="s">
        <v>790</v>
      </c>
      <c r="H369" s="192" t="s">
        <v>790</v>
      </c>
      <c r="I369" t="s">
        <v>820</v>
      </c>
      <c r="J369" t="s">
        <v>865</v>
      </c>
      <c r="K369" t="s">
        <v>797</v>
      </c>
    </row>
    <row r="370" spans="2:11" x14ac:dyDescent="0.25">
      <c r="B370" s="191"/>
      <c r="C370" s="191" t="s">
        <v>1514</v>
      </c>
      <c r="D370" s="192"/>
      <c r="E370" s="185" t="s">
        <v>1515</v>
      </c>
      <c r="F370" s="192" t="s">
        <v>789</v>
      </c>
      <c r="G370" s="192" t="s">
        <v>790</v>
      </c>
      <c r="H370" s="192" t="s">
        <v>790</v>
      </c>
      <c r="I370" t="s">
        <v>820</v>
      </c>
    </row>
    <row r="371" spans="2:11" x14ac:dyDescent="0.25">
      <c r="B371" s="191"/>
      <c r="C371" s="191"/>
      <c r="D371" s="192" t="s">
        <v>1516</v>
      </c>
      <c r="E371" t="s">
        <v>1517</v>
      </c>
      <c r="F371" s="192" t="s">
        <v>1437</v>
      </c>
      <c r="G371" s="192" t="s">
        <v>790</v>
      </c>
      <c r="H371" s="192" t="s">
        <v>790</v>
      </c>
      <c r="I371" t="s">
        <v>820</v>
      </c>
      <c r="J371" t="s">
        <v>865</v>
      </c>
      <c r="K371" t="s">
        <v>797</v>
      </c>
    </row>
    <row r="372" spans="2:11" x14ac:dyDescent="0.25">
      <c r="B372" s="191"/>
      <c r="C372" s="191"/>
      <c r="D372" s="192" t="s">
        <v>1518</v>
      </c>
      <c r="E372" t="s">
        <v>1519</v>
      </c>
      <c r="F372" s="192" t="s">
        <v>1437</v>
      </c>
      <c r="G372" s="192" t="s">
        <v>790</v>
      </c>
      <c r="H372" s="192" t="s">
        <v>790</v>
      </c>
      <c r="I372" t="s">
        <v>820</v>
      </c>
      <c r="J372" t="s">
        <v>865</v>
      </c>
      <c r="K372" t="s">
        <v>797</v>
      </c>
    </row>
    <row r="373" spans="2:11" x14ac:dyDescent="0.25">
      <c r="B373" s="191"/>
      <c r="C373" s="191" t="s">
        <v>1520</v>
      </c>
      <c r="D373" s="192"/>
      <c r="E373" s="185" t="s">
        <v>1521</v>
      </c>
      <c r="F373" s="192" t="s">
        <v>789</v>
      </c>
      <c r="G373" s="192" t="s">
        <v>790</v>
      </c>
      <c r="H373" s="192" t="s">
        <v>790</v>
      </c>
      <c r="I373" t="s">
        <v>820</v>
      </c>
    </row>
    <row r="374" spans="2:11" x14ac:dyDescent="0.25">
      <c r="B374" s="191"/>
      <c r="C374" s="191"/>
      <c r="D374" s="192" t="s">
        <v>1522</v>
      </c>
      <c r="E374" t="s">
        <v>1523</v>
      </c>
      <c r="F374" s="192" t="s">
        <v>1437</v>
      </c>
      <c r="G374" s="192" t="s">
        <v>790</v>
      </c>
      <c r="H374" s="192" t="s">
        <v>790</v>
      </c>
      <c r="I374" t="s">
        <v>820</v>
      </c>
      <c r="J374" t="s">
        <v>865</v>
      </c>
      <c r="K374" t="s">
        <v>797</v>
      </c>
    </row>
    <row r="375" spans="2:11" x14ac:dyDescent="0.25">
      <c r="B375" s="191"/>
      <c r="C375" s="191"/>
      <c r="D375" s="192" t="s">
        <v>1524</v>
      </c>
      <c r="E375" t="s">
        <v>1525</v>
      </c>
      <c r="F375" s="192" t="s">
        <v>1437</v>
      </c>
      <c r="G375" s="192" t="s">
        <v>790</v>
      </c>
      <c r="H375" s="192" t="s">
        <v>790</v>
      </c>
      <c r="I375" t="s">
        <v>820</v>
      </c>
      <c r="J375" t="s">
        <v>865</v>
      </c>
      <c r="K375" t="s">
        <v>797</v>
      </c>
    </row>
    <row r="376" spans="2:11" x14ac:dyDescent="0.25">
      <c r="B376" s="191"/>
      <c r="C376" s="191" t="s">
        <v>1526</v>
      </c>
      <c r="D376" s="192"/>
      <c r="E376" s="185" t="s">
        <v>1527</v>
      </c>
      <c r="F376" s="192" t="s">
        <v>789</v>
      </c>
      <c r="G376" s="192" t="s">
        <v>790</v>
      </c>
      <c r="H376" s="192" t="s">
        <v>790</v>
      </c>
      <c r="I376" t="s">
        <v>820</v>
      </c>
    </row>
    <row r="377" spans="2:11" x14ac:dyDescent="0.25">
      <c r="B377" s="191"/>
      <c r="C377" s="191" t="s">
        <v>1528</v>
      </c>
      <c r="D377" s="192"/>
      <c r="E377" s="185" t="s">
        <v>1529</v>
      </c>
      <c r="F377" s="192" t="s">
        <v>789</v>
      </c>
      <c r="G377" s="192" t="s">
        <v>790</v>
      </c>
      <c r="H377" s="192" t="s">
        <v>790</v>
      </c>
      <c r="I377" t="s">
        <v>820</v>
      </c>
    </row>
    <row r="378" spans="2:11" x14ac:dyDescent="0.25">
      <c r="B378" s="191"/>
      <c r="C378" s="191"/>
      <c r="D378" s="192" t="s">
        <v>1530</v>
      </c>
      <c r="E378" t="s">
        <v>1531</v>
      </c>
      <c r="F378" s="192" t="s">
        <v>1437</v>
      </c>
      <c r="G378" s="192" t="s">
        <v>790</v>
      </c>
      <c r="H378" s="192" t="s">
        <v>790</v>
      </c>
      <c r="I378" t="s">
        <v>820</v>
      </c>
      <c r="J378" t="s">
        <v>865</v>
      </c>
      <c r="K378" t="s">
        <v>797</v>
      </c>
    </row>
    <row r="379" spans="2:11" x14ac:dyDescent="0.25">
      <c r="B379" s="191"/>
      <c r="C379" s="191"/>
      <c r="D379" s="192" t="s">
        <v>1532</v>
      </c>
      <c r="E379" t="s">
        <v>1533</v>
      </c>
      <c r="F379" s="192" t="s">
        <v>1437</v>
      </c>
      <c r="G379" s="192" t="s">
        <v>790</v>
      </c>
      <c r="H379" s="192" t="s">
        <v>790</v>
      </c>
      <c r="I379" t="s">
        <v>820</v>
      </c>
      <c r="J379" t="s">
        <v>865</v>
      </c>
      <c r="K379" t="s">
        <v>797</v>
      </c>
    </row>
    <row r="380" spans="2:11" x14ac:dyDescent="0.25">
      <c r="B380" s="191"/>
      <c r="C380" s="191" t="s">
        <v>1534</v>
      </c>
      <c r="D380" s="192"/>
      <c r="E380" s="185" t="s">
        <v>1535</v>
      </c>
      <c r="F380" s="192" t="s">
        <v>789</v>
      </c>
      <c r="G380" s="192" t="s">
        <v>790</v>
      </c>
      <c r="H380" s="192" t="s">
        <v>790</v>
      </c>
      <c r="I380" t="s">
        <v>820</v>
      </c>
    </row>
    <row r="381" spans="2:11" x14ac:dyDescent="0.25">
      <c r="B381" s="191"/>
      <c r="C381" s="191"/>
      <c r="D381" s="192" t="s">
        <v>1536</v>
      </c>
      <c r="E381" t="s">
        <v>1537</v>
      </c>
      <c r="F381" s="192" t="s">
        <v>1437</v>
      </c>
      <c r="G381" s="192" t="s">
        <v>790</v>
      </c>
      <c r="H381" s="192" t="s">
        <v>790</v>
      </c>
      <c r="I381" t="s">
        <v>820</v>
      </c>
      <c r="J381" t="s">
        <v>865</v>
      </c>
      <c r="K381" t="s">
        <v>797</v>
      </c>
    </row>
    <row r="382" spans="2:11" x14ac:dyDescent="0.25">
      <c r="B382" s="191"/>
      <c r="C382" s="191"/>
      <c r="D382" s="192" t="s">
        <v>1538</v>
      </c>
      <c r="E382" t="s">
        <v>1539</v>
      </c>
      <c r="F382" s="192" t="s">
        <v>1437</v>
      </c>
      <c r="G382" s="192" t="s">
        <v>790</v>
      </c>
      <c r="H382" s="192" t="s">
        <v>790</v>
      </c>
      <c r="I382" t="s">
        <v>820</v>
      </c>
      <c r="J382" t="s">
        <v>865</v>
      </c>
      <c r="K382" t="s">
        <v>797</v>
      </c>
    </row>
    <row r="383" spans="2:11" x14ac:dyDescent="0.25">
      <c r="B383" s="191"/>
      <c r="C383" s="191" t="s">
        <v>1540</v>
      </c>
      <c r="D383" s="192"/>
      <c r="E383" s="185" t="s">
        <v>1541</v>
      </c>
      <c r="F383" s="192" t="s">
        <v>789</v>
      </c>
      <c r="G383" s="192" t="s">
        <v>790</v>
      </c>
      <c r="H383" s="192" t="s">
        <v>790</v>
      </c>
      <c r="I383" t="s">
        <v>820</v>
      </c>
    </row>
    <row r="384" spans="2:11" x14ac:dyDescent="0.25">
      <c r="B384" s="191"/>
      <c r="C384" s="191"/>
      <c r="D384" s="192" t="s">
        <v>1542</v>
      </c>
      <c r="E384" t="s">
        <v>1543</v>
      </c>
      <c r="F384" s="192" t="s">
        <v>1437</v>
      </c>
      <c r="G384" s="192" t="s">
        <v>790</v>
      </c>
      <c r="H384" s="192" t="s">
        <v>790</v>
      </c>
      <c r="I384" t="s">
        <v>820</v>
      </c>
      <c r="J384" t="s">
        <v>865</v>
      </c>
      <c r="K384" t="s">
        <v>797</v>
      </c>
    </row>
    <row r="385" spans="2:11" x14ac:dyDescent="0.25">
      <c r="B385" s="191"/>
      <c r="C385" s="191"/>
      <c r="D385" s="192" t="s">
        <v>1544</v>
      </c>
      <c r="E385" t="s">
        <v>1545</v>
      </c>
      <c r="F385" s="192" t="s">
        <v>1437</v>
      </c>
      <c r="G385" s="192" t="s">
        <v>790</v>
      </c>
      <c r="H385" s="192" t="s">
        <v>790</v>
      </c>
      <c r="I385" t="s">
        <v>820</v>
      </c>
      <c r="J385" t="s">
        <v>865</v>
      </c>
      <c r="K385" t="s">
        <v>797</v>
      </c>
    </row>
    <row r="386" spans="2:11" x14ac:dyDescent="0.25">
      <c r="B386" s="191"/>
      <c r="C386" s="191" t="s">
        <v>1546</v>
      </c>
      <c r="D386" s="192"/>
      <c r="E386" s="185" t="s">
        <v>1547</v>
      </c>
      <c r="F386" s="192" t="s">
        <v>789</v>
      </c>
      <c r="G386" s="192" t="s">
        <v>790</v>
      </c>
      <c r="H386" s="192" t="s">
        <v>790</v>
      </c>
      <c r="I386" t="s">
        <v>820</v>
      </c>
    </row>
    <row r="387" spans="2:11" x14ac:dyDescent="0.25">
      <c r="B387" s="191"/>
      <c r="C387" s="191"/>
      <c r="D387" s="192" t="s">
        <v>1548</v>
      </c>
      <c r="E387" t="s">
        <v>1549</v>
      </c>
      <c r="F387" s="192" t="s">
        <v>1437</v>
      </c>
      <c r="G387" s="192" t="s">
        <v>790</v>
      </c>
      <c r="H387" s="192" t="s">
        <v>790</v>
      </c>
      <c r="I387" t="s">
        <v>820</v>
      </c>
      <c r="J387" t="s">
        <v>865</v>
      </c>
      <c r="K387" t="s">
        <v>797</v>
      </c>
    </row>
    <row r="388" spans="2:11" x14ac:dyDescent="0.25">
      <c r="B388" s="191"/>
      <c r="C388" s="191"/>
      <c r="D388" s="192" t="s">
        <v>1550</v>
      </c>
      <c r="E388" t="s">
        <v>1551</v>
      </c>
      <c r="F388" s="192" t="s">
        <v>1437</v>
      </c>
      <c r="G388" s="192" t="s">
        <v>790</v>
      </c>
      <c r="H388" s="192" t="s">
        <v>790</v>
      </c>
      <c r="I388" t="s">
        <v>820</v>
      </c>
      <c r="J388" t="s">
        <v>865</v>
      </c>
      <c r="K388" t="s">
        <v>797</v>
      </c>
    </row>
    <row r="389" spans="2:11" x14ac:dyDescent="0.25">
      <c r="B389" s="191"/>
      <c r="C389" s="191" t="s">
        <v>1552</v>
      </c>
      <c r="D389" s="192"/>
      <c r="E389" s="185" t="s">
        <v>1553</v>
      </c>
      <c r="F389" s="192" t="s">
        <v>789</v>
      </c>
      <c r="G389" s="192" t="s">
        <v>790</v>
      </c>
      <c r="H389" s="192" t="s">
        <v>790</v>
      </c>
      <c r="I389" t="s">
        <v>820</v>
      </c>
    </row>
    <row r="390" spans="2:11" x14ac:dyDescent="0.25">
      <c r="B390" s="191"/>
      <c r="C390" s="191"/>
      <c r="D390" s="192" t="s">
        <v>1554</v>
      </c>
      <c r="E390" t="s">
        <v>1555</v>
      </c>
      <c r="F390" s="192" t="s">
        <v>1437</v>
      </c>
      <c r="G390" s="192" t="s">
        <v>790</v>
      </c>
      <c r="H390" s="192" t="s">
        <v>790</v>
      </c>
      <c r="I390" t="s">
        <v>820</v>
      </c>
      <c r="J390" t="s">
        <v>865</v>
      </c>
      <c r="K390" t="s">
        <v>797</v>
      </c>
    </row>
    <row r="391" spans="2:11" x14ac:dyDescent="0.25">
      <c r="B391" s="191"/>
      <c r="C391" s="191"/>
      <c r="D391" s="192" t="s">
        <v>1556</v>
      </c>
      <c r="E391" t="s">
        <v>1557</v>
      </c>
      <c r="F391" s="192" t="s">
        <v>1437</v>
      </c>
      <c r="G391" s="192" t="s">
        <v>790</v>
      </c>
      <c r="H391" s="192" t="s">
        <v>790</v>
      </c>
      <c r="I391" t="s">
        <v>820</v>
      </c>
      <c r="J391" t="s">
        <v>865</v>
      </c>
      <c r="K391" t="s">
        <v>797</v>
      </c>
    </row>
    <row r="392" spans="2:11" x14ac:dyDescent="0.25">
      <c r="B392" s="191"/>
      <c r="C392" s="191" t="s">
        <v>1558</v>
      </c>
      <c r="D392" s="192"/>
      <c r="E392" s="185" t="s">
        <v>1559</v>
      </c>
      <c r="F392" s="192" t="s">
        <v>789</v>
      </c>
      <c r="G392" s="192" t="s">
        <v>790</v>
      </c>
      <c r="H392" s="192" t="s">
        <v>790</v>
      </c>
      <c r="I392" t="s">
        <v>820</v>
      </c>
    </row>
    <row r="393" spans="2:11" x14ac:dyDescent="0.25">
      <c r="B393" s="191"/>
      <c r="C393" s="191"/>
      <c r="D393" s="192" t="s">
        <v>1560</v>
      </c>
      <c r="E393" t="s">
        <v>1561</v>
      </c>
      <c r="F393" s="192" t="s">
        <v>1437</v>
      </c>
      <c r="G393" s="192" t="s">
        <v>790</v>
      </c>
      <c r="H393" s="192" t="s">
        <v>790</v>
      </c>
      <c r="I393" t="s">
        <v>820</v>
      </c>
      <c r="J393" t="s">
        <v>865</v>
      </c>
      <c r="K393" t="s">
        <v>797</v>
      </c>
    </row>
    <row r="394" spans="2:11" x14ac:dyDescent="0.25">
      <c r="B394" s="191"/>
      <c r="C394" s="191"/>
      <c r="D394" s="192" t="s">
        <v>1562</v>
      </c>
      <c r="E394" t="s">
        <v>1563</v>
      </c>
      <c r="F394" s="192" t="s">
        <v>1437</v>
      </c>
      <c r="G394" s="192" t="s">
        <v>790</v>
      </c>
      <c r="H394" s="192" t="s">
        <v>790</v>
      </c>
      <c r="I394" t="s">
        <v>820</v>
      </c>
      <c r="J394" t="s">
        <v>865</v>
      </c>
      <c r="K394" t="s">
        <v>797</v>
      </c>
    </row>
    <row r="395" spans="2:11" x14ac:dyDescent="0.25">
      <c r="B395" s="191"/>
      <c r="C395" s="191" t="s">
        <v>1564</v>
      </c>
      <c r="D395" s="192"/>
      <c r="E395" s="185" t="s">
        <v>1565</v>
      </c>
      <c r="F395" s="192" t="s">
        <v>789</v>
      </c>
      <c r="G395" s="192" t="s">
        <v>790</v>
      </c>
      <c r="H395" s="192" t="s">
        <v>790</v>
      </c>
      <c r="I395" t="s">
        <v>820</v>
      </c>
    </row>
    <row r="396" spans="2:11" x14ac:dyDescent="0.25">
      <c r="B396" s="191"/>
      <c r="C396" s="191" t="s">
        <v>1566</v>
      </c>
      <c r="D396" s="192"/>
      <c r="E396" s="185" t="s">
        <v>1567</v>
      </c>
      <c r="F396" s="192" t="s">
        <v>789</v>
      </c>
      <c r="G396" s="192" t="s">
        <v>790</v>
      </c>
      <c r="H396" s="192" t="s">
        <v>790</v>
      </c>
      <c r="I396" t="s">
        <v>820</v>
      </c>
    </row>
    <row r="397" spans="2:11" x14ac:dyDescent="0.25">
      <c r="B397" s="191"/>
      <c r="C397" s="191"/>
      <c r="D397" s="192" t="s">
        <v>1568</v>
      </c>
      <c r="E397" t="s">
        <v>1569</v>
      </c>
      <c r="F397" s="192" t="s">
        <v>1437</v>
      </c>
      <c r="G397" s="192" t="s">
        <v>790</v>
      </c>
      <c r="H397" s="192" t="s">
        <v>790</v>
      </c>
      <c r="I397" t="s">
        <v>820</v>
      </c>
      <c r="J397" t="s">
        <v>865</v>
      </c>
      <c r="K397" t="s">
        <v>797</v>
      </c>
    </row>
    <row r="398" spans="2:11" x14ac:dyDescent="0.25">
      <c r="B398" s="191"/>
      <c r="C398" s="191"/>
      <c r="D398" s="192" t="s">
        <v>1570</v>
      </c>
      <c r="E398" t="s">
        <v>1571</v>
      </c>
      <c r="F398" s="192" t="s">
        <v>1437</v>
      </c>
      <c r="G398" s="192" t="s">
        <v>790</v>
      </c>
      <c r="H398" s="192" t="s">
        <v>790</v>
      </c>
      <c r="I398" t="s">
        <v>820</v>
      </c>
      <c r="J398" t="s">
        <v>865</v>
      </c>
      <c r="K398" t="s">
        <v>797</v>
      </c>
    </row>
    <row r="399" spans="2:11" x14ac:dyDescent="0.25">
      <c r="B399" s="191"/>
      <c r="C399" s="191"/>
      <c r="D399" s="192" t="s">
        <v>1572</v>
      </c>
      <c r="E399" t="s">
        <v>1573</v>
      </c>
      <c r="F399" s="192" t="s">
        <v>1437</v>
      </c>
      <c r="G399" s="192" t="s">
        <v>790</v>
      </c>
      <c r="H399" s="192" t="s">
        <v>790</v>
      </c>
      <c r="I399" t="s">
        <v>820</v>
      </c>
      <c r="J399" t="s">
        <v>865</v>
      </c>
      <c r="K399" t="s">
        <v>797</v>
      </c>
    </row>
    <row r="400" spans="2:11" x14ac:dyDescent="0.25">
      <c r="B400" s="191"/>
      <c r="C400" s="191" t="s">
        <v>1574</v>
      </c>
      <c r="D400" s="192"/>
      <c r="E400" s="185" t="s">
        <v>1575</v>
      </c>
      <c r="F400" s="192" t="s">
        <v>789</v>
      </c>
      <c r="G400" s="192" t="s">
        <v>790</v>
      </c>
      <c r="H400" s="192" t="s">
        <v>790</v>
      </c>
      <c r="I400" t="s">
        <v>820</v>
      </c>
    </row>
    <row r="401" spans="2:11" x14ac:dyDescent="0.25">
      <c r="B401" s="191"/>
      <c r="C401" s="191"/>
      <c r="D401" s="192" t="s">
        <v>1576</v>
      </c>
      <c r="E401" t="s">
        <v>1577</v>
      </c>
      <c r="F401" s="192" t="s">
        <v>1437</v>
      </c>
      <c r="G401" s="192" t="s">
        <v>790</v>
      </c>
      <c r="H401" s="192" t="s">
        <v>790</v>
      </c>
      <c r="I401" t="s">
        <v>820</v>
      </c>
      <c r="J401" t="s">
        <v>865</v>
      </c>
      <c r="K401" t="s">
        <v>797</v>
      </c>
    </row>
    <row r="402" spans="2:11" x14ac:dyDescent="0.25">
      <c r="B402" s="191"/>
      <c r="C402" s="191"/>
      <c r="D402" s="192" t="s">
        <v>1578</v>
      </c>
      <c r="E402" t="s">
        <v>1579</v>
      </c>
      <c r="F402" s="192" t="s">
        <v>1437</v>
      </c>
      <c r="G402" s="192" t="s">
        <v>790</v>
      </c>
      <c r="H402" s="192" t="s">
        <v>790</v>
      </c>
      <c r="I402" t="s">
        <v>820</v>
      </c>
      <c r="J402" t="s">
        <v>865</v>
      </c>
      <c r="K402" t="s">
        <v>797</v>
      </c>
    </row>
    <row r="403" spans="2:11" x14ac:dyDescent="0.25">
      <c r="B403" s="191"/>
      <c r="C403" s="191"/>
      <c r="D403" s="192" t="s">
        <v>1580</v>
      </c>
      <c r="E403" t="s">
        <v>1581</v>
      </c>
      <c r="F403" s="192" t="s">
        <v>1437</v>
      </c>
      <c r="G403" s="192" t="s">
        <v>790</v>
      </c>
      <c r="H403" s="192" t="s">
        <v>790</v>
      </c>
      <c r="I403" t="s">
        <v>820</v>
      </c>
      <c r="J403" t="s">
        <v>865</v>
      </c>
      <c r="K403" t="s">
        <v>797</v>
      </c>
    </row>
    <row r="404" spans="2:11" x14ac:dyDescent="0.25">
      <c r="B404" s="191"/>
      <c r="C404" s="191" t="s">
        <v>1582</v>
      </c>
      <c r="D404" s="192"/>
      <c r="E404" s="185" t="s">
        <v>1583</v>
      </c>
      <c r="F404" s="192" t="s">
        <v>789</v>
      </c>
      <c r="G404" s="192" t="s">
        <v>790</v>
      </c>
      <c r="H404" s="192" t="s">
        <v>790</v>
      </c>
      <c r="I404" t="s">
        <v>820</v>
      </c>
    </row>
    <row r="405" spans="2:11" x14ac:dyDescent="0.25">
      <c r="B405" s="191"/>
      <c r="C405" s="191" t="s">
        <v>1584</v>
      </c>
      <c r="D405" s="192"/>
      <c r="E405" s="185" t="s">
        <v>1585</v>
      </c>
      <c r="F405" s="192" t="s">
        <v>789</v>
      </c>
      <c r="G405" s="192" t="s">
        <v>790</v>
      </c>
      <c r="H405" s="192" t="s">
        <v>790</v>
      </c>
      <c r="I405" t="s">
        <v>820</v>
      </c>
    </row>
    <row r="406" spans="2:11" x14ac:dyDescent="0.25">
      <c r="B406" s="191"/>
      <c r="C406" s="191"/>
      <c r="D406" s="192" t="s">
        <v>1586</v>
      </c>
      <c r="E406" t="s">
        <v>1587</v>
      </c>
      <c r="F406" s="192" t="s">
        <v>1437</v>
      </c>
      <c r="G406" s="192" t="s">
        <v>790</v>
      </c>
      <c r="H406" s="192" t="s">
        <v>790</v>
      </c>
      <c r="I406" t="s">
        <v>820</v>
      </c>
      <c r="J406" t="s">
        <v>865</v>
      </c>
      <c r="K406" t="s">
        <v>797</v>
      </c>
    </row>
    <row r="407" spans="2:11" x14ac:dyDescent="0.25">
      <c r="B407" s="191"/>
      <c r="C407" s="191"/>
      <c r="D407" s="192" t="s">
        <v>1588</v>
      </c>
      <c r="E407" t="s">
        <v>1589</v>
      </c>
      <c r="F407" s="192" t="s">
        <v>1437</v>
      </c>
      <c r="G407" s="192" t="s">
        <v>790</v>
      </c>
      <c r="H407" s="192" t="s">
        <v>790</v>
      </c>
      <c r="I407" t="s">
        <v>820</v>
      </c>
      <c r="J407" t="s">
        <v>865</v>
      </c>
      <c r="K407" t="s">
        <v>797</v>
      </c>
    </row>
    <row r="408" spans="2:11" x14ac:dyDescent="0.25">
      <c r="B408" s="191"/>
      <c r="C408" s="191"/>
      <c r="D408" s="192" t="s">
        <v>1590</v>
      </c>
      <c r="E408" t="s">
        <v>1591</v>
      </c>
      <c r="F408" s="192" t="s">
        <v>1437</v>
      </c>
      <c r="G408" s="192" t="s">
        <v>790</v>
      </c>
      <c r="H408" s="192" t="s">
        <v>790</v>
      </c>
      <c r="I408" t="s">
        <v>820</v>
      </c>
      <c r="J408" t="s">
        <v>865</v>
      </c>
      <c r="K408" t="s">
        <v>797</v>
      </c>
    </row>
    <row r="409" spans="2:11" x14ac:dyDescent="0.25">
      <c r="B409" s="191"/>
      <c r="C409" s="191" t="s">
        <v>1592</v>
      </c>
      <c r="D409" s="192"/>
      <c r="E409" s="185" t="s">
        <v>1593</v>
      </c>
      <c r="F409" s="192" t="s">
        <v>789</v>
      </c>
      <c r="G409" s="192" t="s">
        <v>790</v>
      </c>
      <c r="H409" s="192" t="s">
        <v>790</v>
      </c>
      <c r="I409" t="s">
        <v>820</v>
      </c>
    </row>
    <row r="410" spans="2:11" x14ac:dyDescent="0.25">
      <c r="B410" s="191"/>
      <c r="C410" s="191" t="s">
        <v>1594</v>
      </c>
      <c r="D410" s="192"/>
      <c r="E410" s="185" t="s">
        <v>1595</v>
      </c>
      <c r="F410" s="192" t="s">
        <v>789</v>
      </c>
      <c r="G410" s="192" t="s">
        <v>790</v>
      </c>
      <c r="H410" s="192" t="s">
        <v>790</v>
      </c>
      <c r="I410" t="s">
        <v>820</v>
      </c>
    </row>
    <row r="411" spans="2:11" x14ac:dyDescent="0.25">
      <c r="B411" s="191"/>
      <c r="C411" s="191"/>
      <c r="D411" s="192" t="s">
        <v>1596</v>
      </c>
      <c r="E411" t="s">
        <v>1597</v>
      </c>
      <c r="F411" s="192" t="s">
        <v>1437</v>
      </c>
      <c r="G411" s="192" t="s">
        <v>790</v>
      </c>
      <c r="H411" s="192" t="s">
        <v>790</v>
      </c>
      <c r="I411" t="s">
        <v>820</v>
      </c>
      <c r="J411" t="s">
        <v>865</v>
      </c>
      <c r="K411" t="s">
        <v>797</v>
      </c>
    </row>
    <row r="412" spans="2:11" x14ac:dyDescent="0.25">
      <c r="B412" s="191"/>
      <c r="C412" s="191"/>
      <c r="D412" s="192" t="s">
        <v>1598</v>
      </c>
      <c r="E412" t="s">
        <v>1599</v>
      </c>
      <c r="F412" s="192" t="s">
        <v>1437</v>
      </c>
      <c r="G412" s="192" t="s">
        <v>790</v>
      </c>
      <c r="H412" s="192" t="s">
        <v>790</v>
      </c>
      <c r="I412" t="s">
        <v>820</v>
      </c>
      <c r="J412" t="s">
        <v>865</v>
      </c>
      <c r="K412" t="s">
        <v>797</v>
      </c>
    </row>
    <row r="413" spans="2:11" x14ac:dyDescent="0.25">
      <c r="B413" s="191"/>
      <c r="C413" s="191"/>
      <c r="D413" s="192" t="s">
        <v>1600</v>
      </c>
      <c r="E413" t="s">
        <v>1601</v>
      </c>
      <c r="F413" s="192" t="s">
        <v>1437</v>
      </c>
      <c r="G413" s="192" t="s">
        <v>790</v>
      </c>
      <c r="H413" s="192" t="s">
        <v>790</v>
      </c>
      <c r="I413" t="s">
        <v>820</v>
      </c>
      <c r="J413" t="s">
        <v>865</v>
      </c>
      <c r="K413" t="s">
        <v>797</v>
      </c>
    </row>
    <row r="414" spans="2:11" x14ac:dyDescent="0.25">
      <c r="B414" s="191"/>
      <c r="C414" s="191"/>
      <c r="D414" s="192" t="s">
        <v>1602</v>
      </c>
      <c r="E414" t="s">
        <v>1603</v>
      </c>
      <c r="F414" s="192" t="s">
        <v>1437</v>
      </c>
      <c r="G414" s="192" t="s">
        <v>790</v>
      </c>
      <c r="H414" s="192" t="s">
        <v>790</v>
      </c>
      <c r="I414" t="s">
        <v>820</v>
      </c>
      <c r="J414" t="s">
        <v>865</v>
      </c>
      <c r="K414" t="s">
        <v>797</v>
      </c>
    </row>
    <row r="415" spans="2:11" x14ac:dyDescent="0.25">
      <c r="B415" s="191"/>
      <c r="C415" s="191" t="s">
        <v>1604</v>
      </c>
      <c r="D415" s="192"/>
      <c r="E415" s="185" t="s">
        <v>1605</v>
      </c>
      <c r="F415" s="192" t="s">
        <v>789</v>
      </c>
      <c r="G415" s="192" t="s">
        <v>790</v>
      </c>
      <c r="H415" s="192" t="s">
        <v>790</v>
      </c>
      <c r="I415" t="s">
        <v>820</v>
      </c>
    </row>
    <row r="416" spans="2:11" x14ac:dyDescent="0.25">
      <c r="B416" s="191"/>
      <c r="C416" s="191"/>
      <c r="D416" s="192" t="s">
        <v>1606</v>
      </c>
      <c r="E416" t="s">
        <v>1607</v>
      </c>
      <c r="F416" s="192" t="s">
        <v>1437</v>
      </c>
      <c r="G416" s="192" t="s">
        <v>790</v>
      </c>
      <c r="H416" s="192" t="s">
        <v>790</v>
      </c>
      <c r="I416" t="s">
        <v>820</v>
      </c>
      <c r="J416" t="s">
        <v>865</v>
      </c>
      <c r="K416" t="s">
        <v>797</v>
      </c>
    </row>
    <row r="417" spans="2:11" x14ac:dyDescent="0.25">
      <c r="B417" s="191"/>
      <c r="C417" s="191"/>
      <c r="D417" s="192" t="s">
        <v>1608</v>
      </c>
      <c r="E417" t="s">
        <v>1609</v>
      </c>
      <c r="F417" s="192" t="s">
        <v>1437</v>
      </c>
      <c r="G417" s="192" t="s">
        <v>790</v>
      </c>
      <c r="H417" s="192" t="s">
        <v>790</v>
      </c>
      <c r="I417" t="s">
        <v>820</v>
      </c>
      <c r="J417" t="s">
        <v>865</v>
      </c>
      <c r="K417" t="s">
        <v>797</v>
      </c>
    </row>
    <row r="418" spans="2:11" x14ac:dyDescent="0.25">
      <c r="B418" s="191"/>
      <c r="C418" s="191"/>
      <c r="D418" s="192" t="s">
        <v>1610</v>
      </c>
      <c r="E418" t="s">
        <v>1611</v>
      </c>
      <c r="F418" s="192" t="s">
        <v>1437</v>
      </c>
      <c r="G418" s="192" t="s">
        <v>790</v>
      </c>
      <c r="H418" s="192" t="s">
        <v>790</v>
      </c>
      <c r="I418" t="s">
        <v>820</v>
      </c>
      <c r="J418" t="s">
        <v>865</v>
      </c>
      <c r="K418" t="s">
        <v>797</v>
      </c>
    </row>
    <row r="419" spans="2:11" x14ac:dyDescent="0.25">
      <c r="B419" s="191"/>
      <c r="C419" s="191" t="s">
        <v>1612</v>
      </c>
      <c r="D419" s="192"/>
      <c r="E419" s="185" t="s">
        <v>1613</v>
      </c>
      <c r="F419" s="192" t="s">
        <v>789</v>
      </c>
      <c r="G419" s="192" t="s">
        <v>790</v>
      </c>
      <c r="H419" s="192" t="s">
        <v>790</v>
      </c>
      <c r="I419" t="s">
        <v>820</v>
      </c>
    </row>
    <row r="420" spans="2:11" x14ac:dyDescent="0.25">
      <c r="B420" s="191"/>
      <c r="C420" s="191"/>
      <c r="D420" s="192" t="s">
        <v>1614</v>
      </c>
      <c r="E420" t="s">
        <v>1615</v>
      </c>
      <c r="F420" s="192" t="s">
        <v>1437</v>
      </c>
      <c r="G420" s="192" t="s">
        <v>790</v>
      </c>
      <c r="H420" s="192" t="s">
        <v>790</v>
      </c>
      <c r="I420" t="s">
        <v>820</v>
      </c>
      <c r="J420" t="s">
        <v>865</v>
      </c>
      <c r="K420" t="s">
        <v>797</v>
      </c>
    </row>
    <row r="421" spans="2:11" x14ac:dyDescent="0.25">
      <c r="B421" s="191"/>
      <c r="C421" s="191"/>
      <c r="D421" s="192" t="s">
        <v>1616</v>
      </c>
      <c r="E421" t="s">
        <v>1617</v>
      </c>
      <c r="F421" s="192" t="s">
        <v>1437</v>
      </c>
      <c r="G421" s="192" t="s">
        <v>790</v>
      </c>
      <c r="H421" s="192" t="s">
        <v>790</v>
      </c>
      <c r="I421" t="s">
        <v>820</v>
      </c>
      <c r="J421" t="s">
        <v>865</v>
      </c>
      <c r="K421" t="s">
        <v>797</v>
      </c>
    </row>
    <row r="422" spans="2:11" x14ac:dyDescent="0.25">
      <c r="B422" s="191"/>
      <c r="C422" s="191"/>
      <c r="D422" s="192" t="s">
        <v>1618</v>
      </c>
      <c r="E422" t="s">
        <v>1619</v>
      </c>
      <c r="F422" s="192" t="s">
        <v>1437</v>
      </c>
      <c r="G422" s="192" t="s">
        <v>790</v>
      </c>
      <c r="H422" s="192" t="s">
        <v>790</v>
      </c>
      <c r="I422" t="s">
        <v>820</v>
      </c>
      <c r="J422" t="s">
        <v>865</v>
      </c>
      <c r="K422" t="s">
        <v>797</v>
      </c>
    </row>
    <row r="423" spans="2:11" x14ac:dyDescent="0.25">
      <c r="B423" s="191"/>
      <c r="C423" s="191" t="s">
        <v>1620</v>
      </c>
      <c r="D423" s="192"/>
      <c r="E423" s="185" t="s">
        <v>1621</v>
      </c>
      <c r="F423" s="192" t="s">
        <v>789</v>
      </c>
      <c r="G423" s="192" t="s">
        <v>790</v>
      </c>
      <c r="H423" s="192" t="s">
        <v>790</v>
      </c>
      <c r="I423" t="s">
        <v>820</v>
      </c>
    </row>
    <row r="424" spans="2:11" x14ac:dyDescent="0.25">
      <c r="B424" s="191"/>
      <c r="C424" s="191"/>
      <c r="D424" s="192" t="s">
        <v>1622</v>
      </c>
      <c r="E424" t="s">
        <v>1623</v>
      </c>
      <c r="F424" s="192" t="s">
        <v>1437</v>
      </c>
      <c r="G424" s="192" t="s">
        <v>790</v>
      </c>
      <c r="H424" s="192" t="s">
        <v>790</v>
      </c>
      <c r="I424" t="s">
        <v>820</v>
      </c>
      <c r="J424" t="s">
        <v>865</v>
      </c>
      <c r="K424" t="s">
        <v>797</v>
      </c>
    </row>
    <row r="425" spans="2:11" x14ac:dyDescent="0.25">
      <c r="B425" s="191"/>
      <c r="C425" s="191"/>
      <c r="D425" s="192" t="s">
        <v>1624</v>
      </c>
      <c r="E425" t="s">
        <v>1625</v>
      </c>
      <c r="F425" s="192" t="s">
        <v>1437</v>
      </c>
      <c r="G425" s="192" t="s">
        <v>790</v>
      </c>
      <c r="H425" s="192" t="s">
        <v>790</v>
      </c>
      <c r="I425" t="s">
        <v>820</v>
      </c>
      <c r="J425" t="s">
        <v>865</v>
      </c>
      <c r="K425" t="s">
        <v>797</v>
      </c>
    </row>
    <row r="426" spans="2:11" x14ac:dyDescent="0.25">
      <c r="B426" s="191"/>
      <c r="C426" s="191" t="s">
        <v>1626</v>
      </c>
      <c r="D426" s="192"/>
      <c r="E426" s="185" t="s">
        <v>1627</v>
      </c>
      <c r="F426" s="192" t="s">
        <v>789</v>
      </c>
      <c r="G426" s="192" t="s">
        <v>790</v>
      </c>
      <c r="H426" s="192" t="s">
        <v>790</v>
      </c>
      <c r="I426" t="s">
        <v>820</v>
      </c>
    </row>
    <row r="427" spans="2:11" x14ac:dyDescent="0.25">
      <c r="B427" s="191"/>
      <c r="C427" s="191"/>
      <c r="D427" s="192" t="s">
        <v>1628</v>
      </c>
      <c r="E427" t="s">
        <v>1629</v>
      </c>
      <c r="F427" s="192" t="s">
        <v>1437</v>
      </c>
      <c r="G427" s="192" t="s">
        <v>790</v>
      </c>
      <c r="H427" s="192" t="s">
        <v>790</v>
      </c>
      <c r="I427" t="s">
        <v>820</v>
      </c>
      <c r="J427" t="s">
        <v>865</v>
      </c>
      <c r="K427" t="s">
        <v>797</v>
      </c>
    </row>
    <row r="428" spans="2:11" x14ac:dyDescent="0.25">
      <c r="B428" s="191"/>
      <c r="C428" s="191"/>
      <c r="D428" s="192" t="s">
        <v>1630</v>
      </c>
      <c r="E428" t="s">
        <v>1631</v>
      </c>
      <c r="F428" s="192" t="s">
        <v>1437</v>
      </c>
      <c r="G428" s="192" t="s">
        <v>790</v>
      </c>
      <c r="H428" s="192" t="s">
        <v>790</v>
      </c>
      <c r="I428" t="s">
        <v>820</v>
      </c>
      <c r="J428" t="s">
        <v>865</v>
      </c>
      <c r="K428" t="s">
        <v>797</v>
      </c>
    </row>
    <row r="429" spans="2:11" x14ac:dyDescent="0.25">
      <c r="B429" s="191"/>
      <c r="C429" s="191" t="s">
        <v>1632</v>
      </c>
      <c r="D429" s="192"/>
      <c r="E429" s="185" t="s">
        <v>1633</v>
      </c>
      <c r="F429" s="192" t="s">
        <v>789</v>
      </c>
      <c r="G429" s="192" t="s">
        <v>790</v>
      </c>
      <c r="H429" s="192" t="s">
        <v>790</v>
      </c>
      <c r="I429" t="s">
        <v>820</v>
      </c>
    </row>
    <row r="430" spans="2:11" x14ac:dyDescent="0.25">
      <c r="B430" s="191"/>
      <c r="C430" s="191"/>
      <c r="D430" s="192" t="s">
        <v>1634</v>
      </c>
      <c r="E430" t="s">
        <v>1635</v>
      </c>
      <c r="F430" s="192" t="s">
        <v>1437</v>
      </c>
      <c r="G430" s="192" t="s">
        <v>790</v>
      </c>
      <c r="H430" s="192" t="s">
        <v>790</v>
      </c>
      <c r="I430" t="s">
        <v>820</v>
      </c>
      <c r="J430" t="s">
        <v>865</v>
      </c>
      <c r="K430" t="s">
        <v>797</v>
      </c>
    </row>
    <row r="431" spans="2:11" x14ac:dyDescent="0.25">
      <c r="B431" s="191"/>
      <c r="C431" s="191"/>
      <c r="D431" s="192" t="s">
        <v>1636</v>
      </c>
      <c r="E431" t="s">
        <v>1637</v>
      </c>
      <c r="F431" s="192" t="s">
        <v>1437</v>
      </c>
      <c r="G431" s="192" t="s">
        <v>790</v>
      </c>
      <c r="H431" s="192" t="s">
        <v>790</v>
      </c>
      <c r="I431" t="s">
        <v>820</v>
      </c>
      <c r="J431" t="s">
        <v>865</v>
      </c>
      <c r="K431" t="s">
        <v>797</v>
      </c>
    </row>
    <row r="432" spans="2:11" x14ac:dyDescent="0.25">
      <c r="B432" s="191"/>
      <c r="C432" s="191" t="s">
        <v>1638</v>
      </c>
      <c r="D432" s="192"/>
      <c r="E432" s="185" t="s">
        <v>1639</v>
      </c>
      <c r="F432" s="192" t="s">
        <v>789</v>
      </c>
      <c r="G432" s="192" t="s">
        <v>790</v>
      </c>
      <c r="H432" s="192" t="s">
        <v>790</v>
      </c>
      <c r="I432" t="s">
        <v>820</v>
      </c>
    </row>
    <row r="433" spans="2:11" x14ac:dyDescent="0.25">
      <c r="B433" s="191"/>
      <c r="C433" s="191"/>
      <c r="D433" s="192" t="s">
        <v>1640</v>
      </c>
      <c r="E433" t="s">
        <v>1641</v>
      </c>
      <c r="F433" s="192" t="s">
        <v>1437</v>
      </c>
      <c r="G433" s="192" t="s">
        <v>790</v>
      </c>
      <c r="H433" s="192" t="s">
        <v>790</v>
      </c>
      <c r="I433" t="s">
        <v>820</v>
      </c>
      <c r="J433" t="s">
        <v>865</v>
      </c>
      <c r="K433" t="s">
        <v>797</v>
      </c>
    </row>
    <row r="434" spans="2:11" x14ac:dyDescent="0.25">
      <c r="B434" s="191"/>
      <c r="C434" s="191"/>
      <c r="D434" s="192" t="s">
        <v>1642</v>
      </c>
      <c r="E434" t="s">
        <v>1643</v>
      </c>
      <c r="F434" s="192" t="s">
        <v>1437</v>
      </c>
      <c r="G434" s="192" t="s">
        <v>790</v>
      </c>
      <c r="H434" s="192" t="s">
        <v>790</v>
      </c>
      <c r="I434" t="s">
        <v>820</v>
      </c>
      <c r="J434" t="s">
        <v>865</v>
      </c>
      <c r="K434" t="s">
        <v>797</v>
      </c>
    </row>
    <row r="435" spans="2:11" x14ac:dyDescent="0.25">
      <c r="B435" s="191"/>
      <c r="C435" s="191" t="s">
        <v>1644</v>
      </c>
      <c r="D435" s="192"/>
      <c r="E435" s="185" t="s">
        <v>1645</v>
      </c>
      <c r="F435" s="192" t="s">
        <v>789</v>
      </c>
      <c r="G435" s="192" t="s">
        <v>790</v>
      </c>
      <c r="H435" s="192" t="s">
        <v>790</v>
      </c>
      <c r="I435" t="s">
        <v>820</v>
      </c>
    </row>
    <row r="436" spans="2:11" x14ac:dyDescent="0.25">
      <c r="B436" s="191"/>
      <c r="C436" s="191" t="s">
        <v>1646</v>
      </c>
      <c r="D436" s="192"/>
      <c r="E436" s="185" t="s">
        <v>1647</v>
      </c>
      <c r="F436" s="192" t="s">
        <v>789</v>
      </c>
      <c r="G436" s="192" t="s">
        <v>790</v>
      </c>
      <c r="H436" s="192" t="s">
        <v>790</v>
      </c>
      <c r="I436" t="s">
        <v>820</v>
      </c>
    </row>
    <row r="437" spans="2:11" x14ac:dyDescent="0.25">
      <c r="B437" s="191"/>
      <c r="C437" s="191"/>
      <c r="D437" s="192" t="s">
        <v>1648</v>
      </c>
      <c r="E437" t="s">
        <v>1649</v>
      </c>
      <c r="F437" s="192" t="s">
        <v>1437</v>
      </c>
      <c r="G437" s="192" t="s">
        <v>790</v>
      </c>
      <c r="H437" s="192" t="s">
        <v>790</v>
      </c>
      <c r="I437" t="s">
        <v>820</v>
      </c>
      <c r="J437" t="s">
        <v>865</v>
      </c>
      <c r="K437" t="s">
        <v>797</v>
      </c>
    </row>
    <row r="438" spans="2:11" x14ac:dyDescent="0.25">
      <c r="B438" s="191"/>
      <c r="C438" s="191"/>
      <c r="D438" s="192" t="s">
        <v>1650</v>
      </c>
      <c r="E438" t="s">
        <v>1651</v>
      </c>
      <c r="F438" s="192" t="s">
        <v>1437</v>
      </c>
      <c r="G438" s="192" t="s">
        <v>790</v>
      </c>
      <c r="H438" s="192" t="s">
        <v>790</v>
      </c>
      <c r="I438" t="s">
        <v>820</v>
      </c>
      <c r="J438" t="s">
        <v>865</v>
      </c>
      <c r="K438" t="s">
        <v>797</v>
      </c>
    </row>
    <row r="439" spans="2:11" x14ac:dyDescent="0.25">
      <c r="B439" s="191"/>
      <c r="C439" s="191" t="s">
        <v>1652</v>
      </c>
      <c r="D439" s="192"/>
      <c r="E439" s="185" t="s">
        <v>1653</v>
      </c>
      <c r="F439" s="192" t="s">
        <v>789</v>
      </c>
      <c r="G439" s="192" t="s">
        <v>790</v>
      </c>
      <c r="H439" s="192" t="s">
        <v>790</v>
      </c>
      <c r="I439" t="s">
        <v>820</v>
      </c>
    </row>
    <row r="440" spans="2:11" x14ac:dyDescent="0.25">
      <c r="B440" s="191"/>
      <c r="C440" s="191"/>
      <c r="D440" s="192" t="s">
        <v>1654</v>
      </c>
      <c r="E440" t="s">
        <v>1655</v>
      </c>
      <c r="F440" s="192" t="s">
        <v>1437</v>
      </c>
      <c r="G440" s="192" t="s">
        <v>790</v>
      </c>
      <c r="H440" s="192" t="s">
        <v>790</v>
      </c>
      <c r="I440" t="s">
        <v>820</v>
      </c>
      <c r="J440" t="s">
        <v>865</v>
      </c>
      <c r="K440" t="s">
        <v>797</v>
      </c>
    </row>
    <row r="441" spans="2:11" x14ac:dyDescent="0.25">
      <c r="B441" s="191"/>
      <c r="C441" s="191"/>
      <c r="D441" s="192" t="s">
        <v>1656</v>
      </c>
      <c r="E441" t="s">
        <v>1657</v>
      </c>
      <c r="F441" s="192" t="s">
        <v>1437</v>
      </c>
      <c r="G441" s="192" t="s">
        <v>790</v>
      </c>
      <c r="H441" s="192" t="s">
        <v>790</v>
      </c>
      <c r="I441" t="s">
        <v>820</v>
      </c>
      <c r="J441" t="s">
        <v>865</v>
      </c>
      <c r="K441" t="s">
        <v>797</v>
      </c>
    </row>
    <row r="442" spans="2:11" x14ac:dyDescent="0.25">
      <c r="B442" s="191"/>
      <c r="C442" s="191" t="s">
        <v>1658</v>
      </c>
      <c r="D442" s="192"/>
      <c r="E442" s="185" t="s">
        <v>1659</v>
      </c>
      <c r="F442" s="192" t="s">
        <v>789</v>
      </c>
      <c r="G442" s="192" t="s">
        <v>790</v>
      </c>
      <c r="H442" s="192" t="s">
        <v>790</v>
      </c>
      <c r="I442" t="s">
        <v>820</v>
      </c>
    </row>
    <row r="443" spans="2:11" x14ac:dyDescent="0.25">
      <c r="B443" s="191"/>
      <c r="C443" s="191"/>
      <c r="D443" s="192" t="s">
        <v>1660</v>
      </c>
      <c r="E443" t="s">
        <v>1661</v>
      </c>
      <c r="F443" s="192" t="s">
        <v>1437</v>
      </c>
      <c r="G443" s="192" t="s">
        <v>790</v>
      </c>
      <c r="H443" s="192" t="s">
        <v>790</v>
      </c>
      <c r="I443" t="s">
        <v>820</v>
      </c>
      <c r="J443" t="s">
        <v>865</v>
      </c>
      <c r="K443" t="s">
        <v>797</v>
      </c>
    </row>
    <row r="444" spans="2:11" x14ac:dyDescent="0.25">
      <c r="B444" s="191"/>
      <c r="C444" s="191"/>
      <c r="D444" s="192" t="s">
        <v>1662</v>
      </c>
      <c r="E444" t="s">
        <v>1663</v>
      </c>
      <c r="F444" s="192" t="s">
        <v>1437</v>
      </c>
      <c r="G444" s="192" t="s">
        <v>790</v>
      </c>
      <c r="H444" s="192" t="s">
        <v>790</v>
      </c>
      <c r="I444" t="s">
        <v>820</v>
      </c>
      <c r="J444" t="s">
        <v>865</v>
      </c>
      <c r="K444" t="s">
        <v>797</v>
      </c>
    </row>
    <row r="445" spans="2:11" x14ac:dyDescent="0.25">
      <c r="B445" s="191"/>
      <c r="C445" s="191" t="s">
        <v>1664</v>
      </c>
      <c r="D445" s="192"/>
      <c r="E445" s="185" t="s">
        <v>1665</v>
      </c>
      <c r="F445" s="192" t="s">
        <v>789</v>
      </c>
      <c r="G445" s="192" t="s">
        <v>790</v>
      </c>
      <c r="H445" s="192" t="s">
        <v>790</v>
      </c>
      <c r="I445" t="s">
        <v>820</v>
      </c>
    </row>
    <row r="446" spans="2:11" x14ac:dyDescent="0.25">
      <c r="B446" s="191"/>
      <c r="C446" s="191"/>
      <c r="D446" s="192" t="s">
        <v>1666</v>
      </c>
      <c r="E446" t="s">
        <v>1667</v>
      </c>
      <c r="F446" s="192" t="s">
        <v>1437</v>
      </c>
      <c r="G446" s="192" t="s">
        <v>790</v>
      </c>
      <c r="H446" s="192" t="s">
        <v>790</v>
      </c>
      <c r="I446" t="s">
        <v>820</v>
      </c>
      <c r="J446" t="s">
        <v>865</v>
      </c>
      <c r="K446" t="s">
        <v>797</v>
      </c>
    </row>
    <row r="447" spans="2:11" x14ac:dyDescent="0.25">
      <c r="B447" s="191"/>
      <c r="C447" s="191"/>
      <c r="D447" s="192" t="s">
        <v>1668</v>
      </c>
      <c r="E447" t="s">
        <v>1669</v>
      </c>
      <c r="F447" s="192" t="s">
        <v>1437</v>
      </c>
      <c r="G447" s="192" t="s">
        <v>790</v>
      </c>
      <c r="H447" s="192" t="s">
        <v>790</v>
      </c>
      <c r="I447" t="s">
        <v>820</v>
      </c>
      <c r="J447" t="s">
        <v>865</v>
      </c>
      <c r="K447" t="s">
        <v>797</v>
      </c>
    </row>
    <row r="448" spans="2:11" x14ac:dyDescent="0.25">
      <c r="B448" s="191"/>
      <c r="C448" s="191" t="s">
        <v>1670</v>
      </c>
      <c r="D448" s="192"/>
      <c r="E448" s="185" t="s">
        <v>1671</v>
      </c>
      <c r="F448" s="192" t="s">
        <v>789</v>
      </c>
      <c r="G448" s="192" t="s">
        <v>790</v>
      </c>
      <c r="H448" s="192" t="s">
        <v>790</v>
      </c>
      <c r="I448" t="s">
        <v>820</v>
      </c>
    </row>
    <row r="449" spans="2:11" x14ac:dyDescent="0.25">
      <c r="B449" s="191"/>
      <c r="C449" s="191"/>
      <c r="D449" s="192" t="s">
        <v>1672</v>
      </c>
      <c r="E449" t="s">
        <v>1673</v>
      </c>
      <c r="F449" s="192" t="s">
        <v>1437</v>
      </c>
      <c r="G449" s="192" t="s">
        <v>790</v>
      </c>
      <c r="H449" s="192" t="s">
        <v>790</v>
      </c>
      <c r="I449" t="s">
        <v>820</v>
      </c>
      <c r="J449" t="s">
        <v>865</v>
      </c>
      <c r="K449" t="s">
        <v>797</v>
      </c>
    </row>
    <row r="450" spans="2:11" x14ac:dyDescent="0.25">
      <c r="B450" s="191"/>
      <c r="C450" s="191"/>
      <c r="D450" s="192" t="s">
        <v>1674</v>
      </c>
      <c r="E450" t="s">
        <v>1675</v>
      </c>
      <c r="F450" s="192" t="s">
        <v>1437</v>
      </c>
      <c r="G450" s="192" t="s">
        <v>790</v>
      </c>
      <c r="H450" s="192" t="s">
        <v>790</v>
      </c>
      <c r="I450" t="s">
        <v>820</v>
      </c>
      <c r="J450" t="s">
        <v>865</v>
      </c>
      <c r="K450" t="s">
        <v>797</v>
      </c>
    </row>
    <row r="451" spans="2:11" x14ac:dyDescent="0.25">
      <c r="B451" s="191"/>
      <c r="C451" s="191" t="s">
        <v>1676</v>
      </c>
      <c r="D451" s="192"/>
      <c r="E451" s="185" t="s">
        <v>1677</v>
      </c>
      <c r="F451" s="192" t="s">
        <v>789</v>
      </c>
      <c r="G451" s="192" t="s">
        <v>790</v>
      </c>
      <c r="H451" s="192" t="s">
        <v>790</v>
      </c>
      <c r="I451" t="s">
        <v>820</v>
      </c>
    </row>
    <row r="452" spans="2:11" x14ac:dyDescent="0.25">
      <c r="B452" s="191"/>
      <c r="C452" s="191"/>
      <c r="D452" s="192" t="s">
        <v>1678</v>
      </c>
      <c r="E452" t="s">
        <v>1679</v>
      </c>
      <c r="F452" s="192" t="s">
        <v>1437</v>
      </c>
      <c r="G452" s="192" t="s">
        <v>790</v>
      </c>
      <c r="H452" s="192" t="s">
        <v>790</v>
      </c>
      <c r="I452" t="s">
        <v>820</v>
      </c>
      <c r="J452" t="s">
        <v>865</v>
      </c>
      <c r="K452" t="s">
        <v>797</v>
      </c>
    </row>
    <row r="453" spans="2:11" x14ac:dyDescent="0.25">
      <c r="B453" s="191"/>
      <c r="C453" s="191"/>
      <c r="D453" s="192" t="s">
        <v>1680</v>
      </c>
      <c r="E453" t="s">
        <v>1681</v>
      </c>
      <c r="F453" s="192" t="s">
        <v>1437</v>
      </c>
      <c r="G453" s="192" t="s">
        <v>790</v>
      </c>
      <c r="H453" s="192" t="s">
        <v>790</v>
      </c>
      <c r="I453" t="s">
        <v>820</v>
      </c>
      <c r="J453" t="s">
        <v>865</v>
      </c>
      <c r="K453" t="s">
        <v>797</v>
      </c>
    </row>
    <row r="454" spans="2:11" x14ac:dyDescent="0.25">
      <c r="B454" s="191"/>
      <c r="C454" s="191" t="s">
        <v>1682</v>
      </c>
      <c r="D454" s="192"/>
      <c r="E454" s="185" t="s">
        <v>1683</v>
      </c>
      <c r="F454" s="192" t="s">
        <v>789</v>
      </c>
      <c r="G454" s="192" t="s">
        <v>790</v>
      </c>
      <c r="H454" s="192" t="s">
        <v>790</v>
      </c>
      <c r="I454" t="s">
        <v>820</v>
      </c>
    </row>
    <row r="455" spans="2:11" x14ac:dyDescent="0.25">
      <c r="B455" s="191"/>
      <c r="C455" s="191" t="s">
        <v>1684</v>
      </c>
      <c r="D455" s="192"/>
      <c r="E455" s="185" t="s">
        <v>1685</v>
      </c>
      <c r="F455" s="192" t="s">
        <v>789</v>
      </c>
      <c r="G455" s="192" t="s">
        <v>790</v>
      </c>
      <c r="H455" s="192" t="s">
        <v>790</v>
      </c>
      <c r="I455" t="s">
        <v>820</v>
      </c>
    </row>
    <row r="456" spans="2:11" x14ac:dyDescent="0.25">
      <c r="B456" s="191"/>
      <c r="C456" s="191"/>
      <c r="D456" s="192" t="s">
        <v>1686</v>
      </c>
      <c r="E456" t="s">
        <v>1687</v>
      </c>
      <c r="F456" s="192" t="s">
        <v>1437</v>
      </c>
      <c r="G456" s="192" t="s">
        <v>790</v>
      </c>
      <c r="H456" s="192" t="s">
        <v>790</v>
      </c>
      <c r="I456" t="s">
        <v>820</v>
      </c>
      <c r="J456" t="s">
        <v>865</v>
      </c>
      <c r="K456" t="s">
        <v>797</v>
      </c>
    </row>
    <row r="457" spans="2:11" x14ac:dyDescent="0.25">
      <c r="B457" s="191"/>
      <c r="C457" s="191"/>
      <c r="D457" s="192" t="s">
        <v>1688</v>
      </c>
      <c r="E457" t="s">
        <v>1689</v>
      </c>
      <c r="F457" s="192" t="s">
        <v>1437</v>
      </c>
      <c r="G457" s="192" t="s">
        <v>790</v>
      </c>
      <c r="H457" s="192" t="s">
        <v>790</v>
      </c>
      <c r="I457" t="s">
        <v>820</v>
      </c>
      <c r="J457" t="s">
        <v>865</v>
      </c>
      <c r="K457" t="s">
        <v>797</v>
      </c>
    </row>
    <row r="458" spans="2:11" x14ac:dyDescent="0.25">
      <c r="B458" s="191"/>
      <c r="C458" s="191" t="s">
        <v>1690</v>
      </c>
      <c r="D458" s="192"/>
      <c r="E458" s="185" t="s">
        <v>1691</v>
      </c>
      <c r="F458" s="192" t="s">
        <v>789</v>
      </c>
      <c r="G458" s="192" t="s">
        <v>790</v>
      </c>
      <c r="H458" s="192" t="s">
        <v>790</v>
      </c>
      <c r="I458" t="s">
        <v>820</v>
      </c>
    </row>
    <row r="459" spans="2:11" x14ac:dyDescent="0.25">
      <c r="B459" s="191"/>
      <c r="C459" s="191"/>
      <c r="D459" s="192" t="s">
        <v>1692</v>
      </c>
      <c r="E459" t="s">
        <v>1693</v>
      </c>
      <c r="F459" s="192" t="s">
        <v>1437</v>
      </c>
      <c r="G459" s="192" t="s">
        <v>790</v>
      </c>
      <c r="H459" s="192" t="s">
        <v>790</v>
      </c>
      <c r="I459" t="s">
        <v>820</v>
      </c>
      <c r="J459" t="s">
        <v>865</v>
      </c>
      <c r="K459" t="s">
        <v>797</v>
      </c>
    </row>
    <row r="460" spans="2:11" x14ac:dyDescent="0.25">
      <c r="B460" s="191"/>
      <c r="C460" s="191"/>
      <c r="D460" s="192" t="s">
        <v>1694</v>
      </c>
      <c r="E460" t="s">
        <v>1695</v>
      </c>
      <c r="F460" s="192" t="s">
        <v>1437</v>
      </c>
      <c r="G460" s="192" t="s">
        <v>790</v>
      </c>
      <c r="H460" s="192" t="s">
        <v>790</v>
      </c>
      <c r="I460" t="s">
        <v>820</v>
      </c>
      <c r="J460" t="s">
        <v>865</v>
      </c>
      <c r="K460" t="s">
        <v>797</v>
      </c>
    </row>
    <row r="461" spans="2:11" x14ac:dyDescent="0.25">
      <c r="B461" s="191"/>
      <c r="C461" s="191" t="s">
        <v>1696</v>
      </c>
      <c r="D461" s="192"/>
      <c r="E461" s="185" t="s">
        <v>1697</v>
      </c>
      <c r="F461" s="192" t="s">
        <v>789</v>
      </c>
      <c r="G461" s="192" t="s">
        <v>790</v>
      </c>
      <c r="H461" s="192" t="s">
        <v>790</v>
      </c>
      <c r="I461" t="s">
        <v>820</v>
      </c>
    </row>
    <row r="462" spans="2:11" x14ac:dyDescent="0.25">
      <c r="B462" s="191"/>
      <c r="C462" s="191" t="s">
        <v>1698</v>
      </c>
      <c r="D462" s="192"/>
      <c r="E462" s="185" t="s">
        <v>1699</v>
      </c>
      <c r="F462" s="192" t="s">
        <v>789</v>
      </c>
      <c r="G462" s="192" t="s">
        <v>790</v>
      </c>
      <c r="H462" s="192" t="s">
        <v>790</v>
      </c>
      <c r="I462" t="s">
        <v>820</v>
      </c>
    </row>
    <row r="463" spans="2:11" x14ac:dyDescent="0.25">
      <c r="B463" s="191"/>
      <c r="C463" s="191"/>
      <c r="D463" s="192" t="s">
        <v>1700</v>
      </c>
      <c r="E463" t="s">
        <v>1701</v>
      </c>
      <c r="F463" s="192" t="s">
        <v>1437</v>
      </c>
      <c r="G463" s="192" t="s">
        <v>790</v>
      </c>
      <c r="H463" s="192" t="s">
        <v>790</v>
      </c>
      <c r="I463" t="s">
        <v>820</v>
      </c>
      <c r="J463" t="s">
        <v>865</v>
      </c>
      <c r="K463" t="s">
        <v>797</v>
      </c>
    </row>
    <row r="464" spans="2:11" x14ac:dyDescent="0.25">
      <c r="B464" s="191"/>
      <c r="C464" s="191"/>
      <c r="D464" s="192" t="s">
        <v>1702</v>
      </c>
      <c r="E464" t="s">
        <v>1703</v>
      </c>
      <c r="F464" s="192" t="s">
        <v>1437</v>
      </c>
      <c r="G464" s="192" t="s">
        <v>790</v>
      </c>
      <c r="H464" s="192" t="s">
        <v>790</v>
      </c>
      <c r="I464" t="s">
        <v>820</v>
      </c>
      <c r="J464" t="s">
        <v>865</v>
      </c>
      <c r="K464" t="s">
        <v>797</v>
      </c>
    </row>
    <row r="465" spans="2:11" x14ac:dyDescent="0.25">
      <c r="B465" s="191"/>
      <c r="C465" s="191"/>
      <c r="D465" s="192" t="s">
        <v>1704</v>
      </c>
      <c r="E465" t="s">
        <v>1705</v>
      </c>
      <c r="F465" s="192" t="s">
        <v>1437</v>
      </c>
      <c r="G465" s="192" t="s">
        <v>790</v>
      </c>
      <c r="H465" s="192" t="s">
        <v>790</v>
      </c>
      <c r="I465" t="s">
        <v>820</v>
      </c>
      <c r="J465" t="s">
        <v>865</v>
      </c>
      <c r="K465" t="s">
        <v>797</v>
      </c>
    </row>
    <row r="466" spans="2:11" x14ac:dyDescent="0.25">
      <c r="B466" s="191"/>
      <c r="C466" s="191"/>
      <c r="D466" s="192" t="s">
        <v>1706</v>
      </c>
      <c r="E466" t="s">
        <v>1707</v>
      </c>
      <c r="F466" s="192" t="s">
        <v>1437</v>
      </c>
      <c r="G466" s="192" t="s">
        <v>790</v>
      </c>
      <c r="H466" s="192" t="s">
        <v>790</v>
      </c>
      <c r="I466" t="s">
        <v>820</v>
      </c>
      <c r="J466" t="s">
        <v>865</v>
      </c>
      <c r="K466" t="s">
        <v>797</v>
      </c>
    </row>
    <row r="467" spans="2:11" x14ac:dyDescent="0.25">
      <c r="B467" s="191"/>
      <c r="C467" s="191" t="s">
        <v>1708</v>
      </c>
      <c r="D467" s="192"/>
      <c r="E467" s="185" t="s">
        <v>1709</v>
      </c>
      <c r="F467" s="192" t="s">
        <v>789</v>
      </c>
      <c r="G467" s="192" t="s">
        <v>790</v>
      </c>
      <c r="H467" s="192" t="s">
        <v>790</v>
      </c>
      <c r="I467" t="s">
        <v>820</v>
      </c>
    </row>
    <row r="468" spans="2:11" x14ac:dyDescent="0.25">
      <c r="B468" s="191"/>
      <c r="C468" s="191"/>
      <c r="D468" s="192" t="s">
        <v>1710</v>
      </c>
      <c r="E468" t="s">
        <v>1711</v>
      </c>
      <c r="F468" s="192" t="s">
        <v>1437</v>
      </c>
      <c r="G468" s="192" t="s">
        <v>790</v>
      </c>
      <c r="H468" s="192" t="s">
        <v>790</v>
      </c>
      <c r="I468" t="s">
        <v>820</v>
      </c>
      <c r="J468" t="s">
        <v>865</v>
      </c>
      <c r="K468" t="s">
        <v>797</v>
      </c>
    </row>
    <row r="469" spans="2:11" x14ac:dyDescent="0.25">
      <c r="B469" s="191"/>
      <c r="C469" s="191"/>
      <c r="D469" s="192" t="s">
        <v>1712</v>
      </c>
      <c r="E469" t="s">
        <v>1713</v>
      </c>
      <c r="F469" s="192" t="s">
        <v>1437</v>
      </c>
      <c r="G469" s="192" t="s">
        <v>790</v>
      </c>
      <c r="H469" s="192" t="s">
        <v>790</v>
      </c>
      <c r="I469" t="s">
        <v>820</v>
      </c>
      <c r="J469" t="s">
        <v>865</v>
      </c>
      <c r="K469" t="s">
        <v>797</v>
      </c>
    </row>
    <row r="470" spans="2:11" x14ac:dyDescent="0.25">
      <c r="B470" s="191"/>
      <c r="C470" s="191"/>
      <c r="D470" s="192" t="s">
        <v>1714</v>
      </c>
      <c r="E470" t="s">
        <v>1715</v>
      </c>
      <c r="F470" s="192" t="s">
        <v>1437</v>
      </c>
      <c r="G470" s="192" t="s">
        <v>790</v>
      </c>
      <c r="H470" s="192" t="s">
        <v>790</v>
      </c>
      <c r="I470" t="s">
        <v>820</v>
      </c>
      <c r="J470" t="s">
        <v>865</v>
      </c>
      <c r="K470" t="s">
        <v>797</v>
      </c>
    </row>
    <row r="471" spans="2:11" x14ac:dyDescent="0.25">
      <c r="B471" s="191"/>
      <c r="C471" s="191"/>
      <c r="D471" s="192" t="s">
        <v>1716</v>
      </c>
      <c r="E471" t="s">
        <v>1717</v>
      </c>
      <c r="F471" s="192" t="s">
        <v>1437</v>
      </c>
      <c r="G471" s="192" t="s">
        <v>790</v>
      </c>
      <c r="H471" s="192" t="s">
        <v>790</v>
      </c>
      <c r="I471" t="s">
        <v>820</v>
      </c>
      <c r="J471" t="s">
        <v>865</v>
      </c>
      <c r="K471" t="s">
        <v>797</v>
      </c>
    </row>
    <row r="472" spans="2:11" x14ac:dyDescent="0.25">
      <c r="B472" s="191"/>
      <c r="C472" s="191"/>
      <c r="D472" s="192" t="s">
        <v>1718</v>
      </c>
      <c r="E472" t="s">
        <v>1719</v>
      </c>
      <c r="F472" s="192" t="s">
        <v>1437</v>
      </c>
      <c r="G472" s="192" t="s">
        <v>790</v>
      </c>
      <c r="H472" s="192" t="s">
        <v>790</v>
      </c>
      <c r="I472" t="s">
        <v>820</v>
      </c>
      <c r="J472" t="s">
        <v>865</v>
      </c>
      <c r="K472" t="s">
        <v>797</v>
      </c>
    </row>
    <row r="473" spans="2:11" x14ac:dyDescent="0.25">
      <c r="B473" s="191"/>
      <c r="C473" s="191"/>
      <c r="D473" s="192" t="s">
        <v>1720</v>
      </c>
      <c r="E473" t="s">
        <v>1721</v>
      </c>
      <c r="F473" s="192" t="s">
        <v>1437</v>
      </c>
      <c r="G473" s="192" t="s">
        <v>790</v>
      </c>
      <c r="H473" s="192" t="s">
        <v>790</v>
      </c>
      <c r="I473" t="s">
        <v>820</v>
      </c>
      <c r="J473" t="s">
        <v>865</v>
      </c>
      <c r="K473" t="s">
        <v>797</v>
      </c>
    </row>
    <row r="474" spans="2:11" x14ac:dyDescent="0.25">
      <c r="B474" s="191"/>
      <c r="C474" s="191"/>
      <c r="D474" s="192" t="s">
        <v>1722</v>
      </c>
      <c r="E474" t="s">
        <v>1723</v>
      </c>
      <c r="F474" s="192" t="s">
        <v>1437</v>
      </c>
      <c r="G474" s="192" t="s">
        <v>790</v>
      </c>
      <c r="H474" s="192" t="s">
        <v>790</v>
      </c>
      <c r="I474" t="s">
        <v>820</v>
      </c>
      <c r="J474" t="s">
        <v>865</v>
      </c>
      <c r="K474" t="s">
        <v>797</v>
      </c>
    </row>
    <row r="475" spans="2:11" x14ac:dyDescent="0.25">
      <c r="B475" s="191"/>
      <c r="C475" s="191"/>
      <c r="D475" s="192" t="s">
        <v>1724</v>
      </c>
      <c r="E475" t="s">
        <v>1725</v>
      </c>
      <c r="F475" s="192" t="s">
        <v>1437</v>
      </c>
      <c r="G475" s="192" t="s">
        <v>790</v>
      </c>
      <c r="H475" s="192" t="s">
        <v>790</v>
      </c>
      <c r="I475" t="s">
        <v>820</v>
      </c>
      <c r="J475" t="s">
        <v>865</v>
      </c>
      <c r="K475" t="s">
        <v>797</v>
      </c>
    </row>
    <row r="476" spans="2:11" x14ac:dyDescent="0.25">
      <c r="B476" s="191"/>
      <c r="C476" s="191"/>
      <c r="D476" s="192" t="s">
        <v>1726</v>
      </c>
      <c r="E476" t="s">
        <v>1727</v>
      </c>
      <c r="F476" s="192" t="s">
        <v>1437</v>
      </c>
      <c r="G476" s="192" t="s">
        <v>790</v>
      </c>
      <c r="H476" s="192" t="s">
        <v>790</v>
      </c>
      <c r="I476" t="s">
        <v>820</v>
      </c>
      <c r="J476" t="s">
        <v>865</v>
      </c>
      <c r="K476" t="s">
        <v>797</v>
      </c>
    </row>
    <row r="477" spans="2:11" x14ac:dyDescent="0.25">
      <c r="B477" s="191"/>
      <c r="C477" s="191" t="s">
        <v>1728</v>
      </c>
      <c r="D477" s="192"/>
      <c r="E477" s="185" t="s">
        <v>1729</v>
      </c>
      <c r="F477" s="192" t="s">
        <v>789</v>
      </c>
      <c r="G477" s="192" t="s">
        <v>790</v>
      </c>
      <c r="H477" s="192" t="s">
        <v>790</v>
      </c>
      <c r="I477" t="s">
        <v>820</v>
      </c>
    </row>
    <row r="478" spans="2:11" x14ac:dyDescent="0.25">
      <c r="B478" s="191"/>
      <c r="C478" s="191"/>
      <c r="D478" s="192" t="s">
        <v>1730</v>
      </c>
      <c r="E478" t="s">
        <v>1731</v>
      </c>
      <c r="F478" s="192" t="s">
        <v>1437</v>
      </c>
      <c r="G478" s="192" t="s">
        <v>790</v>
      </c>
      <c r="H478" s="192" t="s">
        <v>790</v>
      </c>
      <c r="I478" t="s">
        <v>820</v>
      </c>
      <c r="J478" t="s">
        <v>865</v>
      </c>
      <c r="K478" t="s">
        <v>797</v>
      </c>
    </row>
    <row r="479" spans="2:11" x14ac:dyDescent="0.25">
      <c r="B479" s="191"/>
      <c r="C479" s="191"/>
      <c r="D479" s="192" t="s">
        <v>1732</v>
      </c>
      <c r="E479" t="s">
        <v>1733</v>
      </c>
      <c r="F479" s="192" t="s">
        <v>1437</v>
      </c>
      <c r="G479" s="192" t="s">
        <v>790</v>
      </c>
      <c r="H479" s="192" t="s">
        <v>790</v>
      </c>
      <c r="I479" t="s">
        <v>820</v>
      </c>
      <c r="J479" t="s">
        <v>865</v>
      </c>
      <c r="K479" t="s">
        <v>797</v>
      </c>
    </row>
    <row r="480" spans="2:11" x14ac:dyDescent="0.25">
      <c r="B480" s="191"/>
      <c r="C480" s="191"/>
      <c r="D480" s="192" t="s">
        <v>1734</v>
      </c>
      <c r="E480" t="s">
        <v>1735</v>
      </c>
      <c r="F480" s="192" t="s">
        <v>1437</v>
      </c>
      <c r="G480" s="192" t="s">
        <v>790</v>
      </c>
      <c r="H480" s="192" t="s">
        <v>790</v>
      </c>
      <c r="I480" t="s">
        <v>820</v>
      </c>
      <c r="J480" t="s">
        <v>865</v>
      </c>
      <c r="K480" t="s">
        <v>797</v>
      </c>
    </row>
    <row r="481" spans="2:11" x14ac:dyDescent="0.25">
      <c r="B481" s="191"/>
      <c r="C481" s="191"/>
      <c r="D481" s="192" t="s">
        <v>1736</v>
      </c>
      <c r="E481" t="s">
        <v>1737</v>
      </c>
      <c r="F481" s="192" t="s">
        <v>1437</v>
      </c>
      <c r="G481" s="192" t="s">
        <v>790</v>
      </c>
      <c r="H481" s="192" t="s">
        <v>790</v>
      </c>
      <c r="I481" t="s">
        <v>820</v>
      </c>
      <c r="J481" t="s">
        <v>865</v>
      </c>
      <c r="K481" t="s">
        <v>797</v>
      </c>
    </row>
    <row r="482" spans="2:11" x14ac:dyDescent="0.25">
      <c r="B482" s="191"/>
      <c r="C482" s="191"/>
      <c r="D482" s="192" t="s">
        <v>1738</v>
      </c>
      <c r="E482" t="s">
        <v>1739</v>
      </c>
      <c r="F482" s="192" t="s">
        <v>1437</v>
      </c>
      <c r="G482" s="192" t="s">
        <v>790</v>
      </c>
      <c r="H482" s="192" t="s">
        <v>790</v>
      </c>
      <c r="I482" t="s">
        <v>820</v>
      </c>
      <c r="J482" t="s">
        <v>865</v>
      </c>
      <c r="K482" t="s">
        <v>797</v>
      </c>
    </row>
    <row r="483" spans="2:11" x14ac:dyDescent="0.25">
      <c r="B483" s="191"/>
      <c r="C483" s="191"/>
      <c r="D483" s="192" t="s">
        <v>1740</v>
      </c>
      <c r="E483" t="s">
        <v>1741</v>
      </c>
      <c r="F483" s="192" t="s">
        <v>1437</v>
      </c>
      <c r="G483" s="192" t="s">
        <v>790</v>
      </c>
      <c r="H483" s="192" t="s">
        <v>790</v>
      </c>
      <c r="I483" t="s">
        <v>820</v>
      </c>
      <c r="J483" t="s">
        <v>865</v>
      </c>
      <c r="K483" t="s">
        <v>797</v>
      </c>
    </row>
    <row r="484" spans="2:11" x14ac:dyDescent="0.25">
      <c r="B484" s="191"/>
      <c r="C484" s="191" t="s">
        <v>1742</v>
      </c>
      <c r="D484" s="192"/>
      <c r="E484" s="185" t="s">
        <v>1743</v>
      </c>
      <c r="F484" s="192" t="s">
        <v>789</v>
      </c>
      <c r="G484" s="192" t="s">
        <v>790</v>
      </c>
      <c r="H484" s="192" t="s">
        <v>790</v>
      </c>
      <c r="I484" t="s">
        <v>820</v>
      </c>
    </row>
    <row r="485" spans="2:11" x14ac:dyDescent="0.25">
      <c r="B485" s="191"/>
      <c r="C485" s="191"/>
      <c r="D485" s="192" t="s">
        <v>1744</v>
      </c>
      <c r="E485" t="s">
        <v>1745</v>
      </c>
      <c r="F485" s="192" t="s">
        <v>1437</v>
      </c>
      <c r="G485" s="192" t="s">
        <v>790</v>
      </c>
      <c r="H485" s="192" t="s">
        <v>790</v>
      </c>
      <c r="I485" t="s">
        <v>820</v>
      </c>
      <c r="J485" t="s">
        <v>865</v>
      </c>
      <c r="K485" t="s">
        <v>797</v>
      </c>
    </row>
    <row r="486" spans="2:11" x14ac:dyDescent="0.25">
      <c r="B486" s="191"/>
      <c r="C486" s="191"/>
      <c r="D486" s="192" t="s">
        <v>1746</v>
      </c>
      <c r="E486" t="s">
        <v>1747</v>
      </c>
      <c r="F486" s="192" t="s">
        <v>1437</v>
      </c>
      <c r="G486" s="192" t="s">
        <v>790</v>
      </c>
      <c r="H486" s="192" t="s">
        <v>790</v>
      </c>
      <c r="I486" t="s">
        <v>820</v>
      </c>
      <c r="J486" t="s">
        <v>865</v>
      </c>
      <c r="K486" t="s">
        <v>797</v>
      </c>
    </row>
    <row r="487" spans="2:11" x14ac:dyDescent="0.25">
      <c r="B487" s="191" t="s">
        <v>1748</v>
      </c>
      <c r="C487" s="191"/>
      <c r="D487" s="192"/>
      <c r="E487" s="185" t="s">
        <v>1749</v>
      </c>
      <c r="F487" s="192" t="s">
        <v>789</v>
      </c>
      <c r="G487" s="192" t="s">
        <v>790</v>
      </c>
      <c r="H487" s="192" t="s">
        <v>790</v>
      </c>
      <c r="I487" t="s">
        <v>820</v>
      </c>
    </row>
    <row r="488" spans="2:11" x14ac:dyDescent="0.25">
      <c r="B488" s="191"/>
      <c r="C488" s="191" t="s">
        <v>1750</v>
      </c>
      <c r="D488" s="192"/>
      <c r="E488" s="185" t="s">
        <v>1751</v>
      </c>
      <c r="F488" s="192" t="s">
        <v>789</v>
      </c>
      <c r="G488" s="192" t="s">
        <v>790</v>
      </c>
      <c r="H488" s="192" t="s">
        <v>790</v>
      </c>
      <c r="I488" t="s">
        <v>820</v>
      </c>
    </row>
    <row r="489" spans="2:11" x14ac:dyDescent="0.25">
      <c r="B489" s="191"/>
      <c r="C489" s="191"/>
      <c r="D489" s="192" t="s">
        <v>1752</v>
      </c>
      <c r="E489" t="s">
        <v>1751</v>
      </c>
      <c r="F489" s="192" t="s">
        <v>1753</v>
      </c>
      <c r="G489" s="192" t="s">
        <v>790</v>
      </c>
      <c r="H489" s="192" t="s">
        <v>790</v>
      </c>
      <c r="I489" t="s">
        <v>820</v>
      </c>
      <c r="J489" t="s">
        <v>865</v>
      </c>
      <c r="K489" t="s">
        <v>797</v>
      </c>
    </row>
    <row r="490" spans="2:11" x14ac:dyDescent="0.25">
      <c r="B490" s="191"/>
      <c r="C490" s="191" t="s">
        <v>1754</v>
      </c>
      <c r="D490" s="192"/>
      <c r="E490" s="185" t="s">
        <v>1755</v>
      </c>
      <c r="F490" s="192" t="s">
        <v>789</v>
      </c>
      <c r="G490" s="192" t="s">
        <v>790</v>
      </c>
      <c r="H490" s="192" t="s">
        <v>790</v>
      </c>
      <c r="I490" t="s">
        <v>820</v>
      </c>
    </row>
    <row r="491" spans="2:11" x14ac:dyDescent="0.25">
      <c r="B491" s="191"/>
      <c r="C491" s="191"/>
      <c r="D491" s="192" t="s">
        <v>1756</v>
      </c>
      <c r="E491" t="s">
        <v>1755</v>
      </c>
      <c r="F491" s="192" t="s">
        <v>1753</v>
      </c>
      <c r="G491" s="192" t="s">
        <v>790</v>
      </c>
      <c r="H491" s="192" t="s">
        <v>790</v>
      </c>
      <c r="I491" t="s">
        <v>820</v>
      </c>
      <c r="J491" t="s">
        <v>865</v>
      </c>
      <c r="K491" t="s">
        <v>797</v>
      </c>
    </row>
    <row r="492" spans="2:11" x14ac:dyDescent="0.25">
      <c r="B492" s="191"/>
      <c r="C492" s="191" t="s">
        <v>1757</v>
      </c>
      <c r="D492" s="192"/>
      <c r="E492" s="185" t="s">
        <v>1758</v>
      </c>
      <c r="F492" s="192" t="s">
        <v>789</v>
      </c>
      <c r="G492" s="192" t="s">
        <v>790</v>
      </c>
      <c r="H492" s="192" t="s">
        <v>790</v>
      </c>
      <c r="I492" t="s">
        <v>820</v>
      </c>
    </row>
    <row r="493" spans="2:11" x14ac:dyDescent="0.25">
      <c r="B493" s="191"/>
      <c r="C493" s="191"/>
      <c r="D493" s="192" t="s">
        <v>1759</v>
      </c>
      <c r="E493" t="s">
        <v>1760</v>
      </c>
      <c r="F493" s="192" t="s">
        <v>1753</v>
      </c>
      <c r="G493" s="192" t="s">
        <v>790</v>
      </c>
      <c r="H493" s="192" t="s">
        <v>790</v>
      </c>
      <c r="I493" t="s">
        <v>820</v>
      </c>
      <c r="J493" t="s">
        <v>865</v>
      </c>
      <c r="K493" t="s">
        <v>797</v>
      </c>
    </row>
    <row r="494" spans="2:11" x14ac:dyDescent="0.25">
      <c r="B494" s="191"/>
      <c r="C494" s="191" t="s">
        <v>1761</v>
      </c>
      <c r="D494" s="192"/>
      <c r="E494" s="185" t="s">
        <v>1762</v>
      </c>
      <c r="F494" s="192" t="s">
        <v>789</v>
      </c>
      <c r="G494" s="192" t="s">
        <v>790</v>
      </c>
      <c r="H494" s="192" t="s">
        <v>790</v>
      </c>
      <c r="I494" t="s">
        <v>820</v>
      </c>
    </row>
    <row r="495" spans="2:11" x14ac:dyDescent="0.25">
      <c r="B495" s="191"/>
      <c r="C495" s="191"/>
      <c r="D495" s="192" t="s">
        <v>1763</v>
      </c>
      <c r="E495" t="s">
        <v>1762</v>
      </c>
      <c r="F495" s="192" t="s">
        <v>1753</v>
      </c>
      <c r="G495" s="192" t="s">
        <v>790</v>
      </c>
      <c r="H495" s="192" t="s">
        <v>790</v>
      </c>
      <c r="I495" t="s">
        <v>820</v>
      </c>
      <c r="J495" t="s">
        <v>865</v>
      </c>
      <c r="K495" t="s">
        <v>797</v>
      </c>
    </row>
    <row r="496" spans="2:11" x14ac:dyDescent="0.25">
      <c r="B496" s="191" t="s">
        <v>1764</v>
      </c>
      <c r="C496" s="191"/>
      <c r="D496" s="192"/>
      <c r="E496" s="185" t="s">
        <v>1765</v>
      </c>
      <c r="F496" s="192" t="s">
        <v>789</v>
      </c>
      <c r="G496" s="192" t="s">
        <v>790</v>
      </c>
      <c r="H496" s="192" t="s">
        <v>790</v>
      </c>
      <c r="I496" t="s">
        <v>820</v>
      </c>
      <c r="J496" t="s">
        <v>865</v>
      </c>
    </row>
    <row r="497" spans="2:11" x14ac:dyDescent="0.25">
      <c r="B497" s="191"/>
      <c r="C497" s="191" t="s">
        <v>1766</v>
      </c>
      <c r="D497" s="192"/>
      <c r="E497" s="185" t="s">
        <v>1767</v>
      </c>
      <c r="F497" s="192" t="s">
        <v>789</v>
      </c>
      <c r="G497" s="192" t="s">
        <v>790</v>
      </c>
      <c r="H497" s="192" t="s">
        <v>790</v>
      </c>
      <c r="I497" t="s">
        <v>820</v>
      </c>
    </row>
    <row r="498" spans="2:11" x14ac:dyDescent="0.25">
      <c r="B498" s="191"/>
      <c r="C498" s="191" t="s">
        <v>1768</v>
      </c>
      <c r="D498" s="192"/>
      <c r="E498" s="185" t="s">
        <v>1341</v>
      </c>
      <c r="F498" s="192" t="s">
        <v>789</v>
      </c>
      <c r="G498" s="192" t="s">
        <v>790</v>
      </c>
      <c r="H498" s="192" t="s">
        <v>790</v>
      </c>
      <c r="I498" t="s">
        <v>820</v>
      </c>
    </row>
    <row r="499" spans="2:11" x14ac:dyDescent="0.25">
      <c r="B499" s="191"/>
      <c r="C499" s="191"/>
      <c r="D499" s="192" t="s">
        <v>1769</v>
      </c>
      <c r="E499" t="s">
        <v>1770</v>
      </c>
      <c r="F499" s="192" t="s">
        <v>1771</v>
      </c>
      <c r="G499" s="192" t="s">
        <v>790</v>
      </c>
      <c r="H499" s="192" t="s">
        <v>790</v>
      </c>
      <c r="I499" t="s">
        <v>820</v>
      </c>
      <c r="J499" t="s">
        <v>865</v>
      </c>
      <c r="K499" t="s">
        <v>797</v>
      </c>
    </row>
    <row r="500" spans="2:11" x14ac:dyDescent="0.25">
      <c r="B500" s="191"/>
      <c r="C500" s="191" t="s">
        <v>1772</v>
      </c>
      <c r="D500" s="192"/>
      <c r="E500" s="185" t="s">
        <v>1773</v>
      </c>
      <c r="F500" s="192" t="s">
        <v>789</v>
      </c>
      <c r="G500" s="192" t="s">
        <v>790</v>
      </c>
      <c r="H500" s="192" t="s">
        <v>790</v>
      </c>
      <c r="I500" t="s">
        <v>820</v>
      </c>
    </row>
    <row r="501" spans="2:11" x14ac:dyDescent="0.25">
      <c r="B501" s="191"/>
      <c r="C501" s="191" t="s">
        <v>1774</v>
      </c>
      <c r="D501" s="192"/>
      <c r="E501" s="185" t="s">
        <v>1350</v>
      </c>
      <c r="F501" s="192" t="s">
        <v>789</v>
      </c>
      <c r="G501" s="192" t="s">
        <v>790</v>
      </c>
      <c r="H501" s="192" t="s">
        <v>790</v>
      </c>
      <c r="I501" t="s">
        <v>820</v>
      </c>
    </row>
    <row r="502" spans="2:11" x14ac:dyDescent="0.25">
      <c r="B502" s="191"/>
      <c r="C502" s="191"/>
      <c r="D502" s="192" t="s">
        <v>1775</v>
      </c>
      <c r="E502" t="s">
        <v>1776</v>
      </c>
      <c r="F502" s="192" t="s">
        <v>1771</v>
      </c>
      <c r="G502" s="192" t="s">
        <v>790</v>
      </c>
      <c r="H502" s="192" t="s">
        <v>790</v>
      </c>
      <c r="I502" t="s">
        <v>820</v>
      </c>
      <c r="J502" t="s">
        <v>865</v>
      </c>
      <c r="K502" t="s">
        <v>797</v>
      </c>
    </row>
    <row r="503" spans="2:11" x14ac:dyDescent="0.25">
      <c r="B503" s="191"/>
      <c r="C503" s="191"/>
      <c r="D503" s="192" t="s">
        <v>1777</v>
      </c>
      <c r="E503" t="s">
        <v>1778</v>
      </c>
      <c r="F503" s="192" t="s">
        <v>1771</v>
      </c>
      <c r="G503" s="192" t="s">
        <v>790</v>
      </c>
      <c r="H503" s="192" t="s">
        <v>790</v>
      </c>
      <c r="I503" t="s">
        <v>820</v>
      </c>
      <c r="J503" t="s">
        <v>865</v>
      </c>
      <c r="K503" t="s">
        <v>797</v>
      </c>
    </row>
    <row r="504" spans="2:11" x14ac:dyDescent="0.25">
      <c r="B504" s="191"/>
      <c r="C504" s="191" t="s">
        <v>1779</v>
      </c>
      <c r="D504" s="192"/>
      <c r="E504" s="185" t="s">
        <v>1780</v>
      </c>
      <c r="F504" s="192" t="s">
        <v>789</v>
      </c>
      <c r="G504" s="192" t="s">
        <v>790</v>
      </c>
      <c r="H504" s="192" t="s">
        <v>790</v>
      </c>
      <c r="I504" t="s">
        <v>820</v>
      </c>
    </row>
    <row r="505" spans="2:11" x14ac:dyDescent="0.25">
      <c r="B505" s="191"/>
      <c r="C505" s="191"/>
      <c r="D505" s="192" t="s">
        <v>1781</v>
      </c>
      <c r="E505" t="s">
        <v>1782</v>
      </c>
      <c r="F505" s="192" t="s">
        <v>1771</v>
      </c>
      <c r="G505" s="192" t="s">
        <v>790</v>
      </c>
      <c r="H505" s="192" t="s">
        <v>790</v>
      </c>
      <c r="I505" t="s">
        <v>820</v>
      </c>
      <c r="J505" t="s">
        <v>865</v>
      </c>
      <c r="K505" t="s">
        <v>797</v>
      </c>
    </row>
    <row r="506" spans="2:11" x14ac:dyDescent="0.25">
      <c r="B506" s="191"/>
      <c r="C506" s="191" t="s">
        <v>1783</v>
      </c>
      <c r="D506" s="192"/>
      <c r="E506" s="185" t="s">
        <v>1784</v>
      </c>
      <c r="F506" s="192" t="s">
        <v>789</v>
      </c>
      <c r="G506" s="192" t="s">
        <v>790</v>
      </c>
      <c r="H506" s="192" t="s">
        <v>790</v>
      </c>
      <c r="I506" t="s">
        <v>820</v>
      </c>
    </row>
    <row r="507" spans="2:11" x14ac:dyDescent="0.25">
      <c r="B507" s="191"/>
      <c r="C507" s="191"/>
      <c r="D507" s="192" t="s">
        <v>1785</v>
      </c>
      <c r="E507" t="s">
        <v>1786</v>
      </c>
      <c r="F507" s="192" t="s">
        <v>1771</v>
      </c>
      <c r="G507" s="192" t="s">
        <v>790</v>
      </c>
      <c r="H507" s="192" t="s">
        <v>790</v>
      </c>
      <c r="I507" t="s">
        <v>820</v>
      </c>
      <c r="J507" t="s">
        <v>865</v>
      </c>
      <c r="K507" t="s">
        <v>797</v>
      </c>
    </row>
    <row r="508" spans="2:11" x14ac:dyDescent="0.25">
      <c r="B508" s="191"/>
      <c r="C508" s="191"/>
      <c r="D508" s="192" t="s">
        <v>1787</v>
      </c>
      <c r="E508" t="s">
        <v>1788</v>
      </c>
      <c r="F508" s="192" t="s">
        <v>1771</v>
      </c>
      <c r="G508" s="192" t="s">
        <v>790</v>
      </c>
      <c r="H508" s="192" t="s">
        <v>790</v>
      </c>
      <c r="I508" t="s">
        <v>820</v>
      </c>
      <c r="J508" t="s">
        <v>865</v>
      </c>
      <c r="K508" t="s">
        <v>797</v>
      </c>
    </row>
    <row r="509" spans="2:11" x14ac:dyDescent="0.25">
      <c r="B509" s="191"/>
      <c r="C509" s="191" t="s">
        <v>1789</v>
      </c>
      <c r="D509" s="192"/>
      <c r="E509" s="185" t="s">
        <v>1790</v>
      </c>
      <c r="F509" s="192" t="s">
        <v>789</v>
      </c>
      <c r="G509" s="192" t="s">
        <v>790</v>
      </c>
      <c r="H509" s="192" t="s">
        <v>790</v>
      </c>
      <c r="I509" t="s">
        <v>820</v>
      </c>
    </row>
    <row r="510" spans="2:11" x14ac:dyDescent="0.25">
      <c r="B510" s="191"/>
      <c r="C510" s="191" t="s">
        <v>1791</v>
      </c>
      <c r="D510" s="192"/>
      <c r="E510" s="185" t="s">
        <v>1792</v>
      </c>
      <c r="F510" s="192" t="s">
        <v>789</v>
      </c>
      <c r="G510" s="192" t="s">
        <v>790</v>
      </c>
      <c r="H510" s="192" t="s">
        <v>790</v>
      </c>
      <c r="I510" t="s">
        <v>820</v>
      </c>
    </row>
    <row r="511" spans="2:11" x14ac:dyDescent="0.25">
      <c r="B511" s="191"/>
      <c r="C511" s="191"/>
      <c r="D511" s="192" t="s">
        <v>1793</v>
      </c>
      <c r="E511" t="s">
        <v>1794</v>
      </c>
      <c r="F511" s="192" t="s">
        <v>1771</v>
      </c>
      <c r="G511" s="192" t="s">
        <v>790</v>
      </c>
      <c r="H511" s="192" t="s">
        <v>790</v>
      </c>
      <c r="I511" t="s">
        <v>820</v>
      </c>
      <c r="J511" t="s">
        <v>865</v>
      </c>
      <c r="K511" t="s">
        <v>797</v>
      </c>
    </row>
    <row r="512" spans="2:11" x14ac:dyDescent="0.25">
      <c r="B512" s="191"/>
      <c r="C512" s="191"/>
      <c r="D512" s="192" t="s">
        <v>1795</v>
      </c>
      <c r="E512" t="s">
        <v>1796</v>
      </c>
      <c r="F512" s="192" t="s">
        <v>1771</v>
      </c>
      <c r="G512" s="192" t="s">
        <v>790</v>
      </c>
      <c r="H512" s="192" t="s">
        <v>790</v>
      </c>
      <c r="I512" t="s">
        <v>820</v>
      </c>
      <c r="J512" t="s">
        <v>865</v>
      </c>
      <c r="K512" t="s">
        <v>797</v>
      </c>
    </row>
    <row r="513" spans="2:11" x14ac:dyDescent="0.25">
      <c r="B513" s="191"/>
      <c r="C513" s="191" t="s">
        <v>1797</v>
      </c>
      <c r="D513" s="192"/>
      <c r="E513" s="185" t="s">
        <v>1798</v>
      </c>
      <c r="F513" s="192" t="s">
        <v>789</v>
      </c>
      <c r="G513" s="192" t="s">
        <v>790</v>
      </c>
      <c r="H513" s="192" t="s">
        <v>790</v>
      </c>
      <c r="I513" t="s">
        <v>820</v>
      </c>
    </row>
    <row r="514" spans="2:11" x14ac:dyDescent="0.25">
      <c r="B514" s="191"/>
      <c r="C514" s="191"/>
      <c r="D514" s="192" t="s">
        <v>1799</v>
      </c>
      <c r="E514" t="s">
        <v>1798</v>
      </c>
      <c r="F514" s="192" t="s">
        <v>1771</v>
      </c>
      <c r="G514" s="192" t="s">
        <v>790</v>
      </c>
      <c r="H514" s="192" t="s">
        <v>790</v>
      </c>
      <c r="I514" t="s">
        <v>820</v>
      </c>
      <c r="J514" t="s">
        <v>865</v>
      </c>
      <c r="K514" t="s">
        <v>797</v>
      </c>
    </row>
    <row r="515" spans="2:11" x14ac:dyDescent="0.25">
      <c r="B515" s="191"/>
      <c r="C515" s="191" t="s">
        <v>1800</v>
      </c>
      <c r="D515" s="192"/>
      <c r="E515" s="185" t="s">
        <v>1801</v>
      </c>
      <c r="F515" s="192" t="s">
        <v>789</v>
      </c>
      <c r="G515" s="192" t="s">
        <v>790</v>
      </c>
      <c r="H515" s="192" t="s">
        <v>790</v>
      </c>
      <c r="I515" t="s">
        <v>820</v>
      </c>
    </row>
    <row r="516" spans="2:11" x14ac:dyDescent="0.25">
      <c r="B516" s="191"/>
      <c r="C516" s="191" t="s">
        <v>1802</v>
      </c>
      <c r="D516" s="192"/>
      <c r="E516" s="185" t="s">
        <v>1803</v>
      </c>
      <c r="F516" s="192" t="s">
        <v>789</v>
      </c>
      <c r="G516" s="192" t="s">
        <v>790</v>
      </c>
      <c r="H516" s="192" t="s">
        <v>790</v>
      </c>
      <c r="I516" t="s">
        <v>820</v>
      </c>
    </row>
    <row r="517" spans="2:11" x14ac:dyDescent="0.25">
      <c r="B517" s="191"/>
      <c r="C517" s="191"/>
      <c r="D517" s="192" t="s">
        <v>1804</v>
      </c>
      <c r="E517" t="s">
        <v>1805</v>
      </c>
      <c r="F517" s="192" t="s">
        <v>1771</v>
      </c>
      <c r="G517" s="192" t="s">
        <v>790</v>
      </c>
      <c r="H517" s="192" t="s">
        <v>790</v>
      </c>
      <c r="I517" t="s">
        <v>820</v>
      </c>
      <c r="J517" t="s">
        <v>865</v>
      </c>
      <c r="K517" t="s">
        <v>797</v>
      </c>
    </row>
    <row r="518" spans="2:11" x14ac:dyDescent="0.25">
      <c r="B518" s="191"/>
      <c r="C518" s="191" t="s">
        <v>1806</v>
      </c>
      <c r="D518" s="192"/>
      <c r="E518" s="185" t="s">
        <v>1807</v>
      </c>
      <c r="F518" s="192" t="s">
        <v>789</v>
      </c>
      <c r="G518" s="192" t="s">
        <v>790</v>
      </c>
      <c r="H518" s="192" t="s">
        <v>790</v>
      </c>
      <c r="I518" t="s">
        <v>820</v>
      </c>
    </row>
    <row r="519" spans="2:11" x14ac:dyDescent="0.25">
      <c r="B519" s="191"/>
      <c r="C519" s="191"/>
      <c r="D519" s="192" t="s">
        <v>1808</v>
      </c>
      <c r="E519" t="s">
        <v>1809</v>
      </c>
      <c r="F519" s="192" t="s">
        <v>1771</v>
      </c>
      <c r="G519" s="192" t="s">
        <v>790</v>
      </c>
      <c r="H519" s="192" t="s">
        <v>790</v>
      </c>
      <c r="I519" t="s">
        <v>820</v>
      </c>
      <c r="J519" t="s">
        <v>865</v>
      </c>
      <c r="K519" t="s">
        <v>797</v>
      </c>
    </row>
    <row r="520" spans="2:11" x14ac:dyDescent="0.25">
      <c r="B520" s="191"/>
      <c r="C520" s="191"/>
      <c r="D520" s="192" t="s">
        <v>1810</v>
      </c>
      <c r="E520" t="s">
        <v>1811</v>
      </c>
      <c r="F520" s="192" t="s">
        <v>1771</v>
      </c>
      <c r="G520" s="192" t="s">
        <v>790</v>
      </c>
      <c r="H520" s="192" t="s">
        <v>790</v>
      </c>
      <c r="I520" t="s">
        <v>820</v>
      </c>
      <c r="J520" t="s">
        <v>865</v>
      </c>
      <c r="K520" t="s">
        <v>797</v>
      </c>
    </row>
    <row r="521" spans="2:11" x14ac:dyDescent="0.25">
      <c r="B521" s="191"/>
      <c r="C521" s="191"/>
      <c r="D521" s="192" t="s">
        <v>1812</v>
      </c>
      <c r="E521" t="s">
        <v>1813</v>
      </c>
      <c r="F521" s="192" t="s">
        <v>1771</v>
      </c>
      <c r="G521" s="192" t="s">
        <v>790</v>
      </c>
      <c r="H521" s="192" t="s">
        <v>790</v>
      </c>
      <c r="I521" t="s">
        <v>820</v>
      </c>
      <c r="J521" t="s">
        <v>865</v>
      </c>
      <c r="K521" t="s">
        <v>797</v>
      </c>
    </row>
    <row r="522" spans="2:11" x14ac:dyDescent="0.25">
      <c r="B522" s="191"/>
      <c r="C522" s="191" t="s">
        <v>1814</v>
      </c>
      <c r="D522" s="192"/>
      <c r="E522" s="185" t="s">
        <v>1815</v>
      </c>
      <c r="F522" s="192" t="s">
        <v>789</v>
      </c>
      <c r="G522" s="192" t="s">
        <v>790</v>
      </c>
      <c r="H522" s="192" t="s">
        <v>790</v>
      </c>
      <c r="I522" t="s">
        <v>820</v>
      </c>
    </row>
    <row r="523" spans="2:11" x14ac:dyDescent="0.25">
      <c r="B523" s="191"/>
      <c r="C523" s="191"/>
      <c r="D523" s="192" t="s">
        <v>1816</v>
      </c>
      <c r="E523" t="s">
        <v>1817</v>
      </c>
      <c r="F523" s="192" t="s">
        <v>1771</v>
      </c>
      <c r="G523" s="192" t="s">
        <v>790</v>
      </c>
      <c r="H523" s="192" t="s">
        <v>790</v>
      </c>
      <c r="I523" t="s">
        <v>820</v>
      </c>
      <c r="J523" t="s">
        <v>865</v>
      </c>
      <c r="K523" t="s">
        <v>797</v>
      </c>
    </row>
    <row r="524" spans="2:11" x14ac:dyDescent="0.25">
      <c r="B524" s="191"/>
      <c r="C524" s="191"/>
      <c r="D524" s="192" t="s">
        <v>1818</v>
      </c>
      <c r="E524" t="s">
        <v>1819</v>
      </c>
      <c r="F524" s="192" t="s">
        <v>1771</v>
      </c>
      <c r="G524" s="192" t="s">
        <v>790</v>
      </c>
      <c r="H524" s="192" t="s">
        <v>790</v>
      </c>
      <c r="I524" t="s">
        <v>820</v>
      </c>
      <c r="J524" t="s">
        <v>865</v>
      </c>
      <c r="K524" t="s">
        <v>797</v>
      </c>
    </row>
    <row r="525" spans="2:11" x14ac:dyDescent="0.25">
      <c r="B525" s="191"/>
      <c r="C525" s="191" t="s">
        <v>1820</v>
      </c>
      <c r="D525" s="192"/>
      <c r="E525" s="185" t="s">
        <v>1821</v>
      </c>
      <c r="F525" s="192" t="s">
        <v>789</v>
      </c>
      <c r="G525" s="192" t="s">
        <v>790</v>
      </c>
      <c r="H525" s="192" t="s">
        <v>790</v>
      </c>
      <c r="I525" t="s">
        <v>820</v>
      </c>
    </row>
    <row r="526" spans="2:11" x14ac:dyDescent="0.25">
      <c r="B526" s="191"/>
      <c r="C526" s="191"/>
      <c r="D526" s="192" t="s">
        <v>1822</v>
      </c>
      <c r="E526" t="s">
        <v>1823</v>
      </c>
      <c r="F526" s="192" t="s">
        <v>1771</v>
      </c>
      <c r="G526" s="192" t="s">
        <v>790</v>
      </c>
      <c r="H526" s="192" t="s">
        <v>790</v>
      </c>
      <c r="I526" t="s">
        <v>820</v>
      </c>
      <c r="J526" t="s">
        <v>865</v>
      </c>
      <c r="K526" t="s">
        <v>797</v>
      </c>
    </row>
    <row r="527" spans="2:11" x14ac:dyDescent="0.25">
      <c r="B527" s="191"/>
      <c r="C527" s="191"/>
      <c r="D527" s="192" t="s">
        <v>1824</v>
      </c>
      <c r="E527" t="s">
        <v>1825</v>
      </c>
      <c r="F527" s="192" t="s">
        <v>1771</v>
      </c>
      <c r="G527" s="192" t="s">
        <v>790</v>
      </c>
      <c r="H527" s="192" t="s">
        <v>790</v>
      </c>
      <c r="I527" t="s">
        <v>820</v>
      </c>
      <c r="J527" t="s">
        <v>865</v>
      </c>
      <c r="K527" t="s">
        <v>797</v>
      </c>
    </row>
    <row r="528" spans="2:11" x14ac:dyDescent="0.25">
      <c r="B528" s="191"/>
      <c r="C528" s="191"/>
      <c r="D528" s="192" t="s">
        <v>1826</v>
      </c>
      <c r="E528" t="s">
        <v>1827</v>
      </c>
      <c r="F528" s="192" t="s">
        <v>1771</v>
      </c>
      <c r="G528" s="192" t="s">
        <v>790</v>
      </c>
      <c r="H528" s="192" t="s">
        <v>790</v>
      </c>
      <c r="I528" t="s">
        <v>820</v>
      </c>
      <c r="J528" t="s">
        <v>865</v>
      </c>
      <c r="K528" t="s">
        <v>797</v>
      </c>
    </row>
    <row r="529" spans="2:11" x14ac:dyDescent="0.25">
      <c r="B529" s="191"/>
      <c r="C529" s="191"/>
      <c r="D529" s="192" t="s">
        <v>1828</v>
      </c>
      <c r="E529" t="s">
        <v>1829</v>
      </c>
      <c r="F529" s="192" t="s">
        <v>1771</v>
      </c>
      <c r="G529" s="192" t="s">
        <v>790</v>
      </c>
      <c r="H529" s="192" t="s">
        <v>790</v>
      </c>
      <c r="I529" t="s">
        <v>820</v>
      </c>
      <c r="J529" t="s">
        <v>865</v>
      </c>
      <c r="K529" t="s">
        <v>797</v>
      </c>
    </row>
    <row r="530" spans="2:11" x14ac:dyDescent="0.25">
      <c r="B530" s="191" t="s">
        <v>1830</v>
      </c>
      <c r="C530" s="191"/>
      <c r="D530" s="192"/>
      <c r="E530" s="185" t="s">
        <v>1831</v>
      </c>
      <c r="F530" s="192" t="s">
        <v>789</v>
      </c>
      <c r="G530" s="192" t="s">
        <v>790</v>
      </c>
      <c r="H530" s="192" t="s">
        <v>790</v>
      </c>
      <c r="I530" t="s">
        <v>820</v>
      </c>
    </row>
    <row r="531" spans="2:11" x14ac:dyDescent="0.25">
      <c r="B531" s="191"/>
      <c r="C531" s="191" t="s">
        <v>1832</v>
      </c>
      <c r="D531" s="192"/>
      <c r="E531" s="185" t="s">
        <v>1833</v>
      </c>
      <c r="F531" s="192" t="s">
        <v>789</v>
      </c>
      <c r="G531" s="192" t="s">
        <v>790</v>
      </c>
      <c r="H531" s="192" t="s">
        <v>790</v>
      </c>
      <c r="I531" t="s">
        <v>820</v>
      </c>
    </row>
    <row r="532" spans="2:11" x14ac:dyDescent="0.25">
      <c r="B532" s="191"/>
      <c r="C532" s="191" t="s">
        <v>1834</v>
      </c>
      <c r="D532" s="192"/>
      <c r="E532" s="185" t="s">
        <v>1835</v>
      </c>
      <c r="F532" s="192" t="s">
        <v>789</v>
      </c>
      <c r="G532" s="192" t="s">
        <v>790</v>
      </c>
      <c r="H532" s="192" t="s">
        <v>790</v>
      </c>
      <c r="I532" t="s">
        <v>820</v>
      </c>
    </row>
    <row r="533" spans="2:11" x14ac:dyDescent="0.25">
      <c r="B533" s="191"/>
      <c r="C533" s="191"/>
      <c r="D533" s="192" t="s">
        <v>1836</v>
      </c>
      <c r="E533" t="s">
        <v>1837</v>
      </c>
      <c r="F533" s="192" t="s">
        <v>1838</v>
      </c>
      <c r="G533" s="192" t="s">
        <v>790</v>
      </c>
      <c r="H533" s="192" t="s">
        <v>790</v>
      </c>
      <c r="I533" t="s">
        <v>820</v>
      </c>
      <c r="J533" t="s">
        <v>865</v>
      </c>
      <c r="K533" t="s">
        <v>797</v>
      </c>
    </row>
    <row r="534" spans="2:11" x14ac:dyDescent="0.25">
      <c r="B534" s="191"/>
      <c r="C534" s="191"/>
      <c r="D534" s="192" t="s">
        <v>1839</v>
      </c>
      <c r="E534" t="s">
        <v>1840</v>
      </c>
      <c r="F534" s="192" t="s">
        <v>1838</v>
      </c>
      <c r="G534" s="192" t="s">
        <v>790</v>
      </c>
      <c r="H534" s="192" t="s">
        <v>790</v>
      </c>
      <c r="I534" t="s">
        <v>820</v>
      </c>
      <c r="J534" t="s">
        <v>865</v>
      </c>
      <c r="K534" t="s">
        <v>797</v>
      </c>
    </row>
    <row r="535" spans="2:11" x14ac:dyDescent="0.25">
      <c r="B535" s="191"/>
      <c r="C535" s="191" t="s">
        <v>1841</v>
      </c>
      <c r="D535" s="192"/>
      <c r="E535" s="185" t="s">
        <v>1842</v>
      </c>
      <c r="F535" s="192" t="s">
        <v>789</v>
      </c>
      <c r="G535" s="192" t="s">
        <v>790</v>
      </c>
      <c r="H535" s="192" t="s">
        <v>790</v>
      </c>
      <c r="I535" t="s">
        <v>820</v>
      </c>
    </row>
    <row r="536" spans="2:11" x14ac:dyDescent="0.25">
      <c r="B536" s="191"/>
      <c r="C536" s="191"/>
      <c r="D536" s="192" t="s">
        <v>1843</v>
      </c>
      <c r="E536" t="s">
        <v>1844</v>
      </c>
      <c r="F536" s="192" t="s">
        <v>1838</v>
      </c>
      <c r="G536" s="192" t="s">
        <v>790</v>
      </c>
      <c r="H536" s="192" t="s">
        <v>790</v>
      </c>
      <c r="I536" t="s">
        <v>820</v>
      </c>
      <c r="J536" t="s">
        <v>865</v>
      </c>
      <c r="K536" t="s">
        <v>797</v>
      </c>
    </row>
    <row r="537" spans="2:11" x14ac:dyDescent="0.25">
      <c r="B537" s="191"/>
      <c r="C537" s="191" t="s">
        <v>1845</v>
      </c>
      <c r="D537" s="192"/>
      <c r="E537" s="185" t="s">
        <v>1846</v>
      </c>
      <c r="F537" s="192" t="s">
        <v>789</v>
      </c>
      <c r="G537" s="192" t="s">
        <v>790</v>
      </c>
      <c r="H537" s="192" t="s">
        <v>790</v>
      </c>
      <c r="I537" t="s">
        <v>820</v>
      </c>
    </row>
    <row r="538" spans="2:11" x14ac:dyDescent="0.25">
      <c r="B538" s="191"/>
      <c r="C538" s="191"/>
      <c r="D538" s="192" t="s">
        <v>1847</v>
      </c>
      <c r="E538" t="s">
        <v>1848</v>
      </c>
      <c r="F538" s="192" t="s">
        <v>1838</v>
      </c>
      <c r="G538" s="192" t="s">
        <v>790</v>
      </c>
      <c r="H538" s="192" t="s">
        <v>790</v>
      </c>
      <c r="I538" t="s">
        <v>820</v>
      </c>
      <c r="J538" t="s">
        <v>865</v>
      </c>
      <c r="K538" t="s">
        <v>797</v>
      </c>
    </row>
    <row r="539" spans="2:11" x14ac:dyDescent="0.25">
      <c r="B539" s="191"/>
      <c r="C539" s="191"/>
      <c r="D539" s="192" t="s">
        <v>1849</v>
      </c>
      <c r="E539" t="s">
        <v>1850</v>
      </c>
      <c r="F539" s="192" t="s">
        <v>1838</v>
      </c>
      <c r="G539" s="192" t="s">
        <v>790</v>
      </c>
      <c r="H539" s="192" t="s">
        <v>790</v>
      </c>
      <c r="I539" t="s">
        <v>820</v>
      </c>
      <c r="J539" t="s">
        <v>865</v>
      </c>
      <c r="K539" t="s">
        <v>797</v>
      </c>
    </row>
    <row r="540" spans="2:11" x14ac:dyDescent="0.25">
      <c r="B540" s="191"/>
      <c r="C540" s="191"/>
      <c r="D540" s="192" t="s">
        <v>1851</v>
      </c>
      <c r="E540" t="s">
        <v>1852</v>
      </c>
      <c r="F540" s="192" t="s">
        <v>1838</v>
      </c>
      <c r="G540" s="192" t="s">
        <v>790</v>
      </c>
      <c r="H540" s="192" t="s">
        <v>790</v>
      </c>
      <c r="I540" t="s">
        <v>820</v>
      </c>
      <c r="J540" t="s">
        <v>865</v>
      </c>
      <c r="K540" t="s">
        <v>797</v>
      </c>
    </row>
    <row r="541" spans="2:11" x14ac:dyDescent="0.25">
      <c r="B541" s="191"/>
      <c r="C541" s="191" t="s">
        <v>1853</v>
      </c>
      <c r="D541" s="192"/>
      <c r="E541" s="185" t="s">
        <v>1854</v>
      </c>
      <c r="F541" s="192" t="s">
        <v>789</v>
      </c>
      <c r="G541" s="192" t="s">
        <v>790</v>
      </c>
      <c r="H541" s="192" t="s">
        <v>790</v>
      </c>
      <c r="I541" t="s">
        <v>820</v>
      </c>
    </row>
    <row r="542" spans="2:11" x14ac:dyDescent="0.25">
      <c r="B542" s="191"/>
      <c r="C542" s="191"/>
      <c r="D542" s="192" t="s">
        <v>1855</v>
      </c>
      <c r="E542" t="s">
        <v>1856</v>
      </c>
      <c r="F542" s="192" t="s">
        <v>1838</v>
      </c>
      <c r="G542" s="192" t="s">
        <v>790</v>
      </c>
      <c r="H542" s="192" t="s">
        <v>790</v>
      </c>
      <c r="I542" t="s">
        <v>820</v>
      </c>
      <c r="J542" t="s">
        <v>865</v>
      </c>
      <c r="K542" t="s">
        <v>797</v>
      </c>
    </row>
    <row r="543" spans="2:11" x14ac:dyDescent="0.25">
      <c r="B543" s="191"/>
      <c r="C543" s="191"/>
      <c r="D543" s="192" t="s">
        <v>1857</v>
      </c>
      <c r="E543" t="s">
        <v>1858</v>
      </c>
      <c r="F543" s="192" t="s">
        <v>1838</v>
      </c>
      <c r="G543" s="192" t="s">
        <v>790</v>
      </c>
      <c r="H543" s="192" t="s">
        <v>790</v>
      </c>
      <c r="I543" t="s">
        <v>820</v>
      </c>
      <c r="J543" t="s">
        <v>865</v>
      </c>
      <c r="K543" t="s">
        <v>797</v>
      </c>
    </row>
    <row r="544" spans="2:11" x14ac:dyDescent="0.25">
      <c r="B544" s="191"/>
      <c r="C544" s="191"/>
      <c r="D544" s="192" t="s">
        <v>1859</v>
      </c>
      <c r="E544" t="s">
        <v>1860</v>
      </c>
      <c r="F544" s="192" t="s">
        <v>1838</v>
      </c>
      <c r="G544" s="192" t="s">
        <v>790</v>
      </c>
      <c r="H544" s="192" t="s">
        <v>790</v>
      </c>
      <c r="I544" t="s">
        <v>820</v>
      </c>
      <c r="J544" t="s">
        <v>865</v>
      </c>
      <c r="K544" t="s">
        <v>797</v>
      </c>
    </row>
    <row r="545" spans="2:11" x14ac:dyDescent="0.25">
      <c r="B545" s="191"/>
      <c r="C545" s="191" t="s">
        <v>1861</v>
      </c>
      <c r="D545" s="192"/>
      <c r="E545" s="185" t="s">
        <v>1862</v>
      </c>
      <c r="F545" s="192" t="s">
        <v>789</v>
      </c>
      <c r="G545" s="192" t="s">
        <v>790</v>
      </c>
      <c r="H545" s="192" t="s">
        <v>790</v>
      </c>
      <c r="I545" t="s">
        <v>820</v>
      </c>
    </row>
    <row r="546" spans="2:11" x14ac:dyDescent="0.25">
      <c r="B546" s="191"/>
      <c r="C546" s="191"/>
      <c r="D546" s="192" t="s">
        <v>1863</v>
      </c>
      <c r="E546" t="s">
        <v>1864</v>
      </c>
      <c r="F546" s="192" t="s">
        <v>1838</v>
      </c>
      <c r="G546" s="192" t="s">
        <v>790</v>
      </c>
      <c r="H546" s="192" t="s">
        <v>790</v>
      </c>
      <c r="I546" t="s">
        <v>820</v>
      </c>
      <c r="J546" t="s">
        <v>865</v>
      </c>
      <c r="K546" t="s">
        <v>797</v>
      </c>
    </row>
    <row r="547" spans="2:11" x14ac:dyDescent="0.25">
      <c r="B547" s="191"/>
      <c r="C547" s="191"/>
      <c r="D547" s="192" t="s">
        <v>1865</v>
      </c>
      <c r="E547" t="s">
        <v>1866</v>
      </c>
      <c r="F547" s="192" t="s">
        <v>1838</v>
      </c>
      <c r="G547" s="192" t="s">
        <v>790</v>
      </c>
      <c r="H547" s="192" t="s">
        <v>790</v>
      </c>
      <c r="I547" t="s">
        <v>820</v>
      </c>
      <c r="J547" t="s">
        <v>865</v>
      </c>
      <c r="K547" t="s">
        <v>797</v>
      </c>
    </row>
    <row r="548" spans="2:11" x14ac:dyDescent="0.25">
      <c r="B548" s="191"/>
      <c r="C548" s="191"/>
      <c r="D548" s="192" t="s">
        <v>1867</v>
      </c>
      <c r="E548" t="s">
        <v>1868</v>
      </c>
      <c r="F548" s="192" t="s">
        <v>1838</v>
      </c>
      <c r="G548" s="192" t="s">
        <v>790</v>
      </c>
      <c r="H548" s="192" t="s">
        <v>790</v>
      </c>
      <c r="I548" t="s">
        <v>820</v>
      </c>
      <c r="J548" t="s">
        <v>865</v>
      </c>
      <c r="K548" t="s">
        <v>797</v>
      </c>
    </row>
    <row r="549" spans="2:11" x14ac:dyDescent="0.25">
      <c r="B549" s="191"/>
      <c r="C549" s="191" t="s">
        <v>1869</v>
      </c>
      <c r="D549" s="192"/>
      <c r="E549" s="185" t="s">
        <v>1870</v>
      </c>
      <c r="F549" s="192" t="s">
        <v>789</v>
      </c>
      <c r="G549" s="192" t="s">
        <v>790</v>
      </c>
      <c r="H549" s="192" t="s">
        <v>790</v>
      </c>
      <c r="I549" t="s">
        <v>820</v>
      </c>
    </row>
    <row r="550" spans="2:11" x14ac:dyDescent="0.25">
      <c r="B550" s="191"/>
      <c r="C550" s="191"/>
      <c r="D550" s="192" t="s">
        <v>1871</v>
      </c>
      <c r="E550" t="s">
        <v>1872</v>
      </c>
      <c r="F550" s="192" t="s">
        <v>1838</v>
      </c>
      <c r="G550" s="192" t="s">
        <v>790</v>
      </c>
      <c r="H550" s="192" t="s">
        <v>790</v>
      </c>
      <c r="I550" t="s">
        <v>820</v>
      </c>
      <c r="J550" t="s">
        <v>865</v>
      </c>
      <c r="K550" t="s">
        <v>797</v>
      </c>
    </row>
    <row r="551" spans="2:11" x14ac:dyDescent="0.25">
      <c r="B551" s="191"/>
      <c r="C551" s="191"/>
      <c r="D551" s="192" t="s">
        <v>1873</v>
      </c>
      <c r="E551" t="s">
        <v>1874</v>
      </c>
      <c r="F551" s="192" t="s">
        <v>1838</v>
      </c>
      <c r="G551" s="192" t="s">
        <v>790</v>
      </c>
      <c r="H551" s="192" t="s">
        <v>790</v>
      </c>
      <c r="I551" t="s">
        <v>820</v>
      </c>
      <c r="J551" t="s">
        <v>865</v>
      </c>
      <c r="K551" t="s">
        <v>797</v>
      </c>
    </row>
    <row r="552" spans="2:11" x14ac:dyDescent="0.25">
      <c r="B552" s="191"/>
      <c r="C552" s="191"/>
      <c r="D552" s="192" t="s">
        <v>1875</v>
      </c>
      <c r="E552" t="s">
        <v>1876</v>
      </c>
      <c r="F552" s="192" t="s">
        <v>1838</v>
      </c>
      <c r="G552" s="192" t="s">
        <v>790</v>
      </c>
      <c r="H552" s="192" t="s">
        <v>790</v>
      </c>
      <c r="I552" t="s">
        <v>820</v>
      </c>
      <c r="J552" t="s">
        <v>865</v>
      </c>
      <c r="K552" t="s">
        <v>797</v>
      </c>
    </row>
    <row r="553" spans="2:11" x14ac:dyDescent="0.25">
      <c r="B553" s="191"/>
      <c r="C553" s="191" t="s">
        <v>1877</v>
      </c>
      <c r="D553" s="192"/>
      <c r="E553" s="185" t="s">
        <v>1878</v>
      </c>
      <c r="F553" s="192" t="s">
        <v>789</v>
      </c>
      <c r="G553" s="192" t="s">
        <v>790</v>
      </c>
      <c r="H553" s="192" t="s">
        <v>790</v>
      </c>
      <c r="I553" t="s">
        <v>820</v>
      </c>
    </row>
    <row r="554" spans="2:11" x14ac:dyDescent="0.25">
      <c r="B554" s="191"/>
      <c r="C554" s="191" t="s">
        <v>1879</v>
      </c>
      <c r="D554" s="192"/>
      <c r="E554" s="185" t="s">
        <v>1880</v>
      </c>
      <c r="F554" s="192" t="s">
        <v>789</v>
      </c>
      <c r="G554" s="192" t="s">
        <v>790</v>
      </c>
      <c r="H554" s="192" t="s">
        <v>790</v>
      </c>
      <c r="I554" t="s">
        <v>820</v>
      </c>
    </row>
    <row r="555" spans="2:11" x14ac:dyDescent="0.25">
      <c r="B555" s="191"/>
      <c r="C555" s="191"/>
      <c r="D555" s="192" t="s">
        <v>1881</v>
      </c>
      <c r="E555" t="s">
        <v>1882</v>
      </c>
      <c r="F555" s="192" t="s">
        <v>1838</v>
      </c>
      <c r="G555" s="192" t="s">
        <v>790</v>
      </c>
      <c r="H555" s="192" t="s">
        <v>790</v>
      </c>
      <c r="I555" t="s">
        <v>820</v>
      </c>
      <c r="J555" t="s">
        <v>865</v>
      </c>
      <c r="K555" t="s">
        <v>797</v>
      </c>
    </row>
    <row r="556" spans="2:11" x14ac:dyDescent="0.25">
      <c r="B556" s="191"/>
      <c r="C556" s="191"/>
      <c r="D556" s="192" t="s">
        <v>1883</v>
      </c>
      <c r="E556" t="s">
        <v>1884</v>
      </c>
      <c r="F556" s="192" t="s">
        <v>1838</v>
      </c>
      <c r="G556" s="192" t="s">
        <v>790</v>
      </c>
      <c r="H556" s="192" t="s">
        <v>790</v>
      </c>
      <c r="I556" t="s">
        <v>820</v>
      </c>
      <c r="J556" t="s">
        <v>865</v>
      </c>
      <c r="K556" t="s">
        <v>797</v>
      </c>
    </row>
    <row r="557" spans="2:11" x14ac:dyDescent="0.25">
      <c r="B557" s="191"/>
      <c r="C557" s="191" t="s">
        <v>1885</v>
      </c>
      <c r="D557" s="192"/>
      <c r="E557" s="185" t="s">
        <v>1886</v>
      </c>
      <c r="F557" s="192" t="s">
        <v>789</v>
      </c>
      <c r="G557" s="192" t="s">
        <v>790</v>
      </c>
      <c r="H557" s="192" t="s">
        <v>790</v>
      </c>
      <c r="I557" t="s">
        <v>820</v>
      </c>
    </row>
    <row r="558" spans="2:11" x14ac:dyDescent="0.25">
      <c r="B558" s="191"/>
      <c r="C558" s="191"/>
      <c r="D558" s="192" t="s">
        <v>1887</v>
      </c>
      <c r="E558" t="s">
        <v>1888</v>
      </c>
      <c r="F558" s="192" t="s">
        <v>1838</v>
      </c>
      <c r="G558" s="192" t="s">
        <v>790</v>
      </c>
      <c r="H558" s="192" t="s">
        <v>790</v>
      </c>
      <c r="I558" t="s">
        <v>820</v>
      </c>
      <c r="J558" t="s">
        <v>865</v>
      </c>
      <c r="K558" t="s">
        <v>797</v>
      </c>
    </row>
    <row r="559" spans="2:11" x14ac:dyDescent="0.25">
      <c r="B559" s="191"/>
      <c r="C559" s="191"/>
      <c r="D559" s="192" t="s">
        <v>1889</v>
      </c>
      <c r="E559" t="s">
        <v>1890</v>
      </c>
      <c r="F559" s="192" t="s">
        <v>1838</v>
      </c>
      <c r="G559" s="192" t="s">
        <v>790</v>
      </c>
      <c r="H559" s="192" t="s">
        <v>790</v>
      </c>
      <c r="I559" t="s">
        <v>820</v>
      </c>
      <c r="J559" t="s">
        <v>865</v>
      </c>
      <c r="K559" t="s">
        <v>797</v>
      </c>
    </row>
    <row r="560" spans="2:11" x14ac:dyDescent="0.25">
      <c r="B560" s="191"/>
      <c r="C560" s="191" t="s">
        <v>1891</v>
      </c>
      <c r="D560" s="192"/>
      <c r="E560" s="185" t="s">
        <v>1892</v>
      </c>
      <c r="F560" s="192" t="s">
        <v>789</v>
      </c>
      <c r="G560" s="192" t="s">
        <v>790</v>
      </c>
      <c r="H560" s="192" t="s">
        <v>790</v>
      </c>
      <c r="I560" t="s">
        <v>820</v>
      </c>
    </row>
    <row r="561" spans="2:11" x14ac:dyDescent="0.25">
      <c r="B561" s="191"/>
      <c r="C561" s="191" t="s">
        <v>1893</v>
      </c>
      <c r="D561" s="192"/>
      <c r="E561" s="185" t="s">
        <v>1894</v>
      </c>
      <c r="F561" s="192" t="s">
        <v>789</v>
      </c>
      <c r="G561" s="192" t="s">
        <v>790</v>
      </c>
      <c r="H561" s="192" t="s">
        <v>790</v>
      </c>
      <c r="I561" t="s">
        <v>820</v>
      </c>
    </row>
    <row r="562" spans="2:11" x14ac:dyDescent="0.25">
      <c r="B562" s="191"/>
      <c r="C562" s="191"/>
      <c r="D562" s="192" t="s">
        <v>1895</v>
      </c>
      <c r="E562" t="s">
        <v>1896</v>
      </c>
      <c r="F562" s="192" t="s">
        <v>1838</v>
      </c>
      <c r="G562" s="192" t="s">
        <v>790</v>
      </c>
      <c r="H562" s="192" t="s">
        <v>790</v>
      </c>
      <c r="I562" t="s">
        <v>820</v>
      </c>
      <c r="J562" t="s">
        <v>865</v>
      </c>
      <c r="K562" t="s">
        <v>797</v>
      </c>
    </row>
    <row r="563" spans="2:11" x14ac:dyDescent="0.25">
      <c r="B563" s="191"/>
      <c r="C563" s="191"/>
      <c r="D563" s="192" t="s">
        <v>1897</v>
      </c>
      <c r="E563" t="s">
        <v>1898</v>
      </c>
      <c r="F563" s="192" t="s">
        <v>1838</v>
      </c>
      <c r="G563" s="192" t="s">
        <v>790</v>
      </c>
      <c r="H563" s="192" t="s">
        <v>790</v>
      </c>
      <c r="I563" t="s">
        <v>820</v>
      </c>
      <c r="J563" t="s">
        <v>865</v>
      </c>
      <c r="K563" t="s">
        <v>797</v>
      </c>
    </row>
    <row r="564" spans="2:11" x14ac:dyDescent="0.25">
      <c r="B564" s="191"/>
      <c r="C564" s="191"/>
      <c r="D564" s="192" t="s">
        <v>1899</v>
      </c>
      <c r="E564" t="s">
        <v>1900</v>
      </c>
      <c r="F564" s="192" t="s">
        <v>1838</v>
      </c>
      <c r="G564" s="192" t="s">
        <v>790</v>
      </c>
      <c r="H564" s="192" t="s">
        <v>790</v>
      </c>
      <c r="I564" t="s">
        <v>820</v>
      </c>
      <c r="J564" t="s">
        <v>865</v>
      </c>
      <c r="K564" t="s">
        <v>797</v>
      </c>
    </row>
    <row r="565" spans="2:11" x14ac:dyDescent="0.25">
      <c r="B565" s="191"/>
      <c r="C565" s="191" t="s">
        <v>1901</v>
      </c>
      <c r="D565" s="192"/>
      <c r="E565" s="185" t="s">
        <v>1902</v>
      </c>
      <c r="F565" s="192" t="s">
        <v>789</v>
      </c>
      <c r="G565" s="192" t="s">
        <v>790</v>
      </c>
      <c r="H565" s="192" t="s">
        <v>790</v>
      </c>
      <c r="I565" t="s">
        <v>820</v>
      </c>
    </row>
    <row r="566" spans="2:11" x14ac:dyDescent="0.25">
      <c r="B566" s="191"/>
      <c r="C566" s="191"/>
      <c r="D566" s="192" t="s">
        <v>1903</v>
      </c>
      <c r="E566" t="s">
        <v>1904</v>
      </c>
      <c r="F566" s="192" t="s">
        <v>1838</v>
      </c>
      <c r="G566" s="192" t="s">
        <v>790</v>
      </c>
      <c r="H566" s="192" t="s">
        <v>790</v>
      </c>
      <c r="I566" t="s">
        <v>820</v>
      </c>
      <c r="J566" t="s">
        <v>865</v>
      </c>
      <c r="K566" t="s">
        <v>797</v>
      </c>
    </row>
    <row r="567" spans="2:11" x14ac:dyDescent="0.25">
      <c r="B567" s="191"/>
      <c r="C567" s="191"/>
      <c r="D567" s="192" t="s">
        <v>1905</v>
      </c>
      <c r="E567" t="s">
        <v>1906</v>
      </c>
      <c r="F567" s="192" t="s">
        <v>1838</v>
      </c>
      <c r="G567" s="192" t="s">
        <v>790</v>
      </c>
      <c r="H567" s="192" t="s">
        <v>790</v>
      </c>
      <c r="I567" t="s">
        <v>820</v>
      </c>
      <c r="J567" t="s">
        <v>865</v>
      </c>
      <c r="K567" t="s">
        <v>797</v>
      </c>
    </row>
    <row r="568" spans="2:11" x14ac:dyDescent="0.25">
      <c r="B568" s="191"/>
      <c r="C568" s="191"/>
      <c r="D568" s="192" t="s">
        <v>1907</v>
      </c>
      <c r="E568" t="s">
        <v>1908</v>
      </c>
      <c r="F568" s="192" t="s">
        <v>1838</v>
      </c>
      <c r="G568" s="192" t="s">
        <v>790</v>
      </c>
      <c r="H568" s="192" t="s">
        <v>790</v>
      </c>
      <c r="I568" t="s">
        <v>820</v>
      </c>
      <c r="J568" t="s">
        <v>865</v>
      </c>
      <c r="K568" t="s">
        <v>797</v>
      </c>
    </row>
    <row r="569" spans="2:11" x14ac:dyDescent="0.25">
      <c r="B569" s="191"/>
      <c r="C569" s="191" t="s">
        <v>1909</v>
      </c>
      <c r="D569" s="192"/>
      <c r="E569" s="185" t="s">
        <v>1910</v>
      </c>
      <c r="F569" s="192" t="s">
        <v>789</v>
      </c>
      <c r="G569" s="192" t="s">
        <v>790</v>
      </c>
      <c r="H569" s="192" t="s">
        <v>790</v>
      </c>
      <c r="I569" t="s">
        <v>820</v>
      </c>
    </row>
    <row r="570" spans="2:11" x14ac:dyDescent="0.25">
      <c r="B570" s="191"/>
      <c r="C570" s="191" t="s">
        <v>1911</v>
      </c>
      <c r="D570" s="192"/>
      <c r="E570" s="185" t="s">
        <v>1912</v>
      </c>
      <c r="F570" s="192" t="s">
        <v>789</v>
      </c>
      <c r="G570" s="192" t="s">
        <v>790</v>
      </c>
      <c r="H570" s="192" t="s">
        <v>790</v>
      </c>
      <c r="I570" t="s">
        <v>820</v>
      </c>
    </row>
    <row r="571" spans="2:11" x14ac:dyDescent="0.25">
      <c r="B571" s="191"/>
      <c r="C571" s="191"/>
      <c r="D571" s="192" t="s">
        <v>1913</v>
      </c>
      <c r="E571" t="s">
        <v>1914</v>
      </c>
      <c r="F571" s="192" t="s">
        <v>1838</v>
      </c>
      <c r="G571" s="192" t="s">
        <v>790</v>
      </c>
      <c r="H571" s="192" t="s">
        <v>790</v>
      </c>
      <c r="I571" t="s">
        <v>820</v>
      </c>
      <c r="J571" t="s">
        <v>865</v>
      </c>
      <c r="K571" t="s">
        <v>797</v>
      </c>
    </row>
    <row r="572" spans="2:11" x14ac:dyDescent="0.25">
      <c r="B572" s="191"/>
      <c r="C572" s="191"/>
      <c r="D572" s="192" t="s">
        <v>1915</v>
      </c>
      <c r="E572" t="s">
        <v>1916</v>
      </c>
      <c r="F572" s="192" t="s">
        <v>1838</v>
      </c>
      <c r="G572" s="192" t="s">
        <v>790</v>
      </c>
      <c r="H572" s="192" t="s">
        <v>790</v>
      </c>
      <c r="I572" t="s">
        <v>820</v>
      </c>
      <c r="J572" t="s">
        <v>865</v>
      </c>
      <c r="K572" t="s">
        <v>797</v>
      </c>
    </row>
    <row r="573" spans="2:11" x14ac:dyDescent="0.25">
      <c r="B573" s="191"/>
      <c r="C573" s="191" t="s">
        <v>1917</v>
      </c>
      <c r="D573" s="192"/>
      <c r="E573" s="185" t="s">
        <v>1918</v>
      </c>
      <c r="F573" s="192" t="s">
        <v>789</v>
      </c>
      <c r="G573" s="192" t="s">
        <v>790</v>
      </c>
      <c r="H573" s="192" t="s">
        <v>790</v>
      </c>
      <c r="I573" t="s">
        <v>820</v>
      </c>
    </row>
    <row r="574" spans="2:11" x14ac:dyDescent="0.25">
      <c r="B574" s="191"/>
      <c r="C574" s="191"/>
      <c r="D574" s="192" t="s">
        <v>1919</v>
      </c>
      <c r="E574" t="s">
        <v>1920</v>
      </c>
      <c r="F574" s="192" t="s">
        <v>1838</v>
      </c>
      <c r="G574" s="192" t="s">
        <v>790</v>
      </c>
      <c r="H574" s="192" t="s">
        <v>790</v>
      </c>
      <c r="I574" t="s">
        <v>820</v>
      </c>
      <c r="J574" t="s">
        <v>865</v>
      </c>
      <c r="K574" t="s">
        <v>797</v>
      </c>
    </row>
    <row r="575" spans="2:11" x14ac:dyDescent="0.25">
      <c r="B575" s="191"/>
      <c r="C575" s="191"/>
      <c r="D575" s="192" t="s">
        <v>1921</v>
      </c>
      <c r="E575" t="s">
        <v>1922</v>
      </c>
      <c r="F575" s="192" t="s">
        <v>1838</v>
      </c>
      <c r="G575" s="192" t="s">
        <v>790</v>
      </c>
      <c r="H575" s="192" t="s">
        <v>790</v>
      </c>
      <c r="I575" t="s">
        <v>820</v>
      </c>
      <c r="J575" t="s">
        <v>865</v>
      </c>
      <c r="K575" t="s">
        <v>797</v>
      </c>
    </row>
    <row r="576" spans="2:11" x14ac:dyDescent="0.25">
      <c r="B576" s="191" t="s">
        <v>1923</v>
      </c>
      <c r="C576" s="191"/>
      <c r="D576" s="192"/>
      <c r="E576" s="185" t="s">
        <v>1924</v>
      </c>
      <c r="F576" s="192" t="s">
        <v>789</v>
      </c>
      <c r="G576" s="192" t="s">
        <v>790</v>
      </c>
      <c r="H576" s="192" t="s">
        <v>790</v>
      </c>
      <c r="I576" t="s">
        <v>820</v>
      </c>
      <c r="J576" t="s">
        <v>865</v>
      </c>
    </row>
    <row r="577" spans="2:11" x14ac:dyDescent="0.25">
      <c r="B577" s="191"/>
      <c r="C577" s="191" t="s">
        <v>1925</v>
      </c>
      <c r="D577" s="192"/>
      <c r="E577" s="185" t="s">
        <v>1926</v>
      </c>
      <c r="F577" s="192" t="s">
        <v>789</v>
      </c>
      <c r="G577" s="192" t="s">
        <v>790</v>
      </c>
      <c r="H577" s="192" t="s">
        <v>790</v>
      </c>
      <c r="I577" t="s">
        <v>820</v>
      </c>
    </row>
    <row r="578" spans="2:11" x14ac:dyDescent="0.25">
      <c r="B578" s="191"/>
      <c r="C578" s="191" t="s">
        <v>1927</v>
      </c>
      <c r="D578" s="192"/>
      <c r="E578" s="185" t="s">
        <v>1928</v>
      </c>
      <c r="F578" s="192" t="s">
        <v>789</v>
      </c>
      <c r="G578" s="192" t="s">
        <v>790</v>
      </c>
      <c r="H578" s="192" t="s">
        <v>790</v>
      </c>
      <c r="I578" t="s">
        <v>820</v>
      </c>
    </row>
    <row r="579" spans="2:11" x14ac:dyDescent="0.25">
      <c r="B579" s="191"/>
      <c r="C579" s="191"/>
      <c r="D579" s="192" t="s">
        <v>1929</v>
      </c>
      <c r="E579" t="s">
        <v>1930</v>
      </c>
      <c r="F579" s="192" t="s">
        <v>1931</v>
      </c>
      <c r="G579" s="192" t="s">
        <v>790</v>
      </c>
      <c r="H579" s="192" t="s">
        <v>790</v>
      </c>
      <c r="I579" t="s">
        <v>820</v>
      </c>
      <c r="J579" t="s">
        <v>865</v>
      </c>
      <c r="K579" t="s">
        <v>797</v>
      </c>
    </row>
    <row r="580" spans="2:11" x14ac:dyDescent="0.25">
      <c r="B580" s="191"/>
      <c r="C580" s="191"/>
      <c r="D580" s="192" t="s">
        <v>1932</v>
      </c>
      <c r="E580" t="s">
        <v>1933</v>
      </c>
      <c r="F580" s="192" t="s">
        <v>1931</v>
      </c>
      <c r="G580" s="192" t="s">
        <v>790</v>
      </c>
      <c r="H580" s="192" t="s">
        <v>790</v>
      </c>
      <c r="I580" t="s">
        <v>820</v>
      </c>
      <c r="J580" t="s">
        <v>865</v>
      </c>
      <c r="K580" t="s">
        <v>797</v>
      </c>
    </row>
    <row r="581" spans="2:11" x14ac:dyDescent="0.25">
      <c r="B581" s="191"/>
      <c r="C581" s="191"/>
      <c r="D581" s="192" t="s">
        <v>1934</v>
      </c>
      <c r="E581" t="s">
        <v>1935</v>
      </c>
      <c r="F581" s="192" t="s">
        <v>1931</v>
      </c>
      <c r="G581" s="192" t="s">
        <v>790</v>
      </c>
      <c r="H581" s="192" t="s">
        <v>790</v>
      </c>
      <c r="I581" t="s">
        <v>820</v>
      </c>
      <c r="J581" t="s">
        <v>865</v>
      </c>
      <c r="K581" t="s">
        <v>797</v>
      </c>
    </row>
    <row r="582" spans="2:11" x14ac:dyDescent="0.25">
      <c r="B582" s="191"/>
      <c r="C582" s="191" t="s">
        <v>1936</v>
      </c>
      <c r="D582" s="192"/>
      <c r="E582" s="185" t="s">
        <v>1937</v>
      </c>
      <c r="F582" s="192" t="s">
        <v>789</v>
      </c>
      <c r="G582" s="192" t="s">
        <v>790</v>
      </c>
      <c r="H582" s="192" t="s">
        <v>790</v>
      </c>
      <c r="I582" t="s">
        <v>820</v>
      </c>
    </row>
    <row r="583" spans="2:11" x14ac:dyDescent="0.25">
      <c r="B583" s="191"/>
      <c r="C583" s="191"/>
      <c r="D583" s="192" t="s">
        <v>1938</v>
      </c>
      <c r="E583" t="s">
        <v>1939</v>
      </c>
      <c r="F583" s="192" t="s">
        <v>1931</v>
      </c>
      <c r="G583" s="192" t="s">
        <v>790</v>
      </c>
      <c r="H583" s="192" t="s">
        <v>790</v>
      </c>
      <c r="I583" t="s">
        <v>820</v>
      </c>
      <c r="J583" t="s">
        <v>865</v>
      </c>
      <c r="K583" t="s">
        <v>797</v>
      </c>
    </row>
    <row r="584" spans="2:11" x14ac:dyDescent="0.25">
      <c r="B584" s="191"/>
      <c r="C584" s="191"/>
      <c r="D584" s="192" t="s">
        <v>1940</v>
      </c>
      <c r="E584" t="s">
        <v>1941</v>
      </c>
      <c r="F584" s="192" t="s">
        <v>1931</v>
      </c>
      <c r="G584" s="192" t="s">
        <v>790</v>
      </c>
      <c r="H584" s="192" t="s">
        <v>790</v>
      </c>
      <c r="I584" t="s">
        <v>820</v>
      </c>
      <c r="J584" t="s">
        <v>865</v>
      </c>
      <c r="K584" t="s">
        <v>797</v>
      </c>
    </row>
    <row r="585" spans="2:11" x14ac:dyDescent="0.25">
      <c r="B585" s="191"/>
      <c r="C585" s="191"/>
      <c r="D585" s="192" t="s">
        <v>1942</v>
      </c>
      <c r="E585" t="s">
        <v>1943</v>
      </c>
      <c r="F585" s="192" t="s">
        <v>1931</v>
      </c>
      <c r="G585" s="192" t="s">
        <v>790</v>
      </c>
      <c r="H585" s="192" t="s">
        <v>790</v>
      </c>
      <c r="I585" t="s">
        <v>820</v>
      </c>
      <c r="J585" t="s">
        <v>865</v>
      </c>
      <c r="K585" t="s">
        <v>797</v>
      </c>
    </row>
    <row r="586" spans="2:11" x14ac:dyDescent="0.25">
      <c r="B586" s="191"/>
      <c r="C586" s="191" t="s">
        <v>1944</v>
      </c>
      <c r="D586" s="192"/>
      <c r="E586" s="185" t="s">
        <v>1945</v>
      </c>
      <c r="F586" s="192" t="s">
        <v>789</v>
      </c>
      <c r="G586" s="192" t="s">
        <v>790</v>
      </c>
      <c r="H586" s="192" t="s">
        <v>790</v>
      </c>
      <c r="I586" t="s">
        <v>820</v>
      </c>
    </row>
    <row r="587" spans="2:11" x14ac:dyDescent="0.25">
      <c r="B587" s="191"/>
      <c r="C587" s="191" t="s">
        <v>1946</v>
      </c>
      <c r="D587" s="192"/>
      <c r="E587" s="185" t="s">
        <v>1947</v>
      </c>
      <c r="F587" s="192" t="s">
        <v>789</v>
      </c>
      <c r="G587" s="192" t="s">
        <v>790</v>
      </c>
      <c r="H587" s="192" t="s">
        <v>790</v>
      </c>
      <c r="I587" t="s">
        <v>820</v>
      </c>
    </row>
    <row r="588" spans="2:11" x14ac:dyDescent="0.25">
      <c r="B588" s="191"/>
      <c r="C588" s="191"/>
      <c r="D588" s="192" t="s">
        <v>1948</v>
      </c>
      <c r="E588" t="s">
        <v>1949</v>
      </c>
      <c r="F588" s="192" t="s">
        <v>1931</v>
      </c>
      <c r="G588" s="192" t="s">
        <v>790</v>
      </c>
      <c r="H588" s="192" t="s">
        <v>790</v>
      </c>
      <c r="I588" t="s">
        <v>820</v>
      </c>
      <c r="J588" t="s">
        <v>865</v>
      </c>
      <c r="K588" t="s">
        <v>797</v>
      </c>
    </row>
    <row r="589" spans="2:11" x14ac:dyDescent="0.25">
      <c r="B589" s="191"/>
      <c r="C589" s="191"/>
      <c r="D589" s="192" t="s">
        <v>1950</v>
      </c>
      <c r="E589" t="s">
        <v>1951</v>
      </c>
      <c r="F589" s="192" t="s">
        <v>1931</v>
      </c>
      <c r="G589" s="192" t="s">
        <v>790</v>
      </c>
      <c r="H589" s="192" t="s">
        <v>790</v>
      </c>
      <c r="I589" t="s">
        <v>820</v>
      </c>
      <c r="J589" t="s">
        <v>865</v>
      </c>
      <c r="K589" t="s">
        <v>797</v>
      </c>
    </row>
    <row r="590" spans="2:11" x14ac:dyDescent="0.25">
      <c r="B590" s="191"/>
      <c r="C590" s="191"/>
      <c r="D590" s="192" t="s">
        <v>1952</v>
      </c>
      <c r="E590" t="s">
        <v>1953</v>
      </c>
      <c r="F590" s="192" t="s">
        <v>1931</v>
      </c>
      <c r="G590" s="192" t="s">
        <v>790</v>
      </c>
      <c r="H590" s="192" t="s">
        <v>790</v>
      </c>
      <c r="I590" t="s">
        <v>820</v>
      </c>
      <c r="J590" t="s">
        <v>865</v>
      </c>
      <c r="K590" t="s">
        <v>797</v>
      </c>
    </row>
    <row r="591" spans="2:11" x14ac:dyDescent="0.25">
      <c r="B591" s="191"/>
      <c r="C591" s="191"/>
      <c r="D591" s="192" t="s">
        <v>1954</v>
      </c>
      <c r="E591" t="s">
        <v>1955</v>
      </c>
      <c r="F591" s="192" t="s">
        <v>1931</v>
      </c>
      <c r="G591" s="192" t="s">
        <v>790</v>
      </c>
      <c r="H591" s="192" t="s">
        <v>790</v>
      </c>
      <c r="I591" t="s">
        <v>820</v>
      </c>
      <c r="J591" t="s">
        <v>865</v>
      </c>
      <c r="K591" t="s">
        <v>797</v>
      </c>
    </row>
    <row r="592" spans="2:11" x14ac:dyDescent="0.25">
      <c r="B592" s="191"/>
      <c r="C592" s="191" t="s">
        <v>1956</v>
      </c>
      <c r="D592" s="192"/>
      <c r="E592" s="185" t="s">
        <v>1957</v>
      </c>
      <c r="F592" s="192" t="s">
        <v>789</v>
      </c>
      <c r="G592" s="192" t="s">
        <v>790</v>
      </c>
      <c r="H592" s="192" t="s">
        <v>790</v>
      </c>
      <c r="I592" t="s">
        <v>820</v>
      </c>
    </row>
    <row r="593" spans="2:11" x14ac:dyDescent="0.25">
      <c r="B593" s="191"/>
      <c r="C593" s="191" t="s">
        <v>1958</v>
      </c>
      <c r="D593" s="192"/>
      <c r="E593" s="185" t="s">
        <v>1945</v>
      </c>
      <c r="F593" s="192" t="s">
        <v>789</v>
      </c>
      <c r="G593" s="192" t="s">
        <v>790</v>
      </c>
      <c r="H593" s="192" t="s">
        <v>790</v>
      </c>
      <c r="I593" t="s">
        <v>820</v>
      </c>
    </row>
    <row r="594" spans="2:11" x14ac:dyDescent="0.25">
      <c r="B594" s="191"/>
      <c r="C594" s="191"/>
      <c r="D594" s="192" t="s">
        <v>1959</v>
      </c>
      <c r="E594" t="s">
        <v>1960</v>
      </c>
      <c r="F594" s="192" t="s">
        <v>1931</v>
      </c>
      <c r="G594" s="192" t="s">
        <v>790</v>
      </c>
      <c r="H594" s="192" t="s">
        <v>790</v>
      </c>
      <c r="I594" t="s">
        <v>820</v>
      </c>
      <c r="J594" t="s">
        <v>865</v>
      </c>
      <c r="K594" t="s">
        <v>797</v>
      </c>
    </row>
    <row r="595" spans="2:11" x14ac:dyDescent="0.25">
      <c r="B595" s="191"/>
      <c r="C595" s="191"/>
      <c r="D595" s="192" t="s">
        <v>1961</v>
      </c>
      <c r="E595" t="s">
        <v>1962</v>
      </c>
      <c r="F595" s="192" t="s">
        <v>1931</v>
      </c>
      <c r="G595" s="192" t="s">
        <v>790</v>
      </c>
      <c r="H595" s="192" t="s">
        <v>790</v>
      </c>
      <c r="I595" t="s">
        <v>820</v>
      </c>
      <c r="J595" t="s">
        <v>865</v>
      </c>
      <c r="K595" t="s">
        <v>797</v>
      </c>
    </row>
    <row r="596" spans="2:11" x14ac:dyDescent="0.25">
      <c r="B596" s="191"/>
      <c r="C596" s="191"/>
      <c r="D596" s="192" t="s">
        <v>1963</v>
      </c>
      <c r="E596" t="s">
        <v>1964</v>
      </c>
      <c r="F596" s="192" t="s">
        <v>1931</v>
      </c>
      <c r="G596" s="192" t="s">
        <v>790</v>
      </c>
      <c r="H596" s="192" t="s">
        <v>790</v>
      </c>
      <c r="I596" t="s">
        <v>820</v>
      </c>
      <c r="J596" t="s">
        <v>865</v>
      </c>
      <c r="K596" t="s">
        <v>797</v>
      </c>
    </row>
    <row r="597" spans="2:11" x14ac:dyDescent="0.25">
      <c r="B597" s="191"/>
      <c r="C597" s="191"/>
      <c r="D597" s="192" t="s">
        <v>1965</v>
      </c>
      <c r="E597" t="s">
        <v>1966</v>
      </c>
      <c r="F597" s="192" t="s">
        <v>1931</v>
      </c>
      <c r="G597" s="192" t="s">
        <v>790</v>
      </c>
      <c r="H597" s="192" t="s">
        <v>790</v>
      </c>
      <c r="I597" t="s">
        <v>820</v>
      </c>
      <c r="J597" t="s">
        <v>865</v>
      </c>
      <c r="K597" t="s">
        <v>797</v>
      </c>
    </row>
    <row r="598" spans="2:11" x14ac:dyDescent="0.25">
      <c r="B598" s="191" t="s">
        <v>1967</v>
      </c>
      <c r="C598" s="191"/>
      <c r="D598" s="192"/>
      <c r="E598" s="185" t="s">
        <v>1968</v>
      </c>
      <c r="F598" s="192" t="s">
        <v>789</v>
      </c>
      <c r="G598" s="192" t="s">
        <v>790</v>
      </c>
      <c r="H598" s="192" t="s">
        <v>790</v>
      </c>
      <c r="I598" t="s">
        <v>820</v>
      </c>
      <c r="J598" t="s">
        <v>865</v>
      </c>
    </row>
    <row r="599" spans="2:11" x14ac:dyDescent="0.25">
      <c r="B599" s="191"/>
      <c r="C599" s="191" t="s">
        <v>1969</v>
      </c>
      <c r="D599" s="192"/>
      <c r="E599" s="185" t="s">
        <v>1970</v>
      </c>
      <c r="F599" s="192" t="s">
        <v>789</v>
      </c>
      <c r="G599" s="192" t="s">
        <v>790</v>
      </c>
      <c r="H599" s="192" t="s">
        <v>790</v>
      </c>
      <c r="I599" t="s">
        <v>820</v>
      </c>
    </row>
    <row r="600" spans="2:11" x14ac:dyDescent="0.25">
      <c r="B600" s="191"/>
      <c r="C600" s="191" t="s">
        <v>1971</v>
      </c>
      <c r="D600" s="192"/>
      <c r="E600" s="185" t="s">
        <v>1972</v>
      </c>
      <c r="F600" s="192" t="s">
        <v>789</v>
      </c>
      <c r="G600" s="192" t="s">
        <v>790</v>
      </c>
      <c r="H600" s="192" t="s">
        <v>790</v>
      </c>
      <c r="I600" t="s">
        <v>820</v>
      </c>
    </row>
    <row r="601" spans="2:11" x14ac:dyDescent="0.25">
      <c r="B601" s="191"/>
      <c r="C601" s="191"/>
      <c r="D601" s="192" t="s">
        <v>1973</v>
      </c>
      <c r="E601" t="s">
        <v>1974</v>
      </c>
      <c r="F601" s="192" t="s">
        <v>1975</v>
      </c>
      <c r="G601" s="192" t="s">
        <v>790</v>
      </c>
      <c r="H601" s="192" t="s">
        <v>790</v>
      </c>
      <c r="I601" t="s">
        <v>820</v>
      </c>
      <c r="J601" t="s">
        <v>865</v>
      </c>
      <c r="K601" t="s">
        <v>797</v>
      </c>
    </row>
    <row r="602" spans="2:11" x14ac:dyDescent="0.25">
      <c r="B602" s="191"/>
      <c r="C602" s="191"/>
      <c r="D602" s="192" t="s">
        <v>1976</v>
      </c>
      <c r="E602" t="s">
        <v>1977</v>
      </c>
      <c r="F602" s="192" t="s">
        <v>1975</v>
      </c>
      <c r="G602" s="192" t="s">
        <v>790</v>
      </c>
      <c r="H602" s="192" t="s">
        <v>790</v>
      </c>
      <c r="I602" t="s">
        <v>820</v>
      </c>
      <c r="J602" t="s">
        <v>865</v>
      </c>
      <c r="K602" t="s">
        <v>797</v>
      </c>
    </row>
    <row r="603" spans="2:11" x14ac:dyDescent="0.25">
      <c r="B603" s="191"/>
      <c r="C603" s="191"/>
      <c r="D603" s="192" t="s">
        <v>1978</v>
      </c>
      <c r="E603" t="s">
        <v>1979</v>
      </c>
      <c r="F603" s="192" t="s">
        <v>1975</v>
      </c>
      <c r="G603" s="192" t="s">
        <v>790</v>
      </c>
      <c r="H603" s="192" t="s">
        <v>790</v>
      </c>
      <c r="I603" t="s">
        <v>820</v>
      </c>
      <c r="J603" t="s">
        <v>865</v>
      </c>
      <c r="K603" t="s">
        <v>797</v>
      </c>
    </row>
    <row r="604" spans="2:11" x14ac:dyDescent="0.25">
      <c r="B604" s="191"/>
      <c r="C604" s="191" t="s">
        <v>1980</v>
      </c>
      <c r="D604" s="192"/>
      <c r="E604" s="185" t="s">
        <v>1981</v>
      </c>
      <c r="F604" s="192" t="s">
        <v>789</v>
      </c>
      <c r="G604" s="192" t="s">
        <v>790</v>
      </c>
      <c r="H604" s="192" t="s">
        <v>790</v>
      </c>
      <c r="I604" t="s">
        <v>820</v>
      </c>
    </row>
    <row r="605" spans="2:11" x14ac:dyDescent="0.25">
      <c r="B605" s="191"/>
      <c r="C605" s="191"/>
      <c r="D605" s="192" t="s">
        <v>1982</v>
      </c>
      <c r="E605" t="s">
        <v>1983</v>
      </c>
      <c r="F605" s="192" t="s">
        <v>1975</v>
      </c>
      <c r="G605" s="192" t="s">
        <v>790</v>
      </c>
      <c r="H605" s="192" t="s">
        <v>790</v>
      </c>
      <c r="I605" t="s">
        <v>820</v>
      </c>
      <c r="J605" t="s">
        <v>865</v>
      </c>
      <c r="K605" t="s">
        <v>797</v>
      </c>
    </row>
    <row r="606" spans="2:11" x14ac:dyDescent="0.25">
      <c r="B606" s="191"/>
      <c r="C606" s="191"/>
      <c r="D606" s="192" t="s">
        <v>1984</v>
      </c>
      <c r="E606" t="s">
        <v>1985</v>
      </c>
      <c r="F606" s="192" t="s">
        <v>1975</v>
      </c>
      <c r="G606" s="192" t="s">
        <v>790</v>
      </c>
      <c r="H606" s="192" t="s">
        <v>790</v>
      </c>
      <c r="I606" t="s">
        <v>820</v>
      </c>
      <c r="J606" t="s">
        <v>865</v>
      </c>
      <c r="K606" t="s">
        <v>797</v>
      </c>
    </row>
    <row r="607" spans="2:11" x14ac:dyDescent="0.25">
      <c r="B607" s="191"/>
      <c r="C607" s="191"/>
      <c r="D607" s="192" t="s">
        <v>1986</v>
      </c>
      <c r="E607" t="s">
        <v>1987</v>
      </c>
      <c r="F607" s="192" t="s">
        <v>1975</v>
      </c>
      <c r="G607" s="192" t="s">
        <v>790</v>
      </c>
      <c r="H607" s="192" t="s">
        <v>790</v>
      </c>
      <c r="I607" t="s">
        <v>820</v>
      </c>
      <c r="J607" t="s">
        <v>865</v>
      </c>
      <c r="K607" t="s">
        <v>797</v>
      </c>
    </row>
    <row r="608" spans="2:11" x14ac:dyDescent="0.25">
      <c r="B608" s="191"/>
      <c r="C608" s="191"/>
      <c r="D608" s="192" t="s">
        <v>1988</v>
      </c>
      <c r="E608" t="s">
        <v>1989</v>
      </c>
      <c r="F608" s="192" t="s">
        <v>1975</v>
      </c>
      <c r="G608" s="192" t="s">
        <v>790</v>
      </c>
      <c r="H608" s="192" t="s">
        <v>790</v>
      </c>
      <c r="I608" t="s">
        <v>820</v>
      </c>
      <c r="J608" t="s">
        <v>865</v>
      </c>
      <c r="K608" t="s">
        <v>797</v>
      </c>
    </row>
    <row r="609" spans="2:11" x14ac:dyDescent="0.25">
      <c r="B609" s="191"/>
      <c r="C609" s="191" t="s">
        <v>1990</v>
      </c>
      <c r="D609" s="192"/>
      <c r="E609" s="185" t="s">
        <v>1991</v>
      </c>
      <c r="F609" s="192" t="s">
        <v>789</v>
      </c>
      <c r="G609" s="192" t="s">
        <v>790</v>
      </c>
      <c r="H609" s="192" t="s">
        <v>790</v>
      </c>
      <c r="I609" t="s">
        <v>820</v>
      </c>
    </row>
    <row r="610" spans="2:11" x14ac:dyDescent="0.25">
      <c r="B610" s="191"/>
      <c r="C610" s="191" t="s">
        <v>1992</v>
      </c>
      <c r="D610" s="192"/>
      <c r="E610" s="185" t="s">
        <v>1993</v>
      </c>
      <c r="F610" s="192" t="s">
        <v>789</v>
      </c>
      <c r="G610" s="192" t="s">
        <v>790</v>
      </c>
      <c r="H610" s="192" t="s">
        <v>790</v>
      </c>
      <c r="I610" t="s">
        <v>820</v>
      </c>
    </row>
    <row r="611" spans="2:11" x14ac:dyDescent="0.25">
      <c r="B611" s="191"/>
      <c r="C611" s="191"/>
      <c r="D611" s="192" t="s">
        <v>1994</v>
      </c>
      <c r="E611" t="s">
        <v>1995</v>
      </c>
      <c r="F611" s="192" t="s">
        <v>1975</v>
      </c>
      <c r="G611" s="192" t="s">
        <v>790</v>
      </c>
      <c r="H611" s="192" t="s">
        <v>790</v>
      </c>
      <c r="I611" t="s">
        <v>820</v>
      </c>
      <c r="J611" t="s">
        <v>865</v>
      </c>
      <c r="K611" t="s">
        <v>797</v>
      </c>
    </row>
    <row r="612" spans="2:11" x14ac:dyDescent="0.25">
      <c r="B612" s="191"/>
      <c r="C612" s="191"/>
      <c r="D612" s="192" t="s">
        <v>1996</v>
      </c>
      <c r="E612" t="s">
        <v>1997</v>
      </c>
      <c r="F612" s="192" t="s">
        <v>1975</v>
      </c>
      <c r="G612" s="192" t="s">
        <v>790</v>
      </c>
      <c r="H612" s="192" t="s">
        <v>790</v>
      </c>
      <c r="I612" t="s">
        <v>820</v>
      </c>
      <c r="J612" t="s">
        <v>865</v>
      </c>
      <c r="K612" t="s">
        <v>797</v>
      </c>
    </row>
    <row r="613" spans="2:11" x14ac:dyDescent="0.25">
      <c r="B613" s="191"/>
      <c r="C613" s="191"/>
      <c r="D613" s="192" t="s">
        <v>1998</v>
      </c>
      <c r="E613" t="s">
        <v>1999</v>
      </c>
      <c r="F613" s="192" t="s">
        <v>1975</v>
      </c>
      <c r="G613" s="192" t="s">
        <v>790</v>
      </c>
      <c r="H613" s="192" t="s">
        <v>790</v>
      </c>
      <c r="I613" t="s">
        <v>820</v>
      </c>
      <c r="J613" t="s">
        <v>865</v>
      </c>
      <c r="K613" t="s">
        <v>797</v>
      </c>
    </row>
    <row r="614" spans="2:11" x14ac:dyDescent="0.25">
      <c r="B614" s="191"/>
      <c r="C614" s="191" t="s">
        <v>2000</v>
      </c>
      <c r="D614" s="192"/>
      <c r="E614" s="185" t="s">
        <v>2001</v>
      </c>
      <c r="F614" s="192" t="s">
        <v>789</v>
      </c>
      <c r="G614" s="192" t="s">
        <v>790</v>
      </c>
      <c r="H614" s="192" t="s">
        <v>790</v>
      </c>
      <c r="I614" t="s">
        <v>820</v>
      </c>
    </row>
    <row r="615" spans="2:11" x14ac:dyDescent="0.25">
      <c r="B615" s="191"/>
      <c r="C615" s="191"/>
      <c r="D615" s="192" t="s">
        <v>2002</v>
      </c>
      <c r="E615" t="s">
        <v>2003</v>
      </c>
      <c r="F615" s="192" t="s">
        <v>1975</v>
      </c>
      <c r="G615" s="192" t="s">
        <v>790</v>
      </c>
      <c r="H615" s="192" t="s">
        <v>790</v>
      </c>
      <c r="I615" t="s">
        <v>820</v>
      </c>
      <c r="J615" t="s">
        <v>865</v>
      </c>
      <c r="K615" t="s">
        <v>797</v>
      </c>
    </row>
    <row r="616" spans="2:11" x14ac:dyDescent="0.25">
      <c r="B616" s="191"/>
      <c r="C616" s="191"/>
      <c r="D616" s="192" t="s">
        <v>2004</v>
      </c>
      <c r="E616" t="s">
        <v>2005</v>
      </c>
      <c r="F616" s="192" t="s">
        <v>1975</v>
      </c>
      <c r="G616" s="192" t="s">
        <v>790</v>
      </c>
      <c r="H616" s="192" t="s">
        <v>790</v>
      </c>
      <c r="I616" t="s">
        <v>820</v>
      </c>
      <c r="J616" t="s">
        <v>865</v>
      </c>
      <c r="K616" t="s">
        <v>797</v>
      </c>
    </row>
    <row r="617" spans="2:11" x14ac:dyDescent="0.25">
      <c r="B617" s="191"/>
      <c r="C617" s="191"/>
      <c r="D617" s="192" t="s">
        <v>2006</v>
      </c>
      <c r="E617" t="s">
        <v>2007</v>
      </c>
      <c r="F617" s="192" t="s">
        <v>1975</v>
      </c>
      <c r="G617" s="192" t="s">
        <v>790</v>
      </c>
      <c r="H617" s="192" t="s">
        <v>790</v>
      </c>
      <c r="I617" t="s">
        <v>820</v>
      </c>
      <c r="J617" t="s">
        <v>865</v>
      </c>
      <c r="K617" t="s">
        <v>797</v>
      </c>
    </row>
    <row r="618" spans="2:11" x14ac:dyDescent="0.25">
      <c r="B618" s="191"/>
      <c r="C618" s="191" t="s">
        <v>2008</v>
      </c>
      <c r="D618" s="192"/>
      <c r="E618" s="185" t="s">
        <v>2009</v>
      </c>
      <c r="F618" s="192" t="s">
        <v>789</v>
      </c>
      <c r="G618" s="192" t="s">
        <v>790</v>
      </c>
      <c r="H618" s="192" t="s">
        <v>790</v>
      </c>
      <c r="I618" t="s">
        <v>820</v>
      </c>
    </row>
    <row r="619" spans="2:11" x14ac:dyDescent="0.25">
      <c r="B619" s="191"/>
      <c r="C619" s="191"/>
      <c r="D619" s="192" t="s">
        <v>2010</v>
      </c>
      <c r="E619" t="s">
        <v>2011</v>
      </c>
      <c r="F619" s="192" t="s">
        <v>1975</v>
      </c>
      <c r="G619" s="192" t="s">
        <v>790</v>
      </c>
      <c r="H619" s="192" t="s">
        <v>790</v>
      </c>
      <c r="I619" t="s">
        <v>820</v>
      </c>
      <c r="J619" t="s">
        <v>865</v>
      </c>
      <c r="K619" t="s">
        <v>797</v>
      </c>
    </row>
    <row r="620" spans="2:11" x14ac:dyDescent="0.25">
      <c r="B620" s="191"/>
      <c r="C620" s="191"/>
      <c r="D620" s="192" t="s">
        <v>2012</v>
      </c>
      <c r="E620" t="s">
        <v>2013</v>
      </c>
      <c r="F620" s="192" t="s">
        <v>1975</v>
      </c>
      <c r="G620" s="192" t="s">
        <v>790</v>
      </c>
      <c r="H620" s="192" t="s">
        <v>790</v>
      </c>
      <c r="I620" t="s">
        <v>820</v>
      </c>
      <c r="J620" t="s">
        <v>865</v>
      </c>
      <c r="K620" t="s">
        <v>797</v>
      </c>
    </row>
    <row r="621" spans="2:11" x14ac:dyDescent="0.25">
      <c r="B621" s="191"/>
      <c r="C621" s="191" t="s">
        <v>2014</v>
      </c>
      <c r="D621" s="192"/>
      <c r="E621" s="185" t="s">
        <v>2015</v>
      </c>
      <c r="F621" s="192" t="s">
        <v>789</v>
      </c>
      <c r="G621" s="192" t="s">
        <v>790</v>
      </c>
      <c r="H621" s="192" t="s">
        <v>790</v>
      </c>
      <c r="I621" t="s">
        <v>820</v>
      </c>
    </row>
    <row r="622" spans="2:11" x14ac:dyDescent="0.25">
      <c r="B622" s="191"/>
      <c r="C622" s="191"/>
      <c r="D622" s="192" t="s">
        <v>2016</v>
      </c>
      <c r="E622" t="s">
        <v>2017</v>
      </c>
      <c r="F622" s="192" t="s">
        <v>1975</v>
      </c>
      <c r="G622" s="192" t="s">
        <v>790</v>
      </c>
      <c r="H622" s="192" t="s">
        <v>790</v>
      </c>
      <c r="I622" t="s">
        <v>820</v>
      </c>
      <c r="J622" t="s">
        <v>865</v>
      </c>
      <c r="K622" t="s">
        <v>797</v>
      </c>
    </row>
    <row r="623" spans="2:11" x14ac:dyDescent="0.25">
      <c r="B623" s="191"/>
      <c r="C623" s="191"/>
      <c r="D623" s="192" t="s">
        <v>2018</v>
      </c>
      <c r="E623" t="s">
        <v>2019</v>
      </c>
      <c r="F623" s="192" t="s">
        <v>1975</v>
      </c>
      <c r="G623" s="192" t="s">
        <v>790</v>
      </c>
      <c r="H623" s="192" t="s">
        <v>790</v>
      </c>
      <c r="I623" t="s">
        <v>820</v>
      </c>
      <c r="J623" t="s">
        <v>865</v>
      </c>
      <c r="K623" t="s">
        <v>797</v>
      </c>
    </row>
    <row r="624" spans="2:11" x14ac:dyDescent="0.25">
      <c r="B624" s="191"/>
      <c r="C624" s="191"/>
      <c r="D624" s="192" t="s">
        <v>2020</v>
      </c>
      <c r="E624" t="s">
        <v>2021</v>
      </c>
      <c r="F624" s="192" t="s">
        <v>1975</v>
      </c>
      <c r="G624" s="192" t="s">
        <v>790</v>
      </c>
      <c r="H624" s="192" t="s">
        <v>790</v>
      </c>
      <c r="I624" t="s">
        <v>820</v>
      </c>
      <c r="J624" t="s">
        <v>865</v>
      </c>
      <c r="K624" t="s">
        <v>797</v>
      </c>
    </row>
    <row r="625" spans="2:11" x14ac:dyDescent="0.25">
      <c r="B625" s="191"/>
      <c r="C625" s="191" t="s">
        <v>2022</v>
      </c>
      <c r="D625" s="192"/>
      <c r="E625" s="185" t="s">
        <v>2023</v>
      </c>
      <c r="F625" s="192" t="s">
        <v>789</v>
      </c>
      <c r="G625" s="192" t="s">
        <v>790</v>
      </c>
      <c r="H625" s="192" t="s">
        <v>790</v>
      </c>
      <c r="I625" t="s">
        <v>820</v>
      </c>
    </row>
    <row r="626" spans="2:11" x14ac:dyDescent="0.25">
      <c r="B626" s="191"/>
      <c r="C626" s="191"/>
      <c r="D626" s="192" t="s">
        <v>2024</v>
      </c>
      <c r="E626" t="s">
        <v>2025</v>
      </c>
      <c r="F626" s="192" t="s">
        <v>1975</v>
      </c>
      <c r="G626" s="192" t="s">
        <v>790</v>
      </c>
      <c r="H626" s="192" t="s">
        <v>790</v>
      </c>
      <c r="I626" t="s">
        <v>820</v>
      </c>
      <c r="J626" t="s">
        <v>865</v>
      </c>
      <c r="K626" t="s">
        <v>797</v>
      </c>
    </row>
    <row r="627" spans="2:11" x14ac:dyDescent="0.25">
      <c r="B627" s="191"/>
      <c r="C627" s="191"/>
      <c r="D627" s="192" t="s">
        <v>2026</v>
      </c>
      <c r="E627" t="s">
        <v>2027</v>
      </c>
      <c r="F627" s="192" t="s">
        <v>1975</v>
      </c>
      <c r="G627" s="192" t="s">
        <v>790</v>
      </c>
      <c r="H627" s="192" t="s">
        <v>790</v>
      </c>
      <c r="I627" t="s">
        <v>820</v>
      </c>
      <c r="J627" t="s">
        <v>865</v>
      </c>
      <c r="K627" t="s">
        <v>797</v>
      </c>
    </row>
    <row r="628" spans="2:11" x14ac:dyDescent="0.25">
      <c r="B628" s="191"/>
      <c r="C628" s="191"/>
      <c r="D628" s="192" t="s">
        <v>2028</v>
      </c>
      <c r="E628" t="s">
        <v>2029</v>
      </c>
      <c r="F628" s="192" t="s">
        <v>1975</v>
      </c>
      <c r="G628" s="192" t="s">
        <v>790</v>
      </c>
      <c r="H628" s="192" t="s">
        <v>790</v>
      </c>
      <c r="I628" t="s">
        <v>820</v>
      </c>
      <c r="J628" t="s">
        <v>865</v>
      </c>
      <c r="K628" t="s">
        <v>797</v>
      </c>
    </row>
    <row r="629" spans="2:11" x14ac:dyDescent="0.25">
      <c r="B629" s="191"/>
      <c r="C629" s="191" t="s">
        <v>2030</v>
      </c>
      <c r="D629" s="192"/>
      <c r="E629" s="185" t="s">
        <v>2031</v>
      </c>
      <c r="F629" s="192" t="s">
        <v>789</v>
      </c>
      <c r="G629" s="192" t="s">
        <v>790</v>
      </c>
      <c r="H629" s="192" t="s">
        <v>790</v>
      </c>
      <c r="I629" t="s">
        <v>820</v>
      </c>
    </row>
    <row r="630" spans="2:11" x14ac:dyDescent="0.25">
      <c r="B630" s="191"/>
      <c r="C630" s="191"/>
      <c r="D630" s="192" t="s">
        <v>2032</v>
      </c>
      <c r="E630" t="s">
        <v>2033</v>
      </c>
      <c r="F630" s="192" t="s">
        <v>1975</v>
      </c>
      <c r="G630" s="192" t="s">
        <v>790</v>
      </c>
      <c r="H630" s="192" t="s">
        <v>790</v>
      </c>
      <c r="I630" t="s">
        <v>820</v>
      </c>
      <c r="J630" t="s">
        <v>865</v>
      </c>
      <c r="K630" t="s">
        <v>797</v>
      </c>
    </row>
    <row r="631" spans="2:11" x14ac:dyDescent="0.25">
      <c r="B631" s="191"/>
      <c r="C631" s="191"/>
      <c r="D631" s="192" t="s">
        <v>2034</v>
      </c>
      <c r="E631" t="s">
        <v>2035</v>
      </c>
      <c r="F631" s="192" t="s">
        <v>1975</v>
      </c>
      <c r="G631" s="192" t="s">
        <v>790</v>
      </c>
      <c r="H631" s="192" t="s">
        <v>790</v>
      </c>
      <c r="I631" t="s">
        <v>820</v>
      </c>
      <c r="J631" t="s">
        <v>865</v>
      </c>
      <c r="K631" t="s">
        <v>797</v>
      </c>
    </row>
    <row r="632" spans="2:11" x14ac:dyDescent="0.25">
      <c r="B632" s="191"/>
      <c r="C632" s="191" t="s">
        <v>2036</v>
      </c>
      <c r="D632" s="192"/>
      <c r="E632" s="185" t="s">
        <v>2037</v>
      </c>
      <c r="F632" s="192" t="s">
        <v>789</v>
      </c>
      <c r="G632" s="192" t="s">
        <v>790</v>
      </c>
      <c r="H632" s="192" t="s">
        <v>790</v>
      </c>
      <c r="I632" t="s">
        <v>820</v>
      </c>
    </row>
    <row r="633" spans="2:11" x14ac:dyDescent="0.25">
      <c r="B633" s="191"/>
      <c r="C633" s="191"/>
      <c r="D633" s="192" t="s">
        <v>2038</v>
      </c>
      <c r="E633" t="s">
        <v>2039</v>
      </c>
      <c r="F633" s="192" t="s">
        <v>1975</v>
      </c>
      <c r="G633" s="192" t="s">
        <v>790</v>
      </c>
      <c r="H633" s="192" t="s">
        <v>790</v>
      </c>
      <c r="I633" t="s">
        <v>820</v>
      </c>
      <c r="J633" t="s">
        <v>865</v>
      </c>
      <c r="K633" t="s">
        <v>797</v>
      </c>
    </row>
    <row r="634" spans="2:11" x14ac:dyDescent="0.25">
      <c r="B634" s="191"/>
      <c r="C634" s="191"/>
      <c r="D634" s="192" t="s">
        <v>2040</v>
      </c>
      <c r="E634" t="s">
        <v>2041</v>
      </c>
      <c r="F634" s="192" t="s">
        <v>1975</v>
      </c>
      <c r="G634" s="192" t="s">
        <v>790</v>
      </c>
      <c r="H634" s="192" t="s">
        <v>790</v>
      </c>
      <c r="I634" t="s">
        <v>820</v>
      </c>
      <c r="J634" t="s">
        <v>865</v>
      </c>
      <c r="K634" t="s">
        <v>797</v>
      </c>
    </row>
    <row r="635" spans="2:11" x14ac:dyDescent="0.25">
      <c r="B635" s="191"/>
      <c r="C635" s="191" t="s">
        <v>2042</v>
      </c>
      <c r="D635" s="192"/>
      <c r="E635" s="185" t="s">
        <v>2043</v>
      </c>
      <c r="F635" s="192" t="s">
        <v>789</v>
      </c>
      <c r="G635" s="192" t="s">
        <v>790</v>
      </c>
      <c r="H635" s="192" t="s">
        <v>790</v>
      </c>
      <c r="I635" t="s">
        <v>820</v>
      </c>
    </row>
    <row r="636" spans="2:11" x14ac:dyDescent="0.25">
      <c r="B636" s="191"/>
      <c r="C636" s="191"/>
      <c r="D636" s="192" t="s">
        <v>2044</v>
      </c>
      <c r="E636" t="s">
        <v>2045</v>
      </c>
      <c r="F636" s="192" t="s">
        <v>1975</v>
      </c>
      <c r="G636" s="192" t="s">
        <v>790</v>
      </c>
      <c r="H636" s="192" t="s">
        <v>790</v>
      </c>
      <c r="I636" t="s">
        <v>820</v>
      </c>
      <c r="J636" t="s">
        <v>865</v>
      </c>
      <c r="K636" t="s">
        <v>797</v>
      </c>
    </row>
    <row r="637" spans="2:11" x14ac:dyDescent="0.25">
      <c r="B637" s="191"/>
      <c r="C637" s="191"/>
      <c r="D637" s="192" t="s">
        <v>2046</v>
      </c>
      <c r="E637" t="s">
        <v>2047</v>
      </c>
      <c r="F637" s="192" t="s">
        <v>1975</v>
      </c>
      <c r="G637" s="192" t="s">
        <v>790</v>
      </c>
      <c r="H637" s="192" t="s">
        <v>790</v>
      </c>
      <c r="I637" t="s">
        <v>820</v>
      </c>
      <c r="J637" t="s">
        <v>865</v>
      </c>
      <c r="K637" t="s">
        <v>797</v>
      </c>
    </row>
    <row r="638" spans="2:11" x14ac:dyDescent="0.25">
      <c r="B638" s="191"/>
      <c r="C638" s="191" t="s">
        <v>2048</v>
      </c>
      <c r="D638" s="192"/>
      <c r="E638" s="185" t="s">
        <v>2049</v>
      </c>
      <c r="F638" s="192" t="s">
        <v>789</v>
      </c>
      <c r="G638" s="192" t="s">
        <v>790</v>
      </c>
      <c r="H638" s="192" t="s">
        <v>790</v>
      </c>
      <c r="I638" t="s">
        <v>820</v>
      </c>
    </row>
    <row r="639" spans="2:11" x14ac:dyDescent="0.25">
      <c r="B639" s="191"/>
      <c r="C639" s="191"/>
      <c r="D639" s="192" t="s">
        <v>2050</v>
      </c>
      <c r="E639" t="s">
        <v>2051</v>
      </c>
      <c r="F639" s="192" t="s">
        <v>1975</v>
      </c>
      <c r="G639" s="192" t="s">
        <v>790</v>
      </c>
      <c r="H639" s="192" t="s">
        <v>790</v>
      </c>
      <c r="I639" t="s">
        <v>820</v>
      </c>
      <c r="J639" t="s">
        <v>865</v>
      </c>
      <c r="K639" t="s">
        <v>797</v>
      </c>
    </row>
    <row r="640" spans="2:11" x14ac:dyDescent="0.25">
      <c r="B640" s="191"/>
      <c r="C640" s="191"/>
      <c r="D640" s="192" t="s">
        <v>2052</v>
      </c>
      <c r="E640" t="s">
        <v>2053</v>
      </c>
      <c r="F640" s="192" t="s">
        <v>1975</v>
      </c>
      <c r="G640" s="192" t="s">
        <v>790</v>
      </c>
      <c r="H640" s="192" t="s">
        <v>790</v>
      </c>
      <c r="I640" t="s">
        <v>820</v>
      </c>
      <c r="J640" t="s">
        <v>865</v>
      </c>
      <c r="K640" t="s">
        <v>797</v>
      </c>
    </row>
    <row r="641" spans="2:11" x14ac:dyDescent="0.25">
      <c r="B641" s="191"/>
      <c r="C641" s="191" t="s">
        <v>2054</v>
      </c>
      <c r="D641" s="192"/>
      <c r="E641" s="185" t="s">
        <v>2055</v>
      </c>
      <c r="F641" s="192" t="s">
        <v>789</v>
      </c>
      <c r="G641" s="192" t="s">
        <v>790</v>
      </c>
      <c r="H641" s="192" t="s">
        <v>790</v>
      </c>
      <c r="I641" t="s">
        <v>820</v>
      </c>
    </row>
    <row r="642" spans="2:11" x14ac:dyDescent="0.25">
      <c r="B642" s="191"/>
      <c r="C642" s="191" t="s">
        <v>2056</v>
      </c>
      <c r="D642" s="192"/>
      <c r="E642" s="185" t="s">
        <v>2057</v>
      </c>
      <c r="F642" s="192" t="s">
        <v>789</v>
      </c>
      <c r="G642" s="192" t="s">
        <v>790</v>
      </c>
      <c r="H642" s="192" t="s">
        <v>790</v>
      </c>
      <c r="I642" t="s">
        <v>820</v>
      </c>
    </row>
    <row r="643" spans="2:11" x14ac:dyDescent="0.25">
      <c r="B643" s="191"/>
      <c r="C643" s="191"/>
      <c r="D643" s="192" t="s">
        <v>2058</v>
      </c>
      <c r="E643" t="s">
        <v>2059</v>
      </c>
      <c r="F643" s="192" t="s">
        <v>1975</v>
      </c>
      <c r="G643" s="192" t="s">
        <v>790</v>
      </c>
      <c r="H643" s="192" t="s">
        <v>790</v>
      </c>
      <c r="I643" t="s">
        <v>820</v>
      </c>
      <c r="J643" t="s">
        <v>865</v>
      </c>
      <c r="K643" t="s">
        <v>797</v>
      </c>
    </row>
    <row r="644" spans="2:11" x14ac:dyDescent="0.25">
      <c r="B644" s="191"/>
      <c r="C644" s="191"/>
      <c r="D644" s="192" t="s">
        <v>2060</v>
      </c>
      <c r="E644" t="s">
        <v>2061</v>
      </c>
      <c r="F644" s="192" t="s">
        <v>1975</v>
      </c>
      <c r="G644" s="192" t="s">
        <v>790</v>
      </c>
      <c r="H644" s="192" t="s">
        <v>790</v>
      </c>
      <c r="I644" t="s">
        <v>820</v>
      </c>
      <c r="J644" t="s">
        <v>865</v>
      </c>
      <c r="K644" t="s">
        <v>797</v>
      </c>
    </row>
    <row r="645" spans="2:11" x14ac:dyDescent="0.25">
      <c r="B645" s="191"/>
      <c r="C645" s="191" t="s">
        <v>2062</v>
      </c>
      <c r="D645" s="192"/>
      <c r="E645" s="185" t="s">
        <v>2063</v>
      </c>
      <c r="F645" s="192" t="s">
        <v>789</v>
      </c>
      <c r="G645" s="192" t="s">
        <v>790</v>
      </c>
      <c r="H645" s="192" t="s">
        <v>790</v>
      </c>
      <c r="I645" t="s">
        <v>820</v>
      </c>
    </row>
    <row r="646" spans="2:11" x14ac:dyDescent="0.25">
      <c r="B646" s="191"/>
      <c r="C646" s="191"/>
      <c r="D646" s="192" t="s">
        <v>2064</v>
      </c>
      <c r="E646" t="s">
        <v>2065</v>
      </c>
      <c r="F646" s="192" t="s">
        <v>1975</v>
      </c>
      <c r="G646" s="192" t="s">
        <v>790</v>
      </c>
      <c r="H646" s="192" t="s">
        <v>790</v>
      </c>
      <c r="I646" t="s">
        <v>820</v>
      </c>
      <c r="J646" t="s">
        <v>865</v>
      </c>
      <c r="K646" t="s">
        <v>797</v>
      </c>
    </row>
    <row r="647" spans="2:11" x14ac:dyDescent="0.25">
      <c r="B647" s="191"/>
      <c r="C647" s="191" t="s">
        <v>2066</v>
      </c>
      <c r="D647" s="192"/>
      <c r="E647" s="185" t="s">
        <v>2067</v>
      </c>
      <c r="F647" s="192" t="s">
        <v>789</v>
      </c>
      <c r="G647" s="192" t="s">
        <v>790</v>
      </c>
      <c r="H647" s="192" t="s">
        <v>790</v>
      </c>
      <c r="I647" t="s">
        <v>820</v>
      </c>
    </row>
    <row r="648" spans="2:11" x14ac:dyDescent="0.25">
      <c r="B648" s="191"/>
      <c r="C648" s="191"/>
      <c r="D648" s="192" t="s">
        <v>2068</v>
      </c>
      <c r="E648" t="s">
        <v>2069</v>
      </c>
      <c r="F648" s="192" t="s">
        <v>1975</v>
      </c>
      <c r="G648" s="192" t="s">
        <v>790</v>
      </c>
      <c r="H648" s="192" t="s">
        <v>790</v>
      </c>
      <c r="I648" t="s">
        <v>820</v>
      </c>
      <c r="J648" t="s">
        <v>865</v>
      </c>
      <c r="K648" t="s">
        <v>797</v>
      </c>
    </row>
    <row r="649" spans="2:11" x14ac:dyDescent="0.25">
      <c r="B649" s="191"/>
      <c r="C649" s="191"/>
      <c r="D649" s="192" t="s">
        <v>2070</v>
      </c>
      <c r="E649" t="s">
        <v>2071</v>
      </c>
      <c r="F649" s="192" t="s">
        <v>1975</v>
      </c>
      <c r="G649" s="192" t="s">
        <v>790</v>
      </c>
      <c r="H649" s="192" t="s">
        <v>790</v>
      </c>
      <c r="I649" t="s">
        <v>820</v>
      </c>
      <c r="J649" t="s">
        <v>865</v>
      </c>
      <c r="K649" t="s">
        <v>797</v>
      </c>
    </row>
    <row r="650" spans="2:11" x14ac:dyDescent="0.25">
      <c r="B650" s="191"/>
      <c r="C650" s="191" t="s">
        <v>2072</v>
      </c>
      <c r="D650" s="192"/>
      <c r="E650" s="185" t="s">
        <v>2073</v>
      </c>
      <c r="F650" s="192" t="s">
        <v>789</v>
      </c>
      <c r="G650" s="192" t="s">
        <v>790</v>
      </c>
      <c r="H650" s="192" t="s">
        <v>790</v>
      </c>
      <c r="I650" t="s">
        <v>820</v>
      </c>
    </row>
    <row r="651" spans="2:11" x14ac:dyDescent="0.25">
      <c r="B651" s="191"/>
      <c r="C651" s="191"/>
      <c r="D651" s="192" t="s">
        <v>2074</v>
      </c>
      <c r="E651" t="s">
        <v>2075</v>
      </c>
      <c r="F651" s="192" t="s">
        <v>1975</v>
      </c>
      <c r="G651" s="192" t="s">
        <v>790</v>
      </c>
      <c r="H651" s="192" t="s">
        <v>790</v>
      </c>
      <c r="I651" t="s">
        <v>820</v>
      </c>
      <c r="J651" t="s">
        <v>865</v>
      </c>
      <c r="K651" t="s">
        <v>797</v>
      </c>
    </row>
    <row r="652" spans="2:11" x14ac:dyDescent="0.25">
      <c r="B652" s="191"/>
      <c r="C652" s="191"/>
      <c r="D652" s="192" t="s">
        <v>2076</v>
      </c>
      <c r="E652" t="s">
        <v>2077</v>
      </c>
      <c r="F652" s="192" t="s">
        <v>1975</v>
      </c>
      <c r="G652" s="192" t="s">
        <v>790</v>
      </c>
      <c r="H652" s="192" t="s">
        <v>790</v>
      </c>
      <c r="I652" t="s">
        <v>820</v>
      </c>
      <c r="J652" t="s">
        <v>865</v>
      </c>
      <c r="K652" t="s">
        <v>797</v>
      </c>
    </row>
    <row r="653" spans="2:11" x14ac:dyDescent="0.25">
      <c r="B653" s="191"/>
      <c r="C653" s="191" t="s">
        <v>2078</v>
      </c>
      <c r="D653" s="192"/>
      <c r="E653" s="185" t="s">
        <v>2079</v>
      </c>
      <c r="F653" s="192" t="s">
        <v>789</v>
      </c>
      <c r="G653" s="192" t="s">
        <v>790</v>
      </c>
      <c r="H653" s="192" t="s">
        <v>790</v>
      </c>
      <c r="I653" t="s">
        <v>820</v>
      </c>
    </row>
    <row r="654" spans="2:11" x14ac:dyDescent="0.25">
      <c r="B654" s="191"/>
      <c r="C654" s="191"/>
      <c r="D654" s="192" t="s">
        <v>2080</v>
      </c>
      <c r="E654" t="s">
        <v>2081</v>
      </c>
      <c r="F654" s="192" t="s">
        <v>1975</v>
      </c>
      <c r="G654" s="192" t="s">
        <v>790</v>
      </c>
      <c r="H654" s="192" t="s">
        <v>790</v>
      </c>
      <c r="I654" t="s">
        <v>820</v>
      </c>
      <c r="J654" t="s">
        <v>865</v>
      </c>
      <c r="K654" t="s">
        <v>797</v>
      </c>
    </row>
    <row r="655" spans="2:11" x14ac:dyDescent="0.25">
      <c r="B655" s="191"/>
      <c r="C655" s="191"/>
      <c r="D655" s="192" t="s">
        <v>2082</v>
      </c>
      <c r="E655" t="s">
        <v>2083</v>
      </c>
      <c r="F655" s="192" t="s">
        <v>1975</v>
      </c>
      <c r="G655" s="192" t="s">
        <v>790</v>
      </c>
      <c r="H655" s="192" t="s">
        <v>790</v>
      </c>
      <c r="I655" t="s">
        <v>820</v>
      </c>
      <c r="J655" t="s">
        <v>865</v>
      </c>
      <c r="K655" t="s">
        <v>797</v>
      </c>
    </row>
    <row r="656" spans="2:11" x14ac:dyDescent="0.25">
      <c r="B656" s="191"/>
      <c r="C656" s="191" t="s">
        <v>2084</v>
      </c>
      <c r="D656" s="192"/>
      <c r="E656" s="185" t="s">
        <v>2085</v>
      </c>
      <c r="F656" s="192" t="s">
        <v>789</v>
      </c>
      <c r="G656" s="192" t="s">
        <v>790</v>
      </c>
      <c r="H656" s="192" t="s">
        <v>790</v>
      </c>
      <c r="I656" t="s">
        <v>820</v>
      </c>
    </row>
    <row r="657" spans="2:11" x14ac:dyDescent="0.25">
      <c r="B657" s="191"/>
      <c r="C657" s="191"/>
      <c r="D657" s="192" t="s">
        <v>2086</v>
      </c>
      <c r="E657" t="s">
        <v>2087</v>
      </c>
      <c r="F657" s="192" t="s">
        <v>1975</v>
      </c>
      <c r="G657" s="192" t="s">
        <v>790</v>
      </c>
      <c r="H657" s="192" t="s">
        <v>790</v>
      </c>
      <c r="I657" t="s">
        <v>820</v>
      </c>
      <c r="J657" t="s">
        <v>865</v>
      </c>
      <c r="K657" t="s">
        <v>797</v>
      </c>
    </row>
    <row r="658" spans="2:11" x14ac:dyDescent="0.25">
      <c r="B658" s="191"/>
      <c r="C658" s="191"/>
      <c r="D658" s="192" t="s">
        <v>2088</v>
      </c>
      <c r="E658" t="s">
        <v>2089</v>
      </c>
      <c r="F658" s="192" t="s">
        <v>1975</v>
      </c>
      <c r="G658" s="192" t="s">
        <v>790</v>
      </c>
      <c r="H658" s="192" t="s">
        <v>790</v>
      </c>
      <c r="I658" t="s">
        <v>820</v>
      </c>
      <c r="J658" t="s">
        <v>865</v>
      </c>
      <c r="K658" t="s">
        <v>797</v>
      </c>
    </row>
    <row r="659" spans="2:11" x14ac:dyDescent="0.25">
      <c r="B659" s="191" t="s">
        <v>2090</v>
      </c>
      <c r="C659" s="191"/>
      <c r="D659" s="192"/>
      <c r="E659" s="185" t="s">
        <v>2091</v>
      </c>
      <c r="F659" s="192" t="s">
        <v>789</v>
      </c>
      <c r="G659" s="192" t="s">
        <v>790</v>
      </c>
      <c r="H659" s="192" t="s">
        <v>790</v>
      </c>
      <c r="I659" t="s">
        <v>820</v>
      </c>
      <c r="J659" t="s">
        <v>865</v>
      </c>
    </row>
    <row r="660" spans="2:11" x14ac:dyDescent="0.25">
      <c r="B660" s="191"/>
      <c r="C660" s="191" t="s">
        <v>2092</v>
      </c>
      <c r="D660" s="192"/>
      <c r="E660" s="185" t="s">
        <v>2093</v>
      </c>
      <c r="F660" s="192" t="s">
        <v>789</v>
      </c>
      <c r="G660" s="192" t="s">
        <v>790</v>
      </c>
      <c r="H660" s="192" t="s">
        <v>790</v>
      </c>
      <c r="I660" t="s">
        <v>820</v>
      </c>
    </row>
    <row r="661" spans="2:11" x14ac:dyDescent="0.25">
      <c r="B661" s="191"/>
      <c r="C661" s="191" t="s">
        <v>2094</v>
      </c>
      <c r="D661" s="192"/>
      <c r="E661" s="185" t="s">
        <v>2095</v>
      </c>
      <c r="F661" s="192" t="s">
        <v>789</v>
      </c>
      <c r="G661" s="192" t="s">
        <v>790</v>
      </c>
      <c r="H661" s="192" t="s">
        <v>790</v>
      </c>
      <c r="I661" t="s">
        <v>820</v>
      </c>
    </row>
    <row r="662" spans="2:11" x14ac:dyDescent="0.25">
      <c r="B662" s="191"/>
      <c r="C662" s="191"/>
      <c r="D662" s="192" t="s">
        <v>2096</v>
      </c>
      <c r="E662" t="s">
        <v>2097</v>
      </c>
      <c r="F662" s="192" t="s">
        <v>2098</v>
      </c>
      <c r="G662" s="192" t="s">
        <v>790</v>
      </c>
      <c r="H662" s="192" t="s">
        <v>790</v>
      </c>
      <c r="I662" t="s">
        <v>820</v>
      </c>
      <c r="J662" t="s">
        <v>865</v>
      </c>
      <c r="K662" t="s">
        <v>797</v>
      </c>
    </row>
    <row r="663" spans="2:11" x14ac:dyDescent="0.25">
      <c r="B663" s="191"/>
      <c r="C663" s="191"/>
      <c r="D663" s="192" t="s">
        <v>2099</v>
      </c>
      <c r="E663" t="s">
        <v>2100</v>
      </c>
      <c r="F663" s="192" t="s">
        <v>2098</v>
      </c>
      <c r="G663" s="192" t="s">
        <v>790</v>
      </c>
      <c r="H663" s="192" t="s">
        <v>790</v>
      </c>
      <c r="I663" t="s">
        <v>820</v>
      </c>
      <c r="J663" t="s">
        <v>865</v>
      </c>
      <c r="K663" t="s">
        <v>797</v>
      </c>
    </row>
    <row r="664" spans="2:11" x14ac:dyDescent="0.25">
      <c r="B664" s="191"/>
      <c r="C664" s="191"/>
      <c r="D664" s="192" t="s">
        <v>2101</v>
      </c>
      <c r="E664" t="s">
        <v>2102</v>
      </c>
      <c r="F664" s="192" t="s">
        <v>2098</v>
      </c>
      <c r="G664" s="192" t="s">
        <v>790</v>
      </c>
      <c r="H664" s="192" t="s">
        <v>790</v>
      </c>
      <c r="I664" t="s">
        <v>820</v>
      </c>
      <c r="J664" t="s">
        <v>865</v>
      </c>
      <c r="K664" t="s">
        <v>797</v>
      </c>
    </row>
    <row r="665" spans="2:11" x14ac:dyDescent="0.25">
      <c r="B665" s="191"/>
      <c r="C665" s="191"/>
      <c r="D665" s="192" t="s">
        <v>2103</v>
      </c>
      <c r="E665" t="s">
        <v>2104</v>
      </c>
      <c r="F665" s="192" t="s">
        <v>2098</v>
      </c>
      <c r="G665" s="192" t="s">
        <v>790</v>
      </c>
      <c r="H665" s="192" t="s">
        <v>790</v>
      </c>
      <c r="I665" t="s">
        <v>820</v>
      </c>
      <c r="J665" t="s">
        <v>865</v>
      </c>
      <c r="K665" t="s">
        <v>797</v>
      </c>
    </row>
    <row r="666" spans="2:11" x14ac:dyDescent="0.25">
      <c r="B666" s="191"/>
      <c r="C666" s="191" t="s">
        <v>2105</v>
      </c>
      <c r="D666" s="192"/>
      <c r="E666" s="185" t="s">
        <v>2106</v>
      </c>
      <c r="F666" s="192" t="s">
        <v>789</v>
      </c>
      <c r="G666" s="192" t="s">
        <v>790</v>
      </c>
      <c r="H666" s="192" t="s">
        <v>790</v>
      </c>
      <c r="I666" t="s">
        <v>820</v>
      </c>
    </row>
    <row r="667" spans="2:11" x14ac:dyDescent="0.25">
      <c r="B667" s="191"/>
      <c r="C667" s="191"/>
      <c r="D667" s="192" t="s">
        <v>2107</v>
      </c>
      <c r="E667" t="s">
        <v>2108</v>
      </c>
      <c r="F667" s="192" t="s">
        <v>2098</v>
      </c>
      <c r="G667" s="192" t="s">
        <v>790</v>
      </c>
      <c r="H667" s="192" t="s">
        <v>790</v>
      </c>
      <c r="I667" t="s">
        <v>820</v>
      </c>
      <c r="J667" t="s">
        <v>865</v>
      </c>
      <c r="K667" t="s">
        <v>797</v>
      </c>
    </row>
    <row r="668" spans="2:11" x14ac:dyDescent="0.25">
      <c r="B668" s="191"/>
      <c r="C668" s="191"/>
      <c r="D668" s="192" t="s">
        <v>2109</v>
      </c>
      <c r="E668" t="s">
        <v>2110</v>
      </c>
      <c r="F668" s="192" t="s">
        <v>2098</v>
      </c>
      <c r="G668" s="192" t="s">
        <v>790</v>
      </c>
      <c r="H668" s="192" t="s">
        <v>790</v>
      </c>
      <c r="I668" t="s">
        <v>820</v>
      </c>
      <c r="J668" t="s">
        <v>865</v>
      </c>
      <c r="K668" t="s">
        <v>797</v>
      </c>
    </row>
    <row r="669" spans="2:11" x14ac:dyDescent="0.25">
      <c r="B669" s="191"/>
      <c r="C669" s="191"/>
      <c r="D669" s="192" t="s">
        <v>2111</v>
      </c>
      <c r="E669" t="s">
        <v>2112</v>
      </c>
      <c r="F669" s="192" t="s">
        <v>2098</v>
      </c>
      <c r="G669" s="192" t="s">
        <v>790</v>
      </c>
      <c r="H669" s="192" t="s">
        <v>790</v>
      </c>
      <c r="I669" t="s">
        <v>820</v>
      </c>
      <c r="J669" t="s">
        <v>865</v>
      </c>
      <c r="K669" t="s">
        <v>797</v>
      </c>
    </row>
    <row r="670" spans="2:11" x14ac:dyDescent="0.25">
      <c r="B670" s="191"/>
      <c r="C670" s="191"/>
      <c r="D670" s="192" t="s">
        <v>2113</v>
      </c>
      <c r="E670" t="s">
        <v>2114</v>
      </c>
      <c r="F670" s="192" t="s">
        <v>2098</v>
      </c>
      <c r="G670" s="192" t="s">
        <v>790</v>
      </c>
      <c r="H670" s="192" t="s">
        <v>790</v>
      </c>
      <c r="I670" t="s">
        <v>820</v>
      </c>
      <c r="J670" t="s">
        <v>865</v>
      </c>
      <c r="K670" t="s">
        <v>797</v>
      </c>
    </row>
    <row r="671" spans="2:11" x14ac:dyDescent="0.25">
      <c r="B671" s="191"/>
      <c r="C671" s="191" t="s">
        <v>2115</v>
      </c>
      <c r="D671" s="192"/>
      <c r="E671" s="185" t="s">
        <v>2116</v>
      </c>
      <c r="F671" s="192" t="s">
        <v>789</v>
      </c>
      <c r="G671" s="192" t="s">
        <v>790</v>
      </c>
      <c r="H671" s="192" t="s">
        <v>790</v>
      </c>
      <c r="I671" t="s">
        <v>820</v>
      </c>
    </row>
    <row r="672" spans="2:11" x14ac:dyDescent="0.25">
      <c r="B672" s="191"/>
      <c r="C672" s="191" t="s">
        <v>2117</v>
      </c>
      <c r="D672" s="192"/>
      <c r="E672" s="185" t="s">
        <v>2116</v>
      </c>
      <c r="F672" s="192" t="s">
        <v>789</v>
      </c>
      <c r="G672" s="192" t="s">
        <v>790</v>
      </c>
      <c r="H672" s="192" t="s">
        <v>790</v>
      </c>
      <c r="I672" t="s">
        <v>820</v>
      </c>
    </row>
    <row r="673" spans="2:11" x14ac:dyDescent="0.25">
      <c r="B673" s="191"/>
      <c r="C673" s="191"/>
      <c r="D673" s="192" t="s">
        <v>2118</v>
      </c>
      <c r="E673" t="s">
        <v>2119</v>
      </c>
      <c r="F673" s="192" t="s">
        <v>2098</v>
      </c>
      <c r="G673" s="192" t="s">
        <v>790</v>
      </c>
      <c r="H673" s="192" t="s">
        <v>790</v>
      </c>
      <c r="I673" t="s">
        <v>820</v>
      </c>
      <c r="J673" t="s">
        <v>865</v>
      </c>
      <c r="K673" t="s">
        <v>797</v>
      </c>
    </row>
    <row r="674" spans="2:11" x14ac:dyDescent="0.25">
      <c r="B674" s="191"/>
      <c r="C674" s="191"/>
      <c r="D674" s="192" t="s">
        <v>2120</v>
      </c>
      <c r="E674" t="s">
        <v>2121</v>
      </c>
      <c r="F674" s="192" t="s">
        <v>2098</v>
      </c>
      <c r="G674" s="192" t="s">
        <v>790</v>
      </c>
      <c r="H674" s="192" t="s">
        <v>790</v>
      </c>
      <c r="I674" t="s">
        <v>820</v>
      </c>
      <c r="J674" t="s">
        <v>865</v>
      </c>
      <c r="K674" t="s">
        <v>797</v>
      </c>
    </row>
    <row r="675" spans="2:11" x14ac:dyDescent="0.25">
      <c r="B675" s="191"/>
      <c r="C675" s="191" t="s">
        <v>2122</v>
      </c>
      <c r="D675" s="192"/>
      <c r="E675" s="185" t="s">
        <v>2123</v>
      </c>
      <c r="F675" s="192" t="s">
        <v>789</v>
      </c>
      <c r="G675" s="192" t="s">
        <v>790</v>
      </c>
      <c r="H675" s="192" t="s">
        <v>790</v>
      </c>
      <c r="I675" t="s">
        <v>820</v>
      </c>
    </row>
    <row r="676" spans="2:11" x14ac:dyDescent="0.25">
      <c r="B676" s="191"/>
      <c r="C676" s="191" t="s">
        <v>2124</v>
      </c>
      <c r="D676" s="192"/>
      <c r="E676" s="185" t="s">
        <v>2125</v>
      </c>
      <c r="F676" s="192" t="s">
        <v>789</v>
      </c>
      <c r="G676" s="192" t="s">
        <v>790</v>
      </c>
      <c r="H676" s="192" t="s">
        <v>790</v>
      </c>
      <c r="I676" t="s">
        <v>820</v>
      </c>
    </row>
    <row r="677" spans="2:11" x14ac:dyDescent="0.25">
      <c r="B677" s="191"/>
      <c r="C677" s="191"/>
      <c r="D677" s="192" t="s">
        <v>2126</v>
      </c>
      <c r="E677" t="s">
        <v>2127</v>
      </c>
      <c r="F677" s="192" t="s">
        <v>2098</v>
      </c>
      <c r="G677" s="192" t="s">
        <v>790</v>
      </c>
      <c r="H677" s="192" t="s">
        <v>790</v>
      </c>
      <c r="I677" t="s">
        <v>820</v>
      </c>
      <c r="J677" t="s">
        <v>865</v>
      </c>
      <c r="K677" t="s">
        <v>797</v>
      </c>
    </row>
    <row r="678" spans="2:11" x14ac:dyDescent="0.25">
      <c r="B678" s="191"/>
      <c r="C678" s="191"/>
      <c r="D678" s="192" t="s">
        <v>2128</v>
      </c>
      <c r="E678" t="s">
        <v>2129</v>
      </c>
      <c r="F678" s="192" t="s">
        <v>2098</v>
      </c>
      <c r="G678" s="192" t="s">
        <v>790</v>
      </c>
      <c r="H678" s="192" t="s">
        <v>790</v>
      </c>
      <c r="I678" t="s">
        <v>820</v>
      </c>
      <c r="J678" t="s">
        <v>865</v>
      </c>
      <c r="K678" t="s">
        <v>797</v>
      </c>
    </row>
    <row r="679" spans="2:11" x14ac:dyDescent="0.25">
      <c r="B679" s="191"/>
      <c r="C679" s="191"/>
      <c r="D679" s="192" t="s">
        <v>2130</v>
      </c>
      <c r="E679" t="s">
        <v>2131</v>
      </c>
      <c r="F679" s="192" t="s">
        <v>2098</v>
      </c>
      <c r="G679" s="192" t="s">
        <v>790</v>
      </c>
      <c r="H679" s="192" t="s">
        <v>790</v>
      </c>
      <c r="I679" t="s">
        <v>820</v>
      </c>
      <c r="J679" t="s">
        <v>865</v>
      </c>
      <c r="K679" t="s">
        <v>797</v>
      </c>
    </row>
    <row r="680" spans="2:11" x14ac:dyDescent="0.25">
      <c r="B680" s="191"/>
      <c r="C680" s="191" t="s">
        <v>2132</v>
      </c>
      <c r="D680" s="192"/>
      <c r="E680" s="185" t="s">
        <v>2133</v>
      </c>
      <c r="F680" s="192" t="s">
        <v>789</v>
      </c>
      <c r="G680" s="192" t="s">
        <v>790</v>
      </c>
      <c r="H680" s="192" t="s">
        <v>790</v>
      </c>
      <c r="I680" t="s">
        <v>820</v>
      </c>
    </row>
    <row r="681" spans="2:11" x14ac:dyDescent="0.25">
      <c r="B681" s="191"/>
      <c r="C681" s="191"/>
      <c r="D681" s="192" t="s">
        <v>2134</v>
      </c>
      <c r="E681" t="s">
        <v>2135</v>
      </c>
      <c r="F681" s="192" t="s">
        <v>2098</v>
      </c>
      <c r="G681" s="192" t="s">
        <v>790</v>
      </c>
      <c r="H681" s="192" t="s">
        <v>790</v>
      </c>
      <c r="I681" t="s">
        <v>820</v>
      </c>
      <c r="J681" t="s">
        <v>865</v>
      </c>
      <c r="K681" t="s">
        <v>797</v>
      </c>
    </row>
    <row r="682" spans="2:11" x14ac:dyDescent="0.25">
      <c r="B682" s="191"/>
      <c r="C682" s="191"/>
      <c r="D682" s="192" t="s">
        <v>2136</v>
      </c>
      <c r="E682" t="s">
        <v>2137</v>
      </c>
      <c r="F682" s="192" t="s">
        <v>2098</v>
      </c>
      <c r="G682" s="192" t="s">
        <v>790</v>
      </c>
      <c r="H682" s="192" t="s">
        <v>790</v>
      </c>
      <c r="I682" t="s">
        <v>820</v>
      </c>
      <c r="J682" t="s">
        <v>865</v>
      </c>
      <c r="K682" t="s">
        <v>797</v>
      </c>
    </row>
    <row r="683" spans="2:11" x14ac:dyDescent="0.25">
      <c r="B683" s="191"/>
      <c r="C683" s="191"/>
      <c r="D683" s="192" t="s">
        <v>2138</v>
      </c>
      <c r="E683" t="s">
        <v>2139</v>
      </c>
      <c r="F683" s="192" t="s">
        <v>2098</v>
      </c>
      <c r="G683" s="192" t="s">
        <v>790</v>
      </c>
      <c r="H683" s="192" t="s">
        <v>790</v>
      </c>
      <c r="I683" t="s">
        <v>820</v>
      </c>
      <c r="J683" t="s">
        <v>865</v>
      </c>
      <c r="K683" t="s">
        <v>797</v>
      </c>
    </row>
    <row r="684" spans="2:11" x14ac:dyDescent="0.25">
      <c r="B684" s="191"/>
      <c r="C684" s="191" t="s">
        <v>2140</v>
      </c>
      <c r="D684" s="192"/>
      <c r="E684" s="185" t="s">
        <v>2141</v>
      </c>
      <c r="F684" s="192" t="s">
        <v>789</v>
      </c>
      <c r="G684" s="192" t="s">
        <v>790</v>
      </c>
      <c r="H684" s="192" t="s">
        <v>790</v>
      </c>
      <c r="I684" t="s">
        <v>820</v>
      </c>
    </row>
    <row r="685" spans="2:11" x14ac:dyDescent="0.25">
      <c r="B685" s="191"/>
      <c r="C685" s="191"/>
      <c r="D685" s="192" t="s">
        <v>2142</v>
      </c>
      <c r="E685" t="s">
        <v>2143</v>
      </c>
      <c r="F685" s="192" t="s">
        <v>2098</v>
      </c>
      <c r="G685" s="192" t="s">
        <v>790</v>
      </c>
      <c r="H685" s="192" t="s">
        <v>790</v>
      </c>
      <c r="I685" t="s">
        <v>820</v>
      </c>
      <c r="J685" t="s">
        <v>865</v>
      </c>
      <c r="K685" t="s">
        <v>797</v>
      </c>
    </row>
    <row r="686" spans="2:11" x14ac:dyDescent="0.25">
      <c r="B686" s="191"/>
      <c r="C686" s="191"/>
      <c r="D686" s="192" t="s">
        <v>2144</v>
      </c>
      <c r="E686" t="s">
        <v>2145</v>
      </c>
      <c r="F686" s="192" t="s">
        <v>2098</v>
      </c>
      <c r="G686" s="192" t="s">
        <v>790</v>
      </c>
      <c r="H686" s="192" t="s">
        <v>790</v>
      </c>
      <c r="I686" t="s">
        <v>820</v>
      </c>
      <c r="J686" t="s">
        <v>865</v>
      </c>
      <c r="K686" t="s">
        <v>797</v>
      </c>
    </row>
    <row r="687" spans="2:11" x14ac:dyDescent="0.25">
      <c r="B687" s="191"/>
      <c r="C687" s="191"/>
      <c r="D687" s="192" t="s">
        <v>2146</v>
      </c>
      <c r="E687" t="s">
        <v>2147</v>
      </c>
      <c r="F687" s="192" t="s">
        <v>2098</v>
      </c>
      <c r="G687" s="192" t="s">
        <v>790</v>
      </c>
      <c r="H687" s="192" t="s">
        <v>790</v>
      </c>
      <c r="I687" t="s">
        <v>820</v>
      </c>
      <c r="J687" t="s">
        <v>865</v>
      </c>
      <c r="K687" t="s">
        <v>797</v>
      </c>
    </row>
    <row r="688" spans="2:11" x14ac:dyDescent="0.25">
      <c r="B688" s="191"/>
      <c r="C688" s="191" t="s">
        <v>2148</v>
      </c>
      <c r="D688" s="192"/>
      <c r="E688" s="185" t="s">
        <v>2149</v>
      </c>
      <c r="F688" s="192" t="s">
        <v>789</v>
      </c>
      <c r="G688" s="192" t="s">
        <v>790</v>
      </c>
      <c r="H688" s="192" t="s">
        <v>790</v>
      </c>
      <c r="I688" t="s">
        <v>820</v>
      </c>
    </row>
    <row r="689" spans="2:11" x14ac:dyDescent="0.25">
      <c r="B689" s="191"/>
      <c r="C689" s="191" t="s">
        <v>2150</v>
      </c>
      <c r="D689" s="192"/>
      <c r="E689" s="185" t="s">
        <v>2149</v>
      </c>
      <c r="F689" s="192" t="s">
        <v>789</v>
      </c>
      <c r="G689" s="192" t="s">
        <v>790</v>
      </c>
      <c r="H689" s="192" t="s">
        <v>790</v>
      </c>
      <c r="I689" t="s">
        <v>820</v>
      </c>
    </row>
    <row r="690" spans="2:11" x14ac:dyDescent="0.25">
      <c r="B690" s="191"/>
      <c r="C690" s="191"/>
      <c r="D690" s="192" t="s">
        <v>2151</v>
      </c>
      <c r="E690" t="s">
        <v>2152</v>
      </c>
      <c r="F690" s="192" t="s">
        <v>2098</v>
      </c>
      <c r="G690" s="192" t="s">
        <v>790</v>
      </c>
      <c r="H690" s="192" t="s">
        <v>790</v>
      </c>
      <c r="I690" t="s">
        <v>820</v>
      </c>
      <c r="J690" t="s">
        <v>865</v>
      </c>
      <c r="K690" t="s">
        <v>797</v>
      </c>
    </row>
    <row r="691" spans="2:11" x14ac:dyDescent="0.25">
      <c r="B691" s="191"/>
      <c r="C691" s="191"/>
      <c r="D691" s="192" t="s">
        <v>2153</v>
      </c>
      <c r="E691" t="s">
        <v>2154</v>
      </c>
      <c r="F691" s="192" t="s">
        <v>2098</v>
      </c>
      <c r="G691" s="192" t="s">
        <v>790</v>
      </c>
      <c r="H691" s="192" t="s">
        <v>790</v>
      </c>
      <c r="I691" t="s">
        <v>820</v>
      </c>
      <c r="J691" t="s">
        <v>865</v>
      </c>
      <c r="K691" t="s">
        <v>797</v>
      </c>
    </row>
    <row r="692" spans="2:11" x14ac:dyDescent="0.25">
      <c r="B692" s="191"/>
      <c r="C692" s="191"/>
      <c r="D692" s="192" t="s">
        <v>2155</v>
      </c>
      <c r="E692" t="s">
        <v>2156</v>
      </c>
      <c r="F692" s="192" t="s">
        <v>2098</v>
      </c>
      <c r="G692" s="192" t="s">
        <v>790</v>
      </c>
      <c r="H692" s="192" t="s">
        <v>790</v>
      </c>
      <c r="I692" t="s">
        <v>820</v>
      </c>
      <c r="J692" t="s">
        <v>865</v>
      </c>
      <c r="K692" t="s">
        <v>797</v>
      </c>
    </row>
    <row r="693" spans="2:11" x14ac:dyDescent="0.25">
      <c r="B693" s="191"/>
      <c r="C693" s="191" t="s">
        <v>2157</v>
      </c>
      <c r="D693" s="192"/>
      <c r="E693" s="185" t="s">
        <v>2158</v>
      </c>
      <c r="F693" s="192" t="s">
        <v>789</v>
      </c>
      <c r="G693" s="192" t="s">
        <v>790</v>
      </c>
      <c r="H693" s="192" t="s">
        <v>790</v>
      </c>
      <c r="I693" t="s">
        <v>820</v>
      </c>
    </row>
    <row r="694" spans="2:11" x14ac:dyDescent="0.25">
      <c r="B694" s="191"/>
      <c r="C694" s="191" t="s">
        <v>2159</v>
      </c>
      <c r="D694" s="192"/>
      <c r="E694" s="185" t="s">
        <v>2160</v>
      </c>
      <c r="F694" s="192" t="s">
        <v>789</v>
      </c>
      <c r="G694" s="192" t="s">
        <v>790</v>
      </c>
      <c r="H694" s="192" t="s">
        <v>790</v>
      </c>
      <c r="I694" t="s">
        <v>820</v>
      </c>
    </row>
    <row r="695" spans="2:11" x14ac:dyDescent="0.25">
      <c r="B695" s="191"/>
      <c r="C695" s="191"/>
      <c r="D695" s="192" t="s">
        <v>2161</v>
      </c>
      <c r="E695" t="s">
        <v>2162</v>
      </c>
      <c r="F695" s="192" t="s">
        <v>2098</v>
      </c>
      <c r="G695" s="192" t="s">
        <v>790</v>
      </c>
      <c r="H695" s="192" t="s">
        <v>790</v>
      </c>
      <c r="I695" t="s">
        <v>820</v>
      </c>
      <c r="J695" t="s">
        <v>865</v>
      </c>
      <c r="K695" t="s">
        <v>797</v>
      </c>
    </row>
    <row r="696" spans="2:11" x14ac:dyDescent="0.25">
      <c r="B696" s="191"/>
      <c r="C696" s="191"/>
      <c r="D696" s="192" t="s">
        <v>2163</v>
      </c>
      <c r="E696" t="s">
        <v>2164</v>
      </c>
      <c r="F696" s="192" t="s">
        <v>2098</v>
      </c>
      <c r="G696" s="192" t="s">
        <v>790</v>
      </c>
      <c r="H696" s="192" t="s">
        <v>790</v>
      </c>
      <c r="I696" t="s">
        <v>820</v>
      </c>
      <c r="J696" t="s">
        <v>865</v>
      </c>
      <c r="K696" t="s">
        <v>797</v>
      </c>
    </row>
    <row r="697" spans="2:11" x14ac:dyDescent="0.25">
      <c r="B697" s="191"/>
      <c r="C697" s="191" t="s">
        <v>2165</v>
      </c>
      <c r="D697" s="192"/>
      <c r="E697" s="185" t="s">
        <v>2166</v>
      </c>
      <c r="F697" s="192" t="s">
        <v>789</v>
      </c>
      <c r="G697" s="192" t="s">
        <v>790</v>
      </c>
      <c r="H697" s="192" t="s">
        <v>790</v>
      </c>
      <c r="I697" t="s">
        <v>820</v>
      </c>
    </row>
    <row r="698" spans="2:11" x14ac:dyDescent="0.25">
      <c r="B698" s="191"/>
      <c r="C698" s="191"/>
      <c r="D698" s="192" t="s">
        <v>2167</v>
      </c>
      <c r="E698" t="s">
        <v>2168</v>
      </c>
      <c r="F698" s="192" t="s">
        <v>2098</v>
      </c>
      <c r="G698" s="192" t="s">
        <v>790</v>
      </c>
      <c r="H698" s="192" t="s">
        <v>790</v>
      </c>
      <c r="I698" t="s">
        <v>820</v>
      </c>
      <c r="J698" t="s">
        <v>865</v>
      </c>
      <c r="K698" t="s">
        <v>797</v>
      </c>
    </row>
    <row r="699" spans="2:11" x14ac:dyDescent="0.25">
      <c r="B699" s="191"/>
      <c r="C699" s="191"/>
      <c r="D699" s="192" t="s">
        <v>2169</v>
      </c>
      <c r="E699" t="s">
        <v>2170</v>
      </c>
      <c r="F699" s="192" t="s">
        <v>2098</v>
      </c>
      <c r="G699" s="192" t="s">
        <v>790</v>
      </c>
      <c r="H699" s="192" t="s">
        <v>790</v>
      </c>
      <c r="I699" t="s">
        <v>820</v>
      </c>
      <c r="J699" t="s">
        <v>865</v>
      </c>
      <c r="K699" t="s">
        <v>797</v>
      </c>
    </row>
    <row r="700" spans="2:11" x14ac:dyDescent="0.25">
      <c r="B700" s="191"/>
      <c r="C700" s="191" t="s">
        <v>2171</v>
      </c>
      <c r="D700" s="192"/>
      <c r="E700" s="185" t="s">
        <v>2172</v>
      </c>
      <c r="F700" s="192" t="s">
        <v>789</v>
      </c>
      <c r="G700" s="192" t="s">
        <v>790</v>
      </c>
      <c r="H700" s="192" t="s">
        <v>790</v>
      </c>
      <c r="I700" t="s">
        <v>820</v>
      </c>
    </row>
    <row r="701" spans="2:11" x14ac:dyDescent="0.25">
      <c r="B701" s="191"/>
      <c r="C701" s="191" t="s">
        <v>2173</v>
      </c>
      <c r="D701" s="192"/>
      <c r="E701" s="185" t="s">
        <v>2174</v>
      </c>
      <c r="F701" s="192" t="s">
        <v>789</v>
      </c>
      <c r="G701" s="192" t="s">
        <v>790</v>
      </c>
      <c r="H701" s="192" t="s">
        <v>790</v>
      </c>
      <c r="I701" t="s">
        <v>820</v>
      </c>
    </row>
    <row r="702" spans="2:11" x14ac:dyDescent="0.25">
      <c r="B702" s="191"/>
      <c r="C702" s="191"/>
      <c r="D702" s="192" t="s">
        <v>2175</v>
      </c>
      <c r="E702" t="s">
        <v>2176</v>
      </c>
      <c r="F702" s="192" t="s">
        <v>2098</v>
      </c>
      <c r="G702" s="192" t="s">
        <v>790</v>
      </c>
      <c r="H702" s="192" t="s">
        <v>790</v>
      </c>
      <c r="I702" t="s">
        <v>820</v>
      </c>
      <c r="J702" t="s">
        <v>865</v>
      </c>
      <c r="K702" t="s">
        <v>797</v>
      </c>
    </row>
    <row r="703" spans="2:11" x14ac:dyDescent="0.25">
      <c r="B703" s="191"/>
      <c r="C703" s="191"/>
      <c r="D703" s="192" t="s">
        <v>2177</v>
      </c>
      <c r="E703" t="s">
        <v>2178</v>
      </c>
      <c r="F703" s="192" t="s">
        <v>2098</v>
      </c>
      <c r="G703" s="192" t="s">
        <v>790</v>
      </c>
      <c r="H703" s="192" t="s">
        <v>790</v>
      </c>
      <c r="I703" t="s">
        <v>820</v>
      </c>
      <c r="J703" t="s">
        <v>865</v>
      </c>
      <c r="K703" t="s">
        <v>797</v>
      </c>
    </row>
    <row r="704" spans="2:11" x14ac:dyDescent="0.25">
      <c r="B704" s="191"/>
      <c r="C704" s="191" t="s">
        <v>2179</v>
      </c>
      <c r="D704" s="192"/>
      <c r="E704" s="185" t="s">
        <v>2180</v>
      </c>
      <c r="F704" s="192" t="s">
        <v>789</v>
      </c>
      <c r="G704" s="192" t="s">
        <v>790</v>
      </c>
      <c r="H704" s="192" t="s">
        <v>790</v>
      </c>
      <c r="I704" t="s">
        <v>820</v>
      </c>
    </row>
    <row r="705" spans="2:11" x14ac:dyDescent="0.25">
      <c r="B705" s="191"/>
      <c r="C705" s="191"/>
      <c r="D705" s="192" t="s">
        <v>2181</v>
      </c>
      <c r="E705" t="s">
        <v>2182</v>
      </c>
      <c r="F705" s="192" t="s">
        <v>2098</v>
      </c>
      <c r="G705" s="192" t="s">
        <v>790</v>
      </c>
      <c r="H705" s="192" t="s">
        <v>790</v>
      </c>
      <c r="I705" t="s">
        <v>820</v>
      </c>
      <c r="J705" t="s">
        <v>865</v>
      </c>
      <c r="K705" t="s">
        <v>797</v>
      </c>
    </row>
    <row r="706" spans="2:11" x14ac:dyDescent="0.25">
      <c r="B706" s="191"/>
      <c r="C706" s="191"/>
      <c r="D706" s="192" t="s">
        <v>2183</v>
      </c>
      <c r="E706" t="s">
        <v>2184</v>
      </c>
      <c r="F706" s="192" t="s">
        <v>2098</v>
      </c>
      <c r="G706" s="192" t="s">
        <v>790</v>
      </c>
      <c r="H706" s="192" t="s">
        <v>790</v>
      </c>
      <c r="I706" t="s">
        <v>820</v>
      </c>
      <c r="J706" t="s">
        <v>865</v>
      </c>
      <c r="K706" t="s">
        <v>797</v>
      </c>
    </row>
    <row r="707" spans="2:11" x14ac:dyDescent="0.25">
      <c r="B707" s="191"/>
      <c r="C707" s="191" t="s">
        <v>2185</v>
      </c>
      <c r="D707" s="192"/>
      <c r="E707" s="185" t="s">
        <v>2186</v>
      </c>
      <c r="F707" s="192" t="s">
        <v>789</v>
      </c>
      <c r="G707" s="192" t="s">
        <v>790</v>
      </c>
      <c r="H707" s="192" t="s">
        <v>790</v>
      </c>
      <c r="I707" t="s">
        <v>820</v>
      </c>
    </row>
    <row r="708" spans="2:11" s="91" customFormat="1" x14ac:dyDescent="0.25">
      <c r="B708" s="193"/>
      <c r="C708" s="193" t="s">
        <v>2187</v>
      </c>
      <c r="D708" s="194"/>
      <c r="E708" s="195" t="s">
        <v>2188</v>
      </c>
      <c r="F708" s="194" t="s">
        <v>789</v>
      </c>
      <c r="G708" s="194" t="s">
        <v>790</v>
      </c>
      <c r="H708" s="194" t="s">
        <v>790</v>
      </c>
      <c r="I708" s="91" t="s">
        <v>820</v>
      </c>
    </row>
    <row r="709" spans="2:11" x14ac:dyDescent="0.25">
      <c r="B709" s="191"/>
      <c r="C709" s="191"/>
      <c r="D709" s="192" t="s">
        <v>2189</v>
      </c>
      <c r="E709" t="s">
        <v>2190</v>
      </c>
      <c r="F709" s="192" t="s">
        <v>2098</v>
      </c>
      <c r="G709" s="192" t="s">
        <v>790</v>
      </c>
      <c r="H709" s="192" t="s">
        <v>790</v>
      </c>
      <c r="I709" t="s">
        <v>820</v>
      </c>
      <c r="J709" t="s">
        <v>865</v>
      </c>
      <c r="K709" t="s">
        <v>797</v>
      </c>
    </row>
    <row r="710" spans="2:11" x14ac:dyDescent="0.25">
      <c r="B710" s="191"/>
      <c r="C710" s="191"/>
      <c r="D710" s="192" t="s">
        <v>2191</v>
      </c>
      <c r="E710" t="s">
        <v>2192</v>
      </c>
      <c r="F710" s="192" t="s">
        <v>2098</v>
      </c>
      <c r="G710" s="192" t="s">
        <v>790</v>
      </c>
      <c r="H710" s="192" t="s">
        <v>790</v>
      </c>
      <c r="I710" t="s">
        <v>820</v>
      </c>
      <c r="J710" t="s">
        <v>865</v>
      </c>
      <c r="K710" t="s">
        <v>797</v>
      </c>
    </row>
    <row r="711" spans="2:11" x14ac:dyDescent="0.25">
      <c r="B711" s="191"/>
      <c r="C711" s="191" t="s">
        <v>2193</v>
      </c>
      <c r="D711" s="192"/>
      <c r="E711" s="185" t="s">
        <v>2194</v>
      </c>
      <c r="F711" s="192" t="s">
        <v>789</v>
      </c>
      <c r="G711" s="192" t="s">
        <v>790</v>
      </c>
      <c r="H711" s="192" t="s">
        <v>790</v>
      </c>
      <c r="I711" t="s">
        <v>820</v>
      </c>
    </row>
    <row r="712" spans="2:11" x14ac:dyDescent="0.25">
      <c r="B712" s="191"/>
      <c r="C712" s="191"/>
      <c r="D712" s="192" t="s">
        <v>2195</v>
      </c>
      <c r="E712" t="s">
        <v>2196</v>
      </c>
      <c r="F712" s="192" t="s">
        <v>2098</v>
      </c>
      <c r="G712" s="192" t="s">
        <v>790</v>
      </c>
      <c r="H712" s="192" t="s">
        <v>790</v>
      </c>
      <c r="I712" t="s">
        <v>820</v>
      </c>
      <c r="J712" t="s">
        <v>865</v>
      </c>
      <c r="K712" t="s">
        <v>797</v>
      </c>
    </row>
    <row r="713" spans="2:11" x14ac:dyDescent="0.25">
      <c r="B713" s="191"/>
      <c r="C713" s="191"/>
      <c r="D713" s="192" t="s">
        <v>2197</v>
      </c>
      <c r="E713" t="s">
        <v>2198</v>
      </c>
      <c r="F713" s="192" t="s">
        <v>2098</v>
      </c>
      <c r="G713" s="192" t="s">
        <v>790</v>
      </c>
      <c r="H713" s="192" t="s">
        <v>790</v>
      </c>
      <c r="I713" t="s">
        <v>820</v>
      </c>
      <c r="J713" t="s">
        <v>865</v>
      </c>
      <c r="K713" t="s">
        <v>797</v>
      </c>
    </row>
    <row r="714" spans="2:11" x14ac:dyDescent="0.25">
      <c r="B714" s="191"/>
      <c r="C714" s="191" t="s">
        <v>2199</v>
      </c>
      <c r="D714" s="192"/>
      <c r="E714" s="185" t="s">
        <v>2200</v>
      </c>
      <c r="F714" s="192" t="s">
        <v>789</v>
      </c>
      <c r="G714" s="192" t="s">
        <v>790</v>
      </c>
      <c r="H714" s="192" t="s">
        <v>790</v>
      </c>
      <c r="I714" t="s">
        <v>820</v>
      </c>
    </row>
    <row r="715" spans="2:11" x14ac:dyDescent="0.25">
      <c r="B715" s="191"/>
      <c r="C715" s="191"/>
      <c r="D715" s="192" t="s">
        <v>2201</v>
      </c>
      <c r="E715" t="s">
        <v>2202</v>
      </c>
      <c r="F715" s="192" t="s">
        <v>2098</v>
      </c>
      <c r="G715" s="192" t="s">
        <v>790</v>
      </c>
      <c r="H715" s="192" t="s">
        <v>790</v>
      </c>
      <c r="I715" t="s">
        <v>820</v>
      </c>
      <c r="J715" t="s">
        <v>865</v>
      </c>
      <c r="K715" t="s">
        <v>797</v>
      </c>
    </row>
    <row r="716" spans="2:11" x14ac:dyDescent="0.25">
      <c r="B716" s="191"/>
      <c r="C716" s="191"/>
      <c r="D716" s="192" t="s">
        <v>2203</v>
      </c>
      <c r="E716" t="s">
        <v>2204</v>
      </c>
      <c r="F716" s="192" t="s">
        <v>2098</v>
      </c>
      <c r="G716" s="192" t="s">
        <v>790</v>
      </c>
      <c r="H716" s="192" t="s">
        <v>790</v>
      </c>
      <c r="I716" t="s">
        <v>820</v>
      </c>
      <c r="J716" t="s">
        <v>865</v>
      </c>
      <c r="K716" t="s">
        <v>797</v>
      </c>
    </row>
    <row r="717" spans="2:11" x14ac:dyDescent="0.25">
      <c r="B717" s="191"/>
      <c r="C717" s="191" t="s">
        <v>2205</v>
      </c>
      <c r="D717" s="192"/>
      <c r="E717" s="185" t="s">
        <v>2206</v>
      </c>
      <c r="F717" s="192" t="s">
        <v>789</v>
      </c>
      <c r="G717" s="192" t="s">
        <v>790</v>
      </c>
      <c r="H717" s="192" t="s">
        <v>790</v>
      </c>
      <c r="I717" t="s">
        <v>820</v>
      </c>
    </row>
    <row r="718" spans="2:11" x14ac:dyDescent="0.25">
      <c r="B718" s="191"/>
      <c r="C718" s="191"/>
      <c r="D718" s="192" t="s">
        <v>2207</v>
      </c>
      <c r="E718" t="s">
        <v>2208</v>
      </c>
      <c r="F718" s="192" t="s">
        <v>2098</v>
      </c>
      <c r="G718" s="192" t="s">
        <v>790</v>
      </c>
      <c r="H718" s="192" t="s">
        <v>790</v>
      </c>
      <c r="I718" t="s">
        <v>820</v>
      </c>
      <c r="J718" t="s">
        <v>865</v>
      </c>
      <c r="K718" t="s">
        <v>797</v>
      </c>
    </row>
    <row r="719" spans="2:11" x14ac:dyDescent="0.25">
      <c r="B719" s="191"/>
      <c r="C719" s="191"/>
      <c r="D719" s="192" t="s">
        <v>2209</v>
      </c>
      <c r="E719" t="s">
        <v>2210</v>
      </c>
      <c r="F719" s="192" t="s">
        <v>2098</v>
      </c>
      <c r="G719" s="192" t="s">
        <v>790</v>
      </c>
      <c r="H719" s="192" t="s">
        <v>790</v>
      </c>
      <c r="I719" t="s">
        <v>820</v>
      </c>
      <c r="J719" t="s">
        <v>865</v>
      </c>
      <c r="K719" t="s">
        <v>797</v>
      </c>
    </row>
    <row r="720" spans="2:11" x14ac:dyDescent="0.25">
      <c r="B720" s="191"/>
      <c r="C720" s="191" t="s">
        <v>2211</v>
      </c>
      <c r="D720" s="192"/>
      <c r="E720" s="185" t="s">
        <v>2212</v>
      </c>
      <c r="F720" s="192" t="s">
        <v>789</v>
      </c>
      <c r="G720" s="192" t="s">
        <v>790</v>
      </c>
      <c r="H720" s="192" t="s">
        <v>790</v>
      </c>
      <c r="I720" t="s">
        <v>820</v>
      </c>
    </row>
    <row r="721" spans="2:11" x14ac:dyDescent="0.25">
      <c r="B721" s="191"/>
      <c r="C721" s="191"/>
      <c r="D721" s="192" t="s">
        <v>2213</v>
      </c>
      <c r="E721" t="s">
        <v>2214</v>
      </c>
      <c r="F721" s="192" t="s">
        <v>2098</v>
      </c>
      <c r="G721" s="192" t="s">
        <v>790</v>
      </c>
      <c r="H721" s="192" t="s">
        <v>790</v>
      </c>
      <c r="I721" t="s">
        <v>820</v>
      </c>
      <c r="J721" t="s">
        <v>865</v>
      </c>
      <c r="K721" t="s">
        <v>797</v>
      </c>
    </row>
    <row r="722" spans="2:11" x14ac:dyDescent="0.25">
      <c r="B722" s="191"/>
      <c r="C722" s="191"/>
      <c r="D722" s="192" t="s">
        <v>2215</v>
      </c>
      <c r="E722" t="s">
        <v>2216</v>
      </c>
      <c r="F722" s="192" t="s">
        <v>2098</v>
      </c>
      <c r="G722" s="192" t="s">
        <v>790</v>
      </c>
      <c r="H722" s="192" t="s">
        <v>790</v>
      </c>
      <c r="I722" t="s">
        <v>820</v>
      </c>
      <c r="J722" t="s">
        <v>865</v>
      </c>
      <c r="K722" t="s">
        <v>797</v>
      </c>
    </row>
    <row r="723" spans="2:11" x14ac:dyDescent="0.25">
      <c r="B723" s="191"/>
      <c r="C723" s="191" t="s">
        <v>2217</v>
      </c>
      <c r="D723" s="192"/>
      <c r="E723" s="185" t="s">
        <v>2218</v>
      </c>
      <c r="F723" s="192" t="s">
        <v>789</v>
      </c>
      <c r="G723" s="192" t="s">
        <v>790</v>
      </c>
      <c r="H723" s="192" t="s">
        <v>790</v>
      </c>
      <c r="I723" t="s">
        <v>820</v>
      </c>
    </row>
    <row r="724" spans="2:11" x14ac:dyDescent="0.25">
      <c r="B724" s="191"/>
      <c r="C724" s="191" t="s">
        <v>2219</v>
      </c>
      <c r="D724" s="192"/>
      <c r="E724" s="185" t="s">
        <v>2220</v>
      </c>
      <c r="F724" s="192" t="s">
        <v>789</v>
      </c>
      <c r="G724" s="192" t="s">
        <v>790</v>
      </c>
      <c r="H724" s="192" t="s">
        <v>790</v>
      </c>
      <c r="I724" t="s">
        <v>820</v>
      </c>
    </row>
    <row r="725" spans="2:11" x14ac:dyDescent="0.25">
      <c r="B725" s="191"/>
      <c r="C725" s="191"/>
      <c r="D725" s="192" t="s">
        <v>2221</v>
      </c>
      <c r="E725" t="s">
        <v>2222</v>
      </c>
      <c r="F725" s="192" t="s">
        <v>2098</v>
      </c>
      <c r="G725" s="192" t="s">
        <v>790</v>
      </c>
      <c r="H725" s="192" t="s">
        <v>790</v>
      </c>
      <c r="I725" t="s">
        <v>820</v>
      </c>
      <c r="J725" t="s">
        <v>865</v>
      </c>
      <c r="K725" t="s">
        <v>797</v>
      </c>
    </row>
    <row r="726" spans="2:11" x14ac:dyDescent="0.25">
      <c r="B726" s="191"/>
      <c r="C726" s="191"/>
      <c r="D726" s="192" t="s">
        <v>2223</v>
      </c>
      <c r="E726" t="s">
        <v>2224</v>
      </c>
      <c r="F726" s="192" t="s">
        <v>2098</v>
      </c>
      <c r="G726" s="192" t="s">
        <v>790</v>
      </c>
      <c r="H726" s="192" t="s">
        <v>790</v>
      </c>
      <c r="I726" t="s">
        <v>820</v>
      </c>
      <c r="J726" t="s">
        <v>865</v>
      </c>
      <c r="K726" t="s">
        <v>797</v>
      </c>
    </row>
    <row r="727" spans="2:11" x14ac:dyDescent="0.25">
      <c r="B727" s="191"/>
      <c r="C727" s="191" t="s">
        <v>2225</v>
      </c>
      <c r="D727" s="192"/>
      <c r="E727" s="185" t="s">
        <v>2226</v>
      </c>
      <c r="F727" s="192" t="s">
        <v>789</v>
      </c>
      <c r="G727" s="192" t="s">
        <v>790</v>
      </c>
      <c r="H727" s="192" t="s">
        <v>790</v>
      </c>
      <c r="I727" t="s">
        <v>820</v>
      </c>
    </row>
    <row r="728" spans="2:11" x14ac:dyDescent="0.25">
      <c r="B728" s="191"/>
      <c r="C728" s="191"/>
      <c r="D728" s="192" t="s">
        <v>2227</v>
      </c>
      <c r="E728" t="s">
        <v>2228</v>
      </c>
      <c r="F728" s="192" t="s">
        <v>2098</v>
      </c>
      <c r="G728" s="192" t="s">
        <v>790</v>
      </c>
      <c r="H728" s="192" t="s">
        <v>790</v>
      </c>
      <c r="I728" t="s">
        <v>820</v>
      </c>
      <c r="J728" t="s">
        <v>865</v>
      </c>
      <c r="K728" t="s">
        <v>797</v>
      </c>
    </row>
    <row r="729" spans="2:11" x14ac:dyDescent="0.25">
      <c r="B729" s="191"/>
      <c r="C729" s="191"/>
      <c r="D729" s="192" t="s">
        <v>2229</v>
      </c>
      <c r="E729" t="s">
        <v>2230</v>
      </c>
      <c r="F729" s="192" t="s">
        <v>2098</v>
      </c>
      <c r="G729" s="192" t="s">
        <v>790</v>
      </c>
      <c r="H729" s="192" t="s">
        <v>790</v>
      </c>
      <c r="I729" t="s">
        <v>820</v>
      </c>
      <c r="J729" t="s">
        <v>865</v>
      </c>
      <c r="K729" t="s">
        <v>797</v>
      </c>
    </row>
    <row r="730" spans="2:11" x14ac:dyDescent="0.25">
      <c r="B730" s="191"/>
      <c r="C730" s="191" t="s">
        <v>2231</v>
      </c>
      <c r="D730" s="192"/>
      <c r="E730" s="185" t="s">
        <v>2232</v>
      </c>
      <c r="F730" s="192" t="s">
        <v>789</v>
      </c>
      <c r="G730" s="192" t="s">
        <v>790</v>
      </c>
      <c r="H730" s="192" t="s">
        <v>790</v>
      </c>
      <c r="I730" t="s">
        <v>820</v>
      </c>
    </row>
    <row r="731" spans="2:11" x14ac:dyDescent="0.25">
      <c r="B731" s="191"/>
      <c r="C731" s="191"/>
      <c r="D731" s="192" t="s">
        <v>2233</v>
      </c>
      <c r="E731" t="s">
        <v>2234</v>
      </c>
      <c r="F731" s="192" t="s">
        <v>2098</v>
      </c>
      <c r="G731" s="192" t="s">
        <v>790</v>
      </c>
      <c r="H731" s="192" t="s">
        <v>790</v>
      </c>
      <c r="I731" t="s">
        <v>820</v>
      </c>
      <c r="J731" t="s">
        <v>865</v>
      </c>
      <c r="K731" t="s">
        <v>797</v>
      </c>
    </row>
    <row r="732" spans="2:11" x14ac:dyDescent="0.25">
      <c r="B732" s="191"/>
      <c r="C732" s="191"/>
      <c r="D732" s="192" t="s">
        <v>2235</v>
      </c>
      <c r="E732" t="s">
        <v>2236</v>
      </c>
      <c r="F732" s="192" t="s">
        <v>2098</v>
      </c>
      <c r="G732" s="192" t="s">
        <v>790</v>
      </c>
      <c r="H732" s="192" t="s">
        <v>790</v>
      </c>
      <c r="I732" t="s">
        <v>820</v>
      </c>
      <c r="J732" t="s">
        <v>865</v>
      </c>
      <c r="K732" t="s">
        <v>797</v>
      </c>
    </row>
    <row r="733" spans="2:11" x14ac:dyDescent="0.25">
      <c r="B733" s="191"/>
      <c r="C733" s="191"/>
      <c r="D733" s="192" t="s">
        <v>2237</v>
      </c>
      <c r="E733" t="s">
        <v>2238</v>
      </c>
      <c r="F733" s="192" t="s">
        <v>2098</v>
      </c>
      <c r="G733" s="192" t="s">
        <v>790</v>
      </c>
      <c r="H733" s="192" t="s">
        <v>790</v>
      </c>
      <c r="I733" t="s">
        <v>820</v>
      </c>
      <c r="J733" t="s">
        <v>865</v>
      </c>
      <c r="K733" t="s">
        <v>797</v>
      </c>
    </row>
    <row r="734" spans="2:11" x14ac:dyDescent="0.25">
      <c r="B734" s="191"/>
      <c r="C734" s="191"/>
      <c r="D734" s="192" t="s">
        <v>2239</v>
      </c>
      <c r="E734" t="s">
        <v>2240</v>
      </c>
      <c r="F734" s="192" t="s">
        <v>2098</v>
      </c>
      <c r="G734" s="192" t="s">
        <v>790</v>
      </c>
      <c r="H734" s="192" t="s">
        <v>790</v>
      </c>
      <c r="I734" t="s">
        <v>820</v>
      </c>
      <c r="J734" t="s">
        <v>865</v>
      </c>
      <c r="K734" t="s">
        <v>797</v>
      </c>
    </row>
    <row r="735" spans="2:11" x14ac:dyDescent="0.25">
      <c r="B735" s="191"/>
      <c r="C735" s="191"/>
      <c r="D735" s="192" t="s">
        <v>2241</v>
      </c>
      <c r="E735" t="s">
        <v>2242</v>
      </c>
      <c r="F735" s="192" t="s">
        <v>2098</v>
      </c>
      <c r="G735" s="192" t="s">
        <v>790</v>
      </c>
      <c r="H735" s="192" t="s">
        <v>790</v>
      </c>
      <c r="I735" t="s">
        <v>820</v>
      </c>
      <c r="J735" t="s">
        <v>865</v>
      </c>
      <c r="K735" t="s">
        <v>797</v>
      </c>
    </row>
    <row r="736" spans="2:11" x14ac:dyDescent="0.25">
      <c r="B736" s="191"/>
      <c r="C736" s="191" t="s">
        <v>2243</v>
      </c>
      <c r="D736" s="192"/>
      <c r="E736" s="185" t="s">
        <v>2244</v>
      </c>
      <c r="F736" s="192" t="s">
        <v>789</v>
      </c>
      <c r="G736" s="192" t="s">
        <v>790</v>
      </c>
      <c r="H736" s="192" t="s">
        <v>790</v>
      </c>
      <c r="I736" t="s">
        <v>820</v>
      </c>
    </row>
    <row r="737" spans="2:11" x14ac:dyDescent="0.25">
      <c r="B737" s="191"/>
      <c r="C737" s="191"/>
      <c r="D737" s="192" t="s">
        <v>2245</v>
      </c>
      <c r="E737" t="s">
        <v>2246</v>
      </c>
      <c r="F737" s="192" t="s">
        <v>2098</v>
      </c>
      <c r="G737" s="192" t="s">
        <v>790</v>
      </c>
      <c r="H737" s="192" t="s">
        <v>790</v>
      </c>
      <c r="I737" t="s">
        <v>820</v>
      </c>
      <c r="J737" t="s">
        <v>865</v>
      </c>
      <c r="K737" t="s">
        <v>797</v>
      </c>
    </row>
    <row r="738" spans="2:11" x14ac:dyDescent="0.25">
      <c r="B738" s="191"/>
      <c r="C738" s="191" t="s">
        <v>2247</v>
      </c>
      <c r="D738" s="192"/>
      <c r="E738" s="185" t="s">
        <v>2248</v>
      </c>
      <c r="F738" s="192" t="s">
        <v>789</v>
      </c>
      <c r="G738" s="192" t="s">
        <v>790</v>
      </c>
      <c r="H738" s="192" t="s">
        <v>790</v>
      </c>
      <c r="I738" t="s">
        <v>820</v>
      </c>
    </row>
    <row r="739" spans="2:11" x14ac:dyDescent="0.25">
      <c r="B739" s="191"/>
      <c r="C739" s="191"/>
      <c r="D739" s="192" t="s">
        <v>2249</v>
      </c>
      <c r="E739" t="s">
        <v>2250</v>
      </c>
      <c r="F739" s="192" t="s">
        <v>2098</v>
      </c>
      <c r="G739" s="192" t="s">
        <v>790</v>
      </c>
      <c r="H739" s="192" t="s">
        <v>790</v>
      </c>
      <c r="I739" t="s">
        <v>820</v>
      </c>
      <c r="J739" t="s">
        <v>865</v>
      </c>
      <c r="K739" t="s">
        <v>797</v>
      </c>
    </row>
    <row r="740" spans="2:11" x14ac:dyDescent="0.25">
      <c r="B740" s="191"/>
      <c r="C740" s="191"/>
      <c r="D740" s="192" t="s">
        <v>2251</v>
      </c>
      <c r="E740" t="s">
        <v>2252</v>
      </c>
      <c r="F740" s="192" t="s">
        <v>2098</v>
      </c>
      <c r="G740" s="192" t="s">
        <v>790</v>
      </c>
      <c r="H740" s="192" t="s">
        <v>790</v>
      </c>
      <c r="I740" t="s">
        <v>820</v>
      </c>
      <c r="J740" t="s">
        <v>865</v>
      </c>
      <c r="K740" t="s">
        <v>797</v>
      </c>
    </row>
    <row r="741" spans="2:11" x14ac:dyDescent="0.25">
      <c r="B741" s="191"/>
      <c r="C741" s="191" t="s">
        <v>2253</v>
      </c>
      <c r="D741" s="192"/>
      <c r="E741" s="185" t="s">
        <v>2254</v>
      </c>
      <c r="F741" s="192" t="s">
        <v>789</v>
      </c>
      <c r="G741" s="192" t="s">
        <v>790</v>
      </c>
      <c r="H741" s="192" t="s">
        <v>790</v>
      </c>
      <c r="I741" t="s">
        <v>820</v>
      </c>
    </row>
    <row r="742" spans="2:11" x14ac:dyDescent="0.25">
      <c r="B742" s="191"/>
      <c r="C742" s="191"/>
      <c r="D742" s="192" t="s">
        <v>2255</v>
      </c>
      <c r="E742" t="s">
        <v>2256</v>
      </c>
      <c r="F742" s="192" t="s">
        <v>2098</v>
      </c>
      <c r="G742" s="192" t="s">
        <v>790</v>
      </c>
      <c r="H742" s="192" t="s">
        <v>790</v>
      </c>
      <c r="I742" t="s">
        <v>820</v>
      </c>
      <c r="J742" t="s">
        <v>865</v>
      </c>
      <c r="K742" t="s">
        <v>797</v>
      </c>
    </row>
    <row r="743" spans="2:11" x14ac:dyDescent="0.25">
      <c r="B743" s="191"/>
      <c r="C743" s="191"/>
      <c r="D743" s="192" t="s">
        <v>2257</v>
      </c>
      <c r="E743" t="s">
        <v>2258</v>
      </c>
      <c r="F743" s="192" t="s">
        <v>2098</v>
      </c>
      <c r="G743" s="192" t="s">
        <v>790</v>
      </c>
      <c r="H743" s="192" t="s">
        <v>790</v>
      </c>
      <c r="I743" t="s">
        <v>820</v>
      </c>
      <c r="J743" t="s">
        <v>865</v>
      </c>
      <c r="K743" t="s">
        <v>797</v>
      </c>
    </row>
    <row r="744" spans="2:11" x14ac:dyDescent="0.25">
      <c r="B744" s="191" t="s">
        <v>2259</v>
      </c>
      <c r="C744" s="191"/>
      <c r="D744" s="192"/>
      <c r="E744" s="185" t="s">
        <v>2260</v>
      </c>
      <c r="F744" s="192" t="s">
        <v>789</v>
      </c>
      <c r="G744" s="192" t="s">
        <v>790</v>
      </c>
      <c r="H744" s="192" t="s">
        <v>790</v>
      </c>
      <c r="I744" t="s">
        <v>820</v>
      </c>
      <c r="J744" t="s">
        <v>865</v>
      </c>
    </row>
    <row r="745" spans="2:11" x14ac:dyDescent="0.25">
      <c r="B745" s="191"/>
      <c r="C745" s="191" t="s">
        <v>2261</v>
      </c>
      <c r="D745" s="192"/>
      <c r="E745" s="185" t="s">
        <v>2262</v>
      </c>
      <c r="F745" s="192" t="s">
        <v>789</v>
      </c>
      <c r="G745" s="192" t="s">
        <v>790</v>
      </c>
      <c r="H745" s="192" t="s">
        <v>790</v>
      </c>
      <c r="I745" t="s">
        <v>820</v>
      </c>
    </row>
    <row r="746" spans="2:11" x14ac:dyDescent="0.25">
      <c r="B746" s="191"/>
      <c r="C746" s="191" t="s">
        <v>2263</v>
      </c>
      <c r="D746" s="192"/>
      <c r="E746" s="185" t="s">
        <v>2264</v>
      </c>
      <c r="F746" s="192" t="s">
        <v>789</v>
      </c>
      <c r="G746" s="192" t="s">
        <v>790</v>
      </c>
      <c r="H746" s="192" t="s">
        <v>790</v>
      </c>
      <c r="I746" t="s">
        <v>820</v>
      </c>
    </row>
    <row r="747" spans="2:11" x14ac:dyDescent="0.25">
      <c r="B747" s="191"/>
      <c r="C747" s="191"/>
      <c r="D747" s="192" t="s">
        <v>2265</v>
      </c>
      <c r="E747" t="s">
        <v>2266</v>
      </c>
      <c r="F747" s="192" t="s">
        <v>2267</v>
      </c>
      <c r="G747" s="192" t="s">
        <v>790</v>
      </c>
      <c r="H747" s="192" t="s">
        <v>790</v>
      </c>
      <c r="I747" t="s">
        <v>820</v>
      </c>
      <c r="J747" t="s">
        <v>865</v>
      </c>
      <c r="K747" t="s">
        <v>797</v>
      </c>
    </row>
    <row r="748" spans="2:11" x14ac:dyDescent="0.25">
      <c r="B748" s="191"/>
      <c r="C748" s="191"/>
      <c r="D748" s="192" t="s">
        <v>2268</v>
      </c>
      <c r="E748" t="s">
        <v>2269</v>
      </c>
      <c r="F748" s="192" t="s">
        <v>2267</v>
      </c>
      <c r="G748" s="192" t="s">
        <v>790</v>
      </c>
      <c r="H748" s="192" t="s">
        <v>790</v>
      </c>
      <c r="I748" t="s">
        <v>820</v>
      </c>
      <c r="J748" t="s">
        <v>865</v>
      </c>
      <c r="K748" t="s">
        <v>797</v>
      </c>
    </row>
    <row r="749" spans="2:11" x14ac:dyDescent="0.25">
      <c r="B749" s="191"/>
      <c r="C749" s="191" t="s">
        <v>2270</v>
      </c>
      <c r="D749" s="192"/>
      <c r="E749" s="185" t="s">
        <v>2271</v>
      </c>
      <c r="F749" s="192" t="s">
        <v>789</v>
      </c>
      <c r="G749" s="192" t="s">
        <v>790</v>
      </c>
      <c r="H749" s="192" t="s">
        <v>790</v>
      </c>
      <c r="I749" t="s">
        <v>820</v>
      </c>
    </row>
    <row r="750" spans="2:11" x14ac:dyDescent="0.25">
      <c r="B750" s="191"/>
      <c r="C750" s="191"/>
      <c r="D750" s="192" t="s">
        <v>2272</v>
      </c>
      <c r="E750" t="s">
        <v>2273</v>
      </c>
      <c r="F750" s="192" t="s">
        <v>2267</v>
      </c>
      <c r="G750" s="192" t="s">
        <v>790</v>
      </c>
      <c r="H750" s="192" t="s">
        <v>790</v>
      </c>
      <c r="I750" t="s">
        <v>820</v>
      </c>
      <c r="J750" t="s">
        <v>865</v>
      </c>
      <c r="K750" t="s">
        <v>797</v>
      </c>
    </row>
    <row r="751" spans="2:11" x14ac:dyDescent="0.25">
      <c r="B751" s="191"/>
      <c r="C751" s="191"/>
      <c r="D751" s="192" t="s">
        <v>2274</v>
      </c>
      <c r="E751" t="s">
        <v>2275</v>
      </c>
      <c r="F751" s="192" t="s">
        <v>2267</v>
      </c>
      <c r="G751" s="192" t="s">
        <v>790</v>
      </c>
      <c r="H751" s="192" t="s">
        <v>790</v>
      </c>
      <c r="I751" t="s">
        <v>820</v>
      </c>
      <c r="J751" t="s">
        <v>865</v>
      </c>
      <c r="K751" t="s">
        <v>797</v>
      </c>
    </row>
    <row r="752" spans="2:11" x14ac:dyDescent="0.25">
      <c r="B752" s="191"/>
      <c r="C752" s="191" t="s">
        <v>2276</v>
      </c>
      <c r="D752" s="192"/>
      <c r="E752" s="185" t="s">
        <v>2277</v>
      </c>
      <c r="F752" s="192" t="s">
        <v>789</v>
      </c>
      <c r="G752" s="192" t="s">
        <v>790</v>
      </c>
      <c r="H752" s="192" t="s">
        <v>790</v>
      </c>
      <c r="I752" t="s">
        <v>820</v>
      </c>
    </row>
    <row r="753" spans="2:11" x14ac:dyDescent="0.25">
      <c r="B753" s="191"/>
      <c r="C753" s="191"/>
      <c r="D753" s="192" t="s">
        <v>2278</v>
      </c>
      <c r="E753" t="s">
        <v>2279</v>
      </c>
      <c r="F753" s="192" t="s">
        <v>2267</v>
      </c>
      <c r="G753" s="192" t="s">
        <v>790</v>
      </c>
      <c r="H753" s="192" t="s">
        <v>790</v>
      </c>
      <c r="I753" t="s">
        <v>820</v>
      </c>
      <c r="J753" t="s">
        <v>865</v>
      </c>
      <c r="K753" t="s">
        <v>797</v>
      </c>
    </row>
    <row r="754" spans="2:11" x14ac:dyDescent="0.25">
      <c r="B754" s="191"/>
      <c r="C754" s="191"/>
      <c r="D754" s="192" t="s">
        <v>2280</v>
      </c>
      <c r="E754" t="s">
        <v>2281</v>
      </c>
      <c r="F754" s="192" t="s">
        <v>2267</v>
      </c>
      <c r="G754" s="192" t="s">
        <v>790</v>
      </c>
      <c r="H754" s="192" t="s">
        <v>790</v>
      </c>
      <c r="I754" t="s">
        <v>820</v>
      </c>
      <c r="J754" t="s">
        <v>865</v>
      </c>
      <c r="K754" t="s">
        <v>797</v>
      </c>
    </row>
    <row r="755" spans="2:11" x14ac:dyDescent="0.25">
      <c r="B755" s="191"/>
      <c r="C755" s="191" t="s">
        <v>2282</v>
      </c>
      <c r="D755" s="192"/>
      <c r="E755" s="185" t="s">
        <v>2283</v>
      </c>
      <c r="F755" s="192" t="s">
        <v>789</v>
      </c>
      <c r="G755" s="192" t="s">
        <v>790</v>
      </c>
      <c r="H755" s="192" t="s">
        <v>790</v>
      </c>
      <c r="I755" t="s">
        <v>820</v>
      </c>
    </row>
    <row r="756" spans="2:11" x14ac:dyDescent="0.25">
      <c r="B756" s="191"/>
      <c r="C756" s="191" t="s">
        <v>2284</v>
      </c>
      <c r="D756" s="192"/>
      <c r="E756" s="185" t="s">
        <v>2285</v>
      </c>
      <c r="F756" s="192" t="s">
        <v>789</v>
      </c>
      <c r="G756" s="192" t="s">
        <v>790</v>
      </c>
      <c r="H756" s="192" t="s">
        <v>790</v>
      </c>
      <c r="I756" t="s">
        <v>820</v>
      </c>
    </row>
    <row r="757" spans="2:11" x14ac:dyDescent="0.25">
      <c r="B757" s="191"/>
      <c r="C757" s="191"/>
      <c r="D757" s="192" t="s">
        <v>2286</v>
      </c>
      <c r="E757" t="s">
        <v>2287</v>
      </c>
      <c r="F757" s="192" t="s">
        <v>2267</v>
      </c>
      <c r="G757" s="192" t="s">
        <v>790</v>
      </c>
      <c r="H757" s="192" t="s">
        <v>790</v>
      </c>
      <c r="I757" t="s">
        <v>820</v>
      </c>
      <c r="J757" t="s">
        <v>865</v>
      </c>
      <c r="K757" t="s">
        <v>797</v>
      </c>
    </row>
    <row r="758" spans="2:11" x14ac:dyDescent="0.25">
      <c r="B758" s="191"/>
      <c r="C758" s="191"/>
      <c r="D758" s="192" t="s">
        <v>2288</v>
      </c>
      <c r="E758" t="s">
        <v>2289</v>
      </c>
      <c r="F758" s="192" t="s">
        <v>2267</v>
      </c>
      <c r="G758" s="192" t="s">
        <v>790</v>
      </c>
      <c r="H758" s="192" t="s">
        <v>790</v>
      </c>
      <c r="I758" t="s">
        <v>820</v>
      </c>
      <c r="J758" t="s">
        <v>865</v>
      </c>
      <c r="K758" t="s">
        <v>797</v>
      </c>
    </row>
    <row r="759" spans="2:11" x14ac:dyDescent="0.25">
      <c r="B759" s="191"/>
      <c r="C759" s="191" t="s">
        <v>2290</v>
      </c>
      <c r="D759" s="192"/>
      <c r="E759" s="185" t="s">
        <v>2291</v>
      </c>
      <c r="F759" s="192" t="s">
        <v>789</v>
      </c>
      <c r="G759" s="192" t="s">
        <v>790</v>
      </c>
      <c r="H759" s="192" t="s">
        <v>790</v>
      </c>
      <c r="I759" t="s">
        <v>820</v>
      </c>
    </row>
    <row r="760" spans="2:11" x14ac:dyDescent="0.25">
      <c r="B760" s="191"/>
      <c r="C760" s="191"/>
      <c r="D760" s="192" t="s">
        <v>2292</v>
      </c>
      <c r="E760" t="s">
        <v>2293</v>
      </c>
      <c r="F760" s="192" t="s">
        <v>2267</v>
      </c>
      <c r="G760" s="192" t="s">
        <v>790</v>
      </c>
      <c r="H760" s="192" t="s">
        <v>790</v>
      </c>
      <c r="I760" t="s">
        <v>820</v>
      </c>
      <c r="J760" t="s">
        <v>865</v>
      </c>
      <c r="K760" t="s">
        <v>797</v>
      </c>
    </row>
    <row r="761" spans="2:11" x14ac:dyDescent="0.25">
      <c r="B761" s="191"/>
      <c r="C761" s="191"/>
      <c r="D761" s="192" t="s">
        <v>2294</v>
      </c>
      <c r="E761" t="s">
        <v>2295</v>
      </c>
      <c r="F761" s="192" t="s">
        <v>2267</v>
      </c>
      <c r="G761" s="192" t="s">
        <v>790</v>
      </c>
      <c r="H761" s="192" t="s">
        <v>790</v>
      </c>
      <c r="I761" t="s">
        <v>820</v>
      </c>
      <c r="J761" t="s">
        <v>865</v>
      </c>
      <c r="K761" t="s">
        <v>797</v>
      </c>
    </row>
    <row r="762" spans="2:11" x14ac:dyDescent="0.25">
      <c r="B762" s="191"/>
      <c r="C762" s="191" t="s">
        <v>2296</v>
      </c>
      <c r="D762" s="192"/>
      <c r="E762" s="185" t="s">
        <v>2297</v>
      </c>
      <c r="F762" s="192" t="s">
        <v>789</v>
      </c>
      <c r="G762" s="192" t="s">
        <v>790</v>
      </c>
      <c r="H762" s="192" t="s">
        <v>790</v>
      </c>
      <c r="I762" t="s">
        <v>820</v>
      </c>
    </row>
    <row r="763" spans="2:11" x14ac:dyDescent="0.25">
      <c r="B763" s="191"/>
      <c r="C763" s="191" t="s">
        <v>2298</v>
      </c>
      <c r="D763" s="192"/>
      <c r="E763" s="185" t="s">
        <v>2299</v>
      </c>
      <c r="F763" s="192" t="s">
        <v>789</v>
      </c>
      <c r="G763" s="192" t="s">
        <v>790</v>
      </c>
      <c r="H763" s="192" t="s">
        <v>790</v>
      </c>
      <c r="I763" t="s">
        <v>820</v>
      </c>
    </row>
    <row r="764" spans="2:11" x14ac:dyDescent="0.25">
      <c r="B764" s="191"/>
      <c r="C764" s="191"/>
      <c r="D764" s="192" t="s">
        <v>2300</v>
      </c>
      <c r="E764" t="s">
        <v>2301</v>
      </c>
      <c r="F764" s="192" t="s">
        <v>2267</v>
      </c>
      <c r="G764" s="192" t="s">
        <v>790</v>
      </c>
      <c r="H764" s="192" t="s">
        <v>790</v>
      </c>
      <c r="I764" t="s">
        <v>820</v>
      </c>
      <c r="J764" t="s">
        <v>865</v>
      </c>
      <c r="K764" t="s">
        <v>797</v>
      </c>
    </row>
    <row r="765" spans="2:11" x14ac:dyDescent="0.25">
      <c r="B765" s="191"/>
      <c r="C765" s="191"/>
      <c r="D765" s="192" t="s">
        <v>2302</v>
      </c>
      <c r="E765" t="s">
        <v>2303</v>
      </c>
      <c r="F765" s="192" t="s">
        <v>2267</v>
      </c>
      <c r="G765" s="192" t="s">
        <v>790</v>
      </c>
      <c r="H765" s="192" t="s">
        <v>790</v>
      </c>
      <c r="I765" t="s">
        <v>820</v>
      </c>
      <c r="J765" t="s">
        <v>865</v>
      </c>
      <c r="K765" t="s">
        <v>797</v>
      </c>
    </row>
    <row r="766" spans="2:11" x14ac:dyDescent="0.25">
      <c r="B766" s="191"/>
      <c r="C766" s="191" t="s">
        <v>2304</v>
      </c>
      <c r="D766" s="192"/>
      <c r="E766" s="185" t="s">
        <v>2305</v>
      </c>
      <c r="F766" s="192" t="s">
        <v>789</v>
      </c>
      <c r="G766" s="192" t="s">
        <v>790</v>
      </c>
      <c r="H766" s="192" t="s">
        <v>790</v>
      </c>
      <c r="I766" t="s">
        <v>820</v>
      </c>
    </row>
    <row r="767" spans="2:11" x14ac:dyDescent="0.25">
      <c r="B767" s="191"/>
      <c r="C767" s="191" t="s">
        <v>2306</v>
      </c>
      <c r="D767" s="192"/>
      <c r="E767" s="185" t="s">
        <v>2307</v>
      </c>
      <c r="F767" s="192" t="s">
        <v>789</v>
      </c>
      <c r="G767" s="192" t="s">
        <v>790</v>
      </c>
      <c r="H767" s="192" t="s">
        <v>790</v>
      </c>
      <c r="I767" t="s">
        <v>820</v>
      </c>
    </row>
    <row r="768" spans="2:11" x14ac:dyDescent="0.25">
      <c r="B768" s="191"/>
      <c r="C768" s="191"/>
      <c r="D768" s="192" t="s">
        <v>2308</v>
      </c>
      <c r="E768" t="s">
        <v>2309</v>
      </c>
      <c r="F768" s="192" t="s">
        <v>2267</v>
      </c>
      <c r="G768" s="192" t="s">
        <v>790</v>
      </c>
      <c r="H768" s="192" t="s">
        <v>790</v>
      </c>
      <c r="I768" t="s">
        <v>820</v>
      </c>
      <c r="J768" t="s">
        <v>865</v>
      </c>
      <c r="K768" t="s">
        <v>797</v>
      </c>
    </row>
    <row r="769" spans="2:11" x14ac:dyDescent="0.25">
      <c r="B769" s="191"/>
      <c r="C769" s="191"/>
      <c r="D769" s="192" t="s">
        <v>2310</v>
      </c>
      <c r="E769" t="s">
        <v>2311</v>
      </c>
      <c r="F769" s="192" t="s">
        <v>2267</v>
      </c>
      <c r="G769" s="192" t="s">
        <v>790</v>
      </c>
      <c r="H769" s="192" t="s">
        <v>790</v>
      </c>
      <c r="I769" t="s">
        <v>820</v>
      </c>
      <c r="J769" t="s">
        <v>865</v>
      </c>
      <c r="K769" t="s">
        <v>797</v>
      </c>
    </row>
    <row r="770" spans="2:11" x14ac:dyDescent="0.25">
      <c r="B770" s="191"/>
      <c r="C770" s="191"/>
      <c r="D770" s="192" t="s">
        <v>2312</v>
      </c>
      <c r="E770" t="s">
        <v>2313</v>
      </c>
      <c r="F770" s="192" t="s">
        <v>2267</v>
      </c>
      <c r="G770" s="192" t="s">
        <v>790</v>
      </c>
      <c r="H770" s="192" t="s">
        <v>790</v>
      </c>
      <c r="I770" t="s">
        <v>820</v>
      </c>
      <c r="J770" t="s">
        <v>865</v>
      </c>
      <c r="K770" t="s">
        <v>797</v>
      </c>
    </row>
    <row r="771" spans="2:11" x14ac:dyDescent="0.25">
      <c r="B771" s="191"/>
      <c r="C771" s="191" t="s">
        <v>2314</v>
      </c>
      <c r="D771" s="192"/>
      <c r="E771" s="185" t="s">
        <v>2315</v>
      </c>
      <c r="F771" s="192" t="s">
        <v>789</v>
      </c>
      <c r="G771" s="192" t="s">
        <v>790</v>
      </c>
      <c r="H771" s="192" t="s">
        <v>790</v>
      </c>
      <c r="I771" t="s">
        <v>820</v>
      </c>
    </row>
    <row r="772" spans="2:11" x14ac:dyDescent="0.25">
      <c r="B772" s="191"/>
      <c r="C772" s="191"/>
      <c r="D772" s="192" t="s">
        <v>2316</v>
      </c>
      <c r="E772" t="s">
        <v>2317</v>
      </c>
      <c r="F772" s="192" t="s">
        <v>2267</v>
      </c>
      <c r="G772" s="192" t="s">
        <v>790</v>
      </c>
      <c r="H772" s="192" t="s">
        <v>790</v>
      </c>
      <c r="I772" t="s">
        <v>820</v>
      </c>
      <c r="J772" t="s">
        <v>865</v>
      </c>
      <c r="K772" t="s">
        <v>797</v>
      </c>
    </row>
    <row r="773" spans="2:11" x14ac:dyDescent="0.25">
      <c r="B773" s="191"/>
      <c r="C773" s="191"/>
      <c r="D773" s="192" t="s">
        <v>2318</v>
      </c>
      <c r="E773" t="s">
        <v>2319</v>
      </c>
      <c r="F773" s="192" t="s">
        <v>2267</v>
      </c>
      <c r="G773" s="192" t="s">
        <v>790</v>
      </c>
      <c r="H773" s="192" t="s">
        <v>790</v>
      </c>
      <c r="I773" t="s">
        <v>820</v>
      </c>
      <c r="J773" t="s">
        <v>865</v>
      </c>
      <c r="K773" t="s">
        <v>797</v>
      </c>
    </row>
    <row r="774" spans="2:11" x14ac:dyDescent="0.25">
      <c r="B774" s="191"/>
      <c r="C774" s="191"/>
      <c r="D774" s="192" t="s">
        <v>2320</v>
      </c>
      <c r="E774" t="s">
        <v>2321</v>
      </c>
      <c r="F774" s="192" t="s">
        <v>2267</v>
      </c>
      <c r="G774" s="192" t="s">
        <v>790</v>
      </c>
      <c r="H774" s="192" t="s">
        <v>790</v>
      </c>
      <c r="I774" t="s">
        <v>820</v>
      </c>
      <c r="J774" t="s">
        <v>865</v>
      </c>
      <c r="K774" t="s">
        <v>797</v>
      </c>
    </row>
    <row r="775" spans="2:11" x14ac:dyDescent="0.25">
      <c r="B775" s="191"/>
      <c r="C775" s="191" t="s">
        <v>2322</v>
      </c>
      <c r="D775" s="192"/>
      <c r="E775" s="185" t="s">
        <v>2323</v>
      </c>
      <c r="F775" s="192" t="s">
        <v>789</v>
      </c>
      <c r="G775" s="192" t="s">
        <v>790</v>
      </c>
      <c r="H775" s="192" t="s">
        <v>790</v>
      </c>
      <c r="I775" t="s">
        <v>820</v>
      </c>
    </row>
    <row r="776" spans="2:11" x14ac:dyDescent="0.25">
      <c r="B776" s="191"/>
      <c r="C776" s="191" t="s">
        <v>2324</v>
      </c>
      <c r="D776" s="192"/>
      <c r="E776" s="185" t="s">
        <v>2325</v>
      </c>
      <c r="F776" s="192" t="s">
        <v>789</v>
      </c>
      <c r="G776" s="192" t="s">
        <v>790</v>
      </c>
      <c r="H776" s="192" t="s">
        <v>790</v>
      </c>
      <c r="I776" t="s">
        <v>820</v>
      </c>
    </row>
    <row r="777" spans="2:11" x14ac:dyDescent="0.25">
      <c r="B777" s="191"/>
      <c r="C777" s="191"/>
      <c r="D777" s="192" t="s">
        <v>2326</v>
      </c>
      <c r="E777" t="s">
        <v>2327</v>
      </c>
      <c r="F777" s="192" t="s">
        <v>2267</v>
      </c>
      <c r="G777" s="192" t="s">
        <v>790</v>
      </c>
      <c r="H777" s="192" t="s">
        <v>790</v>
      </c>
      <c r="I777" t="s">
        <v>820</v>
      </c>
      <c r="J777" t="s">
        <v>865</v>
      </c>
      <c r="K777" t="s">
        <v>797</v>
      </c>
    </row>
    <row r="778" spans="2:11" x14ac:dyDescent="0.25">
      <c r="B778" s="191"/>
      <c r="C778" s="191"/>
      <c r="D778" s="192" t="s">
        <v>2328</v>
      </c>
      <c r="E778" t="s">
        <v>2329</v>
      </c>
      <c r="F778" s="192" t="s">
        <v>2267</v>
      </c>
      <c r="G778" s="192" t="s">
        <v>790</v>
      </c>
      <c r="H778" s="192" t="s">
        <v>790</v>
      </c>
      <c r="I778" t="s">
        <v>820</v>
      </c>
      <c r="J778" t="s">
        <v>865</v>
      </c>
      <c r="K778" t="s">
        <v>797</v>
      </c>
    </row>
    <row r="779" spans="2:11" x14ac:dyDescent="0.25">
      <c r="B779" s="191"/>
      <c r="C779" s="191" t="s">
        <v>2330</v>
      </c>
      <c r="D779" s="192"/>
      <c r="E779" s="185" t="s">
        <v>2331</v>
      </c>
      <c r="F779" s="192" t="s">
        <v>789</v>
      </c>
      <c r="G779" s="192" t="s">
        <v>790</v>
      </c>
      <c r="H779" s="192" t="s">
        <v>790</v>
      </c>
      <c r="I779" t="s">
        <v>820</v>
      </c>
    </row>
    <row r="780" spans="2:11" x14ac:dyDescent="0.25">
      <c r="B780" s="191"/>
      <c r="C780" s="191"/>
      <c r="D780" s="192" t="s">
        <v>2332</v>
      </c>
      <c r="E780" t="s">
        <v>2333</v>
      </c>
      <c r="F780" s="192" t="s">
        <v>2267</v>
      </c>
      <c r="G780" s="192" t="s">
        <v>790</v>
      </c>
      <c r="H780" s="192" t="s">
        <v>790</v>
      </c>
      <c r="I780" t="s">
        <v>820</v>
      </c>
      <c r="J780" t="s">
        <v>865</v>
      </c>
      <c r="K780" t="s">
        <v>797</v>
      </c>
    </row>
    <row r="781" spans="2:11" x14ac:dyDescent="0.25">
      <c r="B781" s="191"/>
      <c r="C781" s="191"/>
      <c r="D781" s="192" t="s">
        <v>2334</v>
      </c>
      <c r="E781" t="s">
        <v>2335</v>
      </c>
      <c r="F781" s="192" t="s">
        <v>2267</v>
      </c>
      <c r="G781" s="192" t="s">
        <v>790</v>
      </c>
      <c r="H781" s="192" t="s">
        <v>790</v>
      </c>
      <c r="I781" t="s">
        <v>820</v>
      </c>
      <c r="J781" t="s">
        <v>865</v>
      </c>
      <c r="K781" t="s">
        <v>797</v>
      </c>
    </row>
    <row r="782" spans="2:11" x14ac:dyDescent="0.25">
      <c r="B782" s="191"/>
      <c r="C782" s="191" t="s">
        <v>2336</v>
      </c>
      <c r="D782" s="192"/>
      <c r="E782" s="185" t="s">
        <v>2337</v>
      </c>
      <c r="F782" s="192" t="s">
        <v>789</v>
      </c>
      <c r="G782" s="192" t="s">
        <v>790</v>
      </c>
      <c r="H782" s="192" t="s">
        <v>790</v>
      </c>
      <c r="I782" t="s">
        <v>820</v>
      </c>
    </row>
    <row r="783" spans="2:11" x14ac:dyDescent="0.25">
      <c r="B783" s="191"/>
      <c r="C783" s="191"/>
      <c r="D783" s="192" t="s">
        <v>2338</v>
      </c>
      <c r="E783" t="s">
        <v>2337</v>
      </c>
      <c r="F783" s="192" t="s">
        <v>2267</v>
      </c>
      <c r="G783" s="192" t="s">
        <v>790</v>
      </c>
      <c r="H783" s="192" t="s">
        <v>790</v>
      </c>
      <c r="I783" t="s">
        <v>820</v>
      </c>
      <c r="J783" t="s">
        <v>865</v>
      </c>
      <c r="K783" t="s">
        <v>797</v>
      </c>
    </row>
    <row r="784" spans="2:11" x14ac:dyDescent="0.25">
      <c r="B784" s="191"/>
      <c r="C784" s="191" t="s">
        <v>2339</v>
      </c>
      <c r="D784" s="192"/>
      <c r="E784" s="185" t="s">
        <v>2340</v>
      </c>
      <c r="F784" s="192" t="s">
        <v>789</v>
      </c>
      <c r="G784" s="192" t="s">
        <v>790</v>
      </c>
      <c r="H784" s="192" t="s">
        <v>790</v>
      </c>
      <c r="I784" t="s">
        <v>820</v>
      </c>
    </row>
    <row r="785" spans="2:11" x14ac:dyDescent="0.25">
      <c r="B785" s="191"/>
      <c r="C785" s="191" t="s">
        <v>2341</v>
      </c>
      <c r="D785" s="192"/>
      <c r="E785" s="185" t="s">
        <v>2340</v>
      </c>
      <c r="F785" s="192" t="s">
        <v>789</v>
      </c>
      <c r="G785" s="192" t="s">
        <v>790</v>
      </c>
      <c r="H785" s="192" t="s">
        <v>790</v>
      </c>
      <c r="I785" t="s">
        <v>820</v>
      </c>
    </row>
    <row r="786" spans="2:11" x14ac:dyDescent="0.25">
      <c r="B786" s="191"/>
      <c r="C786" s="191"/>
      <c r="D786" s="192" t="s">
        <v>2342</v>
      </c>
      <c r="E786" t="s">
        <v>2343</v>
      </c>
      <c r="F786" s="192" t="s">
        <v>2267</v>
      </c>
      <c r="G786" s="192" t="s">
        <v>790</v>
      </c>
      <c r="H786" s="192" t="s">
        <v>790</v>
      </c>
      <c r="I786" t="s">
        <v>820</v>
      </c>
      <c r="J786" t="s">
        <v>865</v>
      </c>
      <c r="K786" t="s">
        <v>797</v>
      </c>
    </row>
    <row r="787" spans="2:11" x14ac:dyDescent="0.25">
      <c r="B787" s="191"/>
      <c r="C787" s="191"/>
      <c r="D787" s="192" t="s">
        <v>2344</v>
      </c>
      <c r="E787" t="s">
        <v>2345</v>
      </c>
      <c r="F787" s="192" t="s">
        <v>2267</v>
      </c>
      <c r="G787" s="192" t="s">
        <v>790</v>
      </c>
      <c r="H787" s="192" t="s">
        <v>790</v>
      </c>
      <c r="I787" t="s">
        <v>820</v>
      </c>
      <c r="J787" t="s">
        <v>865</v>
      </c>
      <c r="K787" t="s">
        <v>797</v>
      </c>
    </row>
    <row r="788" spans="2:11" x14ac:dyDescent="0.25">
      <c r="B788" s="191" t="s">
        <v>2346</v>
      </c>
      <c r="C788" s="191"/>
      <c r="D788" s="192"/>
      <c r="E788" s="185" t="s">
        <v>2347</v>
      </c>
      <c r="F788" s="192" t="s">
        <v>789</v>
      </c>
      <c r="G788" s="192" t="s">
        <v>790</v>
      </c>
      <c r="H788" s="192" t="s">
        <v>790</v>
      </c>
      <c r="I788" t="s">
        <v>820</v>
      </c>
      <c r="J788" t="s">
        <v>865</v>
      </c>
    </row>
    <row r="789" spans="2:11" x14ac:dyDescent="0.25">
      <c r="B789" s="191"/>
      <c r="C789" s="191" t="s">
        <v>2348</v>
      </c>
      <c r="D789" s="192"/>
      <c r="E789" s="185" t="s">
        <v>2349</v>
      </c>
      <c r="F789" s="192" t="s">
        <v>789</v>
      </c>
      <c r="G789" s="192" t="s">
        <v>790</v>
      </c>
      <c r="H789" s="192" t="s">
        <v>790</v>
      </c>
      <c r="I789" t="s">
        <v>820</v>
      </c>
    </row>
    <row r="790" spans="2:11" x14ac:dyDescent="0.25">
      <c r="B790" s="191"/>
      <c r="C790" s="191" t="s">
        <v>2350</v>
      </c>
      <c r="D790" s="192"/>
      <c r="E790" s="185" t="s">
        <v>2351</v>
      </c>
      <c r="F790" s="192" t="s">
        <v>789</v>
      </c>
      <c r="G790" s="192" t="s">
        <v>790</v>
      </c>
      <c r="H790" s="192" t="s">
        <v>790</v>
      </c>
      <c r="I790" t="s">
        <v>820</v>
      </c>
    </row>
    <row r="791" spans="2:11" x14ac:dyDescent="0.25">
      <c r="B791" s="191"/>
      <c r="C791" s="191"/>
      <c r="D791" s="192" t="s">
        <v>2352</v>
      </c>
      <c r="E791" t="s">
        <v>2353</v>
      </c>
      <c r="F791" s="192" t="s">
        <v>2354</v>
      </c>
      <c r="G791" s="192" t="s">
        <v>790</v>
      </c>
      <c r="H791" s="192" t="s">
        <v>790</v>
      </c>
      <c r="I791" t="s">
        <v>820</v>
      </c>
      <c r="J791" t="s">
        <v>865</v>
      </c>
      <c r="K791" t="s">
        <v>797</v>
      </c>
    </row>
    <row r="792" spans="2:11" x14ac:dyDescent="0.25">
      <c r="B792" s="191"/>
      <c r="C792" s="191"/>
      <c r="D792" s="192" t="s">
        <v>2355</v>
      </c>
      <c r="E792" t="s">
        <v>2356</v>
      </c>
      <c r="F792" s="192" t="s">
        <v>2354</v>
      </c>
      <c r="G792" s="192" t="s">
        <v>790</v>
      </c>
      <c r="H792" s="192" t="s">
        <v>790</v>
      </c>
      <c r="I792" t="s">
        <v>820</v>
      </c>
      <c r="J792" t="s">
        <v>865</v>
      </c>
      <c r="K792" t="s">
        <v>797</v>
      </c>
    </row>
    <row r="793" spans="2:11" x14ac:dyDescent="0.25">
      <c r="B793" s="191"/>
      <c r="C793" s="191"/>
      <c r="D793" s="192" t="s">
        <v>2357</v>
      </c>
      <c r="E793" t="s">
        <v>2358</v>
      </c>
      <c r="F793" s="192" t="s">
        <v>2354</v>
      </c>
      <c r="G793" s="192" t="s">
        <v>790</v>
      </c>
      <c r="H793" s="192" t="s">
        <v>790</v>
      </c>
      <c r="I793" t="s">
        <v>820</v>
      </c>
      <c r="J793" t="s">
        <v>865</v>
      </c>
      <c r="K793" t="s">
        <v>797</v>
      </c>
    </row>
    <row r="794" spans="2:11" x14ac:dyDescent="0.25">
      <c r="B794" s="191"/>
      <c r="C794" s="191" t="s">
        <v>2359</v>
      </c>
      <c r="D794" s="192"/>
      <c r="E794" s="185" t="s">
        <v>2360</v>
      </c>
      <c r="F794" s="192" t="s">
        <v>789</v>
      </c>
      <c r="G794" s="192" t="s">
        <v>790</v>
      </c>
      <c r="H794" s="192" t="s">
        <v>790</v>
      </c>
      <c r="I794" t="s">
        <v>820</v>
      </c>
    </row>
    <row r="795" spans="2:11" x14ac:dyDescent="0.25">
      <c r="B795" s="191"/>
      <c r="C795" s="191"/>
      <c r="D795" s="192" t="s">
        <v>2361</v>
      </c>
      <c r="E795" t="s">
        <v>2362</v>
      </c>
      <c r="F795" s="192" t="s">
        <v>2354</v>
      </c>
      <c r="G795" s="192" t="s">
        <v>790</v>
      </c>
      <c r="H795" s="192" t="s">
        <v>790</v>
      </c>
      <c r="I795" t="s">
        <v>820</v>
      </c>
      <c r="J795" t="s">
        <v>865</v>
      </c>
      <c r="K795" t="s">
        <v>797</v>
      </c>
    </row>
    <row r="796" spans="2:11" x14ac:dyDescent="0.25">
      <c r="B796" s="191"/>
      <c r="C796" s="191"/>
      <c r="D796" s="192" t="s">
        <v>2363</v>
      </c>
      <c r="E796" t="s">
        <v>2364</v>
      </c>
      <c r="F796" s="192" t="s">
        <v>2354</v>
      </c>
      <c r="G796" s="192" t="s">
        <v>790</v>
      </c>
      <c r="H796" s="192" t="s">
        <v>790</v>
      </c>
      <c r="I796" t="s">
        <v>820</v>
      </c>
      <c r="J796" t="s">
        <v>865</v>
      </c>
      <c r="K796" t="s">
        <v>797</v>
      </c>
    </row>
    <row r="797" spans="2:11" x14ac:dyDescent="0.25">
      <c r="B797" s="191"/>
      <c r="C797" s="191"/>
      <c r="D797" s="192" t="s">
        <v>2365</v>
      </c>
      <c r="E797" t="s">
        <v>2366</v>
      </c>
      <c r="F797" s="192" t="s">
        <v>2354</v>
      </c>
      <c r="G797" s="192" t="s">
        <v>790</v>
      </c>
      <c r="H797" s="192" t="s">
        <v>790</v>
      </c>
      <c r="I797" t="s">
        <v>820</v>
      </c>
      <c r="J797" t="s">
        <v>865</v>
      </c>
      <c r="K797" t="s">
        <v>797</v>
      </c>
    </row>
    <row r="798" spans="2:11" x14ac:dyDescent="0.25">
      <c r="B798" s="191"/>
      <c r="C798" s="191" t="s">
        <v>2367</v>
      </c>
      <c r="D798" s="192"/>
      <c r="E798" s="185" t="s">
        <v>2368</v>
      </c>
      <c r="F798" s="192" t="s">
        <v>789</v>
      </c>
      <c r="G798" s="192" t="s">
        <v>790</v>
      </c>
      <c r="H798" s="192" t="s">
        <v>790</v>
      </c>
      <c r="I798" t="s">
        <v>820</v>
      </c>
    </row>
    <row r="799" spans="2:11" x14ac:dyDescent="0.25">
      <c r="B799" s="191"/>
      <c r="C799" s="191" t="s">
        <v>2369</v>
      </c>
      <c r="D799" s="192"/>
      <c r="E799" s="185" t="s">
        <v>2351</v>
      </c>
      <c r="F799" s="192" t="s">
        <v>789</v>
      </c>
      <c r="G799" s="192" t="s">
        <v>790</v>
      </c>
      <c r="H799" s="192" t="s">
        <v>790</v>
      </c>
      <c r="I799" t="s">
        <v>820</v>
      </c>
    </row>
    <row r="800" spans="2:11" x14ac:dyDescent="0.25">
      <c r="B800" s="191"/>
      <c r="C800" s="191"/>
      <c r="D800" s="192" t="s">
        <v>2370</v>
      </c>
      <c r="E800" t="s">
        <v>2371</v>
      </c>
      <c r="F800" s="192" t="s">
        <v>2354</v>
      </c>
      <c r="G800" s="192" t="s">
        <v>790</v>
      </c>
      <c r="H800" s="192" t="s">
        <v>790</v>
      </c>
      <c r="I800" t="s">
        <v>820</v>
      </c>
      <c r="J800" t="s">
        <v>865</v>
      </c>
      <c r="K800" t="s">
        <v>797</v>
      </c>
    </row>
    <row r="801" spans="2:11" x14ac:dyDescent="0.25">
      <c r="B801" s="191"/>
      <c r="C801" s="191"/>
      <c r="D801" s="192" t="s">
        <v>2372</v>
      </c>
      <c r="E801" t="s">
        <v>2373</v>
      </c>
      <c r="F801" s="192" t="s">
        <v>2354</v>
      </c>
      <c r="G801" s="192" t="s">
        <v>790</v>
      </c>
      <c r="H801" s="192" t="s">
        <v>790</v>
      </c>
      <c r="I801" t="s">
        <v>820</v>
      </c>
      <c r="J801" t="s">
        <v>865</v>
      </c>
      <c r="K801" t="s">
        <v>797</v>
      </c>
    </row>
    <row r="802" spans="2:11" x14ac:dyDescent="0.25">
      <c r="B802" s="191"/>
      <c r="C802" s="191"/>
      <c r="D802" s="192" t="s">
        <v>2374</v>
      </c>
      <c r="E802" t="s">
        <v>2375</v>
      </c>
      <c r="F802" s="192" t="s">
        <v>2354</v>
      </c>
      <c r="G802" s="192" t="s">
        <v>790</v>
      </c>
      <c r="H802" s="192" t="s">
        <v>790</v>
      </c>
      <c r="I802" t="s">
        <v>820</v>
      </c>
      <c r="J802" t="s">
        <v>865</v>
      </c>
      <c r="K802" t="s">
        <v>797</v>
      </c>
    </row>
    <row r="803" spans="2:11" x14ac:dyDescent="0.25">
      <c r="B803" s="191"/>
      <c r="C803" s="191" t="s">
        <v>2376</v>
      </c>
      <c r="D803" s="192"/>
      <c r="E803" s="185" t="s">
        <v>2360</v>
      </c>
      <c r="F803" s="192" t="s">
        <v>789</v>
      </c>
      <c r="G803" s="192" t="s">
        <v>790</v>
      </c>
      <c r="H803" s="192" t="s">
        <v>790</v>
      </c>
      <c r="I803" t="s">
        <v>820</v>
      </c>
    </row>
    <row r="804" spans="2:11" x14ac:dyDescent="0.25">
      <c r="B804" s="191"/>
      <c r="C804" s="191"/>
      <c r="D804" s="192" t="s">
        <v>2377</v>
      </c>
      <c r="E804" t="s">
        <v>2378</v>
      </c>
      <c r="F804" s="192" t="s">
        <v>2354</v>
      </c>
      <c r="G804" s="192" t="s">
        <v>790</v>
      </c>
      <c r="H804" s="192" t="s">
        <v>790</v>
      </c>
      <c r="I804" t="s">
        <v>820</v>
      </c>
      <c r="J804" t="s">
        <v>865</v>
      </c>
      <c r="K804" t="s">
        <v>797</v>
      </c>
    </row>
    <row r="805" spans="2:11" x14ac:dyDescent="0.25">
      <c r="B805" s="191"/>
      <c r="C805" s="191"/>
      <c r="D805" s="192" t="s">
        <v>2379</v>
      </c>
      <c r="E805" t="s">
        <v>2380</v>
      </c>
      <c r="F805" s="192" t="s">
        <v>2354</v>
      </c>
      <c r="G805" s="192" t="s">
        <v>790</v>
      </c>
      <c r="H805" s="192" t="s">
        <v>790</v>
      </c>
      <c r="I805" t="s">
        <v>820</v>
      </c>
      <c r="J805" t="s">
        <v>865</v>
      </c>
      <c r="K805" t="s">
        <v>797</v>
      </c>
    </row>
    <row r="806" spans="2:11" x14ac:dyDescent="0.25">
      <c r="B806" s="191"/>
      <c r="C806" s="191"/>
      <c r="D806" s="192" t="s">
        <v>2381</v>
      </c>
      <c r="E806" t="s">
        <v>2382</v>
      </c>
      <c r="F806" s="192" t="s">
        <v>2354</v>
      </c>
      <c r="G806" s="192" t="s">
        <v>790</v>
      </c>
      <c r="H806" s="192" t="s">
        <v>790</v>
      </c>
      <c r="I806" t="s">
        <v>820</v>
      </c>
      <c r="J806" t="s">
        <v>865</v>
      </c>
      <c r="K806" t="s">
        <v>797</v>
      </c>
    </row>
    <row r="807" spans="2:11" x14ac:dyDescent="0.25">
      <c r="B807" s="191" t="s">
        <v>2383</v>
      </c>
      <c r="C807" s="191"/>
      <c r="D807" s="192"/>
      <c r="E807" s="185" t="s">
        <v>2384</v>
      </c>
      <c r="F807" s="192" t="s">
        <v>789</v>
      </c>
      <c r="G807" s="192" t="s">
        <v>790</v>
      </c>
      <c r="H807" s="192" t="s">
        <v>790</v>
      </c>
      <c r="I807" t="s">
        <v>820</v>
      </c>
      <c r="J807" t="s">
        <v>865</v>
      </c>
    </row>
    <row r="808" spans="2:11" x14ac:dyDescent="0.25">
      <c r="B808" s="191"/>
      <c r="C808" s="191" t="s">
        <v>2385</v>
      </c>
      <c r="D808" s="192"/>
      <c r="E808" s="185" t="s">
        <v>2386</v>
      </c>
      <c r="F808" s="192" t="s">
        <v>789</v>
      </c>
      <c r="G808" s="192" t="s">
        <v>790</v>
      </c>
      <c r="H808" s="192" t="s">
        <v>790</v>
      </c>
      <c r="I808" t="s">
        <v>820</v>
      </c>
    </row>
    <row r="809" spans="2:11" x14ac:dyDescent="0.25">
      <c r="B809" s="191"/>
      <c r="C809" s="191" t="s">
        <v>2387</v>
      </c>
      <c r="D809" s="192"/>
      <c r="E809" s="185" t="s">
        <v>2388</v>
      </c>
      <c r="F809" s="192" t="s">
        <v>789</v>
      </c>
      <c r="G809" s="192" t="s">
        <v>790</v>
      </c>
      <c r="H809" s="192" t="s">
        <v>790</v>
      </c>
      <c r="I809" t="s">
        <v>820</v>
      </c>
    </row>
    <row r="810" spans="2:11" x14ac:dyDescent="0.25">
      <c r="B810" s="191"/>
      <c r="C810" s="191"/>
      <c r="D810" s="192" t="s">
        <v>2389</v>
      </c>
      <c r="E810" t="s">
        <v>2390</v>
      </c>
      <c r="F810" s="192" t="s">
        <v>2391</v>
      </c>
      <c r="G810" s="192" t="s">
        <v>790</v>
      </c>
      <c r="H810" s="192" t="s">
        <v>790</v>
      </c>
      <c r="I810" t="s">
        <v>820</v>
      </c>
      <c r="J810" t="s">
        <v>865</v>
      </c>
      <c r="K810" t="s">
        <v>797</v>
      </c>
    </row>
    <row r="811" spans="2:11" x14ac:dyDescent="0.25">
      <c r="B811" s="191"/>
      <c r="C811" s="191"/>
      <c r="D811" s="192" t="s">
        <v>2392</v>
      </c>
      <c r="E811" t="s">
        <v>2393</v>
      </c>
      <c r="F811" s="192" t="s">
        <v>2391</v>
      </c>
      <c r="G811" s="192" t="s">
        <v>790</v>
      </c>
      <c r="H811" s="192" t="s">
        <v>790</v>
      </c>
      <c r="I811" t="s">
        <v>820</v>
      </c>
      <c r="J811" t="s">
        <v>865</v>
      </c>
      <c r="K811" t="s">
        <v>797</v>
      </c>
    </row>
    <row r="812" spans="2:11" x14ac:dyDescent="0.25">
      <c r="B812" s="191"/>
      <c r="C812" s="191" t="s">
        <v>2394</v>
      </c>
      <c r="D812" s="192"/>
      <c r="E812" s="185" t="s">
        <v>2395</v>
      </c>
      <c r="F812" s="192" t="s">
        <v>789</v>
      </c>
      <c r="G812" s="192" t="s">
        <v>790</v>
      </c>
      <c r="H812" s="192" t="s">
        <v>790</v>
      </c>
      <c r="I812" t="s">
        <v>820</v>
      </c>
    </row>
    <row r="813" spans="2:11" x14ac:dyDescent="0.25">
      <c r="B813" s="191"/>
      <c r="C813" s="191"/>
      <c r="D813" s="192" t="s">
        <v>2396</v>
      </c>
      <c r="E813" t="s">
        <v>2397</v>
      </c>
      <c r="F813" s="192" t="s">
        <v>2391</v>
      </c>
      <c r="G813" s="192" t="s">
        <v>790</v>
      </c>
      <c r="H813" s="192" t="s">
        <v>790</v>
      </c>
      <c r="I813" t="s">
        <v>820</v>
      </c>
      <c r="J813" t="s">
        <v>865</v>
      </c>
      <c r="K813" t="s">
        <v>797</v>
      </c>
    </row>
    <row r="814" spans="2:11" x14ac:dyDescent="0.25">
      <c r="B814" s="191"/>
      <c r="C814" s="191"/>
      <c r="D814" s="192" t="s">
        <v>2398</v>
      </c>
      <c r="E814" t="s">
        <v>2399</v>
      </c>
      <c r="F814" s="192" t="s">
        <v>2391</v>
      </c>
      <c r="G814" s="192" t="s">
        <v>790</v>
      </c>
      <c r="H814" s="192" t="s">
        <v>790</v>
      </c>
      <c r="I814" t="s">
        <v>820</v>
      </c>
      <c r="J814" t="s">
        <v>865</v>
      </c>
      <c r="K814" t="s">
        <v>797</v>
      </c>
    </row>
    <row r="815" spans="2:11" x14ac:dyDescent="0.25">
      <c r="B815" s="191"/>
      <c r="C815" s="191"/>
      <c r="D815" s="192" t="s">
        <v>2400</v>
      </c>
      <c r="E815" t="s">
        <v>2401</v>
      </c>
      <c r="F815" s="192" t="s">
        <v>2391</v>
      </c>
      <c r="G815" s="192" t="s">
        <v>790</v>
      </c>
      <c r="H815" s="192" t="s">
        <v>790</v>
      </c>
      <c r="I815" t="s">
        <v>820</v>
      </c>
      <c r="J815" t="s">
        <v>865</v>
      </c>
      <c r="K815" t="s">
        <v>797</v>
      </c>
    </row>
    <row r="816" spans="2:11" x14ac:dyDescent="0.25">
      <c r="B816" s="191"/>
      <c r="C816" s="191" t="s">
        <v>2402</v>
      </c>
      <c r="D816" s="192"/>
      <c r="E816" s="185" t="s">
        <v>2403</v>
      </c>
      <c r="F816" s="192" t="s">
        <v>789</v>
      </c>
      <c r="G816" s="192" t="s">
        <v>790</v>
      </c>
      <c r="H816" s="192" t="s">
        <v>790</v>
      </c>
      <c r="I816" t="s">
        <v>820</v>
      </c>
    </row>
    <row r="817" spans="2:11" x14ac:dyDescent="0.25">
      <c r="B817" s="191"/>
      <c r="C817" s="191"/>
      <c r="D817" s="192" t="s">
        <v>2404</v>
      </c>
      <c r="E817" t="s">
        <v>2405</v>
      </c>
      <c r="F817" s="192" t="s">
        <v>2391</v>
      </c>
      <c r="G817" s="192" t="s">
        <v>790</v>
      </c>
      <c r="H817" s="192" t="s">
        <v>790</v>
      </c>
      <c r="I817" t="s">
        <v>820</v>
      </c>
      <c r="J817" t="s">
        <v>865</v>
      </c>
      <c r="K817" t="s">
        <v>797</v>
      </c>
    </row>
    <row r="818" spans="2:11" x14ac:dyDescent="0.25">
      <c r="B818" s="191"/>
      <c r="C818" s="191"/>
      <c r="D818" s="192" t="s">
        <v>2406</v>
      </c>
      <c r="E818" t="s">
        <v>2407</v>
      </c>
      <c r="F818" s="192" t="s">
        <v>2391</v>
      </c>
      <c r="G818" s="192" t="s">
        <v>790</v>
      </c>
      <c r="H818" s="192" t="s">
        <v>790</v>
      </c>
      <c r="I818" t="s">
        <v>820</v>
      </c>
      <c r="J818" t="s">
        <v>865</v>
      </c>
      <c r="K818" t="s">
        <v>797</v>
      </c>
    </row>
    <row r="819" spans="2:11" x14ac:dyDescent="0.25">
      <c r="B819" s="191"/>
      <c r="C819" s="191"/>
      <c r="D819" s="192" t="s">
        <v>2408</v>
      </c>
      <c r="E819" t="s">
        <v>2409</v>
      </c>
      <c r="F819" s="192" t="s">
        <v>2391</v>
      </c>
      <c r="G819" s="192" t="s">
        <v>790</v>
      </c>
      <c r="H819" s="192" t="s">
        <v>790</v>
      </c>
      <c r="I819" t="s">
        <v>820</v>
      </c>
      <c r="J819" t="s">
        <v>865</v>
      </c>
      <c r="K819" t="s">
        <v>797</v>
      </c>
    </row>
    <row r="820" spans="2:11" x14ac:dyDescent="0.25">
      <c r="B820" s="191"/>
      <c r="C820" s="191" t="s">
        <v>2410</v>
      </c>
      <c r="D820" s="192"/>
      <c r="E820" s="185" t="s">
        <v>2411</v>
      </c>
      <c r="F820" s="192" t="s">
        <v>789</v>
      </c>
      <c r="G820" s="192" t="s">
        <v>790</v>
      </c>
      <c r="H820" s="192" t="s">
        <v>790</v>
      </c>
      <c r="I820" t="s">
        <v>820</v>
      </c>
    </row>
    <row r="821" spans="2:11" x14ac:dyDescent="0.25">
      <c r="B821" s="191"/>
      <c r="C821" s="191" t="s">
        <v>2412</v>
      </c>
      <c r="D821" s="192"/>
      <c r="E821" s="185" t="s">
        <v>2413</v>
      </c>
      <c r="F821" s="192" t="s">
        <v>789</v>
      </c>
      <c r="G821" s="192" t="s">
        <v>790</v>
      </c>
      <c r="H821" s="192" t="s">
        <v>790</v>
      </c>
      <c r="I821" t="s">
        <v>820</v>
      </c>
    </row>
    <row r="822" spans="2:11" x14ac:dyDescent="0.25">
      <c r="B822" s="191"/>
      <c r="C822" s="191"/>
      <c r="D822" s="192" t="s">
        <v>2414</v>
      </c>
      <c r="E822" t="s">
        <v>2415</v>
      </c>
      <c r="F822" s="192" t="s">
        <v>2391</v>
      </c>
      <c r="G822" s="192" t="s">
        <v>790</v>
      </c>
      <c r="H822" s="192" t="s">
        <v>790</v>
      </c>
      <c r="I822" t="s">
        <v>820</v>
      </c>
      <c r="J822" t="s">
        <v>865</v>
      </c>
      <c r="K822" t="s">
        <v>797</v>
      </c>
    </row>
    <row r="823" spans="2:11" x14ac:dyDescent="0.25">
      <c r="B823" s="191"/>
      <c r="C823" s="191"/>
      <c r="D823" s="192" t="s">
        <v>2416</v>
      </c>
      <c r="E823" t="s">
        <v>2417</v>
      </c>
      <c r="F823" s="192" t="s">
        <v>2391</v>
      </c>
      <c r="G823" s="192" t="s">
        <v>790</v>
      </c>
      <c r="H823" s="192" t="s">
        <v>790</v>
      </c>
      <c r="I823" t="s">
        <v>820</v>
      </c>
      <c r="J823" t="s">
        <v>865</v>
      </c>
      <c r="K823" t="s">
        <v>797</v>
      </c>
    </row>
    <row r="824" spans="2:11" x14ac:dyDescent="0.25">
      <c r="B824" s="191"/>
      <c r="C824" s="191" t="s">
        <v>2418</v>
      </c>
      <c r="D824" s="192"/>
      <c r="E824" s="185" t="s">
        <v>2419</v>
      </c>
      <c r="F824" s="192" t="s">
        <v>789</v>
      </c>
      <c r="G824" s="192" t="s">
        <v>790</v>
      </c>
      <c r="H824" s="192" t="s">
        <v>790</v>
      </c>
      <c r="I824" t="s">
        <v>820</v>
      </c>
    </row>
    <row r="825" spans="2:11" x14ac:dyDescent="0.25">
      <c r="B825" s="191"/>
      <c r="C825" s="191"/>
      <c r="D825" s="192" t="s">
        <v>2420</v>
      </c>
      <c r="E825" t="s">
        <v>2421</v>
      </c>
      <c r="F825" s="192" t="s">
        <v>2391</v>
      </c>
      <c r="G825" s="192" t="s">
        <v>790</v>
      </c>
      <c r="H825" s="192" t="s">
        <v>790</v>
      </c>
      <c r="I825" t="s">
        <v>820</v>
      </c>
      <c r="J825" t="s">
        <v>865</v>
      </c>
      <c r="K825" t="s">
        <v>797</v>
      </c>
    </row>
    <row r="826" spans="2:11" x14ac:dyDescent="0.25">
      <c r="B826" s="191"/>
      <c r="C826" s="191"/>
      <c r="D826" s="192" t="s">
        <v>2422</v>
      </c>
      <c r="E826" t="s">
        <v>2423</v>
      </c>
      <c r="F826" s="192" t="s">
        <v>2391</v>
      </c>
      <c r="G826" s="192" t="s">
        <v>790</v>
      </c>
      <c r="H826" s="192" t="s">
        <v>790</v>
      </c>
      <c r="I826" t="s">
        <v>820</v>
      </c>
      <c r="J826" t="s">
        <v>865</v>
      </c>
      <c r="K826" t="s">
        <v>797</v>
      </c>
    </row>
    <row r="827" spans="2:11" x14ac:dyDescent="0.25">
      <c r="B827" s="191"/>
      <c r="C827" s="191"/>
      <c r="D827" s="192" t="s">
        <v>2424</v>
      </c>
      <c r="E827" t="s">
        <v>2425</v>
      </c>
      <c r="F827" s="192" t="s">
        <v>2391</v>
      </c>
      <c r="G827" s="192" t="s">
        <v>790</v>
      </c>
      <c r="H827" s="192" t="s">
        <v>790</v>
      </c>
      <c r="I827" t="s">
        <v>820</v>
      </c>
      <c r="J827" t="s">
        <v>865</v>
      </c>
      <c r="K827" t="s">
        <v>797</v>
      </c>
    </row>
    <row r="828" spans="2:11" x14ac:dyDescent="0.25">
      <c r="B828" s="191"/>
      <c r="C828" s="191" t="s">
        <v>2426</v>
      </c>
      <c r="D828" s="192"/>
      <c r="E828" s="185" t="s">
        <v>2427</v>
      </c>
      <c r="F828" s="192" t="s">
        <v>789</v>
      </c>
      <c r="G828" s="192" t="s">
        <v>790</v>
      </c>
      <c r="H828" s="192" t="s">
        <v>790</v>
      </c>
      <c r="I828" t="s">
        <v>820</v>
      </c>
    </row>
    <row r="829" spans="2:11" x14ac:dyDescent="0.25">
      <c r="B829" s="191"/>
      <c r="C829" s="191" t="s">
        <v>2428</v>
      </c>
      <c r="D829" s="192"/>
      <c r="E829" s="185" t="s">
        <v>2429</v>
      </c>
      <c r="F829" s="192" t="s">
        <v>789</v>
      </c>
      <c r="G829" s="192" t="s">
        <v>790</v>
      </c>
      <c r="H829" s="192" t="s">
        <v>790</v>
      </c>
      <c r="I829" t="s">
        <v>820</v>
      </c>
    </row>
    <row r="830" spans="2:11" x14ac:dyDescent="0.25">
      <c r="B830" s="191"/>
      <c r="C830" s="191"/>
      <c r="D830" s="192" t="s">
        <v>2430</v>
      </c>
      <c r="E830" t="s">
        <v>2431</v>
      </c>
      <c r="F830" s="192" t="s">
        <v>2391</v>
      </c>
      <c r="G830" s="192" t="s">
        <v>790</v>
      </c>
      <c r="H830" s="192" t="s">
        <v>790</v>
      </c>
      <c r="I830" t="s">
        <v>820</v>
      </c>
      <c r="J830" t="s">
        <v>865</v>
      </c>
      <c r="K830" t="s">
        <v>797</v>
      </c>
    </row>
    <row r="831" spans="2:11" x14ac:dyDescent="0.25">
      <c r="B831" s="191"/>
      <c r="C831" s="191"/>
      <c r="D831" s="192" t="s">
        <v>2432</v>
      </c>
      <c r="E831" t="s">
        <v>2433</v>
      </c>
      <c r="F831" s="192" t="s">
        <v>2391</v>
      </c>
      <c r="G831" s="192" t="s">
        <v>790</v>
      </c>
      <c r="H831" s="192" t="s">
        <v>790</v>
      </c>
      <c r="I831" t="s">
        <v>820</v>
      </c>
      <c r="J831" t="s">
        <v>865</v>
      </c>
      <c r="K831" t="s">
        <v>797</v>
      </c>
    </row>
    <row r="832" spans="2:11" x14ac:dyDescent="0.25">
      <c r="B832" s="191"/>
      <c r="C832" s="191" t="s">
        <v>2434</v>
      </c>
      <c r="D832" s="192"/>
      <c r="E832" s="185" t="s">
        <v>2435</v>
      </c>
      <c r="F832" s="192" t="s">
        <v>789</v>
      </c>
      <c r="G832" s="192" t="s">
        <v>790</v>
      </c>
      <c r="H832" s="192" t="s">
        <v>790</v>
      </c>
      <c r="I832" t="s">
        <v>820</v>
      </c>
    </row>
    <row r="833" spans="2:11" x14ac:dyDescent="0.25">
      <c r="B833" s="191"/>
      <c r="C833" s="191"/>
      <c r="D833" s="192" t="s">
        <v>2436</v>
      </c>
      <c r="E833" t="s">
        <v>2437</v>
      </c>
      <c r="F833" s="192" t="s">
        <v>2391</v>
      </c>
      <c r="G833" s="192" t="s">
        <v>790</v>
      </c>
      <c r="H833" s="192" t="s">
        <v>790</v>
      </c>
      <c r="I833" t="s">
        <v>820</v>
      </c>
      <c r="J833" t="s">
        <v>865</v>
      </c>
      <c r="K833" t="s">
        <v>797</v>
      </c>
    </row>
    <row r="834" spans="2:11" x14ac:dyDescent="0.25">
      <c r="B834" s="191"/>
      <c r="C834" s="191"/>
      <c r="D834" s="192" t="s">
        <v>2438</v>
      </c>
      <c r="E834" t="s">
        <v>2439</v>
      </c>
      <c r="F834" s="192" t="s">
        <v>2391</v>
      </c>
      <c r="G834" s="192" t="s">
        <v>790</v>
      </c>
      <c r="H834" s="192" t="s">
        <v>790</v>
      </c>
      <c r="I834" t="s">
        <v>820</v>
      </c>
      <c r="J834" t="s">
        <v>865</v>
      </c>
      <c r="K834" t="s">
        <v>797</v>
      </c>
    </row>
    <row r="835" spans="2:11" x14ac:dyDescent="0.25">
      <c r="B835" s="191"/>
      <c r="C835" s="191"/>
      <c r="D835" s="192" t="s">
        <v>2440</v>
      </c>
      <c r="E835" t="s">
        <v>2441</v>
      </c>
      <c r="F835" s="192" t="s">
        <v>2391</v>
      </c>
      <c r="G835" s="192" t="s">
        <v>790</v>
      </c>
      <c r="H835" s="192" t="s">
        <v>790</v>
      </c>
      <c r="I835" t="s">
        <v>820</v>
      </c>
      <c r="J835" t="s">
        <v>865</v>
      </c>
      <c r="K835" t="s">
        <v>797</v>
      </c>
    </row>
    <row r="836" spans="2:11" x14ac:dyDescent="0.25">
      <c r="B836" s="191"/>
      <c r="C836" s="191" t="s">
        <v>2442</v>
      </c>
      <c r="D836" s="192"/>
      <c r="E836" s="185" t="s">
        <v>2443</v>
      </c>
      <c r="F836" s="192" t="s">
        <v>789</v>
      </c>
      <c r="G836" s="192" t="s">
        <v>790</v>
      </c>
      <c r="H836" s="192" t="s">
        <v>790</v>
      </c>
      <c r="I836" t="s">
        <v>820</v>
      </c>
    </row>
    <row r="837" spans="2:11" x14ac:dyDescent="0.25">
      <c r="B837" s="191"/>
      <c r="C837" s="191"/>
      <c r="D837" s="192" t="s">
        <v>2444</v>
      </c>
      <c r="E837" t="s">
        <v>2445</v>
      </c>
      <c r="F837" s="192" t="s">
        <v>2391</v>
      </c>
      <c r="G837" s="192" t="s">
        <v>790</v>
      </c>
      <c r="H837" s="192" t="s">
        <v>790</v>
      </c>
      <c r="I837" t="s">
        <v>820</v>
      </c>
      <c r="J837" t="s">
        <v>865</v>
      </c>
      <c r="K837" t="s">
        <v>797</v>
      </c>
    </row>
    <row r="838" spans="2:11" x14ac:dyDescent="0.25">
      <c r="B838" s="191"/>
      <c r="C838" s="191"/>
      <c r="D838" s="192" t="s">
        <v>2446</v>
      </c>
      <c r="E838" t="s">
        <v>2447</v>
      </c>
      <c r="F838" s="192" t="s">
        <v>2391</v>
      </c>
      <c r="G838" s="192" t="s">
        <v>790</v>
      </c>
      <c r="H838" s="192" t="s">
        <v>790</v>
      </c>
      <c r="I838" t="s">
        <v>820</v>
      </c>
      <c r="J838" t="s">
        <v>865</v>
      </c>
      <c r="K838" t="s">
        <v>797</v>
      </c>
    </row>
    <row r="839" spans="2:11" x14ac:dyDescent="0.25">
      <c r="B839" s="191"/>
      <c r="C839" s="191"/>
      <c r="D839" s="192" t="s">
        <v>2448</v>
      </c>
      <c r="E839" t="s">
        <v>2449</v>
      </c>
      <c r="F839" s="192" t="s">
        <v>2391</v>
      </c>
      <c r="G839" s="192" t="s">
        <v>790</v>
      </c>
      <c r="H839" s="192" t="s">
        <v>790</v>
      </c>
      <c r="I839" t="s">
        <v>820</v>
      </c>
      <c r="J839" t="s">
        <v>865</v>
      </c>
      <c r="K839" t="s">
        <v>797</v>
      </c>
    </row>
    <row r="840" spans="2:11" x14ac:dyDescent="0.25">
      <c r="B840" s="191"/>
      <c r="C840" s="191" t="s">
        <v>2450</v>
      </c>
      <c r="D840" s="192"/>
      <c r="E840" s="185" t="s">
        <v>2451</v>
      </c>
      <c r="F840" s="192" t="s">
        <v>789</v>
      </c>
      <c r="G840" s="192" t="s">
        <v>790</v>
      </c>
      <c r="H840" s="192" t="s">
        <v>790</v>
      </c>
      <c r="I840" t="s">
        <v>820</v>
      </c>
    </row>
    <row r="841" spans="2:11" x14ac:dyDescent="0.25">
      <c r="B841" s="191"/>
      <c r="C841" s="191"/>
      <c r="D841" s="192" t="s">
        <v>2452</v>
      </c>
      <c r="E841" t="s">
        <v>2453</v>
      </c>
      <c r="F841" s="192" t="s">
        <v>2391</v>
      </c>
      <c r="G841" s="192" t="s">
        <v>790</v>
      </c>
      <c r="H841" s="192" t="s">
        <v>790</v>
      </c>
      <c r="I841" t="s">
        <v>820</v>
      </c>
      <c r="J841" t="s">
        <v>865</v>
      </c>
      <c r="K841" t="s">
        <v>797</v>
      </c>
    </row>
    <row r="842" spans="2:11" x14ac:dyDescent="0.25">
      <c r="B842" s="191"/>
      <c r="C842" s="191"/>
      <c r="D842" s="192" t="s">
        <v>2454</v>
      </c>
      <c r="E842" t="s">
        <v>2455</v>
      </c>
      <c r="F842" s="192" t="s">
        <v>2391</v>
      </c>
      <c r="G842" s="192" t="s">
        <v>790</v>
      </c>
      <c r="H842" s="192" t="s">
        <v>790</v>
      </c>
      <c r="I842" t="s">
        <v>820</v>
      </c>
      <c r="J842" t="s">
        <v>865</v>
      </c>
      <c r="K842" t="s">
        <v>797</v>
      </c>
    </row>
    <row r="843" spans="2:11" x14ac:dyDescent="0.25">
      <c r="B843" s="191"/>
      <c r="C843" s="191" t="s">
        <v>2456</v>
      </c>
      <c r="D843" s="192"/>
      <c r="E843" s="185" t="s">
        <v>2457</v>
      </c>
      <c r="F843" s="192" t="s">
        <v>789</v>
      </c>
      <c r="G843" s="192" t="s">
        <v>790</v>
      </c>
      <c r="H843" s="192" t="s">
        <v>790</v>
      </c>
      <c r="I843" t="s">
        <v>820</v>
      </c>
    </row>
    <row r="844" spans="2:11" x14ac:dyDescent="0.25">
      <c r="B844" s="191"/>
      <c r="C844" s="191"/>
      <c r="D844" s="192" t="s">
        <v>2458</v>
      </c>
      <c r="E844" t="s">
        <v>2459</v>
      </c>
      <c r="F844" s="192" t="s">
        <v>2391</v>
      </c>
      <c r="G844" s="192" t="s">
        <v>790</v>
      </c>
      <c r="H844" s="192" t="s">
        <v>790</v>
      </c>
      <c r="I844" t="s">
        <v>820</v>
      </c>
      <c r="J844" t="s">
        <v>865</v>
      </c>
      <c r="K844" t="s">
        <v>797</v>
      </c>
    </row>
    <row r="845" spans="2:11" x14ac:dyDescent="0.25">
      <c r="B845" s="191"/>
      <c r="C845" s="191"/>
      <c r="D845" s="192" t="s">
        <v>2460</v>
      </c>
      <c r="E845" t="s">
        <v>2461</v>
      </c>
      <c r="F845" s="192" t="s">
        <v>2391</v>
      </c>
      <c r="G845" s="192" t="s">
        <v>790</v>
      </c>
      <c r="H845" s="192" t="s">
        <v>790</v>
      </c>
      <c r="I845" t="s">
        <v>820</v>
      </c>
      <c r="J845" t="s">
        <v>865</v>
      </c>
      <c r="K845" t="s">
        <v>797</v>
      </c>
    </row>
    <row r="846" spans="2:11" x14ac:dyDescent="0.25">
      <c r="B846" s="191"/>
      <c r="C846" s="191" t="s">
        <v>2462</v>
      </c>
      <c r="D846" s="192"/>
      <c r="E846" s="185" t="s">
        <v>2463</v>
      </c>
      <c r="F846" s="192" t="s">
        <v>789</v>
      </c>
      <c r="G846" s="192" t="s">
        <v>790</v>
      </c>
      <c r="H846" s="192" t="s">
        <v>790</v>
      </c>
      <c r="I846" t="s">
        <v>820</v>
      </c>
    </row>
    <row r="847" spans="2:11" x14ac:dyDescent="0.25">
      <c r="B847" s="191"/>
      <c r="C847" s="191"/>
      <c r="D847" s="192" t="s">
        <v>2464</v>
      </c>
      <c r="E847" t="s">
        <v>2465</v>
      </c>
      <c r="F847" s="192" t="s">
        <v>2391</v>
      </c>
      <c r="G847" s="192" t="s">
        <v>790</v>
      </c>
      <c r="H847" s="192" t="s">
        <v>790</v>
      </c>
      <c r="I847" t="s">
        <v>820</v>
      </c>
      <c r="J847" t="s">
        <v>865</v>
      </c>
      <c r="K847" t="s">
        <v>797</v>
      </c>
    </row>
    <row r="848" spans="2:11" x14ac:dyDescent="0.25">
      <c r="B848" s="191"/>
      <c r="C848" s="191"/>
      <c r="D848" s="192" t="s">
        <v>2466</v>
      </c>
      <c r="E848" t="s">
        <v>2467</v>
      </c>
      <c r="F848" s="192" t="s">
        <v>2391</v>
      </c>
      <c r="G848" s="192" t="s">
        <v>790</v>
      </c>
      <c r="H848" s="192" t="s">
        <v>790</v>
      </c>
      <c r="I848" t="s">
        <v>820</v>
      </c>
      <c r="J848" t="s">
        <v>865</v>
      </c>
      <c r="K848" t="s">
        <v>797</v>
      </c>
    </row>
    <row r="849" spans="2:11" x14ac:dyDescent="0.25">
      <c r="B849" s="191"/>
      <c r="C849" s="191" t="s">
        <v>2468</v>
      </c>
      <c r="D849" s="192"/>
      <c r="E849" s="185" t="s">
        <v>2469</v>
      </c>
      <c r="F849" s="192" t="s">
        <v>789</v>
      </c>
      <c r="G849" s="192" t="s">
        <v>790</v>
      </c>
      <c r="H849" s="192" t="s">
        <v>790</v>
      </c>
      <c r="I849" t="s">
        <v>820</v>
      </c>
    </row>
    <row r="850" spans="2:11" x14ac:dyDescent="0.25">
      <c r="B850" s="191"/>
      <c r="C850" s="191" t="s">
        <v>2470</v>
      </c>
      <c r="D850" s="192"/>
      <c r="E850" s="185" t="s">
        <v>2471</v>
      </c>
      <c r="F850" s="192" t="s">
        <v>789</v>
      </c>
      <c r="G850" s="192" t="s">
        <v>790</v>
      </c>
      <c r="H850" s="192" t="s">
        <v>790</v>
      </c>
      <c r="I850" t="s">
        <v>820</v>
      </c>
    </row>
    <row r="851" spans="2:11" x14ac:dyDescent="0.25">
      <c r="B851" s="191"/>
      <c r="C851" s="191"/>
      <c r="D851" s="192" t="s">
        <v>2472</v>
      </c>
      <c r="E851" t="s">
        <v>2473</v>
      </c>
      <c r="F851" s="192" t="s">
        <v>2391</v>
      </c>
      <c r="G851" s="192" t="s">
        <v>790</v>
      </c>
      <c r="H851" s="192" t="s">
        <v>790</v>
      </c>
      <c r="I851" t="s">
        <v>820</v>
      </c>
      <c r="J851" t="s">
        <v>865</v>
      </c>
      <c r="K851" t="s">
        <v>797</v>
      </c>
    </row>
    <row r="852" spans="2:11" x14ac:dyDescent="0.25">
      <c r="B852" s="191"/>
      <c r="C852" s="191"/>
      <c r="D852" s="192" t="s">
        <v>2474</v>
      </c>
      <c r="E852" t="s">
        <v>2475</v>
      </c>
      <c r="F852" s="192" t="s">
        <v>2391</v>
      </c>
      <c r="G852" s="192" t="s">
        <v>790</v>
      </c>
      <c r="H852" s="192" t="s">
        <v>790</v>
      </c>
      <c r="I852" t="s">
        <v>820</v>
      </c>
      <c r="J852" t="s">
        <v>865</v>
      </c>
      <c r="K852" t="s">
        <v>797</v>
      </c>
    </row>
    <row r="853" spans="2:11" x14ac:dyDescent="0.25">
      <c r="B853" s="191"/>
      <c r="C853" s="191"/>
      <c r="D853" s="192" t="s">
        <v>2476</v>
      </c>
      <c r="E853" t="s">
        <v>2477</v>
      </c>
      <c r="F853" s="192" t="s">
        <v>2391</v>
      </c>
      <c r="G853" s="192" t="s">
        <v>790</v>
      </c>
      <c r="H853" s="192" t="s">
        <v>790</v>
      </c>
      <c r="I853" t="s">
        <v>820</v>
      </c>
      <c r="J853" t="s">
        <v>865</v>
      </c>
      <c r="K853" t="s">
        <v>797</v>
      </c>
    </row>
    <row r="854" spans="2:11" x14ac:dyDescent="0.25">
      <c r="B854" s="191"/>
      <c r="C854" s="191"/>
      <c r="D854" s="192" t="s">
        <v>2478</v>
      </c>
      <c r="E854" t="s">
        <v>2479</v>
      </c>
      <c r="F854" s="192" t="s">
        <v>2391</v>
      </c>
      <c r="G854" s="192" t="s">
        <v>790</v>
      </c>
      <c r="H854" s="192" t="s">
        <v>790</v>
      </c>
      <c r="I854" t="s">
        <v>820</v>
      </c>
      <c r="J854" t="s">
        <v>865</v>
      </c>
      <c r="K854" t="s">
        <v>797</v>
      </c>
    </row>
    <row r="855" spans="2:11" x14ac:dyDescent="0.25">
      <c r="B855" s="191"/>
      <c r="C855" s="191"/>
      <c r="D855" s="192" t="s">
        <v>2480</v>
      </c>
      <c r="E855" t="s">
        <v>2481</v>
      </c>
      <c r="F855" s="192" t="s">
        <v>2391</v>
      </c>
      <c r="G855" s="192" t="s">
        <v>790</v>
      </c>
      <c r="H855" s="192" t="s">
        <v>790</v>
      </c>
      <c r="I855" t="s">
        <v>820</v>
      </c>
      <c r="J855" t="s">
        <v>865</v>
      </c>
      <c r="K855" t="s">
        <v>797</v>
      </c>
    </row>
    <row r="856" spans="2:11" x14ac:dyDescent="0.25">
      <c r="B856" s="191"/>
      <c r="C856" s="191"/>
      <c r="D856" s="192" t="s">
        <v>2482</v>
      </c>
      <c r="E856" t="s">
        <v>2483</v>
      </c>
      <c r="F856" s="192" t="s">
        <v>2391</v>
      </c>
      <c r="G856" s="192" t="s">
        <v>790</v>
      </c>
      <c r="H856" s="192" t="s">
        <v>790</v>
      </c>
      <c r="I856" t="s">
        <v>820</v>
      </c>
      <c r="J856" t="s">
        <v>865</v>
      </c>
      <c r="K856" t="s">
        <v>797</v>
      </c>
    </row>
    <row r="857" spans="2:11" x14ac:dyDescent="0.25">
      <c r="B857" s="191"/>
      <c r="C857" s="191"/>
      <c r="D857" s="192" t="s">
        <v>2484</v>
      </c>
      <c r="E857" t="s">
        <v>2485</v>
      </c>
      <c r="F857" s="192" t="s">
        <v>2391</v>
      </c>
      <c r="G857" s="192" t="s">
        <v>790</v>
      </c>
      <c r="H857" s="192" t="s">
        <v>790</v>
      </c>
      <c r="I857" t="s">
        <v>820</v>
      </c>
      <c r="J857" t="s">
        <v>865</v>
      </c>
      <c r="K857" t="s">
        <v>797</v>
      </c>
    </row>
    <row r="858" spans="2:11" x14ac:dyDescent="0.25">
      <c r="B858" s="191"/>
      <c r="C858" s="191"/>
      <c r="D858" s="192" t="s">
        <v>2486</v>
      </c>
      <c r="E858" t="s">
        <v>2487</v>
      </c>
      <c r="F858" s="192" t="s">
        <v>2391</v>
      </c>
      <c r="G858" s="192" t="s">
        <v>790</v>
      </c>
      <c r="H858" s="192" t="s">
        <v>790</v>
      </c>
      <c r="I858" t="s">
        <v>820</v>
      </c>
      <c r="J858" t="s">
        <v>865</v>
      </c>
      <c r="K858" t="s">
        <v>797</v>
      </c>
    </row>
    <row r="859" spans="2:11" x14ac:dyDescent="0.25">
      <c r="B859" s="191"/>
      <c r="C859" s="191" t="s">
        <v>2488</v>
      </c>
      <c r="D859" s="192"/>
      <c r="E859" s="185" t="s">
        <v>2489</v>
      </c>
      <c r="F859" s="192" t="s">
        <v>789</v>
      </c>
      <c r="G859" s="192" t="s">
        <v>790</v>
      </c>
      <c r="H859" s="192" t="s">
        <v>790</v>
      </c>
      <c r="I859" t="s">
        <v>820</v>
      </c>
    </row>
    <row r="860" spans="2:11" x14ac:dyDescent="0.25">
      <c r="B860" s="191"/>
      <c r="C860" s="191"/>
      <c r="D860" s="192" t="s">
        <v>2490</v>
      </c>
      <c r="E860" t="s">
        <v>2491</v>
      </c>
      <c r="F860" s="192" t="s">
        <v>2391</v>
      </c>
      <c r="G860" s="192" t="s">
        <v>790</v>
      </c>
      <c r="H860" s="192" t="s">
        <v>790</v>
      </c>
      <c r="I860" t="s">
        <v>820</v>
      </c>
      <c r="J860" t="s">
        <v>865</v>
      </c>
      <c r="K860" t="s">
        <v>797</v>
      </c>
    </row>
    <row r="861" spans="2:11" x14ac:dyDescent="0.25">
      <c r="B861" s="191"/>
      <c r="C861" s="191"/>
      <c r="D861" s="192" t="s">
        <v>2492</v>
      </c>
      <c r="E861" t="s">
        <v>2493</v>
      </c>
      <c r="F861" s="192" t="s">
        <v>2391</v>
      </c>
      <c r="G861" s="192" t="s">
        <v>790</v>
      </c>
      <c r="H861" s="192" t="s">
        <v>790</v>
      </c>
      <c r="I861" t="s">
        <v>820</v>
      </c>
      <c r="J861" t="s">
        <v>865</v>
      </c>
      <c r="K861" t="s">
        <v>797</v>
      </c>
    </row>
    <row r="862" spans="2:11" x14ac:dyDescent="0.25">
      <c r="B862" s="191"/>
      <c r="C862" s="191" t="s">
        <v>2494</v>
      </c>
      <c r="D862" s="192"/>
      <c r="E862" s="185" t="s">
        <v>2495</v>
      </c>
      <c r="F862" s="192" t="s">
        <v>789</v>
      </c>
      <c r="G862" s="192" t="s">
        <v>790</v>
      </c>
      <c r="H862" s="192" t="s">
        <v>790</v>
      </c>
      <c r="I862" t="s">
        <v>820</v>
      </c>
    </row>
    <row r="863" spans="2:11" x14ac:dyDescent="0.25">
      <c r="B863" s="191"/>
      <c r="C863" s="191"/>
      <c r="D863" s="192" t="s">
        <v>2496</v>
      </c>
      <c r="E863" t="s">
        <v>2497</v>
      </c>
      <c r="F863" s="192" t="s">
        <v>2391</v>
      </c>
      <c r="G863" s="192" t="s">
        <v>790</v>
      </c>
      <c r="H863" s="192" t="s">
        <v>790</v>
      </c>
      <c r="I863" t="s">
        <v>820</v>
      </c>
      <c r="J863" t="s">
        <v>865</v>
      </c>
      <c r="K863" t="s">
        <v>797</v>
      </c>
    </row>
    <row r="864" spans="2:11" x14ac:dyDescent="0.25">
      <c r="B864" s="191"/>
      <c r="C864" s="191"/>
      <c r="D864" s="192" t="s">
        <v>2498</v>
      </c>
      <c r="E864" t="s">
        <v>2499</v>
      </c>
      <c r="F864" s="192" t="s">
        <v>2391</v>
      </c>
      <c r="G864" s="192" t="s">
        <v>790</v>
      </c>
      <c r="H864" s="192" t="s">
        <v>790</v>
      </c>
      <c r="I864" t="s">
        <v>820</v>
      </c>
      <c r="J864" t="s">
        <v>865</v>
      </c>
      <c r="K864" t="s">
        <v>797</v>
      </c>
    </row>
    <row r="865" spans="2:11" x14ac:dyDescent="0.25">
      <c r="B865" s="191"/>
      <c r="C865" s="191"/>
      <c r="D865" s="192" t="s">
        <v>2500</v>
      </c>
      <c r="E865" t="s">
        <v>2501</v>
      </c>
      <c r="F865" s="192" t="s">
        <v>2391</v>
      </c>
      <c r="G865" s="192" t="s">
        <v>790</v>
      </c>
      <c r="H865" s="192" t="s">
        <v>790</v>
      </c>
      <c r="I865" t="s">
        <v>820</v>
      </c>
      <c r="J865" t="s">
        <v>865</v>
      </c>
      <c r="K865" t="s">
        <v>797</v>
      </c>
    </row>
    <row r="866" spans="2:11" x14ac:dyDescent="0.25">
      <c r="B866" s="191"/>
      <c r="C866" s="191"/>
      <c r="D866" s="192" t="s">
        <v>2502</v>
      </c>
      <c r="E866" t="s">
        <v>2503</v>
      </c>
      <c r="F866" s="192" t="s">
        <v>2391</v>
      </c>
      <c r="G866" s="192" t="s">
        <v>790</v>
      </c>
      <c r="H866" s="192" t="s">
        <v>790</v>
      </c>
      <c r="I866" t="s">
        <v>820</v>
      </c>
      <c r="J866" t="s">
        <v>865</v>
      </c>
      <c r="K866" t="s">
        <v>797</v>
      </c>
    </row>
    <row r="867" spans="2:11" x14ac:dyDescent="0.25">
      <c r="B867" s="191"/>
      <c r="C867" s="191"/>
      <c r="D867" s="192" t="s">
        <v>2504</v>
      </c>
      <c r="E867" t="s">
        <v>2505</v>
      </c>
      <c r="F867" s="192" t="s">
        <v>2391</v>
      </c>
      <c r="G867" s="192" t="s">
        <v>790</v>
      </c>
      <c r="H867" s="192" t="s">
        <v>790</v>
      </c>
      <c r="I867" t="s">
        <v>820</v>
      </c>
      <c r="J867" t="s">
        <v>865</v>
      </c>
      <c r="K867" t="s">
        <v>797</v>
      </c>
    </row>
    <row r="868" spans="2:11" x14ac:dyDescent="0.25">
      <c r="B868" s="191"/>
      <c r="C868" s="191"/>
      <c r="D868" s="192" t="s">
        <v>2506</v>
      </c>
      <c r="E868" t="s">
        <v>2507</v>
      </c>
      <c r="F868" s="192" t="s">
        <v>2391</v>
      </c>
      <c r="G868" s="192" t="s">
        <v>790</v>
      </c>
      <c r="H868" s="192" t="s">
        <v>790</v>
      </c>
      <c r="I868" t="s">
        <v>820</v>
      </c>
      <c r="J868" t="s">
        <v>865</v>
      </c>
      <c r="K868" t="s">
        <v>797</v>
      </c>
    </row>
    <row r="869" spans="2:11" x14ac:dyDescent="0.25">
      <c r="B869" s="191"/>
      <c r="C869" s="191"/>
      <c r="D869" s="192" t="s">
        <v>2508</v>
      </c>
      <c r="E869" t="s">
        <v>2509</v>
      </c>
      <c r="F869" s="192" t="s">
        <v>2391</v>
      </c>
      <c r="G869" s="192" t="s">
        <v>790</v>
      </c>
      <c r="H869" s="192" t="s">
        <v>790</v>
      </c>
      <c r="I869" t="s">
        <v>820</v>
      </c>
      <c r="J869" t="s">
        <v>865</v>
      </c>
      <c r="K869" t="s">
        <v>797</v>
      </c>
    </row>
    <row r="870" spans="2:11" x14ac:dyDescent="0.25">
      <c r="B870" s="191"/>
      <c r="C870" s="191"/>
      <c r="D870" s="192" t="s">
        <v>2510</v>
      </c>
      <c r="E870" t="s">
        <v>2511</v>
      </c>
      <c r="F870" s="192" t="s">
        <v>2391</v>
      </c>
      <c r="G870" s="192" t="s">
        <v>790</v>
      </c>
      <c r="H870" s="192" t="s">
        <v>790</v>
      </c>
      <c r="I870" t="s">
        <v>820</v>
      </c>
      <c r="J870" t="s">
        <v>865</v>
      </c>
      <c r="K870" t="s">
        <v>797</v>
      </c>
    </row>
    <row r="871" spans="2:11" x14ac:dyDescent="0.25">
      <c r="B871" s="191"/>
      <c r="C871" s="191"/>
      <c r="D871" s="192" t="s">
        <v>2512</v>
      </c>
      <c r="E871" t="s">
        <v>2513</v>
      </c>
      <c r="F871" s="192" t="s">
        <v>2391</v>
      </c>
      <c r="G871" s="192" t="s">
        <v>790</v>
      </c>
      <c r="H871" s="192" t="s">
        <v>790</v>
      </c>
      <c r="I871" t="s">
        <v>820</v>
      </c>
      <c r="J871" t="s">
        <v>865</v>
      </c>
      <c r="K871" t="s">
        <v>797</v>
      </c>
    </row>
    <row r="872" spans="2:11" x14ac:dyDescent="0.25">
      <c r="B872" s="191"/>
      <c r="C872" s="191" t="s">
        <v>2514</v>
      </c>
      <c r="D872" s="192"/>
      <c r="E872" s="185" t="s">
        <v>2515</v>
      </c>
      <c r="F872" s="192" t="s">
        <v>789</v>
      </c>
      <c r="G872" s="192" t="s">
        <v>790</v>
      </c>
      <c r="H872" s="192" t="s">
        <v>790</v>
      </c>
      <c r="I872" t="s">
        <v>820</v>
      </c>
    </row>
    <row r="873" spans="2:11" x14ac:dyDescent="0.25">
      <c r="B873" s="191"/>
      <c r="C873" s="191"/>
      <c r="D873" s="192" t="s">
        <v>2516</v>
      </c>
      <c r="E873" t="s">
        <v>2517</v>
      </c>
      <c r="F873" s="192" t="s">
        <v>2391</v>
      </c>
      <c r="G873" s="192" t="s">
        <v>790</v>
      </c>
      <c r="H873" s="192" t="s">
        <v>790</v>
      </c>
      <c r="I873" t="s">
        <v>820</v>
      </c>
      <c r="J873" t="s">
        <v>865</v>
      </c>
      <c r="K873" t="s">
        <v>797</v>
      </c>
    </row>
    <row r="874" spans="2:11" x14ac:dyDescent="0.25">
      <c r="B874" s="191"/>
      <c r="C874" s="191"/>
      <c r="D874" s="192" t="s">
        <v>2518</v>
      </c>
      <c r="E874" t="s">
        <v>2519</v>
      </c>
      <c r="F874" s="192" t="s">
        <v>2391</v>
      </c>
      <c r="G874" s="192" t="s">
        <v>790</v>
      </c>
      <c r="H874" s="192" t="s">
        <v>790</v>
      </c>
      <c r="I874" t="s">
        <v>820</v>
      </c>
      <c r="J874" t="s">
        <v>865</v>
      </c>
      <c r="K874" t="s">
        <v>797</v>
      </c>
    </row>
    <row r="875" spans="2:11" x14ac:dyDescent="0.25">
      <c r="B875" s="191"/>
      <c r="C875" s="191"/>
      <c r="D875" s="192" t="s">
        <v>2520</v>
      </c>
      <c r="E875" t="s">
        <v>2521</v>
      </c>
      <c r="F875" s="192" t="s">
        <v>2391</v>
      </c>
      <c r="G875" s="192" t="s">
        <v>790</v>
      </c>
      <c r="H875" s="192" t="s">
        <v>790</v>
      </c>
      <c r="I875" t="s">
        <v>820</v>
      </c>
      <c r="J875" t="s">
        <v>865</v>
      </c>
      <c r="K875" t="s">
        <v>797</v>
      </c>
    </row>
    <row r="876" spans="2:11" x14ac:dyDescent="0.25">
      <c r="B876" s="191"/>
      <c r="C876" s="191" t="s">
        <v>2522</v>
      </c>
      <c r="D876" s="192"/>
      <c r="E876" s="185" t="s">
        <v>2523</v>
      </c>
      <c r="F876" s="192" t="s">
        <v>789</v>
      </c>
      <c r="G876" s="192" t="s">
        <v>790</v>
      </c>
      <c r="H876" s="192" t="s">
        <v>790</v>
      </c>
      <c r="I876" t="s">
        <v>820</v>
      </c>
    </row>
    <row r="877" spans="2:11" x14ac:dyDescent="0.25">
      <c r="B877" s="191"/>
      <c r="C877" s="191"/>
      <c r="D877" s="192" t="s">
        <v>2524</v>
      </c>
      <c r="E877" t="s">
        <v>2525</v>
      </c>
      <c r="F877" s="192" t="s">
        <v>2391</v>
      </c>
      <c r="G877" s="192" t="s">
        <v>790</v>
      </c>
      <c r="H877" s="192" t="s">
        <v>790</v>
      </c>
      <c r="I877" t="s">
        <v>820</v>
      </c>
      <c r="J877" t="s">
        <v>865</v>
      </c>
      <c r="K877" t="s">
        <v>797</v>
      </c>
    </row>
    <row r="878" spans="2:11" x14ac:dyDescent="0.25">
      <c r="B878" s="191"/>
      <c r="C878" s="191"/>
      <c r="D878" s="192" t="s">
        <v>2526</v>
      </c>
      <c r="E878" t="s">
        <v>2527</v>
      </c>
      <c r="F878" s="192" t="s">
        <v>2391</v>
      </c>
      <c r="G878" s="192" t="s">
        <v>790</v>
      </c>
      <c r="H878" s="192" t="s">
        <v>790</v>
      </c>
      <c r="I878" t="s">
        <v>820</v>
      </c>
      <c r="J878" t="s">
        <v>865</v>
      </c>
      <c r="K878" t="s">
        <v>797</v>
      </c>
    </row>
    <row r="879" spans="2:11" x14ac:dyDescent="0.25">
      <c r="B879" s="191"/>
      <c r="C879" s="191" t="s">
        <v>2528</v>
      </c>
      <c r="D879" s="192"/>
      <c r="E879" s="185" t="s">
        <v>2529</v>
      </c>
      <c r="F879" s="192" t="s">
        <v>789</v>
      </c>
      <c r="G879" s="192" t="s">
        <v>790</v>
      </c>
      <c r="H879" s="192" t="s">
        <v>790</v>
      </c>
      <c r="I879" t="s">
        <v>820</v>
      </c>
    </row>
    <row r="880" spans="2:11" x14ac:dyDescent="0.25">
      <c r="B880" s="191"/>
      <c r="C880" s="191"/>
      <c r="D880" s="192" t="s">
        <v>2530</v>
      </c>
      <c r="E880" t="s">
        <v>2531</v>
      </c>
      <c r="F880" s="192" t="s">
        <v>2391</v>
      </c>
      <c r="G880" s="192" t="s">
        <v>790</v>
      </c>
      <c r="H880" s="192" t="s">
        <v>790</v>
      </c>
      <c r="I880" t="s">
        <v>820</v>
      </c>
      <c r="J880" t="s">
        <v>865</v>
      </c>
      <c r="K880" t="s">
        <v>797</v>
      </c>
    </row>
    <row r="881" spans="2:11" x14ac:dyDescent="0.25">
      <c r="B881" s="191"/>
      <c r="C881" s="191"/>
      <c r="D881" s="192" t="s">
        <v>2532</v>
      </c>
      <c r="E881" t="s">
        <v>2533</v>
      </c>
      <c r="F881" s="192" t="s">
        <v>2391</v>
      </c>
      <c r="G881" s="192" t="s">
        <v>790</v>
      </c>
      <c r="H881" s="192" t="s">
        <v>790</v>
      </c>
      <c r="I881" t="s">
        <v>820</v>
      </c>
      <c r="J881" t="s">
        <v>865</v>
      </c>
      <c r="K881" t="s">
        <v>797</v>
      </c>
    </row>
    <row r="882" spans="2:11" x14ac:dyDescent="0.25">
      <c r="B882" s="191"/>
      <c r="C882" s="191" t="s">
        <v>2534</v>
      </c>
      <c r="D882" s="192"/>
      <c r="E882" s="185" t="s">
        <v>2535</v>
      </c>
      <c r="F882" s="192" t="s">
        <v>789</v>
      </c>
      <c r="G882" s="192" t="s">
        <v>790</v>
      </c>
      <c r="H882" s="192" t="s">
        <v>790</v>
      </c>
      <c r="I882" t="s">
        <v>820</v>
      </c>
    </row>
    <row r="883" spans="2:11" x14ac:dyDescent="0.25">
      <c r="B883" s="191"/>
      <c r="C883" s="191"/>
      <c r="D883" s="192" t="s">
        <v>2536</v>
      </c>
      <c r="E883" t="s">
        <v>2537</v>
      </c>
      <c r="F883" s="192" t="s">
        <v>2391</v>
      </c>
      <c r="G883" s="192" t="s">
        <v>790</v>
      </c>
      <c r="H883" s="192" t="s">
        <v>790</v>
      </c>
      <c r="I883" t="s">
        <v>820</v>
      </c>
      <c r="J883" t="s">
        <v>865</v>
      </c>
      <c r="K883" t="s">
        <v>797</v>
      </c>
    </row>
    <row r="884" spans="2:11" x14ac:dyDescent="0.25">
      <c r="B884" s="191"/>
      <c r="C884" s="191"/>
      <c r="D884" s="192" t="s">
        <v>2538</v>
      </c>
      <c r="E884" t="s">
        <v>2539</v>
      </c>
      <c r="F884" s="192" t="s">
        <v>2391</v>
      </c>
      <c r="G884" s="192" t="s">
        <v>790</v>
      </c>
      <c r="H884" s="192" t="s">
        <v>790</v>
      </c>
      <c r="I884" t="s">
        <v>820</v>
      </c>
      <c r="J884" t="s">
        <v>865</v>
      </c>
      <c r="K884" t="s">
        <v>797</v>
      </c>
    </row>
    <row r="885" spans="2:11" x14ac:dyDescent="0.25">
      <c r="B885" s="191"/>
      <c r="C885" s="191" t="s">
        <v>2540</v>
      </c>
      <c r="D885" s="192"/>
      <c r="E885" s="185" t="s">
        <v>2541</v>
      </c>
      <c r="F885" s="192" t="s">
        <v>789</v>
      </c>
      <c r="G885" s="192" t="s">
        <v>790</v>
      </c>
      <c r="H885" s="192" t="s">
        <v>790</v>
      </c>
      <c r="I885" t="s">
        <v>820</v>
      </c>
    </row>
    <row r="886" spans="2:11" x14ac:dyDescent="0.25">
      <c r="B886" s="191"/>
      <c r="C886" s="191"/>
      <c r="D886" s="192" t="s">
        <v>2542</v>
      </c>
      <c r="E886" t="s">
        <v>2543</v>
      </c>
      <c r="F886" s="192" t="s">
        <v>2391</v>
      </c>
      <c r="G886" s="192" t="s">
        <v>790</v>
      </c>
      <c r="H886" s="192" t="s">
        <v>790</v>
      </c>
      <c r="I886" t="s">
        <v>820</v>
      </c>
      <c r="J886" t="s">
        <v>865</v>
      </c>
      <c r="K886" t="s">
        <v>797</v>
      </c>
    </row>
    <row r="887" spans="2:11" x14ac:dyDescent="0.25">
      <c r="B887" s="191"/>
      <c r="C887" s="191"/>
      <c r="D887" s="192" t="s">
        <v>2544</v>
      </c>
      <c r="E887" t="s">
        <v>2545</v>
      </c>
      <c r="F887" s="192" t="s">
        <v>2391</v>
      </c>
      <c r="G887" s="192" t="s">
        <v>790</v>
      </c>
      <c r="H887" s="192" t="s">
        <v>790</v>
      </c>
      <c r="I887" t="s">
        <v>820</v>
      </c>
      <c r="J887" t="s">
        <v>865</v>
      </c>
      <c r="K887" t="s">
        <v>797</v>
      </c>
    </row>
    <row r="888" spans="2:11" x14ac:dyDescent="0.25">
      <c r="B888" s="191"/>
      <c r="C888" s="191"/>
      <c r="D888" s="192" t="s">
        <v>2546</v>
      </c>
      <c r="E888" t="s">
        <v>2547</v>
      </c>
      <c r="F888" s="192" t="s">
        <v>2391</v>
      </c>
      <c r="G888" s="192" t="s">
        <v>790</v>
      </c>
      <c r="H888" s="192" t="s">
        <v>790</v>
      </c>
      <c r="I888" t="s">
        <v>820</v>
      </c>
      <c r="J888" t="s">
        <v>865</v>
      </c>
      <c r="K888" t="s">
        <v>797</v>
      </c>
    </row>
    <row r="889" spans="2:11" x14ac:dyDescent="0.25">
      <c r="B889" s="191"/>
      <c r="C889" s="191"/>
      <c r="D889" s="192" t="s">
        <v>2548</v>
      </c>
      <c r="E889" t="s">
        <v>2549</v>
      </c>
      <c r="F889" s="192" t="s">
        <v>2391</v>
      </c>
      <c r="G889" s="192" t="s">
        <v>790</v>
      </c>
      <c r="H889" s="192" t="s">
        <v>790</v>
      </c>
      <c r="I889" t="s">
        <v>820</v>
      </c>
      <c r="J889" t="s">
        <v>865</v>
      </c>
      <c r="K889" t="s">
        <v>797</v>
      </c>
    </row>
    <row r="890" spans="2:11" x14ac:dyDescent="0.25">
      <c r="B890" s="191"/>
      <c r="C890" s="191" t="s">
        <v>2550</v>
      </c>
      <c r="D890" s="192"/>
      <c r="E890" s="185" t="s">
        <v>2551</v>
      </c>
      <c r="F890" s="192" t="s">
        <v>789</v>
      </c>
      <c r="G890" s="192" t="s">
        <v>790</v>
      </c>
      <c r="H890" s="192" t="s">
        <v>790</v>
      </c>
      <c r="I890" t="s">
        <v>820</v>
      </c>
    </row>
    <row r="891" spans="2:11" x14ac:dyDescent="0.25">
      <c r="B891" s="191"/>
      <c r="C891" s="191"/>
      <c r="D891" s="192" t="s">
        <v>2552</v>
      </c>
      <c r="E891" t="s">
        <v>2553</v>
      </c>
      <c r="F891" s="192" t="s">
        <v>2391</v>
      </c>
      <c r="G891" s="192" t="s">
        <v>790</v>
      </c>
      <c r="H891" s="192" t="s">
        <v>790</v>
      </c>
      <c r="I891" t="s">
        <v>820</v>
      </c>
      <c r="J891" t="s">
        <v>865</v>
      </c>
      <c r="K891" t="s">
        <v>797</v>
      </c>
    </row>
    <row r="892" spans="2:11" x14ac:dyDescent="0.25">
      <c r="B892" s="191"/>
      <c r="C892" s="191"/>
      <c r="D892" s="192" t="s">
        <v>2554</v>
      </c>
      <c r="E892" t="s">
        <v>2555</v>
      </c>
      <c r="F892" s="192" t="s">
        <v>2391</v>
      </c>
      <c r="G892" s="192" t="s">
        <v>790</v>
      </c>
      <c r="H892" s="192" t="s">
        <v>790</v>
      </c>
      <c r="I892" t="s">
        <v>820</v>
      </c>
      <c r="J892" t="s">
        <v>865</v>
      </c>
      <c r="K892" t="s">
        <v>797</v>
      </c>
    </row>
    <row r="893" spans="2:11" x14ac:dyDescent="0.25">
      <c r="B893" s="191"/>
      <c r="C893" s="191" t="s">
        <v>2556</v>
      </c>
      <c r="D893" s="192"/>
      <c r="E893" s="185" t="s">
        <v>2557</v>
      </c>
      <c r="F893" s="192" t="s">
        <v>789</v>
      </c>
      <c r="G893" s="192" t="s">
        <v>790</v>
      </c>
      <c r="H893" s="192" t="s">
        <v>790</v>
      </c>
      <c r="I893" t="s">
        <v>820</v>
      </c>
    </row>
    <row r="894" spans="2:11" x14ac:dyDescent="0.25">
      <c r="B894" s="191"/>
      <c r="C894" s="191" t="s">
        <v>2558</v>
      </c>
      <c r="D894" s="192"/>
      <c r="E894" s="185" t="s">
        <v>2559</v>
      </c>
      <c r="F894" s="192" t="s">
        <v>789</v>
      </c>
      <c r="G894" s="192" t="s">
        <v>790</v>
      </c>
      <c r="H894" s="192" t="s">
        <v>790</v>
      </c>
      <c r="I894" t="s">
        <v>820</v>
      </c>
    </row>
    <row r="895" spans="2:11" x14ac:dyDescent="0.25">
      <c r="B895" s="191"/>
      <c r="C895" s="191"/>
      <c r="D895" s="192" t="s">
        <v>2560</v>
      </c>
      <c r="E895" t="s">
        <v>2561</v>
      </c>
      <c r="F895" s="192" t="s">
        <v>2391</v>
      </c>
      <c r="G895" s="192" t="s">
        <v>790</v>
      </c>
      <c r="H895" s="192" t="s">
        <v>790</v>
      </c>
      <c r="I895" t="s">
        <v>820</v>
      </c>
      <c r="J895" t="s">
        <v>865</v>
      </c>
      <c r="K895" t="s">
        <v>797</v>
      </c>
    </row>
    <row r="896" spans="2:11" x14ac:dyDescent="0.25">
      <c r="B896" s="191"/>
      <c r="C896" s="191"/>
      <c r="D896" s="192" t="s">
        <v>2562</v>
      </c>
      <c r="E896" t="s">
        <v>2563</v>
      </c>
      <c r="F896" s="192" t="s">
        <v>2391</v>
      </c>
      <c r="G896" s="192" t="s">
        <v>790</v>
      </c>
      <c r="H896" s="192" t="s">
        <v>790</v>
      </c>
      <c r="I896" t="s">
        <v>820</v>
      </c>
      <c r="J896" t="s">
        <v>865</v>
      </c>
      <c r="K896" t="s">
        <v>797</v>
      </c>
    </row>
    <row r="897" spans="2:11" x14ac:dyDescent="0.25">
      <c r="B897" s="191"/>
      <c r="C897" s="191" t="s">
        <v>2564</v>
      </c>
      <c r="D897" s="192"/>
      <c r="E897" s="185" t="s">
        <v>2565</v>
      </c>
      <c r="F897" s="192" t="s">
        <v>789</v>
      </c>
      <c r="G897" s="192" t="s">
        <v>790</v>
      </c>
      <c r="H897" s="192" t="s">
        <v>790</v>
      </c>
      <c r="I897" t="s">
        <v>820</v>
      </c>
    </row>
    <row r="898" spans="2:11" x14ac:dyDescent="0.25">
      <c r="B898" s="191"/>
      <c r="C898" s="191"/>
      <c r="D898" s="192" t="s">
        <v>2566</v>
      </c>
      <c r="E898" t="s">
        <v>2567</v>
      </c>
      <c r="F898" s="192" t="s">
        <v>2391</v>
      </c>
      <c r="G898" s="192" t="s">
        <v>790</v>
      </c>
      <c r="H898" s="192" t="s">
        <v>790</v>
      </c>
      <c r="I898" t="s">
        <v>820</v>
      </c>
      <c r="J898" t="s">
        <v>865</v>
      </c>
      <c r="K898" t="s">
        <v>797</v>
      </c>
    </row>
    <row r="899" spans="2:11" x14ac:dyDescent="0.25">
      <c r="B899" s="191"/>
      <c r="C899" s="191"/>
      <c r="D899" s="192" t="s">
        <v>2568</v>
      </c>
      <c r="E899" t="s">
        <v>2569</v>
      </c>
      <c r="F899" s="192" t="s">
        <v>2391</v>
      </c>
      <c r="G899" s="192" t="s">
        <v>790</v>
      </c>
      <c r="H899" s="192" t="s">
        <v>790</v>
      </c>
      <c r="I899" t="s">
        <v>820</v>
      </c>
      <c r="J899" t="s">
        <v>865</v>
      </c>
      <c r="K899" t="s">
        <v>797</v>
      </c>
    </row>
    <row r="900" spans="2:11" x14ac:dyDescent="0.25">
      <c r="B900" s="191"/>
      <c r="C900" s="191" t="s">
        <v>2570</v>
      </c>
      <c r="D900" s="192"/>
      <c r="E900" s="185" t="s">
        <v>2571</v>
      </c>
      <c r="F900" s="192" t="s">
        <v>789</v>
      </c>
      <c r="G900" s="192" t="s">
        <v>790</v>
      </c>
      <c r="H900" s="192" t="s">
        <v>790</v>
      </c>
      <c r="I900" t="s">
        <v>820</v>
      </c>
    </row>
    <row r="901" spans="2:11" x14ac:dyDescent="0.25">
      <c r="B901" s="191"/>
      <c r="C901" s="191"/>
      <c r="D901" s="192" t="s">
        <v>2572</v>
      </c>
      <c r="E901" t="s">
        <v>2573</v>
      </c>
      <c r="F901" s="192" t="s">
        <v>2391</v>
      </c>
      <c r="G901" s="192" t="s">
        <v>790</v>
      </c>
      <c r="H901" s="192" t="s">
        <v>790</v>
      </c>
      <c r="I901" t="s">
        <v>820</v>
      </c>
      <c r="J901" t="s">
        <v>865</v>
      </c>
      <c r="K901" t="s">
        <v>797</v>
      </c>
    </row>
    <row r="902" spans="2:11" x14ac:dyDescent="0.25">
      <c r="B902" s="191"/>
      <c r="C902" s="191"/>
      <c r="D902" s="192" t="s">
        <v>2574</v>
      </c>
      <c r="E902" t="s">
        <v>2575</v>
      </c>
      <c r="F902" s="192" t="s">
        <v>2391</v>
      </c>
      <c r="G902" s="192" t="s">
        <v>790</v>
      </c>
      <c r="H902" s="192" t="s">
        <v>790</v>
      </c>
      <c r="I902" t="s">
        <v>820</v>
      </c>
      <c r="J902" t="s">
        <v>865</v>
      </c>
      <c r="K902" t="s">
        <v>797</v>
      </c>
    </row>
    <row r="903" spans="2:11" x14ac:dyDescent="0.25">
      <c r="B903" s="191"/>
      <c r="C903" s="191" t="s">
        <v>2576</v>
      </c>
      <c r="D903" s="192"/>
      <c r="E903" s="185" t="s">
        <v>2577</v>
      </c>
      <c r="F903" s="192" t="s">
        <v>789</v>
      </c>
      <c r="G903" s="192" t="s">
        <v>790</v>
      </c>
      <c r="H903" s="192" t="s">
        <v>790</v>
      </c>
      <c r="I903" t="s">
        <v>820</v>
      </c>
    </row>
    <row r="904" spans="2:11" x14ac:dyDescent="0.25">
      <c r="B904" s="191"/>
      <c r="C904" s="191"/>
      <c r="D904" s="192" t="s">
        <v>2578</v>
      </c>
      <c r="E904" t="s">
        <v>2579</v>
      </c>
      <c r="F904" s="192" t="s">
        <v>2391</v>
      </c>
      <c r="G904" s="192" t="s">
        <v>790</v>
      </c>
      <c r="H904" s="192" t="s">
        <v>790</v>
      </c>
      <c r="I904" t="s">
        <v>820</v>
      </c>
      <c r="J904" t="s">
        <v>865</v>
      </c>
      <c r="K904" t="s">
        <v>797</v>
      </c>
    </row>
    <row r="905" spans="2:11" x14ac:dyDescent="0.25">
      <c r="B905" s="191"/>
      <c r="C905" s="191"/>
      <c r="D905" s="192" t="s">
        <v>2580</v>
      </c>
      <c r="E905" t="s">
        <v>2581</v>
      </c>
      <c r="F905" s="192" t="s">
        <v>2391</v>
      </c>
      <c r="G905" s="192" t="s">
        <v>790</v>
      </c>
      <c r="H905" s="192" t="s">
        <v>790</v>
      </c>
      <c r="I905" t="s">
        <v>820</v>
      </c>
      <c r="J905" t="s">
        <v>865</v>
      </c>
      <c r="K905" t="s">
        <v>797</v>
      </c>
    </row>
    <row r="906" spans="2:11" x14ac:dyDescent="0.25">
      <c r="B906" s="191"/>
      <c r="C906" s="191"/>
      <c r="D906" s="192" t="s">
        <v>2582</v>
      </c>
      <c r="E906" t="s">
        <v>2583</v>
      </c>
      <c r="F906" s="192" t="s">
        <v>2391</v>
      </c>
      <c r="G906" s="192" t="s">
        <v>790</v>
      </c>
      <c r="H906" s="192" t="s">
        <v>790</v>
      </c>
      <c r="I906" t="s">
        <v>820</v>
      </c>
      <c r="J906" t="s">
        <v>865</v>
      </c>
      <c r="K906" t="s">
        <v>797</v>
      </c>
    </row>
    <row r="907" spans="2:11" x14ac:dyDescent="0.25">
      <c r="B907" s="191"/>
      <c r="C907" s="191" t="s">
        <v>2584</v>
      </c>
      <c r="D907" s="192"/>
      <c r="E907" s="185" t="s">
        <v>2585</v>
      </c>
      <c r="F907" s="192" t="s">
        <v>789</v>
      </c>
      <c r="G907" s="192" t="s">
        <v>790</v>
      </c>
      <c r="H907" s="192" t="s">
        <v>790</v>
      </c>
      <c r="I907" t="s">
        <v>820</v>
      </c>
    </row>
    <row r="908" spans="2:11" x14ac:dyDescent="0.25">
      <c r="B908" s="191"/>
      <c r="C908" s="191"/>
      <c r="D908" s="192" t="s">
        <v>2586</v>
      </c>
      <c r="E908" t="s">
        <v>2587</v>
      </c>
      <c r="F908" s="192" t="s">
        <v>2391</v>
      </c>
      <c r="G908" s="192" t="s">
        <v>790</v>
      </c>
      <c r="H908" s="192" t="s">
        <v>790</v>
      </c>
      <c r="I908" t="s">
        <v>820</v>
      </c>
      <c r="J908" t="s">
        <v>865</v>
      </c>
      <c r="K908" t="s">
        <v>797</v>
      </c>
    </row>
    <row r="909" spans="2:11" x14ac:dyDescent="0.25">
      <c r="B909" s="191"/>
      <c r="C909" s="191"/>
      <c r="D909" s="192" t="s">
        <v>2588</v>
      </c>
      <c r="E909" t="s">
        <v>2589</v>
      </c>
      <c r="F909" s="192" t="s">
        <v>2391</v>
      </c>
      <c r="G909" s="192" t="s">
        <v>790</v>
      </c>
      <c r="H909" s="192" t="s">
        <v>790</v>
      </c>
      <c r="I909" t="s">
        <v>820</v>
      </c>
      <c r="J909" t="s">
        <v>865</v>
      </c>
      <c r="K909" t="s">
        <v>797</v>
      </c>
    </row>
    <row r="910" spans="2:11" x14ac:dyDescent="0.25">
      <c r="B910" s="191"/>
      <c r="C910" s="191" t="s">
        <v>2590</v>
      </c>
      <c r="D910" s="192"/>
      <c r="E910" s="185" t="s">
        <v>2591</v>
      </c>
      <c r="F910" s="192" t="s">
        <v>789</v>
      </c>
      <c r="G910" s="192" t="s">
        <v>790</v>
      </c>
      <c r="H910" s="192" t="s">
        <v>790</v>
      </c>
      <c r="I910" t="s">
        <v>820</v>
      </c>
    </row>
    <row r="911" spans="2:11" x14ac:dyDescent="0.25">
      <c r="B911" s="191"/>
      <c r="C911" s="191"/>
      <c r="D911" s="192" t="s">
        <v>2592</v>
      </c>
      <c r="E911" t="s">
        <v>2591</v>
      </c>
      <c r="F911" s="192" t="s">
        <v>2391</v>
      </c>
      <c r="G911" s="192" t="s">
        <v>790</v>
      </c>
      <c r="H911" s="192" t="s">
        <v>790</v>
      </c>
      <c r="I911" t="s">
        <v>820</v>
      </c>
      <c r="J911" t="s">
        <v>865</v>
      </c>
      <c r="K911" t="s">
        <v>797</v>
      </c>
    </row>
    <row r="912" spans="2:11" x14ac:dyDescent="0.25">
      <c r="B912" s="191"/>
      <c r="C912" s="191" t="s">
        <v>2593</v>
      </c>
      <c r="D912" s="192"/>
      <c r="E912" s="185" t="s">
        <v>2594</v>
      </c>
      <c r="F912" s="192" t="s">
        <v>789</v>
      </c>
      <c r="G912" s="192" t="s">
        <v>790</v>
      </c>
      <c r="H912" s="192" t="s">
        <v>790</v>
      </c>
      <c r="I912" t="s">
        <v>820</v>
      </c>
    </row>
    <row r="913" spans="2:11" x14ac:dyDescent="0.25">
      <c r="B913" s="191"/>
      <c r="C913" s="191"/>
      <c r="D913" s="192" t="s">
        <v>2595</v>
      </c>
      <c r="E913" t="s">
        <v>2596</v>
      </c>
      <c r="F913" s="192" t="s">
        <v>2391</v>
      </c>
      <c r="G913" s="192" t="s">
        <v>790</v>
      </c>
      <c r="H913" s="192" t="s">
        <v>790</v>
      </c>
      <c r="I913" t="s">
        <v>820</v>
      </c>
      <c r="J913" t="s">
        <v>865</v>
      </c>
      <c r="K913" t="s">
        <v>797</v>
      </c>
    </row>
    <row r="914" spans="2:11" x14ac:dyDescent="0.25">
      <c r="B914" s="191"/>
      <c r="C914" s="191"/>
      <c r="D914" s="192" t="s">
        <v>2597</v>
      </c>
      <c r="E914" t="s">
        <v>2598</v>
      </c>
      <c r="F914" s="192" t="s">
        <v>2391</v>
      </c>
      <c r="G914" s="192" t="s">
        <v>790</v>
      </c>
      <c r="H914" s="192" t="s">
        <v>790</v>
      </c>
      <c r="I914" t="s">
        <v>820</v>
      </c>
      <c r="J914" t="s">
        <v>865</v>
      </c>
      <c r="K914" t="s">
        <v>797</v>
      </c>
    </row>
    <row r="915" spans="2:11" x14ac:dyDescent="0.25">
      <c r="B915" s="191"/>
      <c r="C915" s="191" t="s">
        <v>2599</v>
      </c>
      <c r="D915" s="192"/>
      <c r="E915" s="185" t="s">
        <v>2600</v>
      </c>
      <c r="F915" s="192" t="s">
        <v>789</v>
      </c>
      <c r="G915" s="192" t="s">
        <v>790</v>
      </c>
      <c r="H915" s="192" t="s">
        <v>790</v>
      </c>
      <c r="I915" t="s">
        <v>820</v>
      </c>
    </row>
    <row r="916" spans="2:11" x14ac:dyDescent="0.25">
      <c r="B916" s="191"/>
      <c r="C916" s="191" t="s">
        <v>2601</v>
      </c>
      <c r="D916" s="192"/>
      <c r="E916" s="185" t="s">
        <v>2602</v>
      </c>
      <c r="F916" s="192" t="s">
        <v>789</v>
      </c>
      <c r="G916" s="192" t="s">
        <v>790</v>
      </c>
      <c r="H916" s="192" t="s">
        <v>790</v>
      </c>
      <c r="I916" t="s">
        <v>820</v>
      </c>
    </row>
    <row r="917" spans="2:11" x14ac:dyDescent="0.25">
      <c r="B917" s="191"/>
      <c r="C917" s="191"/>
      <c r="D917" s="192" t="s">
        <v>2603</v>
      </c>
      <c r="E917" t="s">
        <v>2604</v>
      </c>
      <c r="F917" s="192" t="s">
        <v>2391</v>
      </c>
      <c r="G917" s="192" t="s">
        <v>790</v>
      </c>
      <c r="H917" s="192" t="s">
        <v>790</v>
      </c>
      <c r="I917" t="s">
        <v>820</v>
      </c>
      <c r="J917" t="s">
        <v>865</v>
      </c>
      <c r="K917" t="s">
        <v>797</v>
      </c>
    </row>
    <row r="918" spans="2:11" x14ac:dyDescent="0.25">
      <c r="B918" s="191"/>
      <c r="C918" s="191"/>
      <c r="D918" s="192" t="s">
        <v>2605</v>
      </c>
      <c r="E918" t="s">
        <v>2606</v>
      </c>
      <c r="F918" s="192" t="s">
        <v>2391</v>
      </c>
      <c r="G918" s="192" t="s">
        <v>790</v>
      </c>
      <c r="H918" s="192" t="s">
        <v>790</v>
      </c>
      <c r="I918" t="s">
        <v>820</v>
      </c>
      <c r="J918" t="s">
        <v>865</v>
      </c>
      <c r="K918" t="s">
        <v>797</v>
      </c>
    </row>
    <row r="919" spans="2:11" x14ac:dyDescent="0.25">
      <c r="B919" s="191"/>
      <c r="C919" s="191" t="s">
        <v>2607</v>
      </c>
      <c r="D919" s="192"/>
      <c r="E919" s="185" t="s">
        <v>2608</v>
      </c>
      <c r="F919" s="192" t="s">
        <v>789</v>
      </c>
      <c r="G919" s="192" t="s">
        <v>790</v>
      </c>
      <c r="H919" s="192" t="s">
        <v>790</v>
      </c>
      <c r="I919" t="s">
        <v>820</v>
      </c>
    </row>
    <row r="920" spans="2:11" x14ac:dyDescent="0.25">
      <c r="B920" s="191"/>
      <c r="C920" s="191"/>
      <c r="D920" s="192" t="s">
        <v>2609</v>
      </c>
      <c r="E920" t="s">
        <v>2610</v>
      </c>
      <c r="F920" s="192" t="s">
        <v>2391</v>
      </c>
      <c r="G920" s="192" t="s">
        <v>790</v>
      </c>
      <c r="H920" s="192" t="s">
        <v>790</v>
      </c>
      <c r="I920" t="s">
        <v>820</v>
      </c>
      <c r="J920" t="s">
        <v>865</v>
      </c>
      <c r="K920" t="s">
        <v>797</v>
      </c>
    </row>
    <row r="921" spans="2:11" x14ac:dyDescent="0.25">
      <c r="B921" s="191"/>
      <c r="C921" s="191"/>
      <c r="D921" s="192" t="s">
        <v>2611</v>
      </c>
      <c r="E921" t="s">
        <v>2612</v>
      </c>
      <c r="F921" s="192" t="s">
        <v>2391</v>
      </c>
      <c r="G921" s="192" t="s">
        <v>790</v>
      </c>
      <c r="H921" s="192" t="s">
        <v>790</v>
      </c>
      <c r="I921" t="s">
        <v>820</v>
      </c>
      <c r="J921" t="s">
        <v>865</v>
      </c>
      <c r="K921" t="s">
        <v>797</v>
      </c>
    </row>
    <row r="922" spans="2:11" x14ac:dyDescent="0.25">
      <c r="B922" s="191"/>
      <c r="C922" s="191" t="s">
        <v>2613</v>
      </c>
      <c r="D922" s="192"/>
      <c r="E922" s="185" t="s">
        <v>2614</v>
      </c>
      <c r="F922" s="192" t="s">
        <v>789</v>
      </c>
      <c r="G922" s="192" t="s">
        <v>790</v>
      </c>
      <c r="H922" s="192" t="s">
        <v>790</v>
      </c>
      <c r="I922" t="s">
        <v>820</v>
      </c>
    </row>
    <row r="923" spans="2:11" x14ac:dyDescent="0.25">
      <c r="B923" s="191"/>
      <c r="C923" s="191" t="s">
        <v>2615</v>
      </c>
      <c r="D923" s="192"/>
      <c r="E923" s="185" t="s">
        <v>2616</v>
      </c>
      <c r="F923" s="192" t="s">
        <v>789</v>
      </c>
      <c r="G923" s="192" t="s">
        <v>790</v>
      </c>
      <c r="H923" s="192" t="s">
        <v>790</v>
      </c>
      <c r="I923" t="s">
        <v>820</v>
      </c>
    </row>
    <row r="924" spans="2:11" x14ac:dyDescent="0.25">
      <c r="B924" s="191"/>
      <c r="C924" s="191"/>
      <c r="D924" s="192" t="s">
        <v>2617</v>
      </c>
      <c r="E924" t="s">
        <v>2618</v>
      </c>
      <c r="F924" s="192" t="s">
        <v>2391</v>
      </c>
      <c r="G924" s="192" t="s">
        <v>790</v>
      </c>
      <c r="H924" s="192" t="s">
        <v>790</v>
      </c>
      <c r="I924" t="s">
        <v>820</v>
      </c>
      <c r="J924" t="s">
        <v>865</v>
      </c>
      <c r="K924" t="s">
        <v>797</v>
      </c>
    </row>
    <row r="925" spans="2:11" x14ac:dyDescent="0.25">
      <c r="B925" s="191"/>
      <c r="C925" s="191" t="s">
        <v>2619</v>
      </c>
      <c r="D925" s="192"/>
      <c r="E925" s="185" t="s">
        <v>2620</v>
      </c>
      <c r="F925" s="192" t="s">
        <v>789</v>
      </c>
      <c r="G925" s="192" t="s">
        <v>790</v>
      </c>
      <c r="H925" s="192" t="s">
        <v>790</v>
      </c>
      <c r="I925" t="s">
        <v>820</v>
      </c>
    </row>
    <row r="926" spans="2:11" x14ac:dyDescent="0.25">
      <c r="B926" s="191"/>
      <c r="C926" s="191"/>
      <c r="D926" s="192" t="s">
        <v>2621</v>
      </c>
      <c r="E926" t="s">
        <v>2622</v>
      </c>
      <c r="F926" s="192" t="s">
        <v>2391</v>
      </c>
      <c r="G926" s="192" t="s">
        <v>790</v>
      </c>
      <c r="H926" s="192" t="s">
        <v>790</v>
      </c>
      <c r="I926" t="s">
        <v>820</v>
      </c>
      <c r="J926" t="s">
        <v>865</v>
      </c>
      <c r="K926" t="s">
        <v>797</v>
      </c>
    </row>
    <row r="927" spans="2:11" x14ac:dyDescent="0.25">
      <c r="B927" s="191"/>
      <c r="C927" s="191" t="s">
        <v>2623</v>
      </c>
      <c r="D927" s="192"/>
      <c r="E927" s="185" t="s">
        <v>2624</v>
      </c>
      <c r="F927" s="192" t="s">
        <v>789</v>
      </c>
      <c r="G927" s="192" t="s">
        <v>790</v>
      </c>
      <c r="H927" s="192" t="s">
        <v>790</v>
      </c>
      <c r="I927" t="s">
        <v>820</v>
      </c>
    </row>
    <row r="928" spans="2:11" x14ac:dyDescent="0.25">
      <c r="B928" s="191"/>
      <c r="C928" s="191"/>
      <c r="D928" s="192" t="s">
        <v>2625</v>
      </c>
      <c r="E928" t="s">
        <v>2626</v>
      </c>
      <c r="F928" s="192" t="s">
        <v>2391</v>
      </c>
      <c r="G928" s="192" t="s">
        <v>790</v>
      </c>
      <c r="H928" s="192" t="s">
        <v>790</v>
      </c>
      <c r="I928" t="s">
        <v>820</v>
      </c>
      <c r="J928" t="s">
        <v>865</v>
      </c>
      <c r="K928" t="s">
        <v>797</v>
      </c>
    </row>
    <row r="929" spans="2:11" x14ac:dyDescent="0.25">
      <c r="B929" s="191" t="s">
        <v>2627</v>
      </c>
      <c r="C929" s="191"/>
      <c r="D929" s="192"/>
      <c r="E929" s="185" t="s">
        <v>2628</v>
      </c>
      <c r="F929" s="192" t="s">
        <v>789</v>
      </c>
      <c r="G929" s="192" t="s">
        <v>790</v>
      </c>
      <c r="H929" s="192" t="s">
        <v>790</v>
      </c>
      <c r="I929" t="s">
        <v>820</v>
      </c>
      <c r="J929" t="s">
        <v>865</v>
      </c>
    </row>
    <row r="930" spans="2:11" x14ac:dyDescent="0.25">
      <c r="B930" s="191"/>
      <c r="C930" s="191" t="s">
        <v>2629</v>
      </c>
      <c r="D930" s="192"/>
      <c r="E930" s="185" t="s">
        <v>2630</v>
      </c>
      <c r="F930" s="192" t="s">
        <v>789</v>
      </c>
      <c r="G930" s="192" t="s">
        <v>790</v>
      </c>
      <c r="H930" s="192" t="s">
        <v>790</v>
      </c>
      <c r="I930" t="s">
        <v>820</v>
      </c>
    </row>
    <row r="931" spans="2:11" x14ac:dyDescent="0.25">
      <c r="B931" s="191"/>
      <c r="C931" s="191"/>
      <c r="D931" s="192" t="s">
        <v>2631</v>
      </c>
      <c r="E931" t="s">
        <v>2632</v>
      </c>
      <c r="F931" s="192" t="s">
        <v>2633</v>
      </c>
      <c r="G931" s="192" t="s">
        <v>790</v>
      </c>
      <c r="H931" s="192" t="s">
        <v>790</v>
      </c>
      <c r="I931" t="s">
        <v>820</v>
      </c>
      <c r="J931" t="s">
        <v>865</v>
      </c>
      <c r="K931" t="s">
        <v>797</v>
      </c>
    </row>
    <row r="932" spans="2:11" x14ac:dyDescent="0.25">
      <c r="B932" s="191"/>
      <c r="C932" s="191"/>
      <c r="D932" s="192" t="s">
        <v>2634</v>
      </c>
      <c r="E932" t="s">
        <v>2635</v>
      </c>
      <c r="F932" s="192" t="s">
        <v>2633</v>
      </c>
      <c r="G932" s="192" t="s">
        <v>790</v>
      </c>
      <c r="H932" s="192" t="s">
        <v>790</v>
      </c>
      <c r="I932" t="s">
        <v>820</v>
      </c>
      <c r="J932" t="s">
        <v>865</v>
      </c>
      <c r="K932" t="s">
        <v>797</v>
      </c>
    </row>
    <row r="933" spans="2:11" x14ac:dyDescent="0.25">
      <c r="B933" s="191"/>
      <c r="C933" s="191" t="s">
        <v>2636</v>
      </c>
      <c r="D933" s="192"/>
      <c r="E933" s="185" t="s">
        <v>2637</v>
      </c>
      <c r="F933" s="192" t="s">
        <v>789</v>
      </c>
      <c r="G933" s="192" t="s">
        <v>790</v>
      </c>
      <c r="H933" s="192" t="s">
        <v>790</v>
      </c>
      <c r="I933" t="s">
        <v>820</v>
      </c>
    </row>
    <row r="934" spans="2:11" x14ac:dyDescent="0.25">
      <c r="B934" s="191"/>
      <c r="C934" s="191"/>
      <c r="D934" s="192" t="s">
        <v>2638</v>
      </c>
      <c r="E934" t="s">
        <v>2639</v>
      </c>
      <c r="F934" s="192" t="s">
        <v>2633</v>
      </c>
      <c r="G934" s="192" t="s">
        <v>790</v>
      </c>
      <c r="H934" s="192" t="s">
        <v>790</v>
      </c>
      <c r="I934" t="s">
        <v>820</v>
      </c>
      <c r="J934" t="s">
        <v>865</v>
      </c>
      <c r="K934" t="s">
        <v>797</v>
      </c>
    </row>
    <row r="935" spans="2:11" x14ac:dyDescent="0.25">
      <c r="B935" s="191"/>
      <c r="C935" s="191"/>
      <c r="D935" s="192" t="s">
        <v>2640</v>
      </c>
      <c r="E935" t="s">
        <v>2641</v>
      </c>
      <c r="F935" s="192" t="s">
        <v>2633</v>
      </c>
      <c r="G935" s="192" t="s">
        <v>790</v>
      </c>
      <c r="H935" s="192" t="s">
        <v>790</v>
      </c>
      <c r="I935" t="s">
        <v>820</v>
      </c>
      <c r="J935" t="s">
        <v>865</v>
      </c>
      <c r="K935" t="s">
        <v>797</v>
      </c>
    </row>
    <row r="936" spans="2:11" x14ac:dyDescent="0.25">
      <c r="B936" s="191"/>
      <c r="C936" s="191" t="s">
        <v>2642</v>
      </c>
      <c r="D936" s="192"/>
      <c r="E936" s="185" t="s">
        <v>2643</v>
      </c>
      <c r="F936" s="192" t="s">
        <v>789</v>
      </c>
      <c r="G936" s="192" t="s">
        <v>790</v>
      </c>
      <c r="H936" s="192" t="s">
        <v>790</v>
      </c>
      <c r="I936" t="s">
        <v>820</v>
      </c>
    </row>
    <row r="937" spans="2:11" x14ac:dyDescent="0.25">
      <c r="B937" s="191"/>
      <c r="C937" s="191"/>
      <c r="D937" s="192" t="s">
        <v>2644</v>
      </c>
      <c r="E937" t="s">
        <v>2645</v>
      </c>
      <c r="F937" s="192" t="s">
        <v>2633</v>
      </c>
      <c r="G937" s="192" t="s">
        <v>790</v>
      </c>
      <c r="H937" s="192" t="s">
        <v>790</v>
      </c>
      <c r="I937" t="s">
        <v>820</v>
      </c>
      <c r="J937" t="s">
        <v>865</v>
      </c>
      <c r="K937" t="s">
        <v>797</v>
      </c>
    </row>
    <row r="938" spans="2:11" x14ac:dyDescent="0.25">
      <c r="B938" s="191"/>
      <c r="C938" s="191"/>
      <c r="D938" s="192" t="s">
        <v>2646</v>
      </c>
      <c r="E938" t="s">
        <v>2647</v>
      </c>
      <c r="F938" s="192" t="s">
        <v>2633</v>
      </c>
      <c r="G938" s="192" t="s">
        <v>790</v>
      </c>
      <c r="H938" s="192" t="s">
        <v>790</v>
      </c>
      <c r="I938" t="s">
        <v>820</v>
      </c>
      <c r="J938" t="s">
        <v>865</v>
      </c>
      <c r="K938" t="s">
        <v>797</v>
      </c>
    </row>
    <row r="939" spans="2:11" x14ac:dyDescent="0.25">
      <c r="B939" s="191" t="s">
        <v>2648</v>
      </c>
      <c r="C939" s="191"/>
      <c r="D939" s="192"/>
      <c r="E939" s="185" t="s">
        <v>2649</v>
      </c>
      <c r="F939" s="192" t="s">
        <v>789</v>
      </c>
      <c r="G939" s="192" t="s">
        <v>790</v>
      </c>
      <c r="H939" s="192" t="s">
        <v>790</v>
      </c>
      <c r="I939" t="s">
        <v>820</v>
      </c>
      <c r="J939" t="s">
        <v>865</v>
      </c>
    </row>
    <row r="940" spans="2:11" x14ac:dyDescent="0.25">
      <c r="B940" s="191"/>
      <c r="C940" s="191" t="s">
        <v>2650</v>
      </c>
      <c r="D940" s="192"/>
      <c r="E940" s="185" t="s">
        <v>2651</v>
      </c>
      <c r="F940" s="192" t="s">
        <v>789</v>
      </c>
      <c r="G940" s="192" t="s">
        <v>790</v>
      </c>
      <c r="H940" s="192" t="s">
        <v>790</v>
      </c>
      <c r="I940" t="s">
        <v>820</v>
      </c>
    </row>
    <row r="941" spans="2:11" x14ac:dyDescent="0.25">
      <c r="B941" s="191"/>
      <c r="C941" s="191"/>
      <c r="D941" s="192" t="s">
        <v>2652</v>
      </c>
      <c r="E941" t="s">
        <v>2653</v>
      </c>
      <c r="F941" s="192" t="s">
        <v>2654</v>
      </c>
      <c r="G941" s="192" t="s">
        <v>790</v>
      </c>
      <c r="H941" s="192" t="s">
        <v>790</v>
      </c>
      <c r="I941" t="s">
        <v>820</v>
      </c>
      <c r="J941" t="s">
        <v>865</v>
      </c>
      <c r="K941" t="s">
        <v>797</v>
      </c>
    </row>
    <row r="942" spans="2:11" x14ac:dyDescent="0.25">
      <c r="B942" s="191"/>
      <c r="C942" s="191"/>
      <c r="D942" s="192" t="s">
        <v>2655</v>
      </c>
      <c r="E942" t="s">
        <v>2656</v>
      </c>
      <c r="F942" s="192" t="s">
        <v>2654</v>
      </c>
      <c r="G942" s="192" t="s">
        <v>790</v>
      </c>
      <c r="H942" s="192" t="s">
        <v>790</v>
      </c>
      <c r="I942" t="s">
        <v>820</v>
      </c>
      <c r="J942" t="s">
        <v>865</v>
      </c>
      <c r="K942" t="s">
        <v>797</v>
      </c>
    </row>
    <row r="943" spans="2:11" x14ac:dyDescent="0.25">
      <c r="B943" s="191"/>
      <c r="C943" s="191"/>
      <c r="D943" s="192" t="s">
        <v>2657</v>
      </c>
      <c r="E943" t="s">
        <v>2658</v>
      </c>
      <c r="F943" s="192" t="s">
        <v>2654</v>
      </c>
      <c r="G943" s="192" t="s">
        <v>790</v>
      </c>
      <c r="H943" s="192" t="s">
        <v>790</v>
      </c>
      <c r="I943" t="s">
        <v>820</v>
      </c>
      <c r="J943" t="s">
        <v>865</v>
      </c>
      <c r="K943" t="s">
        <v>797</v>
      </c>
    </row>
    <row r="944" spans="2:11" x14ac:dyDescent="0.25">
      <c r="B944" s="191"/>
      <c r="C944" s="191" t="s">
        <v>2659</v>
      </c>
      <c r="D944" s="192"/>
      <c r="E944" s="185" t="s">
        <v>2660</v>
      </c>
      <c r="F944" s="192" t="s">
        <v>789</v>
      </c>
      <c r="G944" s="192" t="s">
        <v>790</v>
      </c>
      <c r="H944" s="192" t="s">
        <v>790</v>
      </c>
      <c r="I944" t="s">
        <v>820</v>
      </c>
    </row>
    <row r="945" spans="2:11" x14ac:dyDescent="0.25">
      <c r="B945" s="191"/>
      <c r="C945" s="191"/>
      <c r="D945" s="192" t="s">
        <v>2661</v>
      </c>
      <c r="E945" t="s">
        <v>2662</v>
      </c>
      <c r="F945" s="192" t="s">
        <v>2654</v>
      </c>
      <c r="G945" s="192" t="s">
        <v>790</v>
      </c>
      <c r="H945" s="192" t="s">
        <v>790</v>
      </c>
      <c r="I945" t="s">
        <v>820</v>
      </c>
      <c r="J945" t="s">
        <v>865</v>
      </c>
      <c r="K945" t="s">
        <v>797</v>
      </c>
    </row>
    <row r="946" spans="2:11" x14ac:dyDescent="0.25">
      <c r="B946" s="191"/>
      <c r="C946" s="191"/>
      <c r="D946" s="192" t="s">
        <v>2663</v>
      </c>
      <c r="E946" t="s">
        <v>2664</v>
      </c>
      <c r="F946" s="192" t="s">
        <v>2654</v>
      </c>
      <c r="G946" s="192" t="s">
        <v>790</v>
      </c>
      <c r="H946" s="192" t="s">
        <v>790</v>
      </c>
      <c r="I946" t="s">
        <v>820</v>
      </c>
      <c r="J946" t="s">
        <v>865</v>
      </c>
      <c r="K946" t="s">
        <v>797</v>
      </c>
    </row>
    <row r="947" spans="2:11" x14ac:dyDescent="0.25">
      <c r="B947" s="191"/>
      <c r="C947" s="191"/>
      <c r="D947" s="192" t="s">
        <v>2665</v>
      </c>
      <c r="E947" t="s">
        <v>2666</v>
      </c>
      <c r="F947" s="192" t="s">
        <v>2654</v>
      </c>
      <c r="G947" s="192" t="s">
        <v>790</v>
      </c>
      <c r="H947" s="192" t="s">
        <v>790</v>
      </c>
      <c r="I947" t="s">
        <v>820</v>
      </c>
      <c r="J947" t="s">
        <v>865</v>
      </c>
      <c r="K947" t="s">
        <v>797</v>
      </c>
    </row>
    <row r="948" spans="2:11" x14ac:dyDescent="0.25">
      <c r="B948" s="191"/>
      <c r="C948" s="191"/>
      <c r="D948" s="192" t="s">
        <v>2667</v>
      </c>
      <c r="E948" t="s">
        <v>2668</v>
      </c>
      <c r="F948" s="192" t="s">
        <v>2654</v>
      </c>
      <c r="G948" s="192" t="s">
        <v>790</v>
      </c>
      <c r="H948" s="192" t="s">
        <v>790</v>
      </c>
      <c r="I948" t="s">
        <v>820</v>
      </c>
      <c r="J948" t="s">
        <v>865</v>
      </c>
      <c r="K948" t="s">
        <v>797</v>
      </c>
    </row>
    <row r="949" spans="2:11" x14ac:dyDescent="0.25">
      <c r="B949" s="191" t="s">
        <v>2669</v>
      </c>
      <c r="C949" s="191"/>
      <c r="D949" s="192"/>
      <c r="E949" s="185" t="s">
        <v>2670</v>
      </c>
      <c r="F949" s="192" t="s">
        <v>789</v>
      </c>
      <c r="G949" s="192" t="s">
        <v>790</v>
      </c>
      <c r="H949" s="192" t="s">
        <v>790</v>
      </c>
      <c r="I949" t="s">
        <v>820</v>
      </c>
      <c r="J949" t="s">
        <v>865</v>
      </c>
    </row>
    <row r="950" spans="2:11" x14ac:dyDescent="0.25">
      <c r="B950" s="191"/>
      <c r="C950" s="191" t="s">
        <v>2671</v>
      </c>
      <c r="D950" s="192"/>
      <c r="E950" s="185" t="s">
        <v>2672</v>
      </c>
      <c r="F950" s="192" t="s">
        <v>789</v>
      </c>
      <c r="G950" s="192" t="s">
        <v>790</v>
      </c>
      <c r="H950" s="192" t="s">
        <v>790</v>
      </c>
      <c r="I950" t="s">
        <v>820</v>
      </c>
    </row>
    <row r="951" spans="2:11" x14ac:dyDescent="0.25">
      <c r="B951" s="191"/>
      <c r="C951" s="191" t="s">
        <v>2673</v>
      </c>
      <c r="D951" s="192"/>
      <c r="E951" s="185" t="s">
        <v>2674</v>
      </c>
      <c r="F951" s="192" t="s">
        <v>789</v>
      </c>
      <c r="G951" s="192" t="s">
        <v>790</v>
      </c>
      <c r="H951" s="192" t="s">
        <v>790</v>
      </c>
      <c r="I951" t="s">
        <v>820</v>
      </c>
    </row>
    <row r="952" spans="2:11" x14ac:dyDescent="0.25">
      <c r="B952" s="191"/>
      <c r="C952" s="191"/>
      <c r="D952" s="192" t="s">
        <v>2675</v>
      </c>
      <c r="E952" t="s">
        <v>2676</v>
      </c>
      <c r="F952" s="192" t="s">
        <v>2677</v>
      </c>
      <c r="G952" s="192" t="s">
        <v>790</v>
      </c>
      <c r="H952" s="192" t="s">
        <v>790</v>
      </c>
      <c r="I952" t="s">
        <v>820</v>
      </c>
      <c r="J952" t="s">
        <v>865</v>
      </c>
      <c r="K952" t="s">
        <v>797</v>
      </c>
    </row>
    <row r="953" spans="2:11" x14ac:dyDescent="0.25">
      <c r="B953" s="191"/>
      <c r="C953" s="191"/>
      <c r="D953" s="192" t="s">
        <v>2678</v>
      </c>
      <c r="E953" t="s">
        <v>2679</v>
      </c>
      <c r="F953" s="192" t="s">
        <v>2677</v>
      </c>
      <c r="G953" s="192" t="s">
        <v>790</v>
      </c>
      <c r="H953" s="192" t="s">
        <v>790</v>
      </c>
      <c r="I953" t="s">
        <v>820</v>
      </c>
      <c r="J953" t="s">
        <v>865</v>
      </c>
      <c r="K953" t="s">
        <v>797</v>
      </c>
    </row>
    <row r="954" spans="2:11" x14ac:dyDescent="0.25">
      <c r="B954" s="191"/>
      <c r="C954" s="191"/>
      <c r="D954" s="192" t="s">
        <v>2680</v>
      </c>
      <c r="E954" t="s">
        <v>2681</v>
      </c>
      <c r="F954" s="192" t="s">
        <v>2677</v>
      </c>
      <c r="G954" s="192" t="s">
        <v>790</v>
      </c>
      <c r="H954" s="192" t="s">
        <v>790</v>
      </c>
      <c r="I954" t="s">
        <v>820</v>
      </c>
      <c r="J954" t="s">
        <v>865</v>
      </c>
      <c r="K954" t="s">
        <v>797</v>
      </c>
    </row>
    <row r="955" spans="2:11" x14ac:dyDescent="0.25">
      <c r="B955" s="191"/>
      <c r="C955" s="191" t="s">
        <v>2682</v>
      </c>
      <c r="D955" s="192"/>
      <c r="E955" s="185" t="s">
        <v>2683</v>
      </c>
      <c r="F955" s="192" t="s">
        <v>789</v>
      </c>
      <c r="G955" s="192" t="s">
        <v>790</v>
      </c>
      <c r="H955" s="192" t="s">
        <v>790</v>
      </c>
      <c r="I955" t="s">
        <v>820</v>
      </c>
    </row>
    <row r="956" spans="2:11" x14ac:dyDescent="0.25">
      <c r="B956" s="191"/>
      <c r="C956" s="191" t="s">
        <v>2684</v>
      </c>
      <c r="D956" s="192"/>
      <c r="E956" s="185" t="s">
        <v>2685</v>
      </c>
      <c r="F956" s="192" t="s">
        <v>789</v>
      </c>
      <c r="G956" s="192" t="s">
        <v>790</v>
      </c>
      <c r="H956" s="192" t="s">
        <v>790</v>
      </c>
      <c r="I956" t="s">
        <v>820</v>
      </c>
    </row>
    <row r="957" spans="2:11" x14ac:dyDescent="0.25">
      <c r="B957" s="191"/>
      <c r="C957" s="191"/>
      <c r="D957" s="192" t="s">
        <v>2686</v>
      </c>
      <c r="E957" t="s">
        <v>2687</v>
      </c>
      <c r="F957" s="192" t="s">
        <v>2677</v>
      </c>
      <c r="G957" s="192" t="s">
        <v>790</v>
      </c>
      <c r="H957" s="192" t="s">
        <v>790</v>
      </c>
      <c r="I957" t="s">
        <v>820</v>
      </c>
      <c r="J957" t="s">
        <v>865</v>
      </c>
      <c r="K957" t="s">
        <v>797</v>
      </c>
    </row>
    <row r="958" spans="2:11" x14ac:dyDescent="0.25">
      <c r="B958" s="191"/>
      <c r="C958" s="191"/>
      <c r="D958" s="192" t="s">
        <v>2688</v>
      </c>
      <c r="E958" t="s">
        <v>2689</v>
      </c>
      <c r="F958" s="192" t="s">
        <v>2677</v>
      </c>
      <c r="G958" s="192" t="s">
        <v>790</v>
      </c>
      <c r="H958" s="192" t="s">
        <v>790</v>
      </c>
      <c r="I958" t="s">
        <v>820</v>
      </c>
      <c r="J958" t="s">
        <v>865</v>
      </c>
      <c r="K958" t="s">
        <v>797</v>
      </c>
    </row>
    <row r="959" spans="2:11" x14ac:dyDescent="0.25">
      <c r="B959" s="191"/>
      <c r="C959" s="191"/>
      <c r="D959" s="192" t="s">
        <v>2690</v>
      </c>
      <c r="E959" t="s">
        <v>2691</v>
      </c>
      <c r="F959" s="192" t="s">
        <v>2677</v>
      </c>
      <c r="G959" s="192" t="s">
        <v>790</v>
      </c>
      <c r="H959" s="192" t="s">
        <v>790</v>
      </c>
      <c r="I959" t="s">
        <v>820</v>
      </c>
      <c r="J959" t="s">
        <v>865</v>
      </c>
      <c r="K959" t="s">
        <v>797</v>
      </c>
    </row>
    <row r="960" spans="2:11" x14ac:dyDescent="0.25">
      <c r="B960" s="191"/>
      <c r="C960" s="191" t="s">
        <v>2692</v>
      </c>
      <c r="D960" s="192"/>
      <c r="E960" s="185" t="s">
        <v>2693</v>
      </c>
      <c r="F960" s="192" t="s">
        <v>789</v>
      </c>
      <c r="G960" s="192" t="s">
        <v>790</v>
      </c>
      <c r="H960" s="192" t="s">
        <v>790</v>
      </c>
      <c r="I960" t="s">
        <v>820</v>
      </c>
    </row>
    <row r="961" spans="2:11" x14ac:dyDescent="0.25">
      <c r="B961" s="191"/>
      <c r="C961" s="191" t="s">
        <v>2694</v>
      </c>
      <c r="D961" s="192"/>
      <c r="E961" s="185" t="s">
        <v>2695</v>
      </c>
      <c r="F961" s="192" t="s">
        <v>789</v>
      </c>
      <c r="G961" s="192" t="s">
        <v>790</v>
      </c>
      <c r="H961" s="192" t="s">
        <v>790</v>
      </c>
      <c r="I961" t="s">
        <v>820</v>
      </c>
    </row>
    <row r="962" spans="2:11" x14ac:dyDescent="0.25">
      <c r="B962" s="191"/>
      <c r="C962" s="191"/>
      <c r="D962" s="192" t="s">
        <v>2696</v>
      </c>
      <c r="E962" t="s">
        <v>2697</v>
      </c>
      <c r="F962" s="192" t="s">
        <v>2677</v>
      </c>
      <c r="G962" s="192" t="s">
        <v>790</v>
      </c>
      <c r="H962" s="192" t="s">
        <v>790</v>
      </c>
      <c r="I962" t="s">
        <v>820</v>
      </c>
      <c r="J962" t="s">
        <v>865</v>
      </c>
      <c r="K962" t="s">
        <v>797</v>
      </c>
    </row>
    <row r="963" spans="2:11" x14ac:dyDescent="0.25">
      <c r="B963" s="191"/>
      <c r="C963" s="191"/>
      <c r="D963" s="192" t="s">
        <v>2698</v>
      </c>
      <c r="E963" t="s">
        <v>2699</v>
      </c>
      <c r="F963" s="192" t="s">
        <v>2677</v>
      </c>
      <c r="G963" s="192" t="s">
        <v>790</v>
      </c>
      <c r="H963" s="192" t="s">
        <v>790</v>
      </c>
      <c r="I963" t="s">
        <v>820</v>
      </c>
      <c r="J963" t="s">
        <v>865</v>
      </c>
      <c r="K963" t="s">
        <v>797</v>
      </c>
    </row>
    <row r="964" spans="2:11" x14ac:dyDescent="0.25">
      <c r="B964" s="191"/>
      <c r="C964" s="191"/>
      <c r="D964" s="192" t="s">
        <v>2700</v>
      </c>
      <c r="E964" t="s">
        <v>2701</v>
      </c>
      <c r="F964" s="192" t="s">
        <v>2677</v>
      </c>
      <c r="G964" s="192" t="s">
        <v>790</v>
      </c>
      <c r="H964" s="192" t="s">
        <v>790</v>
      </c>
      <c r="I964" t="s">
        <v>820</v>
      </c>
      <c r="J964" t="s">
        <v>865</v>
      </c>
      <c r="K964" t="s">
        <v>797</v>
      </c>
    </row>
    <row r="965" spans="2:11" x14ac:dyDescent="0.25">
      <c r="B965" s="191"/>
      <c r="C965" s="191" t="s">
        <v>2702</v>
      </c>
      <c r="D965" s="192"/>
      <c r="E965" s="185" t="s">
        <v>2703</v>
      </c>
      <c r="F965" s="192" t="s">
        <v>789</v>
      </c>
      <c r="G965" s="192" t="s">
        <v>790</v>
      </c>
      <c r="H965" s="192" t="s">
        <v>790</v>
      </c>
      <c r="I965" t="s">
        <v>820</v>
      </c>
    </row>
    <row r="966" spans="2:11" x14ac:dyDescent="0.25">
      <c r="B966" s="191"/>
      <c r="C966" s="191"/>
      <c r="D966" s="192" t="s">
        <v>2704</v>
      </c>
      <c r="E966" t="s">
        <v>2705</v>
      </c>
      <c r="F966" s="192" t="s">
        <v>2677</v>
      </c>
      <c r="G966" s="192" t="s">
        <v>790</v>
      </c>
      <c r="H966" s="192" t="s">
        <v>790</v>
      </c>
      <c r="I966" t="s">
        <v>820</v>
      </c>
      <c r="J966" t="s">
        <v>865</v>
      </c>
      <c r="K966" t="s">
        <v>797</v>
      </c>
    </row>
    <row r="967" spans="2:11" x14ac:dyDescent="0.25">
      <c r="B967" s="191"/>
      <c r="C967" s="191"/>
      <c r="D967" s="192" t="s">
        <v>2706</v>
      </c>
      <c r="E967" t="s">
        <v>2707</v>
      </c>
      <c r="F967" s="192" t="s">
        <v>2677</v>
      </c>
      <c r="G967" s="192" t="s">
        <v>790</v>
      </c>
      <c r="H967" s="192" t="s">
        <v>790</v>
      </c>
      <c r="I967" t="s">
        <v>820</v>
      </c>
      <c r="J967" t="s">
        <v>865</v>
      </c>
      <c r="K967" t="s">
        <v>797</v>
      </c>
    </row>
    <row r="968" spans="2:11" x14ac:dyDescent="0.25">
      <c r="B968" s="191"/>
      <c r="C968" s="191"/>
      <c r="D968" s="192" t="s">
        <v>2708</v>
      </c>
      <c r="E968" t="s">
        <v>2709</v>
      </c>
      <c r="F968" s="192" t="s">
        <v>2677</v>
      </c>
      <c r="G968" s="192" t="s">
        <v>790</v>
      </c>
      <c r="H968" s="192" t="s">
        <v>790</v>
      </c>
      <c r="I968" t="s">
        <v>820</v>
      </c>
      <c r="J968" t="s">
        <v>865</v>
      </c>
      <c r="K968" t="s">
        <v>797</v>
      </c>
    </row>
    <row r="969" spans="2:11" x14ac:dyDescent="0.25">
      <c r="B969" s="191"/>
      <c r="C969" s="191" t="s">
        <v>2710</v>
      </c>
      <c r="D969" s="192"/>
      <c r="E969" s="185" t="s">
        <v>2711</v>
      </c>
      <c r="F969" s="192" t="s">
        <v>789</v>
      </c>
      <c r="G969" s="192" t="s">
        <v>790</v>
      </c>
      <c r="H969" s="192" t="s">
        <v>790</v>
      </c>
      <c r="I969" t="s">
        <v>820</v>
      </c>
    </row>
    <row r="970" spans="2:11" x14ac:dyDescent="0.25">
      <c r="B970" s="191"/>
      <c r="C970" s="191"/>
      <c r="D970" s="192" t="s">
        <v>2712</v>
      </c>
      <c r="E970" t="s">
        <v>2713</v>
      </c>
      <c r="F970" s="192" t="s">
        <v>2677</v>
      </c>
      <c r="G970" s="192" t="s">
        <v>790</v>
      </c>
      <c r="H970" s="192" t="s">
        <v>790</v>
      </c>
      <c r="I970" t="s">
        <v>820</v>
      </c>
      <c r="J970" t="s">
        <v>865</v>
      </c>
      <c r="K970" t="s">
        <v>797</v>
      </c>
    </row>
    <row r="971" spans="2:11" x14ac:dyDescent="0.25">
      <c r="B971" s="191"/>
      <c r="C971" s="191"/>
      <c r="D971" s="192" t="s">
        <v>2714</v>
      </c>
      <c r="E971" t="s">
        <v>2715</v>
      </c>
      <c r="F971" s="192" t="s">
        <v>2677</v>
      </c>
      <c r="G971" s="192" t="s">
        <v>790</v>
      </c>
      <c r="H971" s="192" t="s">
        <v>790</v>
      </c>
      <c r="I971" t="s">
        <v>820</v>
      </c>
      <c r="J971" t="s">
        <v>865</v>
      </c>
      <c r="K971" t="s">
        <v>797</v>
      </c>
    </row>
    <row r="972" spans="2:11" x14ac:dyDescent="0.25">
      <c r="B972" s="191"/>
      <c r="C972" s="191" t="s">
        <v>2716</v>
      </c>
      <c r="D972" s="192"/>
      <c r="E972" s="185" t="s">
        <v>2717</v>
      </c>
      <c r="F972" s="192" t="s">
        <v>789</v>
      </c>
      <c r="G972" s="192" t="s">
        <v>790</v>
      </c>
      <c r="H972" s="192" t="s">
        <v>790</v>
      </c>
      <c r="I972" t="s">
        <v>820</v>
      </c>
    </row>
    <row r="973" spans="2:11" x14ac:dyDescent="0.25">
      <c r="B973" s="191"/>
      <c r="C973" s="191"/>
      <c r="D973" s="192" t="s">
        <v>2718</v>
      </c>
      <c r="E973" t="s">
        <v>2719</v>
      </c>
      <c r="F973" s="192" t="s">
        <v>2677</v>
      </c>
      <c r="G973" s="192" t="s">
        <v>790</v>
      </c>
      <c r="H973" s="192" t="s">
        <v>790</v>
      </c>
      <c r="I973" t="s">
        <v>820</v>
      </c>
      <c r="J973" t="s">
        <v>865</v>
      </c>
      <c r="K973" t="s">
        <v>797</v>
      </c>
    </row>
    <row r="974" spans="2:11" x14ac:dyDescent="0.25">
      <c r="B974" s="191"/>
      <c r="C974" s="191"/>
      <c r="D974" s="192" t="s">
        <v>2720</v>
      </c>
      <c r="E974" t="s">
        <v>2721</v>
      </c>
      <c r="F974" s="192" t="s">
        <v>2677</v>
      </c>
      <c r="G974" s="192" t="s">
        <v>790</v>
      </c>
      <c r="H974" s="192" t="s">
        <v>790</v>
      </c>
      <c r="I974" t="s">
        <v>820</v>
      </c>
      <c r="J974" t="s">
        <v>865</v>
      </c>
      <c r="K974" t="s">
        <v>797</v>
      </c>
    </row>
    <row r="975" spans="2:11" x14ac:dyDescent="0.25">
      <c r="B975" s="191"/>
      <c r="C975" s="191" t="s">
        <v>2722</v>
      </c>
      <c r="D975" s="192"/>
      <c r="E975" s="185" t="s">
        <v>2723</v>
      </c>
      <c r="F975" s="192" t="s">
        <v>789</v>
      </c>
      <c r="G975" s="192" t="s">
        <v>790</v>
      </c>
      <c r="H975" s="192" t="s">
        <v>790</v>
      </c>
      <c r="I975" t="s">
        <v>820</v>
      </c>
    </row>
    <row r="976" spans="2:11" x14ac:dyDescent="0.25">
      <c r="B976" s="191"/>
      <c r="C976" s="191"/>
      <c r="D976" s="192" t="s">
        <v>2724</v>
      </c>
      <c r="E976" t="s">
        <v>2725</v>
      </c>
      <c r="F976" s="192" t="s">
        <v>2677</v>
      </c>
      <c r="G976" s="192" t="s">
        <v>790</v>
      </c>
      <c r="H976" s="192" t="s">
        <v>790</v>
      </c>
      <c r="I976" t="s">
        <v>820</v>
      </c>
      <c r="J976" t="s">
        <v>865</v>
      </c>
      <c r="K976" t="s">
        <v>797</v>
      </c>
    </row>
    <row r="977" spans="2:11" x14ac:dyDescent="0.25">
      <c r="B977" s="191"/>
      <c r="C977" s="191"/>
      <c r="D977" s="192" t="s">
        <v>2726</v>
      </c>
      <c r="E977" t="s">
        <v>2727</v>
      </c>
      <c r="F977" s="192" t="s">
        <v>2677</v>
      </c>
      <c r="G977" s="192" t="s">
        <v>790</v>
      </c>
      <c r="H977" s="192" t="s">
        <v>790</v>
      </c>
      <c r="I977" t="s">
        <v>820</v>
      </c>
      <c r="J977" t="s">
        <v>865</v>
      </c>
      <c r="K977" t="s">
        <v>797</v>
      </c>
    </row>
    <row r="978" spans="2:11" x14ac:dyDescent="0.25">
      <c r="B978" s="191"/>
      <c r="C978" s="191" t="s">
        <v>2728</v>
      </c>
      <c r="D978" s="192"/>
      <c r="E978" s="185" t="s">
        <v>2729</v>
      </c>
      <c r="F978" s="192" t="s">
        <v>789</v>
      </c>
      <c r="G978" s="192" t="s">
        <v>790</v>
      </c>
      <c r="H978" s="192" t="s">
        <v>790</v>
      </c>
      <c r="I978" t="s">
        <v>820</v>
      </c>
    </row>
    <row r="979" spans="2:11" x14ac:dyDescent="0.25">
      <c r="B979" s="191"/>
      <c r="C979" s="191" t="s">
        <v>2730</v>
      </c>
      <c r="D979" s="192"/>
      <c r="E979" s="185" t="s">
        <v>2731</v>
      </c>
      <c r="F979" s="192" t="s">
        <v>789</v>
      </c>
      <c r="G979" s="192" t="s">
        <v>790</v>
      </c>
      <c r="H979" s="192" t="s">
        <v>790</v>
      </c>
      <c r="I979" t="s">
        <v>820</v>
      </c>
    </row>
    <row r="980" spans="2:11" x14ac:dyDescent="0.25">
      <c r="B980" s="191"/>
      <c r="C980" s="191"/>
      <c r="D980" s="192" t="s">
        <v>2732</v>
      </c>
      <c r="E980" t="s">
        <v>2733</v>
      </c>
      <c r="F980" s="192" t="s">
        <v>2677</v>
      </c>
      <c r="G980" s="192" t="s">
        <v>790</v>
      </c>
      <c r="H980" s="192" t="s">
        <v>790</v>
      </c>
      <c r="I980" t="s">
        <v>820</v>
      </c>
      <c r="J980" t="s">
        <v>865</v>
      </c>
      <c r="K980" t="s">
        <v>797</v>
      </c>
    </row>
    <row r="981" spans="2:11" x14ac:dyDescent="0.25">
      <c r="B981" s="191"/>
      <c r="C981" s="191"/>
      <c r="D981" s="192" t="s">
        <v>2734</v>
      </c>
      <c r="E981" t="s">
        <v>2735</v>
      </c>
      <c r="F981" s="192" t="s">
        <v>2677</v>
      </c>
      <c r="G981" s="192" t="s">
        <v>790</v>
      </c>
      <c r="H981" s="192" t="s">
        <v>790</v>
      </c>
      <c r="I981" t="s">
        <v>820</v>
      </c>
      <c r="J981" t="s">
        <v>865</v>
      </c>
      <c r="K981" t="s">
        <v>797</v>
      </c>
    </row>
    <row r="982" spans="2:11" x14ac:dyDescent="0.25">
      <c r="B982" s="191"/>
      <c r="C982" s="191"/>
      <c r="D982" s="192" t="s">
        <v>2736</v>
      </c>
      <c r="E982" t="s">
        <v>2737</v>
      </c>
      <c r="F982" s="192" t="s">
        <v>2677</v>
      </c>
      <c r="G982" s="192" t="s">
        <v>790</v>
      </c>
      <c r="H982" s="192" t="s">
        <v>790</v>
      </c>
      <c r="I982" t="s">
        <v>820</v>
      </c>
      <c r="J982" t="s">
        <v>865</v>
      </c>
      <c r="K982" t="s">
        <v>797</v>
      </c>
    </row>
    <row r="983" spans="2:11" x14ac:dyDescent="0.25">
      <c r="B983" s="191"/>
      <c r="C983" s="191"/>
      <c r="D983" s="192" t="s">
        <v>2738</v>
      </c>
      <c r="E983" t="s">
        <v>2739</v>
      </c>
      <c r="F983" s="192" t="s">
        <v>2677</v>
      </c>
      <c r="G983" s="192" t="s">
        <v>790</v>
      </c>
      <c r="H983" s="192" t="s">
        <v>790</v>
      </c>
      <c r="I983" t="s">
        <v>820</v>
      </c>
      <c r="J983" t="s">
        <v>865</v>
      </c>
      <c r="K983" t="s">
        <v>797</v>
      </c>
    </row>
    <row r="984" spans="2:11" x14ac:dyDescent="0.25">
      <c r="B984" s="191"/>
      <c r="C984" s="191"/>
      <c r="D984" s="192" t="s">
        <v>2740</v>
      </c>
      <c r="E984" t="s">
        <v>2741</v>
      </c>
      <c r="F984" s="192" t="s">
        <v>2677</v>
      </c>
      <c r="G984" s="192" t="s">
        <v>790</v>
      </c>
      <c r="H984" s="192" t="s">
        <v>790</v>
      </c>
      <c r="I984" t="s">
        <v>820</v>
      </c>
      <c r="J984" t="s">
        <v>865</v>
      </c>
      <c r="K984" t="s">
        <v>797</v>
      </c>
    </row>
    <row r="985" spans="2:11" x14ac:dyDescent="0.25">
      <c r="B985" s="191"/>
      <c r="C985" s="191"/>
      <c r="D985" s="192" t="s">
        <v>2742</v>
      </c>
      <c r="E985" t="s">
        <v>2743</v>
      </c>
      <c r="F985" s="192" t="s">
        <v>2677</v>
      </c>
      <c r="G985" s="192" t="s">
        <v>790</v>
      </c>
      <c r="H985" s="192" t="s">
        <v>790</v>
      </c>
      <c r="I985" t="s">
        <v>820</v>
      </c>
      <c r="J985" t="s">
        <v>865</v>
      </c>
      <c r="K985" t="s">
        <v>797</v>
      </c>
    </row>
    <row r="986" spans="2:11" x14ac:dyDescent="0.25">
      <c r="B986" s="191"/>
      <c r="C986" s="191" t="s">
        <v>2744</v>
      </c>
      <c r="D986" s="192"/>
      <c r="E986" s="185" t="s">
        <v>2745</v>
      </c>
      <c r="F986" s="192" t="s">
        <v>789</v>
      </c>
      <c r="G986" s="192" t="s">
        <v>790</v>
      </c>
      <c r="H986" s="192" t="s">
        <v>790</v>
      </c>
      <c r="I986" t="s">
        <v>820</v>
      </c>
    </row>
    <row r="987" spans="2:11" x14ac:dyDescent="0.25">
      <c r="B987" s="191"/>
      <c r="C987" s="191" t="s">
        <v>2746</v>
      </c>
      <c r="D987" s="192"/>
      <c r="E987" s="185" t="s">
        <v>2747</v>
      </c>
      <c r="F987" s="192" t="s">
        <v>789</v>
      </c>
      <c r="G987" s="192" t="s">
        <v>790</v>
      </c>
      <c r="H987" s="192" t="s">
        <v>790</v>
      </c>
      <c r="I987" t="s">
        <v>820</v>
      </c>
    </row>
    <row r="988" spans="2:11" x14ac:dyDescent="0.25">
      <c r="B988" s="191"/>
      <c r="C988" s="191"/>
      <c r="D988" s="192" t="s">
        <v>2748</v>
      </c>
      <c r="E988" t="s">
        <v>2749</v>
      </c>
      <c r="F988" s="192" t="s">
        <v>2677</v>
      </c>
      <c r="G988" s="192" t="s">
        <v>790</v>
      </c>
      <c r="H988" s="192" t="s">
        <v>790</v>
      </c>
      <c r="I988" t="s">
        <v>820</v>
      </c>
      <c r="J988" t="s">
        <v>865</v>
      </c>
      <c r="K988" t="s">
        <v>797</v>
      </c>
    </row>
    <row r="989" spans="2:11" x14ac:dyDescent="0.25">
      <c r="B989" s="191"/>
      <c r="C989" s="191"/>
      <c r="D989" s="192" t="s">
        <v>2750</v>
      </c>
      <c r="E989" t="s">
        <v>2751</v>
      </c>
      <c r="F989" s="192" t="s">
        <v>2677</v>
      </c>
      <c r="G989" s="192" t="s">
        <v>790</v>
      </c>
      <c r="H989" s="192" t="s">
        <v>790</v>
      </c>
      <c r="I989" t="s">
        <v>820</v>
      </c>
      <c r="J989" t="s">
        <v>865</v>
      </c>
      <c r="K989" t="s">
        <v>797</v>
      </c>
    </row>
    <row r="990" spans="2:11" x14ac:dyDescent="0.25">
      <c r="B990" s="191"/>
      <c r="C990" s="191"/>
      <c r="D990" s="192" t="s">
        <v>2752</v>
      </c>
      <c r="E990" t="s">
        <v>2753</v>
      </c>
      <c r="F990" s="192" t="s">
        <v>2677</v>
      </c>
      <c r="G990" s="192" t="s">
        <v>790</v>
      </c>
      <c r="H990" s="192" t="s">
        <v>790</v>
      </c>
      <c r="I990" t="s">
        <v>820</v>
      </c>
      <c r="J990" t="s">
        <v>865</v>
      </c>
      <c r="K990" t="s">
        <v>797</v>
      </c>
    </row>
    <row r="991" spans="2:11" x14ac:dyDescent="0.25">
      <c r="B991" s="191"/>
      <c r="C991" s="191"/>
      <c r="D991" s="192" t="s">
        <v>2754</v>
      </c>
      <c r="E991" t="s">
        <v>2755</v>
      </c>
      <c r="F991" s="192" t="s">
        <v>2677</v>
      </c>
      <c r="G991" s="192" t="s">
        <v>790</v>
      </c>
      <c r="H991" s="192" t="s">
        <v>790</v>
      </c>
      <c r="I991" t="s">
        <v>820</v>
      </c>
      <c r="J991" t="s">
        <v>865</v>
      </c>
      <c r="K991" t="s">
        <v>797</v>
      </c>
    </row>
    <row r="992" spans="2:11" x14ac:dyDescent="0.25">
      <c r="B992" s="191"/>
      <c r="C992" s="191"/>
      <c r="D992" s="192" t="s">
        <v>2756</v>
      </c>
      <c r="E992" t="s">
        <v>2757</v>
      </c>
      <c r="F992" s="192" t="s">
        <v>2677</v>
      </c>
      <c r="G992" s="192" t="s">
        <v>790</v>
      </c>
      <c r="H992" s="192" t="s">
        <v>790</v>
      </c>
      <c r="I992" t="s">
        <v>820</v>
      </c>
      <c r="J992" t="s">
        <v>865</v>
      </c>
      <c r="K992" t="s">
        <v>797</v>
      </c>
    </row>
    <row r="993" spans="2:11" x14ac:dyDescent="0.25">
      <c r="B993" s="191"/>
      <c r="C993" s="191"/>
      <c r="D993" s="192" t="s">
        <v>2758</v>
      </c>
      <c r="E993" t="s">
        <v>2759</v>
      </c>
      <c r="F993" s="192" t="s">
        <v>2677</v>
      </c>
      <c r="G993" s="192" t="s">
        <v>790</v>
      </c>
      <c r="H993" s="192" t="s">
        <v>790</v>
      </c>
      <c r="I993" t="s">
        <v>820</v>
      </c>
      <c r="J993" t="s">
        <v>865</v>
      </c>
      <c r="K993" t="s">
        <v>797</v>
      </c>
    </row>
    <row r="994" spans="2:11" x14ac:dyDescent="0.25">
      <c r="B994" s="191"/>
      <c r="C994" s="191"/>
      <c r="D994" s="192" t="s">
        <v>2760</v>
      </c>
      <c r="E994" t="s">
        <v>2761</v>
      </c>
      <c r="F994" s="192" t="s">
        <v>2677</v>
      </c>
      <c r="G994" s="192" t="s">
        <v>790</v>
      </c>
      <c r="H994" s="192" t="s">
        <v>790</v>
      </c>
      <c r="I994" t="s">
        <v>820</v>
      </c>
      <c r="J994" t="s">
        <v>865</v>
      </c>
      <c r="K994" t="s">
        <v>797</v>
      </c>
    </row>
    <row r="995" spans="2:11" x14ac:dyDescent="0.25">
      <c r="B995" s="191"/>
      <c r="C995" s="191"/>
      <c r="D995" s="192" t="s">
        <v>2762</v>
      </c>
      <c r="E995" t="s">
        <v>2763</v>
      </c>
      <c r="F995" s="192" t="s">
        <v>2677</v>
      </c>
      <c r="G995" s="192" t="s">
        <v>790</v>
      </c>
      <c r="H995" s="192" t="s">
        <v>790</v>
      </c>
      <c r="I995" t="s">
        <v>820</v>
      </c>
      <c r="J995" t="s">
        <v>865</v>
      </c>
      <c r="K995" t="s">
        <v>797</v>
      </c>
    </row>
    <row r="996" spans="2:11" x14ac:dyDescent="0.25">
      <c r="B996" s="191"/>
      <c r="C996" s="191"/>
      <c r="D996" s="192" t="s">
        <v>2764</v>
      </c>
      <c r="E996" t="s">
        <v>2765</v>
      </c>
      <c r="F996" s="192" t="s">
        <v>2677</v>
      </c>
      <c r="G996" s="192" t="s">
        <v>790</v>
      </c>
      <c r="H996" s="192" t="s">
        <v>790</v>
      </c>
      <c r="I996" t="s">
        <v>820</v>
      </c>
      <c r="J996" t="s">
        <v>865</v>
      </c>
      <c r="K996" t="s">
        <v>797</v>
      </c>
    </row>
    <row r="997" spans="2:11" x14ac:dyDescent="0.25">
      <c r="B997" s="191"/>
      <c r="C997" s="191"/>
      <c r="D997" s="192" t="s">
        <v>2766</v>
      </c>
      <c r="E997" t="s">
        <v>2767</v>
      </c>
      <c r="F997" s="192" t="s">
        <v>2677</v>
      </c>
      <c r="G997" s="192" t="s">
        <v>790</v>
      </c>
      <c r="H997" s="192" t="s">
        <v>790</v>
      </c>
      <c r="I997" t="s">
        <v>820</v>
      </c>
      <c r="J997" t="s">
        <v>865</v>
      </c>
      <c r="K997" t="s">
        <v>797</v>
      </c>
    </row>
    <row r="998" spans="2:11" x14ac:dyDescent="0.25">
      <c r="B998" s="191"/>
      <c r="C998" s="191" t="s">
        <v>2768</v>
      </c>
      <c r="D998" s="192"/>
      <c r="E998" s="185" t="s">
        <v>2769</v>
      </c>
      <c r="F998" s="192" t="s">
        <v>789</v>
      </c>
      <c r="G998" s="192" t="s">
        <v>790</v>
      </c>
      <c r="H998" s="192" t="s">
        <v>790</v>
      </c>
      <c r="I998" t="s">
        <v>820</v>
      </c>
    </row>
    <row r="999" spans="2:11" x14ac:dyDescent="0.25">
      <c r="B999" s="191"/>
      <c r="C999" s="191"/>
      <c r="D999" s="192" t="s">
        <v>2770</v>
      </c>
      <c r="E999" t="s">
        <v>2771</v>
      </c>
      <c r="F999" s="192" t="s">
        <v>2677</v>
      </c>
      <c r="G999" s="192" t="s">
        <v>790</v>
      </c>
      <c r="H999" s="192" t="s">
        <v>790</v>
      </c>
      <c r="I999" t="s">
        <v>820</v>
      </c>
      <c r="J999" t="s">
        <v>865</v>
      </c>
      <c r="K999" t="s">
        <v>797</v>
      </c>
    </row>
    <row r="1000" spans="2:11" x14ac:dyDescent="0.25">
      <c r="B1000" s="191"/>
      <c r="C1000" s="191"/>
      <c r="D1000" s="192" t="s">
        <v>2772</v>
      </c>
      <c r="E1000" t="s">
        <v>2773</v>
      </c>
      <c r="F1000" s="192" t="s">
        <v>2677</v>
      </c>
      <c r="G1000" s="192" t="s">
        <v>790</v>
      </c>
      <c r="H1000" s="192" t="s">
        <v>790</v>
      </c>
      <c r="I1000" t="s">
        <v>820</v>
      </c>
      <c r="J1000" t="s">
        <v>865</v>
      </c>
      <c r="K1000" t="s">
        <v>797</v>
      </c>
    </row>
    <row r="1001" spans="2:11" x14ac:dyDescent="0.25">
      <c r="B1001" s="191"/>
      <c r="C1001" s="191"/>
      <c r="D1001" s="192" t="s">
        <v>2774</v>
      </c>
      <c r="E1001" t="s">
        <v>2775</v>
      </c>
      <c r="F1001" s="192" t="s">
        <v>2677</v>
      </c>
      <c r="G1001" s="192" t="s">
        <v>790</v>
      </c>
      <c r="H1001" s="192" t="s">
        <v>790</v>
      </c>
      <c r="I1001" t="s">
        <v>820</v>
      </c>
      <c r="J1001" t="s">
        <v>865</v>
      </c>
      <c r="K1001" t="s">
        <v>797</v>
      </c>
    </row>
    <row r="1002" spans="2:11" x14ac:dyDescent="0.25">
      <c r="B1002" s="191"/>
      <c r="C1002" s="191"/>
      <c r="D1002" s="192" t="s">
        <v>2776</v>
      </c>
      <c r="E1002" t="s">
        <v>2777</v>
      </c>
      <c r="F1002" s="192" t="s">
        <v>2677</v>
      </c>
      <c r="G1002" s="192" t="s">
        <v>790</v>
      </c>
      <c r="H1002" s="192" t="s">
        <v>790</v>
      </c>
      <c r="I1002" t="s">
        <v>820</v>
      </c>
      <c r="J1002" t="s">
        <v>865</v>
      </c>
      <c r="K1002" t="s">
        <v>797</v>
      </c>
    </row>
    <row r="1003" spans="2:11" x14ac:dyDescent="0.25">
      <c r="B1003" s="191"/>
      <c r="C1003" s="191"/>
      <c r="D1003" s="192" t="s">
        <v>2778</v>
      </c>
      <c r="E1003" t="s">
        <v>2779</v>
      </c>
      <c r="F1003" s="192" t="s">
        <v>2677</v>
      </c>
      <c r="G1003" s="192" t="s">
        <v>790</v>
      </c>
      <c r="H1003" s="192" t="s">
        <v>790</v>
      </c>
      <c r="I1003" t="s">
        <v>820</v>
      </c>
      <c r="J1003" t="s">
        <v>865</v>
      </c>
      <c r="K1003" t="s">
        <v>797</v>
      </c>
    </row>
    <row r="1004" spans="2:11" x14ac:dyDescent="0.25">
      <c r="B1004" s="191"/>
      <c r="C1004" s="191"/>
      <c r="D1004" s="192" t="s">
        <v>2780</v>
      </c>
      <c r="E1004" t="s">
        <v>2781</v>
      </c>
      <c r="F1004" s="192" t="s">
        <v>2677</v>
      </c>
      <c r="G1004" s="192" t="s">
        <v>790</v>
      </c>
      <c r="H1004" s="192" t="s">
        <v>790</v>
      </c>
      <c r="I1004" t="s">
        <v>820</v>
      </c>
      <c r="J1004" t="s">
        <v>865</v>
      </c>
      <c r="K1004" t="s">
        <v>797</v>
      </c>
    </row>
    <row r="1005" spans="2:11" x14ac:dyDescent="0.25">
      <c r="B1005" s="191"/>
      <c r="C1005" s="191"/>
      <c r="D1005" s="192" t="s">
        <v>2782</v>
      </c>
      <c r="E1005" t="s">
        <v>2783</v>
      </c>
      <c r="F1005" s="192" t="s">
        <v>2677</v>
      </c>
      <c r="G1005" s="192" t="s">
        <v>790</v>
      </c>
      <c r="H1005" s="192" t="s">
        <v>790</v>
      </c>
      <c r="I1005" t="s">
        <v>820</v>
      </c>
      <c r="J1005" t="s">
        <v>865</v>
      </c>
      <c r="K1005" t="s">
        <v>797</v>
      </c>
    </row>
    <row r="1006" spans="2:11" x14ac:dyDescent="0.25">
      <c r="B1006" s="191"/>
      <c r="C1006" s="191"/>
      <c r="D1006" s="192" t="s">
        <v>2784</v>
      </c>
      <c r="E1006" t="s">
        <v>2785</v>
      </c>
      <c r="F1006" s="192" t="s">
        <v>2677</v>
      </c>
      <c r="G1006" s="192" t="s">
        <v>790</v>
      </c>
      <c r="H1006" s="192" t="s">
        <v>790</v>
      </c>
      <c r="I1006" t="s">
        <v>820</v>
      </c>
      <c r="J1006" t="s">
        <v>865</v>
      </c>
      <c r="K1006" t="s">
        <v>797</v>
      </c>
    </row>
    <row r="1007" spans="2:11" x14ac:dyDescent="0.25">
      <c r="B1007" s="191"/>
      <c r="C1007" s="191"/>
      <c r="D1007" s="192" t="s">
        <v>2786</v>
      </c>
      <c r="E1007" t="s">
        <v>2787</v>
      </c>
      <c r="F1007" s="192" t="s">
        <v>2677</v>
      </c>
      <c r="G1007" s="192" t="s">
        <v>790</v>
      </c>
      <c r="H1007" s="192" t="s">
        <v>790</v>
      </c>
      <c r="I1007" t="s">
        <v>820</v>
      </c>
      <c r="J1007" t="s">
        <v>865</v>
      </c>
      <c r="K1007" t="s">
        <v>797</v>
      </c>
    </row>
    <row r="1008" spans="2:11" x14ac:dyDescent="0.25">
      <c r="B1008" s="191"/>
      <c r="C1008" s="191" t="s">
        <v>2788</v>
      </c>
      <c r="D1008" s="192"/>
      <c r="E1008" s="185" t="s">
        <v>2789</v>
      </c>
      <c r="F1008" s="192" t="s">
        <v>789</v>
      </c>
      <c r="G1008" s="192" t="s">
        <v>790</v>
      </c>
      <c r="H1008" s="192" t="s">
        <v>790</v>
      </c>
      <c r="I1008" t="s">
        <v>820</v>
      </c>
    </row>
    <row r="1009" spans="2:11" x14ac:dyDescent="0.25">
      <c r="B1009" s="191"/>
      <c r="C1009" s="191"/>
      <c r="D1009" s="192" t="s">
        <v>2790</v>
      </c>
      <c r="E1009" t="s">
        <v>2791</v>
      </c>
      <c r="F1009" s="192" t="s">
        <v>2677</v>
      </c>
      <c r="G1009" s="192" t="s">
        <v>790</v>
      </c>
      <c r="H1009" s="192" t="s">
        <v>790</v>
      </c>
      <c r="I1009" t="s">
        <v>820</v>
      </c>
      <c r="J1009" t="s">
        <v>865</v>
      </c>
      <c r="K1009" t="s">
        <v>797</v>
      </c>
    </row>
    <row r="1010" spans="2:11" x14ac:dyDescent="0.25">
      <c r="B1010" s="191"/>
      <c r="C1010" s="191"/>
      <c r="D1010" s="192" t="s">
        <v>2792</v>
      </c>
      <c r="E1010" t="s">
        <v>2793</v>
      </c>
      <c r="F1010" s="192" t="s">
        <v>2677</v>
      </c>
      <c r="G1010" s="192" t="s">
        <v>790</v>
      </c>
      <c r="H1010" s="192" t="s">
        <v>790</v>
      </c>
      <c r="I1010" t="s">
        <v>820</v>
      </c>
      <c r="J1010" t="s">
        <v>865</v>
      </c>
      <c r="K1010" t="s">
        <v>797</v>
      </c>
    </row>
    <row r="1011" spans="2:11" x14ac:dyDescent="0.25">
      <c r="B1011" s="191"/>
      <c r="C1011" s="191"/>
      <c r="D1011" s="192" t="s">
        <v>2794</v>
      </c>
      <c r="E1011" t="s">
        <v>2795</v>
      </c>
      <c r="F1011" s="192" t="s">
        <v>2677</v>
      </c>
      <c r="G1011" s="192" t="s">
        <v>790</v>
      </c>
      <c r="H1011" s="192" t="s">
        <v>790</v>
      </c>
      <c r="I1011" t="s">
        <v>820</v>
      </c>
      <c r="J1011" t="s">
        <v>865</v>
      </c>
      <c r="K1011" t="s">
        <v>797</v>
      </c>
    </row>
    <row r="1012" spans="2:11" x14ac:dyDescent="0.25">
      <c r="B1012" s="191"/>
      <c r="C1012" s="191" t="s">
        <v>2796</v>
      </c>
      <c r="D1012" s="192"/>
      <c r="E1012" s="185" t="s">
        <v>2797</v>
      </c>
      <c r="F1012" s="192" t="s">
        <v>789</v>
      </c>
      <c r="G1012" s="192" t="s">
        <v>790</v>
      </c>
      <c r="H1012" s="192" t="s">
        <v>790</v>
      </c>
      <c r="I1012" t="s">
        <v>820</v>
      </c>
    </row>
    <row r="1013" spans="2:11" x14ac:dyDescent="0.25">
      <c r="B1013" s="191"/>
      <c r="C1013" s="191"/>
      <c r="D1013" s="192" t="s">
        <v>2798</v>
      </c>
      <c r="E1013" t="s">
        <v>2799</v>
      </c>
      <c r="F1013" s="192" t="s">
        <v>2677</v>
      </c>
      <c r="G1013" s="192" t="s">
        <v>790</v>
      </c>
      <c r="H1013" s="192" t="s">
        <v>790</v>
      </c>
      <c r="I1013" t="s">
        <v>820</v>
      </c>
      <c r="J1013" t="s">
        <v>865</v>
      </c>
      <c r="K1013" t="s">
        <v>797</v>
      </c>
    </row>
    <row r="1014" spans="2:11" x14ac:dyDescent="0.25">
      <c r="B1014" s="191"/>
      <c r="C1014" s="191" t="s">
        <v>2800</v>
      </c>
      <c r="D1014" s="192"/>
      <c r="E1014" s="185" t="s">
        <v>2801</v>
      </c>
      <c r="F1014" s="192" t="s">
        <v>789</v>
      </c>
      <c r="G1014" s="192" t="s">
        <v>790</v>
      </c>
      <c r="H1014" s="192" t="s">
        <v>790</v>
      </c>
      <c r="I1014" t="s">
        <v>820</v>
      </c>
    </row>
    <row r="1015" spans="2:11" x14ac:dyDescent="0.25">
      <c r="B1015" s="191"/>
      <c r="C1015" s="191" t="s">
        <v>2802</v>
      </c>
      <c r="D1015" s="192"/>
      <c r="E1015" s="185" t="s">
        <v>2803</v>
      </c>
      <c r="F1015" s="192" t="s">
        <v>789</v>
      </c>
      <c r="G1015" s="192" t="s">
        <v>790</v>
      </c>
      <c r="H1015" s="192" t="s">
        <v>790</v>
      </c>
      <c r="I1015" t="s">
        <v>820</v>
      </c>
    </row>
    <row r="1016" spans="2:11" x14ac:dyDescent="0.25">
      <c r="B1016" s="191"/>
      <c r="C1016" s="191"/>
      <c r="D1016" s="192" t="s">
        <v>2804</v>
      </c>
      <c r="E1016" t="s">
        <v>2805</v>
      </c>
      <c r="F1016" s="192" t="s">
        <v>2806</v>
      </c>
      <c r="G1016" s="192" t="s">
        <v>790</v>
      </c>
      <c r="H1016" s="192" t="s">
        <v>790</v>
      </c>
      <c r="I1016" t="s">
        <v>820</v>
      </c>
      <c r="J1016" t="s">
        <v>865</v>
      </c>
      <c r="K1016" t="s">
        <v>797</v>
      </c>
    </row>
    <row r="1017" spans="2:11" x14ac:dyDescent="0.25">
      <c r="B1017" s="191"/>
      <c r="C1017" s="191"/>
      <c r="D1017" s="192" t="s">
        <v>2807</v>
      </c>
      <c r="E1017" t="s">
        <v>2808</v>
      </c>
      <c r="F1017" s="192" t="s">
        <v>2806</v>
      </c>
      <c r="G1017" s="192" t="s">
        <v>790</v>
      </c>
      <c r="H1017" s="192" t="s">
        <v>790</v>
      </c>
      <c r="I1017" t="s">
        <v>820</v>
      </c>
      <c r="J1017" t="s">
        <v>865</v>
      </c>
      <c r="K1017" t="s">
        <v>797</v>
      </c>
    </row>
    <row r="1018" spans="2:11" x14ac:dyDescent="0.25">
      <c r="B1018" s="191"/>
      <c r="C1018" s="191"/>
      <c r="D1018" s="192" t="s">
        <v>2809</v>
      </c>
      <c r="E1018" t="s">
        <v>2810</v>
      </c>
      <c r="F1018" s="192" t="s">
        <v>2806</v>
      </c>
      <c r="G1018" s="192" t="s">
        <v>790</v>
      </c>
      <c r="H1018" s="192" t="s">
        <v>790</v>
      </c>
      <c r="I1018" t="s">
        <v>820</v>
      </c>
      <c r="J1018" t="s">
        <v>865</v>
      </c>
      <c r="K1018" t="s">
        <v>797</v>
      </c>
    </row>
    <row r="1019" spans="2:11" x14ac:dyDescent="0.25">
      <c r="B1019" s="191"/>
      <c r="C1019" s="191"/>
      <c r="D1019" s="192" t="s">
        <v>2811</v>
      </c>
      <c r="E1019" t="s">
        <v>2812</v>
      </c>
      <c r="F1019" s="192" t="s">
        <v>2806</v>
      </c>
      <c r="G1019" s="192" t="s">
        <v>790</v>
      </c>
      <c r="H1019" s="192" t="s">
        <v>790</v>
      </c>
      <c r="I1019" t="s">
        <v>820</v>
      </c>
      <c r="J1019" t="s">
        <v>865</v>
      </c>
      <c r="K1019" t="s">
        <v>797</v>
      </c>
    </row>
    <row r="1020" spans="2:11" x14ac:dyDescent="0.25">
      <c r="B1020" s="191"/>
      <c r="C1020" s="191"/>
      <c r="D1020" s="192" t="s">
        <v>2813</v>
      </c>
      <c r="E1020" t="s">
        <v>2814</v>
      </c>
      <c r="F1020" s="192" t="s">
        <v>2806</v>
      </c>
      <c r="G1020" s="192" t="s">
        <v>790</v>
      </c>
      <c r="H1020" s="192" t="s">
        <v>790</v>
      </c>
      <c r="I1020" t="s">
        <v>820</v>
      </c>
      <c r="J1020" t="s">
        <v>865</v>
      </c>
      <c r="K1020" t="s">
        <v>797</v>
      </c>
    </row>
    <row r="1021" spans="2:11" x14ac:dyDescent="0.25">
      <c r="B1021" s="191"/>
      <c r="C1021" s="191"/>
      <c r="D1021" s="192" t="s">
        <v>2815</v>
      </c>
      <c r="E1021" t="s">
        <v>2816</v>
      </c>
      <c r="F1021" s="192" t="s">
        <v>2806</v>
      </c>
      <c r="G1021" s="192" t="s">
        <v>790</v>
      </c>
      <c r="H1021" s="192" t="s">
        <v>790</v>
      </c>
      <c r="I1021" t="s">
        <v>820</v>
      </c>
      <c r="J1021" t="s">
        <v>865</v>
      </c>
      <c r="K1021" t="s">
        <v>797</v>
      </c>
    </row>
    <row r="1022" spans="2:11" x14ac:dyDescent="0.25">
      <c r="B1022" s="191"/>
      <c r="C1022" s="191" t="s">
        <v>2817</v>
      </c>
      <c r="D1022" s="192"/>
      <c r="E1022" s="185" t="s">
        <v>2818</v>
      </c>
      <c r="F1022" s="192" t="s">
        <v>789</v>
      </c>
      <c r="G1022" s="192" t="s">
        <v>790</v>
      </c>
      <c r="H1022" s="192" t="s">
        <v>790</v>
      </c>
      <c r="I1022" t="s">
        <v>820</v>
      </c>
    </row>
    <row r="1023" spans="2:11" x14ac:dyDescent="0.25">
      <c r="B1023" s="191"/>
      <c r="C1023" s="191"/>
      <c r="D1023" s="192" t="s">
        <v>2819</v>
      </c>
      <c r="E1023" t="s">
        <v>2820</v>
      </c>
      <c r="F1023" s="192" t="s">
        <v>2806</v>
      </c>
      <c r="G1023" s="192" t="s">
        <v>790</v>
      </c>
      <c r="H1023" s="192" t="s">
        <v>790</v>
      </c>
      <c r="I1023" t="s">
        <v>820</v>
      </c>
      <c r="J1023" t="s">
        <v>865</v>
      </c>
      <c r="K1023" t="s">
        <v>797</v>
      </c>
    </row>
    <row r="1024" spans="2:11" x14ac:dyDescent="0.25">
      <c r="B1024" s="191"/>
      <c r="C1024" s="191"/>
      <c r="D1024" s="192" t="s">
        <v>2821</v>
      </c>
      <c r="E1024" t="s">
        <v>2822</v>
      </c>
      <c r="F1024" s="192" t="s">
        <v>2806</v>
      </c>
      <c r="G1024" s="192" t="s">
        <v>790</v>
      </c>
      <c r="H1024" s="192" t="s">
        <v>790</v>
      </c>
      <c r="I1024" t="s">
        <v>820</v>
      </c>
      <c r="J1024" t="s">
        <v>865</v>
      </c>
      <c r="K1024" t="s">
        <v>797</v>
      </c>
    </row>
    <row r="1025" spans="2:11" x14ac:dyDescent="0.25">
      <c r="B1025" s="191"/>
      <c r="C1025" s="191"/>
      <c r="D1025" s="192" t="s">
        <v>2823</v>
      </c>
      <c r="E1025" t="s">
        <v>2824</v>
      </c>
      <c r="F1025" s="192" t="s">
        <v>2806</v>
      </c>
      <c r="G1025" s="192" t="s">
        <v>790</v>
      </c>
      <c r="H1025" s="192" t="s">
        <v>790</v>
      </c>
      <c r="I1025" t="s">
        <v>820</v>
      </c>
      <c r="J1025" t="s">
        <v>865</v>
      </c>
      <c r="K1025" t="s">
        <v>797</v>
      </c>
    </row>
    <row r="1026" spans="2:11" x14ac:dyDescent="0.25">
      <c r="B1026" s="191"/>
      <c r="C1026" s="191"/>
      <c r="D1026" s="192" t="s">
        <v>2825</v>
      </c>
      <c r="E1026" t="s">
        <v>2826</v>
      </c>
      <c r="F1026" s="192" t="s">
        <v>2806</v>
      </c>
      <c r="G1026" s="192" t="s">
        <v>790</v>
      </c>
      <c r="H1026" s="192" t="s">
        <v>790</v>
      </c>
      <c r="I1026" t="s">
        <v>820</v>
      </c>
      <c r="J1026" t="s">
        <v>865</v>
      </c>
      <c r="K1026" t="s">
        <v>797</v>
      </c>
    </row>
    <row r="1027" spans="2:11" x14ac:dyDescent="0.25">
      <c r="B1027" s="191"/>
      <c r="C1027" s="191"/>
      <c r="D1027" s="192" t="s">
        <v>2827</v>
      </c>
      <c r="E1027" t="s">
        <v>2828</v>
      </c>
      <c r="F1027" s="192" t="s">
        <v>2806</v>
      </c>
      <c r="G1027" s="192" t="s">
        <v>790</v>
      </c>
      <c r="H1027" s="192" t="s">
        <v>790</v>
      </c>
      <c r="I1027" t="s">
        <v>820</v>
      </c>
      <c r="J1027" t="s">
        <v>865</v>
      </c>
      <c r="K1027" t="s">
        <v>797</v>
      </c>
    </row>
    <row r="1028" spans="2:11" x14ac:dyDescent="0.25">
      <c r="B1028" s="191"/>
      <c r="C1028" s="191"/>
      <c r="D1028" s="192" t="s">
        <v>2829</v>
      </c>
      <c r="E1028" t="s">
        <v>2830</v>
      </c>
      <c r="F1028" s="192" t="s">
        <v>2806</v>
      </c>
      <c r="G1028" s="192" t="s">
        <v>790</v>
      </c>
      <c r="H1028" s="192" t="s">
        <v>790</v>
      </c>
      <c r="I1028" t="s">
        <v>820</v>
      </c>
      <c r="J1028" t="s">
        <v>865</v>
      </c>
      <c r="K1028" t="s">
        <v>797</v>
      </c>
    </row>
    <row r="1029" spans="2:11" x14ac:dyDescent="0.25">
      <c r="B1029" s="191"/>
      <c r="C1029" s="191" t="s">
        <v>2831</v>
      </c>
      <c r="D1029" s="192"/>
      <c r="E1029" s="185" t="s">
        <v>2832</v>
      </c>
      <c r="F1029" s="192" t="s">
        <v>789</v>
      </c>
      <c r="G1029" s="192" t="s">
        <v>790</v>
      </c>
      <c r="H1029" s="192" t="s">
        <v>790</v>
      </c>
      <c r="I1029" t="s">
        <v>820</v>
      </c>
    </row>
    <row r="1030" spans="2:11" x14ac:dyDescent="0.25">
      <c r="B1030" s="191"/>
      <c r="C1030" s="191"/>
      <c r="D1030" s="192" t="s">
        <v>2833</v>
      </c>
      <c r="E1030" t="s">
        <v>2834</v>
      </c>
      <c r="F1030" s="192" t="s">
        <v>2806</v>
      </c>
      <c r="G1030" s="192" t="s">
        <v>790</v>
      </c>
      <c r="H1030" s="192" t="s">
        <v>790</v>
      </c>
      <c r="I1030" t="s">
        <v>820</v>
      </c>
      <c r="J1030" t="s">
        <v>865</v>
      </c>
      <c r="K1030" t="s">
        <v>797</v>
      </c>
    </row>
    <row r="1031" spans="2:11" x14ac:dyDescent="0.25">
      <c r="B1031" s="191"/>
      <c r="C1031" s="191"/>
      <c r="D1031" s="192" t="s">
        <v>2835</v>
      </c>
      <c r="E1031" t="s">
        <v>2836</v>
      </c>
      <c r="F1031" s="192" t="s">
        <v>2806</v>
      </c>
      <c r="G1031" s="192" t="s">
        <v>790</v>
      </c>
      <c r="H1031" s="192" t="s">
        <v>790</v>
      </c>
      <c r="I1031" t="s">
        <v>820</v>
      </c>
      <c r="J1031" t="s">
        <v>865</v>
      </c>
      <c r="K1031" t="s">
        <v>797</v>
      </c>
    </row>
    <row r="1032" spans="2:11" x14ac:dyDescent="0.25">
      <c r="B1032" s="191"/>
      <c r="C1032" s="191"/>
      <c r="D1032" s="192" t="s">
        <v>2837</v>
      </c>
      <c r="E1032" t="s">
        <v>2838</v>
      </c>
      <c r="F1032" s="192" t="s">
        <v>2806</v>
      </c>
      <c r="G1032" s="192" t="s">
        <v>790</v>
      </c>
      <c r="H1032" s="192" t="s">
        <v>790</v>
      </c>
      <c r="I1032" t="s">
        <v>820</v>
      </c>
      <c r="J1032" t="s">
        <v>865</v>
      </c>
      <c r="K1032" t="s">
        <v>797</v>
      </c>
    </row>
    <row r="1033" spans="2:11" x14ac:dyDescent="0.25">
      <c r="B1033" s="191"/>
      <c r="C1033" s="191" t="s">
        <v>2839</v>
      </c>
      <c r="D1033" s="192"/>
      <c r="E1033" s="185" t="s">
        <v>2840</v>
      </c>
      <c r="F1033" s="192" t="s">
        <v>789</v>
      </c>
      <c r="G1033" s="192" t="s">
        <v>790</v>
      </c>
      <c r="H1033" s="192" t="s">
        <v>790</v>
      </c>
      <c r="I1033" t="s">
        <v>820</v>
      </c>
    </row>
    <row r="1034" spans="2:11" x14ac:dyDescent="0.25">
      <c r="B1034" s="191"/>
      <c r="C1034" s="191" t="s">
        <v>2841</v>
      </c>
      <c r="D1034" s="192"/>
      <c r="E1034" s="185" t="s">
        <v>2842</v>
      </c>
      <c r="F1034" s="192" t="s">
        <v>789</v>
      </c>
      <c r="G1034" s="192" t="s">
        <v>790</v>
      </c>
      <c r="H1034" s="192" t="s">
        <v>790</v>
      </c>
      <c r="I1034" t="s">
        <v>820</v>
      </c>
    </row>
    <row r="1035" spans="2:11" x14ac:dyDescent="0.25">
      <c r="B1035" s="191"/>
      <c r="C1035" s="191"/>
      <c r="D1035" s="192" t="s">
        <v>2843</v>
      </c>
      <c r="E1035" t="s">
        <v>2844</v>
      </c>
      <c r="F1035" s="192" t="s">
        <v>2806</v>
      </c>
      <c r="G1035" s="192" t="s">
        <v>790</v>
      </c>
      <c r="H1035" s="192" t="s">
        <v>790</v>
      </c>
      <c r="I1035" t="s">
        <v>820</v>
      </c>
      <c r="J1035" t="s">
        <v>865</v>
      </c>
      <c r="K1035" t="s">
        <v>797</v>
      </c>
    </row>
    <row r="1036" spans="2:11" x14ac:dyDescent="0.25">
      <c r="B1036" s="191" t="s">
        <v>2845</v>
      </c>
      <c r="C1036" s="191"/>
      <c r="D1036" s="192"/>
      <c r="E1036" s="185" t="s">
        <v>2846</v>
      </c>
      <c r="F1036" s="192" t="s">
        <v>789</v>
      </c>
      <c r="G1036" s="192" t="s">
        <v>790</v>
      </c>
      <c r="H1036" s="192" t="s">
        <v>790</v>
      </c>
      <c r="I1036" t="s">
        <v>2847</v>
      </c>
      <c r="J1036" t="s">
        <v>865</v>
      </c>
    </row>
    <row r="1037" spans="2:11" x14ac:dyDescent="0.25">
      <c r="B1037" s="191"/>
      <c r="C1037" s="191" t="s">
        <v>2848</v>
      </c>
      <c r="D1037" s="192"/>
      <c r="E1037" s="185" t="s">
        <v>2849</v>
      </c>
      <c r="F1037" s="192" t="s">
        <v>789</v>
      </c>
      <c r="G1037" s="192" t="s">
        <v>790</v>
      </c>
      <c r="H1037" s="192" t="s">
        <v>790</v>
      </c>
      <c r="I1037" t="s">
        <v>2847</v>
      </c>
      <c r="J1037" t="s">
        <v>865</v>
      </c>
    </row>
    <row r="1038" spans="2:11" x14ac:dyDescent="0.25">
      <c r="B1038" s="191"/>
      <c r="C1038" s="191" t="s">
        <v>2850</v>
      </c>
      <c r="D1038" s="192"/>
      <c r="E1038" s="185" t="s">
        <v>2851</v>
      </c>
      <c r="F1038" s="192" t="s">
        <v>789</v>
      </c>
      <c r="G1038" s="192" t="s">
        <v>790</v>
      </c>
      <c r="H1038" s="192" t="s">
        <v>790</v>
      </c>
      <c r="I1038" t="s">
        <v>2847</v>
      </c>
      <c r="J1038" t="s">
        <v>865</v>
      </c>
    </row>
    <row r="1039" spans="2:11" x14ac:dyDescent="0.25">
      <c r="B1039" s="191"/>
      <c r="C1039" s="191" t="s">
        <v>2852</v>
      </c>
      <c r="D1039" s="192"/>
      <c r="E1039" s="185" t="s">
        <v>2853</v>
      </c>
      <c r="F1039" s="192" t="s">
        <v>789</v>
      </c>
      <c r="G1039" s="192" t="s">
        <v>790</v>
      </c>
      <c r="H1039" s="192" t="s">
        <v>790</v>
      </c>
      <c r="I1039" t="s">
        <v>2847</v>
      </c>
    </row>
    <row r="1040" spans="2:11" x14ac:dyDescent="0.25">
      <c r="B1040" s="191"/>
      <c r="C1040" s="191"/>
      <c r="D1040" s="192" t="s">
        <v>2854</v>
      </c>
      <c r="E1040" t="s">
        <v>2853</v>
      </c>
      <c r="F1040" s="192" t="s">
        <v>2855</v>
      </c>
      <c r="G1040" s="192" t="s">
        <v>790</v>
      </c>
      <c r="H1040" s="192" t="s">
        <v>790</v>
      </c>
      <c r="I1040" t="s">
        <v>2847</v>
      </c>
      <c r="J1040" t="s">
        <v>865</v>
      </c>
      <c r="K1040" t="s">
        <v>797</v>
      </c>
    </row>
    <row r="1041" spans="2:11" x14ac:dyDescent="0.25">
      <c r="B1041" s="191"/>
      <c r="C1041" s="191"/>
      <c r="D1041" s="192" t="s">
        <v>2856</v>
      </c>
      <c r="E1041" t="s">
        <v>2857</v>
      </c>
      <c r="F1041" s="192" t="s">
        <v>2855</v>
      </c>
      <c r="G1041" s="192" t="s">
        <v>790</v>
      </c>
      <c r="H1041" s="192" t="s">
        <v>790</v>
      </c>
      <c r="I1041" t="s">
        <v>2847</v>
      </c>
      <c r="J1041" t="s">
        <v>865</v>
      </c>
      <c r="K1041" t="s">
        <v>797</v>
      </c>
    </row>
    <row r="1042" spans="2:11" x14ac:dyDescent="0.25">
      <c r="B1042" s="191"/>
      <c r="C1042" s="191"/>
      <c r="D1042" s="192" t="s">
        <v>2858</v>
      </c>
      <c r="E1042" t="s">
        <v>2859</v>
      </c>
      <c r="F1042" s="192" t="s">
        <v>2855</v>
      </c>
      <c r="G1042" s="192" t="s">
        <v>790</v>
      </c>
      <c r="H1042" s="192" t="s">
        <v>790</v>
      </c>
      <c r="I1042" t="s">
        <v>2847</v>
      </c>
      <c r="J1042" t="s">
        <v>865</v>
      </c>
      <c r="K1042" t="s">
        <v>797</v>
      </c>
    </row>
    <row r="1043" spans="2:11" x14ac:dyDescent="0.25">
      <c r="B1043" s="191"/>
      <c r="C1043" s="191"/>
      <c r="D1043" s="192" t="s">
        <v>2860</v>
      </c>
      <c r="E1043" t="s">
        <v>2861</v>
      </c>
      <c r="F1043" s="192" t="s">
        <v>2855</v>
      </c>
      <c r="G1043" s="192" t="s">
        <v>790</v>
      </c>
      <c r="H1043" s="192" t="s">
        <v>790</v>
      </c>
      <c r="I1043" t="s">
        <v>2847</v>
      </c>
      <c r="J1043" t="s">
        <v>865</v>
      </c>
      <c r="K1043" t="s">
        <v>797</v>
      </c>
    </row>
    <row r="1044" spans="2:11" x14ac:dyDescent="0.25">
      <c r="B1044" s="191"/>
      <c r="C1044" s="191"/>
      <c r="D1044" s="192" t="s">
        <v>2862</v>
      </c>
      <c r="E1044" t="s">
        <v>2863</v>
      </c>
      <c r="F1044" s="192" t="s">
        <v>2855</v>
      </c>
      <c r="G1044" s="192" t="s">
        <v>790</v>
      </c>
      <c r="H1044" s="192" t="s">
        <v>790</v>
      </c>
      <c r="I1044" t="s">
        <v>2847</v>
      </c>
      <c r="J1044" t="s">
        <v>865</v>
      </c>
      <c r="K1044" t="s">
        <v>797</v>
      </c>
    </row>
    <row r="1045" spans="2:11" x14ac:dyDescent="0.25">
      <c r="B1045" s="191"/>
      <c r="C1045" s="191"/>
      <c r="D1045" s="192" t="s">
        <v>2864</v>
      </c>
      <c r="E1045" t="s">
        <v>2865</v>
      </c>
      <c r="F1045" s="192" t="s">
        <v>2855</v>
      </c>
      <c r="G1045" s="192" t="s">
        <v>790</v>
      </c>
      <c r="H1045" s="192" t="s">
        <v>790</v>
      </c>
      <c r="I1045" t="s">
        <v>2847</v>
      </c>
      <c r="J1045" t="s">
        <v>865</v>
      </c>
      <c r="K1045" t="s">
        <v>797</v>
      </c>
    </row>
    <row r="1046" spans="2:11" x14ac:dyDescent="0.25">
      <c r="B1046" s="191"/>
      <c r="C1046" s="191"/>
      <c r="D1046" s="192" t="s">
        <v>2866</v>
      </c>
      <c r="E1046" t="s">
        <v>2867</v>
      </c>
      <c r="F1046" s="192" t="s">
        <v>2855</v>
      </c>
      <c r="G1046" s="192" t="s">
        <v>790</v>
      </c>
      <c r="H1046" s="192" t="s">
        <v>790</v>
      </c>
      <c r="I1046" t="s">
        <v>2847</v>
      </c>
      <c r="J1046" t="s">
        <v>865</v>
      </c>
      <c r="K1046" t="s">
        <v>797</v>
      </c>
    </row>
    <row r="1047" spans="2:11" x14ac:dyDescent="0.25">
      <c r="B1047" s="191"/>
      <c r="C1047" s="191"/>
      <c r="D1047" s="192" t="s">
        <v>2868</v>
      </c>
      <c r="E1047" t="s">
        <v>2869</v>
      </c>
      <c r="F1047" s="192" t="s">
        <v>2855</v>
      </c>
      <c r="G1047" s="192" t="s">
        <v>790</v>
      </c>
      <c r="H1047" s="192" t="s">
        <v>790</v>
      </c>
      <c r="I1047" t="s">
        <v>2870</v>
      </c>
      <c r="J1047" t="s">
        <v>865</v>
      </c>
      <c r="K1047" t="s">
        <v>797</v>
      </c>
    </row>
    <row r="1048" spans="2:11" x14ac:dyDescent="0.25">
      <c r="B1048" s="191"/>
      <c r="C1048" s="191"/>
      <c r="D1048" s="192" t="s">
        <v>2871</v>
      </c>
      <c r="E1048" t="s">
        <v>2872</v>
      </c>
      <c r="F1048" s="192" t="s">
        <v>2855</v>
      </c>
      <c r="G1048" s="192" t="s">
        <v>790</v>
      </c>
      <c r="H1048" s="192" t="s">
        <v>790</v>
      </c>
      <c r="I1048" t="s">
        <v>2847</v>
      </c>
      <c r="J1048" t="s">
        <v>865</v>
      </c>
      <c r="K1048" t="s">
        <v>797</v>
      </c>
    </row>
    <row r="1049" spans="2:11" x14ac:dyDescent="0.25">
      <c r="B1049" s="191"/>
      <c r="C1049" s="191" t="s">
        <v>2873</v>
      </c>
      <c r="D1049" s="192"/>
      <c r="E1049" s="185" t="s">
        <v>2874</v>
      </c>
      <c r="F1049" s="192" t="s">
        <v>789</v>
      </c>
      <c r="G1049" s="192" t="s">
        <v>790</v>
      </c>
      <c r="H1049" s="192" t="s">
        <v>790</v>
      </c>
      <c r="I1049" t="s">
        <v>2847</v>
      </c>
    </row>
    <row r="1050" spans="2:11" x14ac:dyDescent="0.25">
      <c r="B1050" s="191"/>
      <c r="C1050" s="191"/>
      <c r="D1050" s="192" t="s">
        <v>2875</v>
      </c>
      <c r="E1050" t="s">
        <v>2874</v>
      </c>
      <c r="F1050" s="192" t="s">
        <v>2855</v>
      </c>
      <c r="G1050" s="192" t="s">
        <v>790</v>
      </c>
      <c r="H1050" s="192" t="s">
        <v>790</v>
      </c>
      <c r="I1050" t="s">
        <v>2847</v>
      </c>
      <c r="J1050" t="s">
        <v>865</v>
      </c>
      <c r="K1050" t="s">
        <v>797</v>
      </c>
    </row>
    <row r="1051" spans="2:11" x14ac:dyDescent="0.25">
      <c r="B1051" s="191"/>
      <c r="C1051" s="191" t="s">
        <v>2876</v>
      </c>
      <c r="D1051" s="192"/>
      <c r="E1051" s="185" t="s">
        <v>2877</v>
      </c>
      <c r="F1051" s="192" t="s">
        <v>789</v>
      </c>
      <c r="G1051" s="192" t="s">
        <v>790</v>
      </c>
      <c r="H1051" s="192" t="s">
        <v>790</v>
      </c>
      <c r="I1051" t="s">
        <v>2847</v>
      </c>
    </row>
    <row r="1052" spans="2:11" x14ac:dyDescent="0.25">
      <c r="B1052" s="191"/>
      <c r="C1052" s="191"/>
      <c r="D1052" s="192" t="s">
        <v>2878</v>
      </c>
      <c r="E1052" t="s">
        <v>2879</v>
      </c>
      <c r="F1052" s="192" t="s">
        <v>2855</v>
      </c>
      <c r="G1052" s="192" t="s">
        <v>790</v>
      </c>
      <c r="H1052" s="192" t="s">
        <v>790</v>
      </c>
      <c r="I1052" t="s">
        <v>2847</v>
      </c>
      <c r="J1052" t="s">
        <v>865</v>
      </c>
      <c r="K1052" t="s">
        <v>797</v>
      </c>
    </row>
    <row r="1053" spans="2:11" x14ac:dyDescent="0.25">
      <c r="B1053" s="191"/>
      <c r="C1053" s="191"/>
      <c r="D1053" s="192" t="s">
        <v>2880</v>
      </c>
      <c r="E1053" t="s">
        <v>2881</v>
      </c>
      <c r="F1053" s="192" t="s">
        <v>2855</v>
      </c>
      <c r="G1053" s="192" t="s">
        <v>790</v>
      </c>
      <c r="H1053" s="192" t="s">
        <v>790</v>
      </c>
      <c r="I1053" t="s">
        <v>2847</v>
      </c>
      <c r="J1053" t="s">
        <v>865</v>
      </c>
      <c r="K1053" t="s">
        <v>797</v>
      </c>
    </row>
    <row r="1054" spans="2:11" x14ac:dyDescent="0.25">
      <c r="B1054" s="191"/>
      <c r="C1054" s="191" t="s">
        <v>2882</v>
      </c>
      <c r="D1054" s="192"/>
      <c r="E1054" s="185" t="s">
        <v>2883</v>
      </c>
      <c r="F1054" s="192" t="s">
        <v>789</v>
      </c>
      <c r="G1054" s="192" t="s">
        <v>790</v>
      </c>
      <c r="H1054" s="192" t="s">
        <v>790</v>
      </c>
      <c r="I1054" t="s">
        <v>2847</v>
      </c>
      <c r="J1054" t="s">
        <v>865</v>
      </c>
    </row>
    <row r="1055" spans="2:11" x14ac:dyDescent="0.25">
      <c r="B1055" s="191"/>
      <c r="C1055" s="191"/>
      <c r="D1055" s="192" t="s">
        <v>2884</v>
      </c>
      <c r="E1055" t="s">
        <v>2885</v>
      </c>
      <c r="F1055" s="192" t="s">
        <v>2855</v>
      </c>
      <c r="G1055" s="192" t="s">
        <v>790</v>
      </c>
      <c r="H1055" s="192" t="s">
        <v>790</v>
      </c>
      <c r="I1055" t="s">
        <v>2847</v>
      </c>
      <c r="J1055" t="s">
        <v>865</v>
      </c>
      <c r="K1055" t="s">
        <v>797</v>
      </c>
    </row>
    <row r="1056" spans="2:11" x14ac:dyDescent="0.25">
      <c r="B1056" s="191"/>
      <c r="C1056" s="191"/>
      <c r="D1056" s="192" t="s">
        <v>2886</v>
      </c>
      <c r="E1056" t="s">
        <v>2887</v>
      </c>
      <c r="F1056" s="192" t="s">
        <v>2855</v>
      </c>
      <c r="G1056" s="192" t="s">
        <v>790</v>
      </c>
      <c r="H1056" s="192" t="s">
        <v>790</v>
      </c>
      <c r="I1056" t="s">
        <v>2847</v>
      </c>
      <c r="J1056" t="s">
        <v>865</v>
      </c>
      <c r="K1056" t="s">
        <v>797</v>
      </c>
    </row>
    <row r="1057" spans="2:11" x14ac:dyDescent="0.25">
      <c r="B1057" s="191"/>
      <c r="C1057" s="191"/>
      <c r="D1057" s="192" t="s">
        <v>2888</v>
      </c>
      <c r="E1057" t="s">
        <v>2889</v>
      </c>
      <c r="F1057" s="192" t="s">
        <v>2855</v>
      </c>
      <c r="G1057" s="192" t="s">
        <v>790</v>
      </c>
      <c r="H1057" s="192" t="s">
        <v>790</v>
      </c>
      <c r="I1057" t="s">
        <v>2847</v>
      </c>
      <c r="J1057" t="s">
        <v>865</v>
      </c>
      <c r="K1057" t="s">
        <v>797</v>
      </c>
    </row>
    <row r="1058" spans="2:11" x14ac:dyDescent="0.25">
      <c r="B1058" s="191"/>
      <c r="C1058" s="191"/>
      <c r="D1058" s="192" t="s">
        <v>2890</v>
      </c>
      <c r="E1058" t="s">
        <v>2891</v>
      </c>
      <c r="F1058" s="192" t="s">
        <v>2855</v>
      </c>
      <c r="G1058" s="192" t="s">
        <v>790</v>
      </c>
      <c r="H1058" s="192" t="s">
        <v>790</v>
      </c>
      <c r="I1058" t="s">
        <v>2847</v>
      </c>
      <c r="J1058" t="s">
        <v>865</v>
      </c>
      <c r="K1058" t="s">
        <v>797</v>
      </c>
    </row>
    <row r="1059" spans="2:11" x14ac:dyDescent="0.25">
      <c r="B1059" s="191"/>
      <c r="C1059" s="191"/>
      <c r="D1059" s="192" t="s">
        <v>2892</v>
      </c>
      <c r="E1059" t="s">
        <v>2893</v>
      </c>
      <c r="F1059" s="192" t="s">
        <v>2855</v>
      </c>
      <c r="G1059" s="192" t="s">
        <v>790</v>
      </c>
      <c r="H1059" s="192" t="s">
        <v>790</v>
      </c>
      <c r="I1059" t="s">
        <v>2847</v>
      </c>
      <c r="J1059" t="s">
        <v>865</v>
      </c>
      <c r="K1059" t="s">
        <v>797</v>
      </c>
    </row>
    <row r="1060" spans="2:11" x14ac:dyDescent="0.25">
      <c r="B1060" s="191"/>
      <c r="C1060" s="191" t="s">
        <v>2894</v>
      </c>
      <c r="D1060" s="192"/>
      <c r="E1060" s="185" t="s">
        <v>2895</v>
      </c>
      <c r="F1060" s="192" t="s">
        <v>789</v>
      </c>
      <c r="G1060" s="192" t="s">
        <v>790</v>
      </c>
      <c r="H1060" s="192" t="s">
        <v>790</v>
      </c>
      <c r="I1060" t="s">
        <v>2847</v>
      </c>
    </row>
    <row r="1061" spans="2:11" x14ac:dyDescent="0.25">
      <c r="B1061" s="191"/>
      <c r="C1061" s="191"/>
      <c r="D1061" s="192" t="s">
        <v>2896</v>
      </c>
      <c r="E1061" t="s">
        <v>2897</v>
      </c>
      <c r="F1061" s="192" t="s">
        <v>2855</v>
      </c>
      <c r="G1061" s="192" t="s">
        <v>790</v>
      </c>
      <c r="H1061" s="192" t="s">
        <v>790</v>
      </c>
      <c r="I1061" t="s">
        <v>2847</v>
      </c>
      <c r="J1061" t="s">
        <v>865</v>
      </c>
      <c r="K1061" t="s">
        <v>797</v>
      </c>
    </row>
    <row r="1062" spans="2:11" x14ac:dyDescent="0.25">
      <c r="B1062" s="191"/>
      <c r="C1062" s="191"/>
      <c r="D1062" s="192" t="s">
        <v>2898</v>
      </c>
      <c r="E1062" t="s">
        <v>2899</v>
      </c>
      <c r="F1062" s="192" t="s">
        <v>2855</v>
      </c>
      <c r="G1062" s="192" t="s">
        <v>790</v>
      </c>
      <c r="H1062" s="192" t="s">
        <v>790</v>
      </c>
      <c r="I1062" t="s">
        <v>2847</v>
      </c>
      <c r="J1062" t="s">
        <v>865</v>
      </c>
      <c r="K1062" t="s">
        <v>797</v>
      </c>
    </row>
    <row r="1063" spans="2:11" x14ac:dyDescent="0.25">
      <c r="B1063" s="191"/>
      <c r="C1063" s="191"/>
      <c r="D1063" s="192" t="s">
        <v>2900</v>
      </c>
      <c r="E1063" t="s">
        <v>2901</v>
      </c>
      <c r="F1063" s="192" t="s">
        <v>2855</v>
      </c>
      <c r="G1063" s="192" t="s">
        <v>790</v>
      </c>
      <c r="H1063" s="192" t="s">
        <v>790</v>
      </c>
      <c r="I1063" t="s">
        <v>2847</v>
      </c>
      <c r="J1063" t="s">
        <v>865</v>
      </c>
      <c r="K1063" t="s">
        <v>797</v>
      </c>
    </row>
    <row r="1064" spans="2:11" x14ac:dyDescent="0.25">
      <c r="B1064" s="191"/>
      <c r="C1064" s="191"/>
      <c r="D1064" s="192" t="s">
        <v>2902</v>
      </c>
      <c r="E1064" t="s">
        <v>2903</v>
      </c>
      <c r="F1064" s="192" t="s">
        <v>2855</v>
      </c>
      <c r="G1064" s="192" t="s">
        <v>790</v>
      </c>
      <c r="H1064" s="192" t="s">
        <v>790</v>
      </c>
      <c r="I1064" t="s">
        <v>2847</v>
      </c>
      <c r="J1064" t="s">
        <v>865</v>
      </c>
      <c r="K1064" t="s">
        <v>797</v>
      </c>
    </row>
    <row r="1065" spans="2:11" x14ac:dyDescent="0.25">
      <c r="B1065" s="191"/>
      <c r="C1065" s="191"/>
      <c r="D1065" s="192" t="s">
        <v>2904</v>
      </c>
      <c r="E1065" t="s">
        <v>2905</v>
      </c>
      <c r="F1065" s="192" t="s">
        <v>2855</v>
      </c>
      <c r="G1065" s="192" t="s">
        <v>790</v>
      </c>
      <c r="H1065" s="192" t="s">
        <v>790</v>
      </c>
      <c r="I1065" t="s">
        <v>2847</v>
      </c>
      <c r="J1065" t="s">
        <v>865</v>
      </c>
      <c r="K1065" t="s">
        <v>797</v>
      </c>
    </row>
    <row r="1066" spans="2:11" x14ac:dyDescent="0.25">
      <c r="B1066" s="191"/>
      <c r="C1066" s="191"/>
      <c r="D1066" s="192" t="s">
        <v>2906</v>
      </c>
      <c r="E1066" t="s">
        <v>2907</v>
      </c>
      <c r="F1066" s="192" t="s">
        <v>2855</v>
      </c>
      <c r="G1066" s="192" t="s">
        <v>790</v>
      </c>
      <c r="H1066" s="192" t="s">
        <v>790</v>
      </c>
      <c r="I1066" t="s">
        <v>2847</v>
      </c>
      <c r="J1066" t="s">
        <v>865</v>
      </c>
      <c r="K1066" t="s">
        <v>797</v>
      </c>
    </row>
    <row r="1067" spans="2:11" x14ac:dyDescent="0.25">
      <c r="B1067" s="191"/>
      <c r="C1067" s="191"/>
      <c r="D1067" s="192" t="s">
        <v>2908</v>
      </c>
      <c r="E1067" t="s">
        <v>2909</v>
      </c>
      <c r="F1067" s="192" t="s">
        <v>2855</v>
      </c>
      <c r="G1067" s="192" t="s">
        <v>790</v>
      </c>
      <c r="H1067" s="192" t="s">
        <v>790</v>
      </c>
      <c r="I1067" t="s">
        <v>2847</v>
      </c>
      <c r="J1067" t="s">
        <v>865</v>
      </c>
      <c r="K1067" t="s">
        <v>797</v>
      </c>
    </row>
    <row r="1068" spans="2:11" x14ac:dyDescent="0.25">
      <c r="B1068" s="191"/>
      <c r="C1068" s="191" t="s">
        <v>2910</v>
      </c>
      <c r="D1068" s="192"/>
      <c r="E1068" s="185" t="s">
        <v>2911</v>
      </c>
      <c r="F1068" s="192" t="s">
        <v>789</v>
      </c>
      <c r="G1068" s="192" t="s">
        <v>790</v>
      </c>
      <c r="H1068" s="192" t="s">
        <v>790</v>
      </c>
      <c r="I1068" t="s">
        <v>2847</v>
      </c>
    </row>
    <row r="1069" spans="2:11" x14ac:dyDescent="0.25">
      <c r="B1069" s="191"/>
      <c r="C1069" s="191"/>
      <c r="D1069" s="192" t="s">
        <v>2912</v>
      </c>
      <c r="E1069" t="s">
        <v>2913</v>
      </c>
      <c r="F1069" s="192" t="s">
        <v>2855</v>
      </c>
      <c r="G1069" s="192" t="s">
        <v>790</v>
      </c>
      <c r="H1069" s="192" t="s">
        <v>790</v>
      </c>
      <c r="I1069" t="s">
        <v>2847</v>
      </c>
      <c r="J1069" t="s">
        <v>865</v>
      </c>
      <c r="K1069" t="s">
        <v>797</v>
      </c>
    </row>
    <row r="1070" spans="2:11" x14ac:dyDescent="0.25">
      <c r="B1070" s="191"/>
      <c r="C1070" s="191" t="s">
        <v>2914</v>
      </c>
      <c r="D1070" s="192"/>
      <c r="E1070" s="185" t="s">
        <v>2915</v>
      </c>
      <c r="F1070" s="192" t="s">
        <v>789</v>
      </c>
      <c r="G1070" s="192" t="s">
        <v>790</v>
      </c>
      <c r="H1070" s="192" t="s">
        <v>790</v>
      </c>
      <c r="I1070" t="s">
        <v>2847</v>
      </c>
      <c r="J1070" t="s">
        <v>865</v>
      </c>
    </row>
    <row r="1071" spans="2:11" x14ac:dyDescent="0.25">
      <c r="B1071" s="191"/>
      <c r="C1071" s="191"/>
      <c r="D1071" s="192" t="s">
        <v>2916</v>
      </c>
      <c r="E1071" t="s">
        <v>2917</v>
      </c>
      <c r="F1071" s="192" t="s">
        <v>2855</v>
      </c>
      <c r="G1071" s="192" t="s">
        <v>790</v>
      </c>
      <c r="H1071" s="192" t="s">
        <v>790</v>
      </c>
      <c r="I1071" t="s">
        <v>2847</v>
      </c>
      <c r="J1071" t="s">
        <v>865</v>
      </c>
      <c r="K1071" t="s">
        <v>797</v>
      </c>
    </row>
    <row r="1072" spans="2:11" x14ac:dyDescent="0.25">
      <c r="B1072" s="191"/>
      <c r="C1072" s="191"/>
      <c r="D1072" s="192" t="s">
        <v>2918</v>
      </c>
      <c r="E1072" t="s">
        <v>2919</v>
      </c>
      <c r="F1072" s="192" t="s">
        <v>2855</v>
      </c>
      <c r="G1072" s="192" t="s">
        <v>790</v>
      </c>
      <c r="H1072" s="192" t="s">
        <v>790</v>
      </c>
      <c r="I1072" t="s">
        <v>2847</v>
      </c>
      <c r="J1072" t="s">
        <v>865</v>
      </c>
      <c r="K1072" t="s">
        <v>797</v>
      </c>
    </row>
    <row r="1073" spans="2:11" x14ac:dyDescent="0.25">
      <c r="B1073" s="191"/>
      <c r="C1073" s="191"/>
      <c r="D1073" s="192" t="s">
        <v>2920</v>
      </c>
      <c r="E1073" t="s">
        <v>2921</v>
      </c>
      <c r="F1073" s="192" t="s">
        <v>2855</v>
      </c>
      <c r="G1073" s="192" t="s">
        <v>790</v>
      </c>
      <c r="H1073" s="192" t="s">
        <v>790</v>
      </c>
      <c r="I1073" t="s">
        <v>2847</v>
      </c>
      <c r="J1073" t="s">
        <v>865</v>
      </c>
      <c r="K1073" t="s">
        <v>797</v>
      </c>
    </row>
    <row r="1074" spans="2:11" x14ac:dyDescent="0.25">
      <c r="B1074" s="191"/>
      <c r="C1074" s="191"/>
      <c r="D1074" s="192" t="s">
        <v>2922</v>
      </c>
      <c r="E1074" t="s">
        <v>2923</v>
      </c>
      <c r="F1074" s="192" t="s">
        <v>2855</v>
      </c>
      <c r="G1074" s="192" t="s">
        <v>790</v>
      </c>
      <c r="H1074" s="192" t="s">
        <v>790</v>
      </c>
      <c r="I1074" t="s">
        <v>2847</v>
      </c>
      <c r="J1074" t="s">
        <v>865</v>
      </c>
      <c r="K1074" t="s">
        <v>797</v>
      </c>
    </row>
    <row r="1075" spans="2:11" x14ac:dyDescent="0.25">
      <c r="B1075" s="191"/>
      <c r="C1075" s="191"/>
      <c r="D1075" s="192" t="s">
        <v>2924</v>
      </c>
      <c r="E1075" t="s">
        <v>2925</v>
      </c>
      <c r="F1075" s="192" t="s">
        <v>2855</v>
      </c>
      <c r="G1075" s="192" t="s">
        <v>790</v>
      </c>
      <c r="H1075" s="192" t="s">
        <v>790</v>
      </c>
      <c r="I1075" t="s">
        <v>2847</v>
      </c>
      <c r="J1075" t="s">
        <v>865</v>
      </c>
      <c r="K1075" t="s">
        <v>797</v>
      </c>
    </row>
    <row r="1076" spans="2:11" x14ac:dyDescent="0.25">
      <c r="B1076" s="191"/>
      <c r="C1076" s="191" t="s">
        <v>2926</v>
      </c>
      <c r="D1076" s="192"/>
      <c r="E1076" s="185" t="s">
        <v>2927</v>
      </c>
      <c r="F1076" s="192" t="s">
        <v>789</v>
      </c>
      <c r="G1076" s="192" t="s">
        <v>790</v>
      </c>
      <c r="H1076" s="192" t="s">
        <v>790</v>
      </c>
      <c r="I1076" t="s">
        <v>2847</v>
      </c>
      <c r="J1076" t="s">
        <v>865</v>
      </c>
    </row>
    <row r="1077" spans="2:11" x14ac:dyDescent="0.25">
      <c r="B1077" s="191"/>
      <c r="C1077" s="191"/>
      <c r="D1077" s="192" t="s">
        <v>2928</v>
      </c>
      <c r="E1077" t="s">
        <v>2929</v>
      </c>
      <c r="F1077" s="192" t="s">
        <v>2855</v>
      </c>
      <c r="G1077" s="192" t="s">
        <v>790</v>
      </c>
      <c r="H1077" s="192" t="s">
        <v>790</v>
      </c>
      <c r="I1077" t="s">
        <v>2847</v>
      </c>
      <c r="J1077" t="s">
        <v>865</v>
      </c>
      <c r="K1077" t="s">
        <v>797</v>
      </c>
    </row>
    <row r="1078" spans="2:11" x14ac:dyDescent="0.25">
      <c r="B1078" s="191"/>
      <c r="C1078" s="191" t="s">
        <v>2930</v>
      </c>
      <c r="D1078" s="192"/>
      <c r="E1078" s="185" t="s">
        <v>2931</v>
      </c>
      <c r="F1078" s="192" t="s">
        <v>789</v>
      </c>
      <c r="G1078" s="192" t="s">
        <v>790</v>
      </c>
      <c r="H1078" s="192" t="s">
        <v>790</v>
      </c>
      <c r="I1078" t="s">
        <v>2847</v>
      </c>
    </row>
    <row r="1079" spans="2:11" x14ac:dyDescent="0.25">
      <c r="B1079" s="191"/>
      <c r="C1079" s="191" t="s">
        <v>2932</v>
      </c>
      <c r="D1079" s="192"/>
      <c r="E1079" s="185" t="s">
        <v>2933</v>
      </c>
      <c r="F1079" s="192" t="s">
        <v>789</v>
      </c>
      <c r="G1079" s="192" t="s">
        <v>790</v>
      </c>
      <c r="H1079" s="192" t="s">
        <v>790</v>
      </c>
      <c r="I1079" t="s">
        <v>2847</v>
      </c>
    </row>
    <row r="1080" spans="2:11" x14ac:dyDescent="0.25">
      <c r="B1080" s="191"/>
      <c r="C1080" s="191"/>
      <c r="D1080" s="192" t="s">
        <v>2934</v>
      </c>
      <c r="E1080" t="s">
        <v>2935</v>
      </c>
      <c r="F1080" s="192" t="s">
        <v>2855</v>
      </c>
      <c r="G1080" s="192" t="s">
        <v>790</v>
      </c>
      <c r="H1080" s="192" t="s">
        <v>790</v>
      </c>
      <c r="I1080" t="s">
        <v>2847</v>
      </c>
      <c r="J1080" t="s">
        <v>865</v>
      </c>
      <c r="K1080" t="s">
        <v>797</v>
      </c>
    </row>
    <row r="1081" spans="2:11" x14ac:dyDescent="0.25">
      <c r="B1081" s="191"/>
      <c r="C1081" s="191"/>
      <c r="D1081" s="192" t="s">
        <v>2936</v>
      </c>
      <c r="E1081" t="s">
        <v>2937</v>
      </c>
      <c r="F1081" s="192" t="s">
        <v>2855</v>
      </c>
      <c r="G1081" s="192" t="s">
        <v>790</v>
      </c>
      <c r="H1081" s="192" t="s">
        <v>790</v>
      </c>
      <c r="I1081" t="s">
        <v>2847</v>
      </c>
      <c r="J1081" t="s">
        <v>865</v>
      </c>
      <c r="K1081" t="s">
        <v>797</v>
      </c>
    </row>
    <row r="1082" spans="2:11" x14ac:dyDescent="0.25">
      <c r="B1082" s="191"/>
      <c r="C1082" s="191"/>
      <c r="D1082" s="192" t="s">
        <v>2938</v>
      </c>
      <c r="E1082" t="s">
        <v>2939</v>
      </c>
      <c r="F1082" s="192" t="s">
        <v>2855</v>
      </c>
      <c r="G1082" s="192" t="s">
        <v>790</v>
      </c>
      <c r="H1082" s="192" t="s">
        <v>790</v>
      </c>
      <c r="I1082" t="s">
        <v>2847</v>
      </c>
      <c r="J1082" t="s">
        <v>865</v>
      </c>
      <c r="K1082" t="s">
        <v>797</v>
      </c>
    </row>
    <row r="1083" spans="2:11" x14ac:dyDescent="0.25">
      <c r="B1083" s="191"/>
      <c r="C1083" s="191"/>
      <c r="D1083" s="192" t="s">
        <v>2940</v>
      </c>
      <c r="E1083" t="s">
        <v>2941</v>
      </c>
      <c r="F1083" s="192" t="s">
        <v>2855</v>
      </c>
      <c r="G1083" s="192" t="s">
        <v>790</v>
      </c>
      <c r="H1083" s="192" t="s">
        <v>790</v>
      </c>
      <c r="I1083" t="s">
        <v>2847</v>
      </c>
      <c r="J1083" t="s">
        <v>865</v>
      </c>
      <c r="K1083" t="s">
        <v>797</v>
      </c>
    </row>
    <row r="1084" spans="2:11" x14ac:dyDescent="0.25">
      <c r="B1084" s="191"/>
      <c r="C1084" s="191"/>
      <c r="D1084" s="192" t="s">
        <v>2942</v>
      </c>
      <c r="E1084" t="s">
        <v>2943</v>
      </c>
      <c r="F1084" s="192" t="s">
        <v>2855</v>
      </c>
      <c r="G1084" s="192" t="s">
        <v>790</v>
      </c>
      <c r="H1084" s="192" t="s">
        <v>790</v>
      </c>
      <c r="I1084" t="s">
        <v>2847</v>
      </c>
      <c r="J1084" t="s">
        <v>865</v>
      </c>
      <c r="K1084" t="s">
        <v>797</v>
      </c>
    </row>
    <row r="1085" spans="2:11" x14ac:dyDescent="0.25">
      <c r="B1085" s="191"/>
      <c r="C1085" s="191"/>
      <c r="D1085" s="192" t="s">
        <v>2944</v>
      </c>
      <c r="E1085" t="s">
        <v>2945</v>
      </c>
      <c r="F1085" s="192" t="s">
        <v>2855</v>
      </c>
      <c r="G1085" s="192" t="s">
        <v>790</v>
      </c>
      <c r="H1085" s="192" t="s">
        <v>790</v>
      </c>
      <c r="I1085" t="s">
        <v>2847</v>
      </c>
      <c r="J1085" t="s">
        <v>865</v>
      </c>
      <c r="K1085" t="s">
        <v>797</v>
      </c>
    </row>
    <row r="1086" spans="2:11" x14ac:dyDescent="0.25">
      <c r="B1086" s="191"/>
      <c r="C1086" s="191" t="s">
        <v>2946</v>
      </c>
      <c r="D1086" s="192"/>
      <c r="E1086" s="185" t="s">
        <v>2947</v>
      </c>
      <c r="F1086" s="192" t="s">
        <v>789</v>
      </c>
      <c r="G1086" s="192" t="s">
        <v>790</v>
      </c>
      <c r="H1086" s="192" t="s">
        <v>790</v>
      </c>
      <c r="I1086" t="s">
        <v>2847</v>
      </c>
    </row>
    <row r="1087" spans="2:11" x14ac:dyDescent="0.25">
      <c r="B1087" s="191"/>
      <c r="C1087" s="191"/>
      <c r="D1087" s="192" t="s">
        <v>2948</v>
      </c>
      <c r="E1087" t="s">
        <v>2947</v>
      </c>
      <c r="F1087" s="192" t="s">
        <v>2855</v>
      </c>
      <c r="G1087" s="192" t="s">
        <v>790</v>
      </c>
      <c r="H1087" s="192" t="s">
        <v>790</v>
      </c>
      <c r="I1087" t="s">
        <v>2847</v>
      </c>
      <c r="J1087" t="s">
        <v>865</v>
      </c>
      <c r="K1087" t="s">
        <v>797</v>
      </c>
    </row>
    <row r="1088" spans="2:11" x14ac:dyDescent="0.25">
      <c r="B1088" s="191"/>
      <c r="C1088" s="191" t="s">
        <v>2949</v>
      </c>
      <c r="D1088" s="192"/>
      <c r="E1088" s="185" t="s">
        <v>2950</v>
      </c>
      <c r="F1088" s="192" t="s">
        <v>789</v>
      </c>
      <c r="G1088" s="192" t="s">
        <v>790</v>
      </c>
      <c r="H1088" s="192" t="s">
        <v>790</v>
      </c>
      <c r="I1088" t="s">
        <v>2847</v>
      </c>
    </row>
    <row r="1089" spans="2:11" x14ac:dyDescent="0.25">
      <c r="B1089" s="191"/>
      <c r="C1089" s="191"/>
      <c r="D1089" s="192" t="s">
        <v>2951</v>
      </c>
      <c r="E1089" t="s">
        <v>2952</v>
      </c>
      <c r="F1089" s="192" t="s">
        <v>2855</v>
      </c>
      <c r="G1089" s="192" t="s">
        <v>790</v>
      </c>
      <c r="H1089" s="192" t="s">
        <v>790</v>
      </c>
      <c r="I1089" t="s">
        <v>2847</v>
      </c>
      <c r="J1089" t="s">
        <v>865</v>
      </c>
      <c r="K1089" t="s">
        <v>797</v>
      </c>
    </row>
    <row r="1090" spans="2:11" x14ac:dyDescent="0.25">
      <c r="B1090" s="191"/>
      <c r="C1090" s="191"/>
      <c r="D1090" s="192" t="s">
        <v>2953</v>
      </c>
      <c r="E1090" t="s">
        <v>2954</v>
      </c>
      <c r="F1090" s="192" t="s">
        <v>2855</v>
      </c>
      <c r="G1090" s="192" t="s">
        <v>790</v>
      </c>
      <c r="H1090" s="192" t="s">
        <v>790</v>
      </c>
      <c r="I1090" t="s">
        <v>2847</v>
      </c>
      <c r="J1090" t="s">
        <v>865</v>
      </c>
      <c r="K1090" t="s">
        <v>797</v>
      </c>
    </row>
    <row r="1091" spans="2:11" x14ac:dyDescent="0.25">
      <c r="B1091" s="191"/>
      <c r="C1091" s="191"/>
      <c r="D1091" s="192" t="s">
        <v>2955</v>
      </c>
      <c r="E1091" t="s">
        <v>2956</v>
      </c>
      <c r="F1091" s="192" t="s">
        <v>2855</v>
      </c>
      <c r="G1091" s="192" t="s">
        <v>790</v>
      </c>
      <c r="H1091" s="192" t="s">
        <v>790</v>
      </c>
      <c r="I1091" t="s">
        <v>2847</v>
      </c>
      <c r="J1091" t="s">
        <v>865</v>
      </c>
      <c r="K1091" t="s">
        <v>797</v>
      </c>
    </row>
    <row r="1092" spans="2:11" x14ac:dyDescent="0.25">
      <c r="B1092" s="191"/>
      <c r="C1092" s="191"/>
      <c r="D1092" s="192" t="s">
        <v>2957</v>
      </c>
      <c r="E1092" t="s">
        <v>2958</v>
      </c>
      <c r="F1092" s="192" t="s">
        <v>2855</v>
      </c>
      <c r="G1092" s="192" t="s">
        <v>790</v>
      </c>
      <c r="H1092" s="192" t="s">
        <v>790</v>
      </c>
      <c r="I1092" t="s">
        <v>2847</v>
      </c>
      <c r="J1092" t="s">
        <v>865</v>
      </c>
      <c r="K1092" t="s">
        <v>797</v>
      </c>
    </row>
    <row r="1093" spans="2:11" x14ac:dyDescent="0.25">
      <c r="B1093" s="191"/>
      <c r="C1093" s="191"/>
      <c r="D1093" s="192" t="s">
        <v>2959</v>
      </c>
      <c r="E1093" t="s">
        <v>2960</v>
      </c>
      <c r="F1093" s="192" t="s">
        <v>2855</v>
      </c>
      <c r="G1093" s="192" t="s">
        <v>790</v>
      </c>
      <c r="H1093" s="192" t="s">
        <v>790</v>
      </c>
      <c r="I1093" t="s">
        <v>2847</v>
      </c>
      <c r="J1093" t="s">
        <v>865</v>
      </c>
      <c r="K1093" t="s">
        <v>797</v>
      </c>
    </row>
    <row r="1094" spans="2:11" x14ac:dyDescent="0.25">
      <c r="B1094" s="191"/>
      <c r="C1094" s="191" t="s">
        <v>2961</v>
      </c>
      <c r="D1094" s="192"/>
      <c r="E1094" s="185" t="s">
        <v>2962</v>
      </c>
      <c r="F1094" s="192" t="s">
        <v>789</v>
      </c>
      <c r="G1094" s="192" t="s">
        <v>790</v>
      </c>
      <c r="H1094" s="192" t="s">
        <v>790</v>
      </c>
      <c r="I1094" t="s">
        <v>2847</v>
      </c>
    </row>
    <row r="1095" spans="2:11" x14ac:dyDescent="0.25">
      <c r="B1095" s="191"/>
      <c r="C1095" s="191"/>
      <c r="D1095" s="192" t="s">
        <v>2963</v>
      </c>
      <c r="E1095" t="s">
        <v>2962</v>
      </c>
      <c r="F1095" s="192" t="s">
        <v>2855</v>
      </c>
      <c r="G1095" s="192" t="s">
        <v>790</v>
      </c>
      <c r="H1095" s="192" t="s">
        <v>790</v>
      </c>
      <c r="I1095" t="s">
        <v>2847</v>
      </c>
      <c r="J1095" t="s">
        <v>865</v>
      </c>
      <c r="K1095" t="s">
        <v>797</v>
      </c>
    </row>
    <row r="1096" spans="2:11" x14ac:dyDescent="0.25">
      <c r="B1096" s="191" t="s">
        <v>2964</v>
      </c>
      <c r="C1096" s="191"/>
      <c r="D1096" s="192"/>
      <c r="E1096" s="185" t="s">
        <v>2965</v>
      </c>
      <c r="F1096" s="192" t="s">
        <v>789</v>
      </c>
      <c r="G1096" s="192" t="s">
        <v>790</v>
      </c>
      <c r="H1096" s="192" t="s">
        <v>790</v>
      </c>
      <c r="I1096" t="s">
        <v>2847</v>
      </c>
      <c r="J1096" t="s">
        <v>865</v>
      </c>
    </row>
    <row r="1097" spans="2:11" x14ac:dyDescent="0.25">
      <c r="B1097" s="191"/>
      <c r="C1097" s="191" t="s">
        <v>2966</v>
      </c>
      <c r="D1097" s="192"/>
      <c r="E1097" s="185" t="s">
        <v>2967</v>
      </c>
      <c r="F1097" s="192" t="s">
        <v>789</v>
      </c>
      <c r="G1097" s="192" t="s">
        <v>790</v>
      </c>
      <c r="H1097" s="192" t="s">
        <v>790</v>
      </c>
      <c r="I1097" t="s">
        <v>2847</v>
      </c>
    </row>
    <row r="1098" spans="2:11" x14ac:dyDescent="0.25">
      <c r="B1098" s="191"/>
      <c r="C1098" s="191"/>
      <c r="D1098" s="192" t="s">
        <v>2968</v>
      </c>
      <c r="E1098" t="s">
        <v>2969</v>
      </c>
      <c r="F1098" s="192" t="s">
        <v>2970</v>
      </c>
      <c r="G1098" s="192" t="s">
        <v>790</v>
      </c>
      <c r="H1098" s="192" t="s">
        <v>790</v>
      </c>
      <c r="I1098" t="s">
        <v>2847</v>
      </c>
      <c r="J1098" t="s">
        <v>796</v>
      </c>
      <c r="K1098" t="s">
        <v>797</v>
      </c>
    </row>
    <row r="1099" spans="2:11" x14ac:dyDescent="0.25">
      <c r="B1099" s="191"/>
      <c r="C1099" s="191"/>
      <c r="D1099" s="192" t="s">
        <v>2971</v>
      </c>
      <c r="E1099" t="s">
        <v>2972</v>
      </c>
      <c r="F1099" s="192" t="s">
        <v>2970</v>
      </c>
      <c r="G1099" s="192" t="s">
        <v>790</v>
      </c>
      <c r="H1099" s="192" t="s">
        <v>790</v>
      </c>
      <c r="I1099" t="s">
        <v>2847</v>
      </c>
      <c r="J1099" t="s">
        <v>796</v>
      </c>
      <c r="K1099" t="s">
        <v>797</v>
      </c>
    </row>
    <row r="1100" spans="2:11" x14ac:dyDescent="0.25">
      <c r="B1100" s="191"/>
      <c r="C1100" s="191"/>
      <c r="D1100" s="192" t="s">
        <v>2973</v>
      </c>
      <c r="E1100" t="s">
        <v>2974</v>
      </c>
      <c r="F1100" s="192" t="s">
        <v>2970</v>
      </c>
      <c r="G1100" s="192" t="s">
        <v>790</v>
      </c>
      <c r="H1100" s="192" t="s">
        <v>790</v>
      </c>
      <c r="I1100" t="s">
        <v>2847</v>
      </c>
      <c r="J1100" t="s">
        <v>796</v>
      </c>
      <c r="K1100" t="s">
        <v>797</v>
      </c>
    </row>
    <row r="1101" spans="2:11" x14ac:dyDescent="0.25">
      <c r="B1101" s="191"/>
      <c r="C1101" s="191"/>
      <c r="D1101" s="192" t="s">
        <v>2975</v>
      </c>
      <c r="E1101" t="s">
        <v>2976</v>
      </c>
      <c r="F1101" s="192" t="s">
        <v>2970</v>
      </c>
      <c r="G1101" s="192" t="s">
        <v>790</v>
      </c>
      <c r="H1101" s="192" t="s">
        <v>790</v>
      </c>
      <c r="I1101" t="s">
        <v>2847</v>
      </c>
      <c r="J1101" t="s">
        <v>796</v>
      </c>
      <c r="K1101" t="s">
        <v>797</v>
      </c>
    </row>
    <row r="1102" spans="2:11" x14ac:dyDescent="0.25">
      <c r="B1102" s="191"/>
      <c r="C1102" s="191"/>
      <c r="D1102" s="192" t="s">
        <v>2977</v>
      </c>
      <c r="E1102" t="s">
        <v>2978</v>
      </c>
      <c r="F1102" s="192" t="s">
        <v>2970</v>
      </c>
      <c r="G1102" s="192" t="s">
        <v>790</v>
      </c>
      <c r="H1102" s="192" t="s">
        <v>790</v>
      </c>
      <c r="I1102" t="s">
        <v>2847</v>
      </c>
      <c r="J1102" t="s">
        <v>796</v>
      </c>
      <c r="K1102" t="s">
        <v>797</v>
      </c>
    </row>
    <row r="1103" spans="2:11" x14ac:dyDescent="0.25">
      <c r="B1103" s="191"/>
      <c r="C1103" s="191" t="s">
        <v>2979</v>
      </c>
      <c r="D1103" s="192"/>
      <c r="E1103" s="185" t="s">
        <v>2980</v>
      </c>
      <c r="F1103" s="192" t="s">
        <v>789</v>
      </c>
      <c r="G1103" s="192" t="s">
        <v>790</v>
      </c>
      <c r="H1103" s="192" t="s">
        <v>790</v>
      </c>
      <c r="I1103" t="s">
        <v>2847</v>
      </c>
    </row>
    <row r="1104" spans="2:11" x14ac:dyDescent="0.25">
      <c r="B1104" s="191"/>
      <c r="C1104" s="191"/>
      <c r="D1104" s="192" t="s">
        <v>2981</v>
      </c>
      <c r="E1104" t="s">
        <v>2980</v>
      </c>
      <c r="F1104" s="192" t="s">
        <v>2970</v>
      </c>
      <c r="G1104" s="192" t="s">
        <v>790</v>
      </c>
      <c r="H1104" s="192" t="s">
        <v>790</v>
      </c>
      <c r="I1104" t="s">
        <v>2847</v>
      </c>
      <c r="J1104" t="s">
        <v>796</v>
      </c>
      <c r="K1104" t="s">
        <v>797</v>
      </c>
    </row>
    <row r="1105" spans="2:11" x14ac:dyDescent="0.25">
      <c r="B1105" s="191"/>
      <c r="C1105" s="191" t="s">
        <v>2982</v>
      </c>
      <c r="D1105" s="192"/>
      <c r="E1105" s="185" t="s">
        <v>2983</v>
      </c>
      <c r="F1105" s="192" t="s">
        <v>789</v>
      </c>
      <c r="G1105" s="192" t="s">
        <v>790</v>
      </c>
      <c r="H1105" s="192" t="s">
        <v>790</v>
      </c>
      <c r="I1105" t="s">
        <v>2847</v>
      </c>
    </row>
    <row r="1106" spans="2:11" x14ac:dyDescent="0.25">
      <c r="B1106" s="191"/>
      <c r="C1106" s="191"/>
      <c r="D1106" s="192" t="s">
        <v>2984</v>
      </c>
      <c r="E1106" t="s">
        <v>2985</v>
      </c>
      <c r="F1106" s="192" t="s">
        <v>2970</v>
      </c>
      <c r="G1106" s="192" t="s">
        <v>790</v>
      </c>
      <c r="H1106" s="192" t="s">
        <v>790</v>
      </c>
      <c r="I1106" t="s">
        <v>2847</v>
      </c>
      <c r="J1106" t="s">
        <v>796</v>
      </c>
      <c r="K1106" t="s">
        <v>797</v>
      </c>
    </row>
    <row r="1107" spans="2:11" x14ac:dyDescent="0.25">
      <c r="B1107" s="191"/>
      <c r="C1107" s="191"/>
      <c r="D1107" s="192" t="s">
        <v>2986</v>
      </c>
      <c r="E1107" t="s">
        <v>2987</v>
      </c>
      <c r="F1107" s="192" t="s">
        <v>2970</v>
      </c>
      <c r="G1107" s="192" t="s">
        <v>790</v>
      </c>
      <c r="H1107" s="192" t="s">
        <v>790</v>
      </c>
      <c r="I1107" t="s">
        <v>2847</v>
      </c>
      <c r="J1107" t="s">
        <v>796</v>
      </c>
      <c r="K1107" t="s">
        <v>797</v>
      </c>
    </row>
    <row r="1108" spans="2:11" x14ac:dyDescent="0.25">
      <c r="B1108" s="191"/>
      <c r="C1108" s="191"/>
      <c r="D1108" s="192" t="s">
        <v>2988</v>
      </c>
      <c r="E1108" t="s">
        <v>2989</v>
      </c>
      <c r="F1108" s="192" t="s">
        <v>2970</v>
      </c>
      <c r="G1108" s="192" t="s">
        <v>790</v>
      </c>
      <c r="H1108" s="192" t="s">
        <v>790</v>
      </c>
      <c r="I1108" t="s">
        <v>2847</v>
      </c>
      <c r="J1108" t="s">
        <v>796</v>
      </c>
      <c r="K1108" t="s">
        <v>797</v>
      </c>
    </row>
    <row r="1109" spans="2:11" x14ac:dyDescent="0.25">
      <c r="B1109" s="191"/>
      <c r="C1109" s="191" t="s">
        <v>2990</v>
      </c>
      <c r="D1109" s="192"/>
      <c r="E1109" s="185" t="s">
        <v>2991</v>
      </c>
      <c r="F1109" s="192" t="s">
        <v>789</v>
      </c>
      <c r="G1109" s="192" t="s">
        <v>790</v>
      </c>
      <c r="H1109" s="192" t="s">
        <v>790</v>
      </c>
      <c r="I1109" t="s">
        <v>820</v>
      </c>
    </row>
    <row r="1110" spans="2:11" x14ac:dyDescent="0.25">
      <c r="B1110" s="191"/>
      <c r="C1110" s="191"/>
      <c r="D1110" s="192" t="s">
        <v>2992</v>
      </c>
      <c r="E1110" t="s">
        <v>2991</v>
      </c>
      <c r="F1110" s="192" t="s">
        <v>2855</v>
      </c>
      <c r="G1110" s="192" t="s">
        <v>790</v>
      </c>
      <c r="H1110" s="192" t="s">
        <v>790</v>
      </c>
      <c r="I1110" t="s">
        <v>2847</v>
      </c>
      <c r="J1110" t="s">
        <v>796</v>
      </c>
      <c r="K1110" t="s">
        <v>797</v>
      </c>
    </row>
    <row r="1111" spans="2:11" x14ac:dyDescent="0.25">
      <c r="B1111" s="191"/>
      <c r="C1111" s="191" t="s">
        <v>2993</v>
      </c>
      <c r="D1111" s="192"/>
      <c r="E1111" s="185" t="s">
        <v>2994</v>
      </c>
      <c r="F1111" s="192" t="s">
        <v>789</v>
      </c>
      <c r="G1111" s="192" t="s">
        <v>790</v>
      </c>
      <c r="H1111" s="192" t="s">
        <v>790</v>
      </c>
      <c r="I1111" t="s">
        <v>2847</v>
      </c>
    </row>
    <row r="1112" spans="2:11" x14ac:dyDescent="0.25">
      <c r="B1112" s="191"/>
      <c r="C1112" s="191"/>
      <c r="D1112" s="192" t="s">
        <v>2995</v>
      </c>
      <c r="E1112" t="s">
        <v>2994</v>
      </c>
      <c r="F1112" s="192" t="s">
        <v>2970</v>
      </c>
      <c r="G1112" s="192" t="s">
        <v>790</v>
      </c>
      <c r="H1112" s="192" t="s">
        <v>790</v>
      </c>
      <c r="I1112" t="s">
        <v>2847</v>
      </c>
      <c r="J1112" t="s">
        <v>796</v>
      </c>
      <c r="K1112" t="s">
        <v>797</v>
      </c>
    </row>
    <row r="1113" spans="2:11" x14ac:dyDescent="0.25">
      <c r="B1113" s="191" t="s">
        <v>2996</v>
      </c>
      <c r="C1113" s="191"/>
      <c r="D1113" s="192"/>
      <c r="E1113" s="185" t="s">
        <v>2997</v>
      </c>
      <c r="F1113" s="192" t="s">
        <v>789</v>
      </c>
      <c r="G1113" s="192" t="s">
        <v>790</v>
      </c>
      <c r="H1113" s="192" t="s">
        <v>790</v>
      </c>
      <c r="I1113" t="s">
        <v>2847</v>
      </c>
      <c r="J1113" t="s">
        <v>865</v>
      </c>
    </row>
    <row r="1114" spans="2:11" x14ac:dyDescent="0.25">
      <c r="B1114" s="191"/>
      <c r="C1114" s="191" t="s">
        <v>2998</v>
      </c>
      <c r="D1114" s="192"/>
      <c r="E1114" s="185" t="s">
        <v>2999</v>
      </c>
      <c r="F1114" s="192" t="s">
        <v>789</v>
      </c>
      <c r="G1114" s="192" t="s">
        <v>790</v>
      </c>
      <c r="H1114" s="192" t="s">
        <v>790</v>
      </c>
      <c r="I1114" t="s">
        <v>2847</v>
      </c>
    </row>
    <row r="1115" spans="2:11" x14ac:dyDescent="0.25">
      <c r="B1115" s="191"/>
      <c r="C1115" s="191"/>
      <c r="D1115" s="192" t="s">
        <v>3000</v>
      </c>
      <c r="E1115" t="s">
        <v>3001</v>
      </c>
      <c r="F1115" s="192" t="s">
        <v>3002</v>
      </c>
      <c r="G1115" s="192" t="s">
        <v>790</v>
      </c>
      <c r="H1115" s="192" t="s">
        <v>790</v>
      </c>
      <c r="I1115" t="s">
        <v>2847</v>
      </c>
      <c r="J1115" t="s">
        <v>796</v>
      </c>
      <c r="K1115" t="s">
        <v>797</v>
      </c>
    </row>
    <row r="1116" spans="2:11" x14ac:dyDescent="0.25">
      <c r="B1116" s="191"/>
      <c r="C1116" s="191"/>
      <c r="D1116" s="192" t="s">
        <v>3003</v>
      </c>
      <c r="E1116" t="s">
        <v>3004</v>
      </c>
      <c r="F1116" s="192" t="s">
        <v>3002</v>
      </c>
      <c r="G1116" s="192" t="s">
        <v>790</v>
      </c>
      <c r="H1116" s="192" t="s">
        <v>790</v>
      </c>
      <c r="I1116" t="s">
        <v>2847</v>
      </c>
      <c r="J1116" t="s">
        <v>796</v>
      </c>
      <c r="K1116" t="s">
        <v>797</v>
      </c>
    </row>
    <row r="1117" spans="2:11" x14ac:dyDescent="0.25">
      <c r="B1117" s="191"/>
      <c r="C1117" s="191" t="s">
        <v>3005</v>
      </c>
      <c r="D1117" s="192"/>
      <c r="E1117" s="185" t="s">
        <v>3006</v>
      </c>
      <c r="F1117" s="192" t="s">
        <v>789</v>
      </c>
      <c r="G1117" s="192" t="s">
        <v>790</v>
      </c>
      <c r="H1117" s="192" t="s">
        <v>790</v>
      </c>
      <c r="I1117" t="s">
        <v>2847</v>
      </c>
    </row>
    <row r="1118" spans="2:11" x14ac:dyDescent="0.25">
      <c r="B1118" s="191"/>
      <c r="C1118" s="191"/>
      <c r="D1118" s="192" t="s">
        <v>3007</v>
      </c>
      <c r="E1118" t="s">
        <v>3006</v>
      </c>
      <c r="F1118" s="192" t="s">
        <v>3002</v>
      </c>
      <c r="G1118" s="192" t="s">
        <v>790</v>
      </c>
      <c r="H1118" s="192" t="s">
        <v>790</v>
      </c>
      <c r="I1118" t="s">
        <v>2847</v>
      </c>
      <c r="J1118" t="s">
        <v>796</v>
      </c>
      <c r="K1118" t="s">
        <v>797</v>
      </c>
    </row>
    <row r="1119" spans="2:11" x14ac:dyDescent="0.25">
      <c r="B1119" s="191"/>
      <c r="C1119" s="191" t="s">
        <v>3008</v>
      </c>
      <c r="D1119" s="192"/>
      <c r="E1119" s="185" t="s">
        <v>3009</v>
      </c>
      <c r="F1119" s="192" t="s">
        <v>789</v>
      </c>
      <c r="G1119" s="192" t="s">
        <v>790</v>
      </c>
      <c r="H1119" s="192" t="s">
        <v>790</v>
      </c>
      <c r="I1119" t="s">
        <v>2847</v>
      </c>
    </row>
    <row r="1120" spans="2:11" x14ac:dyDescent="0.25">
      <c r="B1120" s="191"/>
      <c r="C1120" s="191"/>
      <c r="D1120" s="192" t="s">
        <v>3010</v>
      </c>
      <c r="E1120" t="s">
        <v>3009</v>
      </c>
      <c r="F1120" s="192" t="s">
        <v>3002</v>
      </c>
      <c r="G1120" s="192" t="s">
        <v>790</v>
      </c>
      <c r="H1120" s="192" t="s">
        <v>790</v>
      </c>
      <c r="I1120" t="s">
        <v>2847</v>
      </c>
      <c r="J1120" t="s">
        <v>796</v>
      </c>
      <c r="K1120" t="s">
        <v>797</v>
      </c>
    </row>
    <row r="1121" spans="2:11" x14ac:dyDescent="0.25">
      <c r="B1121" s="191"/>
      <c r="C1121" s="191" t="s">
        <v>3011</v>
      </c>
      <c r="D1121" s="192"/>
      <c r="E1121" s="185" t="s">
        <v>3012</v>
      </c>
      <c r="F1121" s="192" t="s">
        <v>789</v>
      </c>
      <c r="G1121" s="192" t="s">
        <v>790</v>
      </c>
      <c r="H1121" s="192" t="s">
        <v>790</v>
      </c>
      <c r="I1121" t="s">
        <v>2847</v>
      </c>
    </row>
    <row r="1122" spans="2:11" x14ac:dyDescent="0.25">
      <c r="B1122" s="191"/>
      <c r="C1122" s="191"/>
      <c r="D1122" s="192" t="s">
        <v>3013</v>
      </c>
      <c r="E1122" t="s">
        <v>3012</v>
      </c>
      <c r="F1122" s="192" t="s">
        <v>3002</v>
      </c>
      <c r="G1122" s="192" t="s">
        <v>790</v>
      </c>
      <c r="H1122" s="192" t="s">
        <v>790</v>
      </c>
      <c r="I1122" t="s">
        <v>2847</v>
      </c>
      <c r="J1122" t="s">
        <v>796</v>
      </c>
      <c r="K1122" t="s">
        <v>797</v>
      </c>
    </row>
    <row r="1123" spans="2:11" x14ac:dyDescent="0.25">
      <c r="B1123" s="191" t="s">
        <v>3014</v>
      </c>
      <c r="C1123" s="191"/>
      <c r="D1123" s="192"/>
      <c r="E1123" s="185" t="s">
        <v>3015</v>
      </c>
      <c r="F1123" s="192" t="s">
        <v>789</v>
      </c>
      <c r="G1123" s="192" t="s">
        <v>790</v>
      </c>
      <c r="H1123" s="192" t="s">
        <v>790</v>
      </c>
      <c r="I1123" t="s">
        <v>2847</v>
      </c>
    </row>
    <row r="1124" spans="2:11" x14ac:dyDescent="0.25">
      <c r="B1124" s="191"/>
      <c r="C1124" s="191" t="s">
        <v>3016</v>
      </c>
      <c r="D1124" s="192"/>
      <c r="E1124" s="185" t="s">
        <v>3017</v>
      </c>
      <c r="F1124" s="192" t="s">
        <v>789</v>
      </c>
      <c r="G1124" s="192" t="s">
        <v>790</v>
      </c>
      <c r="H1124" s="192" t="s">
        <v>790</v>
      </c>
      <c r="I1124" t="s">
        <v>2847</v>
      </c>
    </row>
    <row r="1125" spans="2:11" x14ac:dyDescent="0.25">
      <c r="B1125" s="191"/>
      <c r="C1125" s="191"/>
      <c r="D1125" s="192" t="s">
        <v>3018</v>
      </c>
      <c r="E1125" t="s">
        <v>3019</v>
      </c>
      <c r="F1125" s="192" t="s">
        <v>3020</v>
      </c>
      <c r="G1125" s="192" t="s">
        <v>790</v>
      </c>
      <c r="H1125" s="192" t="s">
        <v>790</v>
      </c>
      <c r="I1125" t="s">
        <v>2847</v>
      </c>
      <c r="J1125" t="s">
        <v>796</v>
      </c>
      <c r="K1125" t="s">
        <v>797</v>
      </c>
    </row>
    <row r="1126" spans="2:11" x14ac:dyDescent="0.25">
      <c r="B1126" s="191"/>
      <c r="C1126" s="191"/>
      <c r="D1126" s="192" t="s">
        <v>3021</v>
      </c>
      <c r="E1126" t="s">
        <v>3022</v>
      </c>
      <c r="F1126" s="192" t="s">
        <v>3020</v>
      </c>
      <c r="G1126" s="192" t="s">
        <v>790</v>
      </c>
      <c r="H1126" s="192" t="s">
        <v>790</v>
      </c>
      <c r="I1126" t="s">
        <v>2847</v>
      </c>
      <c r="J1126" t="s">
        <v>796</v>
      </c>
      <c r="K1126" t="s">
        <v>797</v>
      </c>
    </row>
    <row r="1127" spans="2:11" x14ac:dyDescent="0.25">
      <c r="B1127" s="191"/>
      <c r="C1127" s="191" t="s">
        <v>3023</v>
      </c>
      <c r="D1127" s="192"/>
      <c r="E1127" s="185" t="s">
        <v>3024</v>
      </c>
      <c r="F1127" s="192" t="s">
        <v>789</v>
      </c>
      <c r="G1127" s="192" t="s">
        <v>790</v>
      </c>
      <c r="H1127" s="192" t="s">
        <v>790</v>
      </c>
      <c r="I1127" t="s">
        <v>2847</v>
      </c>
    </row>
    <row r="1128" spans="2:11" x14ac:dyDescent="0.25">
      <c r="B1128" s="191"/>
      <c r="C1128" s="191"/>
      <c r="D1128" s="192" t="s">
        <v>3025</v>
      </c>
      <c r="E1128" t="s">
        <v>3026</v>
      </c>
      <c r="F1128" s="192" t="s">
        <v>3020</v>
      </c>
      <c r="G1128" s="192" t="s">
        <v>790</v>
      </c>
      <c r="H1128" s="192" t="s">
        <v>790</v>
      </c>
      <c r="I1128" t="s">
        <v>2847</v>
      </c>
      <c r="J1128" t="s">
        <v>796</v>
      </c>
      <c r="K1128" t="s">
        <v>797</v>
      </c>
    </row>
    <row r="1129" spans="2:11" x14ac:dyDescent="0.25">
      <c r="B1129" s="191"/>
      <c r="C1129" s="191" t="s">
        <v>3027</v>
      </c>
      <c r="D1129" s="192"/>
      <c r="E1129" s="185" t="s">
        <v>3028</v>
      </c>
      <c r="F1129" s="192" t="s">
        <v>789</v>
      </c>
      <c r="G1129" s="192" t="s">
        <v>790</v>
      </c>
      <c r="H1129" s="192" t="s">
        <v>790</v>
      </c>
      <c r="I1129" t="s">
        <v>2847</v>
      </c>
    </row>
    <row r="1130" spans="2:11" x14ac:dyDescent="0.25">
      <c r="B1130" s="191"/>
      <c r="C1130" s="191"/>
      <c r="D1130" s="192" t="s">
        <v>3029</v>
      </c>
      <c r="E1130" t="s">
        <v>3030</v>
      </c>
      <c r="F1130" s="192" t="s">
        <v>3020</v>
      </c>
      <c r="G1130" s="192" t="s">
        <v>790</v>
      </c>
      <c r="H1130" s="192" t="s">
        <v>790</v>
      </c>
      <c r="I1130" t="s">
        <v>2847</v>
      </c>
      <c r="J1130" t="s">
        <v>796</v>
      </c>
      <c r="K1130" t="s">
        <v>797</v>
      </c>
    </row>
    <row r="1131" spans="2:11" x14ac:dyDescent="0.25">
      <c r="B1131" s="191"/>
      <c r="C1131" s="191" t="s">
        <v>3031</v>
      </c>
      <c r="D1131" s="192"/>
      <c r="E1131" s="185" t="s">
        <v>3032</v>
      </c>
      <c r="F1131" s="192" t="s">
        <v>789</v>
      </c>
      <c r="G1131" s="192" t="s">
        <v>790</v>
      </c>
      <c r="H1131" s="192" t="s">
        <v>790</v>
      </c>
      <c r="I1131" t="s">
        <v>2847</v>
      </c>
    </row>
    <row r="1132" spans="2:11" x14ac:dyDescent="0.25">
      <c r="B1132" s="191"/>
      <c r="C1132" s="191"/>
      <c r="D1132" s="192" t="s">
        <v>3033</v>
      </c>
      <c r="E1132" t="s">
        <v>3034</v>
      </c>
      <c r="F1132" s="192" t="s">
        <v>3020</v>
      </c>
      <c r="G1132" s="192" t="s">
        <v>790</v>
      </c>
      <c r="H1132" s="192" t="s">
        <v>790</v>
      </c>
      <c r="I1132" t="s">
        <v>2847</v>
      </c>
      <c r="J1132" t="s">
        <v>796</v>
      </c>
      <c r="K1132" t="s">
        <v>797</v>
      </c>
    </row>
    <row r="1133" spans="2:11" x14ac:dyDescent="0.25">
      <c r="B1133" s="191" t="s">
        <v>3035</v>
      </c>
      <c r="C1133" s="191"/>
      <c r="D1133" s="192"/>
      <c r="E1133" s="185" t="s">
        <v>3036</v>
      </c>
      <c r="F1133" s="192" t="s">
        <v>789</v>
      </c>
      <c r="G1133" s="192" t="s">
        <v>790</v>
      </c>
      <c r="H1133" s="192" t="s">
        <v>790</v>
      </c>
      <c r="I1133" t="s">
        <v>2847</v>
      </c>
    </row>
    <row r="1134" spans="2:11" x14ac:dyDescent="0.25">
      <c r="B1134" s="191"/>
      <c r="C1134" s="191" t="s">
        <v>3037</v>
      </c>
      <c r="D1134" s="192"/>
      <c r="E1134" s="185" t="s">
        <v>3038</v>
      </c>
      <c r="F1134" s="192" t="s">
        <v>789</v>
      </c>
      <c r="G1134" s="192" t="s">
        <v>790</v>
      </c>
      <c r="H1134" s="192" t="s">
        <v>790</v>
      </c>
      <c r="I1134" t="s">
        <v>2847</v>
      </c>
    </row>
    <row r="1135" spans="2:11" x14ac:dyDescent="0.25">
      <c r="B1135" s="191"/>
      <c r="C1135" s="191"/>
      <c r="D1135" s="192" t="s">
        <v>3039</v>
      </c>
      <c r="E1135" t="s">
        <v>3040</v>
      </c>
      <c r="F1135" s="192" t="s">
        <v>3041</v>
      </c>
      <c r="G1135" s="192" t="s">
        <v>790</v>
      </c>
      <c r="H1135" s="192" t="s">
        <v>790</v>
      </c>
      <c r="I1135" t="s">
        <v>2847</v>
      </c>
      <c r="J1135" t="s">
        <v>796</v>
      </c>
      <c r="K1135" t="s">
        <v>797</v>
      </c>
    </row>
    <row r="1136" spans="2:11" x14ac:dyDescent="0.25">
      <c r="B1136" s="191"/>
      <c r="C1136" s="191"/>
      <c r="D1136" s="192" t="s">
        <v>3042</v>
      </c>
      <c r="E1136" t="s">
        <v>3043</v>
      </c>
      <c r="F1136" s="192" t="s">
        <v>3041</v>
      </c>
      <c r="G1136" s="192" t="s">
        <v>790</v>
      </c>
      <c r="H1136" s="192" t="s">
        <v>790</v>
      </c>
      <c r="I1136" t="s">
        <v>2847</v>
      </c>
      <c r="J1136" t="s">
        <v>796</v>
      </c>
      <c r="K1136" t="s">
        <v>797</v>
      </c>
    </row>
    <row r="1137" spans="2:11" x14ac:dyDescent="0.25">
      <c r="B1137" s="191"/>
      <c r="C1137" s="191"/>
      <c r="D1137" s="192" t="s">
        <v>3044</v>
      </c>
      <c r="E1137" t="s">
        <v>3045</v>
      </c>
      <c r="F1137" s="192" t="s">
        <v>3041</v>
      </c>
      <c r="G1137" s="192" t="s">
        <v>790</v>
      </c>
      <c r="H1137" s="192" t="s">
        <v>790</v>
      </c>
      <c r="I1137" t="s">
        <v>2847</v>
      </c>
      <c r="J1137" t="s">
        <v>796</v>
      </c>
      <c r="K1137" t="s">
        <v>797</v>
      </c>
    </row>
    <row r="1138" spans="2:11" x14ac:dyDescent="0.25">
      <c r="B1138" s="191"/>
      <c r="C1138" s="191" t="s">
        <v>3046</v>
      </c>
      <c r="D1138" s="192"/>
      <c r="E1138" s="185" t="s">
        <v>3047</v>
      </c>
      <c r="F1138" s="192" t="s">
        <v>789</v>
      </c>
      <c r="G1138" s="192" t="s">
        <v>790</v>
      </c>
      <c r="H1138" s="192" t="s">
        <v>790</v>
      </c>
      <c r="I1138" t="s">
        <v>2847</v>
      </c>
    </row>
    <row r="1139" spans="2:11" x14ac:dyDescent="0.25">
      <c r="B1139" s="191"/>
      <c r="C1139" s="191"/>
      <c r="D1139" s="192" t="s">
        <v>3048</v>
      </c>
      <c r="E1139" t="s">
        <v>3049</v>
      </c>
      <c r="F1139" s="192" t="s">
        <v>3041</v>
      </c>
      <c r="G1139" s="192" t="s">
        <v>790</v>
      </c>
      <c r="H1139" s="192" t="s">
        <v>790</v>
      </c>
      <c r="I1139" t="s">
        <v>2847</v>
      </c>
      <c r="J1139" t="s">
        <v>796</v>
      </c>
      <c r="K1139" t="s">
        <v>797</v>
      </c>
    </row>
    <row r="1140" spans="2:11" x14ac:dyDescent="0.25">
      <c r="B1140" s="191"/>
      <c r="C1140" s="191"/>
      <c r="D1140" s="192" t="s">
        <v>3050</v>
      </c>
      <c r="E1140" t="s">
        <v>3051</v>
      </c>
      <c r="F1140" s="192" t="s">
        <v>3041</v>
      </c>
      <c r="G1140" s="192" t="s">
        <v>790</v>
      </c>
      <c r="H1140" s="192" t="s">
        <v>790</v>
      </c>
      <c r="I1140" t="s">
        <v>2847</v>
      </c>
      <c r="J1140" t="s">
        <v>796</v>
      </c>
      <c r="K1140" t="s">
        <v>797</v>
      </c>
    </row>
    <row r="1141" spans="2:11" x14ac:dyDescent="0.25">
      <c r="B1141" s="191" t="s">
        <v>3052</v>
      </c>
      <c r="C1141" s="191"/>
      <c r="D1141" s="192"/>
      <c r="E1141" s="185" t="s">
        <v>3053</v>
      </c>
      <c r="F1141" s="192" t="s">
        <v>789</v>
      </c>
      <c r="G1141" s="192" t="s">
        <v>790</v>
      </c>
      <c r="H1141" s="192" t="s">
        <v>790</v>
      </c>
      <c r="I1141" t="s">
        <v>2847</v>
      </c>
      <c r="J1141" t="s">
        <v>865</v>
      </c>
    </row>
    <row r="1142" spans="2:11" x14ac:dyDescent="0.25">
      <c r="B1142" s="191"/>
      <c r="C1142" s="191" t="s">
        <v>3054</v>
      </c>
      <c r="D1142" s="192"/>
      <c r="E1142" s="185" t="s">
        <v>3055</v>
      </c>
      <c r="F1142" s="192" t="s">
        <v>789</v>
      </c>
      <c r="G1142" s="192" t="s">
        <v>790</v>
      </c>
      <c r="H1142" s="192" t="s">
        <v>790</v>
      </c>
      <c r="I1142" t="s">
        <v>2847</v>
      </c>
    </row>
    <row r="1143" spans="2:11" x14ac:dyDescent="0.25">
      <c r="B1143" s="191"/>
      <c r="C1143" s="191"/>
      <c r="D1143" s="192" t="s">
        <v>3056</v>
      </c>
      <c r="E1143" t="s">
        <v>3057</v>
      </c>
      <c r="F1143" s="192" t="s">
        <v>3058</v>
      </c>
      <c r="G1143" s="192" t="s">
        <v>790</v>
      </c>
      <c r="H1143" s="192" t="s">
        <v>790</v>
      </c>
      <c r="I1143" t="s">
        <v>2847</v>
      </c>
      <c r="J1143" t="s">
        <v>796</v>
      </c>
      <c r="K1143" t="s">
        <v>797</v>
      </c>
    </row>
    <row r="1144" spans="2:11" x14ac:dyDescent="0.25">
      <c r="B1144" s="191"/>
      <c r="C1144" s="191"/>
      <c r="D1144" s="192" t="s">
        <v>3059</v>
      </c>
      <c r="E1144" t="s">
        <v>3060</v>
      </c>
      <c r="F1144" s="192" t="s">
        <v>3058</v>
      </c>
      <c r="G1144" s="192" t="s">
        <v>790</v>
      </c>
      <c r="H1144" s="192" t="s">
        <v>790</v>
      </c>
      <c r="I1144" t="s">
        <v>2847</v>
      </c>
      <c r="J1144" t="s">
        <v>796</v>
      </c>
      <c r="K1144" t="s">
        <v>797</v>
      </c>
    </row>
    <row r="1145" spans="2:11" x14ac:dyDescent="0.25">
      <c r="B1145" s="191"/>
      <c r="C1145" s="191" t="s">
        <v>3061</v>
      </c>
      <c r="D1145" s="192"/>
      <c r="E1145" s="185" t="s">
        <v>3062</v>
      </c>
      <c r="F1145" s="192" t="s">
        <v>789</v>
      </c>
      <c r="G1145" s="192" t="s">
        <v>790</v>
      </c>
      <c r="H1145" s="192" t="s">
        <v>790</v>
      </c>
      <c r="I1145" t="s">
        <v>2847</v>
      </c>
    </row>
    <row r="1146" spans="2:11" x14ac:dyDescent="0.25">
      <c r="B1146" s="191"/>
      <c r="C1146" s="191"/>
      <c r="D1146" s="192" t="s">
        <v>3063</v>
      </c>
      <c r="E1146" t="s">
        <v>3064</v>
      </c>
      <c r="F1146" s="192" t="s">
        <v>3058</v>
      </c>
      <c r="G1146" s="192" t="s">
        <v>790</v>
      </c>
      <c r="H1146" s="192" t="s">
        <v>790</v>
      </c>
      <c r="I1146" t="s">
        <v>2847</v>
      </c>
      <c r="J1146" t="s">
        <v>796</v>
      </c>
      <c r="K1146" t="s">
        <v>797</v>
      </c>
    </row>
    <row r="1147" spans="2:11" x14ac:dyDescent="0.25">
      <c r="B1147" s="191"/>
      <c r="C1147" s="191" t="s">
        <v>3065</v>
      </c>
      <c r="D1147" s="192"/>
      <c r="E1147" s="185" t="s">
        <v>3066</v>
      </c>
      <c r="F1147" s="192" t="s">
        <v>789</v>
      </c>
      <c r="G1147" s="192" t="s">
        <v>790</v>
      </c>
      <c r="H1147" s="192" t="s">
        <v>790</v>
      </c>
      <c r="I1147" t="s">
        <v>2847</v>
      </c>
    </row>
    <row r="1148" spans="2:11" x14ac:dyDescent="0.25">
      <c r="B1148" s="191"/>
      <c r="C1148" s="191"/>
      <c r="D1148" s="192" t="s">
        <v>3067</v>
      </c>
      <c r="E1148" t="s">
        <v>3068</v>
      </c>
      <c r="F1148" s="192" t="s">
        <v>3058</v>
      </c>
      <c r="G1148" s="192" t="s">
        <v>790</v>
      </c>
      <c r="H1148" s="192" t="s">
        <v>790</v>
      </c>
      <c r="I1148" t="s">
        <v>2847</v>
      </c>
      <c r="J1148" t="s">
        <v>796</v>
      </c>
      <c r="K1148" t="s">
        <v>797</v>
      </c>
    </row>
    <row r="1149" spans="2:11" x14ac:dyDescent="0.25">
      <c r="B1149" s="191"/>
      <c r="C1149" s="191"/>
      <c r="D1149" s="192" t="s">
        <v>3069</v>
      </c>
      <c r="E1149" t="s">
        <v>3070</v>
      </c>
      <c r="F1149" s="192" t="s">
        <v>3058</v>
      </c>
      <c r="G1149" s="192" t="s">
        <v>790</v>
      </c>
      <c r="H1149" s="192" t="s">
        <v>790</v>
      </c>
      <c r="I1149" t="s">
        <v>2847</v>
      </c>
      <c r="J1149" t="s">
        <v>796</v>
      </c>
      <c r="K1149" t="s">
        <v>797</v>
      </c>
    </row>
    <row r="1150" spans="2:11" x14ac:dyDescent="0.25">
      <c r="B1150" s="191"/>
      <c r="C1150" s="191"/>
      <c r="D1150" s="192" t="s">
        <v>3071</v>
      </c>
      <c r="E1150" t="s">
        <v>3072</v>
      </c>
      <c r="F1150" s="192" t="s">
        <v>3058</v>
      </c>
      <c r="G1150" s="192" t="s">
        <v>790</v>
      </c>
      <c r="H1150" s="192" t="s">
        <v>790</v>
      </c>
      <c r="I1150" t="s">
        <v>2847</v>
      </c>
      <c r="J1150" t="s">
        <v>796</v>
      </c>
      <c r="K1150" t="s">
        <v>797</v>
      </c>
    </row>
    <row r="1151" spans="2:11" x14ac:dyDescent="0.25">
      <c r="B1151" s="191"/>
      <c r="C1151" s="191"/>
      <c r="D1151" s="192" t="s">
        <v>3073</v>
      </c>
      <c r="E1151" t="s">
        <v>3074</v>
      </c>
      <c r="F1151" s="192" t="s">
        <v>3058</v>
      </c>
      <c r="G1151" s="192" t="s">
        <v>790</v>
      </c>
      <c r="H1151" s="192" t="s">
        <v>790</v>
      </c>
      <c r="I1151" t="s">
        <v>2847</v>
      </c>
      <c r="J1151" t="s">
        <v>796</v>
      </c>
      <c r="K1151" t="s">
        <v>797</v>
      </c>
    </row>
    <row r="1152" spans="2:11" x14ac:dyDescent="0.25">
      <c r="B1152" s="191"/>
      <c r="C1152" s="191" t="s">
        <v>3075</v>
      </c>
      <c r="D1152" s="192"/>
      <c r="E1152" s="185" t="s">
        <v>3076</v>
      </c>
      <c r="F1152" s="192" t="s">
        <v>789</v>
      </c>
      <c r="G1152" s="192" t="s">
        <v>790</v>
      </c>
      <c r="H1152" s="192" t="s">
        <v>790</v>
      </c>
      <c r="I1152" t="s">
        <v>2847</v>
      </c>
    </row>
    <row r="1153" spans="2:11" x14ac:dyDescent="0.25">
      <c r="B1153" s="191"/>
      <c r="C1153" s="191"/>
      <c r="D1153" s="192" t="s">
        <v>3077</v>
      </c>
      <c r="E1153" t="s">
        <v>3078</v>
      </c>
      <c r="F1153" s="192" t="s">
        <v>3058</v>
      </c>
      <c r="G1153" s="192" t="s">
        <v>790</v>
      </c>
      <c r="H1153" s="192" t="s">
        <v>790</v>
      </c>
      <c r="I1153" t="s">
        <v>2847</v>
      </c>
      <c r="J1153" t="s">
        <v>796</v>
      </c>
      <c r="K1153" t="s">
        <v>797</v>
      </c>
    </row>
    <row r="1154" spans="2:11" x14ac:dyDescent="0.25">
      <c r="B1154" s="191"/>
      <c r="C1154" s="191"/>
      <c r="D1154" s="192" t="s">
        <v>3079</v>
      </c>
      <c r="E1154" t="s">
        <v>3080</v>
      </c>
      <c r="F1154" s="192" t="s">
        <v>3058</v>
      </c>
      <c r="G1154" s="192" t="s">
        <v>790</v>
      </c>
      <c r="H1154" s="192" t="s">
        <v>790</v>
      </c>
      <c r="I1154" t="s">
        <v>2847</v>
      </c>
      <c r="J1154" t="s">
        <v>796</v>
      </c>
      <c r="K1154" t="s">
        <v>797</v>
      </c>
    </row>
    <row r="1155" spans="2:11" x14ac:dyDescent="0.25">
      <c r="B1155" s="191"/>
      <c r="C1155" s="191"/>
      <c r="D1155" s="192" t="s">
        <v>3081</v>
      </c>
      <c r="E1155" t="s">
        <v>3082</v>
      </c>
      <c r="F1155" s="192" t="s">
        <v>3058</v>
      </c>
      <c r="G1155" s="192" t="s">
        <v>790</v>
      </c>
      <c r="H1155" s="192" t="s">
        <v>790</v>
      </c>
      <c r="I1155" t="s">
        <v>2847</v>
      </c>
      <c r="J1155" t="s">
        <v>796</v>
      </c>
      <c r="K1155" t="s">
        <v>797</v>
      </c>
    </row>
    <row r="1156" spans="2:11" x14ac:dyDescent="0.25">
      <c r="B1156" s="191"/>
      <c r="C1156" s="191"/>
      <c r="D1156" s="192" t="s">
        <v>3083</v>
      </c>
      <c r="E1156" t="s">
        <v>3084</v>
      </c>
      <c r="F1156" s="192" t="s">
        <v>3058</v>
      </c>
      <c r="G1156" s="192" t="s">
        <v>790</v>
      </c>
      <c r="H1156" s="192" t="s">
        <v>790</v>
      </c>
      <c r="I1156" t="s">
        <v>2847</v>
      </c>
      <c r="J1156" t="s">
        <v>796</v>
      </c>
      <c r="K1156" t="s">
        <v>797</v>
      </c>
    </row>
    <row r="1157" spans="2:11" x14ac:dyDescent="0.25">
      <c r="B1157" s="191"/>
      <c r="C1157" s="191"/>
      <c r="D1157" s="192" t="s">
        <v>3085</v>
      </c>
      <c r="E1157" t="s">
        <v>3086</v>
      </c>
      <c r="F1157" s="192" t="s">
        <v>3058</v>
      </c>
      <c r="G1157" s="192" t="s">
        <v>790</v>
      </c>
      <c r="H1157" s="192" t="s">
        <v>790</v>
      </c>
      <c r="I1157" t="s">
        <v>2847</v>
      </c>
      <c r="J1157" t="s">
        <v>796</v>
      </c>
      <c r="K1157" t="s">
        <v>797</v>
      </c>
    </row>
    <row r="1158" spans="2:11" x14ac:dyDescent="0.25">
      <c r="B1158" s="191"/>
      <c r="C1158" s="191"/>
      <c r="D1158" s="192" t="s">
        <v>3087</v>
      </c>
      <c r="E1158" t="s">
        <v>3088</v>
      </c>
      <c r="F1158" s="192" t="s">
        <v>3058</v>
      </c>
      <c r="G1158" s="192" t="s">
        <v>790</v>
      </c>
      <c r="H1158" s="192" t="s">
        <v>790</v>
      </c>
      <c r="I1158" t="s">
        <v>2847</v>
      </c>
      <c r="J1158" t="s">
        <v>796</v>
      </c>
      <c r="K1158" t="s">
        <v>797</v>
      </c>
    </row>
    <row r="1159" spans="2:11" x14ac:dyDescent="0.25">
      <c r="B1159" s="191"/>
      <c r="C1159" s="191" t="s">
        <v>3089</v>
      </c>
      <c r="D1159" s="192"/>
      <c r="E1159" s="185" t="s">
        <v>3090</v>
      </c>
      <c r="F1159" s="192" t="s">
        <v>789</v>
      </c>
      <c r="G1159" s="192" t="s">
        <v>790</v>
      </c>
      <c r="H1159" s="192" t="s">
        <v>790</v>
      </c>
      <c r="I1159" t="s">
        <v>2847</v>
      </c>
    </row>
    <row r="1160" spans="2:11" x14ac:dyDescent="0.25">
      <c r="B1160" s="191"/>
      <c r="C1160" s="191" t="s">
        <v>3091</v>
      </c>
      <c r="D1160" s="192"/>
      <c r="E1160" s="185" t="s">
        <v>3092</v>
      </c>
      <c r="F1160" s="192" t="s">
        <v>789</v>
      </c>
      <c r="G1160" s="192" t="s">
        <v>790</v>
      </c>
      <c r="H1160" s="192" t="s">
        <v>790</v>
      </c>
      <c r="I1160" t="s">
        <v>2847</v>
      </c>
    </row>
    <row r="1161" spans="2:11" x14ac:dyDescent="0.25">
      <c r="B1161" s="191"/>
      <c r="C1161" s="191"/>
      <c r="D1161" s="192" t="s">
        <v>3093</v>
      </c>
      <c r="E1161" t="s">
        <v>3094</v>
      </c>
      <c r="F1161" s="192" t="s">
        <v>3058</v>
      </c>
      <c r="G1161" s="192" t="s">
        <v>790</v>
      </c>
      <c r="H1161" s="192" t="s">
        <v>790</v>
      </c>
      <c r="I1161" t="s">
        <v>2847</v>
      </c>
      <c r="J1161" t="s">
        <v>796</v>
      </c>
      <c r="K1161" t="s">
        <v>797</v>
      </c>
    </row>
    <row r="1162" spans="2:11" x14ac:dyDescent="0.25">
      <c r="B1162" s="191"/>
      <c r="C1162" s="191"/>
      <c r="D1162" s="192" t="s">
        <v>3095</v>
      </c>
      <c r="E1162" t="s">
        <v>3096</v>
      </c>
      <c r="F1162" s="192" t="s">
        <v>3058</v>
      </c>
      <c r="G1162" s="192" t="s">
        <v>790</v>
      </c>
      <c r="H1162" s="192" t="s">
        <v>790</v>
      </c>
      <c r="I1162" t="s">
        <v>2847</v>
      </c>
      <c r="J1162" t="s">
        <v>796</v>
      </c>
      <c r="K1162" t="s">
        <v>797</v>
      </c>
    </row>
    <row r="1163" spans="2:11" x14ac:dyDescent="0.25">
      <c r="B1163" s="191"/>
      <c r="C1163" s="191" t="s">
        <v>3097</v>
      </c>
      <c r="D1163" s="192"/>
      <c r="E1163" s="185" t="s">
        <v>3098</v>
      </c>
      <c r="F1163" s="192" t="s">
        <v>789</v>
      </c>
      <c r="G1163" s="192" t="s">
        <v>790</v>
      </c>
      <c r="H1163" s="192" t="s">
        <v>790</v>
      </c>
      <c r="I1163" t="s">
        <v>2847</v>
      </c>
    </row>
    <row r="1164" spans="2:11" x14ac:dyDescent="0.25">
      <c r="B1164" s="191"/>
      <c r="C1164" s="191"/>
      <c r="D1164" s="192" t="s">
        <v>3099</v>
      </c>
      <c r="E1164" t="s">
        <v>3098</v>
      </c>
      <c r="F1164" s="192" t="s">
        <v>3058</v>
      </c>
      <c r="G1164" s="192" t="s">
        <v>790</v>
      </c>
      <c r="H1164" s="192" t="s">
        <v>790</v>
      </c>
      <c r="I1164" t="s">
        <v>2847</v>
      </c>
      <c r="J1164" t="s">
        <v>796</v>
      </c>
      <c r="K1164" t="s">
        <v>797</v>
      </c>
    </row>
    <row r="1165" spans="2:11" x14ac:dyDescent="0.25">
      <c r="B1165" s="191"/>
      <c r="C1165" s="191" t="s">
        <v>3100</v>
      </c>
      <c r="D1165" s="192"/>
      <c r="E1165" s="185" t="s">
        <v>3066</v>
      </c>
      <c r="F1165" s="192" t="s">
        <v>789</v>
      </c>
      <c r="G1165" s="192" t="s">
        <v>790</v>
      </c>
      <c r="H1165" s="192" t="s">
        <v>790</v>
      </c>
      <c r="I1165" t="s">
        <v>2847</v>
      </c>
    </row>
    <row r="1166" spans="2:11" x14ac:dyDescent="0.25">
      <c r="B1166" s="191"/>
      <c r="C1166" s="191"/>
      <c r="D1166" s="192" t="s">
        <v>3101</v>
      </c>
      <c r="E1166" t="s">
        <v>3102</v>
      </c>
      <c r="F1166" s="192" t="s">
        <v>3058</v>
      </c>
      <c r="G1166" s="192" t="s">
        <v>790</v>
      </c>
      <c r="H1166" s="192" t="s">
        <v>790</v>
      </c>
      <c r="I1166" t="s">
        <v>2847</v>
      </c>
      <c r="J1166" t="s">
        <v>796</v>
      </c>
      <c r="K1166" t="s">
        <v>797</v>
      </c>
    </row>
    <row r="1167" spans="2:11" x14ac:dyDescent="0.25">
      <c r="B1167" s="191"/>
      <c r="C1167" s="191"/>
      <c r="D1167" s="192" t="s">
        <v>3103</v>
      </c>
      <c r="E1167" t="s">
        <v>3104</v>
      </c>
      <c r="F1167" s="192" t="s">
        <v>3058</v>
      </c>
      <c r="G1167" s="192" t="s">
        <v>790</v>
      </c>
      <c r="H1167" s="192" t="s">
        <v>790</v>
      </c>
      <c r="I1167" t="s">
        <v>2847</v>
      </c>
      <c r="J1167" t="s">
        <v>796</v>
      </c>
      <c r="K1167" t="s">
        <v>797</v>
      </c>
    </row>
    <row r="1168" spans="2:11" x14ac:dyDescent="0.25">
      <c r="B1168" s="191"/>
      <c r="C1168" s="191"/>
      <c r="D1168" s="192" t="s">
        <v>3105</v>
      </c>
      <c r="E1168" t="s">
        <v>3106</v>
      </c>
      <c r="F1168" s="192" t="s">
        <v>3058</v>
      </c>
      <c r="G1168" s="192" t="s">
        <v>790</v>
      </c>
      <c r="H1168" s="192" t="s">
        <v>790</v>
      </c>
      <c r="I1168" t="s">
        <v>2847</v>
      </c>
      <c r="J1168" t="s">
        <v>796</v>
      </c>
      <c r="K1168" t="s">
        <v>797</v>
      </c>
    </row>
    <row r="1169" spans="2:11" x14ac:dyDescent="0.25">
      <c r="B1169" s="191"/>
      <c r="C1169" s="191"/>
      <c r="D1169" s="192" t="s">
        <v>3107</v>
      </c>
      <c r="E1169" t="s">
        <v>3108</v>
      </c>
      <c r="F1169" s="192" t="s">
        <v>3058</v>
      </c>
      <c r="G1169" s="192" t="s">
        <v>790</v>
      </c>
      <c r="H1169" s="192" t="s">
        <v>790</v>
      </c>
      <c r="I1169" t="s">
        <v>2847</v>
      </c>
      <c r="J1169" t="s">
        <v>796</v>
      </c>
      <c r="K1169" t="s">
        <v>797</v>
      </c>
    </row>
    <row r="1170" spans="2:11" x14ac:dyDescent="0.25">
      <c r="B1170" s="191"/>
      <c r="C1170" s="191" t="s">
        <v>3109</v>
      </c>
      <c r="D1170" s="192"/>
      <c r="E1170" s="185" t="s">
        <v>3110</v>
      </c>
      <c r="F1170" s="192" t="s">
        <v>789</v>
      </c>
      <c r="G1170" s="192" t="s">
        <v>790</v>
      </c>
      <c r="H1170" s="192" t="s">
        <v>790</v>
      </c>
      <c r="I1170" t="s">
        <v>2847</v>
      </c>
    </row>
    <row r="1171" spans="2:11" x14ac:dyDescent="0.25">
      <c r="B1171" s="191"/>
      <c r="C1171" s="191"/>
      <c r="D1171" s="192" t="s">
        <v>3111</v>
      </c>
      <c r="E1171" t="s">
        <v>3112</v>
      </c>
      <c r="F1171" s="192" t="s">
        <v>3058</v>
      </c>
      <c r="G1171" s="192" t="s">
        <v>790</v>
      </c>
      <c r="H1171" s="192" t="s">
        <v>790</v>
      </c>
      <c r="I1171" t="s">
        <v>2847</v>
      </c>
      <c r="J1171" t="s">
        <v>796</v>
      </c>
      <c r="K1171" t="s">
        <v>797</v>
      </c>
    </row>
    <row r="1172" spans="2:11" x14ac:dyDescent="0.25">
      <c r="B1172" s="191"/>
      <c r="C1172" s="191"/>
      <c r="D1172" s="192" t="s">
        <v>3113</v>
      </c>
      <c r="E1172" t="s">
        <v>3114</v>
      </c>
      <c r="F1172" s="192" t="s">
        <v>3058</v>
      </c>
      <c r="G1172" s="192" t="s">
        <v>790</v>
      </c>
      <c r="H1172" s="192" t="s">
        <v>790</v>
      </c>
      <c r="I1172" t="s">
        <v>2847</v>
      </c>
      <c r="J1172" t="s">
        <v>796</v>
      </c>
      <c r="K1172" t="s">
        <v>797</v>
      </c>
    </row>
    <row r="1173" spans="2:11" x14ac:dyDescent="0.25">
      <c r="B1173" s="191"/>
      <c r="C1173" s="191"/>
      <c r="D1173" s="192" t="s">
        <v>3115</v>
      </c>
      <c r="E1173" t="s">
        <v>3116</v>
      </c>
      <c r="F1173" s="192" t="s">
        <v>3058</v>
      </c>
      <c r="G1173" s="192" t="s">
        <v>790</v>
      </c>
      <c r="H1173" s="192" t="s">
        <v>790</v>
      </c>
      <c r="I1173" t="s">
        <v>2847</v>
      </c>
      <c r="J1173" t="s">
        <v>796</v>
      </c>
      <c r="K1173" t="s">
        <v>797</v>
      </c>
    </row>
    <row r="1174" spans="2:11" x14ac:dyDescent="0.25">
      <c r="B1174" s="191"/>
      <c r="C1174" s="191"/>
      <c r="D1174" s="192" t="s">
        <v>3117</v>
      </c>
      <c r="E1174" t="s">
        <v>3118</v>
      </c>
      <c r="F1174" s="192" t="s">
        <v>3058</v>
      </c>
      <c r="G1174" s="192" t="s">
        <v>790</v>
      </c>
      <c r="H1174" s="192" t="s">
        <v>790</v>
      </c>
      <c r="I1174" t="s">
        <v>2847</v>
      </c>
      <c r="J1174" t="s">
        <v>796</v>
      </c>
      <c r="K1174" t="s">
        <v>797</v>
      </c>
    </row>
    <row r="1175" spans="2:11" x14ac:dyDescent="0.25">
      <c r="B1175" s="191"/>
      <c r="C1175" s="191"/>
      <c r="D1175" s="192" t="s">
        <v>3119</v>
      </c>
      <c r="E1175" t="s">
        <v>3120</v>
      </c>
      <c r="F1175" s="192" t="s">
        <v>3058</v>
      </c>
      <c r="G1175" s="192" t="s">
        <v>790</v>
      </c>
      <c r="H1175" s="192" t="s">
        <v>790</v>
      </c>
      <c r="I1175" t="s">
        <v>2847</v>
      </c>
      <c r="J1175" t="s">
        <v>796</v>
      </c>
      <c r="K1175" t="s">
        <v>797</v>
      </c>
    </row>
    <row r="1176" spans="2:11" x14ac:dyDescent="0.25">
      <c r="B1176" s="191"/>
      <c r="C1176" s="191"/>
      <c r="D1176" s="192" t="s">
        <v>3121</v>
      </c>
      <c r="E1176" t="s">
        <v>3122</v>
      </c>
      <c r="F1176" s="192" t="s">
        <v>3058</v>
      </c>
      <c r="G1176" s="192" t="s">
        <v>790</v>
      </c>
      <c r="H1176" s="192" t="s">
        <v>790</v>
      </c>
      <c r="I1176" t="s">
        <v>2847</v>
      </c>
      <c r="J1176" t="s">
        <v>796</v>
      </c>
      <c r="K1176" t="s">
        <v>797</v>
      </c>
    </row>
    <row r="1177" spans="2:11" x14ac:dyDescent="0.25">
      <c r="B1177" s="191"/>
      <c r="C1177" s="191" t="s">
        <v>3123</v>
      </c>
      <c r="D1177" s="192"/>
      <c r="E1177" s="185" t="s">
        <v>3124</v>
      </c>
      <c r="F1177" s="192" t="s">
        <v>789</v>
      </c>
      <c r="G1177" s="192" t="s">
        <v>790</v>
      </c>
      <c r="H1177" s="192" t="s">
        <v>790</v>
      </c>
      <c r="I1177" t="s">
        <v>2847</v>
      </c>
    </row>
    <row r="1178" spans="2:11" x14ac:dyDescent="0.25">
      <c r="B1178" s="191"/>
      <c r="C1178" s="191"/>
      <c r="D1178" s="192" t="s">
        <v>3125</v>
      </c>
      <c r="E1178" t="s">
        <v>3126</v>
      </c>
      <c r="F1178" s="192" t="s">
        <v>3058</v>
      </c>
      <c r="G1178" s="192" t="s">
        <v>790</v>
      </c>
      <c r="H1178" s="192" t="s">
        <v>790</v>
      </c>
      <c r="I1178" t="s">
        <v>2847</v>
      </c>
      <c r="J1178" t="s">
        <v>796</v>
      </c>
      <c r="K1178" t="s">
        <v>797</v>
      </c>
    </row>
    <row r="1179" spans="2:11" x14ac:dyDescent="0.25">
      <c r="B1179" s="191" t="s">
        <v>3127</v>
      </c>
      <c r="C1179" s="191"/>
      <c r="D1179" s="192"/>
      <c r="E1179" s="185" t="s">
        <v>3128</v>
      </c>
      <c r="F1179" s="192" t="s">
        <v>789</v>
      </c>
      <c r="G1179" s="192" t="s">
        <v>790</v>
      </c>
      <c r="H1179" s="192" t="s">
        <v>790</v>
      </c>
      <c r="I1179" t="s">
        <v>2847</v>
      </c>
      <c r="J1179" t="s">
        <v>865</v>
      </c>
    </row>
    <row r="1180" spans="2:11" x14ac:dyDescent="0.25">
      <c r="B1180" s="191"/>
      <c r="C1180" s="191" t="s">
        <v>3129</v>
      </c>
      <c r="D1180" s="192"/>
      <c r="E1180" s="185" t="s">
        <v>3130</v>
      </c>
      <c r="F1180" s="192" t="s">
        <v>789</v>
      </c>
      <c r="G1180" s="192" t="s">
        <v>790</v>
      </c>
      <c r="H1180" s="192" t="s">
        <v>790</v>
      </c>
      <c r="I1180" t="s">
        <v>2847</v>
      </c>
    </row>
    <row r="1181" spans="2:11" x14ac:dyDescent="0.25">
      <c r="B1181" s="191"/>
      <c r="C1181" s="191"/>
      <c r="D1181" s="192" t="s">
        <v>3131</v>
      </c>
      <c r="E1181" t="s">
        <v>3132</v>
      </c>
      <c r="F1181" s="192" t="s">
        <v>3133</v>
      </c>
      <c r="G1181" s="192" t="s">
        <v>790</v>
      </c>
      <c r="H1181" s="192" t="s">
        <v>790</v>
      </c>
      <c r="I1181" t="s">
        <v>2847</v>
      </c>
      <c r="J1181" t="s">
        <v>796</v>
      </c>
      <c r="K1181" t="s">
        <v>797</v>
      </c>
    </row>
    <row r="1182" spans="2:11" x14ac:dyDescent="0.25">
      <c r="B1182" s="191"/>
      <c r="C1182" s="191" t="s">
        <v>3134</v>
      </c>
      <c r="D1182" s="192"/>
      <c r="E1182" s="185" t="s">
        <v>3135</v>
      </c>
      <c r="F1182" s="192" t="s">
        <v>789</v>
      </c>
      <c r="G1182" s="192" t="s">
        <v>790</v>
      </c>
      <c r="H1182" s="192" t="s">
        <v>790</v>
      </c>
      <c r="I1182" t="s">
        <v>2847</v>
      </c>
    </row>
    <row r="1183" spans="2:11" x14ac:dyDescent="0.25">
      <c r="B1183" s="191"/>
      <c r="C1183" s="191" t="s">
        <v>3136</v>
      </c>
      <c r="D1183" s="192"/>
      <c r="E1183" s="185" t="s">
        <v>3137</v>
      </c>
      <c r="F1183" s="192" t="s">
        <v>789</v>
      </c>
      <c r="G1183" s="192" t="s">
        <v>790</v>
      </c>
      <c r="H1183" s="192" t="s">
        <v>790</v>
      </c>
      <c r="I1183" t="s">
        <v>2847</v>
      </c>
    </row>
    <row r="1184" spans="2:11" x14ac:dyDescent="0.25">
      <c r="B1184" s="191"/>
      <c r="C1184" s="191"/>
      <c r="D1184" s="192" t="s">
        <v>3138</v>
      </c>
      <c r="E1184" t="s">
        <v>3137</v>
      </c>
      <c r="F1184" s="192" t="s">
        <v>3133</v>
      </c>
      <c r="G1184" s="192" t="s">
        <v>790</v>
      </c>
      <c r="H1184" s="192" t="s">
        <v>790</v>
      </c>
      <c r="I1184" t="s">
        <v>2847</v>
      </c>
      <c r="J1184" t="s">
        <v>796</v>
      </c>
      <c r="K1184" t="s">
        <v>797</v>
      </c>
    </row>
    <row r="1185" spans="2:11" x14ac:dyDescent="0.25">
      <c r="B1185" s="191"/>
      <c r="C1185" s="191" t="s">
        <v>3139</v>
      </c>
      <c r="D1185" s="192"/>
      <c r="E1185" s="185" t="s">
        <v>3140</v>
      </c>
      <c r="F1185" s="192" t="s">
        <v>789</v>
      </c>
      <c r="G1185" s="192" t="s">
        <v>790</v>
      </c>
      <c r="H1185" s="192" t="s">
        <v>790</v>
      </c>
      <c r="I1185" t="s">
        <v>2847</v>
      </c>
    </row>
    <row r="1186" spans="2:11" x14ac:dyDescent="0.25">
      <c r="B1186" s="191"/>
      <c r="C1186" s="191"/>
      <c r="D1186" s="192" t="s">
        <v>3141</v>
      </c>
      <c r="E1186" t="s">
        <v>3142</v>
      </c>
      <c r="F1186" s="192" t="s">
        <v>3133</v>
      </c>
      <c r="G1186" s="192" t="s">
        <v>790</v>
      </c>
      <c r="H1186" s="192" t="s">
        <v>790</v>
      </c>
      <c r="I1186" t="s">
        <v>2847</v>
      </c>
      <c r="J1186" t="s">
        <v>796</v>
      </c>
      <c r="K1186" t="s">
        <v>797</v>
      </c>
    </row>
    <row r="1187" spans="2:11" x14ac:dyDescent="0.25">
      <c r="B1187" s="191"/>
      <c r="C1187" s="191"/>
      <c r="D1187" s="192" t="s">
        <v>3143</v>
      </c>
      <c r="E1187" t="s">
        <v>3144</v>
      </c>
      <c r="F1187" s="192" t="s">
        <v>3133</v>
      </c>
      <c r="G1187" s="192" t="s">
        <v>790</v>
      </c>
      <c r="H1187" s="192" t="s">
        <v>790</v>
      </c>
      <c r="I1187" t="s">
        <v>2847</v>
      </c>
      <c r="J1187" t="s">
        <v>796</v>
      </c>
      <c r="K1187" t="s">
        <v>797</v>
      </c>
    </row>
    <row r="1188" spans="2:11" x14ac:dyDescent="0.25">
      <c r="B1188" s="191"/>
      <c r="C1188" s="191" t="s">
        <v>3145</v>
      </c>
      <c r="D1188" s="192"/>
      <c r="E1188" s="185" t="s">
        <v>3146</v>
      </c>
      <c r="F1188" s="192" t="s">
        <v>789</v>
      </c>
      <c r="G1188" s="192" t="s">
        <v>790</v>
      </c>
      <c r="H1188" s="192" t="s">
        <v>790</v>
      </c>
      <c r="I1188" t="s">
        <v>2847</v>
      </c>
    </row>
    <row r="1189" spans="2:11" x14ac:dyDescent="0.25">
      <c r="B1189" s="191"/>
      <c r="C1189" s="191"/>
      <c r="D1189" s="192" t="s">
        <v>3147</v>
      </c>
      <c r="E1189" t="s">
        <v>3148</v>
      </c>
      <c r="F1189" s="192" t="s">
        <v>3133</v>
      </c>
      <c r="G1189" s="192" t="s">
        <v>790</v>
      </c>
      <c r="H1189" s="192" t="s">
        <v>790</v>
      </c>
      <c r="I1189" t="s">
        <v>2847</v>
      </c>
      <c r="J1189" t="s">
        <v>796</v>
      </c>
      <c r="K1189" t="s">
        <v>797</v>
      </c>
    </row>
    <row r="1190" spans="2:11" x14ac:dyDescent="0.25">
      <c r="B1190" s="191"/>
      <c r="C1190" s="191"/>
      <c r="D1190" s="192" t="s">
        <v>3149</v>
      </c>
      <c r="E1190" t="s">
        <v>3150</v>
      </c>
      <c r="F1190" s="192" t="s">
        <v>3133</v>
      </c>
      <c r="G1190" s="192" t="s">
        <v>790</v>
      </c>
      <c r="H1190" s="192" t="s">
        <v>790</v>
      </c>
      <c r="I1190" t="s">
        <v>2847</v>
      </c>
      <c r="J1190" t="s">
        <v>796</v>
      </c>
      <c r="K1190" t="s">
        <v>797</v>
      </c>
    </row>
    <row r="1191" spans="2:11" x14ac:dyDescent="0.25">
      <c r="B1191" s="191"/>
      <c r="C1191" s="191"/>
      <c r="D1191" s="192" t="s">
        <v>3151</v>
      </c>
      <c r="E1191" t="s">
        <v>3152</v>
      </c>
      <c r="F1191" s="192" t="s">
        <v>3133</v>
      </c>
      <c r="G1191" s="192" t="s">
        <v>790</v>
      </c>
      <c r="H1191" s="192" t="s">
        <v>790</v>
      </c>
      <c r="I1191" t="s">
        <v>2847</v>
      </c>
      <c r="J1191" t="s">
        <v>865</v>
      </c>
      <c r="K1191" t="s">
        <v>797</v>
      </c>
    </row>
    <row r="1192" spans="2:11" x14ac:dyDescent="0.25">
      <c r="B1192" s="191"/>
      <c r="C1192" s="191"/>
      <c r="D1192" s="192" t="s">
        <v>3153</v>
      </c>
      <c r="E1192" t="s">
        <v>3154</v>
      </c>
      <c r="F1192" s="192" t="s">
        <v>3133</v>
      </c>
      <c r="G1192" s="192" t="s">
        <v>790</v>
      </c>
      <c r="H1192" s="192" t="s">
        <v>790</v>
      </c>
      <c r="I1192" t="s">
        <v>2847</v>
      </c>
      <c r="J1192" t="s">
        <v>796</v>
      </c>
      <c r="K1192" t="s">
        <v>797</v>
      </c>
    </row>
    <row r="1193" spans="2:11" x14ac:dyDescent="0.25">
      <c r="B1193" s="191"/>
      <c r="C1193" s="191"/>
      <c r="D1193" s="192" t="s">
        <v>3155</v>
      </c>
      <c r="E1193" t="s">
        <v>3156</v>
      </c>
      <c r="F1193" s="192" t="s">
        <v>3133</v>
      </c>
      <c r="G1193" s="192" t="s">
        <v>790</v>
      </c>
      <c r="H1193" s="192" t="s">
        <v>790</v>
      </c>
      <c r="I1193" t="s">
        <v>2847</v>
      </c>
      <c r="J1193" t="s">
        <v>796</v>
      </c>
      <c r="K1193" t="s">
        <v>797</v>
      </c>
    </row>
    <row r="1194" spans="2:11" x14ac:dyDescent="0.25">
      <c r="B1194" s="191"/>
      <c r="C1194" s="191"/>
      <c r="D1194" s="192" t="s">
        <v>3157</v>
      </c>
      <c r="E1194" t="s">
        <v>3158</v>
      </c>
      <c r="F1194" s="192" t="s">
        <v>3133</v>
      </c>
      <c r="G1194" s="192" t="s">
        <v>790</v>
      </c>
      <c r="H1194" s="192" t="s">
        <v>790</v>
      </c>
      <c r="I1194" t="s">
        <v>2847</v>
      </c>
      <c r="J1194" t="s">
        <v>796</v>
      </c>
      <c r="K1194" t="s">
        <v>797</v>
      </c>
    </row>
    <row r="1195" spans="2:11" x14ac:dyDescent="0.25">
      <c r="B1195" s="191"/>
      <c r="C1195" s="191" t="s">
        <v>3159</v>
      </c>
      <c r="D1195" s="192"/>
      <c r="E1195" s="185" t="s">
        <v>3160</v>
      </c>
      <c r="F1195" s="192" t="s">
        <v>789</v>
      </c>
      <c r="G1195" s="192" t="s">
        <v>790</v>
      </c>
      <c r="H1195" s="192" t="s">
        <v>790</v>
      </c>
      <c r="I1195" t="s">
        <v>820</v>
      </c>
    </row>
    <row r="1196" spans="2:11" x14ac:dyDescent="0.25">
      <c r="B1196" s="191"/>
      <c r="C1196" s="191"/>
      <c r="D1196" s="192" t="s">
        <v>3161</v>
      </c>
      <c r="E1196" t="s">
        <v>3160</v>
      </c>
      <c r="F1196" s="192" t="s">
        <v>3133</v>
      </c>
      <c r="G1196" s="192" t="s">
        <v>790</v>
      </c>
      <c r="H1196" s="192" t="s">
        <v>790</v>
      </c>
      <c r="I1196" t="s">
        <v>2847</v>
      </c>
      <c r="J1196" t="s">
        <v>796</v>
      </c>
      <c r="K1196" t="s">
        <v>797</v>
      </c>
    </row>
    <row r="1197" spans="2:11" x14ac:dyDescent="0.25">
      <c r="B1197" s="191"/>
      <c r="C1197" s="191" t="s">
        <v>3162</v>
      </c>
      <c r="D1197" s="192"/>
      <c r="E1197" s="185" t="s">
        <v>3163</v>
      </c>
      <c r="F1197" s="192" t="s">
        <v>789</v>
      </c>
      <c r="G1197" s="192" t="s">
        <v>790</v>
      </c>
      <c r="H1197" s="192" t="s">
        <v>790</v>
      </c>
      <c r="I1197" t="s">
        <v>2847</v>
      </c>
    </row>
    <row r="1198" spans="2:11" x14ac:dyDescent="0.25">
      <c r="B1198" s="191"/>
      <c r="C1198" s="191"/>
      <c r="D1198" s="192" t="s">
        <v>3164</v>
      </c>
      <c r="E1198" t="s">
        <v>3165</v>
      </c>
      <c r="F1198" s="192" t="s">
        <v>3133</v>
      </c>
      <c r="G1198" s="192" t="s">
        <v>790</v>
      </c>
      <c r="H1198" s="192" t="s">
        <v>790</v>
      </c>
      <c r="I1198" t="s">
        <v>2847</v>
      </c>
      <c r="J1198" t="s">
        <v>796</v>
      </c>
      <c r="K1198" t="s">
        <v>797</v>
      </c>
    </row>
    <row r="1199" spans="2:11" x14ac:dyDescent="0.25">
      <c r="B1199" s="191"/>
      <c r="C1199" s="191" t="s">
        <v>3166</v>
      </c>
      <c r="D1199" s="192"/>
      <c r="E1199" s="185" t="s">
        <v>3167</v>
      </c>
      <c r="F1199" s="192" t="s">
        <v>789</v>
      </c>
      <c r="G1199" s="192" t="s">
        <v>790</v>
      </c>
      <c r="H1199" s="192" t="s">
        <v>790</v>
      </c>
      <c r="I1199" t="s">
        <v>2847</v>
      </c>
    </row>
    <row r="1200" spans="2:11" x14ac:dyDescent="0.25">
      <c r="B1200" s="191"/>
      <c r="C1200" s="191"/>
      <c r="D1200" s="192" t="s">
        <v>3168</v>
      </c>
      <c r="E1200" t="s">
        <v>3169</v>
      </c>
      <c r="F1200" s="192" t="s">
        <v>3133</v>
      </c>
      <c r="G1200" s="192" t="s">
        <v>790</v>
      </c>
      <c r="H1200" s="192" t="s">
        <v>790</v>
      </c>
      <c r="I1200" t="s">
        <v>2847</v>
      </c>
      <c r="J1200" t="s">
        <v>796</v>
      </c>
      <c r="K1200" t="s">
        <v>797</v>
      </c>
    </row>
    <row r="1201" spans="2:11" x14ac:dyDescent="0.25">
      <c r="B1201" s="191"/>
      <c r="C1201" s="191"/>
      <c r="D1201" s="192" t="s">
        <v>3170</v>
      </c>
      <c r="E1201" t="s">
        <v>3171</v>
      </c>
      <c r="F1201" s="192" t="s">
        <v>3133</v>
      </c>
      <c r="G1201" s="192" t="s">
        <v>790</v>
      </c>
      <c r="H1201" s="192" t="s">
        <v>790</v>
      </c>
      <c r="I1201" t="s">
        <v>2847</v>
      </c>
      <c r="J1201" t="s">
        <v>796</v>
      </c>
      <c r="K1201" t="s">
        <v>797</v>
      </c>
    </row>
    <row r="1202" spans="2:11" x14ac:dyDescent="0.25">
      <c r="B1202" s="191"/>
      <c r="C1202" s="191"/>
      <c r="D1202" s="192" t="s">
        <v>3172</v>
      </c>
      <c r="E1202" t="s">
        <v>3173</v>
      </c>
      <c r="F1202" s="192" t="s">
        <v>3133</v>
      </c>
      <c r="G1202" s="192" t="s">
        <v>790</v>
      </c>
      <c r="H1202" s="192" t="s">
        <v>790</v>
      </c>
      <c r="I1202" t="s">
        <v>2847</v>
      </c>
      <c r="J1202" t="s">
        <v>796</v>
      </c>
      <c r="K1202" t="s">
        <v>797</v>
      </c>
    </row>
    <row r="1203" spans="2:11" x14ac:dyDescent="0.25">
      <c r="B1203" s="191" t="s">
        <v>3174</v>
      </c>
      <c r="C1203" s="191"/>
      <c r="D1203" s="192"/>
      <c r="E1203" s="185" t="s">
        <v>3175</v>
      </c>
      <c r="F1203" s="192" t="s">
        <v>789</v>
      </c>
      <c r="G1203" s="192" t="s">
        <v>790</v>
      </c>
      <c r="H1203" s="192" t="s">
        <v>790</v>
      </c>
      <c r="I1203" t="s">
        <v>2847</v>
      </c>
      <c r="J1203" t="s">
        <v>865</v>
      </c>
    </row>
    <row r="1204" spans="2:11" x14ac:dyDescent="0.25">
      <c r="B1204" s="191"/>
      <c r="C1204" s="191" t="s">
        <v>3176</v>
      </c>
      <c r="D1204" s="192"/>
      <c r="E1204" s="185" t="s">
        <v>3177</v>
      </c>
      <c r="F1204" s="192" t="s">
        <v>789</v>
      </c>
      <c r="G1204" s="192" t="s">
        <v>790</v>
      </c>
      <c r="H1204" s="192" t="s">
        <v>790</v>
      </c>
      <c r="I1204" t="s">
        <v>2847</v>
      </c>
    </row>
    <row r="1205" spans="2:11" x14ac:dyDescent="0.25">
      <c r="B1205" s="191"/>
      <c r="C1205" s="191"/>
      <c r="D1205" s="192" t="s">
        <v>3178</v>
      </c>
      <c r="E1205" t="s">
        <v>3177</v>
      </c>
      <c r="F1205" s="192" t="s">
        <v>3179</v>
      </c>
      <c r="G1205" s="192" t="s">
        <v>790</v>
      </c>
      <c r="H1205" s="192" t="s">
        <v>790</v>
      </c>
      <c r="I1205" t="s">
        <v>2847</v>
      </c>
      <c r="J1205" t="s">
        <v>796</v>
      </c>
      <c r="K1205" t="s">
        <v>797</v>
      </c>
    </row>
    <row r="1206" spans="2:11" x14ac:dyDescent="0.25">
      <c r="B1206" s="191"/>
      <c r="C1206" s="191" t="s">
        <v>3180</v>
      </c>
      <c r="D1206" s="192"/>
      <c r="E1206" s="185" t="s">
        <v>3181</v>
      </c>
      <c r="F1206" s="192" t="s">
        <v>789</v>
      </c>
      <c r="G1206" s="192" t="s">
        <v>790</v>
      </c>
      <c r="H1206" s="192" t="s">
        <v>790</v>
      </c>
      <c r="I1206" t="s">
        <v>2847</v>
      </c>
    </row>
    <row r="1207" spans="2:11" x14ac:dyDescent="0.25">
      <c r="B1207" s="191"/>
      <c r="C1207" s="191"/>
      <c r="D1207" s="192" t="s">
        <v>3182</v>
      </c>
      <c r="E1207" t="s">
        <v>3181</v>
      </c>
      <c r="F1207" s="192" t="s">
        <v>3179</v>
      </c>
      <c r="G1207" s="192" t="s">
        <v>790</v>
      </c>
      <c r="H1207" s="192" t="s">
        <v>790</v>
      </c>
      <c r="I1207" t="s">
        <v>2847</v>
      </c>
      <c r="J1207" t="s">
        <v>796</v>
      </c>
      <c r="K1207" t="s">
        <v>797</v>
      </c>
    </row>
    <row r="1208" spans="2:11" x14ac:dyDescent="0.25">
      <c r="B1208" s="191"/>
      <c r="C1208" s="191" t="s">
        <v>3183</v>
      </c>
      <c r="D1208" s="192"/>
      <c r="E1208" s="185" t="s">
        <v>1081</v>
      </c>
      <c r="F1208" s="192" t="s">
        <v>789</v>
      </c>
      <c r="G1208" s="192" t="s">
        <v>790</v>
      </c>
      <c r="H1208" s="192" t="s">
        <v>790</v>
      </c>
      <c r="I1208" t="s">
        <v>2847</v>
      </c>
    </row>
    <row r="1209" spans="2:11" x14ac:dyDescent="0.25">
      <c r="B1209" s="191"/>
      <c r="C1209" s="191"/>
      <c r="D1209" s="192" t="s">
        <v>3184</v>
      </c>
      <c r="E1209" t="s">
        <v>1081</v>
      </c>
      <c r="F1209" s="192" t="s">
        <v>3179</v>
      </c>
      <c r="G1209" s="192" t="s">
        <v>790</v>
      </c>
      <c r="H1209" s="192" t="s">
        <v>790</v>
      </c>
      <c r="I1209" t="s">
        <v>2847</v>
      </c>
      <c r="J1209" t="s">
        <v>796</v>
      </c>
      <c r="K1209" t="s">
        <v>797</v>
      </c>
    </row>
    <row r="1210" spans="2:11" x14ac:dyDescent="0.25">
      <c r="B1210" s="191"/>
      <c r="C1210" s="191" t="s">
        <v>3185</v>
      </c>
      <c r="D1210" s="192"/>
      <c r="E1210" s="185" t="s">
        <v>3186</v>
      </c>
      <c r="F1210" s="192" t="s">
        <v>789</v>
      </c>
      <c r="G1210" s="192" t="s">
        <v>790</v>
      </c>
      <c r="H1210" s="192" t="s">
        <v>790</v>
      </c>
      <c r="I1210" t="s">
        <v>2847</v>
      </c>
    </row>
    <row r="1211" spans="2:11" x14ac:dyDescent="0.25">
      <c r="B1211" s="191"/>
      <c r="C1211" s="191"/>
      <c r="D1211" s="192" t="s">
        <v>3187</v>
      </c>
      <c r="E1211" t="s">
        <v>3186</v>
      </c>
      <c r="F1211" s="192" t="s">
        <v>3179</v>
      </c>
      <c r="G1211" s="192" t="s">
        <v>790</v>
      </c>
      <c r="H1211" s="192" t="s">
        <v>790</v>
      </c>
      <c r="I1211" t="s">
        <v>2847</v>
      </c>
      <c r="J1211" t="s">
        <v>796</v>
      </c>
      <c r="K1211" t="s">
        <v>797</v>
      </c>
    </row>
    <row r="1212" spans="2:11" x14ac:dyDescent="0.25">
      <c r="B1212" s="191"/>
      <c r="C1212" s="191" t="s">
        <v>3188</v>
      </c>
      <c r="D1212" s="192"/>
      <c r="E1212" s="185" t="s">
        <v>3189</v>
      </c>
      <c r="F1212" s="192" t="s">
        <v>789</v>
      </c>
      <c r="G1212" s="192" t="s">
        <v>790</v>
      </c>
      <c r="H1212" s="192" t="s">
        <v>790</v>
      </c>
      <c r="I1212" t="s">
        <v>2847</v>
      </c>
    </row>
    <row r="1213" spans="2:11" x14ac:dyDescent="0.25">
      <c r="B1213" s="191"/>
      <c r="C1213" s="191"/>
      <c r="D1213" s="192" t="s">
        <v>3190</v>
      </c>
      <c r="E1213" t="s">
        <v>3189</v>
      </c>
      <c r="F1213" s="192" t="s">
        <v>3179</v>
      </c>
      <c r="G1213" s="192" t="s">
        <v>790</v>
      </c>
      <c r="H1213" s="192" t="s">
        <v>790</v>
      </c>
      <c r="I1213" t="s">
        <v>2847</v>
      </c>
      <c r="J1213" t="s">
        <v>796</v>
      </c>
      <c r="K1213" t="s">
        <v>797</v>
      </c>
    </row>
    <row r="1214" spans="2:11" x14ac:dyDescent="0.25">
      <c r="B1214" s="191"/>
      <c r="C1214" s="191" t="s">
        <v>3191</v>
      </c>
      <c r="D1214" s="192"/>
      <c r="E1214" s="185" t="s">
        <v>3163</v>
      </c>
      <c r="F1214" s="192" t="s">
        <v>789</v>
      </c>
      <c r="G1214" s="192" t="s">
        <v>790</v>
      </c>
      <c r="H1214" s="192" t="s">
        <v>790</v>
      </c>
      <c r="I1214" t="s">
        <v>820</v>
      </c>
    </row>
    <row r="1215" spans="2:11" x14ac:dyDescent="0.25">
      <c r="B1215" s="191"/>
      <c r="C1215" s="191"/>
      <c r="D1215" s="192" t="s">
        <v>3192</v>
      </c>
      <c r="E1215" t="s">
        <v>3193</v>
      </c>
      <c r="F1215" s="192" t="s">
        <v>3179</v>
      </c>
      <c r="G1215" s="192" t="s">
        <v>790</v>
      </c>
      <c r="H1215" s="192" t="s">
        <v>790</v>
      </c>
      <c r="I1215" t="s">
        <v>2847</v>
      </c>
      <c r="J1215" t="s">
        <v>796</v>
      </c>
      <c r="K1215" t="s">
        <v>797</v>
      </c>
    </row>
    <row r="1216" spans="2:11" x14ac:dyDescent="0.25">
      <c r="B1216" s="191"/>
      <c r="C1216" s="191" t="s">
        <v>3194</v>
      </c>
      <c r="D1216" s="192"/>
      <c r="E1216" s="185" t="s">
        <v>3195</v>
      </c>
      <c r="F1216" s="192" t="s">
        <v>789</v>
      </c>
      <c r="G1216" s="192" t="s">
        <v>790</v>
      </c>
      <c r="H1216" s="192" t="s">
        <v>790</v>
      </c>
      <c r="I1216" t="s">
        <v>2847</v>
      </c>
    </row>
    <row r="1217" spans="2:11" x14ac:dyDescent="0.25">
      <c r="B1217" s="191"/>
      <c r="C1217" s="191"/>
      <c r="D1217" s="192" t="s">
        <v>3196</v>
      </c>
      <c r="E1217" t="s">
        <v>3197</v>
      </c>
      <c r="F1217" s="192" t="s">
        <v>3179</v>
      </c>
      <c r="G1217" s="192" t="s">
        <v>790</v>
      </c>
      <c r="H1217" s="192" t="s">
        <v>790</v>
      </c>
      <c r="I1217" t="s">
        <v>2847</v>
      </c>
      <c r="J1217" t="s">
        <v>796</v>
      </c>
      <c r="K1217" t="s">
        <v>797</v>
      </c>
    </row>
    <row r="1218" spans="2:11" x14ac:dyDescent="0.25">
      <c r="B1218" s="191"/>
      <c r="C1218" s="191"/>
      <c r="D1218" s="192" t="s">
        <v>3198</v>
      </c>
      <c r="E1218" t="s">
        <v>3199</v>
      </c>
      <c r="F1218" s="192" t="s">
        <v>3179</v>
      </c>
      <c r="G1218" s="192" t="s">
        <v>790</v>
      </c>
      <c r="H1218" s="192" t="s">
        <v>790</v>
      </c>
      <c r="I1218" t="s">
        <v>2847</v>
      </c>
      <c r="J1218" t="s">
        <v>796</v>
      </c>
      <c r="K1218" t="s">
        <v>797</v>
      </c>
    </row>
    <row r="1219" spans="2:11" x14ac:dyDescent="0.25">
      <c r="B1219" s="191"/>
      <c r="C1219" s="191"/>
      <c r="D1219" s="192" t="s">
        <v>3200</v>
      </c>
      <c r="E1219" t="s">
        <v>3201</v>
      </c>
      <c r="F1219" s="192" t="s">
        <v>3179</v>
      </c>
      <c r="G1219" s="192" t="s">
        <v>790</v>
      </c>
      <c r="H1219" s="192" t="s">
        <v>790</v>
      </c>
      <c r="I1219" t="s">
        <v>2847</v>
      </c>
      <c r="J1219" t="s">
        <v>796</v>
      </c>
      <c r="K1219" t="s">
        <v>797</v>
      </c>
    </row>
    <row r="1220" spans="2:11" x14ac:dyDescent="0.25">
      <c r="B1220" s="191"/>
      <c r="C1220" s="191"/>
      <c r="D1220" s="192" t="s">
        <v>3202</v>
      </c>
      <c r="E1220" t="s">
        <v>3203</v>
      </c>
      <c r="F1220" s="192" t="s">
        <v>3179</v>
      </c>
      <c r="G1220" s="192" t="s">
        <v>790</v>
      </c>
      <c r="H1220" s="192" t="s">
        <v>790</v>
      </c>
      <c r="I1220" t="s">
        <v>2847</v>
      </c>
      <c r="J1220" t="s">
        <v>796</v>
      </c>
      <c r="K1220" t="s">
        <v>797</v>
      </c>
    </row>
    <row r="1221" spans="2:11" x14ac:dyDescent="0.25">
      <c r="B1221" s="191"/>
      <c r="C1221" s="191"/>
      <c r="D1221" s="192" t="s">
        <v>3204</v>
      </c>
      <c r="E1221" t="s">
        <v>3205</v>
      </c>
      <c r="F1221" s="192" t="s">
        <v>3179</v>
      </c>
      <c r="G1221" s="192" t="s">
        <v>790</v>
      </c>
      <c r="H1221" s="192" t="s">
        <v>790</v>
      </c>
      <c r="I1221" t="s">
        <v>2847</v>
      </c>
      <c r="J1221" t="s">
        <v>796</v>
      </c>
      <c r="K1221" t="s">
        <v>797</v>
      </c>
    </row>
    <row r="1222" spans="2:11" x14ac:dyDescent="0.25">
      <c r="B1222" s="191"/>
      <c r="C1222" s="191"/>
      <c r="D1222" s="192" t="s">
        <v>3206</v>
      </c>
      <c r="E1222" t="s">
        <v>3207</v>
      </c>
      <c r="F1222" s="192" t="s">
        <v>3179</v>
      </c>
      <c r="G1222" s="192" t="s">
        <v>790</v>
      </c>
      <c r="H1222" s="192" t="s">
        <v>790</v>
      </c>
      <c r="I1222" t="s">
        <v>2847</v>
      </c>
      <c r="J1222" t="s">
        <v>796</v>
      </c>
      <c r="K1222" t="s">
        <v>797</v>
      </c>
    </row>
    <row r="1223" spans="2:11" x14ac:dyDescent="0.25">
      <c r="B1223" s="191"/>
      <c r="C1223" s="191" t="s">
        <v>3208</v>
      </c>
      <c r="D1223" s="192"/>
      <c r="E1223" s="185" t="s">
        <v>3209</v>
      </c>
      <c r="F1223" s="192" t="s">
        <v>789</v>
      </c>
      <c r="G1223" s="192" t="s">
        <v>790</v>
      </c>
      <c r="H1223" s="192" t="s">
        <v>790</v>
      </c>
      <c r="I1223" t="s">
        <v>2847</v>
      </c>
    </row>
    <row r="1224" spans="2:11" x14ac:dyDescent="0.25">
      <c r="B1224" s="191"/>
      <c r="C1224" s="191"/>
      <c r="D1224" s="192" t="s">
        <v>3210</v>
      </c>
      <c r="E1224" t="s">
        <v>3211</v>
      </c>
      <c r="F1224" s="192" t="s">
        <v>3179</v>
      </c>
      <c r="G1224" s="192" t="s">
        <v>790</v>
      </c>
      <c r="H1224" s="192" t="s">
        <v>790</v>
      </c>
      <c r="I1224" t="s">
        <v>2847</v>
      </c>
      <c r="J1224" t="s">
        <v>796</v>
      </c>
      <c r="K1224" t="s">
        <v>797</v>
      </c>
    </row>
    <row r="1225" spans="2:11" x14ac:dyDescent="0.25">
      <c r="B1225" s="191" t="s">
        <v>3212</v>
      </c>
      <c r="C1225" s="191"/>
      <c r="D1225" s="192"/>
      <c r="E1225" s="185" t="s">
        <v>3213</v>
      </c>
      <c r="F1225" s="192" t="s">
        <v>789</v>
      </c>
      <c r="G1225" s="192" t="s">
        <v>790</v>
      </c>
      <c r="H1225" s="192" t="s">
        <v>790</v>
      </c>
      <c r="I1225" t="s">
        <v>2847</v>
      </c>
      <c r="J1225" t="s">
        <v>865</v>
      </c>
    </row>
    <row r="1226" spans="2:11" x14ac:dyDescent="0.25">
      <c r="B1226" s="191"/>
      <c r="C1226" s="191" t="s">
        <v>3214</v>
      </c>
      <c r="D1226" s="192"/>
      <c r="E1226" s="185" t="s">
        <v>3215</v>
      </c>
      <c r="F1226" s="192" t="s">
        <v>789</v>
      </c>
      <c r="G1226" s="192" t="s">
        <v>790</v>
      </c>
      <c r="H1226" s="192" t="s">
        <v>790</v>
      </c>
      <c r="I1226" t="s">
        <v>2847</v>
      </c>
    </row>
    <row r="1227" spans="2:11" x14ac:dyDescent="0.25">
      <c r="B1227" s="191"/>
      <c r="C1227" s="191"/>
      <c r="D1227" s="192" t="s">
        <v>3216</v>
      </c>
      <c r="E1227" t="s">
        <v>3215</v>
      </c>
      <c r="F1227" s="192" t="s">
        <v>3217</v>
      </c>
      <c r="G1227" s="192" t="s">
        <v>790</v>
      </c>
      <c r="H1227" s="192" t="s">
        <v>790</v>
      </c>
      <c r="I1227" t="s">
        <v>2847</v>
      </c>
      <c r="J1227" t="s">
        <v>865</v>
      </c>
      <c r="K1227" t="s">
        <v>797</v>
      </c>
    </row>
    <row r="1228" spans="2:11" x14ac:dyDescent="0.25">
      <c r="B1228" s="191"/>
      <c r="C1228" s="191" t="s">
        <v>3218</v>
      </c>
      <c r="D1228" s="192"/>
      <c r="E1228" s="185" t="s">
        <v>3219</v>
      </c>
      <c r="F1228" s="192" t="s">
        <v>789</v>
      </c>
      <c r="G1228" s="192" t="s">
        <v>790</v>
      </c>
      <c r="H1228" s="192" t="s">
        <v>790</v>
      </c>
      <c r="I1228" t="s">
        <v>2847</v>
      </c>
    </row>
    <row r="1229" spans="2:11" x14ac:dyDescent="0.25">
      <c r="B1229" s="191"/>
      <c r="C1229" s="191"/>
      <c r="D1229" s="192" t="s">
        <v>3220</v>
      </c>
      <c r="E1229" t="s">
        <v>3219</v>
      </c>
      <c r="F1229" s="192" t="s">
        <v>3217</v>
      </c>
      <c r="G1229" s="192" t="s">
        <v>790</v>
      </c>
      <c r="H1229" s="192" t="s">
        <v>790</v>
      </c>
      <c r="I1229" t="s">
        <v>2847</v>
      </c>
      <c r="J1229" t="s">
        <v>865</v>
      </c>
      <c r="K1229" t="s">
        <v>797</v>
      </c>
    </row>
    <row r="1230" spans="2:11" x14ac:dyDescent="0.25">
      <c r="B1230" s="191"/>
      <c r="C1230" s="191" t="s">
        <v>3221</v>
      </c>
      <c r="D1230" s="192"/>
      <c r="E1230" s="185" t="s">
        <v>3222</v>
      </c>
      <c r="F1230" s="192" t="s">
        <v>789</v>
      </c>
      <c r="G1230" s="192" t="s">
        <v>790</v>
      </c>
      <c r="H1230" s="192" t="s">
        <v>790</v>
      </c>
      <c r="I1230" t="s">
        <v>2847</v>
      </c>
    </row>
    <row r="1231" spans="2:11" x14ac:dyDescent="0.25">
      <c r="B1231" s="191"/>
      <c r="C1231" s="191"/>
      <c r="D1231" s="192" t="s">
        <v>3223</v>
      </c>
      <c r="E1231" t="s">
        <v>3222</v>
      </c>
      <c r="F1231" s="192" t="s">
        <v>3217</v>
      </c>
      <c r="G1231" s="192" t="s">
        <v>790</v>
      </c>
      <c r="H1231" s="192" t="s">
        <v>790</v>
      </c>
      <c r="I1231" t="s">
        <v>2847</v>
      </c>
      <c r="J1231" t="s">
        <v>865</v>
      </c>
      <c r="K1231" t="s">
        <v>797</v>
      </c>
    </row>
    <row r="1232" spans="2:11" x14ac:dyDescent="0.25">
      <c r="B1232" s="191"/>
      <c r="C1232" s="191" t="s">
        <v>3224</v>
      </c>
      <c r="D1232" s="192"/>
      <c r="E1232" s="185" t="s">
        <v>3225</v>
      </c>
      <c r="F1232" s="192" t="s">
        <v>789</v>
      </c>
      <c r="G1232" s="192" t="s">
        <v>790</v>
      </c>
      <c r="H1232" s="192" t="s">
        <v>790</v>
      </c>
      <c r="I1232" t="s">
        <v>2847</v>
      </c>
    </row>
    <row r="1233" spans="2:11" x14ac:dyDescent="0.25">
      <c r="B1233" s="191"/>
      <c r="C1233" s="191"/>
      <c r="D1233" s="192" t="s">
        <v>3226</v>
      </c>
      <c r="E1233" t="s">
        <v>3225</v>
      </c>
      <c r="F1233" s="192" t="s">
        <v>3217</v>
      </c>
      <c r="G1233" s="192" t="s">
        <v>790</v>
      </c>
      <c r="H1233" s="192" t="s">
        <v>790</v>
      </c>
      <c r="I1233" t="s">
        <v>2847</v>
      </c>
      <c r="J1233" t="s">
        <v>865</v>
      </c>
      <c r="K1233" t="s">
        <v>797</v>
      </c>
    </row>
    <row r="1234" spans="2:11" x14ac:dyDescent="0.25">
      <c r="B1234" s="191"/>
      <c r="C1234" s="191" t="s">
        <v>3227</v>
      </c>
      <c r="D1234" s="192"/>
      <c r="E1234" s="185" t="s">
        <v>3228</v>
      </c>
      <c r="F1234" s="192" t="s">
        <v>789</v>
      </c>
      <c r="G1234" s="192" t="s">
        <v>790</v>
      </c>
      <c r="H1234" s="192" t="s">
        <v>790</v>
      </c>
      <c r="I1234" t="s">
        <v>2847</v>
      </c>
    </row>
    <row r="1235" spans="2:11" x14ac:dyDescent="0.25">
      <c r="B1235" s="191"/>
      <c r="C1235" s="191"/>
      <c r="D1235" s="192" t="s">
        <v>3229</v>
      </c>
      <c r="E1235" t="s">
        <v>3228</v>
      </c>
      <c r="F1235" s="192" t="s">
        <v>3217</v>
      </c>
      <c r="G1235" s="192" t="s">
        <v>790</v>
      </c>
      <c r="H1235" s="192" t="s">
        <v>790</v>
      </c>
      <c r="I1235" t="s">
        <v>2847</v>
      </c>
      <c r="J1235" t="s">
        <v>865</v>
      </c>
      <c r="K1235" t="s">
        <v>797</v>
      </c>
    </row>
    <row r="1236" spans="2:11" x14ac:dyDescent="0.25">
      <c r="B1236" s="191"/>
      <c r="C1236" s="191" t="s">
        <v>3230</v>
      </c>
      <c r="D1236" s="192"/>
      <c r="E1236" s="185" t="s">
        <v>3231</v>
      </c>
      <c r="F1236" s="192" t="s">
        <v>789</v>
      </c>
      <c r="G1236" s="192" t="s">
        <v>790</v>
      </c>
      <c r="H1236" s="192" t="s">
        <v>790</v>
      </c>
      <c r="I1236" t="s">
        <v>820</v>
      </c>
    </row>
    <row r="1237" spans="2:11" x14ac:dyDescent="0.25">
      <c r="B1237" s="191"/>
      <c r="C1237" s="191"/>
      <c r="D1237" s="192" t="s">
        <v>3232</v>
      </c>
      <c r="E1237" t="s">
        <v>3231</v>
      </c>
      <c r="F1237" s="192" t="s">
        <v>3217</v>
      </c>
      <c r="G1237" s="192" t="s">
        <v>790</v>
      </c>
      <c r="H1237" s="192" t="s">
        <v>790</v>
      </c>
      <c r="I1237" t="s">
        <v>2847</v>
      </c>
      <c r="J1237" t="s">
        <v>865</v>
      </c>
      <c r="K1237" t="s">
        <v>797</v>
      </c>
    </row>
    <row r="1238" spans="2:11" x14ac:dyDescent="0.25">
      <c r="B1238" s="191"/>
      <c r="C1238" s="191" t="s">
        <v>3233</v>
      </c>
      <c r="D1238" s="192"/>
      <c r="E1238" s="185" t="s">
        <v>3234</v>
      </c>
      <c r="F1238" s="192" t="s">
        <v>789</v>
      </c>
      <c r="G1238" s="192" t="s">
        <v>790</v>
      </c>
      <c r="H1238" s="192" t="s">
        <v>790</v>
      </c>
      <c r="I1238" t="s">
        <v>820</v>
      </c>
    </row>
    <row r="1239" spans="2:11" x14ac:dyDescent="0.25">
      <c r="B1239" s="191"/>
      <c r="C1239" s="191"/>
      <c r="D1239" s="192" t="s">
        <v>3235</v>
      </c>
      <c r="E1239" t="s">
        <v>3234</v>
      </c>
      <c r="F1239" s="192" t="s">
        <v>3217</v>
      </c>
      <c r="G1239" s="192" t="s">
        <v>790</v>
      </c>
      <c r="H1239" s="192" t="s">
        <v>790</v>
      </c>
      <c r="I1239" t="s">
        <v>2847</v>
      </c>
      <c r="J1239" t="s">
        <v>796</v>
      </c>
      <c r="K1239" t="s">
        <v>797</v>
      </c>
    </row>
    <row r="1240" spans="2:11" x14ac:dyDescent="0.25">
      <c r="B1240" s="191"/>
      <c r="C1240" s="191" t="s">
        <v>3236</v>
      </c>
      <c r="D1240" s="192"/>
      <c r="E1240" s="185" t="s">
        <v>3237</v>
      </c>
      <c r="F1240" s="192" t="s">
        <v>789</v>
      </c>
      <c r="G1240" s="192" t="s">
        <v>790</v>
      </c>
      <c r="H1240" s="192" t="s">
        <v>790</v>
      </c>
      <c r="I1240" t="s">
        <v>2847</v>
      </c>
    </row>
    <row r="1241" spans="2:11" x14ac:dyDescent="0.25">
      <c r="B1241" s="191"/>
      <c r="C1241" s="191"/>
      <c r="D1241" s="192" t="s">
        <v>3238</v>
      </c>
      <c r="E1241" t="s">
        <v>3237</v>
      </c>
      <c r="F1241" s="192" t="s">
        <v>3217</v>
      </c>
      <c r="G1241" s="192" t="s">
        <v>790</v>
      </c>
      <c r="H1241" s="192" t="s">
        <v>790</v>
      </c>
      <c r="I1241" t="s">
        <v>2847</v>
      </c>
      <c r="J1241" t="s">
        <v>865</v>
      </c>
      <c r="K1241" t="s">
        <v>797</v>
      </c>
    </row>
    <row r="1242" spans="2:11" x14ac:dyDescent="0.25">
      <c r="B1242" s="191" t="s">
        <v>3239</v>
      </c>
      <c r="C1242" s="191"/>
      <c r="D1242" s="192"/>
      <c r="E1242" s="185" t="s">
        <v>3240</v>
      </c>
      <c r="F1242" s="192" t="s">
        <v>789</v>
      </c>
      <c r="G1242" s="192" t="s">
        <v>790</v>
      </c>
      <c r="H1242" s="192" t="s">
        <v>790</v>
      </c>
      <c r="I1242" t="s">
        <v>2847</v>
      </c>
    </row>
    <row r="1243" spans="2:11" x14ac:dyDescent="0.25">
      <c r="B1243" s="191"/>
      <c r="C1243" s="191" t="s">
        <v>3241</v>
      </c>
      <c r="D1243" s="192"/>
      <c r="E1243" s="185" t="s">
        <v>2630</v>
      </c>
      <c r="F1243" s="192" t="s">
        <v>789</v>
      </c>
      <c r="G1243" s="192" t="s">
        <v>790</v>
      </c>
      <c r="H1243" s="192" t="s">
        <v>790</v>
      </c>
      <c r="I1243" t="s">
        <v>2847</v>
      </c>
    </row>
    <row r="1244" spans="2:11" x14ac:dyDescent="0.25">
      <c r="B1244" s="191"/>
      <c r="C1244" s="191"/>
      <c r="D1244" s="192" t="s">
        <v>3242</v>
      </c>
      <c r="E1244" t="s">
        <v>3243</v>
      </c>
      <c r="F1244" s="192" t="s">
        <v>3244</v>
      </c>
      <c r="G1244" s="192" t="s">
        <v>790</v>
      </c>
      <c r="H1244" s="192" t="s">
        <v>790</v>
      </c>
      <c r="I1244" t="s">
        <v>2847</v>
      </c>
      <c r="J1244" t="s">
        <v>865</v>
      </c>
      <c r="K1244" t="s">
        <v>797</v>
      </c>
    </row>
    <row r="1245" spans="2:11" x14ac:dyDescent="0.25">
      <c r="B1245" s="191"/>
      <c r="C1245" s="191"/>
      <c r="D1245" s="192" t="s">
        <v>3245</v>
      </c>
      <c r="E1245" t="s">
        <v>3246</v>
      </c>
      <c r="F1245" s="192" t="s">
        <v>3244</v>
      </c>
      <c r="G1245" s="192" t="s">
        <v>790</v>
      </c>
      <c r="H1245" s="192" t="s">
        <v>790</v>
      </c>
      <c r="I1245" t="s">
        <v>2847</v>
      </c>
      <c r="J1245" t="s">
        <v>865</v>
      </c>
      <c r="K1245" t="s">
        <v>797</v>
      </c>
    </row>
    <row r="1246" spans="2:11" x14ac:dyDescent="0.25">
      <c r="B1246" s="191"/>
      <c r="C1246" s="191" t="s">
        <v>3247</v>
      </c>
      <c r="D1246" s="192"/>
      <c r="E1246" s="185" t="s">
        <v>2637</v>
      </c>
      <c r="F1246" s="192" t="s">
        <v>789</v>
      </c>
      <c r="G1246" s="192" t="s">
        <v>790</v>
      </c>
      <c r="H1246" s="192" t="s">
        <v>790</v>
      </c>
      <c r="I1246" t="s">
        <v>2847</v>
      </c>
    </row>
    <row r="1247" spans="2:11" x14ac:dyDescent="0.25">
      <c r="B1247" s="191"/>
      <c r="C1247" s="191"/>
      <c r="D1247" s="192" t="s">
        <v>3248</v>
      </c>
      <c r="E1247" t="s">
        <v>3249</v>
      </c>
      <c r="F1247" s="192" t="s">
        <v>3244</v>
      </c>
      <c r="G1247" s="192" t="s">
        <v>790</v>
      </c>
      <c r="H1247" s="192" t="s">
        <v>790</v>
      </c>
      <c r="I1247" t="s">
        <v>2847</v>
      </c>
      <c r="J1247" t="s">
        <v>865</v>
      </c>
      <c r="K1247" t="s">
        <v>797</v>
      </c>
    </row>
    <row r="1248" spans="2:11" x14ac:dyDescent="0.25">
      <c r="B1248" s="191"/>
      <c r="C1248" s="191"/>
      <c r="D1248" s="192" t="s">
        <v>3250</v>
      </c>
      <c r="E1248" t="s">
        <v>3251</v>
      </c>
      <c r="F1248" s="192" t="s">
        <v>3244</v>
      </c>
      <c r="G1248" s="192" t="s">
        <v>790</v>
      </c>
      <c r="H1248" s="192" t="s">
        <v>790</v>
      </c>
      <c r="I1248" t="s">
        <v>2847</v>
      </c>
      <c r="J1248" t="s">
        <v>865</v>
      </c>
      <c r="K1248" t="s">
        <v>797</v>
      </c>
    </row>
    <row r="1249" spans="2:11" x14ac:dyDescent="0.25">
      <c r="B1249" s="191"/>
      <c r="C1249" s="191" t="s">
        <v>3252</v>
      </c>
      <c r="D1249" s="192"/>
      <c r="E1249" s="185" t="s">
        <v>2643</v>
      </c>
      <c r="F1249" s="192" t="s">
        <v>789</v>
      </c>
      <c r="G1249" s="192" t="s">
        <v>790</v>
      </c>
      <c r="H1249" s="192" t="s">
        <v>790</v>
      </c>
      <c r="I1249" t="s">
        <v>2847</v>
      </c>
    </row>
    <row r="1250" spans="2:11" x14ac:dyDescent="0.25">
      <c r="B1250" s="191"/>
      <c r="C1250" s="191"/>
      <c r="D1250" s="192" t="s">
        <v>3253</v>
      </c>
      <c r="E1250" t="s">
        <v>3254</v>
      </c>
      <c r="F1250" s="192" t="s">
        <v>3244</v>
      </c>
      <c r="G1250" s="192" t="s">
        <v>790</v>
      </c>
      <c r="H1250" s="192" t="s">
        <v>790</v>
      </c>
      <c r="I1250" t="s">
        <v>2847</v>
      </c>
      <c r="J1250" t="s">
        <v>865</v>
      </c>
      <c r="K1250" t="s">
        <v>797</v>
      </c>
    </row>
    <row r="1251" spans="2:11" x14ac:dyDescent="0.25">
      <c r="B1251" s="191"/>
      <c r="C1251" s="191"/>
      <c r="D1251" s="192" t="s">
        <v>3255</v>
      </c>
      <c r="E1251" t="s">
        <v>3256</v>
      </c>
      <c r="F1251" s="192" t="s">
        <v>3244</v>
      </c>
      <c r="G1251" s="192" t="s">
        <v>790</v>
      </c>
      <c r="H1251" s="192" t="s">
        <v>790</v>
      </c>
      <c r="I1251" t="s">
        <v>2847</v>
      </c>
      <c r="J1251" t="s">
        <v>865</v>
      </c>
      <c r="K1251" t="s">
        <v>797</v>
      </c>
    </row>
    <row r="1252" spans="2:11" x14ac:dyDescent="0.25">
      <c r="B1252" s="191"/>
      <c r="C1252" s="191" t="s">
        <v>3257</v>
      </c>
      <c r="D1252" s="192"/>
      <c r="E1252" s="185" t="s">
        <v>3258</v>
      </c>
      <c r="F1252" s="192" t="s">
        <v>789</v>
      </c>
      <c r="G1252" s="192" t="s">
        <v>790</v>
      </c>
      <c r="H1252" s="192" t="s">
        <v>790</v>
      </c>
      <c r="I1252" t="s">
        <v>2847</v>
      </c>
    </row>
    <row r="1253" spans="2:11" x14ac:dyDescent="0.25">
      <c r="B1253" s="191"/>
      <c r="C1253" s="191"/>
      <c r="D1253" s="192" t="s">
        <v>3259</v>
      </c>
      <c r="E1253" t="s">
        <v>3260</v>
      </c>
      <c r="F1253" s="192" t="s">
        <v>3244</v>
      </c>
      <c r="G1253" s="192" t="s">
        <v>790</v>
      </c>
      <c r="H1253" s="192" t="s">
        <v>790</v>
      </c>
      <c r="I1253" t="s">
        <v>2847</v>
      </c>
      <c r="J1253" t="s">
        <v>865</v>
      </c>
      <c r="K1253" t="s">
        <v>797</v>
      </c>
    </row>
    <row r="1254" spans="2:11" x14ac:dyDescent="0.25">
      <c r="B1254" s="191"/>
      <c r="C1254" s="191" t="s">
        <v>3261</v>
      </c>
      <c r="D1254" s="192"/>
      <c r="E1254" s="185" t="s">
        <v>3262</v>
      </c>
      <c r="F1254" s="192" t="s">
        <v>789</v>
      </c>
      <c r="G1254" s="192" t="s">
        <v>790</v>
      </c>
      <c r="H1254" s="192" t="s">
        <v>790</v>
      </c>
      <c r="I1254" t="s">
        <v>2847</v>
      </c>
    </row>
    <row r="1255" spans="2:11" x14ac:dyDescent="0.25">
      <c r="B1255" s="191"/>
      <c r="C1255" s="191"/>
      <c r="D1255" s="192" t="s">
        <v>3263</v>
      </c>
      <c r="E1255" t="s">
        <v>3264</v>
      </c>
      <c r="F1255" s="192" t="s">
        <v>3244</v>
      </c>
      <c r="G1255" s="192" t="s">
        <v>790</v>
      </c>
      <c r="H1255" s="192" t="s">
        <v>790</v>
      </c>
      <c r="I1255" t="s">
        <v>2847</v>
      </c>
      <c r="J1255" t="s">
        <v>865</v>
      </c>
      <c r="K1255" t="s">
        <v>797</v>
      </c>
    </row>
    <row r="1256" spans="2:11" x14ac:dyDescent="0.25">
      <c r="B1256" s="191"/>
      <c r="C1256" s="191" t="s">
        <v>3265</v>
      </c>
      <c r="D1256" s="192"/>
      <c r="E1256" s="185" t="s">
        <v>3266</v>
      </c>
      <c r="F1256" s="192" t="s">
        <v>789</v>
      </c>
      <c r="G1256" s="192" t="s">
        <v>790</v>
      </c>
      <c r="H1256" s="192" t="s">
        <v>790</v>
      </c>
      <c r="I1256" t="s">
        <v>2847</v>
      </c>
    </row>
    <row r="1257" spans="2:11" x14ac:dyDescent="0.25">
      <c r="B1257" s="191"/>
      <c r="C1257" s="191"/>
      <c r="D1257" s="192" t="s">
        <v>3267</v>
      </c>
      <c r="E1257" t="s">
        <v>3268</v>
      </c>
      <c r="F1257" s="192" t="s">
        <v>3244</v>
      </c>
      <c r="G1257" s="192" t="s">
        <v>790</v>
      </c>
      <c r="H1257" s="192" t="s">
        <v>790</v>
      </c>
      <c r="I1257" t="s">
        <v>2847</v>
      </c>
      <c r="J1257" t="s">
        <v>865</v>
      </c>
      <c r="K1257" t="s">
        <v>797</v>
      </c>
    </row>
    <row r="1258" spans="2:11" x14ac:dyDescent="0.25">
      <c r="B1258" s="191"/>
      <c r="C1258" s="191" t="s">
        <v>3269</v>
      </c>
      <c r="D1258" s="192"/>
      <c r="E1258" s="185" t="s">
        <v>3270</v>
      </c>
      <c r="F1258" s="192" t="s">
        <v>789</v>
      </c>
      <c r="G1258" s="192" t="s">
        <v>790</v>
      </c>
      <c r="H1258" s="192" t="s">
        <v>790</v>
      </c>
      <c r="I1258" t="s">
        <v>820</v>
      </c>
    </row>
    <row r="1259" spans="2:11" x14ac:dyDescent="0.25">
      <c r="B1259" s="191"/>
      <c r="C1259" s="191"/>
      <c r="D1259" s="192" t="s">
        <v>3271</v>
      </c>
      <c r="E1259" t="s">
        <v>3272</v>
      </c>
      <c r="F1259" s="192" t="s">
        <v>3244</v>
      </c>
      <c r="G1259" s="192" t="s">
        <v>790</v>
      </c>
      <c r="H1259" s="192" t="s">
        <v>790</v>
      </c>
      <c r="I1259" t="s">
        <v>2847</v>
      </c>
      <c r="J1259" t="s">
        <v>865</v>
      </c>
      <c r="K1259" t="s">
        <v>797</v>
      </c>
    </row>
    <row r="1260" spans="2:11" x14ac:dyDescent="0.25">
      <c r="B1260" s="191" t="s">
        <v>3273</v>
      </c>
      <c r="C1260" s="191"/>
      <c r="D1260" s="192"/>
      <c r="E1260" s="185" t="s">
        <v>3274</v>
      </c>
      <c r="F1260" s="192" t="s">
        <v>789</v>
      </c>
      <c r="G1260" s="192" t="s">
        <v>790</v>
      </c>
      <c r="H1260" s="192" t="s">
        <v>790</v>
      </c>
      <c r="I1260" t="s">
        <v>2847</v>
      </c>
      <c r="J1260" t="s">
        <v>865</v>
      </c>
    </row>
    <row r="1261" spans="2:11" x14ac:dyDescent="0.25">
      <c r="B1261" s="191"/>
      <c r="C1261" s="191" t="s">
        <v>3275</v>
      </c>
      <c r="D1261" s="192"/>
      <c r="E1261" s="185" t="s">
        <v>3276</v>
      </c>
      <c r="F1261" s="192" t="s">
        <v>789</v>
      </c>
      <c r="G1261" s="192" t="s">
        <v>790</v>
      </c>
      <c r="H1261" s="192" t="s">
        <v>790</v>
      </c>
      <c r="I1261" t="s">
        <v>2847</v>
      </c>
    </row>
    <row r="1262" spans="2:11" x14ac:dyDescent="0.25">
      <c r="B1262" s="191"/>
      <c r="C1262" s="191"/>
      <c r="D1262" s="192" t="s">
        <v>3277</v>
      </c>
      <c r="E1262" t="s">
        <v>3278</v>
      </c>
      <c r="F1262" s="192" t="s">
        <v>3279</v>
      </c>
      <c r="G1262" s="192" t="s">
        <v>790</v>
      </c>
      <c r="H1262" s="192" t="s">
        <v>790</v>
      </c>
      <c r="I1262" t="s">
        <v>2847</v>
      </c>
      <c r="J1262" t="s">
        <v>796</v>
      </c>
      <c r="K1262" t="s">
        <v>797</v>
      </c>
    </row>
    <row r="1263" spans="2:11" x14ac:dyDescent="0.25">
      <c r="B1263" s="191"/>
      <c r="C1263" s="191"/>
      <c r="D1263" s="192" t="s">
        <v>3280</v>
      </c>
      <c r="E1263" t="s">
        <v>3281</v>
      </c>
      <c r="F1263" s="192" t="s">
        <v>3279</v>
      </c>
      <c r="G1263" s="192" t="s">
        <v>790</v>
      </c>
      <c r="H1263" s="192" t="s">
        <v>790</v>
      </c>
      <c r="I1263" t="s">
        <v>2847</v>
      </c>
      <c r="J1263" t="s">
        <v>796</v>
      </c>
      <c r="K1263" t="s">
        <v>797</v>
      </c>
    </row>
    <row r="1264" spans="2:11" x14ac:dyDescent="0.25">
      <c r="B1264" s="191"/>
      <c r="C1264" s="191" t="s">
        <v>3282</v>
      </c>
      <c r="D1264" s="192"/>
      <c r="E1264" s="185" t="s">
        <v>3283</v>
      </c>
      <c r="F1264" s="192" t="s">
        <v>789</v>
      </c>
      <c r="G1264" s="192" t="s">
        <v>790</v>
      </c>
      <c r="H1264" s="192" t="s">
        <v>790</v>
      </c>
      <c r="I1264" t="s">
        <v>2847</v>
      </c>
    </row>
    <row r="1265" spans="2:11" x14ac:dyDescent="0.25">
      <c r="B1265" s="191"/>
      <c r="C1265" s="191"/>
      <c r="D1265" s="192" t="s">
        <v>3284</v>
      </c>
      <c r="E1265" t="s">
        <v>3283</v>
      </c>
      <c r="F1265" s="192" t="s">
        <v>3279</v>
      </c>
      <c r="G1265" s="192" t="s">
        <v>790</v>
      </c>
      <c r="H1265" s="192" t="s">
        <v>790</v>
      </c>
      <c r="I1265" t="s">
        <v>2847</v>
      </c>
      <c r="J1265" t="s">
        <v>865</v>
      </c>
      <c r="K1265" t="s">
        <v>797</v>
      </c>
    </row>
    <row r="1266" spans="2:11" x14ac:dyDescent="0.25">
      <c r="B1266" s="191" t="s">
        <v>3285</v>
      </c>
      <c r="C1266" s="191"/>
      <c r="D1266" s="192"/>
      <c r="E1266" s="185" t="s">
        <v>3286</v>
      </c>
      <c r="F1266" s="192" t="s">
        <v>789</v>
      </c>
      <c r="G1266" s="192" t="s">
        <v>790</v>
      </c>
      <c r="H1266" s="192" t="s">
        <v>790</v>
      </c>
      <c r="I1266" t="s">
        <v>2847</v>
      </c>
    </row>
    <row r="1267" spans="2:11" x14ac:dyDescent="0.25">
      <c r="B1267" s="191"/>
      <c r="C1267" s="191" t="s">
        <v>3287</v>
      </c>
      <c r="D1267" s="192"/>
      <c r="E1267" s="185" t="s">
        <v>3286</v>
      </c>
      <c r="F1267" s="192" t="s">
        <v>789</v>
      </c>
      <c r="G1267" s="192" t="s">
        <v>790</v>
      </c>
      <c r="H1267" s="192" t="s">
        <v>790</v>
      </c>
      <c r="I1267" t="s">
        <v>2847</v>
      </c>
    </row>
    <row r="1268" spans="2:11" x14ac:dyDescent="0.25">
      <c r="B1268" s="191"/>
      <c r="C1268" s="191"/>
      <c r="D1268" s="192" t="s">
        <v>3288</v>
      </c>
      <c r="E1268" t="s">
        <v>3286</v>
      </c>
      <c r="F1268" s="192" t="s">
        <v>3289</v>
      </c>
      <c r="G1268" s="192" t="s">
        <v>790</v>
      </c>
      <c r="H1268" s="192" t="s">
        <v>790</v>
      </c>
      <c r="I1268" t="s">
        <v>2847</v>
      </c>
      <c r="J1268" t="s">
        <v>865</v>
      </c>
      <c r="K1268" t="s">
        <v>797</v>
      </c>
    </row>
    <row r="1269" spans="2:11" x14ac:dyDescent="0.25">
      <c r="B1269" s="191"/>
      <c r="C1269" s="191" t="s">
        <v>3290</v>
      </c>
      <c r="D1269" s="192"/>
      <c r="E1269" s="185" t="s">
        <v>3291</v>
      </c>
      <c r="F1269" s="192" t="s">
        <v>789</v>
      </c>
      <c r="G1269" s="192" t="s">
        <v>790</v>
      </c>
      <c r="H1269" s="192" t="s">
        <v>790</v>
      </c>
      <c r="I1269" t="s">
        <v>2847</v>
      </c>
    </row>
    <row r="1270" spans="2:11" x14ac:dyDescent="0.25">
      <c r="B1270" s="191"/>
      <c r="C1270" s="191"/>
      <c r="D1270" s="192" t="s">
        <v>3292</v>
      </c>
      <c r="E1270" t="s">
        <v>3291</v>
      </c>
      <c r="F1270" s="192" t="s">
        <v>3289</v>
      </c>
      <c r="G1270" s="192" t="s">
        <v>790</v>
      </c>
      <c r="H1270" s="192" t="s">
        <v>790</v>
      </c>
      <c r="I1270" t="s">
        <v>2847</v>
      </c>
      <c r="J1270" t="s">
        <v>865</v>
      </c>
      <c r="K1270" t="s">
        <v>797</v>
      </c>
    </row>
    <row r="1271" spans="2:11" x14ac:dyDescent="0.25">
      <c r="B1271" s="191" t="s">
        <v>3293</v>
      </c>
      <c r="C1271" s="191"/>
      <c r="D1271" s="192"/>
      <c r="E1271" s="185" t="s">
        <v>3294</v>
      </c>
      <c r="F1271" s="192" t="s">
        <v>789</v>
      </c>
      <c r="G1271" s="192" t="s">
        <v>790</v>
      </c>
      <c r="H1271" s="192" t="s">
        <v>790</v>
      </c>
      <c r="I1271" t="s">
        <v>2847</v>
      </c>
    </row>
    <row r="1272" spans="2:11" x14ac:dyDescent="0.25">
      <c r="B1272" s="191"/>
      <c r="C1272" s="191" t="s">
        <v>3295</v>
      </c>
      <c r="D1272" s="192"/>
      <c r="E1272" s="185" t="s">
        <v>3296</v>
      </c>
      <c r="F1272" s="192" t="s">
        <v>789</v>
      </c>
      <c r="G1272" s="192" t="s">
        <v>790</v>
      </c>
      <c r="H1272" s="192" t="s">
        <v>790</v>
      </c>
      <c r="I1272" t="s">
        <v>2847</v>
      </c>
    </row>
    <row r="1273" spans="2:11" x14ac:dyDescent="0.25">
      <c r="B1273" s="191"/>
      <c r="C1273" s="191"/>
      <c r="D1273" s="192" t="s">
        <v>3297</v>
      </c>
      <c r="E1273" t="s">
        <v>3296</v>
      </c>
      <c r="F1273" s="192" t="s">
        <v>3298</v>
      </c>
      <c r="G1273" s="192" t="s">
        <v>790</v>
      </c>
      <c r="H1273" s="192" t="s">
        <v>790</v>
      </c>
      <c r="I1273" t="s">
        <v>2847</v>
      </c>
      <c r="J1273" t="s">
        <v>865</v>
      </c>
      <c r="K1273" t="s">
        <v>797</v>
      </c>
    </row>
    <row r="1274" spans="2:11" x14ac:dyDescent="0.25">
      <c r="B1274" s="191"/>
      <c r="C1274" s="191" t="s">
        <v>3299</v>
      </c>
      <c r="D1274" s="192"/>
      <c r="E1274" s="185" t="s">
        <v>3300</v>
      </c>
      <c r="F1274" s="192" t="s">
        <v>789</v>
      </c>
      <c r="G1274" s="192" t="s">
        <v>790</v>
      </c>
      <c r="H1274" s="192" t="s">
        <v>790</v>
      </c>
      <c r="I1274" t="s">
        <v>2847</v>
      </c>
    </row>
    <row r="1275" spans="2:11" x14ac:dyDescent="0.25">
      <c r="B1275" s="191"/>
      <c r="C1275" s="191"/>
      <c r="D1275" s="192" t="s">
        <v>3301</v>
      </c>
      <c r="E1275" t="s">
        <v>3302</v>
      </c>
      <c r="F1275" s="192" t="s">
        <v>3298</v>
      </c>
      <c r="G1275" s="192" t="s">
        <v>790</v>
      </c>
      <c r="H1275" s="192" t="s">
        <v>790</v>
      </c>
      <c r="I1275" t="s">
        <v>2847</v>
      </c>
      <c r="J1275" t="s">
        <v>865</v>
      </c>
      <c r="K1275" t="s">
        <v>797</v>
      </c>
    </row>
    <row r="1276" spans="2:11" x14ac:dyDescent="0.25">
      <c r="B1276" s="191"/>
      <c r="C1276" s="191"/>
      <c r="D1276" s="192" t="s">
        <v>3303</v>
      </c>
      <c r="E1276" t="s">
        <v>3304</v>
      </c>
      <c r="F1276" s="192" t="s">
        <v>3298</v>
      </c>
      <c r="G1276" s="192" t="s">
        <v>790</v>
      </c>
      <c r="H1276" s="192" t="s">
        <v>790</v>
      </c>
      <c r="I1276" t="s">
        <v>2847</v>
      </c>
      <c r="J1276" t="s">
        <v>865</v>
      </c>
      <c r="K1276" t="s">
        <v>797</v>
      </c>
    </row>
    <row r="1277" spans="2:11" x14ac:dyDescent="0.25">
      <c r="B1277" s="191"/>
      <c r="C1277" s="191"/>
      <c r="D1277" s="192" t="s">
        <v>3305</v>
      </c>
      <c r="E1277" t="s">
        <v>3306</v>
      </c>
      <c r="F1277" s="192" t="s">
        <v>3298</v>
      </c>
      <c r="G1277" s="192" t="s">
        <v>790</v>
      </c>
      <c r="H1277" s="192" t="s">
        <v>790</v>
      </c>
      <c r="I1277" t="s">
        <v>2847</v>
      </c>
      <c r="J1277" t="s">
        <v>865</v>
      </c>
      <c r="K1277" t="s">
        <v>797</v>
      </c>
    </row>
    <row r="1278" spans="2:11" x14ac:dyDescent="0.25">
      <c r="B1278" s="191"/>
      <c r="C1278" s="191"/>
      <c r="D1278" s="192" t="s">
        <v>3307</v>
      </c>
      <c r="E1278" t="s">
        <v>3308</v>
      </c>
      <c r="F1278" s="192" t="s">
        <v>3298</v>
      </c>
      <c r="G1278" s="192" t="s">
        <v>790</v>
      </c>
      <c r="H1278" s="192" t="s">
        <v>790</v>
      </c>
      <c r="I1278" t="s">
        <v>2847</v>
      </c>
      <c r="J1278" t="s">
        <v>865</v>
      </c>
      <c r="K1278" t="s">
        <v>797</v>
      </c>
    </row>
    <row r="1279" spans="2:11" x14ac:dyDescent="0.25">
      <c r="B1279" s="191"/>
      <c r="C1279" s="191" t="s">
        <v>3309</v>
      </c>
      <c r="D1279" s="192"/>
      <c r="E1279" s="185" t="s">
        <v>3310</v>
      </c>
      <c r="F1279" s="192" t="s">
        <v>789</v>
      </c>
      <c r="G1279" s="192" t="s">
        <v>790</v>
      </c>
      <c r="H1279" s="192" t="s">
        <v>790</v>
      </c>
      <c r="I1279" t="s">
        <v>2847</v>
      </c>
    </row>
    <row r="1280" spans="2:11" x14ac:dyDescent="0.25">
      <c r="B1280" s="191"/>
      <c r="C1280" s="191"/>
      <c r="D1280" s="192" t="s">
        <v>3311</v>
      </c>
      <c r="E1280" t="s">
        <v>3310</v>
      </c>
      <c r="F1280" s="192" t="s">
        <v>3298</v>
      </c>
      <c r="G1280" s="192" t="s">
        <v>790</v>
      </c>
      <c r="H1280" s="192" t="s">
        <v>790</v>
      </c>
      <c r="I1280" t="s">
        <v>2847</v>
      </c>
      <c r="J1280" t="s">
        <v>865</v>
      </c>
      <c r="K1280" t="s">
        <v>797</v>
      </c>
    </row>
    <row r="1281" spans="2:11" x14ac:dyDescent="0.25">
      <c r="B1281" s="191" t="s">
        <v>3312</v>
      </c>
      <c r="C1281" s="191"/>
      <c r="D1281" s="192"/>
      <c r="E1281" s="185" t="s">
        <v>3313</v>
      </c>
      <c r="F1281" s="192" t="s">
        <v>789</v>
      </c>
      <c r="G1281" s="192" t="s">
        <v>790</v>
      </c>
      <c r="H1281" s="192" t="s">
        <v>790</v>
      </c>
      <c r="I1281" t="s">
        <v>2847</v>
      </c>
      <c r="J1281" t="s">
        <v>865</v>
      </c>
    </row>
    <row r="1282" spans="2:11" x14ac:dyDescent="0.25">
      <c r="B1282" s="191"/>
      <c r="C1282" s="191" t="s">
        <v>3314</v>
      </c>
      <c r="D1282" s="192"/>
      <c r="E1282" s="185" t="s">
        <v>3315</v>
      </c>
      <c r="F1282" s="192" t="s">
        <v>789</v>
      </c>
      <c r="G1282" s="192" t="s">
        <v>790</v>
      </c>
      <c r="H1282" s="192" t="s">
        <v>790</v>
      </c>
      <c r="I1282" t="s">
        <v>2847</v>
      </c>
    </row>
    <row r="1283" spans="2:11" x14ac:dyDescent="0.25">
      <c r="B1283" s="191"/>
      <c r="C1283" s="191"/>
      <c r="D1283" s="192" t="s">
        <v>3316</v>
      </c>
      <c r="E1283" t="s">
        <v>3315</v>
      </c>
      <c r="F1283" s="192" t="s">
        <v>3317</v>
      </c>
      <c r="G1283" s="192" t="s">
        <v>790</v>
      </c>
      <c r="H1283" s="192" t="s">
        <v>790</v>
      </c>
      <c r="I1283" t="s">
        <v>2847</v>
      </c>
      <c r="J1283" t="s">
        <v>865</v>
      </c>
      <c r="K1283" t="s">
        <v>797</v>
      </c>
    </row>
    <row r="1284" spans="2:11" x14ac:dyDescent="0.25">
      <c r="B1284" s="191"/>
      <c r="C1284" s="191" t="s">
        <v>3318</v>
      </c>
      <c r="D1284" s="192"/>
      <c r="E1284" s="185" t="s">
        <v>3319</v>
      </c>
      <c r="F1284" s="192" t="s">
        <v>789</v>
      </c>
      <c r="G1284" s="192" t="s">
        <v>790</v>
      </c>
      <c r="H1284" s="192" t="s">
        <v>790</v>
      </c>
      <c r="I1284" t="s">
        <v>2847</v>
      </c>
    </row>
    <row r="1285" spans="2:11" x14ac:dyDescent="0.25">
      <c r="B1285" s="191"/>
      <c r="C1285" s="191"/>
      <c r="D1285" s="192" t="s">
        <v>3320</v>
      </c>
      <c r="E1285" t="s">
        <v>3319</v>
      </c>
      <c r="F1285" s="192" t="s">
        <v>3317</v>
      </c>
      <c r="G1285" s="192" t="s">
        <v>790</v>
      </c>
      <c r="H1285" s="192" t="s">
        <v>790</v>
      </c>
      <c r="I1285" t="s">
        <v>2847</v>
      </c>
      <c r="J1285" t="s">
        <v>865</v>
      </c>
      <c r="K1285" t="s">
        <v>797</v>
      </c>
    </row>
    <row r="1286" spans="2:11" x14ac:dyDescent="0.25">
      <c r="B1286" s="191"/>
      <c r="C1286" s="191" t="s">
        <v>3321</v>
      </c>
      <c r="D1286" s="192"/>
      <c r="E1286" s="185" t="s">
        <v>3322</v>
      </c>
      <c r="F1286" s="192" t="s">
        <v>789</v>
      </c>
      <c r="G1286" s="192" t="s">
        <v>790</v>
      </c>
      <c r="H1286" s="192" t="s">
        <v>790</v>
      </c>
      <c r="I1286" t="s">
        <v>2847</v>
      </c>
    </row>
    <row r="1287" spans="2:11" x14ac:dyDescent="0.25">
      <c r="B1287" s="191"/>
      <c r="C1287" s="191"/>
      <c r="D1287" s="192" t="s">
        <v>3323</v>
      </c>
      <c r="E1287" t="s">
        <v>3324</v>
      </c>
      <c r="F1287" s="192" t="s">
        <v>3317</v>
      </c>
      <c r="G1287" s="192" t="s">
        <v>790</v>
      </c>
      <c r="H1287" s="192" t="s">
        <v>790</v>
      </c>
      <c r="I1287" t="s">
        <v>2847</v>
      </c>
      <c r="J1287" t="s">
        <v>865</v>
      </c>
      <c r="K1287" t="s">
        <v>797</v>
      </c>
    </row>
    <row r="1288" spans="2:11" x14ac:dyDescent="0.25">
      <c r="B1288" s="191"/>
      <c r="C1288" s="191"/>
      <c r="D1288" s="192" t="s">
        <v>3325</v>
      </c>
      <c r="E1288" t="s">
        <v>3326</v>
      </c>
      <c r="F1288" s="192" t="s">
        <v>3317</v>
      </c>
      <c r="G1288" s="192" t="s">
        <v>790</v>
      </c>
      <c r="H1288" s="192" t="s">
        <v>790</v>
      </c>
      <c r="I1288" t="s">
        <v>2847</v>
      </c>
      <c r="J1288" t="s">
        <v>865</v>
      </c>
      <c r="K1288" t="s">
        <v>797</v>
      </c>
    </row>
    <row r="1289" spans="2:11" x14ac:dyDescent="0.25">
      <c r="B1289" s="191"/>
      <c r="C1289" s="191" t="s">
        <v>3327</v>
      </c>
      <c r="D1289" s="192"/>
      <c r="E1289" s="185" t="s">
        <v>3328</v>
      </c>
      <c r="F1289" s="192" t="s">
        <v>789</v>
      </c>
      <c r="G1289" s="192" t="s">
        <v>790</v>
      </c>
      <c r="H1289" s="192" t="s">
        <v>790</v>
      </c>
      <c r="I1289" t="s">
        <v>820</v>
      </c>
    </row>
    <row r="1290" spans="2:11" x14ac:dyDescent="0.25">
      <c r="B1290" s="191"/>
      <c r="C1290" s="191"/>
      <c r="D1290" s="192" t="s">
        <v>3329</v>
      </c>
      <c r="E1290" t="s">
        <v>3330</v>
      </c>
      <c r="F1290" s="192" t="s">
        <v>3317</v>
      </c>
      <c r="G1290" s="192" t="s">
        <v>790</v>
      </c>
      <c r="H1290" s="192" t="s">
        <v>790</v>
      </c>
      <c r="I1290" t="s">
        <v>2847</v>
      </c>
      <c r="J1290" t="s">
        <v>796</v>
      </c>
      <c r="K1290" t="s">
        <v>797</v>
      </c>
    </row>
    <row r="1291" spans="2:11" x14ac:dyDescent="0.25">
      <c r="B1291" s="191"/>
      <c r="C1291" s="191"/>
      <c r="D1291" s="192" t="s">
        <v>3331</v>
      </c>
      <c r="E1291" t="s">
        <v>3332</v>
      </c>
      <c r="F1291" s="192" t="s">
        <v>3317</v>
      </c>
      <c r="G1291" s="192" t="s">
        <v>790</v>
      </c>
      <c r="H1291" s="192" t="s">
        <v>790</v>
      </c>
      <c r="I1291" t="s">
        <v>2847</v>
      </c>
      <c r="J1291" t="s">
        <v>865</v>
      </c>
      <c r="K1291" t="s">
        <v>797</v>
      </c>
    </row>
    <row r="1292" spans="2:11" x14ac:dyDescent="0.25">
      <c r="B1292" s="191"/>
      <c r="C1292" s="191" t="s">
        <v>3333</v>
      </c>
      <c r="D1292" s="192"/>
      <c r="E1292" s="185" t="s">
        <v>3334</v>
      </c>
      <c r="F1292" s="192" t="s">
        <v>789</v>
      </c>
      <c r="G1292" s="192" t="s">
        <v>790</v>
      </c>
      <c r="H1292" s="192" t="s">
        <v>790</v>
      </c>
      <c r="I1292" t="s">
        <v>820</v>
      </c>
    </row>
    <row r="1293" spans="2:11" x14ac:dyDescent="0.25">
      <c r="B1293" s="191"/>
      <c r="C1293" s="191"/>
      <c r="D1293" s="192" t="s">
        <v>3335</v>
      </c>
      <c r="E1293" t="s">
        <v>3336</v>
      </c>
      <c r="F1293" s="192" t="s">
        <v>3317</v>
      </c>
      <c r="G1293" s="192" t="s">
        <v>790</v>
      </c>
      <c r="H1293" s="192" t="s">
        <v>790</v>
      </c>
      <c r="I1293" t="s">
        <v>2847</v>
      </c>
      <c r="J1293" t="s">
        <v>796</v>
      </c>
      <c r="K1293" t="s">
        <v>797</v>
      </c>
    </row>
    <row r="1294" spans="2:11" x14ac:dyDescent="0.25">
      <c r="B1294" s="191"/>
      <c r="C1294" s="191"/>
      <c r="D1294" s="192" t="s">
        <v>3337</v>
      </c>
      <c r="E1294" t="s">
        <v>3338</v>
      </c>
      <c r="F1294" s="192" t="s">
        <v>3317</v>
      </c>
      <c r="G1294" s="192" t="s">
        <v>790</v>
      </c>
      <c r="H1294" s="192" t="s">
        <v>790</v>
      </c>
      <c r="I1294" t="s">
        <v>2847</v>
      </c>
      <c r="J1294" t="s">
        <v>796</v>
      </c>
      <c r="K1294" t="s">
        <v>797</v>
      </c>
    </row>
    <row r="1295" spans="2:11" x14ac:dyDescent="0.25">
      <c r="B1295" s="191" t="s">
        <v>3339</v>
      </c>
      <c r="C1295" s="191"/>
      <c r="D1295" s="192"/>
      <c r="E1295" s="185" t="s">
        <v>3340</v>
      </c>
      <c r="F1295" s="192" t="s">
        <v>789</v>
      </c>
      <c r="G1295" s="192" t="s">
        <v>790</v>
      </c>
      <c r="H1295" s="192" t="s">
        <v>790</v>
      </c>
      <c r="I1295" t="s">
        <v>2847</v>
      </c>
      <c r="J1295" t="s">
        <v>865</v>
      </c>
    </row>
    <row r="1296" spans="2:11" x14ac:dyDescent="0.25">
      <c r="B1296" s="191"/>
      <c r="C1296" s="191" t="s">
        <v>3341</v>
      </c>
      <c r="D1296" s="192"/>
      <c r="E1296" s="185" t="s">
        <v>3340</v>
      </c>
      <c r="F1296" s="192" t="s">
        <v>789</v>
      </c>
      <c r="G1296" s="192" t="s">
        <v>790</v>
      </c>
      <c r="H1296" s="192" t="s">
        <v>790</v>
      </c>
      <c r="I1296" t="s">
        <v>2847</v>
      </c>
    </row>
    <row r="1297" spans="2:11" x14ac:dyDescent="0.25">
      <c r="B1297" s="191"/>
      <c r="C1297" s="191" t="s">
        <v>3342</v>
      </c>
      <c r="D1297" s="192"/>
      <c r="E1297" s="185" t="s">
        <v>3343</v>
      </c>
      <c r="F1297" s="192" t="s">
        <v>789</v>
      </c>
      <c r="G1297" s="192" t="s">
        <v>790</v>
      </c>
      <c r="H1297" s="192" t="s">
        <v>790</v>
      </c>
      <c r="I1297" t="s">
        <v>2847</v>
      </c>
    </row>
    <row r="1298" spans="2:11" x14ac:dyDescent="0.25">
      <c r="B1298" s="191"/>
      <c r="C1298" s="191"/>
      <c r="D1298" s="192" t="s">
        <v>3344</v>
      </c>
      <c r="E1298" t="s">
        <v>3345</v>
      </c>
      <c r="F1298" s="192" t="s">
        <v>3346</v>
      </c>
      <c r="G1298" s="192" t="s">
        <v>790</v>
      </c>
      <c r="H1298" s="192" t="s">
        <v>790</v>
      </c>
      <c r="I1298" t="s">
        <v>2847</v>
      </c>
      <c r="J1298" t="s">
        <v>865</v>
      </c>
      <c r="K1298" t="s">
        <v>797</v>
      </c>
    </row>
    <row r="1299" spans="2:11" x14ac:dyDescent="0.25">
      <c r="B1299" s="191"/>
      <c r="C1299" s="191"/>
      <c r="D1299" s="192" t="s">
        <v>3347</v>
      </c>
      <c r="E1299" t="s">
        <v>3348</v>
      </c>
      <c r="F1299" s="192" t="s">
        <v>3346</v>
      </c>
      <c r="G1299" s="192" t="s">
        <v>790</v>
      </c>
      <c r="H1299" s="192" t="s">
        <v>790</v>
      </c>
      <c r="I1299" t="s">
        <v>2847</v>
      </c>
      <c r="J1299" t="s">
        <v>865</v>
      </c>
      <c r="K1299" t="s">
        <v>797</v>
      </c>
    </row>
    <row r="1300" spans="2:11" x14ac:dyDescent="0.25">
      <c r="B1300" s="191"/>
      <c r="C1300" s="191" t="s">
        <v>3349</v>
      </c>
      <c r="D1300" s="192"/>
      <c r="E1300" s="185" t="s">
        <v>3350</v>
      </c>
      <c r="F1300" s="192" t="s">
        <v>789</v>
      </c>
      <c r="G1300" s="192" t="s">
        <v>790</v>
      </c>
      <c r="H1300" s="192" t="s">
        <v>790</v>
      </c>
      <c r="I1300" t="s">
        <v>2847</v>
      </c>
    </row>
    <row r="1301" spans="2:11" x14ac:dyDescent="0.25">
      <c r="B1301" s="191"/>
      <c r="C1301" s="191"/>
      <c r="D1301" s="192" t="s">
        <v>3351</v>
      </c>
      <c r="E1301" t="s">
        <v>3352</v>
      </c>
      <c r="F1301" s="192" t="s">
        <v>3346</v>
      </c>
      <c r="G1301" s="192" t="s">
        <v>790</v>
      </c>
      <c r="H1301" s="192" t="s">
        <v>790</v>
      </c>
      <c r="I1301" t="s">
        <v>2847</v>
      </c>
      <c r="J1301" t="s">
        <v>865</v>
      </c>
      <c r="K1301" t="s">
        <v>797</v>
      </c>
    </row>
    <row r="1302" spans="2:11" x14ac:dyDescent="0.25">
      <c r="B1302" s="191"/>
      <c r="C1302" s="191"/>
      <c r="D1302" s="192" t="s">
        <v>3353</v>
      </c>
      <c r="E1302" t="s">
        <v>3354</v>
      </c>
      <c r="F1302" s="192" t="s">
        <v>3346</v>
      </c>
      <c r="G1302" s="192" t="s">
        <v>790</v>
      </c>
      <c r="H1302" s="192" t="s">
        <v>790</v>
      </c>
      <c r="I1302" t="s">
        <v>2847</v>
      </c>
      <c r="J1302" t="s">
        <v>865</v>
      </c>
      <c r="K1302" t="s">
        <v>797</v>
      </c>
    </row>
    <row r="1303" spans="2:11" x14ac:dyDescent="0.25">
      <c r="B1303" s="191"/>
      <c r="C1303" s="191" t="s">
        <v>3355</v>
      </c>
      <c r="D1303" s="192"/>
      <c r="E1303" s="185" t="s">
        <v>3356</v>
      </c>
      <c r="F1303" s="192" t="s">
        <v>789</v>
      </c>
      <c r="G1303" s="192" t="s">
        <v>790</v>
      </c>
      <c r="H1303" s="192" t="s">
        <v>790</v>
      </c>
      <c r="I1303" t="s">
        <v>2847</v>
      </c>
    </row>
    <row r="1304" spans="2:11" x14ac:dyDescent="0.25">
      <c r="B1304" s="191"/>
      <c r="C1304" s="191"/>
      <c r="D1304" s="192" t="s">
        <v>3357</v>
      </c>
      <c r="E1304" t="s">
        <v>3356</v>
      </c>
      <c r="F1304" s="192" t="s">
        <v>3346</v>
      </c>
      <c r="G1304" s="192" t="s">
        <v>790</v>
      </c>
      <c r="H1304" s="192" t="s">
        <v>790</v>
      </c>
      <c r="I1304" t="s">
        <v>2847</v>
      </c>
      <c r="J1304" t="s">
        <v>796</v>
      </c>
      <c r="K1304" t="s">
        <v>797</v>
      </c>
    </row>
    <row r="1305" spans="2:11" x14ac:dyDescent="0.25">
      <c r="B1305" s="191"/>
      <c r="C1305" s="191" t="s">
        <v>3358</v>
      </c>
      <c r="D1305" s="192"/>
      <c r="E1305" s="185" t="s">
        <v>3359</v>
      </c>
      <c r="F1305" s="192" t="s">
        <v>789</v>
      </c>
      <c r="G1305" s="192" t="s">
        <v>790</v>
      </c>
      <c r="H1305" s="192" t="s">
        <v>790</v>
      </c>
      <c r="I1305" t="s">
        <v>2847</v>
      </c>
    </row>
    <row r="1306" spans="2:11" x14ac:dyDescent="0.25">
      <c r="B1306" s="191"/>
      <c r="C1306" s="191"/>
      <c r="D1306" s="192" t="s">
        <v>3360</v>
      </c>
      <c r="E1306" t="s">
        <v>3359</v>
      </c>
      <c r="F1306" s="192" t="s">
        <v>3346</v>
      </c>
      <c r="G1306" s="192" t="s">
        <v>790</v>
      </c>
      <c r="H1306" s="192" t="s">
        <v>790</v>
      </c>
      <c r="I1306" t="s">
        <v>2847</v>
      </c>
      <c r="J1306" t="s">
        <v>796</v>
      </c>
      <c r="K1306" t="s">
        <v>797</v>
      </c>
    </row>
    <row r="1307" spans="2:11" x14ac:dyDescent="0.25">
      <c r="B1307" s="191"/>
      <c r="C1307" s="191" t="s">
        <v>3361</v>
      </c>
      <c r="D1307" s="192"/>
      <c r="E1307" s="185" t="s">
        <v>3362</v>
      </c>
      <c r="F1307" s="192" t="s">
        <v>789</v>
      </c>
      <c r="G1307" s="192" t="s">
        <v>790</v>
      </c>
      <c r="H1307" s="192" t="s">
        <v>790</v>
      </c>
      <c r="I1307" t="s">
        <v>2847</v>
      </c>
    </row>
    <row r="1308" spans="2:11" x14ac:dyDescent="0.25">
      <c r="B1308" s="191"/>
      <c r="C1308" s="191"/>
      <c r="D1308" s="192" t="s">
        <v>3363</v>
      </c>
      <c r="E1308" t="s">
        <v>3362</v>
      </c>
      <c r="F1308" s="192" t="s">
        <v>3346</v>
      </c>
      <c r="G1308" s="192" t="s">
        <v>790</v>
      </c>
      <c r="H1308" s="192" t="s">
        <v>790</v>
      </c>
      <c r="I1308" t="s">
        <v>2847</v>
      </c>
      <c r="J1308" t="s">
        <v>865</v>
      </c>
      <c r="K1308" t="s">
        <v>797</v>
      </c>
    </row>
    <row r="1309" spans="2:11" x14ac:dyDescent="0.25">
      <c r="B1309" s="191"/>
      <c r="C1309" s="191" t="s">
        <v>3364</v>
      </c>
      <c r="D1309" s="192"/>
      <c r="E1309" s="185" t="s">
        <v>3365</v>
      </c>
      <c r="F1309" s="192" t="s">
        <v>789</v>
      </c>
      <c r="G1309" s="192" t="s">
        <v>790</v>
      </c>
      <c r="H1309" s="192" t="s">
        <v>790</v>
      </c>
      <c r="I1309" t="s">
        <v>2847</v>
      </c>
    </row>
    <row r="1310" spans="2:11" x14ac:dyDescent="0.25">
      <c r="B1310" s="191"/>
      <c r="C1310" s="191"/>
      <c r="D1310" s="192" t="s">
        <v>3366</v>
      </c>
      <c r="E1310" t="s">
        <v>3365</v>
      </c>
      <c r="F1310" s="192" t="s">
        <v>3346</v>
      </c>
      <c r="G1310" s="192" t="s">
        <v>790</v>
      </c>
      <c r="H1310" s="192" t="s">
        <v>790</v>
      </c>
      <c r="I1310" t="s">
        <v>2847</v>
      </c>
      <c r="J1310" t="s">
        <v>865</v>
      </c>
      <c r="K1310" t="s">
        <v>797</v>
      </c>
    </row>
    <row r="1311" spans="2:11" x14ac:dyDescent="0.25">
      <c r="B1311" s="191" t="s">
        <v>3367</v>
      </c>
      <c r="C1311" s="191"/>
      <c r="D1311" s="192"/>
      <c r="E1311" s="185" t="s">
        <v>3368</v>
      </c>
      <c r="F1311" s="192" t="s">
        <v>789</v>
      </c>
      <c r="G1311" s="192" t="s">
        <v>790</v>
      </c>
      <c r="H1311" s="192" t="s">
        <v>790</v>
      </c>
      <c r="I1311" t="s">
        <v>2847</v>
      </c>
      <c r="J1311" t="s">
        <v>865</v>
      </c>
    </row>
    <row r="1312" spans="2:11" x14ac:dyDescent="0.25">
      <c r="B1312" s="191"/>
      <c r="C1312" s="191" t="s">
        <v>3369</v>
      </c>
      <c r="D1312" s="192"/>
      <c r="E1312" s="185" t="s">
        <v>3370</v>
      </c>
      <c r="F1312" s="192" t="s">
        <v>789</v>
      </c>
      <c r="G1312" s="192" t="s">
        <v>790</v>
      </c>
      <c r="H1312" s="192" t="s">
        <v>790</v>
      </c>
      <c r="I1312" t="s">
        <v>2847</v>
      </c>
    </row>
    <row r="1313" spans="2:11" x14ac:dyDescent="0.25">
      <c r="B1313" s="191"/>
      <c r="C1313" s="191"/>
      <c r="D1313" s="192" t="s">
        <v>3371</v>
      </c>
      <c r="E1313" t="s">
        <v>3370</v>
      </c>
      <c r="F1313" s="192" t="s">
        <v>3372</v>
      </c>
      <c r="G1313" s="192" t="s">
        <v>790</v>
      </c>
      <c r="H1313" s="192" t="s">
        <v>790</v>
      </c>
      <c r="I1313" t="s">
        <v>2847</v>
      </c>
      <c r="J1313" t="s">
        <v>865</v>
      </c>
      <c r="K1313" t="s">
        <v>797</v>
      </c>
    </row>
    <row r="1314" spans="2:11" x14ac:dyDescent="0.25">
      <c r="B1314" s="191"/>
      <c r="C1314" s="191" t="s">
        <v>3373</v>
      </c>
      <c r="D1314" s="192"/>
      <c r="E1314" s="185" t="s">
        <v>3374</v>
      </c>
      <c r="F1314" s="192" t="s">
        <v>789</v>
      </c>
      <c r="G1314" s="192" t="s">
        <v>790</v>
      </c>
      <c r="H1314" s="192" t="s">
        <v>790</v>
      </c>
      <c r="I1314" t="s">
        <v>2847</v>
      </c>
    </row>
    <row r="1315" spans="2:11" x14ac:dyDescent="0.25">
      <c r="B1315" s="191"/>
      <c r="C1315" s="191"/>
      <c r="D1315" s="192" t="s">
        <v>3375</v>
      </c>
      <c r="E1315" t="s">
        <v>3374</v>
      </c>
      <c r="F1315" s="192" t="s">
        <v>3372</v>
      </c>
      <c r="G1315" s="192" t="s">
        <v>790</v>
      </c>
      <c r="H1315" s="192" t="s">
        <v>790</v>
      </c>
      <c r="I1315" t="s">
        <v>2847</v>
      </c>
      <c r="J1315" t="s">
        <v>865</v>
      </c>
      <c r="K1315" t="s">
        <v>797</v>
      </c>
    </row>
    <row r="1316" spans="2:11" x14ac:dyDescent="0.25">
      <c r="B1316" s="191"/>
      <c r="C1316" s="191" t="s">
        <v>3376</v>
      </c>
      <c r="D1316" s="192"/>
      <c r="E1316" s="185" t="s">
        <v>3377</v>
      </c>
      <c r="F1316" s="192" t="s">
        <v>789</v>
      </c>
      <c r="G1316" s="192" t="s">
        <v>790</v>
      </c>
      <c r="H1316" s="192" t="s">
        <v>790</v>
      </c>
      <c r="I1316" t="s">
        <v>2847</v>
      </c>
    </row>
    <row r="1317" spans="2:11" x14ac:dyDescent="0.25">
      <c r="B1317" s="191"/>
      <c r="C1317" s="191"/>
      <c r="D1317" s="192" t="s">
        <v>3378</v>
      </c>
      <c r="E1317" t="s">
        <v>3377</v>
      </c>
      <c r="F1317" s="192" t="s">
        <v>3372</v>
      </c>
      <c r="G1317" s="192" t="s">
        <v>790</v>
      </c>
      <c r="H1317" s="192" t="s">
        <v>790</v>
      </c>
      <c r="I1317" t="s">
        <v>2847</v>
      </c>
      <c r="J1317" t="s">
        <v>865</v>
      </c>
      <c r="K1317" t="s">
        <v>797</v>
      </c>
    </row>
    <row r="1318" spans="2:11" x14ac:dyDescent="0.25">
      <c r="B1318" s="191"/>
      <c r="C1318" s="191" t="s">
        <v>3379</v>
      </c>
      <c r="D1318" s="192"/>
      <c r="E1318" s="185" t="s">
        <v>3380</v>
      </c>
      <c r="F1318" s="192" t="s">
        <v>789</v>
      </c>
      <c r="G1318" s="192" t="s">
        <v>790</v>
      </c>
      <c r="H1318" s="192" t="s">
        <v>790</v>
      </c>
      <c r="I1318" t="s">
        <v>2847</v>
      </c>
    </row>
    <row r="1319" spans="2:11" x14ac:dyDescent="0.25">
      <c r="B1319" s="191"/>
      <c r="C1319" s="191"/>
      <c r="D1319" s="192" t="s">
        <v>3381</v>
      </c>
      <c r="E1319" t="s">
        <v>3380</v>
      </c>
      <c r="F1319" s="192" t="s">
        <v>3372</v>
      </c>
      <c r="G1319" s="192" t="s">
        <v>790</v>
      </c>
      <c r="H1319" s="192" t="s">
        <v>790</v>
      </c>
      <c r="I1319" t="s">
        <v>2847</v>
      </c>
      <c r="J1319" t="s">
        <v>865</v>
      </c>
      <c r="K1319" t="s">
        <v>797</v>
      </c>
    </row>
    <row r="1320" spans="2:11" x14ac:dyDescent="0.25">
      <c r="B1320" s="191"/>
      <c r="C1320" s="191" t="s">
        <v>3382</v>
      </c>
      <c r="D1320" s="192"/>
      <c r="E1320" s="185" t="s">
        <v>3383</v>
      </c>
      <c r="F1320" s="192" t="s">
        <v>789</v>
      </c>
      <c r="G1320" s="192" t="s">
        <v>790</v>
      </c>
      <c r="H1320" s="192" t="s">
        <v>790</v>
      </c>
      <c r="I1320" t="s">
        <v>2847</v>
      </c>
    </row>
    <row r="1321" spans="2:11" x14ac:dyDescent="0.25">
      <c r="B1321" s="191"/>
      <c r="C1321" s="191"/>
      <c r="D1321" s="192" t="s">
        <v>3384</v>
      </c>
      <c r="E1321" t="s">
        <v>3383</v>
      </c>
      <c r="F1321" s="192" t="s">
        <v>3372</v>
      </c>
      <c r="G1321" s="192" t="s">
        <v>790</v>
      </c>
      <c r="H1321" s="192" t="s">
        <v>790</v>
      </c>
      <c r="I1321" t="s">
        <v>2847</v>
      </c>
      <c r="J1321" t="s">
        <v>865</v>
      </c>
      <c r="K1321" t="s">
        <v>797</v>
      </c>
    </row>
    <row r="1322" spans="2:11" x14ac:dyDescent="0.25">
      <c r="B1322" s="191"/>
      <c r="C1322" s="191" t="s">
        <v>3385</v>
      </c>
      <c r="D1322" s="192"/>
      <c r="E1322" s="185" t="s">
        <v>3386</v>
      </c>
      <c r="F1322" s="192" t="s">
        <v>789</v>
      </c>
      <c r="G1322" s="192" t="s">
        <v>790</v>
      </c>
      <c r="H1322" s="192" t="s">
        <v>790</v>
      </c>
      <c r="I1322" t="s">
        <v>2847</v>
      </c>
    </row>
    <row r="1323" spans="2:11" x14ac:dyDescent="0.25">
      <c r="B1323" s="191"/>
      <c r="C1323" s="191"/>
      <c r="D1323" s="192" t="s">
        <v>3387</v>
      </c>
      <c r="E1323" t="s">
        <v>3386</v>
      </c>
      <c r="F1323" s="192" t="s">
        <v>3372</v>
      </c>
      <c r="G1323" s="192" t="s">
        <v>790</v>
      </c>
      <c r="H1323" s="192" t="s">
        <v>790</v>
      </c>
      <c r="I1323" t="s">
        <v>2847</v>
      </c>
      <c r="J1323" t="s">
        <v>865</v>
      </c>
      <c r="K1323" t="s">
        <v>797</v>
      </c>
    </row>
    <row r="1324" spans="2:11" x14ac:dyDescent="0.25">
      <c r="B1324" s="191" t="s">
        <v>3388</v>
      </c>
      <c r="C1324" s="191"/>
      <c r="D1324" s="192"/>
      <c r="E1324" s="185" t="s">
        <v>3389</v>
      </c>
      <c r="F1324" s="192" t="s">
        <v>789</v>
      </c>
      <c r="G1324" s="192" t="s">
        <v>790</v>
      </c>
      <c r="H1324" s="192" t="s">
        <v>790</v>
      </c>
      <c r="I1324" t="s">
        <v>2847</v>
      </c>
      <c r="J1324" t="s">
        <v>865</v>
      </c>
    </row>
    <row r="1325" spans="2:11" x14ac:dyDescent="0.25">
      <c r="B1325" s="191"/>
      <c r="C1325" s="191" t="s">
        <v>3390</v>
      </c>
      <c r="D1325" s="192"/>
      <c r="E1325" s="185" t="s">
        <v>3391</v>
      </c>
      <c r="F1325" s="192" t="s">
        <v>789</v>
      </c>
      <c r="G1325" s="192" t="s">
        <v>790</v>
      </c>
      <c r="H1325" s="192" t="s">
        <v>790</v>
      </c>
      <c r="I1325" t="s">
        <v>2847</v>
      </c>
    </row>
    <row r="1326" spans="2:11" x14ac:dyDescent="0.25">
      <c r="B1326" s="191"/>
      <c r="C1326" s="191" t="s">
        <v>3392</v>
      </c>
      <c r="D1326" s="192"/>
      <c r="E1326" s="185" t="s">
        <v>3393</v>
      </c>
      <c r="F1326" s="192" t="s">
        <v>789</v>
      </c>
      <c r="G1326" s="192" t="s">
        <v>790</v>
      </c>
      <c r="H1326" s="192" t="s">
        <v>790</v>
      </c>
      <c r="I1326" t="s">
        <v>2847</v>
      </c>
    </row>
    <row r="1327" spans="2:11" x14ac:dyDescent="0.25">
      <c r="B1327" s="191"/>
      <c r="C1327" s="191"/>
      <c r="D1327" s="192" t="s">
        <v>3394</v>
      </c>
      <c r="E1327" t="s">
        <v>3393</v>
      </c>
      <c r="F1327" s="192" t="s">
        <v>3395</v>
      </c>
      <c r="G1327" s="192" t="s">
        <v>790</v>
      </c>
      <c r="H1327" s="192" t="s">
        <v>790</v>
      </c>
      <c r="I1327" t="s">
        <v>2847</v>
      </c>
      <c r="J1327" t="s">
        <v>865</v>
      </c>
      <c r="K1327" t="s">
        <v>797</v>
      </c>
    </row>
    <row r="1328" spans="2:11" x14ac:dyDescent="0.25">
      <c r="B1328" s="191"/>
      <c r="C1328" s="191"/>
      <c r="D1328" s="192" t="s">
        <v>3396</v>
      </c>
      <c r="E1328" t="s">
        <v>3397</v>
      </c>
      <c r="F1328" s="192" t="s">
        <v>3398</v>
      </c>
      <c r="G1328" s="192" t="s">
        <v>790</v>
      </c>
      <c r="H1328" s="192" t="s">
        <v>790</v>
      </c>
      <c r="I1328" t="s">
        <v>2847</v>
      </c>
      <c r="J1328" t="s">
        <v>865</v>
      </c>
      <c r="K1328" t="s">
        <v>797</v>
      </c>
    </row>
    <row r="1329" spans="2:11" x14ac:dyDescent="0.25">
      <c r="B1329" s="191"/>
      <c r="C1329" s="191"/>
      <c r="D1329" s="192" t="s">
        <v>3399</v>
      </c>
      <c r="E1329" t="s">
        <v>3400</v>
      </c>
      <c r="F1329" s="192" t="s">
        <v>3395</v>
      </c>
      <c r="G1329" s="192" t="s">
        <v>790</v>
      </c>
      <c r="H1329" s="192" t="s">
        <v>790</v>
      </c>
      <c r="I1329" t="s">
        <v>2847</v>
      </c>
      <c r="J1329" t="s">
        <v>865</v>
      </c>
      <c r="K1329" t="s">
        <v>797</v>
      </c>
    </row>
    <row r="1330" spans="2:11" x14ac:dyDescent="0.25">
      <c r="B1330" s="191"/>
      <c r="C1330" s="191"/>
      <c r="D1330" s="192" t="s">
        <v>3401</v>
      </c>
      <c r="E1330" t="s">
        <v>3402</v>
      </c>
      <c r="F1330" s="192" t="s">
        <v>3395</v>
      </c>
      <c r="G1330" s="192" t="s">
        <v>790</v>
      </c>
      <c r="H1330" s="192" t="s">
        <v>790</v>
      </c>
      <c r="I1330" t="s">
        <v>2847</v>
      </c>
      <c r="J1330" t="s">
        <v>865</v>
      </c>
      <c r="K1330" t="s">
        <v>797</v>
      </c>
    </row>
    <row r="1331" spans="2:11" x14ac:dyDescent="0.25">
      <c r="B1331" s="191"/>
      <c r="C1331" s="191" t="s">
        <v>3403</v>
      </c>
      <c r="D1331" s="192"/>
      <c r="E1331" s="185" t="s">
        <v>3404</v>
      </c>
      <c r="F1331" s="192" t="s">
        <v>789</v>
      </c>
      <c r="G1331" s="192" t="s">
        <v>790</v>
      </c>
      <c r="H1331" s="192" t="s">
        <v>790</v>
      </c>
      <c r="I1331" t="s">
        <v>2847</v>
      </c>
    </row>
    <row r="1332" spans="2:11" x14ac:dyDescent="0.25">
      <c r="B1332" s="191"/>
      <c r="C1332" s="191"/>
      <c r="D1332" s="192" t="s">
        <v>3405</v>
      </c>
      <c r="E1332" t="s">
        <v>3404</v>
      </c>
      <c r="F1332" s="192" t="s">
        <v>3395</v>
      </c>
      <c r="G1332" s="192" t="s">
        <v>790</v>
      </c>
      <c r="H1332" s="192" t="s">
        <v>790</v>
      </c>
      <c r="I1332" t="s">
        <v>2847</v>
      </c>
      <c r="J1332" t="s">
        <v>796</v>
      </c>
      <c r="K1332" t="s">
        <v>797</v>
      </c>
    </row>
    <row r="1333" spans="2:11" x14ac:dyDescent="0.25">
      <c r="B1333" s="191"/>
      <c r="C1333" s="191" t="s">
        <v>3406</v>
      </c>
      <c r="D1333" s="192"/>
      <c r="E1333" s="185" t="s">
        <v>3407</v>
      </c>
      <c r="F1333" s="192" t="s">
        <v>789</v>
      </c>
      <c r="G1333" s="192" t="s">
        <v>790</v>
      </c>
      <c r="H1333" s="192" t="s">
        <v>790</v>
      </c>
      <c r="I1333" t="s">
        <v>2847</v>
      </c>
    </row>
    <row r="1334" spans="2:11" x14ac:dyDescent="0.25">
      <c r="B1334" s="191"/>
      <c r="C1334" s="191"/>
      <c r="D1334" s="192" t="s">
        <v>3408</v>
      </c>
      <c r="E1334" t="s">
        <v>3407</v>
      </c>
      <c r="F1334" s="192" t="s">
        <v>3409</v>
      </c>
      <c r="G1334" s="192" t="s">
        <v>790</v>
      </c>
      <c r="H1334" s="192" t="s">
        <v>790</v>
      </c>
      <c r="I1334" t="s">
        <v>2847</v>
      </c>
      <c r="J1334" t="s">
        <v>865</v>
      </c>
      <c r="K1334" t="s">
        <v>797</v>
      </c>
    </row>
    <row r="1335" spans="2:11" x14ac:dyDescent="0.25">
      <c r="B1335" s="191"/>
      <c r="C1335" s="191"/>
      <c r="D1335" s="192" t="s">
        <v>3410</v>
      </c>
      <c r="E1335" t="s">
        <v>3411</v>
      </c>
      <c r="F1335" s="192" t="s">
        <v>3409</v>
      </c>
      <c r="G1335" s="192" t="s">
        <v>790</v>
      </c>
      <c r="H1335" s="192" t="s">
        <v>790</v>
      </c>
      <c r="I1335" t="s">
        <v>2847</v>
      </c>
      <c r="J1335" t="s">
        <v>865</v>
      </c>
      <c r="K1335" t="s">
        <v>797</v>
      </c>
    </row>
    <row r="1336" spans="2:11" x14ac:dyDescent="0.25">
      <c r="B1336" s="191" t="s">
        <v>3412</v>
      </c>
      <c r="C1336" s="191"/>
      <c r="D1336" s="192"/>
      <c r="E1336" s="185" t="s">
        <v>3413</v>
      </c>
      <c r="F1336" s="192" t="s">
        <v>789</v>
      </c>
      <c r="G1336" s="192" t="s">
        <v>790</v>
      </c>
      <c r="H1336" s="192" t="s">
        <v>790</v>
      </c>
      <c r="I1336" t="s">
        <v>3414</v>
      </c>
      <c r="J1336" t="s">
        <v>865</v>
      </c>
    </row>
    <row r="1337" spans="2:11" x14ac:dyDescent="0.25">
      <c r="B1337" s="191"/>
      <c r="C1337" s="191" t="s">
        <v>3415</v>
      </c>
      <c r="D1337" s="192"/>
      <c r="E1337" s="185" t="s">
        <v>1341</v>
      </c>
      <c r="F1337" s="192" t="s">
        <v>789</v>
      </c>
      <c r="G1337" s="192" t="s">
        <v>790</v>
      </c>
      <c r="H1337" s="192" t="s">
        <v>790</v>
      </c>
      <c r="I1337" t="s">
        <v>3414</v>
      </c>
    </row>
    <row r="1338" spans="2:11" x14ac:dyDescent="0.25">
      <c r="B1338" s="191"/>
      <c r="C1338" s="191" t="s">
        <v>3416</v>
      </c>
      <c r="D1338" s="192"/>
      <c r="E1338" s="185" t="s">
        <v>1341</v>
      </c>
      <c r="F1338" s="192" t="s">
        <v>789</v>
      </c>
      <c r="G1338" s="192" t="s">
        <v>790</v>
      </c>
      <c r="H1338" s="192" t="s">
        <v>790</v>
      </c>
      <c r="I1338" t="s">
        <v>3414</v>
      </c>
    </row>
    <row r="1339" spans="2:11" x14ac:dyDescent="0.25">
      <c r="B1339" s="191"/>
      <c r="C1339" s="191"/>
      <c r="D1339" s="192" t="s">
        <v>3417</v>
      </c>
      <c r="E1339" t="s">
        <v>3418</v>
      </c>
      <c r="F1339" s="192" t="s">
        <v>789</v>
      </c>
      <c r="G1339" s="192" t="s">
        <v>1344</v>
      </c>
      <c r="H1339" s="192" t="s">
        <v>3419</v>
      </c>
      <c r="I1339" t="s">
        <v>3414</v>
      </c>
      <c r="J1339" t="s">
        <v>865</v>
      </c>
      <c r="K1339" t="s">
        <v>797</v>
      </c>
    </row>
    <row r="1340" spans="2:11" x14ac:dyDescent="0.25">
      <c r="B1340" s="191"/>
      <c r="C1340" s="191" t="s">
        <v>3420</v>
      </c>
      <c r="D1340" s="192"/>
      <c r="E1340" s="185" t="s">
        <v>1392</v>
      </c>
      <c r="F1340" s="192" t="s">
        <v>789</v>
      </c>
      <c r="G1340" s="192" t="s">
        <v>790</v>
      </c>
      <c r="H1340" s="192" t="s">
        <v>790</v>
      </c>
      <c r="I1340" t="s">
        <v>3414</v>
      </c>
    </row>
    <row r="1341" spans="2:11" x14ac:dyDescent="0.25">
      <c r="B1341" s="191"/>
      <c r="C1341" s="191" t="s">
        <v>3421</v>
      </c>
      <c r="D1341" s="192"/>
      <c r="E1341" s="185" t="s">
        <v>3422</v>
      </c>
      <c r="F1341" s="192" t="s">
        <v>789</v>
      </c>
      <c r="G1341" s="192" t="s">
        <v>790</v>
      </c>
      <c r="H1341" s="192" t="s">
        <v>790</v>
      </c>
      <c r="I1341" t="s">
        <v>3414</v>
      </c>
    </row>
    <row r="1342" spans="2:11" x14ac:dyDescent="0.25">
      <c r="B1342" s="191"/>
      <c r="C1342" s="191"/>
      <c r="D1342" s="192" t="s">
        <v>3423</v>
      </c>
      <c r="E1342" t="s">
        <v>3422</v>
      </c>
      <c r="F1342" s="192" t="s">
        <v>789</v>
      </c>
      <c r="G1342" s="192" t="s">
        <v>1395</v>
      </c>
      <c r="H1342" s="192" t="s">
        <v>3424</v>
      </c>
      <c r="I1342" t="s">
        <v>3414</v>
      </c>
      <c r="J1342" t="s">
        <v>865</v>
      </c>
      <c r="K1342" t="s">
        <v>797</v>
      </c>
    </row>
    <row r="1343" spans="2:11" x14ac:dyDescent="0.25">
      <c r="B1343" s="191"/>
      <c r="C1343" s="191" t="s">
        <v>3425</v>
      </c>
      <c r="D1343" s="192"/>
      <c r="E1343" s="185" t="s">
        <v>3426</v>
      </c>
      <c r="F1343" s="192" t="s">
        <v>789</v>
      </c>
      <c r="G1343" s="192" t="s">
        <v>790</v>
      </c>
      <c r="H1343" s="192" t="s">
        <v>790</v>
      </c>
      <c r="I1343" t="s">
        <v>3414</v>
      </c>
    </row>
    <row r="1344" spans="2:11" x14ac:dyDescent="0.25">
      <c r="B1344" s="191"/>
      <c r="C1344" s="191" t="s">
        <v>3427</v>
      </c>
      <c r="D1344" s="192"/>
      <c r="E1344" s="185" t="s">
        <v>1403</v>
      </c>
      <c r="F1344" s="192" t="s">
        <v>789</v>
      </c>
      <c r="G1344" s="192" t="s">
        <v>790</v>
      </c>
      <c r="H1344" s="192" t="s">
        <v>790</v>
      </c>
      <c r="I1344" t="s">
        <v>3414</v>
      </c>
    </row>
    <row r="1345" spans="2:11" x14ac:dyDescent="0.25">
      <c r="B1345" s="191"/>
      <c r="C1345" s="191"/>
      <c r="D1345" s="192" t="s">
        <v>3428</v>
      </c>
      <c r="E1345" t="s">
        <v>3429</v>
      </c>
      <c r="F1345" s="192" t="s">
        <v>789</v>
      </c>
      <c r="G1345" s="192" t="s">
        <v>1404</v>
      </c>
      <c r="H1345" s="192" t="s">
        <v>3430</v>
      </c>
      <c r="I1345" t="s">
        <v>3414</v>
      </c>
      <c r="J1345" t="s">
        <v>865</v>
      </c>
      <c r="K1345" t="s">
        <v>797</v>
      </c>
    </row>
    <row r="1346" spans="2:11" x14ac:dyDescent="0.25">
      <c r="B1346" s="191"/>
      <c r="C1346" s="191" t="s">
        <v>3431</v>
      </c>
      <c r="D1346" s="192"/>
      <c r="E1346" s="185" t="s">
        <v>1407</v>
      </c>
      <c r="F1346" s="192" t="s">
        <v>789</v>
      </c>
      <c r="G1346" s="192" t="s">
        <v>790</v>
      </c>
      <c r="H1346" s="192" t="s">
        <v>790</v>
      </c>
      <c r="I1346" t="s">
        <v>3414</v>
      </c>
    </row>
    <row r="1347" spans="2:11" x14ac:dyDescent="0.25">
      <c r="B1347" s="191"/>
      <c r="C1347" s="191"/>
      <c r="D1347" s="192" t="s">
        <v>3432</v>
      </c>
      <c r="E1347" t="s">
        <v>3433</v>
      </c>
      <c r="F1347" s="192" t="s">
        <v>789</v>
      </c>
      <c r="G1347" s="192" t="s">
        <v>1408</v>
      </c>
      <c r="H1347" s="192" t="s">
        <v>3434</v>
      </c>
      <c r="I1347" t="s">
        <v>3414</v>
      </c>
      <c r="J1347" t="s">
        <v>865</v>
      </c>
      <c r="K1347" t="s">
        <v>797</v>
      </c>
    </row>
    <row r="1348" spans="2:11" x14ac:dyDescent="0.25">
      <c r="B1348" s="191"/>
      <c r="C1348" s="191"/>
      <c r="D1348" s="192" t="s">
        <v>3435</v>
      </c>
      <c r="E1348" t="s">
        <v>3436</v>
      </c>
      <c r="F1348" s="192" t="s">
        <v>789</v>
      </c>
      <c r="G1348" s="192" t="s">
        <v>1410</v>
      </c>
      <c r="H1348" s="192" t="s">
        <v>3434</v>
      </c>
      <c r="I1348" t="s">
        <v>3414</v>
      </c>
      <c r="J1348" t="s">
        <v>865</v>
      </c>
      <c r="K1348" t="s">
        <v>797</v>
      </c>
    </row>
    <row r="1349" spans="2:11" x14ac:dyDescent="0.25">
      <c r="B1349" s="191"/>
      <c r="C1349" s="191"/>
      <c r="D1349" s="192" t="s">
        <v>3437</v>
      </c>
      <c r="E1349" t="s">
        <v>3438</v>
      </c>
      <c r="F1349" s="192" t="s">
        <v>789</v>
      </c>
      <c r="G1349" s="192" t="s">
        <v>1412</v>
      </c>
      <c r="H1349" s="192" t="s">
        <v>3434</v>
      </c>
      <c r="I1349" t="s">
        <v>3414</v>
      </c>
      <c r="J1349" t="s">
        <v>865</v>
      </c>
      <c r="K1349" t="s">
        <v>797</v>
      </c>
    </row>
    <row r="1350" spans="2:11" x14ac:dyDescent="0.25">
      <c r="B1350" s="191"/>
      <c r="C1350" s="191"/>
      <c r="D1350" s="192" t="s">
        <v>3439</v>
      </c>
      <c r="E1350" t="s">
        <v>3440</v>
      </c>
      <c r="F1350" s="192" t="s">
        <v>789</v>
      </c>
      <c r="G1350" s="192" t="s">
        <v>1414</v>
      </c>
      <c r="H1350" s="192" t="s">
        <v>3434</v>
      </c>
      <c r="I1350" t="s">
        <v>3414</v>
      </c>
      <c r="J1350" t="s">
        <v>865</v>
      </c>
      <c r="K1350" t="s">
        <v>797</v>
      </c>
    </row>
    <row r="1351" spans="2:11" x14ac:dyDescent="0.25">
      <c r="B1351" s="191"/>
      <c r="C1351" s="191" t="s">
        <v>3441</v>
      </c>
      <c r="D1351" s="192"/>
      <c r="E1351" s="185" t="s">
        <v>1417</v>
      </c>
      <c r="F1351" s="192" t="s">
        <v>789</v>
      </c>
      <c r="G1351" s="192" t="s">
        <v>790</v>
      </c>
      <c r="H1351" s="192" t="s">
        <v>790</v>
      </c>
      <c r="I1351" t="s">
        <v>3414</v>
      </c>
    </row>
    <row r="1352" spans="2:11" x14ac:dyDescent="0.25">
      <c r="B1352" s="191"/>
      <c r="C1352" s="191"/>
      <c r="D1352" s="192" t="s">
        <v>3442</v>
      </c>
      <c r="E1352" t="s">
        <v>3443</v>
      </c>
      <c r="F1352" s="192" t="s">
        <v>789</v>
      </c>
      <c r="G1352" s="192" t="s">
        <v>1418</v>
      </c>
      <c r="H1352" s="192" t="s">
        <v>3444</v>
      </c>
      <c r="I1352" t="s">
        <v>3414</v>
      </c>
      <c r="J1352" t="s">
        <v>865</v>
      </c>
      <c r="K1352" t="s">
        <v>797</v>
      </c>
    </row>
    <row r="1353" spans="2:11" x14ac:dyDescent="0.25">
      <c r="B1353" s="191"/>
      <c r="C1353" s="191" t="s">
        <v>3445</v>
      </c>
      <c r="D1353" s="192"/>
      <c r="E1353" s="185" t="s">
        <v>1421</v>
      </c>
      <c r="F1353" s="192" t="s">
        <v>789</v>
      </c>
      <c r="G1353" s="192" t="s">
        <v>790</v>
      </c>
      <c r="H1353" s="192" t="s">
        <v>790</v>
      </c>
      <c r="I1353" t="s">
        <v>3414</v>
      </c>
    </row>
    <row r="1354" spans="2:11" x14ac:dyDescent="0.25">
      <c r="B1354" s="191"/>
      <c r="C1354" s="191" t="s">
        <v>3446</v>
      </c>
      <c r="D1354" s="192"/>
      <c r="E1354" s="185" t="s">
        <v>1423</v>
      </c>
      <c r="F1354" s="192" t="s">
        <v>789</v>
      </c>
      <c r="G1354" s="192" t="s">
        <v>790</v>
      </c>
      <c r="H1354" s="192" t="s">
        <v>790</v>
      </c>
      <c r="I1354" t="s">
        <v>3414</v>
      </c>
    </row>
    <row r="1355" spans="2:11" x14ac:dyDescent="0.25">
      <c r="B1355" s="191"/>
      <c r="C1355" s="191"/>
      <c r="D1355" s="192" t="s">
        <v>3447</v>
      </c>
      <c r="E1355" t="s">
        <v>3448</v>
      </c>
      <c r="F1355" s="192" t="s">
        <v>789</v>
      </c>
      <c r="G1355" s="192" t="s">
        <v>1424</v>
      </c>
      <c r="H1355" s="192" t="s">
        <v>3449</v>
      </c>
      <c r="I1355" t="s">
        <v>3414</v>
      </c>
      <c r="J1355" t="s">
        <v>865</v>
      </c>
      <c r="K1355" t="s">
        <v>797</v>
      </c>
    </row>
    <row r="1356" spans="2:11" x14ac:dyDescent="0.25">
      <c r="B1356" s="191"/>
      <c r="C1356" s="191" t="s">
        <v>3450</v>
      </c>
      <c r="D1356" s="192"/>
      <c r="E1356" s="185" t="s">
        <v>1427</v>
      </c>
      <c r="F1356" s="192" t="s">
        <v>789</v>
      </c>
      <c r="G1356" s="192" t="s">
        <v>790</v>
      </c>
      <c r="H1356" s="192" t="s">
        <v>790</v>
      </c>
      <c r="I1356" t="s">
        <v>3414</v>
      </c>
    </row>
    <row r="1357" spans="2:11" x14ac:dyDescent="0.25">
      <c r="B1357" s="191"/>
      <c r="C1357" s="191"/>
      <c r="D1357" s="192" t="s">
        <v>3451</v>
      </c>
      <c r="E1357" t="s">
        <v>3452</v>
      </c>
      <c r="F1357" s="192" t="s">
        <v>789</v>
      </c>
      <c r="G1357" s="192" t="s">
        <v>1428</v>
      </c>
      <c r="H1357" s="192" t="s">
        <v>3453</v>
      </c>
      <c r="I1357" t="s">
        <v>3414</v>
      </c>
      <c r="J1357" t="s">
        <v>865</v>
      </c>
      <c r="K1357" t="s">
        <v>797</v>
      </c>
    </row>
    <row r="1358" spans="2:11" x14ac:dyDescent="0.25">
      <c r="B1358" s="191"/>
      <c r="C1358" s="191" t="s">
        <v>3454</v>
      </c>
      <c r="D1358" s="192"/>
      <c r="E1358" s="185" t="s">
        <v>3455</v>
      </c>
      <c r="F1358" s="192" t="s">
        <v>789</v>
      </c>
      <c r="G1358" s="192" t="s">
        <v>790</v>
      </c>
      <c r="H1358" s="192" t="s">
        <v>790</v>
      </c>
      <c r="I1358" t="s">
        <v>3414</v>
      </c>
    </row>
    <row r="1359" spans="2:11" x14ac:dyDescent="0.25">
      <c r="B1359" s="191"/>
      <c r="C1359" s="191" t="s">
        <v>3456</v>
      </c>
      <c r="D1359" s="192"/>
      <c r="E1359" s="185" t="s">
        <v>3457</v>
      </c>
      <c r="F1359" s="192" t="s">
        <v>789</v>
      </c>
      <c r="G1359" s="192" t="s">
        <v>790</v>
      </c>
      <c r="H1359" s="192" t="s">
        <v>790</v>
      </c>
      <c r="I1359" t="s">
        <v>3414</v>
      </c>
    </row>
    <row r="1360" spans="2:11" x14ac:dyDescent="0.25">
      <c r="B1360" s="191"/>
      <c r="C1360" s="191" t="s">
        <v>3458</v>
      </c>
      <c r="D1360" s="192"/>
      <c r="E1360" s="185" t="s">
        <v>3459</v>
      </c>
      <c r="F1360" s="192" t="s">
        <v>789</v>
      </c>
      <c r="G1360" s="192" t="s">
        <v>790</v>
      </c>
      <c r="H1360" s="192" t="s">
        <v>790</v>
      </c>
      <c r="I1360" t="s">
        <v>3414</v>
      </c>
    </row>
    <row r="1361" spans="2:11" x14ac:dyDescent="0.25">
      <c r="B1361" s="191"/>
      <c r="C1361" s="191"/>
      <c r="D1361" s="192" t="s">
        <v>3460</v>
      </c>
      <c r="E1361" t="s">
        <v>3461</v>
      </c>
      <c r="F1361" s="192" t="s">
        <v>789</v>
      </c>
      <c r="G1361" s="192" t="s">
        <v>1344</v>
      </c>
      <c r="H1361" s="192" t="s">
        <v>3419</v>
      </c>
      <c r="I1361" t="s">
        <v>3414</v>
      </c>
      <c r="J1361" t="s">
        <v>865</v>
      </c>
      <c r="K1361" t="s">
        <v>797</v>
      </c>
    </row>
    <row r="1362" spans="2:11" x14ac:dyDescent="0.25">
      <c r="B1362" s="191"/>
      <c r="C1362" s="191" t="s">
        <v>3462</v>
      </c>
      <c r="D1362" s="192"/>
      <c r="E1362" s="185" t="s">
        <v>3463</v>
      </c>
      <c r="F1362" s="192" t="s">
        <v>789</v>
      </c>
      <c r="G1362" s="192" t="s">
        <v>790</v>
      </c>
      <c r="H1362" s="192" t="s">
        <v>790</v>
      </c>
      <c r="I1362" t="s">
        <v>3414</v>
      </c>
    </row>
    <row r="1363" spans="2:11" x14ac:dyDescent="0.25">
      <c r="B1363" s="191"/>
      <c r="C1363" s="191"/>
      <c r="D1363" s="192" t="s">
        <v>3464</v>
      </c>
      <c r="E1363" t="s">
        <v>3465</v>
      </c>
      <c r="F1363" s="192" t="s">
        <v>789</v>
      </c>
      <c r="G1363" s="192" t="s">
        <v>1344</v>
      </c>
      <c r="H1363" s="192" t="s">
        <v>3419</v>
      </c>
      <c r="I1363" t="s">
        <v>3414</v>
      </c>
      <c r="J1363" t="s">
        <v>865</v>
      </c>
      <c r="K1363" t="s">
        <v>797</v>
      </c>
    </row>
    <row r="1364" spans="2:11" x14ac:dyDescent="0.25">
      <c r="B1364" s="191"/>
      <c r="C1364" s="191" t="s">
        <v>3466</v>
      </c>
      <c r="D1364" s="192"/>
      <c r="E1364" s="185" t="s">
        <v>3467</v>
      </c>
      <c r="F1364" s="192" t="s">
        <v>789</v>
      </c>
      <c r="G1364" s="192" t="s">
        <v>790</v>
      </c>
      <c r="H1364" s="192" t="s">
        <v>790</v>
      </c>
      <c r="I1364" t="s">
        <v>3414</v>
      </c>
    </row>
    <row r="1365" spans="2:11" x14ac:dyDescent="0.25">
      <c r="B1365" s="191"/>
      <c r="C1365" s="191"/>
      <c r="D1365" s="192" t="s">
        <v>3468</v>
      </c>
      <c r="E1365" t="s">
        <v>3469</v>
      </c>
      <c r="F1365" s="192" t="s">
        <v>789</v>
      </c>
      <c r="G1365" s="192" t="s">
        <v>1344</v>
      </c>
      <c r="H1365" s="192" t="s">
        <v>3419</v>
      </c>
      <c r="I1365" t="s">
        <v>3414</v>
      </c>
      <c r="J1365" t="s">
        <v>865</v>
      </c>
      <c r="K1365" t="s">
        <v>797</v>
      </c>
    </row>
    <row r="1366" spans="2:11" x14ac:dyDescent="0.25">
      <c r="B1366" s="191"/>
      <c r="C1366" s="191" t="s">
        <v>3470</v>
      </c>
      <c r="D1366" s="192"/>
      <c r="E1366" s="185" t="s">
        <v>3471</v>
      </c>
      <c r="F1366" s="192" t="s">
        <v>789</v>
      </c>
      <c r="G1366" s="192" t="s">
        <v>790</v>
      </c>
      <c r="H1366" s="192" t="s">
        <v>790</v>
      </c>
      <c r="I1366" t="s">
        <v>3414</v>
      </c>
    </row>
    <row r="1367" spans="2:11" x14ac:dyDescent="0.25">
      <c r="B1367" s="191"/>
      <c r="C1367" s="191"/>
      <c r="D1367" s="192" t="s">
        <v>3472</v>
      </c>
      <c r="E1367" t="s">
        <v>3473</v>
      </c>
      <c r="F1367" s="192" t="s">
        <v>789</v>
      </c>
      <c r="G1367" s="192" t="s">
        <v>1344</v>
      </c>
      <c r="H1367" s="192" t="s">
        <v>3419</v>
      </c>
      <c r="I1367" t="s">
        <v>3414</v>
      </c>
      <c r="J1367" t="s">
        <v>865</v>
      </c>
      <c r="K1367" t="s">
        <v>797</v>
      </c>
    </row>
    <row r="1368" spans="2:11" x14ac:dyDescent="0.25">
      <c r="B1368" s="191"/>
      <c r="C1368" s="191" t="s">
        <v>3474</v>
      </c>
      <c r="D1368" s="192"/>
      <c r="E1368" s="185" t="s">
        <v>3475</v>
      </c>
      <c r="F1368" s="192" t="s">
        <v>789</v>
      </c>
      <c r="G1368" s="192" t="s">
        <v>790</v>
      </c>
      <c r="H1368" s="192" t="s">
        <v>790</v>
      </c>
      <c r="I1368" t="s">
        <v>3414</v>
      </c>
    </row>
    <row r="1369" spans="2:11" x14ac:dyDescent="0.25">
      <c r="B1369" s="191"/>
      <c r="C1369" s="191"/>
      <c r="D1369" s="192" t="s">
        <v>3476</v>
      </c>
      <c r="E1369" t="s">
        <v>3475</v>
      </c>
      <c r="F1369" s="192" t="s">
        <v>789</v>
      </c>
      <c r="G1369" s="192" t="s">
        <v>1344</v>
      </c>
      <c r="H1369" s="192" t="s">
        <v>3419</v>
      </c>
      <c r="I1369" t="s">
        <v>3414</v>
      </c>
      <c r="J1369" t="s">
        <v>865</v>
      </c>
      <c r="K1369" t="s">
        <v>797</v>
      </c>
    </row>
    <row r="1370" spans="2:11" x14ac:dyDescent="0.25">
      <c r="B1370" s="191"/>
      <c r="C1370" s="191" t="s">
        <v>3477</v>
      </c>
      <c r="D1370" s="192"/>
      <c r="E1370" s="185" t="s">
        <v>3478</v>
      </c>
      <c r="F1370" s="192" t="s">
        <v>789</v>
      </c>
      <c r="G1370" s="192" t="s">
        <v>790</v>
      </c>
      <c r="H1370" s="192" t="s">
        <v>790</v>
      </c>
      <c r="I1370" t="s">
        <v>3414</v>
      </c>
    </row>
    <row r="1371" spans="2:11" x14ac:dyDescent="0.25">
      <c r="B1371" s="191"/>
      <c r="C1371" s="191" t="s">
        <v>3479</v>
      </c>
      <c r="D1371" s="192"/>
      <c r="E1371" s="185" t="s">
        <v>3480</v>
      </c>
      <c r="F1371" s="192" t="s">
        <v>789</v>
      </c>
      <c r="G1371" s="192" t="s">
        <v>790</v>
      </c>
      <c r="H1371" s="192" t="s">
        <v>790</v>
      </c>
      <c r="I1371" t="s">
        <v>3414</v>
      </c>
    </row>
    <row r="1372" spans="2:11" x14ac:dyDescent="0.25">
      <c r="B1372" s="191"/>
      <c r="C1372" s="191"/>
      <c r="D1372" s="192" t="s">
        <v>3481</v>
      </c>
      <c r="E1372" t="s">
        <v>3482</v>
      </c>
      <c r="F1372" s="192" t="s">
        <v>789</v>
      </c>
      <c r="G1372" s="192" t="s">
        <v>1395</v>
      </c>
      <c r="H1372" s="192" t="s">
        <v>3424</v>
      </c>
      <c r="I1372" t="s">
        <v>3414</v>
      </c>
      <c r="J1372" t="s">
        <v>865</v>
      </c>
      <c r="K1372" t="s">
        <v>797</v>
      </c>
    </row>
    <row r="1373" spans="2:11" x14ac:dyDescent="0.25">
      <c r="B1373" s="191"/>
      <c r="C1373" s="191" t="s">
        <v>3483</v>
      </c>
      <c r="D1373" s="192"/>
      <c r="E1373" s="185" t="s">
        <v>3484</v>
      </c>
      <c r="F1373" s="192" t="s">
        <v>789</v>
      </c>
      <c r="G1373" s="192" t="s">
        <v>790</v>
      </c>
      <c r="H1373" s="192" t="s">
        <v>790</v>
      </c>
      <c r="I1373" t="s">
        <v>3414</v>
      </c>
    </row>
    <row r="1374" spans="2:11" x14ac:dyDescent="0.25">
      <c r="B1374" s="191"/>
      <c r="C1374" s="191"/>
      <c r="D1374" s="192" t="s">
        <v>3485</v>
      </c>
      <c r="E1374" t="s">
        <v>3486</v>
      </c>
      <c r="F1374" s="192" t="s">
        <v>789</v>
      </c>
      <c r="G1374" s="192" t="s">
        <v>1395</v>
      </c>
      <c r="H1374" s="192" t="s">
        <v>3424</v>
      </c>
      <c r="I1374" t="s">
        <v>3414</v>
      </c>
      <c r="J1374" t="s">
        <v>865</v>
      </c>
      <c r="K1374" t="s">
        <v>797</v>
      </c>
    </row>
    <row r="1375" spans="2:11" x14ac:dyDescent="0.25">
      <c r="B1375" s="191"/>
      <c r="C1375" s="191" t="s">
        <v>3487</v>
      </c>
      <c r="D1375" s="192"/>
      <c r="E1375" s="185" t="s">
        <v>3488</v>
      </c>
      <c r="F1375" s="192" t="s">
        <v>789</v>
      </c>
      <c r="G1375" s="192" t="s">
        <v>790</v>
      </c>
      <c r="H1375" s="192" t="s">
        <v>790</v>
      </c>
      <c r="I1375" t="s">
        <v>3414</v>
      </c>
    </row>
    <row r="1376" spans="2:11" x14ac:dyDescent="0.25">
      <c r="B1376" s="191"/>
      <c r="C1376" s="191"/>
      <c r="D1376" s="192" t="s">
        <v>3489</v>
      </c>
      <c r="E1376" t="s">
        <v>3490</v>
      </c>
      <c r="F1376" s="192" t="s">
        <v>789</v>
      </c>
      <c r="G1376" s="192" t="s">
        <v>1395</v>
      </c>
      <c r="H1376" s="192" t="s">
        <v>3424</v>
      </c>
      <c r="I1376" t="s">
        <v>3414</v>
      </c>
      <c r="J1376" t="s">
        <v>865</v>
      </c>
      <c r="K1376" t="s">
        <v>797</v>
      </c>
    </row>
    <row r="1377" spans="2:11" x14ac:dyDescent="0.25">
      <c r="B1377" s="191"/>
      <c r="C1377" s="191" t="s">
        <v>3491</v>
      </c>
      <c r="D1377" s="192"/>
      <c r="E1377" s="185" t="s">
        <v>3492</v>
      </c>
      <c r="F1377" s="192" t="s">
        <v>789</v>
      </c>
      <c r="G1377" s="192" t="s">
        <v>790</v>
      </c>
      <c r="H1377" s="192" t="s">
        <v>790</v>
      </c>
      <c r="I1377" t="s">
        <v>3414</v>
      </c>
    </row>
    <row r="1378" spans="2:11" x14ac:dyDescent="0.25">
      <c r="B1378" s="191"/>
      <c r="C1378" s="191"/>
      <c r="D1378" s="192" t="s">
        <v>3493</v>
      </c>
      <c r="E1378" t="s">
        <v>3494</v>
      </c>
      <c r="F1378" s="192" t="s">
        <v>789</v>
      </c>
      <c r="G1378" s="192" t="s">
        <v>1395</v>
      </c>
      <c r="H1378" s="192" t="s">
        <v>3424</v>
      </c>
      <c r="I1378" t="s">
        <v>3414</v>
      </c>
      <c r="J1378" t="s">
        <v>865</v>
      </c>
      <c r="K1378" t="s">
        <v>797</v>
      </c>
    </row>
    <row r="1379" spans="2:11" x14ac:dyDescent="0.25">
      <c r="B1379" s="191"/>
      <c r="C1379" s="191" t="s">
        <v>3495</v>
      </c>
      <c r="D1379" s="192"/>
      <c r="E1379" s="185" t="s">
        <v>3496</v>
      </c>
      <c r="F1379" s="192" t="s">
        <v>789</v>
      </c>
      <c r="G1379" s="192" t="s">
        <v>790</v>
      </c>
      <c r="H1379" s="192" t="s">
        <v>790</v>
      </c>
      <c r="I1379" t="s">
        <v>3414</v>
      </c>
    </row>
    <row r="1380" spans="2:11" x14ac:dyDescent="0.25">
      <c r="B1380" s="191"/>
      <c r="C1380" s="191"/>
      <c r="D1380" s="192" t="s">
        <v>3497</v>
      </c>
      <c r="E1380" t="s">
        <v>3496</v>
      </c>
      <c r="F1380" s="192" t="s">
        <v>789</v>
      </c>
      <c r="G1380" s="192" t="s">
        <v>1395</v>
      </c>
      <c r="H1380" s="192" t="s">
        <v>3424</v>
      </c>
      <c r="I1380" t="s">
        <v>3414</v>
      </c>
      <c r="J1380" t="s">
        <v>865</v>
      </c>
      <c r="K1380" t="s">
        <v>797</v>
      </c>
    </row>
    <row r="1381" spans="2:11" x14ac:dyDescent="0.25">
      <c r="B1381" s="191"/>
      <c r="C1381" s="191" t="s">
        <v>3498</v>
      </c>
      <c r="D1381" s="192"/>
      <c r="E1381" s="185" t="s">
        <v>3499</v>
      </c>
      <c r="F1381" s="192" t="s">
        <v>789</v>
      </c>
      <c r="G1381" s="192" t="s">
        <v>790</v>
      </c>
      <c r="H1381" s="192" t="s">
        <v>790</v>
      </c>
      <c r="I1381" t="s">
        <v>3414</v>
      </c>
    </row>
    <row r="1382" spans="2:11" x14ac:dyDescent="0.25">
      <c r="B1382" s="191"/>
      <c r="C1382" s="191" t="s">
        <v>3500</v>
      </c>
      <c r="D1382" s="192"/>
      <c r="E1382" s="185" t="s">
        <v>3501</v>
      </c>
      <c r="F1382" s="192" t="s">
        <v>789</v>
      </c>
      <c r="G1382" s="192" t="s">
        <v>790</v>
      </c>
      <c r="H1382" s="192" t="s">
        <v>790</v>
      </c>
      <c r="I1382" t="s">
        <v>3414</v>
      </c>
    </row>
    <row r="1383" spans="2:11" x14ac:dyDescent="0.25">
      <c r="B1383" s="191"/>
      <c r="C1383" s="191"/>
      <c r="D1383" s="192" t="s">
        <v>3502</v>
      </c>
      <c r="E1383" t="s">
        <v>3503</v>
      </c>
      <c r="F1383" s="192" t="s">
        <v>789</v>
      </c>
      <c r="G1383" s="192" t="s">
        <v>1404</v>
      </c>
      <c r="H1383" s="192" t="s">
        <v>3430</v>
      </c>
      <c r="I1383" t="s">
        <v>3414</v>
      </c>
      <c r="J1383" t="s">
        <v>865</v>
      </c>
      <c r="K1383" t="s">
        <v>797</v>
      </c>
    </row>
    <row r="1384" spans="2:11" x14ac:dyDescent="0.25">
      <c r="B1384" s="191"/>
      <c r="C1384" s="191"/>
      <c r="D1384" s="192" t="s">
        <v>3504</v>
      </c>
      <c r="E1384" t="s">
        <v>3505</v>
      </c>
      <c r="F1384" s="192" t="s">
        <v>789</v>
      </c>
      <c r="G1384" s="192" t="s">
        <v>1408</v>
      </c>
      <c r="H1384" s="192" t="s">
        <v>3434</v>
      </c>
      <c r="I1384" t="s">
        <v>3414</v>
      </c>
      <c r="J1384" t="s">
        <v>865</v>
      </c>
      <c r="K1384" t="s">
        <v>797</v>
      </c>
    </row>
    <row r="1385" spans="2:11" x14ac:dyDescent="0.25">
      <c r="B1385" s="191"/>
      <c r="C1385" s="191"/>
      <c r="D1385" s="192" t="s">
        <v>3506</v>
      </c>
      <c r="E1385" t="s">
        <v>3507</v>
      </c>
      <c r="F1385" s="192" t="s">
        <v>789</v>
      </c>
      <c r="G1385" s="192" t="s">
        <v>1410</v>
      </c>
      <c r="H1385" s="192" t="s">
        <v>3434</v>
      </c>
      <c r="I1385" t="s">
        <v>3414</v>
      </c>
      <c r="J1385" t="s">
        <v>865</v>
      </c>
      <c r="K1385" t="s">
        <v>797</v>
      </c>
    </row>
    <row r="1386" spans="2:11" x14ac:dyDescent="0.25">
      <c r="B1386" s="191"/>
      <c r="C1386" s="191"/>
      <c r="D1386" s="192" t="s">
        <v>3508</v>
      </c>
      <c r="E1386" t="s">
        <v>3509</v>
      </c>
      <c r="F1386" s="192" t="s">
        <v>789</v>
      </c>
      <c r="G1386" s="192" t="s">
        <v>1412</v>
      </c>
      <c r="H1386" s="192" t="s">
        <v>3434</v>
      </c>
      <c r="I1386" t="s">
        <v>3414</v>
      </c>
      <c r="J1386" t="s">
        <v>865</v>
      </c>
      <c r="K1386" t="s">
        <v>797</v>
      </c>
    </row>
    <row r="1387" spans="2:11" x14ac:dyDescent="0.25">
      <c r="B1387" s="191"/>
      <c r="C1387" s="191"/>
      <c r="D1387" s="192" t="s">
        <v>3510</v>
      </c>
      <c r="E1387" t="s">
        <v>3511</v>
      </c>
      <c r="F1387" s="192" t="s">
        <v>789</v>
      </c>
      <c r="G1387" s="192" t="s">
        <v>1414</v>
      </c>
      <c r="H1387" s="192" t="s">
        <v>3434</v>
      </c>
      <c r="I1387" t="s">
        <v>3414</v>
      </c>
      <c r="J1387" t="s">
        <v>865</v>
      </c>
      <c r="K1387" t="s">
        <v>797</v>
      </c>
    </row>
    <row r="1388" spans="2:11" x14ac:dyDescent="0.25">
      <c r="B1388" s="191"/>
      <c r="C1388" s="191"/>
      <c r="D1388" s="192" t="s">
        <v>3512</v>
      </c>
      <c r="E1388" t="s">
        <v>3513</v>
      </c>
      <c r="F1388" s="192" t="s">
        <v>789</v>
      </c>
      <c r="G1388" s="192" t="s">
        <v>1418</v>
      </c>
      <c r="H1388" s="192" t="s">
        <v>3444</v>
      </c>
      <c r="I1388" t="s">
        <v>3414</v>
      </c>
      <c r="J1388" t="s">
        <v>865</v>
      </c>
      <c r="K1388" t="s">
        <v>797</v>
      </c>
    </row>
    <row r="1389" spans="2:11" x14ac:dyDescent="0.25">
      <c r="B1389" s="191"/>
      <c r="C1389" s="191" t="s">
        <v>3514</v>
      </c>
      <c r="D1389" s="192"/>
      <c r="E1389" s="185" t="s">
        <v>3515</v>
      </c>
      <c r="F1389" s="192" t="s">
        <v>789</v>
      </c>
      <c r="G1389" s="192" t="s">
        <v>790</v>
      </c>
      <c r="H1389" s="192" t="s">
        <v>790</v>
      </c>
      <c r="I1389" t="s">
        <v>3414</v>
      </c>
    </row>
    <row r="1390" spans="2:11" x14ac:dyDescent="0.25">
      <c r="B1390" s="191"/>
      <c r="C1390" s="191"/>
      <c r="D1390" s="192" t="s">
        <v>3516</v>
      </c>
      <c r="E1390" t="s">
        <v>3517</v>
      </c>
      <c r="F1390" s="192" t="s">
        <v>789</v>
      </c>
      <c r="G1390" s="192" t="s">
        <v>1404</v>
      </c>
      <c r="H1390" s="192" t="s">
        <v>3430</v>
      </c>
      <c r="I1390" t="s">
        <v>3414</v>
      </c>
      <c r="J1390" t="s">
        <v>865</v>
      </c>
      <c r="K1390" t="s">
        <v>797</v>
      </c>
    </row>
    <row r="1391" spans="2:11" x14ac:dyDescent="0.25">
      <c r="B1391" s="191"/>
      <c r="C1391" s="191"/>
      <c r="D1391" s="192" t="s">
        <v>3518</v>
      </c>
      <c r="E1391" t="s">
        <v>3519</v>
      </c>
      <c r="F1391" s="192" t="s">
        <v>789</v>
      </c>
      <c r="G1391" s="192" t="s">
        <v>1408</v>
      </c>
      <c r="H1391" s="192" t="s">
        <v>3434</v>
      </c>
      <c r="I1391" t="s">
        <v>3414</v>
      </c>
      <c r="J1391" t="s">
        <v>865</v>
      </c>
      <c r="K1391" t="s">
        <v>797</v>
      </c>
    </row>
    <row r="1392" spans="2:11" x14ac:dyDescent="0.25">
      <c r="B1392" s="191"/>
      <c r="C1392" s="191"/>
      <c r="D1392" s="192" t="s">
        <v>3520</v>
      </c>
      <c r="E1392" t="s">
        <v>3521</v>
      </c>
      <c r="F1392" s="192" t="s">
        <v>789</v>
      </c>
      <c r="G1392" s="192" t="s">
        <v>1410</v>
      </c>
      <c r="H1392" s="192" t="s">
        <v>3434</v>
      </c>
      <c r="I1392" t="s">
        <v>3414</v>
      </c>
      <c r="J1392" t="s">
        <v>865</v>
      </c>
      <c r="K1392" t="s">
        <v>797</v>
      </c>
    </row>
    <row r="1393" spans="2:11" x14ac:dyDescent="0.25">
      <c r="B1393" s="191"/>
      <c r="C1393" s="191"/>
      <c r="D1393" s="192" t="s">
        <v>3522</v>
      </c>
      <c r="E1393" t="s">
        <v>3523</v>
      </c>
      <c r="F1393" s="192" t="s">
        <v>789</v>
      </c>
      <c r="G1393" s="192" t="s">
        <v>1412</v>
      </c>
      <c r="H1393" s="192" t="s">
        <v>3434</v>
      </c>
      <c r="I1393" t="s">
        <v>3414</v>
      </c>
      <c r="J1393" t="s">
        <v>865</v>
      </c>
      <c r="K1393" t="s">
        <v>797</v>
      </c>
    </row>
    <row r="1394" spans="2:11" x14ac:dyDescent="0.25">
      <c r="B1394" s="191"/>
      <c r="C1394" s="191"/>
      <c r="D1394" s="192" t="s">
        <v>3524</v>
      </c>
      <c r="E1394" t="s">
        <v>3525</v>
      </c>
      <c r="F1394" s="192" t="s">
        <v>789</v>
      </c>
      <c r="G1394" s="192" t="s">
        <v>1414</v>
      </c>
      <c r="H1394" s="192" t="s">
        <v>3434</v>
      </c>
      <c r="I1394" t="s">
        <v>3414</v>
      </c>
      <c r="J1394" t="s">
        <v>865</v>
      </c>
      <c r="K1394" t="s">
        <v>797</v>
      </c>
    </row>
    <row r="1395" spans="2:11" x14ac:dyDescent="0.25">
      <c r="B1395" s="191"/>
      <c r="C1395" s="191"/>
      <c r="D1395" s="192" t="s">
        <v>3526</v>
      </c>
      <c r="E1395" t="s">
        <v>3527</v>
      </c>
      <c r="F1395" s="192" t="s">
        <v>789</v>
      </c>
      <c r="G1395" s="192" t="s">
        <v>1418</v>
      </c>
      <c r="H1395" s="192" t="s">
        <v>3444</v>
      </c>
      <c r="I1395" t="s">
        <v>3414</v>
      </c>
      <c r="J1395" t="s">
        <v>865</v>
      </c>
      <c r="K1395" t="s">
        <v>797</v>
      </c>
    </row>
    <row r="1396" spans="2:11" x14ac:dyDescent="0.25">
      <c r="B1396" s="191"/>
      <c r="C1396" s="191" t="s">
        <v>3528</v>
      </c>
      <c r="D1396" s="192"/>
      <c r="E1396" s="185" t="s">
        <v>3529</v>
      </c>
      <c r="F1396" s="192" t="s">
        <v>789</v>
      </c>
      <c r="G1396" s="192" t="s">
        <v>790</v>
      </c>
      <c r="H1396" s="192" t="s">
        <v>790</v>
      </c>
      <c r="I1396" t="s">
        <v>3414</v>
      </c>
    </row>
    <row r="1397" spans="2:11" x14ac:dyDescent="0.25">
      <c r="B1397" s="191"/>
      <c r="C1397" s="191"/>
      <c r="D1397" s="192" t="s">
        <v>3530</v>
      </c>
      <c r="E1397" t="s">
        <v>3531</v>
      </c>
      <c r="F1397" s="192" t="s">
        <v>789</v>
      </c>
      <c r="G1397" s="192" t="s">
        <v>1404</v>
      </c>
      <c r="H1397" s="192" t="s">
        <v>3430</v>
      </c>
      <c r="I1397" t="s">
        <v>3414</v>
      </c>
      <c r="J1397" t="s">
        <v>865</v>
      </c>
      <c r="K1397" t="s">
        <v>797</v>
      </c>
    </row>
    <row r="1398" spans="2:11" x14ac:dyDescent="0.25">
      <c r="B1398" s="191"/>
      <c r="C1398" s="191"/>
      <c r="D1398" s="192" t="s">
        <v>3532</v>
      </c>
      <c r="E1398" t="s">
        <v>3533</v>
      </c>
      <c r="F1398" s="192" t="s">
        <v>789</v>
      </c>
      <c r="G1398" s="192" t="s">
        <v>1408</v>
      </c>
      <c r="H1398" s="192" t="s">
        <v>3434</v>
      </c>
      <c r="I1398" t="s">
        <v>3414</v>
      </c>
      <c r="J1398" t="s">
        <v>865</v>
      </c>
      <c r="K1398" t="s">
        <v>797</v>
      </c>
    </row>
    <row r="1399" spans="2:11" x14ac:dyDescent="0.25">
      <c r="B1399" s="191"/>
      <c r="C1399" s="191"/>
      <c r="D1399" s="192" t="s">
        <v>3534</v>
      </c>
      <c r="E1399" t="s">
        <v>3535</v>
      </c>
      <c r="F1399" s="192" t="s">
        <v>789</v>
      </c>
      <c r="G1399" s="192" t="s">
        <v>1410</v>
      </c>
      <c r="H1399" s="192" t="s">
        <v>3434</v>
      </c>
      <c r="I1399" t="s">
        <v>3414</v>
      </c>
      <c r="J1399" t="s">
        <v>865</v>
      </c>
      <c r="K1399" t="s">
        <v>797</v>
      </c>
    </row>
    <row r="1400" spans="2:11" x14ac:dyDescent="0.25">
      <c r="B1400" s="191"/>
      <c r="C1400" s="191"/>
      <c r="D1400" s="192" t="s">
        <v>3536</v>
      </c>
      <c r="E1400" t="s">
        <v>3537</v>
      </c>
      <c r="F1400" s="192" t="s">
        <v>789</v>
      </c>
      <c r="G1400" s="192" t="s">
        <v>1412</v>
      </c>
      <c r="H1400" s="192" t="s">
        <v>3434</v>
      </c>
      <c r="I1400" t="s">
        <v>3414</v>
      </c>
      <c r="J1400" t="s">
        <v>865</v>
      </c>
      <c r="K1400" t="s">
        <v>797</v>
      </c>
    </row>
    <row r="1401" spans="2:11" x14ac:dyDescent="0.25">
      <c r="B1401" s="191"/>
      <c r="C1401" s="191"/>
      <c r="D1401" s="192" t="s">
        <v>3538</v>
      </c>
      <c r="E1401" t="s">
        <v>3539</v>
      </c>
      <c r="F1401" s="192" t="s">
        <v>789</v>
      </c>
      <c r="G1401" s="192" t="s">
        <v>1414</v>
      </c>
      <c r="H1401" s="192" t="s">
        <v>3434</v>
      </c>
      <c r="I1401" t="s">
        <v>3414</v>
      </c>
      <c r="J1401" t="s">
        <v>865</v>
      </c>
      <c r="K1401" t="s">
        <v>797</v>
      </c>
    </row>
    <row r="1402" spans="2:11" x14ac:dyDescent="0.25">
      <c r="B1402" s="191"/>
      <c r="C1402" s="191"/>
      <c r="D1402" s="192" t="s">
        <v>3540</v>
      </c>
      <c r="E1402" t="s">
        <v>3541</v>
      </c>
      <c r="F1402" s="192" t="s">
        <v>789</v>
      </c>
      <c r="G1402" s="192" t="s">
        <v>1418</v>
      </c>
      <c r="H1402" s="192" t="s">
        <v>3444</v>
      </c>
      <c r="I1402" t="s">
        <v>3414</v>
      </c>
      <c r="J1402" t="s">
        <v>865</v>
      </c>
      <c r="K1402" t="s">
        <v>797</v>
      </c>
    </row>
    <row r="1403" spans="2:11" x14ac:dyDescent="0.25">
      <c r="B1403" s="191"/>
      <c r="C1403" s="191" t="s">
        <v>3542</v>
      </c>
      <c r="D1403" s="192"/>
      <c r="E1403" s="185" t="s">
        <v>3543</v>
      </c>
      <c r="F1403" s="192" t="s">
        <v>789</v>
      </c>
      <c r="G1403" s="192" t="s">
        <v>790</v>
      </c>
      <c r="H1403" s="192" t="s">
        <v>790</v>
      </c>
      <c r="I1403" t="s">
        <v>3414</v>
      </c>
    </row>
    <row r="1404" spans="2:11" x14ac:dyDescent="0.25">
      <c r="B1404" s="191"/>
      <c r="C1404" s="191"/>
      <c r="D1404" s="192" t="s">
        <v>3544</v>
      </c>
      <c r="E1404" t="s">
        <v>3545</v>
      </c>
      <c r="F1404" s="192" t="s">
        <v>789</v>
      </c>
      <c r="G1404" s="192" t="s">
        <v>1404</v>
      </c>
      <c r="H1404" s="192" t="s">
        <v>3430</v>
      </c>
      <c r="I1404" t="s">
        <v>3414</v>
      </c>
      <c r="J1404" t="s">
        <v>865</v>
      </c>
      <c r="K1404" t="s">
        <v>797</v>
      </c>
    </row>
    <row r="1405" spans="2:11" x14ac:dyDescent="0.25">
      <c r="B1405" s="191"/>
      <c r="C1405" s="191"/>
      <c r="D1405" s="192" t="s">
        <v>3546</v>
      </c>
      <c r="E1405" t="s">
        <v>3547</v>
      </c>
      <c r="F1405" s="192" t="s">
        <v>789</v>
      </c>
      <c r="G1405" s="192" t="s">
        <v>1408</v>
      </c>
      <c r="H1405" s="192" t="s">
        <v>3434</v>
      </c>
      <c r="I1405" t="s">
        <v>3414</v>
      </c>
      <c r="J1405" t="s">
        <v>865</v>
      </c>
      <c r="K1405" t="s">
        <v>797</v>
      </c>
    </row>
    <row r="1406" spans="2:11" x14ac:dyDescent="0.25">
      <c r="B1406" s="191"/>
      <c r="C1406" s="191"/>
      <c r="D1406" s="192" t="s">
        <v>3548</v>
      </c>
      <c r="E1406" t="s">
        <v>3549</v>
      </c>
      <c r="F1406" s="192" t="s">
        <v>789</v>
      </c>
      <c r="G1406" s="192" t="s">
        <v>1410</v>
      </c>
      <c r="H1406" s="192" t="s">
        <v>3434</v>
      </c>
      <c r="I1406" t="s">
        <v>3414</v>
      </c>
      <c r="J1406" t="s">
        <v>865</v>
      </c>
      <c r="K1406" t="s">
        <v>797</v>
      </c>
    </row>
    <row r="1407" spans="2:11" x14ac:dyDescent="0.25">
      <c r="B1407" s="191"/>
      <c r="C1407" s="191"/>
      <c r="D1407" s="192" t="s">
        <v>3550</v>
      </c>
      <c r="E1407" t="s">
        <v>3551</v>
      </c>
      <c r="F1407" s="192" t="s">
        <v>789</v>
      </c>
      <c r="G1407" s="192" t="s">
        <v>1412</v>
      </c>
      <c r="H1407" s="192" t="s">
        <v>3434</v>
      </c>
      <c r="I1407" t="s">
        <v>3414</v>
      </c>
      <c r="J1407" t="s">
        <v>865</v>
      </c>
      <c r="K1407" t="s">
        <v>797</v>
      </c>
    </row>
    <row r="1408" spans="2:11" x14ac:dyDescent="0.25">
      <c r="B1408" s="191"/>
      <c r="C1408" s="191"/>
      <c r="D1408" s="192" t="s">
        <v>3552</v>
      </c>
      <c r="E1408" t="s">
        <v>3553</v>
      </c>
      <c r="F1408" s="192" t="s">
        <v>789</v>
      </c>
      <c r="G1408" s="192" t="s">
        <v>1414</v>
      </c>
      <c r="H1408" s="192" t="s">
        <v>3434</v>
      </c>
      <c r="I1408" t="s">
        <v>3414</v>
      </c>
      <c r="J1408" t="s">
        <v>865</v>
      </c>
      <c r="K1408" t="s">
        <v>797</v>
      </c>
    </row>
    <row r="1409" spans="2:11" x14ac:dyDescent="0.25">
      <c r="B1409" s="191"/>
      <c r="C1409" s="191"/>
      <c r="D1409" s="192" t="s">
        <v>3554</v>
      </c>
      <c r="E1409" t="s">
        <v>3555</v>
      </c>
      <c r="F1409" s="192" t="s">
        <v>789</v>
      </c>
      <c r="G1409" s="192" t="s">
        <v>1418</v>
      </c>
      <c r="H1409" s="192" t="s">
        <v>3444</v>
      </c>
      <c r="I1409" t="s">
        <v>3414</v>
      </c>
      <c r="J1409" t="s">
        <v>865</v>
      </c>
      <c r="K1409" t="s">
        <v>797</v>
      </c>
    </row>
    <row r="1410" spans="2:11" x14ac:dyDescent="0.25">
      <c r="B1410" s="191"/>
      <c r="C1410" s="191" t="s">
        <v>3556</v>
      </c>
      <c r="D1410" s="192"/>
      <c r="E1410" s="185" t="s">
        <v>3557</v>
      </c>
      <c r="F1410" s="192" t="s">
        <v>789</v>
      </c>
      <c r="G1410" s="192" t="s">
        <v>790</v>
      </c>
      <c r="H1410" s="192" t="s">
        <v>790</v>
      </c>
      <c r="I1410" t="s">
        <v>3414</v>
      </c>
    </row>
    <row r="1411" spans="2:11" x14ac:dyDescent="0.25">
      <c r="B1411" s="191"/>
      <c r="C1411" s="191"/>
      <c r="D1411" s="192" t="s">
        <v>3558</v>
      </c>
      <c r="E1411" t="s">
        <v>3559</v>
      </c>
      <c r="F1411" s="192" t="s">
        <v>789</v>
      </c>
      <c r="G1411" s="192" t="s">
        <v>1404</v>
      </c>
      <c r="H1411" s="192" t="s">
        <v>3430</v>
      </c>
      <c r="I1411" t="s">
        <v>3414</v>
      </c>
      <c r="J1411" t="s">
        <v>865</v>
      </c>
      <c r="K1411" t="s">
        <v>797</v>
      </c>
    </row>
    <row r="1412" spans="2:11" x14ac:dyDescent="0.25">
      <c r="B1412" s="191"/>
      <c r="C1412" s="191"/>
      <c r="D1412" s="192" t="s">
        <v>3560</v>
      </c>
      <c r="E1412" t="s">
        <v>3561</v>
      </c>
      <c r="F1412" s="192" t="s">
        <v>789</v>
      </c>
      <c r="G1412" s="192" t="s">
        <v>1408</v>
      </c>
      <c r="H1412" s="192" t="s">
        <v>3434</v>
      </c>
      <c r="I1412" t="s">
        <v>3414</v>
      </c>
      <c r="J1412" t="s">
        <v>865</v>
      </c>
      <c r="K1412" t="s">
        <v>797</v>
      </c>
    </row>
    <row r="1413" spans="2:11" x14ac:dyDescent="0.25">
      <c r="B1413" s="191"/>
      <c r="C1413" s="191"/>
      <c r="D1413" s="192" t="s">
        <v>3562</v>
      </c>
      <c r="E1413" t="s">
        <v>3563</v>
      </c>
      <c r="F1413" s="192" t="s">
        <v>789</v>
      </c>
      <c r="G1413" s="192" t="s">
        <v>1410</v>
      </c>
      <c r="H1413" s="192" t="s">
        <v>3434</v>
      </c>
      <c r="I1413" t="s">
        <v>3414</v>
      </c>
      <c r="J1413" t="s">
        <v>865</v>
      </c>
      <c r="K1413" t="s">
        <v>797</v>
      </c>
    </row>
    <row r="1414" spans="2:11" x14ac:dyDescent="0.25">
      <c r="B1414" s="191"/>
      <c r="C1414" s="191"/>
      <c r="D1414" s="192" t="s">
        <v>3564</v>
      </c>
      <c r="E1414" t="s">
        <v>3565</v>
      </c>
      <c r="F1414" s="192" t="s">
        <v>789</v>
      </c>
      <c r="G1414" s="192" t="s">
        <v>1412</v>
      </c>
      <c r="H1414" s="192" t="s">
        <v>3434</v>
      </c>
      <c r="I1414" t="s">
        <v>3414</v>
      </c>
      <c r="J1414" t="s">
        <v>865</v>
      </c>
      <c r="K1414" t="s">
        <v>797</v>
      </c>
    </row>
    <row r="1415" spans="2:11" x14ac:dyDescent="0.25">
      <c r="B1415" s="191"/>
      <c r="C1415" s="191"/>
      <c r="D1415" s="192" t="s">
        <v>3566</v>
      </c>
      <c r="E1415" t="s">
        <v>3567</v>
      </c>
      <c r="F1415" s="192" t="s">
        <v>789</v>
      </c>
      <c r="G1415" s="192" t="s">
        <v>1414</v>
      </c>
      <c r="H1415" s="192" t="s">
        <v>3434</v>
      </c>
      <c r="I1415" t="s">
        <v>3414</v>
      </c>
      <c r="J1415" t="s">
        <v>865</v>
      </c>
      <c r="K1415" t="s">
        <v>797</v>
      </c>
    </row>
    <row r="1416" spans="2:11" x14ac:dyDescent="0.25">
      <c r="B1416" s="191"/>
      <c r="C1416" s="191"/>
      <c r="D1416" s="192" t="s">
        <v>3568</v>
      </c>
      <c r="E1416" t="s">
        <v>3569</v>
      </c>
      <c r="F1416" s="192" t="s">
        <v>789</v>
      </c>
      <c r="G1416" s="192" t="s">
        <v>1418</v>
      </c>
      <c r="H1416" s="192" t="s">
        <v>3444</v>
      </c>
      <c r="I1416" t="s">
        <v>3414</v>
      </c>
      <c r="J1416" t="s">
        <v>865</v>
      </c>
      <c r="K1416" t="s">
        <v>797</v>
      </c>
    </row>
    <row r="1417" spans="2:11" x14ac:dyDescent="0.25">
      <c r="B1417" s="191"/>
      <c r="C1417" s="191" t="s">
        <v>3570</v>
      </c>
      <c r="D1417" s="192"/>
      <c r="E1417" s="185" t="s">
        <v>3571</v>
      </c>
      <c r="F1417" s="192" t="s">
        <v>789</v>
      </c>
      <c r="G1417" s="192" t="s">
        <v>790</v>
      </c>
      <c r="H1417" s="192" t="s">
        <v>790</v>
      </c>
      <c r="I1417" t="s">
        <v>3414</v>
      </c>
    </row>
    <row r="1418" spans="2:11" x14ac:dyDescent="0.25">
      <c r="B1418" s="191"/>
      <c r="C1418" s="191" t="s">
        <v>3572</v>
      </c>
      <c r="D1418" s="192"/>
      <c r="E1418" s="185" t="s">
        <v>3573</v>
      </c>
      <c r="F1418" s="192" t="s">
        <v>789</v>
      </c>
      <c r="G1418" s="192" t="s">
        <v>790</v>
      </c>
      <c r="H1418" s="192" t="s">
        <v>790</v>
      </c>
      <c r="I1418" t="s">
        <v>3414</v>
      </c>
    </row>
    <row r="1419" spans="2:11" x14ac:dyDescent="0.25">
      <c r="B1419" s="191"/>
      <c r="C1419" s="191"/>
      <c r="D1419" s="192" t="s">
        <v>3574</v>
      </c>
      <c r="E1419" t="s">
        <v>3575</v>
      </c>
      <c r="F1419" s="192" t="s">
        <v>789</v>
      </c>
      <c r="G1419" s="192" t="s">
        <v>1424</v>
      </c>
      <c r="H1419" s="192" t="s">
        <v>3449</v>
      </c>
      <c r="I1419" t="s">
        <v>3414</v>
      </c>
      <c r="J1419" t="s">
        <v>865</v>
      </c>
      <c r="K1419" t="s">
        <v>797</v>
      </c>
    </row>
    <row r="1420" spans="2:11" x14ac:dyDescent="0.25">
      <c r="B1420" s="191"/>
      <c r="C1420" s="191"/>
      <c r="D1420" s="192" t="s">
        <v>3576</v>
      </c>
      <c r="E1420" t="s">
        <v>3577</v>
      </c>
      <c r="F1420" s="192" t="s">
        <v>789</v>
      </c>
      <c r="G1420" s="192" t="s">
        <v>1428</v>
      </c>
      <c r="H1420" s="192" t="s">
        <v>3453</v>
      </c>
      <c r="I1420" t="s">
        <v>3414</v>
      </c>
      <c r="J1420" t="s">
        <v>865</v>
      </c>
      <c r="K1420" t="s">
        <v>797</v>
      </c>
    </row>
    <row r="1421" spans="2:11" x14ac:dyDescent="0.25">
      <c r="B1421" s="191"/>
      <c r="C1421" s="191" t="s">
        <v>3578</v>
      </c>
      <c r="D1421" s="192"/>
      <c r="E1421" s="185" t="s">
        <v>3579</v>
      </c>
      <c r="F1421" s="192" t="s">
        <v>789</v>
      </c>
      <c r="G1421" s="192" t="s">
        <v>790</v>
      </c>
      <c r="H1421" s="192" t="s">
        <v>790</v>
      </c>
      <c r="I1421" t="s">
        <v>3414</v>
      </c>
    </row>
    <row r="1422" spans="2:11" x14ac:dyDescent="0.25">
      <c r="B1422" s="191"/>
      <c r="C1422" s="191"/>
      <c r="D1422" s="192" t="s">
        <v>3580</v>
      </c>
      <c r="E1422" t="s">
        <v>3581</v>
      </c>
      <c r="F1422" s="192" t="s">
        <v>789</v>
      </c>
      <c r="G1422" s="192" t="s">
        <v>1424</v>
      </c>
      <c r="H1422" s="192" t="s">
        <v>3449</v>
      </c>
      <c r="I1422" t="s">
        <v>3414</v>
      </c>
      <c r="J1422" t="s">
        <v>865</v>
      </c>
      <c r="K1422" t="s">
        <v>797</v>
      </c>
    </row>
    <row r="1423" spans="2:11" x14ac:dyDescent="0.25">
      <c r="B1423" s="191"/>
      <c r="C1423" s="191"/>
      <c r="D1423" s="192" t="s">
        <v>3582</v>
      </c>
      <c r="E1423" t="s">
        <v>3583</v>
      </c>
      <c r="F1423" s="192" t="s">
        <v>789</v>
      </c>
      <c r="G1423" s="192" t="s">
        <v>1424</v>
      </c>
      <c r="H1423" s="192" t="s">
        <v>3449</v>
      </c>
      <c r="I1423" t="s">
        <v>3414</v>
      </c>
      <c r="J1423" t="s">
        <v>865</v>
      </c>
      <c r="K1423" t="s">
        <v>797</v>
      </c>
    </row>
    <row r="1424" spans="2:11" x14ac:dyDescent="0.25">
      <c r="B1424" s="191"/>
      <c r="C1424" s="191" t="s">
        <v>3584</v>
      </c>
      <c r="D1424" s="192"/>
      <c r="E1424" s="185" t="s">
        <v>3585</v>
      </c>
      <c r="F1424" s="192" t="s">
        <v>789</v>
      </c>
      <c r="G1424" s="192" t="s">
        <v>790</v>
      </c>
      <c r="H1424" s="192" t="s">
        <v>790</v>
      </c>
      <c r="I1424" t="s">
        <v>3414</v>
      </c>
    </row>
    <row r="1425" spans="2:11" x14ac:dyDescent="0.25">
      <c r="B1425" s="191"/>
      <c r="C1425" s="191"/>
      <c r="D1425" s="192" t="s">
        <v>3586</v>
      </c>
      <c r="E1425" t="s">
        <v>3587</v>
      </c>
      <c r="F1425" s="192" t="s">
        <v>789</v>
      </c>
      <c r="G1425" s="192" t="s">
        <v>1424</v>
      </c>
      <c r="H1425" s="192" t="s">
        <v>3449</v>
      </c>
      <c r="I1425" t="s">
        <v>3414</v>
      </c>
      <c r="J1425" t="s">
        <v>865</v>
      </c>
      <c r="K1425" t="s">
        <v>797</v>
      </c>
    </row>
    <row r="1426" spans="2:11" x14ac:dyDescent="0.25">
      <c r="B1426" s="191"/>
      <c r="C1426" s="191"/>
      <c r="D1426" s="192" t="s">
        <v>3588</v>
      </c>
      <c r="E1426" t="s">
        <v>3589</v>
      </c>
      <c r="F1426" s="192" t="s">
        <v>789</v>
      </c>
      <c r="G1426" s="192" t="s">
        <v>1428</v>
      </c>
      <c r="H1426" s="192" t="s">
        <v>3453</v>
      </c>
      <c r="I1426" t="s">
        <v>3414</v>
      </c>
      <c r="J1426" t="s">
        <v>865</v>
      </c>
      <c r="K1426" t="s">
        <v>797</v>
      </c>
    </row>
    <row r="1427" spans="2:11" x14ac:dyDescent="0.25">
      <c r="B1427" s="191"/>
      <c r="C1427" s="191" t="s">
        <v>3590</v>
      </c>
      <c r="D1427" s="192"/>
      <c r="E1427" s="185" t="s">
        <v>3591</v>
      </c>
      <c r="F1427" s="192" t="s">
        <v>789</v>
      </c>
      <c r="G1427" s="192" t="s">
        <v>790</v>
      </c>
      <c r="H1427" s="192" t="s">
        <v>790</v>
      </c>
      <c r="I1427" t="s">
        <v>3414</v>
      </c>
    </row>
    <row r="1428" spans="2:11" x14ac:dyDescent="0.25">
      <c r="B1428" s="191"/>
      <c r="C1428" s="191"/>
      <c r="D1428" s="192" t="s">
        <v>3592</v>
      </c>
      <c r="E1428" t="s">
        <v>3593</v>
      </c>
      <c r="F1428" s="192" t="s">
        <v>789</v>
      </c>
      <c r="G1428" s="192" t="s">
        <v>1424</v>
      </c>
      <c r="H1428" s="192" t="s">
        <v>3449</v>
      </c>
      <c r="I1428" t="s">
        <v>3414</v>
      </c>
      <c r="J1428" t="s">
        <v>865</v>
      </c>
      <c r="K1428" t="s">
        <v>797</v>
      </c>
    </row>
    <row r="1429" spans="2:11" x14ac:dyDescent="0.25">
      <c r="B1429" s="191"/>
      <c r="C1429" s="191"/>
      <c r="D1429" s="192" t="s">
        <v>3594</v>
      </c>
      <c r="E1429" t="s">
        <v>3595</v>
      </c>
      <c r="F1429" s="192" t="s">
        <v>789</v>
      </c>
      <c r="G1429" s="192" t="s">
        <v>1428</v>
      </c>
      <c r="H1429" s="192" t="s">
        <v>3453</v>
      </c>
      <c r="I1429" t="s">
        <v>3414</v>
      </c>
      <c r="J1429" t="s">
        <v>865</v>
      </c>
      <c r="K1429" t="s">
        <v>797</v>
      </c>
    </row>
    <row r="1430" spans="2:11" x14ac:dyDescent="0.25">
      <c r="B1430" s="191"/>
      <c r="C1430" s="191" t="s">
        <v>3596</v>
      </c>
      <c r="D1430" s="192"/>
      <c r="E1430" s="185" t="s">
        <v>3597</v>
      </c>
      <c r="F1430" s="192" t="s">
        <v>789</v>
      </c>
      <c r="G1430" s="192" t="s">
        <v>790</v>
      </c>
      <c r="H1430" s="192" t="s">
        <v>790</v>
      </c>
      <c r="I1430" t="s">
        <v>3414</v>
      </c>
    </row>
    <row r="1431" spans="2:11" x14ac:dyDescent="0.25">
      <c r="B1431" s="191"/>
      <c r="C1431" s="191"/>
      <c r="D1431" s="192" t="s">
        <v>3598</v>
      </c>
      <c r="E1431" t="s">
        <v>3599</v>
      </c>
      <c r="F1431" s="192" t="s">
        <v>789</v>
      </c>
      <c r="G1431" s="192" t="s">
        <v>1424</v>
      </c>
      <c r="H1431" s="192" t="s">
        <v>3449</v>
      </c>
      <c r="I1431" t="s">
        <v>3414</v>
      </c>
      <c r="J1431" t="s">
        <v>865</v>
      </c>
      <c r="K1431" t="s">
        <v>797</v>
      </c>
    </row>
    <row r="1432" spans="2:11" x14ac:dyDescent="0.25">
      <c r="B1432" s="191"/>
      <c r="C1432" s="191"/>
      <c r="D1432" s="192" t="s">
        <v>3600</v>
      </c>
      <c r="E1432" t="s">
        <v>3601</v>
      </c>
      <c r="F1432" s="192" t="s">
        <v>789</v>
      </c>
      <c r="G1432" s="192" t="s">
        <v>1428</v>
      </c>
      <c r="H1432" s="192" t="s">
        <v>3453</v>
      </c>
      <c r="I1432" t="s">
        <v>3414</v>
      </c>
      <c r="J1432" t="s">
        <v>865</v>
      </c>
      <c r="K1432" t="s">
        <v>797</v>
      </c>
    </row>
    <row r="1433" spans="2:11" x14ac:dyDescent="0.25">
      <c r="B1433" s="191" t="s">
        <v>3602</v>
      </c>
      <c r="C1433" s="191"/>
      <c r="D1433" s="192"/>
      <c r="E1433" s="185" t="s">
        <v>3603</v>
      </c>
      <c r="F1433" s="192" t="s">
        <v>789</v>
      </c>
      <c r="G1433" s="192" t="s">
        <v>790</v>
      </c>
      <c r="H1433" s="192" t="s">
        <v>790</v>
      </c>
      <c r="I1433" t="s">
        <v>3414</v>
      </c>
      <c r="J1433" t="s">
        <v>865</v>
      </c>
    </row>
    <row r="1434" spans="2:11" x14ac:dyDescent="0.25">
      <c r="B1434" s="191"/>
      <c r="C1434" s="191" t="s">
        <v>3604</v>
      </c>
      <c r="D1434" s="192"/>
      <c r="E1434" s="185" t="s">
        <v>3605</v>
      </c>
      <c r="F1434" s="192" t="s">
        <v>789</v>
      </c>
      <c r="G1434" s="192" t="s">
        <v>790</v>
      </c>
      <c r="H1434" s="192" t="s">
        <v>790</v>
      </c>
      <c r="I1434" t="s">
        <v>3414</v>
      </c>
      <c r="J1434" t="s">
        <v>865</v>
      </c>
    </row>
    <row r="1435" spans="2:11" x14ac:dyDescent="0.25">
      <c r="B1435" s="191"/>
      <c r="C1435" s="191"/>
      <c r="D1435" s="192" t="s">
        <v>3419</v>
      </c>
      <c r="E1435" t="s">
        <v>3606</v>
      </c>
      <c r="F1435" s="192" t="s">
        <v>789</v>
      </c>
      <c r="G1435" s="192" t="s">
        <v>790</v>
      </c>
      <c r="H1435" s="192" t="s">
        <v>790</v>
      </c>
      <c r="I1435" t="s">
        <v>3414</v>
      </c>
      <c r="J1435" t="s">
        <v>865</v>
      </c>
      <c r="K1435" t="s">
        <v>797</v>
      </c>
    </row>
    <row r="1436" spans="2:11" x14ac:dyDescent="0.25">
      <c r="B1436" s="191"/>
      <c r="C1436" s="191" t="s">
        <v>3607</v>
      </c>
      <c r="D1436" s="192"/>
      <c r="E1436" s="185" t="s">
        <v>3608</v>
      </c>
      <c r="F1436" s="192" t="s">
        <v>789</v>
      </c>
      <c r="G1436" s="192" t="s">
        <v>790</v>
      </c>
      <c r="H1436" s="192" t="s">
        <v>790</v>
      </c>
      <c r="I1436" t="s">
        <v>3414</v>
      </c>
    </row>
    <row r="1437" spans="2:11" x14ac:dyDescent="0.25">
      <c r="B1437" s="191"/>
      <c r="C1437" s="191" t="s">
        <v>3609</v>
      </c>
      <c r="D1437" s="192"/>
      <c r="E1437" s="185" t="s">
        <v>3610</v>
      </c>
      <c r="F1437" s="192" t="s">
        <v>789</v>
      </c>
      <c r="G1437" s="192" t="s">
        <v>790</v>
      </c>
      <c r="H1437" s="192" t="s">
        <v>790</v>
      </c>
      <c r="I1437" t="s">
        <v>3414</v>
      </c>
    </row>
    <row r="1438" spans="2:11" x14ac:dyDescent="0.25">
      <c r="B1438" s="191"/>
      <c r="C1438" s="191"/>
      <c r="D1438" s="192" t="s">
        <v>3424</v>
      </c>
      <c r="E1438" t="s">
        <v>3611</v>
      </c>
      <c r="F1438" s="192" t="s">
        <v>789</v>
      </c>
      <c r="G1438" s="192" t="s">
        <v>790</v>
      </c>
      <c r="H1438" s="192" t="s">
        <v>790</v>
      </c>
      <c r="I1438" t="s">
        <v>3414</v>
      </c>
      <c r="J1438" t="s">
        <v>865</v>
      </c>
      <c r="K1438" t="s">
        <v>797</v>
      </c>
    </row>
    <row r="1439" spans="2:11" x14ac:dyDescent="0.25">
      <c r="B1439" s="191"/>
      <c r="C1439" s="191"/>
      <c r="D1439" s="192" t="s">
        <v>3612</v>
      </c>
      <c r="E1439" t="s">
        <v>3613</v>
      </c>
      <c r="F1439" s="192" t="s">
        <v>789</v>
      </c>
      <c r="G1439" s="192" t="s">
        <v>790</v>
      </c>
      <c r="H1439" s="192" t="s">
        <v>790</v>
      </c>
      <c r="I1439" t="s">
        <v>3414</v>
      </c>
      <c r="J1439" t="s">
        <v>865</v>
      </c>
      <c r="K1439" t="s">
        <v>797</v>
      </c>
    </row>
    <row r="1440" spans="2:11" x14ac:dyDescent="0.25">
      <c r="B1440" s="191"/>
      <c r="C1440" s="191" t="s">
        <v>3614</v>
      </c>
      <c r="D1440" s="192"/>
      <c r="E1440" s="185" t="s">
        <v>3615</v>
      </c>
      <c r="F1440" s="192" t="s">
        <v>789</v>
      </c>
      <c r="G1440" s="192" t="s">
        <v>790</v>
      </c>
      <c r="H1440" s="192" t="s">
        <v>790</v>
      </c>
      <c r="I1440" t="s">
        <v>3414</v>
      </c>
    </row>
    <row r="1441" spans="2:11" x14ac:dyDescent="0.25">
      <c r="B1441" s="191"/>
      <c r="C1441" s="191" t="s">
        <v>3616</v>
      </c>
      <c r="D1441" s="192"/>
      <c r="E1441" s="185" t="s">
        <v>3617</v>
      </c>
      <c r="F1441" s="192" t="s">
        <v>789</v>
      </c>
      <c r="G1441" s="192" t="s">
        <v>790</v>
      </c>
      <c r="H1441" s="192" t="s">
        <v>790</v>
      </c>
      <c r="I1441" t="s">
        <v>3414</v>
      </c>
    </row>
    <row r="1442" spans="2:11" x14ac:dyDescent="0.25">
      <c r="B1442" s="191"/>
      <c r="C1442" s="191"/>
      <c r="D1442" s="192" t="s">
        <v>3430</v>
      </c>
      <c r="E1442" t="s">
        <v>3618</v>
      </c>
      <c r="F1442" s="192" t="s">
        <v>789</v>
      </c>
      <c r="G1442" s="192" t="s">
        <v>790</v>
      </c>
      <c r="H1442" s="192" t="s">
        <v>790</v>
      </c>
      <c r="I1442" t="s">
        <v>3414</v>
      </c>
      <c r="J1442" t="s">
        <v>865</v>
      </c>
      <c r="K1442" t="s">
        <v>797</v>
      </c>
    </row>
    <row r="1443" spans="2:11" x14ac:dyDescent="0.25">
      <c r="B1443" s="191"/>
      <c r="C1443" s="191"/>
      <c r="D1443" s="192" t="s">
        <v>3619</v>
      </c>
      <c r="E1443" t="s">
        <v>3620</v>
      </c>
      <c r="F1443" s="192" t="s">
        <v>789</v>
      </c>
      <c r="G1443" s="192" t="s">
        <v>790</v>
      </c>
      <c r="H1443" s="192" t="s">
        <v>790</v>
      </c>
      <c r="I1443" t="s">
        <v>3414</v>
      </c>
      <c r="J1443" t="s">
        <v>865</v>
      </c>
      <c r="K1443" t="s">
        <v>797</v>
      </c>
    </row>
    <row r="1444" spans="2:11" x14ac:dyDescent="0.25">
      <c r="B1444" s="191"/>
      <c r="C1444" s="191"/>
      <c r="D1444" s="192" t="s">
        <v>3621</v>
      </c>
      <c r="E1444" t="s">
        <v>3622</v>
      </c>
      <c r="F1444" s="192" t="s">
        <v>789</v>
      </c>
      <c r="G1444" s="192" t="s">
        <v>3623</v>
      </c>
      <c r="H1444" s="192" t="s">
        <v>3624</v>
      </c>
      <c r="I1444" t="s">
        <v>3414</v>
      </c>
      <c r="J1444" t="s">
        <v>865</v>
      </c>
      <c r="K1444" t="s">
        <v>797</v>
      </c>
    </row>
    <row r="1445" spans="2:11" x14ac:dyDescent="0.25">
      <c r="B1445" s="191"/>
      <c r="C1445" s="191"/>
      <c r="D1445" s="192" t="s">
        <v>3625</v>
      </c>
      <c r="E1445" t="s">
        <v>3626</v>
      </c>
      <c r="F1445" s="192" t="s">
        <v>789</v>
      </c>
      <c r="G1445" s="192" t="s">
        <v>3627</v>
      </c>
      <c r="H1445" s="192" t="s">
        <v>3624</v>
      </c>
      <c r="I1445" t="s">
        <v>3414</v>
      </c>
      <c r="J1445" t="s">
        <v>865</v>
      </c>
      <c r="K1445" t="s">
        <v>797</v>
      </c>
    </row>
    <row r="1446" spans="2:11" x14ac:dyDescent="0.25">
      <c r="B1446" s="191"/>
      <c r="C1446" s="191"/>
      <c r="D1446" s="192" t="s">
        <v>3628</v>
      </c>
      <c r="E1446" t="s">
        <v>3629</v>
      </c>
      <c r="F1446" s="192" t="s">
        <v>789</v>
      </c>
      <c r="G1446" s="192" t="s">
        <v>3630</v>
      </c>
      <c r="H1446" s="192" t="s">
        <v>3624</v>
      </c>
      <c r="I1446" t="s">
        <v>3414</v>
      </c>
      <c r="J1446" t="s">
        <v>865</v>
      </c>
      <c r="K1446" t="s">
        <v>797</v>
      </c>
    </row>
    <row r="1447" spans="2:11" x14ac:dyDescent="0.25">
      <c r="B1447" s="191"/>
      <c r="C1447" s="191" t="s">
        <v>3631</v>
      </c>
      <c r="D1447" s="192"/>
      <c r="E1447" s="185" t="s">
        <v>3632</v>
      </c>
      <c r="F1447" s="192" t="s">
        <v>789</v>
      </c>
      <c r="G1447" s="192" t="s">
        <v>790</v>
      </c>
      <c r="H1447" s="192" t="s">
        <v>790</v>
      </c>
      <c r="I1447" t="s">
        <v>3414</v>
      </c>
    </row>
    <row r="1448" spans="2:11" x14ac:dyDescent="0.25">
      <c r="B1448" s="191"/>
      <c r="C1448" s="191"/>
      <c r="D1448" s="192" t="s">
        <v>3434</v>
      </c>
      <c r="E1448" t="s">
        <v>3633</v>
      </c>
      <c r="F1448" s="192" t="s">
        <v>789</v>
      </c>
      <c r="G1448" s="192" t="s">
        <v>790</v>
      </c>
      <c r="H1448" s="192" t="s">
        <v>790</v>
      </c>
      <c r="I1448" t="s">
        <v>3414</v>
      </c>
      <c r="J1448" t="s">
        <v>865</v>
      </c>
      <c r="K1448" t="s">
        <v>797</v>
      </c>
    </row>
    <row r="1449" spans="2:11" x14ac:dyDescent="0.25">
      <c r="B1449" s="191"/>
      <c r="C1449" s="191"/>
      <c r="D1449" s="192" t="s">
        <v>3634</v>
      </c>
      <c r="E1449" t="s">
        <v>3635</v>
      </c>
      <c r="F1449" s="192" t="s">
        <v>789</v>
      </c>
      <c r="G1449" s="192" t="s">
        <v>790</v>
      </c>
      <c r="H1449" s="192" t="s">
        <v>790</v>
      </c>
      <c r="I1449" t="s">
        <v>3414</v>
      </c>
      <c r="J1449" t="s">
        <v>865</v>
      </c>
      <c r="K1449" t="s">
        <v>797</v>
      </c>
    </row>
    <row r="1450" spans="2:11" x14ac:dyDescent="0.25">
      <c r="B1450" s="191"/>
      <c r="C1450" s="191"/>
      <c r="D1450" s="192" t="s">
        <v>3636</v>
      </c>
      <c r="E1450" t="s">
        <v>3637</v>
      </c>
      <c r="F1450" s="192" t="s">
        <v>789</v>
      </c>
      <c r="G1450" s="192" t="s">
        <v>790</v>
      </c>
      <c r="H1450" s="192" t="s">
        <v>790</v>
      </c>
      <c r="I1450" t="s">
        <v>3414</v>
      </c>
      <c r="J1450" t="s">
        <v>865</v>
      </c>
      <c r="K1450" t="s">
        <v>797</v>
      </c>
    </row>
    <row r="1451" spans="2:11" x14ac:dyDescent="0.25">
      <c r="B1451" s="191"/>
      <c r="C1451" s="191"/>
      <c r="D1451" s="192" t="s">
        <v>3638</v>
      </c>
      <c r="E1451" t="s">
        <v>3639</v>
      </c>
      <c r="F1451" s="192" t="s">
        <v>789</v>
      </c>
      <c r="G1451" s="192" t="s">
        <v>3623</v>
      </c>
      <c r="H1451" s="192" t="s">
        <v>3624</v>
      </c>
      <c r="I1451" t="s">
        <v>3414</v>
      </c>
      <c r="J1451" t="s">
        <v>865</v>
      </c>
      <c r="K1451" t="s">
        <v>797</v>
      </c>
    </row>
    <row r="1452" spans="2:11" x14ac:dyDescent="0.25">
      <c r="B1452" s="191"/>
      <c r="C1452" s="191"/>
      <c r="D1452" s="192" t="s">
        <v>3640</v>
      </c>
      <c r="E1452" t="s">
        <v>3641</v>
      </c>
      <c r="F1452" s="192" t="s">
        <v>789</v>
      </c>
      <c r="G1452" s="192" t="s">
        <v>3627</v>
      </c>
      <c r="H1452" s="192" t="s">
        <v>3624</v>
      </c>
      <c r="I1452" t="s">
        <v>3414</v>
      </c>
      <c r="J1452" t="s">
        <v>865</v>
      </c>
      <c r="K1452" t="s">
        <v>797</v>
      </c>
    </row>
    <row r="1453" spans="2:11" x14ac:dyDescent="0.25">
      <c r="B1453" s="191"/>
      <c r="C1453" s="191"/>
      <c r="D1453" s="192" t="s">
        <v>3642</v>
      </c>
      <c r="E1453" t="s">
        <v>3643</v>
      </c>
      <c r="F1453" s="192" t="s">
        <v>789</v>
      </c>
      <c r="G1453" s="192" t="s">
        <v>3630</v>
      </c>
      <c r="H1453" s="192" t="s">
        <v>3624</v>
      </c>
      <c r="I1453" t="s">
        <v>3414</v>
      </c>
      <c r="J1453" t="s">
        <v>865</v>
      </c>
      <c r="K1453" t="s">
        <v>797</v>
      </c>
    </row>
    <row r="1454" spans="2:11" x14ac:dyDescent="0.25">
      <c r="B1454" s="191"/>
      <c r="C1454" s="191" t="s">
        <v>3644</v>
      </c>
      <c r="D1454" s="192"/>
      <c r="E1454" s="185" t="s">
        <v>3645</v>
      </c>
      <c r="F1454" s="192" t="s">
        <v>789</v>
      </c>
      <c r="G1454" s="192" t="s">
        <v>790</v>
      </c>
      <c r="H1454" s="192" t="s">
        <v>790</v>
      </c>
      <c r="I1454" t="s">
        <v>3414</v>
      </c>
    </row>
    <row r="1455" spans="2:11" x14ac:dyDescent="0.25">
      <c r="B1455" s="191"/>
      <c r="C1455" s="191"/>
      <c r="D1455" s="192" t="s">
        <v>3444</v>
      </c>
      <c r="E1455" t="s">
        <v>3646</v>
      </c>
      <c r="F1455" s="192" t="s">
        <v>789</v>
      </c>
      <c r="G1455" s="192" t="s">
        <v>790</v>
      </c>
      <c r="H1455" s="192" t="s">
        <v>790</v>
      </c>
      <c r="I1455" t="s">
        <v>3414</v>
      </c>
      <c r="J1455" t="s">
        <v>865</v>
      </c>
      <c r="K1455" t="s">
        <v>797</v>
      </c>
    </row>
    <row r="1456" spans="2:11" x14ac:dyDescent="0.25">
      <c r="B1456" s="191"/>
      <c r="C1456" s="191"/>
      <c r="D1456" s="192" t="s">
        <v>3647</v>
      </c>
      <c r="E1456" t="s">
        <v>3648</v>
      </c>
      <c r="F1456" s="192" t="s">
        <v>789</v>
      </c>
      <c r="G1456" s="192" t="s">
        <v>790</v>
      </c>
      <c r="H1456" s="192" t="s">
        <v>790</v>
      </c>
      <c r="I1456" t="s">
        <v>3414</v>
      </c>
      <c r="J1456" t="s">
        <v>865</v>
      </c>
      <c r="K1456" t="s">
        <v>797</v>
      </c>
    </row>
    <row r="1457" spans="2:11" x14ac:dyDescent="0.25">
      <c r="B1457" s="191"/>
      <c r="C1457" s="191"/>
      <c r="D1457" s="192" t="s">
        <v>3649</v>
      </c>
      <c r="E1457" t="s">
        <v>3650</v>
      </c>
      <c r="F1457" s="192" t="s">
        <v>789</v>
      </c>
      <c r="G1457" s="192" t="s">
        <v>790</v>
      </c>
      <c r="H1457" s="192" t="s">
        <v>790</v>
      </c>
      <c r="I1457" t="s">
        <v>3414</v>
      </c>
      <c r="J1457" t="s">
        <v>865</v>
      </c>
      <c r="K1457" t="s">
        <v>797</v>
      </c>
    </row>
    <row r="1458" spans="2:11" x14ac:dyDescent="0.25">
      <c r="B1458" s="191"/>
      <c r="C1458" s="191"/>
      <c r="D1458" s="192" t="s">
        <v>3651</v>
      </c>
      <c r="E1458" t="s">
        <v>3652</v>
      </c>
      <c r="F1458" s="192" t="s">
        <v>789</v>
      </c>
      <c r="G1458" s="192" t="s">
        <v>3623</v>
      </c>
      <c r="H1458" s="192" t="s">
        <v>3624</v>
      </c>
      <c r="I1458" t="s">
        <v>3414</v>
      </c>
      <c r="J1458" t="s">
        <v>865</v>
      </c>
      <c r="K1458" t="s">
        <v>797</v>
      </c>
    </row>
    <row r="1459" spans="2:11" x14ac:dyDescent="0.25">
      <c r="B1459" s="191"/>
      <c r="C1459" s="191"/>
      <c r="D1459" s="192" t="s">
        <v>3653</v>
      </c>
      <c r="E1459" t="s">
        <v>3654</v>
      </c>
      <c r="F1459" s="192" t="s">
        <v>789</v>
      </c>
      <c r="G1459" s="192" t="s">
        <v>3627</v>
      </c>
      <c r="H1459" s="192" t="s">
        <v>3624</v>
      </c>
      <c r="I1459" t="s">
        <v>3414</v>
      </c>
      <c r="J1459" t="s">
        <v>865</v>
      </c>
      <c r="K1459" t="s">
        <v>797</v>
      </c>
    </row>
    <row r="1460" spans="2:11" x14ac:dyDescent="0.25">
      <c r="B1460" s="191"/>
      <c r="C1460" s="191"/>
      <c r="D1460" s="192" t="s">
        <v>3655</v>
      </c>
      <c r="E1460" t="s">
        <v>3656</v>
      </c>
      <c r="F1460" s="192" t="s">
        <v>789</v>
      </c>
      <c r="G1460" s="192" t="s">
        <v>3630</v>
      </c>
      <c r="H1460" s="192" t="s">
        <v>3624</v>
      </c>
      <c r="I1460" t="s">
        <v>3414</v>
      </c>
      <c r="J1460" t="s">
        <v>865</v>
      </c>
      <c r="K1460" t="s">
        <v>797</v>
      </c>
    </row>
    <row r="1461" spans="2:11" x14ac:dyDescent="0.25">
      <c r="B1461" s="191"/>
      <c r="C1461" s="191" t="s">
        <v>3657</v>
      </c>
      <c r="D1461" s="192"/>
      <c r="E1461" s="185" t="s">
        <v>3658</v>
      </c>
      <c r="F1461" s="192" t="s">
        <v>789</v>
      </c>
      <c r="G1461" s="192" t="s">
        <v>790</v>
      </c>
      <c r="H1461" s="192" t="s">
        <v>790</v>
      </c>
      <c r="I1461" t="s">
        <v>3414</v>
      </c>
      <c r="J1461" t="s">
        <v>865</v>
      </c>
    </row>
    <row r="1462" spans="2:11" x14ac:dyDescent="0.25">
      <c r="B1462" s="191"/>
      <c r="C1462" s="191" t="s">
        <v>3659</v>
      </c>
      <c r="D1462" s="192"/>
      <c r="E1462" s="185" t="s">
        <v>3660</v>
      </c>
      <c r="F1462" s="192" t="s">
        <v>789</v>
      </c>
      <c r="G1462" s="192" t="s">
        <v>790</v>
      </c>
      <c r="H1462" s="192" t="s">
        <v>790</v>
      </c>
      <c r="I1462" t="s">
        <v>3414</v>
      </c>
    </row>
    <row r="1463" spans="2:11" x14ac:dyDescent="0.25">
      <c r="B1463" s="191"/>
      <c r="C1463" s="191"/>
      <c r="D1463" s="192" t="s">
        <v>3449</v>
      </c>
      <c r="E1463" t="s">
        <v>3661</v>
      </c>
      <c r="F1463" s="192" t="s">
        <v>789</v>
      </c>
      <c r="G1463" s="192" t="s">
        <v>790</v>
      </c>
      <c r="H1463" s="192" t="s">
        <v>790</v>
      </c>
      <c r="I1463" t="s">
        <v>3414</v>
      </c>
      <c r="J1463" t="s">
        <v>865</v>
      </c>
      <c r="K1463" t="s">
        <v>797</v>
      </c>
    </row>
    <row r="1464" spans="2:11" x14ac:dyDescent="0.25">
      <c r="B1464" s="191"/>
      <c r="C1464" s="191"/>
      <c r="D1464" s="192" t="s">
        <v>3662</v>
      </c>
      <c r="E1464" t="s">
        <v>3663</v>
      </c>
      <c r="F1464" s="192" t="s">
        <v>789</v>
      </c>
      <c r="G1464" s="192" t="s">
        <v>790</v>
      </c>
      <c r="H1464" s="192" t="s">
        <v>790</v>
      </c>
      <c r="I1464" t="s">
        <v>3414</v>
      </c>
      <c r="J1464" t="s">
        <v>865</v>
      </c>
      <c r="K1464" t="s">
        <v>797</v>
      </c>
    </row>
    <row r="1465" spans="2:11" x14ac:dyDescent="0.25">
      <c r="B1465" s="191"/>
      <c r="C1465" s="191"/>
      <c r="D1465" s="192" t="s">
        <v>3664</v>
      </c>
      <c r="E1465" t="s">
        <v>3665</v>
      </c>
      <c r="F1465" s="192" t="s">
        <v>789</v>
      </c>
      <c r="G1465" s="192" t="s">
        <v>3623</v>
      </c>
      <c r="H1465" s="192" t="s">
        <v>3624</v>
      </c>
      <c r="I1465" t="s">
        <v>3414</v>
      </c>
      <c r="J1465" t="s">
        <v>865</v>
      </c>
      <c r="K1465" t="s">
        <v>797</v>
      </c>
    </row>
    <row r="1466" spans="2:11" x14ac:dyDescent="0.25">
      <c r="B1466" s="191"/>
      <c r="C1466" s="191"/>
      <c r="D1466" s="192" t="s">
        <v>3666</v>
      </c>
      <c r="E1466" t="s">
        <v>3667</v>
      </c>
      <c r="F1466" s="192" t="s">
        <v>789</v>
      </c>
      <c r="G1466" s="192" t="s">
        <v>3627</v>
      </c>
      <c r="H1466" s="192" t="s">
        <v>3624</v>
      </c>
      <c r="I1466" t="s">
        <v>3414</v>
      </c>
      <c r="J1466" t="s">
        <v>865</v>
      </c>
      <c r="K1466" t="s">
        <v>797</v>
      </c>
    </row>
    <row r="1467" spans="2:11" x14ac:dyDescent="0.25">
      <c r="B1467" s="191"/>
      <c r="C1467" s="191"/>
      <c r="D1467" s="192" t="s">
        <v>3668</v>
      </c>
      <c r="E1467" t="s">
        <v>3669</v>
      </c>
      <c r="F1467" s="192" t="s">
        <v>789</v>
      </c>
      <c r="G1467" s="192" t="s">
        <v>3630</v>
      </c>
      <c r="H1467" s="192" t="s">
        <v>3624</v>
      </c>
      <c r="I1467" t="s">
        <v>3414</v>
      </c>
      <c r="J1467" t="s">
        <v>865</v>
      </c>
      <c r="K1467" t="s">
        <v>797</v>
      </c>
    </row>
    <row r="1468" spans="2:11" x14ac:dyDescent="0.25">
      <c r="B1468" s="191"/>
      <c r="C1468" s="191" t="s">
        <v>3670</v>
      </c>
      <c r="D1468" s="192"/>
      <c r="E1468" s="185" t="s">
        <v>3671</v>
      </c>
      <c r="F1468" s="192" t="s">
        <v>789</v>
      </c>
      <c r="G1468" s="192" t="s">
        <v>790</v>
      </c>
      <c r="H1468" s="192" t="s">
        <v>790</v>
      </c>
      <c r="I1468" t="s">
        <v>3414</v>
      </c>
    </row>
    <row r="1469" spans="2:11" x14ac:dyDescent="0.25">
      <c r="B1469" s="191"/>
      <c r="C1469" s="191"/>
      <c r="D1469" s="192" t="s">
        <v>3453</v>
      </c>
      <c r="E1469" t="s">
        <v>3672</v>
      </c>
      <c r="F1469" s="192" t="s">
        <v>789</v>
      </c>
      <c r="G1469" s="192" t="s">
        <v>790</v>
      </c>
      <c r="H1469" s="192" t="s">
        <v>790</v>
      </c>
      <c r="I1469" t="s">
        <v>3414</v>
      </c>
      <c r="J1469" t="s">
        <v>865</v>
      </c>
      <c r="K1469" t="s">
        <v>797</v>
      </c>
    </row>
    <row r="1470" spans="2:11" x14ac:dyDescent="0.25">
      <c r="B1470" s="191"/>
      <c r="C1470" s="191"/>
      <c r="D1470" s="192" t="s">
        <v>3673</v>
      </c>
      <c r="E1470" t="s">
        <v>3674</v>
      </c>
      <c r="F1470" s="192" t="s">
        <v>789</v>
      </c>
      <c r="G1470" s="192" t="s">
        <v>3675</v>
      </c>
      <c r="H1470" s="192" t="s">
        <v>3624</v>
      </c>
      <c r="I1470" t="s">
        <v>3414</v>
      </c>
      <c r="J1470" t="s">
        <v>865</v>
      </c>
      <c r="K1470" t="s">
        <v>797</v>
      </c>
    </row>
    <row r="1471" spans="2:11" x14ac:dyDescent="0.25">
      <c r="B1471" s="191"/>
      <c r="C1471" s="191"/>
      <c r="D1471" s="192" t="s">
        <v>3676</v>
      </c>
      <c r="E1471" t="s">
        <v>3677</v>
      </c>
      <c r="F1471" s="192" t="s">
        <v>789</v>
      </c>
      <c r="G1471" s="192" t="s">
        <v>3623</v>
      </c>
      <c r="H1471" s="192" t="s">
        <v>3624</v>
      </c>
      <c r="I1471" t="s">
        <v>3414</v>
      </c>
      <c r="J1471" t="s">
        <v>865</v>
      </c>
      <c r="K1471" t="s">
        <v>797</v>
      </c>
    </row>
    <row r="1472" spans="2:11" x14ac:dyDescent="0.25">
      <c r="B1472" s="191"/>
      <c r="C1472" s="191"/>
      <c r="D1472" s="192" t="s">
        <v>3678</v>
      </c>
      <c r="E1472" t="s">
        <v>3679</v>
      </c>
      <c r="F1472" s="192" t="s">
        <v>789</v>
      </c>
      <c r="G1472" s="192" t="s">
        <v>3627</v>
      </c>
      <c r="H1472" s="192" t="s">
        <v>3624</v>
      </c>
      <c r="I1472" t="s">
        <v>3414</v>
      </c>
      <c r="J1472" t="s">
        <v>865</v>
      </c>
      <c r="K1472" t="s">
        <v>797</v>
      </c>
    </row>
    <row r="1473" spans="2:11" x14ac:dyDescent="0.25">
      <c r="B1473" s="191"/>
      <c r="C1473" s="191"/>
      <c r="D1473" s="192" t="s">
        <v>3680</v>
      </c>
      <c r="E1473" t="s">
        <v>3681</v>
      </c>
      <c r="F1473" s="192" t="s">
        <v>789</v>
      </c>
      <c r="G1473" s="192" t="s">
        <v>3630</v>
      </c>
      <c r="H1473" s="192" t="s">
        <v>3624</v>
      </c>
      <c r="I1473" t="s">
        <v>3414</v>
      </c>
      <c r="J1473" t="s">
        <v>865</v>
      </c>
      <c r="K1473" t="s">
        <v>797</v>
      </c>
    </row>
    <row r="1474" spans="2:11" x14ac:dyDescent="0.25">
      <c r="B1474" s="191" t="s">
        <v>3682</v>
      </c>
      <c r="C1474" s="191"/>
      <c r="D1474" s="192"/>
      <c r="E1474" s="185" t="s">
        <v>3683</v>
      </c>
      <c r="F1474" s="192" t="s">
        <v>789</v>
      </c>
      <c r="G1474" s="192" t="s">
        <v>790</v>
      </c>
      <c r="H1474" s="192" t="s">
        <v>790</v>
      </c>
      <c r="I1474" t="s">
        <v>3414</v>
      </c>
      <c r="J1474" t="s">
        <v>865</v>
      </c>
    </row>
    <row r="1475" spans="2:11" x14ac:dyDescent="0.25">
      <c r="B1475" s="191"/>
      <c r="C1475" s="191" t="s">
        <v>3684</v>
      </c>
      <c r="D1475" s="192"/>
      <c r="E1475" s="185" t="s">
        <v>3685</v>
      </c>
      <c r="F1475" s="192" t="s">
        <v>789</v>
      </c>
      <c r="G1475" s="192" t="s">
        <v>790</v>
      </c>
      <c r="H1475" s="192" t="s">
        <v>790</v>
      </c>
      <c r="I1475" t="s">
        <v>3414</v>
      </c>
      <c r="J1475" t="s">
        <v>865</v>
      </c>
    </row>
    <row r="1476" spans="2:11" x14ac:dyDescent="0.25">
      <c r="B1476" s="191"/>
      <c r="C1476" s="191" t="s">
        <v>3686</v>
      </c>
      <c r="D1476" s="192"/>
      <c r="E1476" s="185" t="s">
        <v>3687</v>
      </c>
      <c r="F1476" s="192" t="s">
        <v>789</v>
      </c>
      <c r="G1476" s="192" t="s">
        <v>790</v>
      </c>
      <c r="H1476" s="192" t="s">
        <v>790</v>
      </c>
      <c r="I1476" t="s">
        <v>3414</v>
      </c>
    </row>
    <row r="1477" spans="2:11" x14ac:dyDescent="0.25">
      <c r="B1477" s="191"/>
      <c r="C1477" s="191"/>
      <c r="D1477" s="192" t="s">
        <v>3688</v>
      </c>
      <c r="E1477" t="s">
        <v>3689</v>
      </c>
      <c r="F1477" s="192" t="s">
        <v>789</v>
      </c>
      <c r="G1477" s="192" t="s">
        <v>790</v>
      </c>
      <c r="H1477" s="192" t="s">
        <v>790</v>
      </c>
      <c r="I1477" t="s">
        <v>3414</v>
      </c>
      <c r="J1477" t="s">
        <v>865</v>
      </c>
      <c r="K1477" t="s">
        <v>797</v>
      </c>
    </row>
    <row r="1478" spans="2:11" x14ac:dyDescent="0.25">
      <c r="B1478" s="191"/>
      <c r="C1478" s="191"/>
      <c r="D1478" s="192" t="s">
        <v>3690</v>
      </c>
      <c r="E1478" t="s">
        <v>3691</v>
      </c>
      <c r="F1478" s="192" t="s">
        <v>789</v>
      </c>
      <c r="G1478" s="192" t="s">
        <v>790</v>
      </c>
      <c r="H1478" s="192" t="s">
        <v>790</v>
      </c>
      <c r="I1478" t="s">
        <v>3414</v>
      </c>
      <c r="J1478" t="s">
        <v>865</v>
      </c>
      <c r="K1478" t="s">
        <v>797</v>
      </c>
    </row>
    <row r="1479" spans="2:11" x14ac:dyDescent="0.25">
      <c r="B1479" s="191"/>
      <c r="C1479" s="191"/>
      <c r="D1479" s="192" t="s">
        <v>3692</v>
      </c>
      <c r="E1479" t="s">
        <v>3693</v>
      </c>
      <c r="F1479" s="192" t="s">
        <v>789</v>
      </c>
      <c r="G1479" s="192" t="s">
        <v>3623</v>
      </c>
      <c r="H1479" s="192" t="s">
        <v>3624</v>
      </c>
      <c r="I1479" t="s">
        <v>3414</v>
      </c>
      <c r="J1479" t="s">
        <v>865</v>
      </c>
      <c r="K1479" t="s">
        <v>797</v>
      </c>
    </row>
    <row r="1480" spans="2:11" x14ac:dyDescent="0.25">
      <c r="B1480" s="191"/>
      <c r="C1480" s="191"/>
      <c r="D1480" s="192" t="s">
        <v>3694</v>
      </c>
      <c r="E1480" t="s">
        <v>3695</v>
      </c>
      <c r="F1480" s="192" t="s">
        <v>789</v>
      </c>
      <c r="G1480" s="192" t="s">
        <v>3627</v>
      </c>
      <c r="H1480" s="192" t="s">
        <v>3624</v>
      </c>
      <c r="I1480" t="s">
        <v>3414</v>
      </c>
      <c r="J1480" t="s">
        <v>865</v>
      </c>
      <c r="K1480" t="s">
        <v>797</v>
      </c>
    </row>
    <row r="1481" spans="2:11" x14ac:dyDescent="0.25">
      <c r="B1481" s="191"/>
      <c r="C1481" s="191"/>
      <c r="D1481" s="192" t="s">
        <v>3696</v>
      </c>
      <c r="E1481" t="s">
        <v>3697</v>
      </c>
      <c r="F1481" s="192" t="s">
        <v>789</v>
      </c>
      <c r="G1481" s="192" t="s">
        <v>3630</v>
      </c>
      <c r="H1481" s="192" t="s">
        <v>3624</v>
      </c>
      <c r="I1481" t="s">
        <v>3414</v>
      </c>
      <c r="J1481" t="s">
        <v>865</v>
      </c>
      <c r="K1481" t="s">
        <v>797</v>
      </c>
    </row>
    <row r="1482" spans="2:11" x14ac:dyDescent="0.25">
      <c r="B1482" s="191"/>
      <c r="C1482" s="191" t="s">
        <v>3698</v>
      </c>
      <c r="D1482" s="192"/>
      <c r="E1482" s="185" t="s">
        <v>3699</v>
      </c>
      <c r="F1482" s="192" t="s">
        <v>789</v>
      </c>
      <c r="G1482" s="192" t="s">
        <v>790</v>
      </c>
      <c r="H1482" s="192" t="s">
        <v>790</v>
      </c>
      <c r="I1482" t="s">
        <v>3414</v>
      </c>
    </row>
    <row r="1483" spans="2:11" x14ac:dyDescent="0.25">
      <c r="B1483" s="191"/>
      <c r="C1483" s="191"/>
      <c r="D1483" s="192" t="s">
        <v>3700</v>
      </c>
      <c r="E1483" t="s">
        <v>3701</v>
      </c>
      <c r="F1483" s="192" t="s">
        <v>789</v>
      </c>
      <c r="G1483" s="192" t="s">
        <v>3675</v>
      </c>
      <c r="H1483" s="192" t="s">
        <v>3624</v>
      </c>
      <c r="I1483" t="s">
        <v>3414</v>
      </c>
      <c r="J1483" t="s">
        <v>865</v>
      </c>
      <c r="K1483" t="s">
        <v>797</v>
      </c>
    </row>
    <row r="1484" spans="2:11" x14ac:dyDescent="0.25">
      <c r="B1484" s="191"/>
      <c r="C1484" s="191"/>
      <c r="D1484" s="192" t="s">
        <v>3702</v>
      </c>
      <c r="E1484" t="s">
        <v>3703</v>
      </c>
      <c r="F1484" s="192" t="s">
        <v>789</v>
      </c>
      <c r="G1484" s="192" t="s">
        <v>3623</v>
      </c>
      <c r="H1484" s="192" t="s">
        <v>3624</v>
      </c>
      <c r="I1484" t="s">
        <v>3414</v>
      </c>
      <c r="J1484" t="s">
        <v>865</v>
      </c>
      <c r="K1484" t="s">
        <v>797</v>
      </c>
    </row>
    <row r="1485" spans="2:11" x14ac:dyDescent="0.25">
      <c r="B1485" s="191"/>
      <c r="C1485" s="191"/>
      <c r="D1485" s="192" t="s">
        <v>3704</v>
      </c>
      <c r="E1485" t="s">
        <v>3705</v>
      </c>
      <c r="F1485" s="192" t="s">
        <v>789</v>
      </c>
      <c r="G1485" s="192" t="s">
        <v>3627</v>
      </c>
      <c r="H1485" s="192" t="s">
        <v>3624</v>
      </c>
      <c r="I1485" t="s">
        <v>3414</v>
      </c>
      <c r="J1485" t="s">
        <v>865</v>
      </c>
      <c r="K1485" t="s">
        <v>797</v>
      </c>
    </row>
    <row r="1486" spans="2:11" x14ac:dyDescent="0.25">
      <c r="B1486" s="191"/>
      <c r="C1486" s="191"/>
      <c r="D1486" s="192" t="s">
        <v>3706</v>
      </c>
      <c r="E1486" t="s">
        <v>3707</v>
      </c>
      <c r="F1486" s="192" t="s">
        <v>789</v>
      </c>
      <c r="G1486" s="192" t="s">
        <v>3630</v>
      </c>
      <c r="H1486" s="192" t="s">
        <v>3624</v>
      </c>
      <c r="I1486" t="s">
        <v>3414</v>
      </c>
      <c r="J1486" t="s">
        <v>865</v>
      </c>
      <c r="K1486" t="s">
        <v>797</v>
      </c>
    </row>
    <row r="1487" spans="2:11" x14ac:dyDescent="0.25">
      <c r="B1487" s="191"/>
      <c r="C1487" s="191" t="s">
        <v>3708</v>
      </c>
      <c r="D1487" s="192"/>
      <c r="E1487" s="185" t="s">
        <v>3709</v>
      </c>
      <c r="F1487" s="192" t="s">
        <v>789</v>
      </c>
      <c r="G1487" s="192" t="s">
        <v>790</v>
      </c>
      <c r="H1487" s="192" t="s">
        <v>790</v>
      </c>
      <c r="I1487" t="s">
        <v>3414</v>
      </c>
    </row>
    <row r="1488" spans="2:11" x14ac:dyDescent="0.25">
      <c r="B1488" s="191"/>
      <c r="C1488" s="191"/>
      <c r="D1488" s="192" t="s">
        <v>3710</v>
      </c>
      <c r="E1488" t="s">
        <v>3711</v>
      </c>
      <c r="F1488" s="192" t="s">
        <v>789</v>
      </c>
      <c r="G1488" s="192" t="s">
        <v>3675</v>
      </c>
      <c r="H1488" s="192" t="s">
        <v>3624</v>
      </c>
      <c r="I1488" t="s">
        <v>3414</v>
      </c>
      <c r="J1488" t="s">
        <v>865</v>
      </c>
      <c r="K1488" t="s">
        <v>797</v>
      </c>
    </row>
    <row r="1489" spans="2:11" x14ac:dyDescent="0.25">
      <c r="B1489" s="191"/>
      <c r="C1489" s="191"/>
      <c r="D1489" s="192" t="s">
        <v>3712</v>
      </c>
      <c r="E1489" t="s">
        <v>3713</v>
      </c>
      <c r="F1489" s="192" t="s">
        <v>789</v>
      </c>
      <c r="G1489" s="192" t="s">
        <v>3623</v>
      </c>
      <c r="H1489" s="192" t="s">
        <v>3624</v>
      </c>
      <c r="I1489" t="s">
        <v>3414</v>
      </c>
      <c r="J1489" t="s">
        <v>865</v>
      </c>
      <c r="K1489" t="s">
        <v>797</v>
      </c>
    </row>
    <row r="1490" spans="2:11" x14ac:dyDescent="0.25">
      <c r="B1490" s="191"/>
      <c r="C1490" s="191"/>
      <c r="D1490" s="192" t="s">
        <v>3714</v>
      </c>
      <c r="E1490" t="s">
        <v>3715</v>
      </c>
      <c r="F1490" s="192" t="s">
        <v>789</v>
      </c>
      <c r="G1490" s="192" t="s">
        <v>3627</v>
      </c>
      <c r="H1490" s="192" t="s">
        <v>3624</v>
      </c>
      <c r="I1490" t="s">
        <v>3414</v>
      </c>
      <c r="J1490" t="s">
        <v>865</v>
      </c>
      <c r="K1490" t="s">
        <v>797</v>
      </c>
    </row>
    <row r="1491" spans="2:11" x14ac:dyDescent="0.25">
      <c r="B1491" s="191"/>
      <c r="C1491" s="191"/>
      <c r="D1491" s="192" t="s">
        <v>3716</v>
      </c>
      <c r="E1491" t="s">
        <v>3717</v>
      </c>
      <c r="F1491" s="192" t="s">
        <v>789</v>
      </c>
      <c r="G1491" s="192" t="s">
        <v>3630</v>
      </c>
      <c r="H1491" s="192" t="s">
        <v>3624</v>
      </c>
      <c r="I1491" t="s">
        <v>3414</v>
      </c>
      <c r="J1491" t="s">
        <v>865</v>
      </c>
      <c r="K1491" t="s">
        <v>797</v>
      </c>
    </row>
    <row r="1492" spans="2:11" x14ac:dyDescent="0.25">
      <c r="B1492" s="191"/>
      <c r="C1492" s="191" t="s">
        <v>3718</v>
      </c>
      <c r="D1492" s="192"/>
      <c r="E1492" s="185" t="s">
        <v>3719</v>
      </c>
      <c r="F1492" s="192" t="s">
        <v>789</v>
      </c>
      <c r="G1492" s="192" t="s">
        <v>790</v>
      </c>
      <c r="H1492" s="192" t="s">
        <v>790</v>
      </c>
      <c r="I1492" t="s">
        <v>3414</v>
      </c>
    </row>
    <row r="1493" spans="2:11" x14ac:dyDescent="0.25">
      <c r="B1493" s="191"/>
      <c r="C1493" s="191"/>
      <c r="D1493" s="192" t="s">
        <v>3720</v>
      </c>
      <c r="E1493" t="s">
        <v>3721</v>
      </c>
      <c r="F1493" s="192" t="s">
        <v>789</v>
      </c>
      <c r="G1493" s="192" t="s">
        <v>790</v>
      </c>
      <c r="H1493" s="192" t="s">
        <v>790</v>
      </c>
      <c r="I1493" t="s">
        <v>3414</v>
      </c>
      <c r="J1493" t="s">
        <v>865</v>
      </c>
      <c r="K1493" t="s">
        <v>797</v>
      </c>
    </row>
    <row r="1494" spans="2:11" x14ac:dyDescent="0.25">
      <c r="B1494" s="191"/>
      <c r="C1494" s="191"/>
      <c r="D1494" s="192" t="s">
        <v>3722</v>
      </c>
      <c r="E1494" t="s">
        <v>3723</v>
      </c>
      <c r="F1494" s="192" t="s">
        <v>789</v>
      </c>
      <c r="G1494" s="192" t="s">
        <v>790</v>
      </c>
      <c r="H1494" s="192" t="s">
        <v>790</v>
      </c>
      <c r="I1494" t="s">
        <v>3414</v>
      </c>
      <c r="J1494" t="s">
        <v>865</v>
      </c>
      <c r="K1494" t="s">
        <v>797</v>
      </c>
    </row>
    <row r="1495" spans="2:11" x14ac:dyDescent="0.25">
      <c r="B1495" s="191"/>
      <c r="C1495" s="191"/>
      <c r="D1495" s="192" t="s">
        <v>3724</v>
      </c>
      <c r="E1495" t="s">
        <v>3725</v>
      </c>
      <c r="F1495" s="192" t="s">
        <v>789</v>
      </c>
      <c r="G1495" s="192" t="s">
        <v>3623</v>
      </c>
      <c r="H1495" s="192" t="s">
        <v>3624</v>
      </c>
      <c r="I1495" t="s">
        <v>3414</v>
      </c>
      <c r="J1495" t="s">
        <v>865</v>
      </c>
      <c r="K1495" t="s">
        <v>797</v>
      </c>
    </row>
    <row r="1496" spans="2:11" x14ac:dyDescent="0.25">
      <c r="B1496" s="191"/>
      <c r="C1496" s="191"/>
      <c r="D1496" s="192" t="s">
        <v>3726</v>
      </c>
      <c r="E1496" t="s">
        <v>3727</v>
      </c>
      <c r="F1496" s="192" t="s">
        <v>789</v>
      </c>
      <c r="G1496" s="192" t="s">
        <v>3627</v>
      </c>
      <c r="H1496" s="192" t="s">
        <v>3624</v>
      </c>
      <c r="I1496" t="s">
        <v>3414</v>
      </c>
      <c r="J1496" t="s">
        <v>865</v>
      </c>
      <c r="K1496" t="s">
        <v>797</v>
      </c>
    </row>
    <row r="1497" spans="2:11" x14ac:dyDescent="0.25">
      <c r="B1497" s="191"/>
      <c r="C1497" s="191"/>
      <c r="D1497" s="192" t="s">
        <v>3728</v>
      </c>
      <c r="E1497" t="s">
        <v>3729</v>
      </c>
      <c r="F1497" s="192" t="s">
        <v>789</v>
      </c>
      <c r="G1497" s="192" t="s">
        <v>3630</v>
      </c>
      <c r="H1497" s="192" t="s">
        <v>3624</v>
      </c>
      <c r="I1497" t="s">
        <v>3414</v>
      </c>
      <c r="J1497" t="s">
        <v>865</v>
      </c>
      <c r="K1497" t="s">
        <v>797</v>
      </c>
    </row>
    <row r="1498" spans="2:11" x14ac:dyDescent="0.25">
      <c r="B1498" s="191"/>
      <c r="C1498" s="191" t="s">
        <v>3730</v>
      </c>
      <c r="D1498" s="192"/>
      <c r="E1498" s="185" t="s">
        <v>3731</v>
      </c>
      <c r="F1498" s="192" t="s">
        <v>789</v>
      </c>
      <c r="G1498" s="192" t="s">
        <v>790</v>
      </c>
      <c r="H1498" s="192" t="s">
        <v>790</v>
      </c>
      <c r="I1498" t="s">
        <v>3414</v>
      </c>
    </row>
    <row r="1499" spans="2:11" x14ac:dyDescent="0.25">
      <c r="B1499" s="191"/>
      <c r="C1499" s="191"/>
      <c r="D1499" s="192" t="s">
        <v>3732</v>
      </c>
      <c r="E1499" t="s">
        <v>3733</v>
      </c>
      <c r="F1499" s="192" t="s">
        <v>789</v>
      </c>
      <c r="G1499" s="192" t="s">
        <v>790</v>
      </c>
      <c r="H1499" s="192" t="s">
        <v>790</v>
      </c>
      <c r="I1499" t="s">
        <v>3414</v>
      </c>
      <c r="J1499" t="s">
        <v>865</v>
      </c>
      <c r="K1499" t="s">
        <v>797</v>
      </c>
    </row>
    <row r="1500" spans="2:11" x14ac:dyDescent="0.25">
      <c r="B1500" s="191"/>
      <c r="C1500" s="191"/>
      <c r="D1500" s="192" t="s">
        <v>3734</v>
      </c>
      <c r="E1500" t="s">
        <v>3735</v>
      </c>
      <c r="F1500" s="192" t="s">
        <v>789</v>
      </c>
      <c r="G1500" s="192" t="s">
        <v>790</v>
      </c>
      <c r="H1500" s="192" t="s">
        <v>790</v>
      </c>
      <c r="I1500" t="s">
        <v>3414</v>
      </c>
      <c r="J1500" t="s">
        <v>865</v>
      </c>
      <c r="K1500" t="s">
        <v>797</v>
      </c>
    </row>
    <row r="1501" spans="2:11" x14ac:dyDescent="0.25">
      <c r="B1501" s="191"/>
      <c r="C1501" s="191"/>
      <c r="D1501" s="192" t="s">
        <v>3736</v>
      </c>
      <c r="E1501" t="s">
        <v>3737</v>
      </c>
      <c r="F1501" s="192" t="s">
        <v>789</v>
      </c>
      <c r="G1501" s="192" t="s">
        <v>3623</v>
      </c>
      <c r="H1501" s="192" t="s">
        <v>3624</v>
      </c>
      <c r="I1501" t="s">
        <v>3414</v>
      </c>
      <c r="J1501" t="s">
        <v>865</v>
      </c>
      <c r="K1501" t="s">
        <v>797</v>
      </c>
    </row>
    <row r="1502" spans="2:11" x14ac:dyDescent="0.25">
      <c r="B1502" s="191"/>
      <c r="C1502" s="191"/>
      <c r="D1502" s="192" t="s">
        <v>3738</v>
      </c>
      <c r="E1502" t="s">
        <v>3739</v>
      </c>
      <c r="F1502" s="192" t="s">
        <v>789</v>
      </c>
      <c r="G1502" s="192" t="s">
        <v>3627</v>
      </c>
      <c r="H1502" s="192" t="s">
        <v>3624</v>
      </c>
      <c r="I1502" t="s">
        <v>3414</v>
      </c>
      <c r="J1502" t="s">
        <v>865</v>
      </c>
      <c r="K1502" t="s">
        <v>797</v>
      </c>
    </row>
    <row r="1503" spans="2:11" x14ac:dyDescent="0.25">
      <c r="B1503" s="191"/>
      <c r="C1503" s="191"/>
      <c r="D1503" s="192" t="s">
        <v>3740</v>
      </c>
      <c r="E1503" t="s">
        <v>3741</v>
      </c>
      <c r="F1503" s="192" t="s">
        <v>789</v>
      </c>
      <c r="G1503" s="192" t="s">
        <v>3630</v>
      </c>
      <c r="H1503" s="192" t="s">
        <v>3624</v>
      </c>
      <c r="I1503" t="s">
        <v>3414</v>
      </c>
      <c r="J1503" t="s">
        <v>865</v>
      </c>
      <c r="K1503" t="s">
        <v>797</v>
      </c>
    </row>
    <row r="1504" spans="2:11" x14ac:dyDescent="0.25">
      <c r="B1504" s="191"/>
      <c r="C1504" s="191" t="s">
        <v>3742</v>
      </c>
      <c r="D1504" s="192"/>
      <c r="E1504" s="185" t="s">
        <v>3743</v>
      </c>
      <c r="F1504" s="192" t="s">
        <v>789</v>
      </c>
      <c r="G1504" s="192" t="s">
        <v>790</v>
      </c>
      <c r="H1504" s="192" t="s">
        <v>790</v>
      </c>
      <c r="I1504" t="s">
        <v>3414</v>
      </c>
      <c r="J1504" t="s">
        <v>865</v>
      </c>
    </row>
    <row r="1505" spans="2:11" x14ac:dyDescent="0.25">
      <c r="B1505" s="191"/>
      <c r="C1505" s="191"/>
      <c r="D1505" s="192" t="s">
        <v>3744</v>
      </c>
      <c r="E1505" t="s">
        <v>3745</v>
      </c>
      <c r="F1505" s="192" t="s">
        <v>789</v>
      </c>
      <c r="G1505" s="192" t="s">
        <v>790</v>
      </c>
      <c r="H1505" s="192" t="s">
        <v>790</v>
      </c>
      <c r="I1505" t="s">
        <v>3414</v>
      </c>
      <c r="J1505" t="s">
        <v>865</v>
      </c>
      <c r="K1505" t="s">
        <v>797</v>
      </c>
    </row>
    <row r="1506" spans="2:11" x14ac:dyDescent="0.25">
      <c r="B1506" s="191"/>
      <c r="C1506" s="191"/>
      <c r="D1506" s="192" t="s">
        <v>3746</v>
      </c>
      <c r="E1506" t="s">
        <v>3747</v>
      </c>
      <c r="F1506" s="192" t="s">
        <v>789</v>
      </c>
      <c r="G1506" s="192" t="s">
        <v>790</v>
      </c>
      <c r="H1506" s="192" t="s">
        <v>790</v>
      </c>
      <c r="I1506" t="s">
        <v>3414</v>
      </c>
      <c r="J1506" t="s">
        <v>865</v>
      </c>
      <c r="K1506" t="s">
        <v>797</v>
      </c>
    </row>
    <row r="1507" spans="2:11" x14ac:dyDescent="0.25">
      <c r="B1507" s="191"/>
      <c r="C1507" s="191"/>
      <c r="D1507" s="192" t="s">
        <v>3748</v>
      </c>
      <c r="E1507" t="s">
        <v>3749</v>
      </c>
      <c r="F1507" s="192" t="s">
        <v>789</v>
      </c>
      <c r="G1507" s="192" t="s">
        <v>3623</v>
      </c>
      <c r="H1507" s="192" t="s">
        <v>3624</v>
      </c>
      <c r="I1507" t="s">
        <v>3414</v>
      </c>
      <c r="J1507" t="s">
        <v>865</v>
      </c>
      <c r="K1507" t="s">
        <v>797</v>
      </c>
    </row>
    <row r="1508" spans="2:11" x14ac:dyDescent="0.25">
      <c r="B1508" s="191"/>
      <c r="C1508" s="191"/>
      <c r="D1508" s="192" t="s">
        <v>3750</v>
      </c>
      <c r="E1508" t="s">
        <v>3751</v>
      </c>
      <c r="F1508" s="192" t="s">
        <v>789</v>
      </c>
      <c r="G1508" s="192" t="s">
        <v>3627</v>
      </c>
      <c r="H1508" s="192" t="s">
        <v>3624</v>
      </c>
      <c r="I1508" t="s">
        <v>3414</v>
      </c>
      <c r="J1508" t="s">
        <v>865</v>
      </c>
      <c r="K1508" t="s">
        <v>797</v>
      </c>
    </row>
    <row r="1509" spans="2:11" x14ac:dyDescent="0.25">
      <c r="B1509" s="191"/>
      <c r="C1509" s="191"/>
      <c r="D1509" s="192" t="s">
        <v>3752</v>
      </c>
      <c r="E1509" t="s">
        <v>3753</v>
      </c>
      <c r="F1509" s="192" t="s">
        <v>789</v>
      </c>
      <c r="G1509" s="192" t="s">
        <v>3630</v>
      </c>
      <c r="H1509" s="192" t="s">
        <v>3624</v>
      </c>
      <c r="I1509" t="s">
        <v>3414</v>
      </c>
      <c r="J1509" t="s">
        <v>865</v>
      </c>
      <c r="K1509" t="s">
        <v>797</v>
      </c>
    </row>
    <row r="1510" spans="2:11" x14ac:dyDescent="0.25">
      <c r="B1510" s="191"/>
      <c r="C1510" s="191" t="s">
        <v>3754</v>
      </c>
      <c r="D1510" s="192"/>
      <c r="E1510" s="185" t="s">
        <v>3755</v>
      </c>
      <c r="F1510" s="192" t="s">
        <v>789</v>
      </c>
      <c r="G1510" s="192" t="s">
        <v>790</v>
      </c>
      <c r="H1510" s="192" t="s">
        <v>790</v>
      </c>
      <c r="I1510" t="s">
        <v>3414</v>
      </c>
    </row>
    <row r="1511" spans="2:11" x14ac:dyDescent="0.25">
      <c r="B1511" s="191"/>
      <c r="C1511" s="191"/>
      <c r="D1511" s="192" t="s">
        <v>3756</v>
      </c>
      <c r="E1511" t="s">
        <v>3757</v>
      </c>
      <c r="F1511" s="192" t="s">
        <v>789</v>
      </c>
      <c r="G1511" s="192" t="s">
        <v>3675</v>
      </c>
      <c r="H1511" s="192" t="s">
        <v>3624</v>
      </c>
      <c r="I1511" t="s">
        <v>3414</v>
      </c>
      <c r="J1511" t="s">
        <v>865</v>
      </c>
      <c r="K1511" t="s">
        <v>797</v>
      </c>
    </row>
    <row r="1512" spans="2:11" x14ac:dyDescent="0.25">
      <c r="B1512" s="191"/>
      <c r="C1512" s="191"/>
      <c r="D1512" s="192" t="s">
        <v>3758</v>
      </c>
      <c r="E1512" t="s">
        <v>3759</v>
      </c>
      <c r="F1512" s="192" t="s">
        <v>789</v>
      </c>
      <c r="G1512" s="192" t="s">
        <v>3623</v>
      </c>
      <c r="H1512" s="192" t="s">
        <v>3624</v>
      </c>
      <c r="I1512" t="s">
        <v>3414</v>
      </c>
      <c r="J1512" t="s">
        <v>865</v>
      </c>
      <c r="K1512" t="s">
        <v>797</v>
      </c>
    </row>
    <row r="1513" spans="2:11" x14ac:dyDescent="0.25">
      <c r="B1513" s="191"/>
      <c r="C1513" s="191"/>
      <c r="D1513" s="192" t="s">
        <v>3760</v>
      </c>
      <c r="E1513" t="s">
        <v>3761</v>
      </c>
      <c r="F1513" s="192" t="s">
        <v>789</v>
      </c>
      <c r="G1513" s="192" t="s">
        <v>3627</v>
      </c>
      <c r="H1513" s="192" t="s">
        <v>3624</v>
      </c>
      <c r="I1513" t="s">
        <v>3414</v>
      </c>
      <c r="J1513" t="s">
        <v>865</v>
      </c>
      <c r="K1513" t="s">
        <v>797</v>
      </c>
    </row>
    <row r="1514" spans="2:11" x14ac:dyDescent="0.25">
      <c r="B1514" s="191"/>
      <c r="C1514" s="191"/>
      <c r="D1514" s="192" t="s">
        <v>3762</v>
      </c>
      <c r="E1514" t="s">
        <v>3763</v>
      </c>
      <c r="F1514" s="192" t="s">
        <v>789</v>
      </c>
      <c r="G1514" s="192" t="s">
        <v>3630</v>
      </c>
      <c r="H1514" s="192" t="s">
        <v>3624</v>
      </c>
      <c r="I1514" t="s">
        <v>3414</v>
      </c>
      <c r="J1514" t="s">
        <v>865</v>
      </c>
      <c r="K1514" t="s">
        <v>797</v>
      </c>
    </row>
    <row r="1515" spans="2:11" x14ac:dyDescent="0.25">
      <c r="B1515" s="191"/>
      <c r="C1515" s="191" t="s">
        <v>3764</v>
      </c>
      <c r="D1515" s="192"/>
      <c r="E1515" s="185" t="s">
        <v>3765</v>
      </c>
      <c r="F1515" s="192" t="s">
        <v>789</v>
      </c>
      <c r="G1515" s="192" t="s">
        <v>790</v>
      </c>
      <c r="H1515" s="192" t="s">
        <v>790</v>
      </c>
      <c r="I1515" t="s">
        <v>3414</v>
      </c>
      <c r="J1515" t="s">
        <v>865</v>
      </c>
    </row>
    <row r="1516" spans="2:11" x14ac:dyDescent="0.25">
      <c r="B1516" s="191"/>
      <c r="C1516" s="191"/>
      <c r="D1516" s="192" t="s">
        <v>3766</v>
      </c>
      <c r="E1516" t="s">
        <v>3767</v>
      </c>
      <c r="F1516" s="192" t="s">
        <v>789</v>
      </c>
      <c r="G1516" s="192" t="s">
        <v>3675</v>
      </c>
      <c r="H1516" s="192" t="s">
        <v>3624</v>
      </c>
      <c r="I1516" t="s">
        <v>3414</v>
      </c>
      <c r="J1516" t="s">
        <v>865</v>
      </c>
      <c r="K1516" t="s">
        <v>797</v>
      </c>
    </row>
    <row r="1517" spans="2:11" x14ac:dyDescent="0.25">
      <c r="B1517" s="191"/>
      <c r="C1517" s="191"/>
      <c r="D1517" s="192" t="s">
        <v>3768</v>
      </c>
      <c r="E1517" t="s">
        <v>3769</v>
      </c>
      <c r="F1517" s="192" t="s">
        <v>789</v>
      </c>
      <c r="G1517" s="192" t="s">
        <v>3623</v>
      </c>
      <c r="H1517" s="192" t="s">
        <v>3624</v>
      </c>
      <c r="I1517" t="s">
        <v>3414</v>
      </c>
      <c r="J1517" t="s">
        <v>865</v>
      </c>
      <c r="K1517" t="s">
        <v>797</v>
      </c>
    </row>
    <row r="1518" spans="2:11" x14ac:dyDescent="0.25">
      <c r="B1518" s="191"/>
      <c r="C1518" s="191"/>
      <c r="D1518" s="192" t="s">
        <v>3770</v>
      </c>
      <c r="E1518" t="s">
        <v>3771</v>
      </c>
      <c r="F1518" s="192" t="s">
        <v>789</v>
      </c>
      <c r="G1518" s="192" t="s">
        <v>3627</v>
      </c>
      <c r="H1518" s="192" t="s">
        <v>3624</v>
      </c>
      <c r="I1518" t="s">
        <v>3414</v>
      </c>
      <c r="J1518" t="s">
        <v>865</v>
      </c>
      <c r="K1518" t="s">
        <v>797</v>
      </c>
    </row>
    <row r="1519" spans="2:11" x14ac:dyDescent="0.25">
      <c r="B1519" s="191"/>
      <c r="C1519" s="191"/>
      <c r="D1519" s="192" t="s">
        <v>3772</v>
      </c>
      <c r="E1519" t="s">
        <v>3773</v>
      </c>
      <c r="F1519" s="192" t="s">
        <v>789</v>
      </c>
      <c r="G1519" s="192" t="s">
        <v>3630</v>
      </c>
      <c r="H1519" s="192" t="s">
        <v>3624</v>
      </c>
      <c r="I1519" t="s">
        <v>3414</v>
      </c>
      <c r="J1519" t="s">
        <v>865</v>
      </c>
      <c r="K1519" t="s">
        <v>797</v>
      </c>
    </row>
    <row r="1520" spans="2:11" x14ac:dyDescent="0.25">
      <c r="B1520" s="191"/>
      <c r="C1520" s="191" t="s">
        <v>3774</v>
      </c>
      <c r="D1520" s="192"/>
      <c r="E1520" s="185" t="s">
        <v>3775</v>
      </c>
      <c r="F1520" s="192" t="s">
        <v>789</v>
      </c>
      <c r="G1520" s="192" t="s">
        <v>790</v>
      </c>
      <c r="H1520" s="192" t="s">
        <v>790</v>
      </c>
      <c r="I1520" t="s">
        <v>3414</v>
      </c>
      <c r="J1520" t="s">
        <v>865</v>
      </c>
    </row>
    <row r="1521" spans="2:11" x14ac:dyDescent="0.25">
      <c r="B1521" s="191"/>
      <c r="C1521" s="191"/>
      <c r="D1521" s="192" t="s">
        <v>3776</v>
      </c>
      <c r="E1521" t="s">
        <v>3777</v>
      </c>
      <c r="F1521" s="192" t="s">
        <v>789</v>
      </c>
      <c r="G1521" s="192" t="s">
        <v>3675</v>
      </c>
      <c r="H1521" s="192" t="s">
        <v>3624</v>
      </c>
      <c r="I1521" t="s">
        <v>3414</v>
      </c>
      <c r="J1521" t="s">
        <v>865</v>
      </c>
      <c r="K1521" t="s">
        <v>797</v>
      </c>
    </row>
    <row r="1522" spans="2:11" x14ac:dyDescent="0.25">
      <c r="B1522" s="191"/>
      <c r="C1522" s="191"/>
      <c r="D1522" s="192" t="s">
        <v>3778</v>
      </c>
      <c r="E1522" t="s">
        <v>3779</v>
      </c>
      <c r="F1522" s="192" t="s">
        <v>789</v>
      </c>
      <c r="G1522" s="192" t="s">
        <v>3623</v>
      </c>
      <c r="H1522" s="192" t="s">
        <v>3624</v>
      </c>
      <c r="I1522" t="s">
        <v>3414</v>
      </c>
      <c r="J1522" t="s">
        <v>865</v>
      </c>
      <c r="K1522" t="s">
        <v>797</v>
      </c>
    </row>
    <row r="1523" spans="2:11" x14ac:dyDescent="0.25">
      <c r="B1523" s="191"/>
      <c r="C1523" s="191"/>
      <c r="D1523" s="192" t="s">
        <v>3780</v>
      </c>
      <c r="E1523" t="s">
        <v>3781</v>
      </c>
      <c r="F1523" s="192" t="s">
        <v>789</v>
      </c>
      <c r="G1523" s="192" t="s">
        <v>3627</v>
      </c>
      <c r="H1523" s="192" t="s">
        <v>3624</v>
      </c>
      <c r="I1523" t="s">
        <v>3414</v>
      </c>
      <c r="J1523" t="s">
        <v>865</v>
      </c>
      <c r="K1523" t="s">
        <v>797</v>
      </c>
    </row>
    <row r="1524" spans="2:11" x14ac:dyDescent="0.25">
      <c r="B1524" s="191"/>
      <c r="C1524" s="191"/>
      <c r="D1524" s="192" t="s">
        <v>739</v>
      </c>
      <c r="E1524" t="s">
        <v>3782</v>
      </c>
      <c r="F1524" s="192" t="s">
        <v>789</v>
      </c>
      <c r="G1524" s="192" t="s">
        <v>3630</v>
      </c>
      <c r="H1524" s="192" t="s">
        <v>3624</v>
      </c>
      <c r="I1524" t="s">
        <v>3414</v>
      </c>
      <c r="J1524" t="s">
        <v>865</v>
      </c>
      <c r="K1524" t="s">
        <v>797</v>
      </c>
    </row>
    <row r="1525" spans="2:11" x14ac:dyDescent="0.25">
      <c r="B1525" s="191"/>
      <c r="C1525" s="191" t="s">
        <v>3783</v>
      </c>
      <c r="D1525" s="192"/>
      <c r="E1525" s="185" t="s">
        <v>3784</v>
      </c>
      <c r="F1525" s="192" t="s">
        <v>789</v>
      </c>
      <c r="G1525" s="192" t="s">
        <v>790</v>
      </c>
      <c r="H1525" s="192" t="s">
        <v>790</v>
      </c>
      <c r="I1525" t="s">
        <v>3414</v>
      </c>
      <c r="J1525" t="s">
        <v>865</v>
      </c>
    </row>
    <row r="1526" spans="2:11" x14ac:dyDescent="0.25">
      <c r="B1526" s="191"/>
      <c r="C1526" s="191" t="s">
        <v>3785</v>
      </c>
      <c r="D1526" s="192"/>
      <c r="E1526" s="185" t="s">
        <v>3786</v>
      </c>
      <c r="F1526" s="192" t="s">
        <v>789</v>
      </c>
      <c r="G1526" s="192" t="s">
        <v>790</v>
      </c>
      <c r="H1526" s="192" t="s">
        <v>790</v>
      </c>
      <c r="I1526" t="s">
        <v>3414</v>
      </c>
      <c r="J1526" t="s">
        <v>865</v>
      </c>
    </row>
    <row r="1527" spans="2:11" x14ac:dyDescent="0.25">
      <c r="B1527" s="191"/>
      <c r="C1527" s="191"/>
      <c r="D1527" s="192" t="s">
        <v>3787</v>
      </c>
      <c r="E1527" t="s">
        <v>3788</v>
      </c>
      <c r="F1527" s="192" t="s">
        <v>789</v>
      </c>
      <c r="G1527" s="192" t="s">
        <v>790</v>
      </c>
      <c r="H1527" s="192" t="s">
        <v>790</v>
      </c>
      <c r="I1527" t="s">
        <v>3414</v>
      </c>
      <c r="J1527" t="s">
        <v>865</v>
      </c>
      <c r="K1527" t="s">
        <v>797</v>
      </c>
    </row>
    <row r="1528" spans="2:11" x14ac:dyDescent="0.25">
      <c r="B1528" s="191"/>
      <c r="C1528" s="191"/>
      <c r="D1528" s="192" t="s">
        <v>3789</v>
      </c>
      <c r="E1528" t="s">
        <v>3790</v>
      </c>
      <c r="F1528" s="192" t="s">
        <v>789</v>
      </c>
      <c r="G1528" s="192" t="s">
        <v>790</v>
      </c>
      <c r="H1528" s="192" t="s">
        <v>790</v>
      </c>
      <c r="I1528" t="s">
        <v>3414</v>
      </c>
      <c r="J1528" t="s">
        <v>865</v>
      </c>
      <c r="K1528" t="s">
        <v>797</v>
      </c>
    </row>
    <row r="1529" spans="2:11" x14ac:dyDescent="0.25">
      <c r="B1529" s="191"/>
      <c r="C1529" s="191"/>
      <c r="D1529" s="192" t="s">
        <v>3791</v>
      </c>
      <c r="E1529" t="s">
        <v>3792</v>
      </c>
      <c r="F1529" s="192" t="s">
        <v>789</v>
      </c>
      <c r="G1529" s="192" t="s">
        <v>3623</v>
      </c>
      <c r="H1529" s="192" t="s">
        <v>3624</v>
      </c>
      <c r="I1529" t="s">
        <v>3414</v>
      </c>
      <c r="J1529" t="s">
        <v>865</v>
      </c>
      <c r="K1529" t="s">
        <v>797</v>
      </c>
    </row>
    <row r="1530" spans="2:11" x14ac:dyDescent="0.25">
      <c r="B1530" s="191"/>
      <c r="C1530" s="191"/>
      <c r="D1530" s="192" t="s">
        <v>3793</v>
      </c>
      <c r="E1530" t="s">
        <v>3794</v>
      </c>
      <c r="F1530" s="192" t="s">
        <v>789</v>
      </c>
      <c r="G1530" s="192" t="s">
        <v>3627</v>
      </c>
      <c r="H1530" s="192" t="s">
        <v>3624</v>
      </c>
      <c r="I1530" t="s">
        <v>3414</v>
      </c>
      <c r="J1530" t="s">
        <v>865</v>
      </c>
      <c r="K1530" t="s">
        <v>797</v>
      </c>
    </row>
    <row r="1531" spans="2:11" x14ac:dyDescent="0.25">
      <c r="B1531" s="191"/>
      <c r="C1531" s="191"/>
      <c r="D1531" s="192" t="s">
        <v>3795</v>
      </c>
      <c r="E1531" t="s">
        <v>3796</v>
      </c>
      <c r="F1531" s="192" t="s">
        <v>789</v>
      </c>
      <c r="G1531" s="192" t="s">
        <v>3630</v>
      </c>
      <c r="H1531" s="192" t="s">
        <v>3624</v>
      </c>
      <c r="I1531" t="s">
        <v>3414</v>
      </c>
      <c r="J1531" t="s">
        <v>865</v>
      </c>
      <c r="K1531" t="s">
        <v>797</v>
      </c>
    </row>
    <row r="1532" spans="2:11" x14ac:dyDescent="0.25">
      <c r="B1532" s="191"/>
      <c r="C1532" s="191" t="s">
        <v>3797</v>
      </c>
      <c r="D1532" s="192"/>
      <c r="E1532" s="185" t="s">
        <v>3798</v>
      </c>
      <c r="F1532" s="192" t="s">
        <v>789</v>
      </c>
      <c r="G1532" s="192" t="s">
        <v>790</v>
      </c>
      <c r="H1532" s="192" t="s">
        <v>790</v>
      </c>
      <c r="I1532" t="s">
        <v>3414</v>
      </c>
      <c r="J1532" t="s">
        <v>865</v>
      </c>
    </row>
    <row r="1533" spans="2:11" x14ac:dyDescent="0.25">
      <c r="B1533" s="191"/>
      <c r="C1533" s="191"/>
      <c r="D1533" s="192" t="s">
        <v>3799</v>
      </c>
      <c r="E1533" t="s">
        <v>3800</v>
      </c>
      <c r="F1533" s="192" t="s">
        <v>789</v>
      </c>
      <c r="G1533" s="192" t="s">
        <v>3675</v>
      </c>
      <c r="H1533" s="192" t="s">
        <v>3624</v>
      </c>
      <c r="I1533" t="s">
        <v>3414</v>
      </c>
      <c r="J1533" t="s">
        <v>865</v>
      </c>
      <c r="K1533" t="s">
        <v>797</v>
      </c>
    </row>
    <row r="1534" spans="2:11" x14ac:dyDescent="0.25">
      <c r="B1534" s="191"/>
      <c r="C1534" s="191"/>
      <c r="D1534" s="192" t="s">
        <v>3801</v>
      </c>
      <c r="E1534" t="s">
        <v>3802</v>
      </c>
      <c r="F1534" s="192" t="s">
        <v>789</v>
      </c>
      <c r="G1534" s="192" t="s">
        <v>3623</v>
      </c>
      <c r="H1534" s="192" t="s">
        <v>3624</v>
      </c>
      <c r="I1534" t="s">
        <v>3414</v>
      </c>
      <c r="J1534" t="s">
        <v>865</v>
      </c>
      <c r="K1534" t="s">
        <v>797</v>
      </c>
    </row>
    <row r="1535" spans="2:11" x14ac:dyDescent="0.25">
      <c r="B1535" s="191"/>
      <c r="C1535" s="191"/>
      <c r="D1535" s="192" t="s">
        <v>3803</v>
      </c>
      <c r="E1535" t="s">
        <v>3804</v>
      </c>
      <c r="F1535" s="192" t="s">
        <v>789</v>
      </c>
      <c r="G1535" s="192" t="s">
        <v>3627</v>
      </c>
      <c r="H1535" s="192" t="s">
        <v>3624</v>
      </c>
      <c r="I1535" t="s">
        <v>3414</v>
      </c>
      <c r="J1535" t="s">
        <v>865</v>
      </c>
      <c r="K1535" t="s">
        <v>797</v>
      </c>
    </row>
    <row r="1536" spans="2:11" x14ac:dyDescent="0.25">
      <c r="B1536" s="191"/>
      <c r="C1536" s="191"/>
      <c r="D1536" s="192" t="s">
        <v>3805</v>
      </c>
      <c r="E1536" t="s">
        <v>3806</v>
      </c>
      <c r="F1536" s="192" t="s">
        <v>789</v>
      </c>
      <c r="G1536" s="192" t="s">
        <v>3630</v>
      </c>
      <c r="H1536" s="192" t="s">
        <v>3624</v>
      </c>
      <c r="I1536" t="s">
        <v>3414</v>
      </c>
      <c r="J1536" t="s">
        <v>865</v>
      </c>
      <c r="K1536" t="s">
        <v>797</v>
      </c>
    </row>
    <row r="1537" spans="2:11" x14ac:dyDescent="0.25">
      <c r="B1537" s="191"/>
      <c r="C1537" s="191" t="s">
        <v>3807</v>
      </c>
      <c r="D1537" s="192"/>
      <c r="E1537" s="185" t="s">
        <v>3808</v>
      </c>
      <c r="F1537" s="192" t="s">
        <v>789</v>
      </c>
      <c r="G1537" s="192" t="s">
        <v>790</v>
      </c>
      <c r="H1537" s="192" t="s">
        <v>790</v>
      </c>
      <c r="I1537" t="s">
        <v>3414</v>
      </c>
      <c r="J1537" t="s">
        <v>865</v>
      </c>
    </row>
    <row r="1538" spans="2:11" x14ac:dyDescent="0.25">
      <c r="B1538" s="191"/>
      <c r="C1538" s="191"/>
      <c r="D1538" s="192" t="s">
        <v>3809</v>
      </c>
      <c r="E1538" t="s">
        <v>3810</v>
      </c>
      <c r="F1538" s="192" t="s">
        <v>789</v>
      </c>
      <c r="G1538" s="192" t="s">
        <v>790</v>
      </c>
      <c r="H1538" s="192" t="s">
        <v>790</v>
      </c>
      <c r="I1538" t="s">
        <v>3414</v>
      </c>
      <c r="J1538" t="s">
        <v>865</v>
      </c>
      <c r="K1538" t="s">
        <v>797</v>
      </c>
    </row>
    <row r="1539" spans="2:11" x14ac:dyDescent="0.25">
      <c r="B1539" s="191"/>
      <c r="C1539" s="191"/>
      <c r="D1539" s="192" t="s">
        <v>3811</v>
      </c>
      <c r="E1539" t="s">
        <v>3812</v>
      </c>
      <c r="F1539" s="192" t="s">
        <v>789</v>
      </c>
      <c r="G1539" s="192" t="s">
        <v>3623</v>
      </c>
      <c r="H1539" s="192" t="s">
        <v>3624</v>
      </c>
      <c r="I1539" t="s">
        <v>3414</v>
      </c>
      <c r="J1539" t="s">
        <v>865</v>
      </c>
      <c r="K1539" t="s">
        <v>797</v>
      </c>
    </row>
    <row r="1540" spans="2:11" x14ac:dyDescent="0.25">
      <c r="B1540" s="191"/>
      <c r="C1540" s="191"/>
      <c r="D1540" s="192" t="s">
        <v>3813</v>
      </c>
      <c r="E1540" t="s">
        <v>3814</v>
      </c>
      <c r="F1540" s="192" t="s">
        <v>789</v>
      </c>
      <c r="G1540" s="192" t="s">
        <v>3627</v>
      </c>
      <c r="H1540" s="192" t="s">
        <v>3624</v>
      </c>
      <c r="I1540" t="s">
        <v>3414</v>
      </c>
      <c r="J1540" t="s">
        <v>865</v>
      </c>
      <c r="K1540" t="s">
        <v>797</v>
      </c>
    </row>
    <row r="1541" spans="2:11" x14ac:dyDescent="0.25">
      <c r="B1541" s="191"/>
      <c r="C1541" s="191"/>
      <c r="D1541" s="192" t="s">
        <v>3815</v>
      </c>
      <c r="E1541" t="s">
        <v>3816</v>
      </c>
      <c r="F1541" s="192" t="s">
        <v>789</v>
      </c>
      <c r="G1541" s="192" t="s">
        <v>3630</v>
      </c>
      <c r="H1541" s="192" t="s">
        <v>3624</v>
      </c>
      <c r="I1541" t="s">
        <v>3414</v>
      </c>
      <c r="J1541" t="s">
        <v>865</v>
      </c>
      <c r="K1541" t="s">
        <v>797</v>
      </c>
    </row>
    <row r="1542" spans="2:11" x14ac:dyDescent="0.25">
      <c r="B1542" s="191"/>
      <c r="C1542" s="191" t="s">
        <v>3817</v>
      </c>
      <c r="D1542" s="192"/>
      <c r="E1542" s="185" t="s">
        <v>3818</v>
      </c>
      <c r="F1542" s="192" t="s">
        <v>789</v>
      </c>
      <c r="G1542" s="192" t="s">
        <v>790</v>
      </c>
      <c r="H1542" s="192" t="s">
        <v>790</v>
      </c>
      <c r="I1542" t="s">
        <v>3414</v>
      </c>
      <c r="J1542" t="s">
        <v>865</v>
      </c>
    </row>
    <row r="1543" spans="2:11" x14ac:dyDescent="0.25">
      <c r="B1543" s="191"/>
      <c r="C1543" s="191"/>
      <c r="D1543" s="192" t="s">
        <v>3819</v>
      </c>
      <c r="E1543" t="s">
        <v>3820</v>
      </c>
      <c r="F1543" s="192" t="s">
        <v>789</v>
      </c>
      <c r="G1543" s="192" t="s">
        <v>3675</v>
      </c>
      <c r="H1543" s="192" t="s">
        <v>3624</v>
      </c>
      <c r="I1543" t="s">
        <v>3414</v>
      </c>
      <c r="J1543" t="s">
        <v>865</v>
      </c>
      <c r="K1543" t="s">
        <v>797</v>
      </c>
    </row>
    <row r="1544" spans="2:11" x14ac:dyDescent="0.25">
      <c r="B1544" s="191"/>
      <c r="C1544" s="191"/>
      <c r="D1544" s="192" t="s">
        <v>3821</v>
      </c>
      <c r="E1544" t="s">
        <v>3822</v>
      </c>
      <c r="F1544" s="192" t="s">
        <v>789</v>
      </c>
      <c r="G1544" s="192" t="s">
        <v>3623</v>
      </c>
      <c r="H1544" s="192" t="s">
        <v>3624</v>
      </c>
      <c r="I1544" t="s">
        <v>3414</v>
      </c>
      <c r="J1544" t="s">
        <v>865</v>
      </c>
      <c r="K1544" t="s">
        <v>797</v>
      </c>
    </row>
    <row r="1545" spans="2:11" x14ac:dyDescent="0.25">
      <c r="B1545" s="191"/>
      <c r="C1545" s="191"/>
      <c r="D1545" s="192" t="s">
        <v>3823</v>
      </c>
      <c r="E1545" t="s">
        <v>3824</v>
      </c>
      <c r="F1545" s="192" t="s">
        <v>789</v>
      </c>
      <c r="G1545" s="192" t="s">
        <v>3627</v>
      </c>
      <c r="H1545" s="192" t="s">
        <v>3624</v>
      </c>
      <c r="I1545" t="s">
        <v>3414</v>
      </c>
      <c r="J1545" t="s">
        <v>865</v>
      </c>
      <c r="K1545" t="s">
        <v>797</v>
      </c>
    </row>
    <row r="1546" spans="2:11" x14ac:dyDescent="0.25">
      <c r="B1546" s="191"/>
      <c r="C1546" s="191"/>
      <c r="D1546" s="192" t="s">
        <v>3825</v>
      </c>
      <c r="E1546" t="s">
        <v>3826</v>
      </c>
      <c r="F1546" s="192" t="s">
        <v>789</v>
      </c>
      <c r="G1546" s="192" t="s">
        <v>3630</v>
      </c>
      <c r="H1546" s="192" t="s">
        <v>3624</v>
      </c>
      <c r="I1546" t="s">
        <v>3414</v>
      </c>
      <c r="J1546" t="s">
        <v>865</v>
      </c>
      <c r="K1546" t="s">
        <v>797</v>
      </c>
    </row>
    <row r="1547" spans="2:11" x14ac:dyDescent="0.25">
      <c r="B1547" s="191"/>
      <c r="C1547" s="191" t="s">
        <v>3827</v>
      </c>
      <c r="D1547" s="192"/>
      <c r="E1547" s="185" t="s">
        <v>3828</v>
      </c>
      <c r="F1547" s="192" t="s">
        <v>789</v>
      </c>
      <c r="G1547" s="192" t="s">
        <v>790</v>
      </c>
      <c r="H1547" s="192" t="s">
        <v>790</v>
      </c>
      <c r="I1547" t="s">
        <v>3414</v>
      </c>
      <c r="J1547" t="s">
        <v>865</v>
      </c>
    </row>
    <row r="1548" spans="2:11" x14ac:dyDescent="0.25">
      <c r="B1548" s="191"/>
      <c r="C1548" s="191"/>
      <c r="D1548" s="192" t="s">
        <v>3829</v>
      </c>
      <c r="E1548" t="s">
        <v>3830</v>
      </c>
      <c r="F1548" s="192" t="s">
        <v>789</v>
      </c>
      <c r="G1548" s="192" t="s">
        <v>3675</v>
      </c>
      <c r="H1548" s="192" t="s">
        <v>3624</v>
      </c>
      <c r="I1548" t="s">
        <v>3414</v>
      </c>
      <c r="J1548" t="s">
        <v>865</v>
      </c>
      <c r="K1548" t="s">
        <v>797</v>
      </c>
    </row>
    <row r="1549" spans="2:11" x14ac:dyDescent="0.25">
      <c r="B1549" s="191"/>
      <c r="C1549" s="191"/>
      <c r="D1549" s="192" t="s">
        <v>3831</v>
      </c>
      <c r="E1549" t="s">
        <v>3832</v>
      </c>
      <c r="F1549" s="192" t="s">
        <v>789</v>
      </c>
      <c r="G1549" s="192" t="s">
        <v>3623</v>
      </c>
      <c r="H1549" s="192" t="s">
        <v>3624</v>
      </c>
      <c r="I1549" t="s">
        <v>3414</v>
      </c>
      <c r="J1549" t="s">
        <v>865</v>
      </c>
      <c r="K1549" t="s">
        <v>797</v>
      </c>
    </row>
    <row r="1550" spans="2:11" x14ac:dyDescent="0.25">
      <c r="B1550" s="191"/>
      <c r="C1550" s="191"/>
      <c r="D1550" s="192" t="s">
        <v>3833</v>
      </c>
      <c r="E1550" t="s">
        <v>3834</v>
      </c>
      <c r="F1550" s="192" t="s">
        <v>789</v>
      </c>
      <c r="G1550" s="192" t="s">
        <v>3627</v>
      </c>
      <c r="H1550" s="192" t="s">
        <v>3624</v>
      </c>
      <c r="I1550" t="s">
        <v>3414</v>
      </c>
      <c r="J1550" t="s">
        <v>865</v>
      </c>
      <c r="K1550" t="s">
        <v>797</v>
      </c>
    </row>
    <row r="1551" spans="2:11" x14ac:dyDescent="0.25">
      <c r="B1551" s="191"/>
      <c r="C1551" s="191"/>
      <c r="D1551" s="192" t="s">
        <v>3835</v>
      </c>
      <c r="E1551" t="s">
        <v>3836</v>
      </c>
      <c r="F1551" s="192" t="s">
        <v>789</v>
      </c>
      <c r="G1551" s="192" t="s">
        <v>3630</v>
      </c>
      <c r="H1551" s="192" t="s">
        <v>3624</v>
      </c>
      <c r="I1551" t="s">
        <v>3414</v>
      </c>
      <c r="J1551" t="s">
        <v>865</v>
      </c>
      <c r="K1551" t="s">
        <v>797</v>
      </c>
    </row>
    <row r="1552" spans="2:11" x14ac:dyDescent="0.25">
      <c r="B1552" s="191"/>
      <c r="C1552" s="191" t="s">
        <v>3837</v>
      </c>
      <c r="D1552" s="192"/>
      <c r="E1552" s="185" t="s">
        <v>3838</v>
      </c>
      <c r="F1552" s="192" t="s">
        <v>789</v>
      </c>
      <c r="G1552" s="192" t="s">
        <v>790</v>
      </c>
      <c r="H1552" s="192" t="s">
        <v>790</v>
      </c>
      <c r="I1552" t="s">
        <v>3414</v>
      </c>
    </row>
    <row r="1553" spans="2:11" x14ac:dyDescent="0.25">
      <c r="B1553" s="191"/>
      <c r="C1553" s="191"/>
      <c r="D1553" s="192" t="s">
        <v>3839</v>
      </c>
      <c r="E1553" t="s">
        <v>3840</v>
      </c>
      <c r="F1553" s="192" t="s">
        <v>789</v>
      </c>
      <c r="G1553" s="192" t="s">
        <v>3675</v>
      </c>
      <c r="H1553" s="192" t="s">
        <v>3624</v>
      </c>
      <c r="I1553" t="s">
        <v>3414</v>
      </c>
      <c r="J1553" t="s">
        <v>865</v>
      </c>
      <c r="K1553" t="s">
        <v>797</v>
      </c>
    </row>
    <row r="1554" spans="2:11" x14ac:dyDescent="0.25">
      <c r="B1554" s="191"/>
      <c r="C1554" s="191"/>
      <c r="D1554" s="192" t="s">
        <v>3841</v>
      </c>
      <c r="E1554" t="s">
        <v>3842</v>
      </c>
      <c r="F1554" s="192" t="s">
        <v>789</v>
      </c>
      <c r="G1554" s="192" t="s">
        <v>3623</v>
      </c>
      <c r="H1554" s="192" t="s">
        <v>3624</v>
      </c>
      <c r="I1554" t="s">
        <v>3414</v>
      </c>
      <c r="J1554" t="s">
        <v>865</v>
      </c>
      <c r="K1554" t="s">
        <v>797</v>
      </c>
    </row>
    <row r="1555" spans="2:11" x14ac:dyDescent="0.25">
      <c r="B1555" s="191"/>
      <c r="C1555" s="191"/>
      <c r="D1555" s="192" t="s">
        <v>3843</v>
      </c>
      <c r="E1555" t="s">
        <v>3844</v>
      </c>
      <c r="F1555" s="192" t="s">
        <v>789</v>
      </c>
      <c r="G1555" s="192" t="s">
        <v>3627</v>
      </c>
      <c r="H1555" s="192" t="s">
        <v>3624</v>
      </c>
      <c r="I1555" t="s">
        <v>3414</v>
      </c>
      <c r="J1555" t="s">
        <v>865</v>
      </c>
      <c r="K1555" t="s">
        <v>797</v>
      </c>
    </row>
    <row r="1556" spans="2:11" x14ac:dyDescent="0.25">
      <c r="B1556" s="191"/>
      <c r="C1556" s="191"/>
      <c r="D1556" s="192" t="s">
        <v>3845</v>
      </c>
      <c r="E1556" t="s">
        <v>3846</v>
      </c>
      <c r="F1556" s="192" t="s">
        <v>789</v>
      </c>
      <c r="G1556" s="192" t="s">
        <v>3630</v>
      </c>
      <c r="H1556" s="192" t="s">
        <v>3624</v>
      </c>
      <c r="I1556" t="s">
        <v>3414</v>
      </c>
      <c r="J1556" t="s">
        <v>865</v>
      </c>
      <c r="K1556" t="s">
        <v>797</v>
      </c>
    </row>
    <row r="1557" spans="2:11" x14ac:dyDescent="0.25">
      <c r="B1557" s="191"/>
      <c r="C1557" s="191" t="s">
        <v>3847</v>
      </c>
      <c r="D1557" s="192"/>
      <c r="E1557" s="185" t="s">
        <v>3848</v>
      </c>
      <c r="F1557" s="192" t="s">
        <v>789</v>
      </c>
      <c r="G1557" s="192" t="s">
        <v>790</v>
      </c>
      <c r="H1557" s="192" t="s">
        <v>790</v>
      </c>
      <c r="I1557" t="s">
        <v>3414</v>
      </c>
    </row>
    <row r="1558" spans="2:11" x14ac:dyDescent="0.25">
      <c r="B1558" s="191"/>
      <c r="C1558" s="191"/>
      <c r="D1558" s="192" t="s">
        <v>3849</v>
      </c>
      <c r="E1558" t="s">
        <v>3850</v>
      </c>
      <c r="F1558" s="192" t="s">
        <v>789</v>
      </c>
      <c r="G1558" s="192" t="s">
        <v>3675</v>
      </c>
      <c r="H1558" s="192" t="s">
        <v>3624</v>
      </c>
      <c r="I1558" t="s">
        <v>3414</v>
      </c>
      <c r="J1558" t="s">
        <v>865</v>
      </c>
      <c r="K1558" t="s">
        <v>797</v>
      </c>
    </row>
    <row r="1559" spans="2:11" x14ac:dyDescent="0.25">
      <c r="B1559" s="191"/>
      <c r="C1559" s="191"/>
      <c r="D1559" s="192" t="s">
        <v>3851</v>
      </c>
      <c r="E1559" t="s">
        <v>3852</v>
      </c>
      <c r="F1559" s="192" t="s">
        <v>789</v>
      </c>
      <c r="G1559" s="192" t="s">
        <v>3623</v>
      </c>
      <c r="H1559" s="192" t="s">
        <v>3624</v>
      </c>
      <c r="I1559" t="s">
        <v>3414</v>
      </c>
      <c r="J1559" t="s">
        <v>865</v>
      </c>
      <c r="K1559" t="s">
        <v>797</v>
      </c>
    </row>
    <row r="1560" spans="2:11" x14ac:dyDescent="0.25">
      <c r="B1560" s="191"/>
      <c r="C1560" s="191"/>
      <c r="D1560" s="192" t="s">
        <v>3853</v>
      </c>
      <c r="E1560" t="s">
        <v>3854</v>
      </c>
      <c r="F1560" s="192" t="s">
        <v>789</v>
      </c>
      <c r="G1560" s="192" t="s">
        <v>3627</v>
      </c>
      <c r="H1560" s="192" t="s">
        <v>3624</v>
      </c>
      <c r="I1560" t="s">
        <v>3414</v>
      </c>
      <c r="J1560" t="s">
        <v>865</v>
      </c>
      <c r="K1560" t="s">
        <v>797</v>
      </c>
    </row>
    <row r="1561" spans="2:11" x14ac:dyDescent="0.25">
      <c r="B1561" s="191"/>
      <c r="C1561" s="191"/>
      <c r="D1561" s="192" t="s">
        <v>3855</v>
      </c>
      <c r="E1561" t="s">
        <v>3856</v>
      </c>
      <c r="F1561" s="192" t="s">
        <v>789</v>
      </c>
      <c r="G1561" s="192" t="s">
        <v>3630</v>
      </c>
      <c r="H1561" s="192" t="s">
        <v>3624</v>
      </c>
      <c r="I1561" t="s">
        <v>3414</v>
      </c>
      <c r="J1561" t="s">
        <v>865</v>
      </c>
      <c r="K1561" t="s">
        <v>797</v>
      </c>
    </row>
    <row r="1562" spans="2:11" x14ac:dyDescent="0.25">
      <c r="B1562" s="191"/>
      <c r="C1562" s="191" t="s">
        <v>3857</v>
      </c>
      <c r="D1562" s="192"/>
      <c r="E1562" s="185" t="s">
        <v>3858</v>
      </c>
      <c r="F1562" s="192" t="s">
        <v>789</v>
      </c>
      <c r="G1562" s="192" t="s">
        <v>790</v>
      </c>
      <c r="H1562" s="192" t="s">
        <v>790</v>
      </c>
      <c r="I1562" t="s">
        <v>3414</v>
      </c>
      <c r="J1562" t="s">
        <v>865</v>
      </c>
    </row>
    <row r="1563" spans="2:11" x14ac:dyDescent="0.25">
      <c r="B1563" s="191"/>
      <c r="C1563" s="191" t="s">
        <v>3859</v>
      </c>
      <c r="D1563" s="192"/>
      <c r="E1563" s="185" t="s">
        <v>3858</v>
      </c>
      <c r="F1563" s="192" t="s">
        <v>789</v>
      </c>
      <c r="G1563" s="192" t="s">
        <v>790</v>
      </c>
      <c r="H1563" s="192" t="s">
        <v>790</v>
      </c>
      <c r="I1563" t="s">
        <v>3414</v>
      </c>
    </row>
    <row r="1564" spans="2:11" x14ac:dyDescent="0.25">
      <c r="B1564" s="191"/>
      <c r="C1564" s="191"/>
      <c r="D1564" s="192" t="s">
        <v>3860</v>
      </c>
      <c r="E1564" t="s">
        <v>3861</v>
      </c>
      <c r="F1564" s="192" t="s">
        <v>789</v>
      </c>
      <c r="G1564" s="192" t="s">
        <v>3627</v>
      </c>
      <c r="H1564" s="192" t="s">
        <v>3624</v>
      </c>
      <c r="I1564" t="s">
        <v>3414</v>
      </c>
      <c r="J1564" t="s">
        <v>865</v>
      </c>
      <c r="K1564" t="s">
        <v>797</v>
      </c>
    </row>
    <row r="1565" spans="2:11" x14ac:dyDescent="0.25">
      <c r="B1565" s="191"/>
      <c r="C1565" s="191" t="s">
        <v>3862</v>
      </c>
      <c r="D1565" s="192"/>
      <c r="E1565" s="185" t="s">
        <v>3863</v>
      </c>
      <c r="F1565" s="192" t="s">
        <v>789</v>
      </c>
      <c r="G1565" s="192" t="s">
        <v>790</v>
      </c>
      <c r="H1565" s="192" t="s">
        <v>790</v>
      </c>
      <c r="I1565" t="s">
        <v>3414</v>
      </c>
      <c r="J1565" t="s">
        <v>865</v>
      </c>
    </row>
    <row r="1566" spans="2:11" x14ac:dyDescent="0.25">
      <c r="B1566" s="191"/>
      <c r="C1566" s="191" t="s">
        <v>3864</v>
      </c>
      <c r="D1566" s="192"/>
      <c r="E1566" s="185" t="s">
        <v>3865</v>
      </c>
      <c r="F1566" s="192" t="s">
        <v>789</v>
      </c>
      <c r="G1566" s="192" t="s">
        <v>790</v>
      </c>
      <c r="H1566" s="192" t="s">
        <v>790</v>
      </c>
      <c r="I1566" t="s">
        <v>3414</v>
      </c>
    </row>
    <row r="1567" spans="2:11" x14ac:dyDescent="0.25">
      <c r="B1567" s="191"/>
      <c r="C1567" s="191"/>
      <c r="D1567" s="192" t="s">
        <v>3866</v>
      </c>
      <c r="E1567" t="s">
        <v>3867</v>
      </c>
      <c r="F1567" s="192" t="s">
        <v>789</v>
      </c>
      <c r="G1567" s="192" t="s">
        <v>790</v>
      </c>
      <c r="H1567" s="192" t="s">
        <v>790</v>
      </c>
      <c r="I1567" t="s">
        <v>3414</v>
      </c>
      <c r="J1567" t="s">
        <v>865</v>
      </c>
      <c r="K1567" t="s">
        <v>797</v>
      </c>
    </row>
    <row r="1568" spans="2:11" x14ac:dyDescent="0.25">
      <c r="B1568" s="191"/>
      <c r="C1568" s="191"/>
      <c r="D1568" s="192" t="s">
        <v>3868</v>
      </c>
      <c r="E1568" t="s">
        <v>3869</v>
      </c>
      <c r="F1568" s="192" t="s">
        <v>789</v>
      </c>
      <c r="G1568" s="192" t="s">
        <v>790</v>
      </c>
      <c r="H1568" s="192" t="s">
        <v>790</v>
      </c>
      <c r="I1568" t="s">
        <v>3414</v>
      </c>
      <c r="J1568" t="s">
        <v>865</v>
      </c>
      <c r="K1568" t="s">
        <v>797</v>
      </c>
    </row>
    <row r="1569" spans="2:11" x14ac:dyDescent="0.25">
      <c r="B1569" s="191"/>
      <c r="C1569" s="191"/>
      <c r="D1569" s="192" t="s">
        <v>3870</v>
      </c>
      <c r="E1569" t="s">
        <v>3871</v>
      </c>
      <c r="F1569" s="192" t="s">
        <v>789</v>
      </c>
      <c r="G1569" s="192" t="s">
        <v>3623</v>
      </c>
      <c r="H1569" s="192" t="s">
        <v>3624</v>
      </c>
      <c r="I1569" t="s">
        <v>3414</v>
      </c>
      <c r="J1569" t="s">
        <v>865</v>
      </c>
      <c r="K1569" t="s">
        <v>797</v>
      </c>
    </row>
    <row r="1570" spans="2:11" x14ac:dyDescent="0.25">
      <c r="B1570" s="191"/>
      <c r="C1570" s="191"/>
      <c r="D1570" s="192" t="s">
        <v>3872</v>
      </c>
      <c r="E1570" t="s">
        <v>3873</v>
      </c>
      <c r="F1570" s="192" t="s">
        <v>789</v>
      </c>
      <c r="G1570" s="192" t="s">
        <v>3627</v>
      </c>
      <c r="H1570" s="192" t="s">
        <v>3624</v>
      </c>
      <c r="I1570" t="s">
        <v>3414</v>
      </c>
      <c r="J1570" t="s">
        <v>865</v>
      </c>
      <c r="K1570" t="s">
        <v>797</v>
      </c>
    </row>
    <row r="1571" spans="2:11" x14ac:dyDescent="0.25">
      <c r="B1571" s="191"/>
      <c r="C1571" s="191"/>
      <c r="D1571" s="192" t="s">
        <v>3874</v>
      </c>
      <c r="E1571" t="s">
        <v>3875</v>
      </c>
      <c r="F1571" s="192" t="s">
        <v>789</v>
      </c>
      <c r="G1571" s="192" t="s">
        <v>3630</v>
      </c>
      <c r="H1571" s="192" t="s">
        <v>3624</v>
      </c>
      <c r="I1571" t="s">
        <v>3414</v>
      </c>
      <c r="J1571" t="s">
        <v>865</v>
      </c>
      <c r="K1571" t="s">
        <v>797</v>
      </c>
    </row>
    <row r="1572" spans="2:11" x14ac:dyDescent="0.25">
      <c r="B1572" s="191"/>
      <c r="C1572" s="191" t="s">
        <v>3876</v>
      </c>
      <c r="D1572" s="192"/>
      <c r="E1572" s="185" t="s">
        <v>3877</v>
      </c>
      <c r="F1572" s="192" t="s">
        <v>789</v>
      </c>
      <c r="G1572" s="192" t="s">
        <v>790</v>
      </c>
      <c r="H1572" s="192" t="s">
        <v>790</v>
      </c>
      <c r="I1572" t="s">
        <v>3414</v>
      </c>
    </row>
    <row r="1573" spans="2:11" x14ac:dyDescent="0.25">
      <c r="B1573" s="191"/>
      <c r="C1573" s="191"/>
      <c r="D1573" s="192" t="s">
        <v>3878</v>
      </c>
      <c r="E1573" t="s">
        <v>3879</v>
      </c>
      <c r="F1573" s="192" t="s">
        <v>789</v>
      </c>
      <c r="G1573" s="192" t="s">
        <v>3675</v>
      </c>
      <c r="H1573" s="192" t="s">
        <v>3624</v>
      </c>
      <c r="I1573" t="s">
        <v>3414</v>
      </c>
      <c r="J1573" t="s">
        <v>865</v>
      </c>
      <c r="K1573" t="s">
        <v>797</v>
      </c>
    </row>
    <row r="1574" spans="2:11" x14ac:dyDescent="0.25">
      <c r="B1574" s="191"/>
      <c r="C1574" s="191"/>
      <c r="D1574" s="192" t="s">
        <v>3880</v>
      </c>
      <c r="E1574" t="s">
        <v>3881</v>
      </c>
      <c r="F1574" s="192" t="s">
        <v>789</v>
      </c>
      <c r="G1574" s="192" t="s">
        <v>3623</v>
      </c>
      <c r="H1574" s="192" t="s">
        <v>3624</v>
      </c>
      <c r="I1574" t="s">
        <v>3414</v>
      </c>
      <c r="J1574" t="s">
        <v>865</v>
      </c>
      <c r="K1574" t="s">
        <v>797</v>
      </c>
    </row>
    <row r="1575" spans="2:11" x14ac:dyDescent="0.25">
      <c r="B1575" s="191"/>
      <c r="C1575" s="191"/>
      <c r="D1575" s="192" t="s">
        <v>3882</v>
      </c>
      <c r="E1575" t="s">
        <v>3883</v>
      </c>
      <c r="F1575" s="192" t="s">
        <v>789</v>
      </c>
      <c r="G1575" s="192" t="s">
        <v>3627</v>
      </c>
      <c r="H1575" s="192" t="s">
        <v>3624</v>
      </c>
      <c r="I1575" t="s">
        <v>3414</v>
      </c>
      <c r="J1575" t="s">
        <v>865</v>
      </c>
      <c r="K1575" t="s">
        <v>797</v>
      </c>
    </row>
    <row r="1576" spans="2:11" x14ac:dyDescent="0.25">
      <c r="B1576" s="191"/>
      <c r="C1576" s="191"/>
      <c r="D1576" s="192" t="s">
        <v>3884</v>
      </c>
      <c r="E1576" t="s">
        <v>3885</v>
      </c>
      <c r="F1576" s="192" t="s">
        <v>789</v>
      </c>
      <c r="G1576" s="192" t="s">
        <v>3630</v>
      </c>
      <c r="H1576" s="192" t="s">
        <v>3624</v>
      </c>
      <c r="I1576" t="s">
        <v>3414</v>
      </c>
      <c r="J1576" t="s">
        <v>865</v>
      </c>
      <c r="K1576" t="s">
        <v>797</v>
      </c>
    </row>
    <row r="1577" spans="2:11" x14ac:dyDescent="0.25">
      <c r="B1577" s="191"/>
      <c r="C1577" s="191" t="s">
        <v>3886</v>
      </c>
      <c r="D1577" s="192"/>
      <c r="E1577" s="185" t="s">
        <v>3887</v>
      </c>
      <c r="F1577" s="192" t="s">
        <v>789</v>
      </c>
      <c r="G1577" s="192" t="s">
        <v>790</v>
      </c>
      <c r="H1577" s="192" t="s">
        <v>790</v>
      </c>
      <c r="I1577" t="s">
        <v>3414</v>
      </c>
    </row>
    <row r="1578" spans="2:11" x14ac:dyDescent="0.25">
      <c r="B1578" s="191"/>
      <c r="C1578" s="191"/>
      <c r="D1578" s="192" t="s">
        <v>3888</v>
      </c>
      <c r="E1578" t="s">
        <v>3889</v>
      </c>
      <c r="F1578" s="192" t="s">
        <v>789</v>
      </c>
      <c r="G1578" s="192" t="s">
        <v>3675</v>
      </c>
      <c r="H1578" s="192" t="s">
        <v>3624</v>
      </c>
      <c r="I1578" t="s">
        <v>3414</v>
      </c>
      <c r="J1578" t="s">
        <v>865</v>
      </c>
      <c r="K1578" t="s">
        <v>797</v>
      </c>
    </row>
    <row r="1579" spans="2:11" x14ac:dyDescent="0.25">
      <c r="B1579" s="191"/>
      <c r="C1579" s="191"/>
      <c r="D1579" s="192" t="s">
        <v>3890</v>
      </c>
      <c r="E1579" t="s">
        <v>3891</v>
      </c>
      <c r="F1579" s="192" t="s">
        <v>789</v>
      </c>
      <c r="G1579" s="192" t="s">
        <v>3623</v>
      </c>
      <c r="H1579" s="192" t="s">
        <v>3624</v>
      </c>
      <c r="I1579" t="s">
        <v>3414</v>
      </c>
      <c r="J1579" t="s">
        <v>865</v>
      </c>
      <c r="K1579" t="s">
        <v>797</v>
      </c>
    </row>
    <row r="1580" spans="2:11" x14ac:dyDescent="0.25">
      <c r="B1580" s="191"/>
      <c r="C1580" s="191"/>
      <c r="D1580" s="192" t="s">
        <v>3892</v>
      </c>
      <c r="E1580" t="s">
        <v>3893</v>
      </c>
      <c r="F1580" s="192" t="s">
        <v>789</v>
      </c>
      <c r="G1580" s="192" t="s">
        <v>3627</v>
      </c>
      <c r="H1580" s="192" t="s">
        <v>3624</v>
      </c>
      <c r="I1580" t="s">
        <v>3414</v>
      </c>
      <c r="J1580" t="s">
        <v>865</v>
      </c>
      <c r="K1580" t="s">
        <v>797</v>
      </c>
    </row>
    <row r="1581" spans="2:11" x14ac:dyDescent="0.25">
      <c r="B1581" s="191"/>
      <c r="C1581" s="191"/>
      <c r="D1581" s="192" t="s">
        <v>3894</v>
      </c>
      <c r="E1581" t="s">
        <v>3895</v>
      </c>
      <c r="F1581" s="192" t="s">
        <v>789</v>
      </c>
      <c r="G1581" s="192" t="s">
        <v>3630</v>
      </c>
      <c r="H1581" s="192" t="s">
        <v>3624</v>
      </c>
      <c r="I1581" t="s">
        <v>3414</v>
      </c>
      <c r="J1581" t="s">
        <v>865</v>
      </c>
      <c r="K1581" t="s">
        <v>797</v>
      </c>
    </row>
    <row r="1582" spans="2:11" x14ac:dyDescent="0.25">
      <c r="B1582" s="191"/>
      <c r="C1582" s="191" t="s">
        <v>3896</v>
      </c>
      <c r="D1582" s="192"/>
      <c r="E1582" s="185" t="s">
        <v>3897</v>
      </c>
      <c r="F1582" s="192" t="s">
        <v>789</v>
      </c>
      <c r="G1582" s="192" t="s">
        <v>790</v>
      </c>
      <c r="H1582" s="192" t="s">
        <v>790</v>
      </c>
      <c r="I1582" t="s">
        <v>820</v>
      </c>
    </row>
    <row r="1583" spans="2:11" x14ac:dyDescent="0.25">
      <c r="B1583" s="191"/>
      <c r="C1583" s="191" t="s">
        <v>3898</v>
      </c>
      <c r="D1583" s="192"/>
      <c r="E1583" s="185" t="s">
        <v>3899</v>
      </c>
      <c r="F1583" s="192" t="s">
        <v>789</v>
      </c>
      <c r="G1583" s="192" t="s">
        <v>790</v>
      </c>
      <c r="H1583" s="192" t="s">
        <v>790</v>
      </c>
      <c r="I1583" t="s">
        <v>3414</v>
      </c>
    </row>
    <row r="1584" spans="2:11" x14ac:dyDescent="0.25">
      <c r="B1584" s="191"/>
      <c r="C1584" s="191"/>
      <c r="D1584" s="192" t="s">
        <v>3900</v>
      </c>
      <c r="E1584" t="s">
        <v>3901</v>
      </c>
      <c r="F1584" s="192" t="s">
        <v>789</v>
      </c>
      <c r="G1584" s="192" t="s">
        <v>3675</v>
      </c>
      <c r="H1584" s="192" t="s">
        <v>3624</v>
      </c>
      <c r="I1584" t="s">
        <v>3414</v>
      </c>
      <c r="J1584" t="s">
        <v>865</v>
      </c>
      <c r="K1584" t="s">
        <v>797</v>
      </c>
    </row>
    <row r="1585" spans="2:11" x14ac:dyDescent="0.25">
      <c r="B1585" s="191"/>
      <c r="C1585" s="191"/>
      <c r="D1585" s="192" t="s">
        <v>3902</v>
      </c>
      <c r="E1585" t="s">
        <v>3903</v>
      </c>
      <c r="F1585" s="192" t="s">
        <v>789</v>
      </c>
      <c r="G1585" s="192" t="s">
        <v>3623</v>
      </c>
      <c r="H1585" s="192" t="s">
        <v>3624</v>
      </c>
      <c r="I1585" t="s">
        <v>3414</v>
      </c>
      <c r="J1585" t="s">
        <v>865</v>
      </c>
      <c r="K1585" t="s">
        <v>797</v>
      </c>
    </row>
    <row r="1586" spans="2:11" x14ac:dyDescent="0.25">
      <c r="B1586" s="191"/>
      <c r="C1586" s="191"/>
      <c r="D1586" s="192" t="s">
        <v>3904</v>
      </c>
      <c r="E1586" t="s">
        <v>3905</v>
      </c>
      <c r="F1586" s="192" t="s">
        <v>789</v>
      </c>
      <c r="G1586" s="192" t="s">
        <v>3627</v>
      </c>
      <c r="H1586" s="192" t="s">
        <v>3624</v>
      </c>
      <c r="I1586" t="s">
        <v>3414</v>
      </c>
      <c r="J1586" t="s">
        <v>865</v>
      </c>
      <c r="K1586" t="s">
        <v>797</v>
      </c>
    </row>
    <row r="1587" spans="2:11" x14ac:dyDescent="0.25">
      <c r="B1587" s="191"/>
      <c r="C1587" s="191"/>
      <c r="D1587" s="192" t="s">
        <v>3906</v>
      </c>
      <c r="E1587" t="s">
        <v>3907</v>
      </c>
      <c r="F1587" s="192" t="s">
        <v>789</v>
      </c>
      <c r="G1587" s="192" t="s">
        <v>3630</v>
      </c>
      <c r="H1587" s="192" t="s">
        <v>3624</v>
      </c>
      <c r="I1587" t="s">
        <v>3414</v>
      </c>
      <c r="J1587" t="s">
        <v>865</v>
      </c>
      <c r="K1587" t="s">
        <v>797</v>
      </c>
    </row>
    <row r="1588" spans="2:11" x14ac:dyDescent="0.25">
      <c r="B1588" s="191"/>
      <c r="C1588" s="191" t="s">
        <v>3908</v>
      </c>
      <c r="D1588" s="192"/>
      <c r="E1588" s="185" t="s">
        <v>3909</v>
      </c>
      <c r="F1588" s="192" t="s">
        <v>789</v>
      </c>
      <c r="G1588" s="192" t="s">
        <v>790</v>
      </c>
      <c r="H1588" s="192" t="s">
        <v>790</v>
      </c>
      <c r="I1588" t="s">
        <v>3414</v>
      </c>
    </row>
    <row r="1589" spans="2:11" x14ac:dyDescent="0.25">
      <c r="B1589" s="191"/>
      <c r="C1589" s="191"/>
      <c r="D1589" s="192" t="s">
        <v>3910</v>
      </c>
      <c r="E1589" t="s">
        <v>3911</v>
      </c>
      <c r="F1589" s="192" t="s">
        <v>789</v>
      </c>
      <c r="G1589" s="192" t="s">
        <v>3675</v>
      </c>
      <c r="H1589" s="192" t="s">
        <v>3624</v>
      </c>
      <c r="I1589" t="s">
        <v>3414</v>
      </c>
      <c r="J1589" t="s">
        <v>865</v>
      </c>
      <c r="K1589" t="s">
        <v>797</v>
      </c>
    </row>
    <row r="1590" spans="2:11" x14ac:dyDescent="0.25">
      <c r="B1590" s="191"/>
      <c r="C1590" s="191"/>
      <c r="D1590" s="192" t="s">
        <v>3912</v>
      </c>
      <c r="E1590" t="s">
        <v>3913</v>
      </c>
      <c r="F1590" s="192" t="s">
        <v>789</v>
      </c>
      <c r="G1590" s="192" t="s">
        <v>3623</v>
      </c>
      <c r="H1590" s="192" t="s">
        <v>3624</v>
      </c>
      <c r="I1590" t="s">
        <v>3414</v>
      </c>
      <c r="J1590" t="s">
        <v>865</v>
      </c>
      <c r="K1590" t="s">
        <v>797</v>
      </c>
    </row>
    <row r="1591" spans="2:11" x14ac:dyDescent="0.25">
      <c r="B1591" s="191"/>
      <c r="C1591" s="191"/>
      <c r="D1591" s="192" t="s">
        <v>3914</v>
      </c>
      <c r="E1591" t="s">
        <v>3915</v>
      </c>
      <c r="F1591" s="192" t="s">
        <v>789</v>
      </c>
      <c r="G1591" s="192" t="s">
        <v>3627</v>
      </c>
      <c r="H1591" s="192" t="s">
        <v>3624</v>
      </c>
      <c r="I1591" t="s">
        <v>3414</v>
      </c>
      <c r="J1591" t="s">
        <v>865</v>
      </c>
      <c r="K1591" t="s">
        <v>797</v>
      </c>
    </row>
    <row r="1592" spans="2:11" x14ac:dyDescent="0.25">
      <c r="B1592" s="191"/>
      <c r="C1592" s="191"/>
      <c r="D1592" s="192" t="s">
        <v>3916</v>
      </c>
      <c r="E1592" t="s">
        <v>3917</v>
      </c>
      <c r="F1592" s="192" t="s">
        <v>789</v>
      </c>
      <c r="G1592" s="192" t="s">
        <v>3630</v>
      </c>
      <c r="H1592" s="192" t="s">
        <v>3624</v>
      </c>
      <c r="I1592" t="s">
        <v>3414</v>
      </c>
      <c r="J1592" t="s">
        <v>865</v>
      </c>
      <c r="K1592" t="s">
        <v>797</v>
      </c>
    </row>
    <row r="1593" spans="2:11" x14ac:dyDescent="0.25">
      <c r="B1593" s="191" t="s">
        <v>3918</v>
      </c>
      <c r="C1593" s="191"/>
      <c r="D1593" s="192"/>
      <c r="E1593" s="185" t="s">
        <v>3919</v>
      </c>
      <c r="F1593" s="192" t="s">
        <v>789</v>
      </c>
      <c r="G1593" s="192" t="s">
        <v>790</v>
      </c>
      <c r="H1593" s="192" t="s">
        <v>790</v>
      </c>
      <c r="I1593" t="s">
        <v>3414</v>
      </c>
      <c r="J1593" t="s">
        <v>865</v>
      </c>
    </row>
    <row r="1594" spans="2:11" x14ac:dyDescent="0.25">
      <c r="B1594" s="191"/>
      <c r="C1594" s="191" t="s">
        <v>3920</v>
      </c>
      <c r="D1594" s="192"/>
      <c r="E1594" s="185" t="s">
        <v>3921</v>
      </c>
      <c r="F1594" s="192" t="s">
        <v>789</v>
      </c>
      <c r="G1594" s="192" t="s">
        <v>790</v>
      </c>
      <c r="H1594" s="192" t="s">
        <v>790</v>
      </c>
      <c r="I1594" t="s">
        <v>3414</v>
      </c>
      <c r="J1594" t="s">
        <v>865</v>
      </c>
    </row>
    <row r="1595" spans="2:11" x14ac:dyDescent="0.25">
      <c r="B1595" s="191"/>
      <c r="C1595" s="191" t="s">
        <v>3922</v>
      </c>
      <c r="D1595" s="192"/>
      <c r="E1595" s="185" t="s">
        <v>3923</v>
      </c>
      <c r="F1595" s="192" t="s">
        <v>789</v>
      </c>
      <c r="G1595" s="192" t="s">
        <v>790</v>
      </c>
      <c r="H1595" s="192" t="s">
        <v>790</v>
      </c>
      <c r="I1595" t="s">
        <v>3414</v>
      </c>
    </row>
    <row r="1596" spans="2:11" x14ac:dyDescent="0.25">
      <c r="B1596" s="191"/>
      <c r="C1596" s="191" t="s">
        <v>3924</v>
      </c>
      <c r="D1596" s="192"/>
      <c r="E1596" s="185" t="s">
        <v>3925</v>
      </c>
      <c r="F1596" s="192" t="s">
        <v>789</v>
      </c>
      <c r="G1596" s="192" t="s">
        <v>790</v>
      </c>
      <c r="H1596" s="192" t="s">
        <v>790</v>
      </c>
      <c r="I1596" t="s">
        <v>3414</v>
      </c>
    </row>
    <row r="1597" spans="2:11" x14ac:dyDescent="0.25">
      <c r="B1597" s="191"/>
      <c r="C1597" s="191"/>
      <c r="D1597" s="192" t="s">
        <v>3926</v>
      </c>
      <c r="E1597" t="s">
        <v>3927</v>
      </c>
      <c r="F1597" s="192" t="s">
        <v>789</v>
      </c>
      <c r="G1597" s="192" t="s">
        <v>3675</v>
      </c>
      <c r="H1597" s="192" t="s">
        <v>3624</v>
      </c>
      <c r="I1597" t="s">
        <v>3414</v>
      </c>
      <c r="J1597" t="s">
        <v>865</v>
      </c>
      <c r="K1597" t="s">
        <v>797</v>
      </c>
    </row>
    <row r="1598" spans="2:11" x14ac:dyDescent="0.25">
      <c r="B1598" s="191"/>
      <c r="C1598" s="191"/>
      <c r="D1598" s="192" t="s">
        <v>3928</v>
      </c>
      <c r="E1598" t="s">
        <v>3929</v>
      </c>
      <c r="F1598" s="192" t="s">
        <v>789</v>
      </c>
      <c r="G1598" s="192" t="s">
        <v>3623</v>
      </c>
      <c r="H1598" s="192" t="s">
        <v>3624</v>
      </c>
      <c r="I1598" t="s">
        <v>3414</v>
      </c>
      <c r="J1598" t="s">
        <v>865</v>
      </c>
      <c r="K1598" t="s">
        <v>797</v>
      </c>
    </row>
    <row r="1599" spans="2:11" x14ac:dyDescent="0.25">
      <c r="B1599" s="191"/>
      <c r="C1599" s="191"/>
      <c r="D1599" s="194" t="s">
        <v>3930</v>
      </c>
      <c r="E1599" t="s">
        <v>3931</v>
      </c>
      <c r="F1599" s="192" t="s">
        <v>789</v>
      </c>
      <c r="G1599" s="192" t="s">
        <v>3627</v>
      </c>
      <c r="H1599" s="192" t="s">
        <v>3624</v>
      </c>
      <c r="I1599" t="s">
        <v>3414</v>
      </c>
      <c r="J1599" t="s">
        <v>865</v>
      </c>
      <c r="K1599" t="s">
        <v>797</v>
      </c>
    </row>
    <row r="1600" spans="2:11" x14ac:dyDescent="0.25">
      <c r="B1600" s="191"/>
      <c r="C1600" s="191"/>
      <c r="D1600" s="192" t="s">
        <v>3932</v>
      </c>
      <c r="E1600" t="s">
        <v>3933</v>
      </c>
      <c r="F1600" s="192" t="s">
        <v>789</v>
      </c>
      <c r="G1600" s="192" t="s">
        <v>3630</v>
      </c>
      <c r="H1600" s="192" t="s">
        <v>3624</v>
      </c>
      <c r="I1600" t="s">
        <v>3414</v>
      </c>
      <c r="J1600" t="s">
        <v>865</v>
      </c>
      <c r="K1600" t="s">
        <v>797</v>
      </c>
    </row>
    <row r="1601" spans="2:11" x14ac:dyDescent="0.25">
      <c r="B1601" s="191"/>
      <c r="C1601" s="191" t="s">
        <v>3934</v>
      </c>
      <c r="D1601" s="192"/>
      <c r="E1601" s="185" t="s">
        <v>3935</v>
      </c>
      <c r="F1601" s="192" t="s">
        <v>789</v>
      </c>
      <c r="G1601" s="192" t="s">
        <v>790</v>
      </c>
      <c r="H1601" s="192" t="s">
        <v>790</v>
      </c>
      <c r="I1601" t="s">
        <v>3414</v>
      </c>
    </row>
    <row r="1602" spans="2:11" x14ac:dyDescent="0.25">
      <c r="B1602" s="191"/>
      <c r="C1602" s="191"/>
      <c r="D1602" s="192" t="s">
        <v>3936</v>
      </c>
      <c r="E1602" t="s">
        <v>3937</v>
      </c>
      <c r="F1602" s="192" t="s">
        <v>789</v>
      </c>
      <c r="G1602" s="192" t="s">
        <v>3675</v>
      </c>
      <c r="H1602" s="192" t="s">
        <v>3624</v>
      </c>
      <c r="I1602" t="s">
        <v>3414</v>
      </c>
      <c r="J1602" t="s">
        <v>865</v>
      </c>
      <c r="K1602" t="s">
        <v>797</v>
      </c>
    </row>
    <row r="1603" spans="2:11" x14ac:dyDescent="0.25">
      <c r="B1603" s="191"/>
      <c r="C1603" s="191"/>
      <c r="D1603" s="192" t="s">
        <v>3938</v>
      </c>
      <c r="E1603" t="s">
        <v>3939</v>
      </c>
      <c r="F1603" s="192" t="s">
        <v>789</v>
      </c>
      <c r="G1603" s="192" t="s">
        <v>3623</v>
      </c>
      <c r="H1603" s="192" t="s">
        <v>3624</v>
      </c>
      <c r="I1603" t="s">
        <v>3414</v>
      </c>
      <c r="J1603" t="s">
        <v>865</v>
      </c>
      <c r="K1603" t="s">
        <v>797</v>
      </c>
    </row>
    <row r="1604" spans="2:11" x14ac:dyDescent="0.25">
      <c r="B1604" s="191"/>
      <c r="C1604" s="191"/>
      <c r="D1604" s="192" t="s">
        <v>3940</v>
      </c>
      <c r="E1604" t="s">
        <v>3941</v>
      </c>
      <c r="F1604" s="192" t="s">
        <v>789</v>
      </c>
      <c r="G1604" s="192" t="s">
        <v>3627</v>
      </c>
      <c r="H1604" s="192" t="s">
        <v>3624</v>
      </c>
      <c r="I1604" t="s">
        <v>3414</v>
      </c>
      <c r="J1604" t="s">
        <v>865</v>
      </c>
      <c r="K1604" t="s">
        <v>797</v>
      </c>
    </row>
    <row r="1605" spans="2:11" x14ac:dyDescent="0.25">
      <c r="B1605" s="191"/>
      <c r="C1605" s="191"/>
      <c r="D1605" s="192" t="s">
        <v>3942</v>
      </c>
      <c r="E1605" t="s">
        <v>3943</v>
      </c>
      <c r="F1605" s="192" t="s">
        <v>789</v>
      </c>
      <c r="G1605" s="192" t="s">
        <v>3630</v>
      </c>
      <c r="H1605" s="192" t="s">
        <v>3624</v>
      </c>
      <c r="I1605" t="s">
        <v>3414</v>
      </c>
      <c r="J1605" t="s">
        <v>865</v>
      </c>
      <c r="K1605" t="s">
        <v>797</v>
      </c>
    </row>
    <row r="1606" spans="2:11" x14ac:dyDescent="0.25">
      <c r="B1606" s="191"/>
      <c r="C1606" s="191" t="s">
        <v>3944</v>
      </c>
      <c r="D1606" s="192"/>
      <c r="E1606" s="185" t="s">
        <v>3945</v>
      </c>
      <c r="F1606" s="192" t="s">
        <v>789</v>
      </c>
      <c r="G1606" s="192" t="s">
        <v>790</v>
      </c>
      <c r="H1606" s="192" t="s">
        <v>790</v>
      </c>
      <c r="I1606" t="s">
        <v>3414</v>
      </c>
    </row>
    <row r="1607" spans="2:11" x14ac:dyDescent="0.25">
      <c r="B1607" s="191"/>
      <c r="C1607" s="191"/>
      <c r="D1607" s="192" t="s">
        <v>3946</v>
      </c>
      <c r="E1607" t="s">
        <v>3947</v>
      </c>
      <c r="F1607" s="192" t="s">
        <v>789</v>
      </c>
      <c r="G1607" s="192" t="s">
        <v>3675</v>
      </c>
      <c r="H1607" s="192" t="s">
        <v>3624</v>
      </c>
      <c r="I1607" t="s">
        <v>3414</v>
      </c>
      <c r="J1607" t="s">
        <v>865</v>
      </c>
      <c r="K1607" t="s">
        <v>797</v>
      </c>
    </row>
    <row r="1608" spans="2:11" x14ac:dyDescent="0.25">
      <c r="B1608" s="191"/>
      <c r="C1608" s="191"/>
      <c r="D1608" s="192" t="s">
        <v>3948</v>
      </c>
      <c r="E1608" t="s">
        <v>3949</v>
      </c>
      <c r="F1608" s="192" t="s">
        <v>789</v>
      </c>
      <c r="G1608" s="192" t="s">
        <v>3623</v>
      </c>
      <c r="H1608" s="192" t="s">
        <v>3624</v>
      </c>
      <c r="I1608" t="s">
        <v>3414</v>
      </c>
      <c r="J1608" t="s">
        <v>865</v>
      </c>
      <c r="K1608" t="s">
        <v>797</v>
      </c>
    </row>
    <row r="1609" spans="2:11" x14ac:dyDescent="0.25">
      <c r="B1609" s="191"/>
      <c r="C1609" s="191"/>
      <c r="D1609" s="192" t="s">
        <v>3950</v>
      </c>
      <c r="E1609" t="s">
        <v>3951</v>
      </c>
      <c r="F1609" s="192" t="s">
        <v>789</v>
      </c>
      <c r="G1609" s="192" t="s">
        <v>3627</v>
      </c>
      <c r="H1609" s="192" t="s">
        <v>3624</v>
      </c>
      <c r="I1609" t="s">
        <v>3414</v>
      </c>
      <c r="J1609" t="s">
        <v>865</v>
      </c>
      <c r="K1609" t="s">
        <v>797</v>
      </c>
    </row>
    <row r="1610" spans="2:11" x14ac:dyDescent="0.25">
      <c r="B1610" s="191"/>
      <c r="C1610" s="191"/>
      <c r="D1610" s="192" t="s">
        <v>3952</v>
      </c>
      <c r="E1610" t="s">
        <v>3953</v>
      </c>
      <c r="F1610" s="192" t="s">
        <v>789</v>
      </c>
      <c r="G1610" s="192" t="s">
        <v>3630</v>
      </c>
      <c r="H1610" s="192" t="s">
        <v>3624</v>
      </c>
      <c r="I1610" t="s">
        <v>3414</v>
      </c>
      <c r="J1610" t="s">
        <v>865</v>
      </c>
      <c r="K1610" t="s">
        <v>797</v>
      </c>
    </row>
    <row r="1611" spans="2:11" x14ac:dyDescent="0.25">
      <c r="B1611" s="191"/>
      <c r="C1611" s="191" t="s">
        <v>3954</v>
      </c>
      <c r="D1611" s="192"/>
      <c r="E1611" s="185" t="s">
        <v>3955</v>
      </c>
      <c r="F1611" s="192" t="s">
        <v>789</v>
      </c>
      <c r="G1611" s="192" t="s">
        <v>790</v>
      </c>
      <c r="H1611" s="192" t="s">
        <v>790</v>
      </c>
      <c r="I1611" t="s">
        <v>3414</v>
      </c>
    </row>
    <row r="1612" spans="2:11" x14ac:dyDescent="0.25">
      <c r="B1612" s="191"/>
      <c r="C1612" s="191"/>
      <c r="D1612" s="192" t="s">
        <v>3956</v>
      </c>
      <c r="E1612" t="s">
        <v>3957</v>
      </c>
      <c r="F1612" s="192" t="s">
        <v>789</v>
      </c>
      <c r="G1612" s="192" t="s">
        <v>3675</v>
      </c>
      <c r="H1612" s="192" t="s">
        <v>3624</v>
      </c>
      <c r="I1612" t="s">
        <v>3414</v>
      </c>
      <c r="J1612" t="s">
        <v>865</v>
      </c>
      <c r="K1612" t="s">
        <v>797</v>
      </c>
    </row>
    <row r="1613" spans="2:11" x14ac:dyDescent="0.25">
      <c r="B1613" s="191"/>
      <c r="C1613" s="191"/>
      <c r="D1613" s="192" t="s">
        <v>3958</v>
      </c>
      <c r="E1613" t="s">
        <v>3959</v>
      </c>
      <c r="F1613" s="192" t="s">
        <v>789</v>
      </c>
      <c r="G1613" s="192" t="s">
        <v>3623</v>
      </c>
      <c r="H1613" s="192" t="s">
        <v>3624</v>
      </c>
      <c r="I1613" t="s">
        <v>3414</v>
      </c>
      <c r="J1613" t="s">
        <v>865</v>
      </c>
      <c r="K1613" t="s">
        <v>797</v>
      </c>
    </row>
    <row r="1614" spans="2:11" x14ac:dyDescent="0.25">
      <c r="B1614" s="191"/>
      <c r="C1614" s="191"/>
      <c r="D1614" s="192" t="s">
        <v>3960</v>
      </c>
      <c r="E1614" t="s">
        <v>3961</v>
      </c>
      <c r="F1614" s="192" t="s">
        <v>789</v>
      </c>
      <c r="G1614" s="192" t="s">
        <v>3627</v>
      </c>
      <c r="H1614" s="192" t="s">
        <v>3624</v>
      </c>
      <c r="I1614" t="s">
        <v>3414</v>
      </c>
      <c r="J1614" t="s">
        <v>865</v>
      </c>
      <c r="K1614" t="s">
        <v>797</v>
      </c>
    </row>
    <row r="1615" spans="2:11" x14ac:dyDescent="0.25">
      <c r="B1615" s="191"/>
      <c r="C1615" s="191"/>
      <c r="D1615" s="192" t="s">
        <v>3962</v>
      </c>
      <c r="E1615" t="s">
        <v>3963</v>
      </c>
      <c r="F1615" s="192" t="s">
        <v>789</v>
      </c>
      <c r="G1615" s="192" t="s">
        <v>3630</v>
      </c>
      <c r="H1615" s="192" t="s">
        <v>3624</v>
      </c>
      <c r="I1615" t="s">
        <v>3414</v>
      </c>
      <c r="J1615" t="s">
        <v>865</v>
      </c>
      <c r="K1615" t="s">
        <v>797</v>
      </c>
    </row>
    <row r="1616" spans="2:11" x14ac:dyDescent="0.25">
      <c r="B1616" s="191"/>
      <c r="C1616" s="191" t="s">
        <v>3964</v>
      </c>
      <c r="D1616" s="192"/>
      <c r="E1616" s="185" t="s">
        <v>3965</v>
      </c>
      <c r="F1616" s="192" t="s">
        <v>789</v>
      </c>
      <c r="G1616" s="192" t="s">
        <v>790</v>
      </c>
      <c r="H1616" s="192" t="s">
        <v>790</v>
      </c>
      <c r="I1616" t="s">
        <v>3414</v>
      </c>
    </row>
    <row r="1617" spans="2:11" x14ac:dyDescent="0.25">
      <c r="B1617" s="191"/>
      <c r="C1617" s="191"/>
      <c r="D1617" s="192" t="s">
        <v>3966</v>
      </c>
      <c r="E1617" t="s">
        <v>3967</v>
      </c>
      <c r="F1617" s="192" t="s">
        <v>789</v>
      </c>
      <c r="G1617" s="192" t="s">
        <v>3675</v>
      </c>
      <c r="H1617" s="192" t="s">
        <v>3624</v>
      </c>
      <c r="I1617" t="s">
        <v>3414</v>
      </c>
      <c r="J1617" t="s">
        <v>865</v>
      </c>
      <c r="K1617" t="s">
        <v>797</v>
      </c>
    </row>
    <row r="1618" spans="2:11" x14ac:dyDescent="0.25">
      <c r="B1618" s="191"/>
      <c r="C1618" s="191"/>
      <c r="D1618" s="192" t="s">
        <v>3968</v>
      </c>
      <c r="E1618" t="s">
        <v>3969</v>
      </c>
      <c r="F1618" s="192" t="s">
        <v>789</v>
      </c>
      <c r="G1618" s="192" t="s">
        <v>3623</v>
      </c>
      <c r="H1618" s="192" t="s">
        <v>3624</v>
      </c>
      <c r="I1618" t="s">
        <v>3414</v>
      </c>
      <c r="J1618" t="s">
        <v>865</v>
      </c>
      <c r="K1618" t="s">
        <v>797</v>
      </c>
    </row>
    <row r="1619" spans="2:11" x14ac:dyDescent="0.25">
      <c r="B1619" s="191"/>
      <c r="C1619" s="191"/>
      <c r="D1619" s="194" t="s">
        <v>3970</v>
      </c>
      <c r="E1619" t="s">
        <v>3971</v>
      </c>
      <c r="F1619" s="192" t="s">
        <v>789</v>
      </c>
      <c r="G1619" s="192" t="s">
        <v>3627</v>
      </c>
      <c r="H1619" s="192" t="s">
        <v>3624</v>
      </c>
      <c r="I1619" t="s">
        <v>3414</v>
      </c>
      <c r="J1619" t="s">
        <v>865</v>
      </c>
      <c r="K1619" t="s">
        <v>797</v>
      </c>
    </row>
    <row r="1620" spans="2:11" x14ac:dyDescent="0.25">
      <c r="B1620" s="191"/>
      <c r="C1620" s="191"/>
      <c r="D1620" s="192" t="s">
        <v>3972</v>
      </c>
      <c r="E1620" t="s">
        <v>3973</v>
      </c>
      <c r="F1620" s="192" t="s">
        <v>789</v>
      </c>
      <c r="G1620" s="192" t="s">
        <v>3630</v>
      </c>
      <c r="H1620" s="192" t="s">
        <v>3624</v>
      </c>
      <c r="I1620" t="s">
        <v>3414</v>
      </c>
      <c r="J1620" t="s">
        <v>865</v>
      </c>
      <c r="K1620" t="s">
        <v>797</v>
      </c>
    </row>
    <row r="1621" spans="2:11" x14ac:dyDescent="0.25">
      <c r="B1621" s="191"/>
      <c r="C1621" s="191" t="s">
        <v>3974</v>
      </c>
      <c r="D1621" s="192"/>
      <c r="E1621" s="185" t="s">
        <v>3975</v>
      </c>
      <c r="F1621" s="192" t="s">
        <v>789</v>
      </c>
      <c r="G1621" s="192" t="s">
        <v>790</v>
      </c>
      <c r="H1621" s="192" t="s">
        <v>790</v>
      </c>
      <c r="I1621" t="s">
        <v>3414</v>
      </c>
    </row>
    <row r="1622" spans="2:11" x14ac:dyDescent="0.25">
      <c r="B1622" s="191"/>
      <c r="C1622" s="191"/>
      <c r="D1622" s="192" t="s">
        <v>3976</v>
      </c>
      <c r="E1622" t="s">
        <v>3977</v>
      </c>
      <c r="F1622" s="192" t="s">
        <v>789</v>
      </c>
      <c r="G1622" s="192" t="s">
        <v>3675</v>
      </c>
      <c r="H1622" s="192" t="s">
        <v>3624</v>
      </c>
      <c r="I1622" t="s">
        <v>3414</v>
      </c>
      <c r="J1622" t="s">
        <v>865</v>
      </c>
      <c r="K1622" t="s">
        <v>797</v>
      </c>
    </row>
    <row r="1623" spans="2:11" x14ac:dyDescent="0.25">
      <c r="B1623" s="191"/>
      <c r="C1623" s="191"/>
      <c r="D1623" s="192" t="s">
        <v>3978</v>
      </c>
      <c r="E1623" t="s">
        <v>3979</v>
      </c>
      <c r="F1623" s="192" t="s">
        <v>789</v>
      </c>
      <c r="G1623" s="192" t="s">
        <v>3623</v>
      </c>
      <c r="H1623" s="192" t="s">
        <v>3624</v>
      </c>
      <c r="I1623" t="s">
        <v>3414</v>
      </c>
      <c r="J1623" t="s">
        <v>865</v>
      </c>
      <c r="K1623" t="s">
        <v>797</v>
      </c>
    </row>
    <row r="1624" spans="2:11" x14ac:dyDescent="0.25">
      <c r="B1624" s="191"/>
      <c r="C1624" s="191"/>
      <c r="D1624" s="192" t="s">
        <v>3980</v>
      </c>
      <c r="E1624" t="s">
        <v>3981</v>
      </c>
      <c r="F1624" s="192" t="s">
        <v>789</v>
      </c>
      <c r="G1624" s="192" t="s">
        <v>3627</v>
      </c>
      <c r="H1624" s="192" t="s">
        <v>3624</v>
      </c>
      <c r="I1624" t="s">
        <v>3414</v>
      </c>
      <c r="J1624" t="s">
        <v>865</v>
      </c>
      <c r="K1624" t="s">
        <v>797</v>
      </c>
    </row>
    <row r="1625" spans="2:11" x14ac:dyDescent="0.25">
      <c r="B1625" s="191"/>
      <c r="C1625" s="191"/>
      <c r="D1625" s="192" t="s">
        <v>3982</v>
      </c>
      <c r="E1625" t="s">
        <v>3983</v>
      </c>
      <c r="F1625" s="192" t="s">
        <v>789</v>
      </c>
      <c r="G1625" s="192" t="s">
        <v>3630</v>
      </c>
      <c r="H1625" s="192" t="s">
        <v>3624</v>
      </c>
      <c r="I1625" t="s">
        <v>3414</v>
      </c>
      <c r="J1625" t="s">
        <v>865</v>
      </c>
      <c r="K1625" t="s">
        <v>797</v>
      </c>
    </row>
    <row r="1626" spans="2:11" x14ac:dyDescent="0.25">
      <c r="B1626" s="191"/>
      <c r="C1626" s="191" t="s">
        <v>3984</v>
      </c>
      <c r="D1626" s="192"/>
      <c r="E1626" s="185" t="s">
        <v>3985</v>
      </c>
      <c r="F1626" s="192" t="s">
        <v>789</v>
      </c>
      <c r="G1626" s="192" t="s">
        <v>790</v>
      </c>
      <c r="H1626" s="192" t="s">
        <v>790</v>
      </c>
      <c r="I1626" t="s">
        <v>3414</v>
      </c>
      <c r="J1626" t="s">
        <v>865</v>
      </c>
    </row>
    <row r="1627" spans="2:11" x14ac:dyDescent="0.25">
      <c r="B1627" s="191"/>
      <c r="C1627" s="191" t="s">
        <v>3986</v>
      </c>
      <c r="D1627" s="192"/>
      <c r="E1627" s="185" t="s">
        <v>3987</v>
      </c>
      <c r="F1627" s="192" t="s">
        <v>789</v>
      </c>
      <c r="G1627" s="192" t="s">
        <v>790</v>
      </c>
      <c r="H1627" s="192" t="s">
        <v>790</v>
      </c>
      <c r="I1627" t="s">
        <v>3414</v>
      </c>
    </row>
    <row r="1628" spans="2:11" x14ac:dyDescent="0.25">
      <c r="B1628" s="191"/>
      <c r="C1628" s="191"/>
      <c r="D1628" s="192" t="s">
        <v>3988</v>
      </c>
      <c r="E1628" t="s">
        <v>3989</v>
      </c>
      <c r="F1628" s="192" t="s">
        <v>789</v>
      </c>
      <c r="G1628" s="192" t="s">
        <v>3675</v>
      </c>
      <c r="H1628" s="192" t="s">
        <v>3624</v>
      </c>
      <c r="I1628" t="s">
        <v>3414</v>
      </c>
      <c r="J1628" t="s">
        <v>865</v>
      </c>
      <c r="K1628" t="s">
        <v>797</v>
      </c>
    </row>
    <row r="1629" spans="2:11" x14ac:dyDescent="0.25">
      <c r="B1629" s="191"/>
      <c r="C1629" s="191"/>
      <c r="D1629" s="192" t="s">
        <v>3990</v>
      </c>
      <c r="E1629" t="s">
        <v>3991</v>
      </c>
      <c r="F1629" s="192" t="s">
        <v>789</v>
      </c>
      <c r="G1629" s="192" t="s">
        <v>3623</v>
      </c>
      <c r="H1629" s="192" t="s">
        <v>3624</v>
      </c>
      <c r="I1629" t="s">
        <v>3414</v>
      </c>
      <c r="J1629" t="s">
        <v>865</v>
      </c>
      <c r="K1629" t="s">
        <v>797</v>
      </c>
    </row>
    <row r="1630" spans="2:11" x14ac:dyDescent="0.25">
      <c r="B1630" s="191"/>
      <c r="C1630" s="191"/>
      <c r="D1630" s="192" t="s">
        <v>3992</v>
      </c>
      <c r="E1630" t="s">
        <v>3993</v>
      </c>
      <c r="F1630" s="192" t="s">
        <v>789</v>
      </c>
      <c r="G1630" s="192" t="s">
        <v>3627</v>
      </c>
      <c r="H1630" s="192" t="s">
        <v>3624</v>
      </c>
      <c r="I1630" t="s">
        <v>3414</v>
      </c>
      <c r="J1630" t="s">
        <v>865</v>
      </c>
      <c r="K1630" t="s">
        <v>797</v>
      </c>
    </row>
    <row r="1631" spans="2:11" x14ac:dyDescent="0.25">
      <c r="B1631" s="191"/>
      <c r="C1631" s="191"/>
      <c r="D1631" s="192" t="s">
        <v>3994</v>
      </c>
      <c r="E1631" t="s">
        <v>3995</v>
      </c>
      <c r="F1631" s="192" t="s">
        <v>789</v>
      </c>
      <c r="G1631" s="192" t="s">
        <v>3630</v>
      </c>
      <c r="H1631" s="192" t="s">
        <v>3624</v>
      </c>
      <c r="I1631" t="s">
        <v>3414</v>
      </c>
      <c r="J1631" t="s">
        <v>865</v>
      </c>
      <c r="K1631" t="s">
        <v>797</v>
      </c>
    </row>
    <row r="1632" spans="2:11" x14ac:dyDescent="0.25">
      <c r="B1632" s="191"/>
      <c r="C1632" s="191" t="s">
        <v>3996</v>
      </c>
      <c r="D1632" s="192"/>
      <c r="E1632" s="185" t="s">
        <v>3997</v>
      </c>
      <c r="F1632" s="192" t="s">
        <v>789</v>
      </c>
      <c r="G1632" s="192" t="s">
        <v>790</v>
      </c>
      <c r="H1632" s="192" t="s">
        <v>790</v>
      </c>
      <c r="I1632" t="s">
        <v>3414</v>
      </c>
    </row>
    <row r="1633" spans="2:11" x14ac:dyDescent="0.25">
      <c r="B1633" s="191"/>
      <c r="C1633" s="191"/>
      <c r="D1633" s="192" t="s">
        <v>3998</v>
      </c>
      <c r="E1633" t="s">
        <v>3999</v>
      </c>
      <c r="F1633" s="192" t="s">
        <v>789</v>
      </c>
      <c r="G1633" s="192" t="s">
        <v>3675</v>
      </c>
      <c r="H1633" s="192" t="s">
        <v>3624</v>
      </c>
      <c r="I1633" t="s">
        <v>3414</v>
      </c>
      <c r="J1633" t="s">
        <v>865</v>
      </c>
      <c r="K1633" t="s">
        <v>797</v>
      </c>
    </row>
    <row r="1634" spans="2:11" x14ac:dyDescent="0.25">
      <c r="B1634" s="191"/>
      <c r="C1634" s="191"/>
      <c r="D1634" s="192" t="s">
        <v>4000</v>
      </c>
      <c r="E1634" t="s">
        <v>4001</v>
      </c>
      <c r="F1634" s="192" t="s">
        <v>789</v>
      </c>
      <c r="G1634" s="192" t="s">
        <v>3623</v>
      </c>
      <c r="H1634" s="192" t="s">
        <v>3624</v>
      </c>
      <c r="I1634" t="s">
        <v>3414</v>
      </c>
      <c r="J1634" t="s">
        <v>865</v>
      </c>
      <c r="K1634" t="s">
        <v>797</v>
      </c>
    </row>
    <row r="1635" spans="2:11" x14ac:dyDescent="0.25">
      <c r="B1635" s="191"/>
      <c r="C1635" s="191"/>
      <c r="D1635" s="192" t="s">
        <v>4002</v>
      </c>
      <c r="E1635" t="s">
        <v>4003</v>
      </c>
      <c r="F1635" s="192" t="s">
        <v>789</v>
      </c>
      <c r="G1635" s="192" t="s">
        <v>3627</v>
      </c>
      <c r="H1635" s="192" t="s">
        <v>3624</v>
      </c>
      <c r="I1635" t="s">
        <v>3414</v>
      </c>
      <c r="J1635" t="s">
        <v>865</v>
      </c>
      <c r="K1635" t="s">
        <v>797</v>
      </c>
    </row>
    <row r="1636" spans="2:11" x14ac:dyDescent="0.25">
      <c r="B1636" s="191"/>
      <c r="C1636" s="191"/>
      <c r="D1636" s="192" t="s">
        <v>4004</v>
      </c>
      <c r="E1636" t="s">
        <v>4005</v>
      </c>
      <c r="F1636" s="192" t="s">
        <v>789</v>
      </c>
      <c r="G1636" s="192" t="s">
        <v>3630</v>
      </c>
      <c r="H1636" s="192" t="s">
        <v>3624</v>
      </c>
      <c r="I1636" t="s">
        <v>3414</v>
      </c>
      <c r="J1636" t="s">
        <v>865</v>
      </c>
      <c r="K1636" t="s">
        <v>797</v>
      </c>
    </row>
    <row r="1637" spans="2:11" x14ac:dyDescent="0.25">
      <c r="B1637" s="191"/>
      <c r="C1637" s="191" t="s">
        <v>4006</v>
      </c>
      <c r="D1637" s="192"/>
      <c r="E1637" s="185" t="s">
        <v>4007</v>
      </c>
      <c r="F1637" s="192" t="s">
        <v>789</v>
      </c>
      <c r="G1637" s="192" t="s">
        <v>790</v>
      </c>
      <c r="H1637" s="192" t="s">
        <v>790</v>
      </c>
      <c r="I1637" t="s">
        <v>3414</v>
      </c>
    </row>
    <row r="1638" spans="2:11" x14ac:dyDescent="0.25">
      <c r="B1638" s="191"/>
      <c r="C1638" s="191"/>
      <c r="D1638" s="192" t="s">
        <v>4008</v>
      </c>
      <c r="E1638" t="s">
        <v>4009</v>
      </c>
      <c r="F1638" s="192" t="s">
        <v>789</v>
      </c>
      <c r="G1638" s="192" t="s">
        <v>3675</v>
      </c>
      <c r="H1638" s="192" t="s">
        <v>3624</v>
      </c>
      <c r="I1638" t="s">
        <v>3414</v>
      </c>
      <c r="J1638" t="s">
        <v>865</v>
      </c>
      <c r="K1638" t="s">
        <v>797</v>
      </c>
    </row>
    <row r="1639" spans="2:11" x14ac:dyDescent="0.25">
      <c r="B1639" s="191"/>
      <c r="C1639" s="191"/>
      <c r="D1639" s="192" t="s">
        <v>4010</v>
      </c>
      <c r="E1639" t="s">
        <v>4011</v>
      </c>
      <c r="F1639" s="192" t="s">
        <v>789</v>
      </c>
      <c r="G1639" s="192" t="s">
        <v>3623</v>
      </c>
      <c r="H1639" s="192" t="s">
        <v>3624</v>
      </c>
      <c r="I1639" t="s">
        <v>3414</v>
      </c>
      <c r="J1639" t="s">
        <v>865</v>
      </c>
      <c r="K1639" t="s">
        <v>797</v>
      </c>
    </row>
    <row r="1640" spans="2:11" x14ac:dyDescent="0.25">
      <c r="B1640" s="191"/>
      <c r="C1640" s="191"/>
      <c r="D1640" s="192" t="s">
        <v>4012</v>
      </c>
      <c r="E1640" t="s">
        <v>4013</v>
      </c>
      <c r="F1640" s="192" t="s">
        <v>789</v>
      </c>
      <c r="G1640" s="192" t="s">
        <v>3627</v>
      </c>
      <c r="H1640" s="192" t="s">
        <v>3624</v>
      </c>
      <c r="I1640" t="s">
        <v>3414</v>
      </c>
      <c r="J1640" t="s">
        <v>865</v>
      </c>
      <c r="K1640" t="s">
        <v>797</v>
      </c>
    </row>
    <row r="1641" spans="2:11" x14ac:dyDescent="0.25">
      <c r="B1641" s="191"/>
      <c r="C1641" s="191"/>
      <c r="D1641" s="192" t="s">
        <v>4014</v>
      </c>
      <c r="E1641" t="s">
        <v>4015</v>
      </c>
      <c r="F1641" s="192" t="s">
        <v>789</v>
      </c>
      <c r="G1641" s="192" t="s">
        <v>3630</v>
      </c>
      <c r="H1641" s="192" t="s">
        <v>3624</v>
      </c>
      <c r="I1641" t="s">
        <v>3414</v>
      </c>
      <c r="J1641" t="s">
        <v>865</v>
      </c>
      <c r="K1641" t="s">
        <v>797</v>
      </c>
    </row>
    <row r="1642" spans="2:11" x14ac:dyDescent="0.25">
      <c r="B1642" s="191"/>
      <c r="C1642" s="191" t="s">
        <v>4016</v>
      </c>
      <c r="D1642" s="192"/>
      <c r="E1642" s="185" t="s">
        <v>4017</v>
      </c>
      <c r="F1642" s="192" t="s">
        <v>789</v>
      </c>
      <c r="G1642" s="192" t="s">
        <v>790</v>
      </c>
      <c r="H1642" s="192" t="s">
        <v>790</v>
      </c>
      <c r="I1642" t="s">
        <v>3414</v>
      </c>
    </row>
    <row r="1643" spans="2:11" x14ac:dyDescent="0.25">
      <c r="B1643" s="191"/>
      <c r="C1643" s="191"/>
      <c r="D1643" s="192" t="s">
        <v>4018</v>
      </c>
      <c r="E1643" t="s">
        <v>4019</v>
      </c>
      <c r="F1643" s="192" t="s">
        <v>789</v>
      </c>
      <c r="G1643" s="192" t="s">
        <v>3675</v>
      </c>
      <c r="H1643" s="192" t="s">
        <v>3624</v>
      </c>
      <c r="I1643" t="s">
        <v>3414</v>
      </c>
      <c r="J1643" t="s">
        <v>865</v>
      </c>
      <c r="K1643" t="s">
        <v>797</v>
      </c>
    </row>
    <row r="1644" spans="2:11" x14ac:dyDescent="0.25">
      <c r="B1644" s="191"/>
      <c r="C1644" s="191"/>
      <c r="D1644" s="192" t="s">
        <v>4020</v>
      </c>
      <c r="E1644" t="s">
        <v>4021</v>
      </c>
      <c r="F1644" s="192" t="s">
        <v>789</v>
      </c>
      <c r="G1644" s="192" t="s">
        <v>3623</v>
      </c>
      <c r="H1644" s="192" t="s">
        <v>3624</v>
      </c>
      <c r="I1644" t="s">
        <v>3414</v>
      </c>
      <c r="J1644" t="s">
        <v>865</v>
      </c>
      <c r="K1644" t="s">
        <v>797</v>
      </c>
    </row>
    <row r="1645" spans="2:11" x14ac:dyDescent="0.25">
      <c r="B1645" s="191"/>
      <c r="C1645" s="191"/>
      <c r="D1645" s="192" t="s">
        <v>4022</v>
      </c>
      <c r="E1645" t="s">
        <v>4023</v>
      </c>
      <c r="F1645" s="192" t="s">
        <v>789</v>
      </c>
      <c r="G1645" s="192" t="s">
        <v>3627</v>
      </c>
      <c r="H1645" s="192" t="s">
        <v>3624</v>
      </c>
      <c r="I1645" t="s">
        <v>3414</v>
      </c>
      <c r="J1645" t="s">
        <v>865</v>
      </c>
      <c r="K1645" t="s">
        <v>797</v>
      </c>
    </row>
    <row r="1646" spans="2:11" x14ac:dyDescent="0.25">
      <c r="B1646" s="191"/>
      <c r="C1646" s="191"/>
      <c r="D1646" s="192" t="s">
        <v>4024</v>
      </c>
      <c r="E1646" t="s">
        <v>4025</v>
      </c>
      <c r="F1646" s="192" t="s">
        <v>789</v>
      </c>
      <c r="G1646" s="192" t="s">
        <v>3630</v>
      </c>
      <c r="H1646" s="192" t="s">
        <v>3624</v>
      </c>
      <c r="I1646" t="s">
        <v>3414</v>
      </c>
      <c r="J1646" t="s">
        <v>865</v>
      </c>
      <c r="K1646" t="s">
        <v>797</v>
      </c>
    </row>
    <row r="1647" spans="2:11" x14ac:dyDescent="0.25">
      <c r="B1647" s="191"/>
      <c r="C1647" s="191" t="s">
        <v>4026</v>
      </c>
      <c r="D1647" s="192"/>
      <c r="E1647" s="185" t="s">
        <v>4027</v>
      </c>
      <c r="F1647" s="192" t="s">
        <v>789</v>
      </c>
      <c r="G1647" s="192" t="s">
        <v>790</v>
      </c>
      <c r="H1647" s="192" t="s">
        <v>790</v>
      </c>
      <c r="I1647" t="s">
        <v>3414</v>
      </c>
    </row>
    <row r="1648" spans="2:11" x14ac:dyDescent="0.25">
      <c r="B1648" s="191"/>
      <c r="C1648" s="191"/>
      <c r="D1648" s="192" t="s">
        <v>4028</v>
      </c>
      <c r="E1648" t="s">
        <v>4029</v>
      </c>
      <c r="F1648" s="192" t="s">
        <v>789</v>
      </c>
      <c r="G1648" s="192" t="s">
        <v>3675</v>
      </c>
      <c r="H1648" s="192" t="s">
        <v>3624</v>
      </c>
      <c r="I1648" t="s">
        <v>3414</v>
      </c>
      <c r="J1648" t="s">
        <v>865</v>
      </c>
      <c r="K1648" t="s">
        <v>797</v>
      </c>
    </row>
    <row r="1649" spans="2:11" x14ac:dyDescent="0.25">
      <c r="B1649" s="191"/>
      <c r="C1649" s="191"/>
      <c r="D1649" s="192" t="s">
        <v>4030</v>
      </c>
      <c r="E1649" t="s">
        <v>4031</v>
      </c>
      <c r="F1649" s="192" t="s">
        <v>789</v>
      </c>
      <c r="G1649" s="192" t="s">
        <v>3623</v>
      </c>
      <c r="H1649" s="192" t="s">
        <v>3624</v>
      </c>
      <c r="I1649" t="s">
        <v>3414</v>
      </c>
      <c r="J1649" t="s">
        <v>865</v>
      </c>
      <c r="K1649" t="s">
        <v>797</v>
      </c>
    </row>
    <row r="1650" spans="2:11" x14ac:dyDescent="0.25">
      <c r="B1650" s="191"/>
      <c r="C1650" s="191"/>
      <c r="D1650" s="192" t="s">
        <v>4032</v>
      </c>
      <c r="E1650" t="s">
        <v>4033</v>
      </c>
      <c r="F1650" s="192" t="s">
        <v>789</v>
      </c>
      <c r="G1650" s="192" t="s">
        <v>3627</v>
      </c>
      <c r="H1650" s="192" t="s">
        <v>3624</v>
      </c>
      <c r="I1650" t="s">
        <v>3414</v>
      </c>
      <c r="J1650" t="s">
        <v>865</v>
      </c>
      <c r="K1650" t="s">
        <v>797</v>
      </c>
    </row>
    <row r="1651" spans="2:11" x14ac:dyDescent="0.25">
      <c r="B1651" s="191"/>
      <c r="C1651" s="191"/>
      <c r="D1651" s="192" t="s">
        <v>4034</v>
      </c>
      <c r="E1651" t="s">
        <v>4035</v>
      </c>
      <c r="F1651" s="192" t="s">
        <v>789</v>
      </c>
      <c r="G1651" s="192" t="s">
        <v>3630</v>
      </c>
      <c r="H1651" s="192" t="s">
        <v>3624</v>
      </c>
      <c r="I1651" t="s">
        <v>3414</v>
      </c>
      <c r="J1651" t="s">
        <v>865</v>
      </c>
      <c r="K1651" t="s">
        <v>797</v>
      </c>
    </row>
    <row r="1652" spans="2:11" x14ac:dyDescent="0.25">
      <c r="B1652" s="191"/>
      <c r="C1652" s="191" t="s">
        <v>4036</v>
      </c>
      <c r="D1652" s="192"/>
      <c r="E1652" s="185" t="s">
        <v>4037</v>
      </c>
      <c r="F1652" s="192" t="s">
        <v>789</v>
      </c>
      <c r="G1652" s="192" t="s">
        <v>790</v>
      </c>
      <c r="H1652" s="192" t="s">
        <v>790</v>
      </c>
      <c r="I1652" t="s">
        <v>3414</v>
      </c>
    </row>
    <row r="1653" spans="2:11" x14ac:dyDescent="0.25">
      <c r="B1653" s="191"/>
      <c r="C1653" s="191"/>
      <c r="D1653" s="192" t="s">
        <v>4038</v>
      </c>
      <c r="E1653" t="s">
        <v>4039</v>
      </c>
      <c r="F1653" s="192" t="s">
        <v>789</v>
      </c>
      <c r="G1653" s="192" t="s">
        <v>3675</v>
      </c>
      <c r="H1653" s="192" t="s">
        <v>3624</v>
      </c>
      <c r="I1653" t="s">
        <v>3414</v>
      </c>
      <c r="J1653" t="s">
        <v>865</v>
      </c>
      <c r="K1653" t="s">
        <v>797</v>
      </c>
    </row>
    <row r="1654" spans="2:11" x14ac:dyDescent="0.25">
      <c r="B1654" s="191"/>
      <c r="C1654" s="191"/>
      <c r="D1654" s="192" t="s">
        <v>4040</v>
      </c>
      <c r="E1654" t="s">
        <v>4041</v>
      </c>
      <c r="F1654" s="192" t="s">
        <v>789</v>
      </c>
      <c r="G1654" s="192" t="s">
        <v>3623</v>
      </c>
      <c r="H1654" s="192" t="s">
        <v>3624</v>
      </c>
      <c r="I1654" t="s">
        <v>3414</v>
      </c>
      <c r="J1654" t="s">
        <v>865</v>
      </c>
      <c r="K1654" t="s">
        <v>797</v>
      </c>
    </row>
    <row r="1655" spans="2:11" x14ac:dyDescent="0.25">
      <c r="B1655" s="191"/>
      <c r="C1655" s="191"/>
      <c r="D1655" s="192" t="s">
        <v>4042</v>
      </c>
      <c r="E1655" t="s">
        <v>4043</v>
      </c>
      <c r="F1655" s="192" t="s">
        <v>789</v>
      </c>
      <c r="G1655" s="192" t="s">
        <v>3627</v>
      </c>
      <c r="H1655" s="192" t="s">
        <v>3624</v>
      </c>
      <c r="I1655" t="s">
        <v>3414</v>
      </c>
      <c r="J1655" t="s">
        <v>865</v>
      </c>
      <c r="K1655" t="s">
        <v>797</v>
      </c>
    </row>
    <row r="1656" spans="2:11" x14ac:dyDescent="0.25">
      <c r="B1656" s="191"/>
      <c r="C1656" s="191"/>
      <c r="D1656" s="192" t="s">
        <v>4044</v>
      </c>
      <c r="E1656" t="s">
        <v>4045</v>
      </c>
      <c r="F1656" s="192" t="s">
        <v>789</v>
      </c>
      <c r="G1656" s="192" t="s">
        <v>3630</v>
      </c>
      <c r="H1656" s="192" t="s">
        <v>3624</v>
      </c>
      <c r="I1656" t="s">
        <v>3414</v>
      </c>
      <c r="J1656" t="s">
        <v>865</v>
      </c>
      <c r="K1656" t="s">
        <v>797</v>
      </c>
    </row>
    <row r="1657" spans="2:11" x14ac:dyDescent="0.25">
      <c r="B1657" s="191"/>
      <c r="C1657" s="191" t="s">
        <v>4046</v>
      </c>
      <c r="D1657" s="192"/>
      <c r="E1657" s="185" t="s">
        <v>4047</v>
      </c>
      <c r="F1657" s="192" t="s">
        <v>789</v>
      </c>
      <c r="G1657" s="192" t="s">
        <v>790</v>
      </c>
      <c r="H1657" s="192" t="s">
        <v>790</v>
      </c>
      <c r="I1657" t="s">
        <v>3414</v>
      </c>
    </row>
    <row r="1658" spans="2:11" x14ac:dyDescent="0.25">
      <c r="B1658" s="191"/>
      <c r="C1658" s="191"/>
      <c r="D1658" s="192" t="s">
        <v>4048</v>
      </c>
      <c r="E1658" t="s">
        <v>4049</v>
      </c>
      <c r="F1658" s="192" t="s">
        <v>789</v>
      </c>
      <c r="G1658" s="192" t="s">
        <v>3675</v>
      </c>
      <c r="H1658" s="192" t="s">
        <v>3624</v>
      </c>
      <c r="I1658" t="s">
        <v>3414</v>
      </c>
      <c r="J1658" t="s">
        <v>865</v>
      </c>
      <c r="K1658" t="s">
        <v>797</v>
      </c>
    </row>
    <row r="1659" spans="2:11" x14ac:dyDescent="0.25">
      <c r="B1659" s="191"/>
      <c r="C1659" s="191"/>
      <c r="D1659" s="192" t="s">
        <v>4050</v>
      </c>
      <c r="E1659" t="s">
        <v>4051</v>
      </c>
      <c r="F1659" s="192" t="s">
        <v>789</v>
      </c>
      <c r="G1659" s="192" t="s">
        <v>3623</v>
      </c>
      <c r="H1659" s="192" t="s">
        <v>3624</v>
      </c>
      <c r="I1659" t="s">
        <v>3414</v>
      </c>
      <c r="J1659" t="s">
        <v>865</v>
      </c>
      <c r="K1659" t="s">
        <v>797</v>
      </c>
    </row>
    <row r="1660" spans="2:11" x14ac:dyDescent="0.25">
      <c r="B1660" s="191"/>
      <c r="C1660" s="191"/>
      <c r="D1660" s="192" t="s">
        <v>4052</v>
      </c>
      <c r="E1660" t="s">
        <v>4053</v>
      </c>
      <c r="F1660" s="192" t="s">
        <v>789</v>
      </c>
      <c r="G1660" s="192" t="s">
        <v>3627</v>
      </c>
      <c r="H1660" s="192" t="s">
        <v>3624</v>
      </c>
      <c r="I1660" t="s">
        <v>3414</v>
      </c>
      <c r="J1660" t="s">
        <v>865</v>
      </c>
      <c r="K1660" t="s">
        <v>797</v>
      </c>
    </row>
    <row r="1661" spans="2:11" x14ac:dyDescent="0.25">
      <c r="B1661" s="191"/>
      <c r="C1661" s="191"/>
      <c r="D1661" s="192" t="s">
        <v>4054</v>
      </c>
      <c r="E1661" t="s">
        <v>4055</v>
      </c>
      <c r="F1661" s="192" t="s">
        <v>789</v>
      </c>
      <c r="G1661" s="192" t="s">
        <v>3630</v>
      </c>
      <c r="H1661" s="192" t="s">
        <v>3624</v>
      </c>
      <c r="I1661" t="s">
        <v>3414</v>
      </c>
      <c r="J1661" t="s">
        <v>865</v>
      </c>
      <c r="K1661" t="s">
        <v>797</v>
      </c>
    </row>
    <row r="1662" spans="2:11" x14ac:dyDescent="0.25">
      <c r="B1662" s="191"/>
      <c r="C1662" s="191" t="s">
        <v>4056</v>
      </c>
      <c r="D1662" s="192"/>
      <c r="E1662" s="185" t="s">
        <v>4057</v>
      </c>
      <c r="F1662" s="192" t="s">
        <v>789</v>
      </c>
      <c r="G1662" s="192" t="s">
        <v>790</v>
      </c>
      <c r="H1662" s="192" t="s">
        <v>790</v>
      </c>
      <c r="I1662" t="s">
        <v>3414</v>
      </c>
    </row>
    <row r="1663" spans="2:11" x14ac:dyDescent="0.25">
      <c r="B1663" s="191"/>
      <c r="C1663" s="191"/>
      <c r="D1663" s="192" t="s">
        <v>4058</v>
      </c>
      <c r="E1663" t="s">
        <v>4059</v>
      </c>
      <c r="F1663" s="192" t="s">
        <v>789</v>
      </c>
      <c r="G1663" s="192" t="s">
        <v>3675</v>
      </c>
      <c r="H1663" s="192" t="s">
        <v>3624</v>
      </c>
      <c r="I1663" t="s">
        <v>3414</v>
      </c>
      <c r="J1663" t="s">
        <v>865</v>
      </c>
      <c r="K1663" t="s">
        <v>797</v>
      </c>
    </row>
    <row r="1664" spans="2:11" x14ac:dyDescent="0.25">
      <c r="B1664" s="191"/>
      <c r="C1664" s="191"/>
      <c r="D1664" s="192" t="s">
        <v>4060</v>
      </c>
      <c r="E1664" t="s">
        <v>4061</v>
      </c>
      <c r="F1664" s="192" t="s">
        <v>789</v>
      </c>
      <c r="G1664" s="192" t="s">
        <v>3623</v>
      </c>
      <c r="H1664" s="192" t="s">
        <v>3624</v>
      </c>
      <c r="I1664" t="s">
        <v>3414</v>
      </c>
      <c r="J1664" t="s">
        <v>865</v>
      </c>
      <c r="K1664" t="s">
        <v>797</v>
      </c>
    </row>
    <row r="1665" spans="2:11" x14ac:dyDescent="0.25">
      <c r="B1665" s="191"/>
      <c r="C1665" s="191"/>
      <c r="D1665" s="192" t="s">
        <v>606</v>
      </c>
      <c r="E1665" t="s">
        <v>4062</v>
      </c>
      <c r="F1665" s="192" t="s">
        <v>789</v>
      </c>
      <c r="G1665" s="192" t="s">
        <v>3627</v>
      </c>
      <c r="H1665" s="192" t="s">
        <v>3624</v>
      </c>
      <c r="I1665" t="s">
        <v>3414</v>
      </c>
      <c r="J1665" t="s">
        <v>865</v>
      </c>
      <c r="K1665" t="s">
        <v>797</v>
      </c>
    </row>
    <row r="1666" spans="2:11" x14ac:dyDescent="0.25">
      <c r="B1666" s="191"/>
      <c r="C1666" s="191"/>
      <c r="D1666" s="192" t="s">
        <v>4063</v>
      </c>
      <c r="E1666" t="s">
        <v>4064</v>
      </c>
      <c r="F1666" s="192" t="s">
        <v>789</v>
      </c>
      <c r="G1666" s="192" t="s">
        <v>3630</v>
      </c>
      <c r="H1666" s="192" t="s">
        <v>3624</v>
      </c>
      <c r="I1666" t="s">
        <v>3414</v>
      </c>
      <c r="J1666" t="s">
        <v>865</v>
      </c>
      <c r="K1666" t="s">
        <v>797</v>
      </c>
    </row>
    <row r="1667" spans="2:11" x14ac:dyDescent="0.25">
      <c r="B1667" s="191"/>
      <c r="C1667" s="191" t="s">
        <v>4065</v>
      </c>
      <c r="D1667" s="192"/>
      <c r="E1667" s="185" t="s">
        <v>4066</v>
      </c>
      <c r="F1667" s="192" t="s">
        <v>789</v>
      </c>
      <c r="G1667" s="192" t="s">
        <v>790</v>
      </c>
      <c r="H1667" s="192" t="s">
        <v>790</v>
      </c>
      <c r="I1667" t="s">
        <v>3414</v>
      </c>
      <c r="J1667" t="s">
        <v>865</v>
      </c>
    </row>
    <row r="1668" spans="2:11" x14ac:dyDescent="0.25">
      <c r="B1668" s="191"/>
      <c r="C1668" s="191"/>
      <c r="D1668" s="192" t="s">
        <v>4067</v>
      </c>
      <c r="E1668" t="s">
        <v>4068</v>
      </c>
      <c r="F1668" s="192" t="s">
        <v>789</v>
      </c>
      <c r="G1668" s="192" t="s">
        <v>790</v>
      </c>
      <c r="H1668" s="192" t="s">
        <v>790</v>
      </c>
      <c r="I1668" t="s">
        <v>3414</v>
      </c>
      <c r="J1668" t="s">
        <v>865</v>
      </c>
      <c r="K1668" t="s">
        <v>797</v>
      </c>
    </row>
    <row r="1669" spans="2:11" x14ac:dyDescent="0.25">
      <c r="B1669" s="191"/>
      <c r="C1669" s="191"/>
      <c r="D1669" s="192" t="s">
        <v>4069</v>
      </c>
      <c r="E1669" t="s">
        <v>4070</v>
      </c>
      <c r="F1669" s="192" t="s">
        <v>789</v>
      </c>
      <c r="G1669" s="192" t="s">
        <v>790</v>
      </c>
      <c r="H1669" s="192" t="s">
        <v>790</v>
      </c>
      <c r="I1669" t="s">
        <v>3414</v>
      </c>
      <c r="J1669" t="s">
        <v>865</v>
      </c>
      <c r="K1669" t="s">
        <v>797</v>
      </c>
    </row>
    <row r="1670" spans="2:11" x14ac:dyDescent="0.25">
      <c r="B1670" s="191"/>
      <c r="C1670" s="191"/>
      <c r="D1670" s="192" t="s">
        <v>4071</v>
      </c>
      <c r="E1670" t="s">
        <v>4072</v>
      </c>
      <c r="F1670" s="192" t="s">
        <v>789</v>
      </c>
      <c r="G1670" s="192" t="s">
        <v>3623</v>
      </c>
      <c r="H1670" s="192" t="s">
        <v>3624</v>
      </c>
      <c r="I1670" t="s">
        <v>3414</v>
      </c>
      <c r="J1670" t="s">
        <v>865</v>
      </c>
      <c r="K1670" t="s">
        <v>797</v>
      </c>
    </row>
    <row r="1671" spans="2:11" x14ac:dyDescent="0.25">
      <c r="B1671" s="191"/>
      <c r="C1671" s="191"/>
      <c r="D1671" s="192" t="s">
        <v>4073</v>
      </c>
      <c r="E1671" t="s">
        <v>4074</v>
      </c>
      <c r="F1671" s="192" t="s">
        <v>789</v>
      </c>
      <c r="G1671" s="192" t="s">
        <v>3627</v>
      </c>
      <c r="H1671" s="192" t="s">
        <v>3624</v>
      </c>
      <c r="I1671" t="s">
        <v>3414</v>
      </c>
      <c r="J1671" t="s">
        <v>865</v>
      </c>
      <c r="K1671" t="s">
        <v>797</v>
      </c>
    </row>
    <row r="1672" spans="2:11" x14ac:dyDescent="0.25">
      <c r="B1672" s="191"/>
      <c r="C1672" s="191"/>
      <c r="D1672" s="192" t="s">
        <v>4075</v>
      </c>
      <c r="E1672" t="s">
        <v>4076</v>
      </c>
      <c r="F1672" s="192" t="s">
        <v>789</v>
      </c>
      <c r="G1672" s="192" t="s">
        <v>3630</v>
      </c>
      <c r="H1672" s="192" t="s">
        <v>3624</v>
      </c>
      <c r="I1672" t="s">
        <v>3414</v>
      </c>
      <c r="J1672" t="s">
        <v>865</v>
      </c>
      <c r="K1672" t="s">
        <v>797</v>
      </c>
    </row>
    <row r="1673" spans="2:11" x14ac:dyDescent="0.25">
      <c r="B1673" s="191"/>
      <c r="C1673" s="191" t="s">
        <v>4077</v>
      </c>
      <c r="D1673" s="192"/>
      <c r="E1673" s="185" t="s">
        <v>4078</v>
      </c>
      <c r="F1673" s="192" t="s">
        <v>789</v>
      </c>
      <c r="G1673" s="192" t="s">
        <v>790</v>
      </c>
      <c r="H1673" s="192" t="s">
        <v>790</v>
      </c>
      <c r="I1673" t="s">
        <v>3414</v>
      </c>
      <c r="J1673" t="s">
        <v>865</v>
      </c>
    </row>
    <row r="1674" spans="2:11" x14ac:dyDescent="0.25">
      <c r="B1674" s="191"/>
      <c r="C1674" s="191" t="s">
        <v>4079</v>
      </c>
      <c r="D1674" s="192"/>
      <c r="E1674" s="185" t="s">
        <v>4080</v>
      </c>
      <c r="F1674" s="192" t="s">
        <v>789</v>
      </c>
      <c r="G1674" s="192" t="s">
        <v>790</v>
      </c>
      <c r="H1674" s="192" t="s">
        <v>790</v>
      </c>
      <c r="I1674" t="s">
        <v>3414</v>
      </c>
    </row>
    <row r="1675" spans="2:11" x14ac:dyDescent="0.25">
      <c r="B1675" s="191"/>
      <c r="C1675" s="191"/>
      <c r="D1675" s="192" t="s">
        <v>4081</v>
      </c>
      <c r="E1675" t="s">
        <v>4082</v>
      </c>
      <c r="F1675" s="192" t="s">
        <v>789</v>
      </c>
      <c r="G1675" s="192" t="s">
        <v>3675</v>
      </c>
      <c r="H1675" s="192" t="s">
        <v>3624</v>
      </c>
      <c r="I1675" t="s">
        <v>3414</v>
      </c>
      <c r="J1675" t="s">
        <v>865</v>
      </c>
      <c r="K1675" t="s">
        <v>797</v>
      </c>
    </row>
    <row r="1676" spans="2:11" x14ac:dyDescent="0.25">
      <c r="B1676" s="191"/>
      <c r="C1676" s="191"/>
      <c r="D1676" s="192" t="s">
        <v>4083</v>
      </c>
      <c r="E1676" t="s">
        <v>4084</v>
      </c>
      <c r="F1676" s="192" t="s">
        <v>789</v>
      </c>
      <c r="G1676" s="192" t="s">
        <v>3623</v>
      </c>
      <c r="H1676" s="192" t="s">
        <v>3624</v>
      </c>
      <c r="I1676" t="s">
        <v>3414</v>
      </c>
      <c r="J1676" t="s">
        <v>865</v>
      </c>
      <c r="K1676" t="s">
        <v>797</v>
      </c>
    </row>
    <row r="1677" spans="2:11" x14ac:dyDescent="0.25">
      <c r="B1677" s="191"/>
      <c r="C1677" s="191"/>
      <c r="D1677" s="192" t="s">
        <v>742</v>
      </c>
      <c r="E1677" t="s">
        <v>4085</v>
      </c>
      <c r="F1677" s="192" t="s">
        <v>789</v>
      </c>
      <c r="G1677" s="192" t="s">
        <v>3627</v>
      </c>
      <c r="H1677" s="192" t="s">
        <v>3624</v>
      </c>
      <c r="I1677" t="s">
        <v>3414</v>
      </c>
      <c r="J1677" t="s">
        <v>865</v>
      </c>
      <c r="K1677" t="s">
        <v>797</v>
      </c>
    </row>
    <row r="1678" spans="2:11" x14ac:dyDescent="0.25">
      <c r="B1678" s="191"/>
      <c r="C1678" s="191"/>
      <c r="D1678" s="192" t="s">
        <v>4086</v>
      </c>
      <c r="E1678" t="s">
        <v>4087</v>
      </c>
      <c r="F1678" s="192" t="s">
        <v>789</v>
      </c>
      <c r="G1678" s="192" t="s">
        <v>3630</v>
      </c>
      <c r="H1678" s="192" t="s">
        <v>3624</v>
      </c>
      <c r="I1678" t="s">
        <v>3414</v>
      </c>
      <c r="J1678" t="s">
        <v>865</v>
      </c>
      <c r="K1678" t="s">
        <v>797</v>
      </c>
    </row>
    <row r="1679" spans="2:11" x14ac:dyDescent="0.25">
      <c r="B1679" s="191"/>
      <c r="C1679" s="191" t="s">
        <v>4088</v>
      </c>
      <c r="D1679" s="192"/>
      <c r="E1679" s="185" t="s">
        <v>4089</v>
      </c>
      <c r="F1679" s="192" t="s">
        <v>789</v>
      </c>
      <c r="G1679" s="192" t="s">
        <v>790</v>
      </c>
      <c r="H1679" s="192" t="s">
        <v>790</v>
      </c>
      <c r="I1679" t="s">
        <v>3414</v>
      </c>
    </row>
    <row r="1680" spans="2:11" x14ac:dyDescent="0.25">
      <c r="B1680" s="191"/>
      <c r="C1680" s="191" t="s">
        <v>4090</v>
      </c>
      <c r="D1680" s="192"/>
      <c r="E1680" s="185" t="s">
        <v>4091</v>
      </c>
      <c r="F1680" s="192" t="s">
        <v>789</v>
      </c>
      <c r="G1680" s="192" t="s">
        <v>790</v>
      </c>
      <c r="H1680" s="192" t="s">
        <v>790</v>
      </c>
      <c r="I1680" t="s">
        <v>3414</v>
      </c>
    </row>
    <row r="1681" spans="2:11" x14ac:dyDescent="0.25">
      <c r="B1681" s="191"/>
      <c r="C1681" s="191"/>
      <c r="D1681" s="192" t="s">
        <v>743</v>
      </c>
      <c r="E1681" t="s">
        <v>4092</v>
      </c>
      <c r="F1681" s="192" t="s">
        <v>789</v>
      </c>
      <c r="G1681" s="192" t="s">
        <v>3675</v>
      </c>
      <c r="H1681" s="192" t="s">
        <v>3624</v>
      </c>
      <c r="I1681" t="s">
        <v>3414</v>
      </c>
      <c r="J1681" t="s">
        <v>865</v>
      </c>
      <c r="K1681" t="s">
        <v>797</v>
      </c>
    </row>
    <row r="1682" spans="2:11" x14ac:dyDescent="0.25">
      <c r="B1682" s="191"/>
      <c r="C1682" s="191"/>
      <c r="D1682" s="192" t="s">
        <v>4093</v>
      </c>
      <c r="E1682" t="s">
        <v>4094</v>
      </c>
      <c r="F1682" s="192" t="s">
        <v>789</v>
      </c>
      <c r="G1682" s="192" t="s">
        <v>3623</v>
      </c>
      <c r="H1682" s="192" t="s">
        <v>3624</v>
      </c>
      <c r="I1682" t="s">
        <v>3414</v>
      </c>
      <c r="J1682" t="s">
        <v>865</v>
      </c>
      <c r="K1682" t="s">
        <v>797</v>
      </c>
    </row>
    <row r="1683" spans="2:11" x14ac:dyDescent="0.25">
      <c r="B1683" s="191"/>
      <c r="C1683" s="191"/>
      <c r="D1683" s="192" t="s">
        <v>4095</v>
      </c>
      <c r="E1683" t="s">
        <v>4096</v>
      </c>
      <c r="F1683" s="192" t="s">
        <v>789</v>
      </c>
      <c r="G1683" s="192" t="s">
        <v>3627</v>
      </c>
      <c r="H1683" s="192" t="s">
        <v>3624</v>
      </c>
      <c r="I1683" t="s">
        <v>3414</v>
      </c>
      <c r="J1683" t="s">
        <v>865</v>
      </c>
      <c r="K1683" t="s">
        <v>797</v>
      </c>
    </row>
    <row r="1684" spans="2:11" x14ac:dyDescent="0.25">
      <c r="B1684" s="191"/>
      <c r="C1684" s="191"/>
      <c r="D1684" s="192" t="s">
        <v>4097</v>
      </c>
      <c r="E1684" t="s">
        <v>4098</v>
      </c>
      <c r="F1684" s="192" t="s">
        <v>789</v>
      </c>
      <c r="G1684" s="192" t="s">
        <v>3630</v>
      </c>
      <c r="H1684" s="192" t="s">
        <v>3624</v>
      </c>
      <c r="I1684" t="s">
        <v>3414</v>
      </c>
      <c r="J1684" t="s">
        <v>865</v>
      </c>
      <c r="K1684" t="s">
        <v>797</v>
      </c>
    </row>
    <row r="1685" spans="2:11" x14ac:dyDescent="0.25">
      <c r="B1685" s="191"/>
      <c r="C1685" s="191" t="s">
        <v>4099</v>
      </c>
      <c r="D1685" s="192"/>
      <c r="E1685" s="185" t="s">
        <v>4100</v>
      </c>
      <c r="F1685" s="192" t="s">
        <v>789</v>
      </c>
      <c r="G1685" s="192" t="s">
        <v>790</v>
      </c>
      <c r="H1685" s="192" t="s">
        <v>790</v>
      </c>
      <c r="I1685" t="s">
        <v>3414</v>
      </c>
    </row>
    <row r="1686" spans="2:11" x14ac:dyDescent="0.25">
      <c r="B1686" s="191"/>
      <c r="C1686" s="191"/>
      <c r="D1686" s="192" t="s">
        <v>4101</v>
      </c>
      <c r="E1686" t="s">
        <v>4102</v>
      </c>
      <c r="F1686" s="192" t="s">
        <v>789</v>
      </c>
      <c r="G1686" s="192" t="s">
        <v>3675</v>
      </c>
      <c r="H1686" s="192" t="s">
        <v>3624</v>
      </c>
      <c r="I1686" t="s">
        <v>3414</v>
      </c>
      <c r="J1686" t="s">
        <v>865</v>
      </c>
      <c r="K1686" t="s">
        <v>797</v>
      </c>
    </row>
    <row r="1687" spans="2:11" x14ac:dyDescent="0.25">
      <c r="B1687" s="191"/>
      <c r="C1687" s="191"/>
      <c r="D1687" s="192" t="s">
        <v>4103</v>
      </c>
      <c r="E1687" t="s">
        <v>4104</v>
      </c>
      <c r="F1687" s="192" t="s">
        <v>789</v>
      </c>
      <c r="G1687" s="192" t="s">
        <v>3623</v>
      </c>
      <c r="H1687" s="192" t="s">
        <v>3624</v>
      </c>
      <c r="I1687" t="s">
        <v>3414</v>
      </c>
      <c r="J1687" t="s">
        <v>865</v>
      </c>
      <c r="K1687" t="s">
        <v>797</v>
      </c>
    </row>
    <row r="1688" spans="2:11" x14ac:dyDescent="0.25">
      <c r="B1688" s="191"/>
      <c r="C1688" s="191"/>
      <c r="D1688" s="192" t="s">
        <v>4105</v>
      </c>
      <c r="E1688" t="s">
        <v>4106</v>
      </c>
      <c r="F1688" s="192" t="s">
        <v>789</v>
      </c>
      <c r="G1688" s="192" t="s">
        <v>3627</v>
      </c>
      <c r="H1688" s="192" t="s">
        <v>3624</v>
      </c>
      <c r="I1688" t="s">
        <v>3414</v>
      </c>
      <c r="J1688" t="s">
        <v>865</v>
      </c>
      <c r="K1688" t="s">
        <v>797</v>
      </c>
    </row>
    <row r="1689" spans="2:11" x14ac:dyDescent="0.25">
      <c r="B1689" s="191"/>
      <c r="C1689" s="191"/>
      <c r="D1689" s="192" t="s">
        <v>4107</v>
      </c>
      <c r="E1689" t="s">
        <v>4108</v>
      </c>
      <c r="F1689" s="192" t="s">
        <v>789</v>
      </c>
      <c r="G1689" s="192" t="s">
        <v>3630</v>
      </c>
      <c r="H1689" s="192" t="s">
        <v>3624</v>
      </c>
      <c r="I1689" t="s">
        <v>3414</v>
      </c>
      <c r="J1689" t="s">
        <v>865</v>
      </c>
      <c r="K1689" t="s">
        <v>797</v>
      </c>
    </row>
    <row r="1690" spans="2:11" x14ac:dyDescent="0.25">
      <c r="B1690" s="191"/>
      <c r="C1690" s="191" t="s">
        <v>4109</v>
      </c>
      <c r="D1690" s="192"/>
      <c r="E1690" s="185" t="s">
        <v>4110</v>
      </c>
      <c r="F1690" s="192" t="s">
        <v>789</v>
      </c>
      <c r="G1690" s="192" t="s">
        <v>790</v>
      </c>
      <c r="H1690" s="192" t="s">
        <v>790</v>
      </c>
      <c r="I1690" t="s">
        <v>3414</v>
      </c>
    </row>
    <row r="1691" spans="2:11" x14ac:dyDescent="0.25">
      <c r="B1691" s="191"/>
      <c r="C1691" s="191"/>
      <c r="D1691" s="192" t="s">
        <v>4111</v>
      </c>
      <c r="E1691" t="s">
        <v>4112</v>
      </c>
      <c r="F1691" s="192" t="s">
        <v>789</v>
      </c>
      <c r="G1691" s="192" t="s">
        <v>3675</v>
      </c>
      <c r="H1691" s="192" t="s">
        <v>3624</v>
      </c>
      <c r="I1691" t="s">
        <v>3414</v>
      </c>
      <c r="J1691" t="s">
        <v>865</v>
      </c>
      <c r="K1691" t="s">
        <v>797</v>
      </c>
    </row>
    <row r="1692" spans="2:11" x14ac:dyDescent="0.25">
      <c r="B1692" s="191"/>
      <c r="C1692" s="191"/>
      <c r="D1692" s="192" t="s">
        <v>4113</v>
      </c>
      <c r="E1692" t="s">
        <v>4114</v>
      </c>
      <c r="F1692" s="192" t="s">
        <v>789</v>
      </c>
      <c r="G1692" s="192" t="s">
        <v>3623</v>
      </c>
      <c r="H1692" s="192" t="s">
        <v>3624</v>
      </c>
      <c r="I1692" t="s">
        <v>3414</v>
      </c>
      <c r="J1692" t="s">
        <v>865</v>
      </c>
      <c r="K1692" t="s">
        <v>797</v>
      </c>
    </row>
    <row r="1693" spans="2:11" x14ac:dyDescent="0.25">
      <c r="B1693" s="191"/>
      <c r="C1693" s="191"/>
      <c r="D1693" s="192" t="s">
        <v>4115</v>
      </c>
      <c r="E1693" t="s">
        <v>4116</v>
      </c>
      <c r="F1693" s="192" t="s">
        <v>789</v>
      </c>
      <c r="G1693" s="192" t="s">
        <v>3627</v>
      </c>
      <c r="H1693" s="192" t="s">
        <v>3624</v>
      </c>
      <c r="I1693" t="s">
        <v>3414</v>
      </c>
      <c r="J1693" t="s">
        <v>865</v>
      </c>
      <c r="K1693" t="s">
        <v>797</v>
      </c>
    </row>
    <row r="1694" spans="2:11" x14ac:dyDescent="0.25">
      <c r="B1694" s="191"/>
      <c r="C1694" s="191"/>
      <c r="D1694" s="192" t="s">
        <v>4117</v>
      </c>
      <c r="E1694" t="s">
        <v>4118</v>
      </c>
      <c r="F1694" s="192" t="s">
        <v>789</v>
      </c>
      <c r="G1694" s="192" t="s">
        <v>3630</v>
      </c>
      <c r="H1694" s="192" t="s">
        <v>3624</v>
      </c>
      <c r="I1694" t="s">
        <v>3414</v>
      </c>
      <c r="J1694" t="s">
        <v>865</v>
      </c>
      <c r="K1694" t="s">
        <v>797</v>
      </c>
    </row>
    <row r="1695" spans="2:11" x14ac:dyDescent="0.25">
      <c r="B1695" s="191"/>
      <c r="C1695" s="191" t="s">
        <v>4119</v>
      </c>
      <c r="D1695" s="192"/>
      <c r="E1695" s="185" t="s">
        <v>4120</v>
      </c>
      <c r="F1695" s="192" t="s">
        <v>789</v>
      </c>
      <c r="G1695" s="192" t="s">
        <v>790</v>
      </c>
      <c r="H1695" s="192" t="s">
        <v>790</v>
      </c>
      <c r="I1695" t="s">
        <v>3414</v>
      </c>
    </row>
    <row r="1696" spans="2:11" x14ac:dyDescent="0.25">
      <c r="B1696" s="191"/>
      <c r="C1696" s="191"/>
      <c r="D1696" s="192" t="s">
        <v>4121</v>
      </c>
      <c r="E1696" t="s">
        <v>4122</v>
      </c>
      <c r="F1696" s="192" t="s">
        <v>789</v>
      </c>
      <c r="G1696" s="192" t="s">
        <v>3675</v>
      </c>
      <c r="H1696" s="192" t="s">
        <v>3624</v>
      </c>
      <c r="I1696" t="s">
        <v>3414</v>
      </c>
      <c r="J1696" t="s">
        <v>865</v>
      </c>
      <c r="K1696" t="s">
        <v>797</v>
      </c>
    </row>
    <row r="1697" spans="2:11" x14ac:dyDescent="0.25">
      <c r="B1697" s="191"/>
      <c r="C1697" s="191"/>
      <c r="D1697" s="192" t="s">
        <v>4123</v>
      </c>
      <c r="E1697" t="s">
        <v>4124</v>
      </c>
      <c r="F1697" s="192" t="s">
        <v>789</v>
      </c>
      <c r="G1697" s="192" t="s">
        <v>3623</v>
      </c>
      <c r="H1697" s="192" t="s">
        <v>3624</v>
      </c>
      <c r="I1697" t="s">
        <v>3414</v>
      </c>
      <c r="J1697" t="s">
        <v>865</v>
      </c>
      <c r="K1697" t="s">
        <v>797</v>
      </c>
    </row>
    <row r="1698" spans="2:11" x14ac:dyDescent="0.25">
      <c r="B1698" s="191"/>
      <c r="C1698" s="191"/>
      <c r="D1698" s="192" t="s">
        <v>4125</v>
      </c>
      <c r="E1698" t="s">
        <v>4126</v>
      </c>
      <c r="F1698" s="192" t="s">
        <v>789</v>
      </c>
      <c r="G1698" s="192" t="s">
        <v>3627</v>
      </c>
      <c r="H1698" s="192" t="s">
        <v>3624</v>
      </c>
      <c r="I1698" t="s">
        <v>3414</v>
      </c>
      <c r="J1698" t="s">
        <v>865</v>
      </c>
      <c r="K1698" t="s">
        <v>797</v>
      </c>
    </row>
    <row r="1699" spans="2:11" x14ac:dyDescent="0.25">
      <c r="B1699" s="191"/>
      <c r="C1699" s="191"/>
      <c r="D1699" s="192" t="s">
        <v>4127</v>
      </c>
      <c r="E1699" t="s">
        <v>4128</v>
      </c>
      <c r="F1699" s="192" t="s">
        <v>789</v>
      </c>
      <c r="G1699" s="192" t="s">
        <v>3630</v>
      </c>
      <c r="H1699" s="192" t="s">
        <v>3624</v>
      </c>
      <c r="I1699" t="s">
        <v>3414</v>
      </c>
      <c r="J1699" t="s">
        <v>865</v>
      </c>
      <c r="K1699" t="s">
        <v>797</v>
      </c>
    </row>
    <row r="1700" spans="2:11" x14ac:dyDescent="0.25">
      <c r="B1700" s="191"/>
      <c r="C1700" s="191" t="s">
        <v>4129</v>
      </c>
      <c r="D1700" s="192"/>
      <c r="E1700" s="185" t="s">
        <v>4130</v>
      </c>
      <c r="F1700" s="192" t="s">
        <v>789</v>
      </c>
      <c r="G1700" s="192" t="s">
        <v>790</v>
      </c>
      <c r="H1700" s="192" t="s">
        <v>790</v>
      </c>
      <c r="I1700" t="s">
        <v>3414</v>
      </c>
    </row>
    <row r="1701" spans="2:11" x14ac:dyDescent="0.25">
      <c r="B1701" s="191"/>
      <c r="C1701" s="191"/>
      <c r="D1701" s="192" t="s">
        <v>4131</v>
      </c>
      <c r="E1701" t="s">
        <v>4132</v>
      </c>
      <c r="F1701" s="192" t="s">
        <v>789</v>
      </c>
      <c r="G1701" s="192" t="s">
        <v>3675</v>
      </c>
      <c r="H1701" s="192" t="s">
        <v>3624</v>
      </c>
      <c r="I1701" t="s">
        <v>3414</v>
      </c>
      <c r="J1701" t="s">
        <v>865</v>
      </c>
      <c r="K1701" t="s">
        <v>797</v>
      </c>
    </row>
    <row r="1702" spans="2:11" x14ac:dyDescent="0.25">
      <c r="B1702" s="191"/>
      <c r="C1702" s="191"/>
      <c r="D1702" s="192" t="s">
        <v>4133</v>
      </c>
      <c r="E1702" t="s">
        <v>4134</v>
      </c>
      <c r="F1702" s="192" t="s">
        <v>789</v>
      </c>
      <c r="G1702" s="192" t="s">
        <v>3623</v>
      </c>
      <c r="H1702" s="192" t="s">
        <v>3624</v>
      </c>
      <c r="I1702" t="s">
        <v>3414</v>
      </c>
      <c r="J1702" t="s">
        <v>865</v>
      </c>
      <c r="K1702" t="s">
        <v>797</v>
      </c>
    </row>
    <row r="1703" spans="2:11" x14ac:dyDescent="0.25">
      <c r="B1703" s="191"/>
      <c r="C1703" s="191"/>
      <c r="D1703" s="192" t="s">
        <v>4135</v>
      </c>
      <c r="E1703" t="s">
        <v>4136</v>
      </c>
      <c r="F1703" s="192" t="s">
        <v>789</v>
      </c>
      <c r="G1703" s="192" t="s">
        <v>3627</v>
      </c>
      <c r="H1703" s="192" t="s">
        <v>3624</v>
      </c>
      <c r="I1703" t="s">
        <v>3414</v>
      </c>
      <c r="J1703" t="s">
        <v>865</v>
      </c>
      <c r="K1703" t="s">
        <v>797</v>
      </c>
    </row>
    <row r="1704" spans="2:11" x14ac:dyDescent="0.25">
      <c r="B1704" s="191"/>
      <c r="C1704" s="191"/>
      <c r="D1704" s="192" t="s">
        <v>4137</v>
      </c>
      <c r="E1704" t="s">
        <v>4138</v>
      </c>
      <c r="F1704" s="192" t="s">
        <v>789</v>
      </c>
      <c r="G1704" s="192" t="s">
        <v>3630</v>
      </c>
      <c r="H1704" s="192" t="s">
        <v>3624</v>
      </c>
      <c r="I1704" t="s">
        <v>3414</v>
      </c>
      <c r="J1704" t="s">
        <v>865</v>
      </c>
      <c r="K1704" t="s">
        <v>797</v>
      </c>
    </row>
    <row r="1705" spans="2:11" x14ac:dyDescent="0.25">
      <c r="B1705" s="191"/>
      <c r="C1705" s="191" t="s">
        <v>4139</v>
      </c>
      <c r="D1705" s="192"/>
      <c r="E1705" s="185" t="s">
        <v>4140</v>
      </c>
      <c r="F1705" s="192" t="s">
        <v>789</v>
      </c>
      <c r="G1705" s="192" t="s">
        <v>790</v>
      </c>
      <c r="H1705" s="192" t="s">
        <v>790</v>
      </c>
      <c r="I1705" t="s">
        <v>3414</v>
      </c>
      <c r="J1705" t="s">
        <v>865</v>
      </c>
    </row>
    <row r="1706" spans="2:11" x14ac:dyDescent="0.25">
      <c r="B1706" s="191"/>
      <c r="C1706" s="191" t="s">
        <v>4141</v>
      </c>
      <c r="D1706" s="192"/>
      <c r="E1706" s="185" t="s">
        <v>4142</v>
      </c>
      <c r="F1706" s="192" t="s">
        <v>789</v>
      </c>
      <c r="G1706" s="192" t="s">
        <v>790</v>
      </c>
      <c r="H1706" s="192" t="s">
        <v>790</v>
      </c>
      <c r="I1706" t="s">
        <v>3414</v>
      </c>
    </row>
    <row r="1707" spans="2:11" x14ac:dyDescent="0.25">
      <c r="B1707" s="191"/>
      <c r="C1707" s="191"/>
      <c r="D1707" s="192" t="s">
        <v>4143</v>
      </c>
      <c r="E1707" t="s">
        <v>4144</v>
      </c>
      <c r="F1707" s="192" t="s">
        <v>789</v>
      </c>
      <c r="G1707" s="192" t="s">
        <v>3675</v>
      </c>
      <c r="H1707" s="192" t="s">
        <v>3624</v>
      </c>
      <c r="I1707" t="s">
        <v>3414</v>
      </c>
      <c r="J1707" t="s">
        <v>865</v>
      </c>
      <c r="K1707" t="s">
        <v>797</v>
      </c>
    </row>
    <row r="1708" spans="2:11" x14ac:dyDescent="0.25">
      <c r="B1708" s="191"/>
      <c r="C1708" s="191"/>
      <c r="D1708" s="192" t="s">
        <v>4145</v>
      </c>
      <c r="E1708" t="s">
        <v>4146</v>
      </c>
      <c r="F1708" s="192" t="s">
        <v>789</v>
      </c>
      <c r="G1708" s="192" t="s">
        <v>3623</v>
      </c>
      <c r="H1708" s="192" t="s">
        <v>3624</v>
      </c>
      <c r="I1708" t="s">
        <v>3414</v>
      </c>
      <c r="J1708" t="s">
        <v>865</v>
      </c>
      <c r="K1708" t="s">
        <v>797</v>
      </c>
    </row>
    <row r="1709" spans="2:11" x14ac:dyDescent="0.25">
      <c r="B1709" s="191"/>
      <c r="C1709" s="191"/>
      <c r="D1709" s="192" t="s">
        <v>4147</v>
      </c>
      <c r="E1709" t="s">
        <v>4148</v>
      </c>
      <c r="F1709" s="192" t="s">
        <v>789</v>
      </c>
      <c r="G1709" s="192" t="s">
        <v>3627</v>
      </c>
      <c r="H1709" s="192" t="s">
        <v>3624</v>
      </c>
      <c r="I1709" t="s">
        <v>3414</v>
      </c>
      <c r="J1709" t="s">
        <v>865</v>
      </c>
      <c r="K1709" t="s">
        <v>797</v>
      </c>
    </row>
    <row r="1710" spans="2:11" x14ac:dyDescent="0.25">
      <c r="B1710" s="191"/>
      <c r="C1710" s="191"/>
      <c r="D1710" s="192" t="s">
        <v>4149</v>
      </c>
      <c r="E1710" t="s">
        <v>4150</v>
      </c>
      <c r="F1710" s="192" t="s">
        <v>789</v>
      </c>
      <c r="G1710" s="192" t="s">
        <v>3630</v>
      </c>
      <c r="H1710" s="192" t="s">
        <v>3624</v>
      </c>
      <c r="I1710" t="s">
        <v>3414</v>
      </c>
      <c r="J1710" t="s">
        <v>865</v>
      </c>
      <c r="K1710" t="s">
        <v>797</v>
      </c>
    </row>
    <row r="1711" spans="2:11" x14ac:dyDescent="0.25">
      <c r="B1711" s="191"/>
      <c r="C1711" s="191" t="s">
        <v>4151</v>
      </c>
      <c r="D1711" s="192"/>
      <c r="E1711" s="185" t="s">
        <v>4152</v>
      </c>
      <c r="F1711" s="192" t="s">
        <v>789</v>
      </c>
      <c r="G1711" s="192" t="s">
        <v>790</v>
      </c>
      <c r="H1711" s="192" t="s">
        <v>790</v>
      </c>
      <c r="I1711" t="s">
        <v>3414</v>
      </c>
    </row>
    <row r="1712" spans="2:11" x14ac:dyDescent="0.25">
      <c r="B1712" s="191"/>
      <c r="C1712" s="191"/>
      <c r="D1712" s="192" t="s">
        <v>4153</v>
      </c>
      <c r="E1712" t="s">
        <v>4154</v>
      </c>
      <c r="F1712" s="192" t="s">
        <v>789</v>
      </c>
      <c r="G1712" s="192" t="s">
        <v>3675</v>
      </c>
      <c r="H1712" s="192" t="s">
        <v>3624</v>
      </c>
      <c r="I1712" t="s">
        <v>3414</v>
      </c>
      <c r="J1712" t="s">
        <v>865</v>
      </c>
      <c r="K1712" t="s">
        <v>797</v>
      </c>
    </row>
    <row r="1713" spans="2:11" x14ac:dyDescent="0.25">
      <c r="B1713" s="191"/>
      <c r="C1713" s="191"/>
      <c r="D1713" s="192" t="s">
        <v>4155</v>
      </c>
      <c r="E1713" t="s">
        <v>4156</v>
      </c>
      <c r="F1713" s="192" t="s">
        <v>789</v>
      </c>
      <c r="G1713" s="192" t="s">
        <v>3623</v>
      </c>
      <c r="H1713" s="192" t="s">
        <v>3624</v>
      </c>
      <c r="I1713" t="s">
        <v>3414</v>
      </c>
      <c r="J1713" t="s">
        <v>865</v>
      </c>
      <c r="K1713" t="s">
        <v>797</v>
      </c>
    </row>
    <row r="1714" spans="2:11" x14ac:dyDescent="0.25">
      <c r="B1714" s="191"/>
      <c r="C1714" s="191"/>
      <c r="D1714" s="192" t="s">
        <v>4157</v>
      </c>
      <c r="E1714" t="s">
        <v>4158</v>
      </c>
      <c r="F1714" s="192" t="s">
        <v>789</v>
      </c>
      <c r="G1714" s="192" t="s">
        <v>3627</v>
      </c>
      <c r="H1714" s="192" t="s">
        <v>3624</v>
      </c>
      <c r="I1714" t="s">
        <v>3414</v>
      </c>
      <c r="J1714" t="s">
        <v>865</v>
      </c>
      <c r="K1714" t="s">
        <v>797</v>
      </c>
    </row>
    <row r="1715" spans="2:11" x14ac:dyDescent="0.25">
      <c r="B1715" s="191"/>
      <c r="C1715" s="191"/>
      <c r="D1715" s="192" t="s">
        <v>4159</v>
      </c>
      <c r="E1715" t="s">
        <v>4160</v>
      </c>
      <c r="F1715" s="192" t="s">
        <v>789</v>
      </c>
      <c r="G1715" s="192" t="s">
        <v>3630</v>
      </c>
      <c r="H1715" s="192" t="s">
        <v>3624</v>
      </c>
      <c r="I1715" t="s">
        <v>3414</v>
      </c>
      <c r="J1715" t="s">
        <v>865</v>
      </c>
      <c r="K1715" t="s">
        <v>797</v>
      </c>
    </row>
    <row r="1716" spans="2:11" x14ac:dyDescent="0.25">
      <c r="B1716" s="191"/>
      <c r="C1716" s="191" t="s">
        <v>4161</v>
      </c>
      <c r="D1716" s="192"/>
      <c r="E1716" s="185" t="s">
        <v>4162</v>
      </c>
      <c r="F1716" s="192" t="s">
        <v>789</v>
      </c>
      <c r="G1716" s="192" t="s">
        <v>790</v>
      </c>
      <c r="H1716" s="192" t="s">
        <v>790</v>
      </c>
      <c r="I1716" t="s">
        <v>3414</v>
      </c>
    </row>
    <row r="1717" spans="2:11" x14ac:dyDescent="0.25">
      <c r="B1717" s="191"/>
      <c r="C1717" s="191"/>
      <c r="D1717" s="192" t="s">
        <v>4163</v>
      </c>
      <c r="E1717" t="s">
        <v>4164</v>
      </c>
      <c r="F1717" s="192" t="s">
        <v>789</v>
      </c>
      <c r="G1717" s="192" t="s">
        <v>790</v>
      </c>
      <c r="H1717" s="192" t="s">
        <v>790</v>
      </c>
      <c r="I1717" t="s">
        <v>3414</v>
      </c>
      <c r="J1717" t="s">
        <v>865</v>
      </c>
      <c r="K1717" t="s">
        <v>797</v>
      </c>
    </row>
    <row r="1718" spans="2:11" x14ac:dyDescent="0.25">
      <c r="B1718" s="191"/>
      <c r="C1718" s="191"/>
      <c r="D1718" s="192" t="s">
        <v>4165</v>
      </c>
      <c r="E1718" t="s">
        <v>4166</v>
      </c>
      <c r="F1718" s="192" t="s">
        <v>789</v>
      </c>
      <c r="G1718" s="192" t="s">
        <v>790</v>
      </c>
      <c r="H1718" s="192" t="s">
        <v>790</v>
      </c>
      <c r="I1718" t="s">
        <v>3414</v>
      </c>
      <c r="J1718" t="s">
        <v>865</v>
      </c>
      <c r="K1718" t="s">
        <v>797</v>
      </c>
    </row>
    <row r="1719" spans="2:11" x14ac:dyDescent="0.25">
      <c r="B1719" s="191"/>
      <c r="C1719" s="191"/>
      <c r="D1719" s="192" t="s">
        <v>4167</v>
      </c>
      <c r="E1719" t="s">
        <v>4168</v>
      </c>
      <c r="F1719" s="192" t="s">
        <v>789</v>
      </c>
      <c r="G1719" s="192" t="s">
        <v>3623</v>
      </c>
      <c r="H1719" s="192" t="s">
        <v>3624</v>
      </c>
      <c r="I1719" t="s">
        <v>3414</v>
      </c>
      <c r="J1719" t="s">
        <v>865</v>
      </c>
      <c r="K1719" t="s">
        <v>797</v>
      </c>
    </row>
    <row r="1720" spans="2:11" x14ac:dyDescent="0.25">
      <c r="B1720" s="191"/>
      <c r="C1720" s="191" t="s">
        <v>4169</v>
      </c>
      <c r="D1720" s="192"/>
      <c r="E1720" s="185" t="s">
        <v>4170</v>
      </c>
      <c r="F1720" s="192" t="s">
        <v>789</v>
      </c>
      <c r="G1720" s="192" t="s">
        <v>790</v>
      </c>
      <c r="H1720" s="192" t="s">
        <v>790</v>
      </c>
      <c r="I1720" t="s">
        <v>3414</v>
      </c>
    </row>
    <row r="1721" spans="2:11" x14ac:dyDescent="0.25">
      <c r="B1721" s="191"/>
      <c r="C1721" s="191"/>
      <c r="D1721" s="192" t="s">
        <v>4171</v>
      </c>
      <c r="E1721" t="s">
        <v>4172</v>
      </c>
      <c r="F1721" s="192" t="s">
        <v>789</v>
      </c>
      <c r="G1721" s="192" t="s">
        <v>3675</v>
      </c>
      <c r="H1721" s="192" t="s">
        <v>3624</v>
      </c>
      <c r="I1721" t="s">
        <v>3414</v>
      </c>
      <c r="J1721" t="s">
        <v>865</v>
      </c>
      <c r="K1721" t="s">
        <v>797</v>
      </c>
    </row>
    <row r="1722" spans="2:11" x14ac:dyDescent="0.25">
      <c r="B1722" s="191"/>
      <c r="C1722" s="191"/>
      <c r="D1722" s="192" t="s">
        <v>4173</v>
      </c>
      <c r="E1722" t="s">
        <v>4174</v>
      </c>
      <c r="F1722" s="192" t="s">
        <v>789</v>
      </c>
      <c r="G1722" s="192" t="s">
        <v>3623</v>
      </c>
      <c r="H1722" s="192" t="s">
        <v>3624</v>
      </c>
      <c r="I1722" t="s">
        <v>3414</v>
      </c>
      <c r="J1722" t="s">
        <v>865</v>
      </c>
      <c r="K1722" t="s">
        <v>797</v>
      </c>
    </row>
    <row r="1723" spans="2:11" x14ac:dyDescent="0.25">
      <c r="B1723" s="191"/>
      <c r="C1723" s="191"/>
      <c r="D1723" s="192" t="s">
        <v>4175</v>
      </c>
      <c r="E1723" t="s">
        <v>4176</v>
      </c>
      <c r="F1723" s="192" t="s">
        <v>789</v>
      </c>
      <c r="G1723" s="192" t="s">
        <v>3627</v>
      </c>
      <c r="H1723" s="192" t="s">
        <v>3624</v>
      </c>
      <c r="I1723" t="s">
        <v>3414</v>
      </c>
      <c r="J1723" t="s">
        <v>865</v>
      </c>
      <c r="K1723" t="s">
        <v>797</v>
      </c>
    </row>
    <row r="1724" spans="2:11" x14ac:dyDescent="0.25">
      <c r="B1724" s="191"/>
      <c r="C1724" s="191"/>
      <c r="D1724" s="192" t="s">
        <v>4177</v>
      </c>
      <c r="E1724" t="s">
        <v>4178</v>
      </c>
      <c r="F1724" s="192" t="s">
        <v>789</v>
      </c>
      <c r="G1724" s="192" t="s">
        <v>3630</v>
      </c>
      <c r="H1724" s="192" t="s">
        <v>3624</v>
      </c>
      <c r="I1724" t="s">
        <v>3414</v>
      </c>
      <c r="J1724" t="s">
        <v>865</v>
      </c>
      <c r="K1724" t="s">
        <v>797</v>
      </c>
    </row>
    <row r="1725" spans="2:11" x14ac:dyDescent="0.25">
      <c r="B1725" s="191"/>
      <c r="C1725" s="191" t="s">
        <v>4179</v>
      </c>
      <c r="D1725" s="192"/>
      <c r="E1725" s="185" t="s">
        <v>4180</v>
      </c>
      <c r="F1725" s="192" t="s">
        <v>789</v>
      </c>
      <c r="G1725" s="192" t="s">
        <v>790</v>
      </c>
      <c r="H1725" s="192" t="s">
        <v>790</v>
      </c>
      <c r="I1725" t="s">
        <v>3414</v>
      </c>
    </row>
    <row r="1726" spans="2:11" x14ac:dyDescent="0.25">
      <c r="B1726" s="191"/>
      <c r="C1726" s="191"/>
      <c r="D1726" s="192" t="s">
        <v>4181</v>
      </c>
      <c r="E1726" t="s">
        <v>4182</v>
      </c>
      <c r="F1726" s="192" t="s">
        <v>789</v>
      </c>
      <c r="G1726" s="192" t="s">
        <v>3675</v>
      </c>
      <c r="H1726" s="192" t="s">
        <v>3624</v>
      </c>
      <c r="I1726" t="s">
        <v>3414</v>
      </c>
      <c r="J1726" t="s">
        <v>865</v>
      </c>
      <c r="K1726" t="s">
        <v>797</v>
      </c>
    </row>
    <row r="1727" spans="2:11" x14ac:dyDescent="0.25">
      <c r="B1727" s="191"/>
      <c r="C1727" s="191"/>
      <c r="D1727" s="192" t="s">
        <v>4183</v>
      </c>
      <c r="E1727" t="s">
        <v>4184</v>
      </c>
      <c r="F1727" s="192" t="s">
        <v>789</v>
      </c>
      <c r="G1727" s="192" t="s">
        <v>3623</v>
      </c>
      <c r="H1727" s="192" t="s">
        <v>3624</v>
      </c>
      <c r="I1727" t="s">
        <v>3414</v>
      </c>
      <c r="J1727" t="s">
        <v>865</v>
      </c>
      <c r="K1727" t="s">
        <v>797</v>
      </c>
    </row>
    <row r="1728" spans="2:11" x14ac:dyDescent="0.25">
      <c r="B1728" s="191"/>
      <c r="C1728" s="191"/>
      <c r="D1728" s="192" t="s">
        <v>4185</v>
      </c>
      <c r="E1728" t="s">
        <v>4186</v>
      </c>
      <c r="F1728" s="192" t="s">
        <v>789</v>
      </c>
      <c r="G1728" s="192" t="s">
        <v>3627</v>
      </c>
      <c r="H1728" s="192" t="s">
        <v>3624</v>
      </c>
      <c r="I1728" t="s">
        <v>3414</v>
      </c>
      <c r="J1728" t="s">
        <v>865</v>
      </c>
      <c r="K1728" t="s">
        <v>797</v>
      </c>
    </row>
    <row r="1729" spans="2:11" x14ac:dyDescent="0.25">
      <c r="B1729" s="191"/>
      <c r="C1729" s="191"/>
      <c r="D1729" s="192" t="s">
        <v>4187</v>
      </c>
      <c r="E1729" t="s">
        <v>4188</v>
      </c>
      <c r="F1729" s="192" t="s">
        <v>789</v>
      </c>
      <c r="G1729" s="192" t="s">
        <v>3630</v>
      </c>
      <c r="H1729" s="192" t="s">
        <v>3624</v>
      </c>
      <c r="I1729" t="s">
        <v>3414</v>
      </c>
      <c r="J1729" t="s">
        <v>865</v>
      </c>
      <c r="K1729" t="s">
        <v>797</v>
      </c>
    </row>
    <row r="1730" spans="2:11" x14ac:dyDescent="0.25">
      <c r="B1730" s="191"/>
      <c r="C1730" s="191" t="s">
        <v>4189</v>
      </c>
      <c r="D1730" s="192"/>
      <c r="E1730" s="185" t="s">
        <v>4190</v>
      </c>
      <c r="F1730" s="192" t="s">
        <v>789</v>
      </c>
      <c r="G1730" s="192" t="s">
        <v>790</v>
      </c>
      <c r="H1730" s="192" t="s">
        <v>790</v>
      </c>
      <c r="I1730" t="s">
        <v>3414</v>
      </c>
    </row>
    <row r="1731" spans="2:11" x14ac:dyDescent="0.25">
      <c r="B1731" s="191"/>
      <c r="C1731" s="191"/>
      <c r="D1731" s="192" t="s">
        <v>4191</v>
      </c>
      <c r="E1731" t="s">
        <v>4192</v>
      </c>
      <c r="F1731" s="192" t="s">
        <v>789</v>
      </c>
      <c r="G1731" s="192" t="s">
        <v>3675</v>
      </c>
      <c r="H1731" s="192" t="s">
        <v>3624</v>
      </c>
      <c r="I1731" t="s">
        <v>3414</v>
      </c>
      <c r="J1731" t="s">
        <v>865</v>
      </c>
      <c r="K1731" t="s">
        <v>797</v>
      </c>
    </row>
    <row r="1732" spans="2:11" x14ac:dyDescent="0.25">
      <c r="B1732" s="191"/>
      <c r="C1732" s="191"/>
      <c r="D1732" s="192" t="s">
        <v>4193</v>
      </c>
      <c r="E1732" t="s">
        <v>4194</v>
      </c>
      <c r="F1732" s="192" t="s">
        <v>789</v>
      </c>
      <c r="G1732" s="192" t="s">
        <v>3623</v>
      </c>
      <c r="H1732" s="192" t="s">
        <v>3624</v>
      </c>
      <c r="I1732" t="s">
        <v>3414</v>
      </c>
      <c r="J1732" t="s">
        <v>865</v>
      </c>
      <c r="K1732" t="s">
        <v>797</v>
      </c>
    </row>
    <row r="1733" spans="2:11" x14ac:dyDescent="0.25">
      <c r="B1733" s="191"/>
      <c r="C1733" s="191"/>
      <c r="D1733" s="192" t="s">
        <v>4195</v>
      </c>
      <c r="E1733" t="s">
        <v>4196</v>
      </c>
      <c r="F1733" s="192" t="s">
        <v>789</v>
      </c>
      <c r="G1733" s="192" t="s">
        <v>3627</v>
      </c>
      <c r="H1733" s="192" t="s">
        <v>3624</v>
      </c>
      <c r="I1733" t="s">
        <v>3414</v>
      </c>
      <c r="J1733" t="s">
        <v>865</v>
      </c>
      <c r="K1733" t="s">
        <v>797</v>
      </c>
    </row>
    <row r="1734" spans="2:11" x14ac:dyDescent="0.25">
      <c r="B1734" s="191"/>
      <c r="C1734" s="191"/>
      <c r="D1734" s="192" t="s">
        <v>4197</v>
      </c>
      <c r="E1734" t="s">
        <v>4198</v>
      </c>
      <c r="F1734" s="192" t="s">
        <v>789</v>
      </c>
      <c r="G1734" s="192" t="s">
        <v>3630</v>
      </c>
      <c r="H1734" s="192" t="s">
        <v>3624</v>
      </c>
      <c r="I1734" t="s">
        <v>3414</v>
      </c>
      <c r="J1734" t="s">
        <v>865</v>
      </c>
      <c r="K1734" t="s">
        <v>797</v>
      </c>
    </row>
    <row r="1735" spans="2:11" x14ac:dyDescent="0.25">
      <c r="B1735" s="191"/>
      <c r="C1735" s="191" t="s">
        <v>4199</v>
      </c>
      <c r="D1735" s="192"/>
      <c r="E1735" s="185" t="s">
        <v>4200</v>
      </c>
      <c r="F1735" s="192" t="s">
        <v>789</v>
      </c>
      <c r="G1735" s="192" t="s">
        <v>790</v>
      </c>
      <c r="H1735" s="192" t="s">
        <v>790</v>
      </c>
      <c r="I1735" t="s">
        <v>3414</v>
      </c>
      <c r="J1735" t="s">
        <v>865</v>
      </c>
    </row>
    <row r="1736" spans="2:11" x14ac:dyDescent="0.25">
      <c r="B1736" s="191"/>
      <c r="C1736" s="191" t="s">
        <v>4201</v>
      </c>
      <c r="D1736" s="192"/>
      <c r="E1736" s="185" t="s">
        <v>4202</v>
      </c>
      <c r="F1736" s="192" t="s">
        <v>789</v>
      </c>
      <c r="G1736" s="192" t="s">
        <v>790</v>
      </c>
      <c r="H1736" s="192" t="s">
        <v>790</v>
      </c>
      <c r="I1736" t="s">
        <v>3414</v>
      </c>
    </row>
    <row r="1737" spans="2:11" x14ac:dyDescent="0.25">
      <c r="B1737" s="191"/>
      <c r="C1737" s="191"/>
      <c r="D1737" s="192" t="s">
        <v>4203</v>
      </c>
      <c r="E1737" t="s">
        <v>4204</v>
      </c>
      <c r="F1737" s="192" t="s">
        <v>789</v>
      </c>
      <c r="G1737" s="192" t="s">
        <v>790</v>
      </c>
      <c r="H1737" s="192" t="s">
        <v>790</v>
      </c>
      <c r="I1737" t="s">
        <v>3414</v>
      </c>
      <c r="J1737" t="s">
        <v>865</v>
      </c>
      <c r="K1737" t="s">
        <v>797</v>
      </c>
    </row>
    <row r="1738" spans="2:11" x14ac:dyDescent="0.25">
      <c r="B1738" s="191"/>
      <c r="C1738" s="191"/>
      <c r="D1738" s="192" t="s">
        <v>4205</v>
      </c>
      <c r="E1738" t="s">
        <v>4206</v>
      </c>
      <c r="F1738" s="192" t="s">
        <v>789</v>
      </c>
      <c r="G1738" s="192" t="s">
        <v>790</v>
      </c>
      <c r="H1738" s="192" t="s">
        <v>790</v>
      </c>
      <c r="I1738" t="s">
        <v>3414</v>
      </c>
      <c r="J1738" t="s">
        <v>865</v>
      </c>
      <c r="K1738" t="s">
        <v>797</v>
      </c>
    </row>
    <row r="1739" spans="2:11" x14ac:dyDescent="0.25">
      <c r="B1739" s="191"/>
      <c r="C1739" s="191"/>
      <c r="D1739" s="192" t="s">
        <v>4207</v>
      </c>
      <c r="E1739" t="s">
        <v>4208</v>
      </c>
      <c r="F1739" s="192" t="s">
        <v>789</v>
      </c>
      <c r="G1739" s="192" t="s">
        <v>3623</v>
      </c>
      <c r="H1739" s="192" t="s">
        <v>3624</v>
      </c>
      <c r="I1739" t="s">
        <v>3414</v>
      </c>
      <c r="J1739" t="s">
        <v>865</v>
      </c>
      <c r="K1739" t="s">
        <v>797</v>
      </c>
    </row>
    <row r="1740" spans="2:11" x14ac:dyDescent="0.25">
      <c r="B1740" s="191"/>
      <c r="C1740" s="191"/>
      <c r="D1740" s="192" t="s">
        <v>4209</v>
      </c>
      <c r="E1740" t="s">
        <v>4210</v>
      </c>
      <c r="F1740" s="192" t="s">
        <v>789</v>
      </c>
      <c r="G1740" s="192" t="s">
        <v>3627</v>
      </c>
      <c r="H1740" s="192" t="s">
        <v>3624</v>
      </c>
      <c r="I1740" t="s">
        <v>3414</v>
      </c>
      <c r="J1740" t="s">
        <v>865</v>
      </c>
      <c r="K1740" t="s">
        <v>797</v>
      </c>
    </row>
    <row r="1741" spans="2:11" x14ac:dyDescent="0.25">
      <c r="B1741" s="191"/>
      <c r="C1741" s="191"/>
      <c r="D1741" s="192" t="s">
        <v>4211</v>
      </c>
      <c r="E1741" t="s">
        <v>4212</v>
      </c>
      <c r="F1741" s="192" t="s">
        <v>789</v>
      </c>
      <c r="G1741" s="192" t="s">
        <v>3630</v>
      </c>
      <c r="H1741" s="192" t="s">
        <v>3624</v>
      </c>
      <c r="I1741" t="s">
        <v>3414</v>
      </c>
      <c r="J1741" t="s">
        <v>865</v>
      </c>
      <c r="K1741" t="s">
        <v>797</v>
      </c>
    </row>
    <row r="1742" spans="2:11" x14ac:dyDescent="0.25">
      <c r="B1742" s="191"/>
      <c r="C1742" s="191" t="s">
        <v>4213</v>
      </c>
      <c r="D1742" s="192"/>
      <c r="E1742" s="185" t="s">
        <v>4214</v>
      </c>
      <c r="F1742" s="192" t="s">
        <v>789</v>
      </c>
      <c r="G1742" s="192" t="s">
        <v>790</v>
      </c>
      <c r="H1742" s="192" t="s">
        <v>790</v>
      </c>
      <c r="I1742" t="s">
        <v>3414</v>
      </c>
    </row>
    <row r="1743" spans="2:11" x14ac:dyDescent="0.25">
      <c r="B1743" s="191"/>
      <c r="C1743" s="191"/>
      <c r="D1743" s="192" t="s">
        <v>4215</v>
      </c>
      <c r="E1743" t="s">
        <v>4216</v>
      </c>
      <c r="F1743" s="192" t="s">
        <v>789</v>
      </c>
      <c r="G1743" s="192" t="s">
        <v>3675</v>
      </c>
      <c r="H1743" s="192" t="s">
        <v>3624</v>
      </c>
      <c r="I1743" t="s">
        <v>3414</v>
      </c>
      <c r="J1743" t="s">
        <v>865</v>
      </c>
      <c r="K1743" t="s">
        <v>797</v>
      </c>
    </row>
    <row r="1744" spans="2:11" x14ac:dyDescent="0.25">
      <c r="B1744" s="191"/>
      <c r="C1744" s="191"/>
      <c r="D1744" s="192" t="s">
        <v>4217</v>
      </c>
      <c r="E1744" t="s">
        <v>4218</v>
      </c>
      <c r="F1744" s="192" t="s">
        <v>789</v>
      </c>
      <c r="G1744" s="192" t="s">
        <v>3623</v>
      </c>
      <c r="H1744" s="192" t="s">
        <v>3624</v>
      </c>
      <c r="I1744" t="s">
        <v>3414</v>
      </c>
      <c r="J1744" t="s">
        <v>865</v>
      </c>
      <c r="K1744" t="s">
        <v>797</v>
      </c>
    </row>
    <row r="1745" spans="2:11" x14ac:dyDescent="0.25">
      <c r="B1745" s="191"/>
      <c r="C1745" s="191"/>
      <c r="D1745" s="192" t="s">
        <v>4219</v>
      </c>
      <c r="E1745" t="s">
        <v>4220</v>
      </c>
      <c r="F1745" s="192" t="s">
        <v>789</v>
      </c>
      <c r="G1745" s="192" t="s">
        <v>3627</v>
      </c>
      <c r="H1745" s="192" t="s">
        <v>3624</v>
      </c>
      <c r="I1745" t="s">
        <v>3414</v>
      </c>
      <c r="J1745" t="s">
        <v>865</v>
      </c>
      <c r="K1745" t="s">
        <v>797</v>
      </c>
    </row>
    <row r="1746" spans="2:11" x14ac:dyDescent="0.25">
      <c r="B1746" s="191"/>
      <c r="C1746" s="191"/>
      <c r="D1746" s="192" t="s">
        <v>4221</v>
      </c>
      <c r="E1746" t="s">
        <v>4222</v>
      </c>
      <c r="F1746" s="192" t="s">
        <v>789</v>
      </c>
      <c r="G1746" s="192" t="s">
        <v>3630</v>
      </c>
      <c r="H1746" s="192" t="s">
        <v>3624</v>
      </c>
      <c r="I1746" t="s">
        <v>3414</v>
      </c>
      <c r="J1746" t="s">
        <v>865</v>
      </c>
      <c r="K1746" t="s">
        <v>797</v>
      </c>
    </row>
    <row r="1747" spans="2:11" x14ac:dyDescent="0.25">
      <c r="B1747" s="191"/>
      <c r="C1747" s="191" t="s">
        <v>4223</v>
      </c>
      <c r="D1747" s="192"/>
      <c r="E1747" s="185" t="s">
        <v>4224</v>
      </c>
      <c r="F1747" s="192" t="s">
        <v>789</v>
      </c>
      <c r="G1747" s="192" t="s">
        <v>790</v>
      </c>
      <c r="H1747" s="192" t="s">
        <v>790</v>
      </c>
      <c r="I1747" t="s">
        <v>3414</v>
      </c>
    </row>
    <row r="1748" spans="2:11" x14ac:dyDescent="0.25">
      <c r="B1748" s="191"/>
      <c r="C1748" s="191"/>
      <c r="D1748" s="192" t="s">
        <v>4225</v>
      </c>
      <c r="E1748" t="s">
        <v>4226</v>
      </c>
      <c r="F1748" s="192" t="s">
        <v>789</v>
      </c>
      <c r="G1748" s="192" t="s">
        <v>3675</v>
      </c>
      <c r="H1748" s="192" t="s">
        <v>3624</v>
      </c>
      <c r="I1748" t="s">
        <v>3414</v>
      </c>
      <c r="J1748" t="s">
        <v>865</v>
      </c>
      <c r="K1748" t="s">
        <v>797</v>
      </c>
    </row>
    <row r="1749" spans="2:11" x14ac:dyDescent="0.25">
      <c r="B1749" s="191"/>
      <c r="C1749" s="191"/>
      <c r="D1749" s="192" t="s">
        <v>4227</v>
      </c>
      <c r="E1749" t="s">
        <v>4228</v>
      </c>
      <c r="F1749" s="192" t="s">
        <v>789</v>
      </c>
      <c r="G1749" s="192" t="s">
        <v>3623</v>
      </c>
      <c r="H1749" s="192" t="s">
        <v>3624</v>
      </c>
      <c r="I1749" t="s">
        <v>3414</v>
      </c>
      <c r="J1749" t="s">
        <v>865</v>
      </c>
      <c r="K1749" t="s">
        <v>797</v>
      </c>
    </row>
    <row r="1750" spans="2:11" x14ac:dyDescent="0.25">
      <c r="B1750" s="191"/>
      <c r="C1750" s="191"/>
      <c r="D1750" s="192" t="s">
        <v>4229</v>
      </c>
      <c r="E1750" t="s">
        <v>4230</v>
      </c>
      <c r="F1750" s="192" t="s">
        <v>789</v>
      </c>
      <c r="G1750" s="192" t="s">
        <v>3627</v>
      </c>
      <c r="H1750" s="192" t="s">
        <v>3624</v>
      </c>
      <c r="I1750" t="s">
        <v>3414</v>
      </c>
      <c r="J1750" t="s">
        <v>865</v>
      </c>
      <c r="K1750" t="s">
        <v>797</v>
      </c>
    </row>
    <row r="1751" spans="2:11" x14ac:dyDescent="0.25">
      <c r="B1751" s="191"/>
      <c r="C1751" s="191"/>
      <c r="D1751" s="192" t="s">
        <v>4231</v>
      </c>
      <c r="E1751" t="s">
        <v>4232</v>
      </c>
      <c r="F1751" s="192" t="s">
        <v>789</v>
      </c>
      <c r="G1751" s="192" t="s">
        <v>3630</v>
      </c>
      <c r="H1751" s="192" t="s">
        <v>3624</v>
      </c>
      <c r="I1751" t="s">
        <v>3414</v>
      </c>
      <c r="J1751" t="s">
        <v>865</v>
      </c>
      <c r="K1751" t="s">
        <v>797</v>
      </c>
    </row>
    <row r="1752" spans="2:11" x14ac:dyDescent="0.25">
      <c r="B1752" s="191"/>
      <c r="C1752" s="191" t="s">
        <v>4233</v>
      </c>
      <c r="D1752" s="192"/>
      <c r="E1752" s="185" t="s">
        <v>4234</v>
      </c>
      <c r="F1752" s="192" t="s">
        <v>789</v>
      </c>
      <c r="G1752" s="192" t="s">
        <v>790</v>
      </c>
      <c r="H1752" s="192" t="s">
        <v>790</v>
      </c>
      <c r="I1752" t="s">
        <v>3414</v>
      </c>
    </row>
    <row r="1753" spans="2:11" x14ac:dyDescent="0.25">
      <c r="B1753" s="191"/>
      <c r="C1753" s="191"/>
      <c r="D1753" s="192" t="s">
        <v>4235</v>
      </c>
      <c r="E1753" t="s">
        <v>4236</v>
      </c>
      <c r="F1753" s="192" t="s">
        <v>789</v>
      </c>
      <c r="G1753" s="192" t="s">
        <v>3675</v>
      </c>
      <c r="H1753" s="192" t="s">
        <v>3624</v>
      </c>
      <c r="I1753" t="s">
        <v>3414</v>
      </c>
      <c r="J1753" t="s">
        <v>865</v>
      </c>
      <c r="K1753" t="s">
        <v>797</v>
      </c>
    </row>
    <row r="1754" spans="2:11" x14ac:dyDescent="0.25">
      <c r="B1754" s="191"/>
      <c r="C1754" s="191"/>
      <c r="D1754" s="192" t="s">
        <v>4237</v>
      </c>
      <c r="E1754" t="s">
        <v>4238</v>
      </c>
      <c r="F1754" s="192" t="s">
        <v>789</v>
      </c>
      <c r="G1754" s="192" t="s">
        <v>3623</v>
      </c>
      <c r="H1754" s="192" t="s">
        <v>3624</v>
      </c>
      <c r="I1754" t="s">
        <v>3414</v>
      </c>
      <c r="J1754" t="s">
        <v>865</v>
      </c>
      <c r="K1754" t="s">
        <v>797</v>
      </c>
    </row>
    <row r="1755" spans="2:11" x14ac:dyDescent="0.25">
      <c r="B1755" s="191"/>
      <c r="C1755" s="191"/>
      <c r="D1755" s="192" t="s">
        <v>4239</v>
      </c>
      <c r="E1755" t="s">
        <v>4240</v>
      </c>
      <c r="F1755" s="192" t="s">
        <v>789</v>
      </c>
      <c r="G1755" s="192" t="s">
        <v>3627</v>
      </c>
      <c r="H1755" s="192" t="s">
        <v>3624</v>
      </c>
      <c r="I1755" t="s">
        <v>3414</v>
      </c>
      <c r="J1755" t="s">
        <v>865</v>
      </c>
      <c r="K1755" t="s">
        <v>797</v>
      </c>
    </row>
    <row r="1756" spans="2:11" x14ac:dyDescent="0.25">
      <c r="B1756" s="191"/>
      <c r="C1756" s="191"/>
      <c r="D1756" s="192" t="s">
        <v>4241</v>
      </c>
      <c r="E1756" t="s">
        <v>4242</v>
      </c>
      <c r="F1756" s="192" t="s">
        <v>789</v>
      </c>
      <c r="G1756" s="192" t="s">
        <v>3630</v>
      </c>
      <c r="H1756" s="192" t="s">
        <v>3624</v>
      </c>
      <c r="I1756" t="s">
        <v>3414</v>
      </c>
      <c r="J1756" t="s">
        <v>865</v>
      </c>
      <c r="K1756" t="s">
        <v>797</v>
      </c>
    </row>
    <row r="1757" spans="2:11" x14ac:dyDescent="0.25">
      <c r="B1757" s="191"/>
      <c r="C1757" s="191" t="s">
        <v>4243</v>
      </c>
      <c r="D1757" s="192"/>
      <c r="E1757" s="185" t="s">
        <v>4244</v>
      </c>
      <c r="F1757" s="192" t="s">
        <v>789</v>
      </c>
      <c r="G1757" s="192" t="s">
        <v>790</v>
      </c>
      <c r="H1757" s="192" t="s">
        <v>790</v>
      </c>
      <c r="I1757" t="s">
        <v>3414</v>
      </c>
    </row>
    <row r="1758" spans="2:11" x14ac:dyDescent="0.25">
      <c r="B1758" s="191"/>
      <c r="C1758" s="191"/>
      <c r="D1758" s="192" t="s">
        <v>4245</v>
      </c>
      <c r="E1758" t="s">
        <v>4246</v>
      </c>
      <c r="F1758" s="192" t="s">
        <v>789</v>
      </c>
      <c r="G1758" s="192" t="s">
        <v>3675</v>
      </c>
      <c r="H1758" s="192" t="s">
        <v>3624</v>
      </c>
      <c r="I1758" t="s">
        <v>3414</v>
      </c>
      <c r="J1758" t="s">
        <v>865</v>
      </c>
      <c r="K1758" t="s">
        <v>797</v>
      </c>
    </row>
    <row r="1759" spans="2:11" x14ac:dyDescent="0.25">
      <c r="B1759" s="191"/>
      <c r="C1759" s="191"/>
      <c r="D1759" s="192" t="s">
        <v>4247</v>
      </c>
      <c r="E1759" t="s">
        <v>4248</v>
      </c>
      <c r="F1759" s="192" t="s">
        <v>789</v>
      </c>
      <c r="G1759" s="192" t="s">
        <v>3623</v>
      </c>
      <c r="H1759" s="192" t="s">
        <v>3624</v>
      </c>
      <c r="I1759" t="s">
        <v>3414</v>
      </c>
      <c r="J1759" t="s">
        <v>865</v>
      </c>
      <c r="K1759" t="s">
        <v>797</v>
      </c>
    </row>
    <row r="1760" spans="2:11" x14ac:dyDescent="0.25">
      <c r="B1760" s="191"/>
      <c r="C1760" s="191"/>
      <c r="D1760" s="192" t="s">
        <v>4249</v>
      </c>
      <c r="E1760" t="s">
        <v>4250</v>
      </c>
      <c r="F1760" s="192" t="s">
        <v>789</v>
      </c>
      <c r="G1760" s="192" t="s">
        <v>3627</v>
      </c>
      <c r="H1760" s="192" t="s">
        <v>3624</v>
      </c>
      <c r="I1760" t="s">
        <v>3414</v>
      </c>
      <c r="J1760" t="s">
        <v>865</v>
      </c>
      <c r="K1760" t="s">
        <v>797</v>
      </c>
    </row>
    <row r="1761" spans="2:11" x14ac:dyDescent="0.25">
      <c r="B1761" s="191"/>
      <c r="C1761" s="191"/>
      <c r="D1761" s="192" t="s">
        <v>4251</v>
      </c>
      <c r="E1761" t="s">
        <v>4252</v>
      </c>
      <c r="F1761" s="192" t="s">
        <v>789</v>
      </c>
      <c r="G1761" s="192" t="s">
        <v>3630</v>
      </c>
      <c r="H1761" s="192" t="s">
        <v>3624</v>
      </c>
      <c r="I1761" t="s">
        <v>3414</v>
      </c>
      <c r="J1761" t="s">
        <v>865</v>
      </c>
      <c r="K1761" t="s">
        <v>797</v>
      </c>
    </row>
    <row r="1762" spans="2:11" x14ac:dyDescent="0.25">
      <c r="B1762" s="191"/>
      <c r="C1762" s="191" t="s">
        <v>4253</v>
      </c>
      <c r="D1762" s="192"/>
      <c r="E1762" s="185" t="s">
        <v>4254</v>
      </c>
      <c r="F1762" s="192" t="s">
        <v>789</v>
      </c>
      <c r="G1762" s="192" t="s">
        <v>790</v>
      </c>
      <c r="H1762" s="192" t="s">
        <v>790</v>
      </c>
      <c r="I1762" t="s">
        <v>3414</v>
      </c>
    </row>
    <row r="1763" spans="2:11" x14ac:dyDescent="0.25">
      <c r="B1763" s="191"/>
      <c r="C1763" s="191"/>
      <c r="D1763" s="192" t="s">
        <v>4255</v>
      </c>
      <c r="E1763" t="s">
        <v>4256</v>
      </c>
      <c r="F1763" s="192" t="s">
        <v>789</v>
      </c>
      <c r="G1763" s="192" t="s">
        <v>3675</v>
      </c>
      <c r="H1763" s="192" t="s">
        <v>3624</v>
      </c>
      <c r="I1763" t="s">
        <v>3414</v>
      </c>
      <c r="J1763" t="s">
        <v>865</v>
      </c>
      <c r="K1763" t="s">
        <v>797</v>
      </c>
    </row>
    <row r="1764" spans="2:11" x14ac:dyDescent="0.25">
      <c r="B1764" s="191"/>
      <c r="C1764" s="191"/>
      <c r="D1764" s="192" t="s">
        <v>4257</v>
      </c>
      <c r="E1764" t="s">
        <v>4258</v>
      </c>
      <c r="F1764" s="192" t="s">
        <v>789</v>
      </c>
      <c r="G1764" s="192" t="s">
        <v>3623</v>
      </c>
      <c r="H1764" s="192" t="s">
        <v>3624</v>
      </c>
      <c r="I1764" t="s">
        <v>3414</v>
      </c>
      <c r="J1764" t="s">
        <v>865</v>
      </c>
      <c r="K1764" t="s">
        <v>797</v>
      </c>
    </row>
    <row r="1765" spans="2:11" x14ac:dyDescent="0.25">
      <c r="B1765" s="191"/>
      <c r="C1765" s="191"/>
      <c r="D1765" s="192" t="s">
        <v>4259</v>
      </c>
      <c r="E1765" t="s">
        <v>4260</v>
      </c>
      <c r="F1765" s="192" t="s">
        <v>789</v>
      </c>
      <c r="G1765" s="192" t="s">
        <v>3627</v>
      </c>
      <c r="H1765" s="192" t="s">
        <v>3624</v>
      </c>
      <c r="I1765" t="s">
        <v>3414</v>
      </c>
      <c r="J1765" t="s">
        <v>865</v>
      </c>
      <c r="K1765" t="s">
        <v>797</v>
      </c>
    </row>
    <row r="1766" spans="2:11" x14ac:dyDescent="0.25">
      <c r="B1766" s="191"/>
      <c r="C1766" s="191"/>
      <c r="D1766" s="192" t="s">
        <v>4261</v>
      </c>
      <c r="E1766" t="s">
        <v>4262</v>
      </c>
      <c r="F1766" s="192" t="s">
        <v>789</v>
      </c>
      <c r="G1766" s="192" t="s">
        <v>3630</v>
      </c>
      <c r="H1766" s="192" t="s">
        <v>3624</v>
      </c>
      <c r="I1766" t="s">
        <v>3414</v>
      </c>
      <c r="J1766" t="s">
        <v>865</v>
      </c>
      <c r="K1766" t="s">
        <v>797</v>
      </c>
    </row>
    <row r="1767" spans="2:11" x14ac:dyDescent="0.25">
      <c r="B1767" s="191"/>
      <c r="C1767" s="191" t="s">
        <v>4263</v>
      </c>
      <c r="D1767" s="192"/>
      <c r="E1767" s="185" t="s">
        <v>4264</v>
      </c>
      <c r="F1767" s="192" t="s">
        <v>789</v>
      </c>
      <c r="G1767" s="192" t="s">
        <v>790</v>
      </c>
      <c r="H1767" s="192" t="s">
        <v>790</v>
      </c>
      <c r="I1767" t="s">
        <v>3414</v>
      </c>
    </row>
    <row r="1768" spans="2:11" x14ac:dyDescent="0.25">
      <c r="B1768" s="191"/>
      <c r="C1768" s="191"/>
      <c r="D1768" s="192" t="s">
        <v>4265</v>
      </c>
      <c r="E1768" t="s">
        <v>4266</v>
      </c>
      <c r="F1768" s="192" t="s">
        <v>789</v>
      </c>
      <c r="G1768" s="192" t="s">
        <v>3675</v>
      </c>
      <c r="H1768" s="192" t="s">
        <v>3624</v>
      </c>
      <c r="I1768" t="s">
        <v>3414</v>
      </c>
      <c r="J1768" t="s">
        <v>865</v>
      </c>
      <c r="K1768" t="s">
        <v>797</v>
      </c>
    </row>
    <row r="1769" spans="2:11" x14ac:dyDescent="0.25">
      <c r="B1769" s="191"/>
      <c r="C1769" s="191"/>
      <c r="D1769" s="192" t="s">
        <v>4267</v>
      </c>
      <c r="E1769" t="s">
        <v>4268</v>
      </c>
      <c r="F1769" s="192" t="s">
        <v>789</v>
      </c>
      <c r="G1769" s="192" t="s">
        <v>3623</v>
      </c>
      <c r="H1769" s="192" t="s">
        <v>3624</v>
      </c>
      <c r="I1769" t="s">
        <v>3414</v>
      </c>
      <c r="J1769" t="s">
        <v>865</v>
      </c>
      <c r="K1769" t="s">
        <v>797</v>
      </c>
    </row>
    <row r="1770" spans="2:11" x14ac:dyDescent="0.25">
      <c r="B1770" s="191"/>
      <c r="C1770" s="191"/>
      <c r="D1770" s="192" t="s">
        <v>4269</v>
      </c>
      <c r="E1770" t="s">
        <v>4270</v>
      </c>
      <c r="F1770" s="192" t="s">
        <v>789</v>
      </c>
      <c r="G1770" s="192" t="s">
        <v>3627</v>
      </c>
      <c r="H1770" s="192" t="s">
        <v>3624</v>
      </c>
      <c r="I1770" t="s">
        <v>3414</v>
      </c>
      <c r="J1770" t="s">
        <v>865</v>
      </c>
      <c r="K1770" t="s">
        <v>797</v>
      </c>
    </row>
    <row r="1771" spans="2:11" s="91" customFormat="1" x14ac:dyDescent="0.25">
      <c r="B1771" s="193"/>
      <c r="C1771" s="193"/>
      <c r="D1771" s="194" t="s">
        <v>4271</v>
      </c>
      <c r="E1771" s="91" t="s">
        <v>4272</v>
      </c>
      <c r="F1771" s="194" t="s">
        <v>789</v>
      </c>
      <c r="G1771" s="194" t="s">
        <v>3630</v>
      </c>
      <c r="H1771" s="194" t="s">
        <v>3624</v>
      </c>
      <c r="I1771" s="91" t="s">
        <v>3414</v>
      </c>
      <c r="J1771" s="91" t="s">
        <v>865</v>
      </c>
      <c r="K1771" s="91" t="s">
        <v>797</v>
      </c>
    </row>
    <row r="1772" spans="2:11" x14ac:dyDescent="0.25">
      <c r="B1772" s="191"/>
      <c r="C1772" s="191" t="s">
        <v>4273</v>
      </c>
      <c r="D1772" s="192"/>
      <c r="E1772" s="185" t="s">
        <v>4274</v>
      </c>
      <c r="F1772" s="192" t="s">
        <v>789</v>
      </c>
      <c r="G1772" s="192" t="s">
        <v>790</v>
      </c>
      <c r="H1772" s="192" t="s">
        <v>790</v>
      </c>
      <c r="I1772" t="s">
        <v>3414</v>
      </c>
      <c r="J1772" t="s">
        <v>865</v>
      </c>
    </row>
    <row r="1773" spans="2:11" x14ac:dyDescent="0.25">
      <c r="B1773" s="191"/>
      <c r="C1773" s="191" t="s">
        <v>4275</v>
      </c>
      <c r="D1773" s="192"/>
      <c r="E1773" s="185" t="s">
        <v>4276</v>
      </c>
      <c r="F1773" s="192" t="s">
        <v>789</v>
      </c>
      <c r="G1773" s="192" t="s">
        <v>790</v>
      </c>
      <c r="H1773" s="192" t="s">
        <v>790</v>
      </c>
      <c r="I1773" t="s">
        <v>3414</v>
      </c>
    </row>
    <row r="1774" spans="2:11" x14ac:dyDescent="0.25">
      <c r="B1774" s="191"/>
      <c r="C1774" s="191"/>
      <c r="D1774" s="192" t="s">
        <v>4277</v>
      </c>
      <c r="E1774" t="s">
        <v>4278</v>
      </c>
      <c r="F1774" s="192" t="s">
        <v>789</v>
      </c>
      <c r="G1774" s="192" t="s">
        <v>3675</v>
      </c>
      <c r="H1774" s="192" t="s">
        <v>3624</v>
      </c>
      <c r="I1774" t="s">
        <v>3414</v>
      </c>
      <c r="J1774" t="s">
        <v>865</v>
      </c>
      <c r="K1774" t="s">
        <v>797</v>
      </c>
    </row>
    <row r="1775" spans="2:11" x14ac:dyDescent="0.25">
      <c r="B1775" s="191"/>
      <c r="C1775" s="191"/>
      <c r="D1775" s="192" t="s">
        <v>4279</v>
      </c>
      <c r="E1775" t="s">
        <v>4280</v>
      </c>
      <c r="F1775" s="192" t="s">
        <v>789</v>
      </c>
      <c r="G1775" s="192" t="s">
        <v>3623</v>
      </c>
      <c r="H1775" s="192" t="s">
        <v>3624</v>
      </c>
      <c r="I1775" t="s">
        <v>3414</v>
      </c>
      <c r="J1775" t="s">
        <v>865</v>
      </c>
      <c r="K1775" t="s">
        <v>797</v>
      </c>
    </row>
    <row r="1776" spans="2:11" x14ac:dyDescent="0.25">
      <c r="B1776" s="191"/>
      <c r="C1776" s="191"/>
      <c r="D1776" s="192" t="s">
        <v>4281</v>
      </c>
      <c r="E1776" t="s">
        <v>4282</v>
      </c>
      <c r="F1776" s="192" t="s">
        <v>789</v>
      </c>
      <c r="G1776" s="192" t="s">
        <v>3627</v>
      </c>
      <c r="H1776" s="192" t="s">
        <v>3624</v>
      </c>
      <c r="I1776" t="s">
        <v>3414</v>
      </c>
      <c r="J1776" t="s">
        <v>865</v>
      </c>
      <c r="K1776" t="s">
        <v>797</v>
      </c>
    </row>
    <row r="1777" spans="2:11" x14ac:dyDescent="0.25">
      <c r="B1777" s="191"/>
      <c r="C1777" s="191"/>
      <c r="D1777" s="192" t="s">
        <v>499</v>
      </c>
      <c r="E1777" t="s">
        <v>4283</v>
      </c>
      <c r="F1777" s="192" t="s">
        <v>789</v>
      </c>
      <c r="G1777" s="192" t="s">
        <v>3630</v>
      </c>
      <c r="H1777" s="192" t="s">
        <v>3624</v>
      </c>
      <c r="I1777" t="s">
        <v>3414</v>
      </c>
      <c r="J1777" t="s">
        <v>865</v>
      </c>
      <c r="K1777" t="s">
        <v>797</v>
      </c>
    </row>
    <row r="1778" spans="2:11" x14ac:dyDescent="0.25">
      <c r="B1778" s="191"/>
      <c r="C1778" s="191" t="s">
        <v>4284</v>
      </c>
      <c r="D1778" s="192"/>
      <c r="E1778" s="185" t="s">
        <v>4285</v>
      </c>
      <c r="F1778" s="192" t="s">
        <v>789</v>
      </c>
      <c r="G1778" s="192" t="s">
        <v>790</v>
      </c>
      <c r="H1778" s="192" t="s">
        <v>790</v>
      </c>
      <c r="I1778" t="s">
        <v>3414</v>
      </c>
    </row>
    <row r="1779" spans="2:11" x14ac:dyDescent="0.25">
      <c r="B1779" s="191"/>
      <c r="C1779" s="191"/>
      <c r="D1779" s="192" t="s">
        <v>4286</v>
      </c>
      <c r="E1779" t="s">
        <v>4287</v>
      </c>
      <c r="F1779" s="192" t="s">
        <v>789</v>
      </c>
      <c r="G1779" s="192" t="s">
        <v>3675</v>
      </c>
      <c r="H1779" s="192" t="s">
        <v>3624</v>
      </c>
      <c r="I1779" t="s">
        <v>3414</v>
      </c>
      <c r="J1779" t="s">
        <v>865</v>
      </c>
      <c r="K1779" t="s">
        <v>797</v>
      </c>
    </row>
    <row r="1780" spans="2:11" x14ac:dyDescent="0.25">
      <c r="B1780" s="191"/>
      <c r="C1780" s="191"/>
      <c r="D1780" s="192" t="s">
        <v>4288</v>
      </c>
      <c r="E1780" t="s">
        <v>4289</v>
      </c>
      <c r="F1780" s="192" t="s">
        <v>789</v>
      </c>
      <c r="G1780" s="192" t="s">
        <v>3623</v>
      </c>
      <c r="H1780" s="192" t="s">
        <v>3624</v>
      </c>
      <c r="I1780" t="s">
        <v>3414</v>
      </c>
      <c r="J1780" t="s">
        <v>865</v>
      </c>
      <c r="K1780" t="s">
        <v>797</v>
      </c>
    </row>
    <row r="1781" spans="2:11" x14ac:dyDescent="0.25">
      <c r="B1781" s="191"/>
      <c r="C1781" s="191"/>
      <c r="D1781" s="192" t="s">
        <v>4290</v>
      </c>
      <c r="E1781" t="s">
        <v>4291</v>
      </c>
      <c r="F1781" s="192" t="s">
        <v>789</v>
      </c>
      <c r="G1781" s="192" t="s">
        <v>3627</v>
      </c>
      <c r="H1781" s="192" t="s">
        <v>3624</v>
      </c>
      <c r="I1781" t="s">
        <v>3414</v>
      </c>
      <c r="J1781" t="s">
        <v>865</v>
      </c>
      <c r="K1781" t="s">
        <v>797</v>
      </c>
    </row>
    <row r="1782" spans="2:11" s="198" customFormat="1" x14ac:dyDescent="0.25">
      <c r="B1782" s="196"/>
      <c r="C1782" s="196"/>
      <c r="D1782" s="197" t="s">
        <v>4292</v>
      </c>
      <c r="E1782" s="198" t="s">
        <v>4293</v>
      </c>
      <c r="F1782" s="197" t="s">
        <v>789</v>
      </c>
      <c r="G1782" s="197" t="s">
        <v>3630</v>
      </c>
      <c r="H1782" s="197" t="s">
        <v>3624</v>
      </c>
      <c r="I1782" s="198" t="s">
        <v>3414</v>
      </c>
      <c r="J1782" s="198" t="s">
        <v>865</v>
      </c>
      <c r="K1782" s="198" t="s">
        <v>797</v>
      </c>
    </row>
    <row r="1783" spans="2:11" x14ac:dyDescent="0.25">
      <c r="B1783" s="191"/>
      <c r="C1783" s="191" t="s">
        <v>4294</v>
      </c>
      <c r="D1783" s="192"/>
      <c r="E1783" s="185" t="s">
        <v>4295</v>
      </c>
      <c r="F1783" s="192" t="s">
        <v>789</v>
      </c>
      <c r="G1783" s="192" t="s">
        <v>790</v>
      </c>
      <c r="H1783" s="192" t="s">
        <v>790</v>
      </c>
      <c r="I1783" t="s">
        <v>3414</v>
      </c>
    </row>
    <row r="1784" spans="2:11" x14ac:dyDescent="0.25">
      <c r="B1784" s="191"/>
      <c r="C1784" s="191"/>
      <c r="D1784" s="192" t="s">
        <v>4296</v>
      </c>
      <c r="E1784" t="s">
        <v>4297</v>
      </c>
      <c r="F1784" s="192" t="s">
        <v>789</v>
      </c>
      <c r="G1784" s="192" t="s">
        <v>3675</v>
      </c>
      <c r="H1784" s="192" t="s">
        <v>3624</v>
      </c>
      <c r="I1784" t="s">
        <v>3414</v>
      </c>
      <c r="J1784" t="s">
        <v>865</v>
      </c>
      <c r="K1784" t="s">
        <v>797</v>
      </c>
    </row>
    <row r="1785" spans="2:11" x14ac:dyDescent="0.25">
      <c r="B1785" s="191"/>
      <c r="C1785" s="191"/>
      <c r="D1785" s="192" t="s">
        <v>4298</v>
      </c>
      <c r="E1785" t="s">
        <v>4299</v>
      </c>
      <c r="F1785" s="192" t="s">
        <v>789</v>
      </c>
      <c r="G1785" s="192" t="s">
        <v>3623</v>
      </c>
      <c r="H1785" s="192" t="s">
        <v>3624</v>
      </c>
      <c r="I1785" t="s">
        <v>3414</v>
      </c>
      <c r="J1785" t="s">
        <v>865</v>
      </c>
      <c r="K1785" t="s">
        <v>797</v>
      </c>
    </row>
    <row r="1786" spans="2:11" x14ac:dyDescent="0.25">
      <c r="B1786" s="191"/>
      <c r="C1786" s="191"/>
      <c r="D1786" s="192" t="s">
        <v>4300</v>
      </c>
      <c r="E1786" t="s">
        <v>4301</v>
      </c>
      <c r="F1786" s="192" t="s">
        <v>789</v>
      </c>
      <c r="G1786" s="192" t="s">
        <v>3627</v>
      </c>
      <c r="H1786" s="192" t="s">
        <v>3624</v>
      </c>
      <c r="I1786" t="s">
        <v>3414</v>
      </c>
      <c r="J1786" t="s">
        <v>865</v>
      </c>
      <c r="K1786" t="s">
        <v>797</v>
      </c>
    </row>
    <row r="1787" spans="2:11" x14ac:dyDescent="0.25">
      <c r="B1787" s="191"/>
      <c r="C1787" s="191"/>
      <c r="D1787" s="192" t="s">
        <v>4302</v>
      </c>
      <c r="E1787" t="s">
        <v>4303</v>
      </c>
      <c r="F1787" s="192" t="s">
        <v>789</v>
      </c>
      <c r="G1787" s="192" t="s">
        <v>3630</v>
      </c>
      <c r="H1787" s="192" t="s">
        <v>3624</v>
      </c>
      <c r="I1787" t="s">
        <v>3414</v>
      </c>
      <c r="J1787" t="s">
        <v>865</v>
      </c>
      <c r="K1787" t="s">
        <v>797</v>
      </c>
    </row>
    <row r="1788" spans="2:11" x14ac:dyDescent="0.25">
      <c r="B1788" s="191"/>
      <c r="C1788" s="191" t="s">
        <v>4304</v>
      </c>
      <c r="D1788" s="192"/>
      <c r="E1788" s="185" t="s">
        <v>4305</v>
      </c>
      <c r="F1788" s="192" t="s">
        <v>789</v>
      </c>
      <c r="G1788" s="192" t="s">
        <v>790</v>
      </c>
      <c r="H1788" s="192" t="s">
        <v>790</v>
      </c>
      <c r="I1788" t="s">
        <v>3414</v>
      </c>
    </row>
    <row r="1789" spans="2:11" x14ac:dyDescent="0.25">
      <c r="B1789" s="191"/>
      <c r="C1789" s="191"/>
      <c r="D1789" s="192" t="s">
        <v>4306</v>
      </c>
      <c r="E1789" t="s">
        <v>4307</v>
      </c>
      <c r="F1789" s="192" t="s">
        <v>789</v>
      </c>
      <c r="G1789" s="192" t="s">
        <v>3675</v>
      </c>
      <c r="H1789" s="192" t="s">
        <v>3624</v>
      </c>
      <c r="I1789" t="s">
        <v>3414</v>
      </c>
      <c r="J1789" t="s">
        <v>865</v>
      </c>
      <c r="K1789" t="s">
        <v>797</v>
      </c>
    </row>
    <row r="1790" spans="2:11" x14ac:dyDescent="0.25">
      <c r="B1790" s="191"/>
      <c r="C1790" s="191"/>
      <c r="D1790" s="192" t="s">
        <v>4308</v>
      </c>
      <c r="E1790" t="s">
        <v>4309</v>
      </c>
      <c r="F1790" s="192" t="s">
        <v>789</v>
      </c>
      <c r="G1790" s="192" t="s">
        <v>3623</v>
      </c>
      <c r="H1790" s="192" t="s">
        <v>3624</v>
      </c>
      <c r="I1790" t="s">
        <v>3414</v>
      </c>
      <c r="J1790" t="s">
        <v>865</v>
      </c>
      <c r="K1790" t="s">
        <v>797</v>
      </c>
    </row>
    <row r="1791" spans="2:11" x14ac:dyDescent="0.25">
      <c r="B1791" s="191"/>
      <c r="C1791" s="191"/>
      <c r="D1791" s="192" t="s">
        <v>4310</v>
      </c>
      <c r="E1791" t="s">
        <v>4311</v>
      </c>
      <c r="F1791" s="192" t="s">
        <v>789</v>
      </c>
      <c r="G1791" s="192" t="s">
        <v>3627</v>
      </c>
      <c r="H1791" s="192" t="s">
        <v>3624</v>
      </c>
      <c r="I1791" t="s">
        <v>3414</v>
      </c>
      <c r="J1791" t="s">
        <v>865</v>
      </c>
      <c r="K1791" t="s">
        <v>797</v>
      </c>
    </row>
    <row r="1792" spans="2:11" x14ac:dyDescent="0.25">
      <c r="B1792" s="191"/>
      <c r="C1792" s="191"/>
      <c r="D1792" s="192" t="s">
        <v>4312</v>
      </c>
      <c r="E1792" t="s">
        <v>4313</v>
      </c>
      <c r="F1792" s="192" t="s">
        <v>789</v>
      </c>
      <c r="G1792" s="192" t="s">
        <v>3630</v>
      </c>
      <c r="H1792" s="192" t="s">
        <v>3624</v>
      </c>
      <c r="I1792" t="s">
        <v>3414</v>
      </c>
      <c r="J1792" t="s">
        <v>865</v>
      </c>
      <c r="K1792" t="s">
        <v>797</v>
      </c>
    </row>
    <row r="1793" spans="2:11" x14ac:dyDescent="0.25">
      <c r="B1793" s="191"/>
      <c r="C1793" s="191" t="s">
        <v>4314</v>
      </c>
      <c r="D1793" s="192"/>
      <c r="E1793" s="185" t="s">
        <v>4315</v>
      </c>
      <c r="F1793" s="192" t="s">
        <v>789</v>
      </c>
      <c r="G1793" s="192" t="s">
        <v>790</v>
      </c>
      <c r="H1793" s="192" t="s">
        <v>790</v>
      </c>
      <c r="I1793" t="s">
        <v>3414</v>
      </c>
      <c r="J1793" t="s">
        <v>865</v>
      </c>
    </row>
    <row r="1794" spans="2:11" x14ac:dyDescent="0.25">
      <c r="B1794" s="191"/>
      <c r="C1794" s="191" t="s">
        <v>4316</v>
      </c>
      <c r="D1794" s="192"/>
      <c r="E1794" s="185" t="s">
        <v>4317</v>
      </c>
      <c r="F1794" s="192" t="s">
        <v>789</v>
      </c>
      <c r="G1794" s="192" t="s">
        <v>790</v>
      </c>
      <c r="H1794" s="192" t="s">
        <v>790</v>
      </c>
      <c r="I1794" t="s">
        <v>3414</v>
      </c>
    </row>
    <row r="1795" spans="2:11" x14ac:dyDescent="0.25">
      <c r="B1795" s="191"/>
      <c r="C1795" s="191"/>
      <c r="D1795" s="192" t="s">
        <v>4318</v>
      </c>
      <c r="E1795" t="s">
        <v>4319</v>
      </c>
      <c r="F1795" s="192" t="s">
        <v>789</v>
      </c>
      <c r="G1795" s="192" t="s">
        <v>3627</v>
      </c>
      <c r="H1795" s="192" t="s">
        <v>3624</v>
      </c>
      <c r="I1795" t="s">
        <v>3414</v>
      </c>
      <c r="J1795" t="s">
        <v>865</v>
      </c>
      <c r="K1795" t="s">
        <v>797</v>
      </c>
    </row>
    <row r="1796" spans="2:11" x14ac:dyDescent="0.25">
      <c r="B1796" s="191"/>
      <c r="C1796" s="191"/>
      <c r="D1796" s="192" t="s">
        <v>4320</v>
      </c>
      <c r="E1796" t="s">
        <v>4321</v>
      </c>
      <c r="F1796" s="192" t="s">
        <v>789</v>
      </c>
      <c r="G1796" s="192" t="s">
        <v>3630</v>
      </c>
      <c r="H1796" s="192" t="s">
        <v>3624</v>
      </c>
      <c r="I1796" t="s">
        <v>3414</v>
      </c>
      <c r="J1796" t="s">
        <v>865</v>
      </c>
      <c r="K1796" t="s">
        <v>797</v>
      </c>
    </row>
    <row r="1797" spans="2:11" x14ac:dyDescent="0.25">
      <c r="B1797" s="191"/>
      <c r="C1797" s="191" t="s">
        <v>4322</v>
      </c>
      <c r="D1797" s="192"/>
      <c r="E1797" s="185" t="s">
        <v>4323</v>
      </c>
      <c r="F1797" s="192" t="s">
        <v>789</v>
      </c>
      <c r="G1797" s="192" t="s">
        <v>790</v>
      </c>
      <c r="H1797" s="192" t="s">
        <v>790</v>
      </c>
      <c r="I1797" t="s">
        <v>3414</v>
      </c>
    </row>
    <row r="1798" spans="2:11" x14ac:dyDescent="0.25">
      <c r="B1798" s="191"/>
      <c r="C1798" s="191"/>
      <c r="D1798" s="192" t="s">
        <v>4324</v>
      </c>
      <c r="E1798" t="s">
        <v>4325</v>
      </c>
      <c r="F1798" s="192" t="s">
        <v>789</v>
      </c>
      <c r="G1798" s="192" t="s">
        <v>3675</v>
      </c>
      <c r="H1798" s="192" t="s">
        <v>3624</v>
      </c>
      <c r="I1798" t="s">
        <v>3414</v>
      </c>
      <c r="J1798" t="s">
        <v>865</v>
      </c>
      <c r="K1798" t="s">
        <v>797</v>
      </c>
    </row>
    <row r="1799" spans="2:11" x14ac:dyDescent="0.25">
      <c r="B1799" s="191"/>
      <c r="C1799" s="191"/>
      <c r="D1799" s="192" t="s">
        <v>4326</v>
      </c>
      <c r="E1799" t="s">
        <v>4327</v>
      </c>
      <c r="F1799" s="192" t="s">
        <v>789</v>
      </c>
      <c r="G1799" s="192" t="s">
        <v>3623</v>
      </c>
      <c r="H1799" s="192" t="s">
        <v>3624</v>
      </c>
      <c r="I1799" t="s">
        <v>3414</v>
      </c>
      <c r="J1799" t="s">
        <v>865</v>
      </c>
      <c r="K1799" t="s">
        <v>797</v>
      </c>
    </row>
    <row r="1800" spans="2:11" x14ac:dyDescent="0.25">
      <c r="B1800" s="191" t="s">
        <v>4328</v>
      </c>
      <c r="C1800" s="191"/>
      <c r="D1800" s="192"/>
      <c r="E1800" s="185" t="s">
        <v>4329</v>
      </c>
      <c r="F1800" s="192" t="s">
        <v>789</v>
      </c>
      <c r="G1800" s="192" t="s">
        <v>790</v>
      </c>
      <c r="H1800" s="192" t="s">
        <v>790</v>
      </c>
      <c r="I1800" t="s">
        <v>3414</v>
      </c>
      <c r="J1800" t="s">
        <v>865</v>
      </c>
    </row>
    <row r="1801" spans="2:11" x14ac:dyDescent="0.25">
      <c r="B1801" s="191"/>
      <c r="C1801" s="191" t="s">
        <v>4330</v>
      </c>
      <c r="D1801" s="192"/>
      <c r="E1801" s="185" t="s">
        <v>4331</v>
      </c>
      <c r="F1801" s="192" t="s">
        <v>789</v>
      </c>
      <c r="G1801" s="192" t="s">
        <v>790</v>
      </c>
      <c r="H1801" s="192" t="s">
        <v>790</v>
      </c>
      <c r="I1801" t="s">
        <v>3414</v>
      </c>
    </row>
    <row r="1802" spans="2:11" x14ac:dyDescent="0.25">
      <c r="B1802" s="191"/>
      <c r="C1802" s="191" t="s">
        <v>4332</v>
      </c>
      <c r="D1802" s="192"/>
      <c r="E1802" s="185" t="s">
        <v>4333</v>
      </c>
      <c r="F1802" s="192" t="s">
        <v>789</v>
      </c>
      <c r="G1802" s="192" t="s">
        <v>790</v>
      </c>
      <c r="H1802" s="192" t="s">
        <v>790</v>
      </c>
      <c r="I1802" t="s">
        <v>820</v>
      </c>
    </row>
    <row r="1803" spans="2:11" x14ac:dyDescent="0.25">
      <c r="B1803" s="191"/>
      <c r="C1803" s="191"/>
      <c r="D1803" s="192" t="s">
        <v>4334</v>
      </c>
      <c r="E1803" t="s">
        <v>4335</v>
      </c>
      <c r="F1803" s="192" t="s">
        <v>789</v>
      </c>
      <c r="G1803" s="192" t="s">
        <v>3675</v>
      </c>
      <c r="H1803" s="192" t="s">
        <v>3624</v>
      </c>
      <c r="I1803" t="s">
        <v>3414</v>
      </c>
      <c r="J1803" t="s">
        <v>865</v>
      </c>
      <c r="K1803" t="s">
        <v>797</v>
      </c>
    </row>
    <row r="1804" spans="2:11" x14ac:dyDescent="0.25">
      <c r="B1804" s="191"/>
      <c r="C1804" s="191"/>
      <c r="D1804" s="192" t="s">
        <v>4336</v>
      </c>
      <c r="E1804" t="s">
        <v>4337</v>
      </c>
      <c r="F1804" s="192" t="s">
        <v>789</v>
      </c>
      <c r="G1804" s="192" t="s">
        <v>3623</v>
      </c>
      <c r="H1804" s="192" t="s">
        <v>3624</v>
      </c>
      <c r="I1804" t="s">
        <v>3414</v>
      </c>
      <c r="J1804" t="s">
        <v>865</v>
      </c>
      <c r="K1804" t="s">
        <v>797</v>
      </c>
    </row>
    <row r="1805" spans="2:11" x14ac:dyDescent="0.25">
      <c r="B1805" s="191"/>
      <c r="C1805" s="191"/>
      <c r="D1805" s="192" t="s">
        <v>4338</v>
      </c>
      <c r="E1805" t="s">
        <v>4339</v>
      </c>
      <c r="F1805" s="192" t="s">
        <v>789</v>
      </c>
      <c r="G1805" s="192" t="s">
        <v>3627</v>
      </c>
      <c r="H1805" s="192" t="s">
        <v>3624</v>
      </c>
      <c r="I1805" t="s">
        <v>3414</v>
      </c>
      <c r="J1805" t="s">
        <v>865</v>
      </c>
      <c r="K1805" t="s">
        <v>797</v>
      </c>
    </row>
    <row r="1806" spans="2:11" x14ac:dyDescent="0.25">
      <c r="B1806" s="191"/>
      <c r="C1806" s="191"/>
      <c r="D1806" s="192" t="s">
        <v>4340</v>
      </c>
      <c r="E1806" t="s">
        <v>4341</v>
      </c>
      <c r="F1806" s="192" t="s">
        <v>789</v>
      </c>
      <c r="G1806" s="192" t="s">
        <v>3630</v>
      </c>
      <c r="H1806" s="192" t="s">
        <v>3624</v>
      </c>
      <c r="I1806" t="s">
        <v>3414</v>
      </c>
      <c r="J1806" t="s">
        <v>865</v>
      </c>
      <c r="K1806" t="s">
        <v>797</v>
      </c>
    </row>
    <row r="1807" spans="2:11" x14ac:dyDescent="0.25">
      <c r="B1807" s="191"/>
      <c r="C1807" s="191" t="s">
        <v>4342</v>
      </c>
      <c r="D1807" s="192"/>
      <c r="E1807" s="185" t="s">
        <v>4343</v>
      </c>
      <c r="F1807" s="192" t="s">
        <v>789</v>
      </c>
      <c r="G1807" s="192" t="s">
        <v>790</v>
      </c>
      <c r="H1807" s="192" t="s">
        <v>790</v>
      </c>
      <c r="I1807" t="s">
        <v>3414</v>
      </c>
    </row>
    <row r="1808" spans="2:11" x14ac:dyDescent="0.25">
      <c r="B1808" s="191"/>
      <c r="C1808" s="191"/>
      <c r="D1808" s="192" t="s">
        <v>4344</v>
      </c>
      <c r="E1808" t="s">
        <v>4345</v>
      </c>
      <c r="F1808" s="192" t="s">
        <v>789</v>
      </c>
      <c r="G1808" s="192" t="s">
        <v>3675</v>
      </c>
      <c r="H1808" s="192" t="s">
        <v>3624</v>
      </c>
      <c r="I1808" t="s">
        <v>3414</v>
      </c>
      <c r="J1808" t="s">
        <v>865</v>
      </c>
      <c r="K1808" t="s">
        <v>797</v>
      </c>
    </row>
    <row r="1809" spans="2:11" x14ac:dyDescent="0.25">
      <c r="B1809" s="191"/>
      <c r="C1809" s="191"/>
      <c r="D1809" s="192" t="s">
        <v>4346</v>
      </c>
      <c r="E1809" t="s">
        <v>4347</v>
      </c>
      <c r="F1809" s="192" t="s">
        <v>789</v>
      </c>
      <c r="G1809" s="192" t="s">
        <v>3623</v>
      </c>
      <c r="H1809" s="192" t="s">
        <v>3624</v>
      </c>
      <c r="I1809" t="s">
        <v>3414</v>
      </c>
      <c r="J1809" t="s">
        <v>865</v>
      </c>
      <c r="K1809" t="s">
        <v>797</v>
      </c>
    </row>
    <row r="1810" spans="2:11" x14ac:dyDescent="0.25">
      <c r="B1810" s="191"/>
      <c r="C1810" s="191"/>
      <c r="D1810" s="192" t="s">
        <v>4348</v>
      </c>
      <c r="E1810" t="s">
        <v>4349</v>
      </c>
      <c r="F1810" s="192" t="s">
        <v>789</v>
      </c>
      <c r="G1810" s="192" t="s">
        <v>3627</v>
      </c>
      <c r="H1810" s="192" t="s">
        <v>3624</v>
      </c>
      <c r="I1810" t="s">
        <v>3414</v>
      </c>
      <c r="J1810" t="s">
        <v>865</v>
      </c>
      <c r="K1810" t="s">
        <v>797</v>
      </c>
    </row>
    <row r="1811" spans="2:11" x14ac:dyDescent="0.25">
      <c r="B1811" s="191"/>
      <c r="C1811" s="191"/>
      <c r="D1811" s="192" t="s">
        <v>4350</v>
      </c>
      <c r="E1811" t="s">
        <v>4351</v>
      </c>
      <c r="F1811" s="192" t="s">
        <v>789</v>
      </c>
      <c r="G1811" s="192" t="s">
        <v>3630</v>
      </c>
      <c r="H1811" s="192" t="s">
        <v>3624</v>
      </c>
      <c r="I1811" t="s">
        <v>3414</v>
      </c>
      <c r="J1811" t="s">
        <v>865</v>
      </c>
      <c r="K1811" t="s">
        <v>797</v>
      </c>
    </row>
    <row r="1812" spans="2:11" x14ac:dyDescent="0.25">
      <c r="B1812" s="191"/>
      <c r="C1812" s="191" t="s">
        <v>4352</v>
      </c>
      <c r="D1812" s="192"/>
      <c r="E1812" s="185" t="s">
        <v>4353</v>
      </c>
      <c r="F1812" s="192" t="s">
        <v>789</v>
      </c>
      <c r="G1812" s="192" t="s">
        <v>790</v>
      </c>
      <c r="H1812" s="192" t="s">
        <v>790</v>
      </c>
      <c r="I1812" t="s">
        <v>3414</v>
      </c>
    </row>
    <row r="1813" spans="2:11" x14ac:dyDescent="0.25">
      <c r="B1813" s="191"/>
      <c r="C1813" s="191"/>
      <c r="D1813" s="192" t="s">
        <v>4354</v>
      </c>
      <c r="E1813" t="s">
        <v>4355</v>
      </c>
      <c r="F1813" s="192" t="s">
        <v>789</v>
      </c>
      <c r="G1813" s="192" t="s">
        <v>3675</v>
      </c>
      <c r="H1813" s="192" t="s">
        <v>3624</v>
      </c>
      <c r="I1813" t="s">
        <v>3414</v>
      </c>
      <c r="J1813" t="s">
        <v>865</v>
      </c>
      <c r="K1813" t="s">
        <v>797</v>
      </c>
    </row>
    <row r="1814" spans="2:11" x14ac:dyDescent="0.25">
      <c r="B1814" s="191"/>
      <c r="C1814" s="191"/>
      <c r="D1814" s="192" t="s">
        <v>4356</v>
      </c>
      <c r="E1814" t="s">
        <v>4357</v>
      </c>
      <c r="F1814" s="192" t="s">
        <v>789</v>
      </c>
      <c r="G1814" s="192" t="s">
        <v>3623</v>
      </c>
      <c r="H1814" s="192" t="s">
        <v>3624</v>
      </c>
      <c r="I1814" t="s">
        <v>3414</v>
      </c>
      <c r="J1814" t="s">
        <v>865</v>
      </c>
      <c r="K1814" t="s">
        <v>797</v>
      </c>
    </row>
    <row r="1815" spans="2:11" x14ac:dyDescent="0.25">
      <c r="B1815" s="191"/>
      <c r="C1815" s="191"/>
      <c r="D1815" s="192" t="s">
        <v>4358</v>
      </c>
      <c r="E1815" t="s">
        <v>4359</v>
      </c>
      <c r="F1815" s="192" t="s">
        <v>789</v>
      </c>
      <c r="G1815" s="192" t="s">
        <v>3627</v>
      </c>
      <c r="H1815" s="192" t="s">
        <v>3624</v>
      </c>
      <c r="I1815" t="s">
        <v>3414</v>
      </c>
      <c r="J1815" t="s">
        <v>865</v>
      </c>
      <c r="K1815" t="s">
        <v>797</v>
      </c>
    </row>
    <row r="1816" spans="2:11" x14ac:dyDescent="0.25">
      <c r="B1816" s="191"/>
      <c r="C1816" s="191"/>
      <c r="D1816" s="192" t="s">
        <v>4360</v>
      </c>
      <c r="E1816" t="s">
        <v>4361</v>
      </c>
      <c r="F1816" s="192" t="s">
        <v>789</v>
      </c>
      <c r="G1816" s="192" t="s">
        <v>3630</v>
      </c>
      <c r="H1816" s="192" t="s">
        <v>3624</v>
      </c>
      <c r="I1816" t="s">
        <v>3414</v>
      </c>
      <c r="J1816" t="s">
        <v>865</v>
      </c>
      <c r="K1816" t="s">
        <v>797</v>
      </c>
    </row>
    <row r="1817" spans="2:11" x14ac:dyDescent="0.25">
      <c r="B1817" s="191"/>
      <c r="C1817" s="191" t="s">
        <v>4362</v>
      </c>
      <c r="D1817" s="192"/>
      <c r="E1817" s="185" t="s">
        <v>4363</v>
      </c>
      <c r="F1817" s="192" t="s">
        <v>789</v>
      </c>
      <c r="G1817" s="192" t="s">
        <v>790</v>
      </c>
      <c r="H1817" s="192" t="s">
        <v>790</v>
      </c>
      <c r="I1817" t="s">
        <v>3414</v>
      </c>
    </row>
    <row r="1818" spans="2:11" x14ac:dyDescent="0.25">
      <c r="B1818" s="191"/>
      <c r="C1818" s="191"/>
      <c r="D1818" s="192" t="s">
        <v>4364</v>
      </c>
      <c r="E1818" t="s">
        <v>4365</v>
      </c>
      <c r="F1818" s="192" t="s">
        <v>789</v>
      </c>
      <c r="G1818" s="192" t="s">
        <v>3675</v>
      </c>
      <c r="H1818" s="192" t="s">
        <v>3624</v>
      </c>
      <c r="I1818" t="s">
        <v>3414</v>
      </c>
      <c r="J1818" t="s">
        <v>865</v>
      </c>
      <c r="K1818" t="s">
        <v>797</v>
      </c>
    </row>
    <row r="1819" spans="2:11" x14ac:dyDescent="0.25">
      <c r="B1819" s="191"/>
      <c r="C1819" s="191"/>
      <c r="D1819" s="192" t="s">
        <v>4366</v>
      </c>
      <c r="E1819" t="s">
        <v>4367</v>
      </c>
      <c r="F1819" s="192" t="s">
        <v>789</v>
      </c>
      <c r="G1819" s="192" t="s">
        <v>3623</v>
      </c>
      <c r="H1819" s="192" t="s">
        <v>3624</v>
      </c>
      <c r="I1819" t="s">
        <v>3414</v>
      </c>
      <c r="J1819" t="s">
        <v>865</v>
      </c>
      <c r="K1819" t="s">
        <v>797</v>
      </c>
    </row>
    <row r="1820" spans="2:11" x14ac:dyDescent="0.25">
      <c r="B1820" s="191"/>
      <c r="C1820" s="191"/>
      <c r="D1820" s="192" t="s">
        <v>4368</v>
      </c>
      <c r="E1820" t="s">
        <v>4369</v>
      </c>
      <c r="F1820" s="192" t="s">
        <v>789</v>
      </c>
      <c r="G1820" s="192" t="s">
        <v>3627</v>
      </c>
      <c r="H1820" s="192" t="s">
        <v>3624</v>
      </c>
      <c r="I1820" t="s">
        <v>3414</v>
      </c>
      <c r="J1820" t="s">
        <v>865</v>
      </c>
      <c r="K1820" t="s">
        <v>797</v>
      </c>
    </row>
    <row r="1821" spans="2:11" x14ac:dyDescent="0.25">
      <c r="B1821" s="191"/>
      <c r="C1821" s="191"/>
      <c r="D1821" s="192" t="s">
        <v>4370</v>
      </c>
      <c r="E1821" t="s">
        <v>4371</v>
      </c>
      <c r="F1821" s="192" t="s">
        <v>789</v>
      </c>
      <c r="G1821" s="192" t="s">
        <v>3630</v>
      </c>
      <c r="H1821" s="192" t="s">
        <v>3624</v>
      </c>
      <c r="I1821" t="s">
        <v>3414</v>
      </c>
      <c r="J1821" t="s">
        <v>865</v>
      </c>
      <c r="K1821" t="s">
        <v>797</v>
      </c>
    </row>
    <row r="1822" spans="2:11" x14ac:dyDescent="0.25">
      <c r="B1822" s="191"/>
      <c r="C1822" s="191" t="s">
        <v>4372</v>
      </c>
      <c r="D1822" s="192"/>
      <c r="E1822" s="185" t="s">
        <v>4373</v>
      </c>
      <c r="F1822" s="192" t="s">
        <v>789</v>
      </c>
      <c r="G1822" s="192" t="s">
        <v>790</v>
      </c>
      <c r="H1822" s="192" t="s">
        <v>790</v>
      </c>
      <c r="I1822" t="s">
        <v>3414</v>
      </c>
    </row>
    <row r="1823" spans="2:11" x14ac:dyDescent="0.25">
      <c r="B1823" s="191"/>
      <c r="C1823" s="191"/>
      <c r="D1823" s="192" t="s">
        <v>4374</v>
      </c>
      <c r="E1823" t="s">
        <v>4375</v>
      </c>
      <c r="F1823" s="192" t="s">
        <v>789</v>
      </c>
      <c r="G1823" s="192" t="s">
        <v>3675</v>
      </c>
      <c r="H1823" s="192" t="s">
        <v>3624</v>
      </c>
      <c r="I1823" t="s">
        <v>3414</v>
      </c>
      <c r="J1823" t="s">
        <v>865</v>
      </c>
      <c r="K1823" t="s">
        <v>797</v>
      </c>
    </row>
    <row r="1824" spans="2:11" x14ac:dyDescent="0.25">
      <c r="B1824" s="191"/>
      <c r="C1824" s="191"/>
      <c r="D1824" s="192" t="s">
        <v>4376</v>
      </c>
      <c r="E1824" t="s">
        <v>4377</v>
      </c>
      <c r="F1824" s="192" t="s">
        <v>789</v>
      </c>
      <c r="G1824" s="192" t="s">
        <v>3623</v>
      </c>
      <c r="H1824" s="192" t="s">
        <v>3624</v>
      </c>
      <c r="I1824" t="s">
        <v>3414</v>
      </c>
      <c r="J1824" t="s">
        <v>865</v>
      </c>
      <c r="K1824" t="s">
        <v>797</v>
      </c>
    </row>
    <row r="1825" spans="2:11" x14ac:dyDescent="0.25">
      <c r="B1825" s="191"/>
      <c r="C1825" s="191"/>
      <c r="D1825" s="192" t="s">
        <v>4378</v>
      </c>
      <c r="E1825" t="s">
        <v>4379</v>
      </c>
      <c r="F1825" s="192" t="s">
        <v>789</v>
      </c>
      <c r="G1825" s="192" t="s">
        <v>3627</v>
      </c>
      <c r="H1825" s="192" t="s">
        <v>3624</v>
      </c>
      <c r="I1825" t="s">
        <v>3414</v>
      </c>
      <c r="J1825" t="s">
        <v>865</v>
      </c>
      <c r="K1825" t="s">
        <v>797</v>
      </c>
    </row>
    <row r="1826" spans="2:11" x14ac:dyDescent="0.25">
      <c r="B1826" s="191"/>
      <c r="C1826" s="191"/>
      <c r="D1826" s="192" t="s">
        <v>4380</v>
      </c>
      <c r="E1826" t="s">
        <v>4381</v>
      </c>
      <c r="F1826" s="192" t="s">
        <v>789</v>
      </c>
      <c r="G1826" s="192" t="s">
        <v>3630</v>
      </c>
      <c r="H1826" s="192" t="s">
        <v>3624</v>
      </c>
      <c r="I1826" t="s">
        <v>3414</v>
      </c>
      <c r="J1826" t="s">
        <v>865</v>
      </c>
      <c r="K1826" t="s">
        <v>797</v>
      </c>
    </row>
    <row r="1827" spans="2:11" x14ac:dyDescent="0.25">
      <c r="B1827" s="191"/>
      <c r="C1827" s="191" t="s">
        <v>4382</v>
      </c>
      <c r="D1827" s="192"/>
      <c r="E1827" s="185" t="s">
        <v>4383</v>
      </c>
      <c r="F1827" s="192" t="s">
        <v>789</v>
      </c>
      <c r="G1827" s="192" t="s">
        <v>790</v>
      </c>
      <c r="H1827" s="192" t="s">
        <v>790</v>
      </c>
      <c r="I1827" t="s">
        <v>3414</v>
      </c>
    </row>
    <row r="1828" spans="2:11" x14ac:dyDescent="0.25">
      <c r="B1828" s="191"/>
      <c r="C1828" s="191"/>
      <c r="D1828" s="192" t="s">
        <v>4384</v>
      </c>
      <c r="E1828" t="s">
        <v>4385</v>
      </c>
      <c r="F1828" s="192" t="s">
        <v>789</v>
      </c>
      <c r="G1828" s="192" t="s">
        <v>3675</v>
      </c>
      <c r="H1828" s="192" t="s">
        <v>3624</v>
      </c>
      <c r="I1828" t="s">
        <v>3414</v>
      </c>
      <c r="J1828" t="s">
        <v>865</v>
      </c>
      <c r="K1828" t="s">
        <v>797</v>
      </c>
    </row>
    <row r="1829" spans="2:11" x14ac:dyDescent="0.25">
      <c r="B1829" s="191"/>
      <c r="C1829" s="191"/>
      <c r="D1829" s="192" t="s">
        <v>4386</v>
      </c>
      <c r="E1829" t="s">
        <v>4387</v>
      </c>
      <c r="F1829" s="192" t="s">
        <v>789</v>
      </c>
      <c r="G1829" s="192" t="s">
        <v>3623</v>
      </c>
      <c r="H1829" s="192" t="s">
        <v>3624</v>
      </c>
      <c r="I1829" t="s">
        <v>3414</v>
      </c>
      <c r="J1829" t="s">
        <v>865</v>
      </c>
      <c r="K1829" t="s">
        <v>797</v>
      </c>
    </row>
    <row r="1830" spans="2:11" x14ac:dyDescent="0.25">
      <c r="B1830" s="191"/>
      <c r="C1830" s="191"/>
      <c r="D1830" s="192" t="s">
        <v>4388</v>
      </c>
      <c r="E1830" t="s">
        <v>4389</v>
      </c>
      <c r="F1830" s="192" t="s">
        <v>789</v>
      </c>
      <c r="G1830" s="192" t="s">
        <v>3627</v>
      </c>
      <c r="H1830" s="192" t="s">
        <v>3624</v>
      </c>
      <c r="I1830" t="s">
        <v>3414</v>
      </c>
      <c r="J1830" t="s">
        <v>865</v>
      </c>
      <c r="K1830" t="s">
        <v>797</v>
      </c>
    </row>
    <row r="1831" spans="2:11" x14ac:dyDescent="0.25">
      <c r="B1831" s="191"/>
      <c r="C1831" s="191"/>
      <c r="D1831" s="192" t="s">
        <v>4390</v>
      </c>
      <c r="E1831" t="s">
        <v>4391</v>
      </c>
      <c r="F1831" s="192" t="s">
        <v>789</v>
      </c>
      <c r="G1831" s="192" t="s">
        <v>3630</v>
      </c>
      <c r="H1831" s="192" t="s">
        <v>3624</v>
      </c>
      <c r="I1831" t="s">
        <v>3414</v>
      </c>
      <c r="J1831" t="s">
        <v>865</v>
      </c>
      <c r="K1831" t="s">
        <v>797</v>
      </c>
    </row>
    <row r="1832" spans="2:11" x14ac:dyDescent="0.25">
      <c r="B1832" s="191"/>
      <c r="C1832" s="191" t="s">
        <v>4392</v>
      </c>
      <c r="D1832" s="192"/>
      <c r="E1832" s="185" t="s">
        <v>4393</v>
      </c>
      <c r="F1832" s="192" t="s">
        <v>789</v>
      </c>
      <c r="G1832" s="192" t="s">
        <v>790</v>
      </c>
      <c r="H1832" s="192" t="s">
        <v>790</v>
      </c>
      <c r="I1832" t="s">
        <v>3414</v>
      </c>
    </row>
    <row r="1833" spans="2:11" x14ac:dyDescent="0.25">
      <c r="B1833" s="191"/>
      <c r="C1833" s="191"/>
      <c r="D1833" s="192" t="s">
        <v>4394</v>
      </c>
      <c r="E1833" t="s">
        <v>4395</v>
      </c>
      <c r="F1833" s="192" t="s">
        <v>789</v>
      </c>
      <c r="G1833" s="192" t="s">
        <v>3675</v>
      </c>
      <c r="H1833" s="192" t="s">
        <v>3624</v>
      </c>
      <c r="I1833" t="s">
        <v>3414</v>
      </c>
      <c r="J1833" t="s">
        <v>865</v>
      </c>
      <c r="K1833" t="s">
        <v>797</v>
      </c>
    </row>
    <row r="1834" spans="2:11" x14ac:dyDescent="0.25">
      <c r="B1834" s="191"/>
      <c r="C1834" s="191"/>
      <c r="D1834" s="192" t="s">
        <v>4396</v>
      </c>
      <c r="E1834" t="s">
        <v>4397</v>
      </c>
      <c r="F1834" s="192" t="s">
        <v>789</v>
      </c>
      <c r="G1834" s="192" t="s">
        <v>3623</v>
      </c>
      <c r="H1834" s="192" t="s">
        <v>3624</v>
      </c>
      <c r="I1834" t="s">
        <v>3414</v>
      </c>
      <c r="J1834" t="s">
        <v>865</v>
      </c>
      <c r="K1834" t="s">
        <v>797</v>
      </c>
    </row>
    <row r="1835" spans="2:11" x14ac:dyDescent="0.25">
      <c r="B1835" s="191"/>
      <c r="C1835" s="191"/>
      <c r="D1835" s="192" t="s">
        <v>4398</v>
      </c>
      <c r="E1835" t="s">
        <v>4399</v>
      </c>
      <c r="F1835" s="192" t="s">
        <v>789</v>
      </c>
      <c r="G1835" s="192" t="s">
        <v>3627</v>
      </c>
      <c r="H1835" s="192" t="s">
        <v>3624</v>
      </c>
      <c r="I1835" t="s">
        <v>3414</v>
      </c>
      <c r="J1835" t="s">
        <v>865</v>
      </c>
      <c r="K1835" t="s">
        <v>797</v>
      </c>
    </row>
    <row r="1836" spans="2:11" x14ac:dyDescent="0.25">
      <c r="B1836" s="191"/>
      <c r="C1836" s="191"/>
      <c r="D1836" s="192" t="s">
        <v>4400</v>
      </c>
      <c r="E1836" t="s">
        <v>4401</v>
      </c>
      <c r="F1836" s="192" t="s">
        <v>789</v>
      </c>
      <c r="G1836" s="192" t="s">
        <v>3630</v>
      </c>
      <c r="H1836" s="192" t="s">
        <v>3624</v>
      </c>
      <c r="I1836" t="s">
        <v>3414</v>
      </c>
      <c r="J1836" t="s">
        <v>865</v>
      </c>
      <c r="K1836" t="s">
        <v>797</v>
      </c>
    </row>
    <row r="1837" spans="2:11" x14ac:dyDescent="0.25">
      <c r="B1837" s="191"/>
      <c r="C1837" s="191" t="s">
        <v>4402</v>
      </c>
      <c r="D1837" s="192"/>
      <c r="E1837" s="185" t="s">
        <v>4403</v>
      </c>
      <c r="F1837" s="192" t="s">
        <v>789</v>
      </c>
      <c r="G1837" s="192" t="s">
        <v>790</v>
      </c>
      <c r="H1837" s="192" t="s">
        <v>790</v>
      </c>
      <c r="I1837" t="s">
        <v>3414</v>
      </c>
    </row>
    <row r="1838" spans="2:11" x14ac:dyDescent="0.25">
      <c r="B1838" s="191"/>
      <c r="C1838" s="191"/>
      <c r="D1838" s="192" t="s">
        <v>4404</v>
      </c>
      <c r="E1838" t="s">
        <v>4405</v>
      </c>
      <c r="F1838" s="192" t="s">
        <v>789</v>
      </c>
      <c r="G1838" s="192" t="s">
        <v>3675</v>
      </c>
      <c r="H1838" s="192" t="s">
        <v>3624</v>
      </c>
      <c r="I1838" t="s">
        <v>3414</v>
      </c>
      <c r="J1838" t="s">
        <v>865</v>
      </c>
      <c r="K1838" t="s">
        <v>797</v>
      </c>
    </row>
    <row r="1839" spans="2:11" x14ac:dyDescent="0.25">
      <c r="B1839" s="191"/>
      <c r="C1839" s="191"/>
      <c r="D1839" s="192" t="s">
        <v>4406</v>
      </c>
      <c r="E1839" t="s">
        <v>4407</v>
      </c>
      <c r="F1839" s="192" t="s">
        <v>789</v>
      </c>
      <c r="G1839" s="192" t="s">
        <v>3623</v>
      </c>
      <c r="H1839" s="192" t="s">
        <v>3624</v>
      </c>
      <c r="I1839" t="s">
        <v>3414</v>
      </c>
      <c r="J1839" t="s">
        <v>865</v>
      </c>
      <c r="K1839" t="s">
        <v>797</v>
      </c>
    </row>
    <row r="1840" spans="2:11" x14ac:dyDescent="0.25">
      <c r="B1840" s="191"/>
      <c r="C1840" s="191"/>
      <c r="D1840" s="192" t="s">
        <v>4408</v>
      </c>
      <c r="E1840" t="s">
        <v>4409</v>
      </c>
      <c r="F1840" s="192" t="s">
        <v>789</v>
      </c>
      <c r="G1840" s="192" t="s">
        <v>3627</v>
      </c>
      <c r="H1840" s="192" t="s">
        <v>3624</v>
      </c>
      <c r="I1840" t="s">
        <v>3414</v>
      </c>
      <c r="J1840" t="s">
        <v>865</v>
      </c>
      <c r="K1840" t="s">
        <v>797</v>
      </c>
    </row>
    <row r="1841" spans="2:11" x14ac:dyDescent="0.25">
      <c r="B1841" s="191"/>
      <c r="C1841" s="191"/>
      <c r="D1841" s="192" t="s">
        <v>4410</v>
      </c>
      <c r="E1841" t="s">
        <v>4411</v>
      </c>
      <c r="F1841" s="192" t="s">
        <v>789</v>
      </c>
      <c r="G1841" s="192" t="s">
        <v>3630</v>
      </c>
      <c r="H1841" s="192" t="s">
        <v>3624</v>
      </c>
      <c r="I1841" t="s">
        <v>3414</v>
      </c>
      <c r="J1841" t="s">
        <v>865</v>
      </c>
      <c r="K1841" t="s">
        <v>797</v>
      </c>
    </row>
    <row r="1842" spans="2:11" x14ac:dyDescent="0.25">
      <c r="B1842" s="191"/>
      <c r="C1842" s="191" t="s">
        <v>4412</v>
      </c>
      <c r="D1842" s="192"/>
      <c r="E1842" s="185" t="s">
        <v>4413</v>
      </c>
      <c r="F1842" s="192" t="s">
        <v>789</v>
      </c>
      <c r="G1842" s="192" t="s">
        <v>790</v>
      </c>
      <c r="H1842" s="192" t="s">
        <v>790</v>
      </c>
      <c r="I1842" t="s">
        <v>3414</v>
      </c>
      <c r="J1842" t="s">
        <v>865</v>
      </c>
    </row>
    <row r="1843" spans="2:11" x14ac:dyDescent="0.25">
      <c r="B1843" s="191"/>
      <c r="C1843" s="191" t="s">
        <v>4414</v>
      </c>
      <c r="D1843" s="192"/>
      <c r="E1843" s="185" t="s">
        <v>4415</v>
      </c>
      <c r="F1843" s="192" t="s">
        <v>789</v>
      </c>
      <c r="G1843" s="192" t="s">
        <v>790</v>
      </c>
      <c r="H1843" s="192" t="s">
        <v>790</v>
      </c>
      <c r="I1843" t="s">
        <v>3414</v>
      </c>
    </row>
    <row r="1844" spans="2:11" x14ac:dyDescent="0.25">
      <c r="B1844" s="191"/>
      <c r="C1844" s="191"/>
      <c r="D1844" s="192" t="s">
        <v>4416</v>
      </c>
      <c r="E1844" t="s">
        <v>4417</v>
      </c>
      <c r="F1844" s="192" t="s">
        <v>789</v>
      </c>
      <c r="G1844" s="192" t="s">
        <v>3675</v>
      </c>
      <c r="H1844" s="192" t="s">
        <v>3624</v>
      </c>
      <c r="I1844" t="s">
        <v>3414</v>
      </c>
      <c r="J1844" t="s">
        <v>865</v>
      </c>
      <c r="K1844" t="s">
        <v>797</v>
      </c>
    </row>
    <row r="1845" spans="2:11" x14ac:dyDescent="0.25">
      <c r="B1845" s="191"/>
      <c r="C1845" s="191"/>
      <c r="D1845" s="192" t="s">
        <v>4418</v>
      </c>
      <c r="E1845" t="s">
        <v>4419</v>
      </c>
      <c r="F1845" s="192" t="s">
        <v>789</v>
      </c>
      <c r="G1845" s="192" t="s">
        <v>3623</v>
      </c>
      <c r="H1845" s="192" t="s">
        <v>3624</v>
      </c>
      <c r="I1845" t="s">
        <v>3414</v>
      </c>
      <c r="J1845" t="s">
        <v>865</v>
      </c>
      <c r="K1845" t="s">
        <v>797</v>
      </c>
    </row>
    <row r="1846" spans="2:11" x14ac:dyDescent="0.25">
      <c r="B1846" s="191"/>
      <c r="C1846" s="191"/>
      <c r="D1846" s="192" t="s">
        <v>4420</v>
      </c>
      <c r="E1846" t="s">
        <v>4421</v>
      </c>
      <c r="F1846" s="192" t="s">
        <v>789</v>
      </c>
      <c r="G1846" s="192" t="s">
        <v>3627</v>
      </c>
      <c r="H1846" s="192" t="s">
        <v>3624</v>
      </c>
      <c r="I1846" t="s">
        <v>3414</v>
      </c>
      <c r="J1846" t="s">
        <v>865</v>
      </c>
      <c r="K1846" t="s">
        <v>797</v>
      </c>
    </row>
    <row r="1847" spans="2:11" x14ac:dyDescent="0.25">
      <c r="B1847" s="191"/>
      <c r="C1847" s="191"/>
      <c r="D1847" s="192" t="s">
        <v>4422</v>
      </c>
      <c r="E1847" t="s">
        <v>4423</v>
      </c>
      <c r="F1847" s="192" t="s">
        <v>789</v>
      </c>
      <c r="G1847" s="192" t="s">
        <v>3630</v>
      </c>
      <c r="H1847" s="192" t="s">
        <v>3624</v>
      </c>
      <c r="I1847" t="s">
        <v>3414</v>
      </c>
      <c r="J1847" t="s">
        <v>865</v>
      </c>
      <c r="K1847" t="s">
        <v>797</v>
      </c>
    </row>
    <row r="1848" spans="2:11" x14ac:dyDescent="0.25">
      <c r="B1848" s="191"/>
      <c r="C1848" s="191" t="s">
        <v>4424</v>
      </c>
      <c r="D1848" s="192"/>
      <c r="E1848" s="185" t="s">
        <v>4425</v>
      </c>
      <c r="F1848" s="192" t="s">
        <v>789</v>
      </c>
      <c r="G1848" s="192" t="s">
        <v>790</v>
      </c>
      <c r="H1848" s="192" t="s">
        <v>790</v>
      </c>
      <c r="I1848" t="s">
        <v>3414</v>
      </c>
    </row>
    <row r="1849" spans="2:11" x14ac:dyDescent="0.25">
      <c r="B1849" s="191"/>
      <c r="C1849" s="191"/>
      <c r="D1849" s="192" t="s">
        <v>4426</v>
      </c>
      <c r="E1849" t="s">
        <v>4427</v>
      </c>
      <c r="F1849" s="192" t="s">
        <v>789</v>
      </c>
      <c r="G1849" s="192" t="s">
        <v>3675</v>
      </c>
      <c r="H1849" s="192" t="s">
        <v>3624</v>
      </c>
      <c r="I1849" t="s">
        <v>3414</v>
      </c>
      <c r="J1849" t="s">
        <v>865</v>
      </c>
      <c r="K1849" t="s">
        <v>797</v>
      </c>
    </row>
    <row r="1850" spans="2:11" x14ac:dyDescent="0.25">
      <c r="B1850" s="191"/>
      <c r="C1850" s="191"/>
      <c r="D1850" s="192" t="s">
        <v>4428</v>
      </c>
      <c r="E1850" t="s">
        <v>4429</v>
      </c>
      <c r="F1850" s="192" t="s">
        <v>789</v>
      </c>
      <c r="G1850" s="192" t="s">
        <v>3623</v>
      </c>
      <c r="H1850" s="192" t="s">
        <v>3624</v>
      </c>
      <c r="I1850" t="s">
        <v>3414</v>
      </c>
      <c r="J1850" t="s">
        <v>865</v>
      </c>
      <c r="K1850" t="s">
        <v>797</v>
      </c>
    </row>
    <row r="1851" spans="2:11" x14ac:dyDescent="0.25">
      <c r="B1851" s="191"/>
      <c r="C1851" s="191"/>
      <c r="D1851" s="192" t="s">
        <v>4430</v>
      </c>
      <c r="E1851" t="s">
        <v>4431</v>
      </c>
      <c r="F1851" s="192" t="s">
        <v>789</v>
      </c>
      <c r="G1851" s="192" t="s">
        <v>3627</v>
      </c>
      <c r="H1851" s="192" t="s">
        <v>3624</v>
      </c>
      <c r="I1851" t="s">
        <v>3414</v>
      </c>
      <c r="J1851" t="s">
        <v>865</v>
      </c>
      <c r="K1851" t="s">
        <v>797</v>
      </c>
    </row>
    <row r="1852" spans="2:11" x14ac:dyDescent="0.25">
      <c r="B1852" s="191"/>
      <c r="C1852" s="191"/>
      <c r="D1852" s="192" t="s">
        <v>4432</v>
      </c>
      <c r="E1852" t="s">
        <v>4433</v>
      </c>
      <c r="F1852" s="192" t="s">
        <v>789</v>
      </c>
      <c r="G1852" s="192" t="s">
        <v>3630</v>
      </c>
      <c r="H1852" s="192" t="s">
        <v>3624</v>
      </c>
      <c r="I1852" t="s">
        <v>3414</v>
      </c>
      <c r="J1852" t="s">
        <v>865</v>
      </c>
      <c r="K1852" t="s">
        <v>797</v>
      </c>
    </row>
    <row r="1853" spans="2:11" x14ac:dyDescent="0.25">
      <c r="B1853" s="191"/>
      <c r="C1853" s="191" t="s">
        <v>4434</v>
      </c>
      <c r="D1853" s="192"/>
      <c r="E1853" s="185" t="s">
        <v>4435</v>
      </c>
      <c r="F1853" s="192" t="s">
        <v>789</v>
      </c>
      <c r="G1853" s="192" t="s">
        <v>790</v>
      </c>
      <c r="H1853" s="192" t="s">
        <v>790</v>
      </c>
      <c r="I1853" t="s">
        <v>3414</v>
      </c>
    </row>
    <row r="1854" spans="2:11" x14ac:dyDescent="0.25">
      <c r="B1854" s="191"/>
      <c r="C1854" s="191"/>
      <c r="D1854" s="192" t="s">
        <v>4436</v>
      </c>
      <c r="E1854" t="s">
        <v>4437</v>
      </c>
      <c r="F1854" s="192" t="s">
        <v>789</v>
      </c>
      <c r="G1854" s="192" t="s">
        <v>3675</v>
      </c>
      <c r="H1854" s="192" t="s">
        <v>3624</v>
      </c>
      <c r="I1854" t="s">
        <v>3414</v>
      </c>
      <c r="J1854" t="s">
        <v>865</v>
      </c>
      <c r="K1854" t="s">
        <v>797</v>
      </c>
    </row>
    <row r="1855" spans="2:11" x14ac:dyDescent="0.25">
      <c r="B1855" s="191"/>
      <c r="C1855" s="191"/>
      <c r="D1855" s="192" t="s">
        <v>4438</v>
      </c>
      <c r="E1855" t="s">
        <v>4439</v>
      </c>
      <c r="F1855" s="192" t="s">
        <v>789</v>
      </c>
      <c r="G1855" s="192" t="s">
        <v>3623</v>
      </c>
      <c r="H1855" s="192" t="s">
        <v>3624</v>
      </c>
      <c r="I1855" t="s">
        <v>3414</v>
      </c>
      <c r="J1855" t="s">
        <v>865</v>
      </c>
      <c r="K1855" t="s">
        <v>797</v>
      </c>
    </row>
    <row r="1856" spans="2:11" x14ac:dyDescent="0.25">
      <c r="B1856" s="191"/>
      <c r="C1856" s="191"/>
      <c r="D1856" s="192" t="s">
        <v>4440</v>
      </c>
      <c r="E1856" t="s">
        <v>4441</v>
      </c>
      <c r="F1856" s="192" t="s">
        <v>789</v>
      </c>
      <c r="G1856" s="192" t="s">
        <v>3627</v>
      </c>
      <c r="H1856" s="192" t="s">
        <v>3624</v>
      </c>
      <c r="I1856" t="s">
        <v>3414</v>
      </c>
      <c r="J1856" t="s">
        <v>865</v>
      </c>
      <c r="K1856" t="s">
        <v>797</v>
      </c>
    </row>
    <row r="1857" spans="2:11" x14ac:dyDescent="0.25">
      <c r="B1857" s="191"/>
      <c r="C1857" s="191"/>
      <c r="D1857" s="192" t="s">
        <v>4442</v>
      </c>
      <c r="E1857" t="s">
        <v>4443</v>
      </c>
      <c r="F1857" s="192" t="s">
        <v>789</v>
      </c>
      <c r="G1857" s="192" t="s">
        <v>3630</v>
      </c>
      <c r="H1857" s="192" t="s">
        <v>3624</v>
      </c>
      <c r="I1857" t="s">
        <v>3414</v>
      </c>
      <c r="J1857" t="s">
        <v>865</v>
      </c>
      <c r="K1857" t="s">
        <v>797</v>
      </c>
    </row>
    <row r="1858" spans="2:11" x14ac:dyDescent="0.25">
      <c r="B1858" s="191"/>
      <c r="C1858" s="191" t="s">
        <v>4444</v>
      </c>
      <c r="D1858" s="192"/>
      <c r="E1858" s="185" t="s">
        <v>4445</v>
      </c>
      <c r="F1858" s="192" t="s">
        <v>789</v>
      </c>
      <c r="G1858" s="192" t="s">
        <v>790</v>
      </c>
      <c r="H1858" s="192" t="s">
        <v>790</v>
      </c>
      <c r="I1858" t="s">
        <v>3414</v>
      </c>
    </row>
    <row r="1859" spans="2:11" x14ac:dyDescent="0.25">
      <c r="B1859" s="191"/>
      <c r="C1859" s="191"/>
      <c r="D1859" s="192" t="s">
        <v>4446</v>
      </c>
      <c r="E1859" t="s">
        <v>4447</v>
      </c>
      <c r="F1859" s="192" t="s">
        <v>789</v>
      </c>
      <c r="G1859" s="192" t="s">
        <v>3675</v>
      </c>
      <c r="H1859" s="192" t="s">
        <v>3624</v>
      </c>
      <c r="I1859" t="s">
        <v>3414</v>
      </c>
      <c r="J1859" t="s">
        <v>865</v>
      </c>
      <c r="K1859" t="s">
        <v>797</v>
      </c>
    </row>
    <row r="1860" spans="2:11" x14ac:dyDescent="0.25">
      <c r="B1860" s="191"/>
      <c r="C1860" s="191"/>
      <c r="D1860" s="192" t="s">
        <v>4448</v>
      </c>
      <c r="E1860" t="s">
        <v>4449</v>
      </c>
      <c r="F1860" s="192" t="s">
        <v>789</v>
      </c>
      <c r="G1860" s="192" t="s">
        <v>3623</v>
      </c>
      <c r="H1860" s="192" t="s">
        <v>3624</v>
      </c>
      <c r="I1860" t="s">
        <v>3414</v>
      </c>
      <c r="J1860" t="s">
        <v>865</v>
      </c>
      <c r="K1860" t="s">
        <v>797</v>
      </c>
    </row>
    <row r="1861" spans="2:11" x14ac:dyDescent="0.25">
      <c r="B1861" s="191"/>
      <c r="C1861" s="191"/>
      <c r="D1861" s="192" t="s">
        <v>4450</v>
      </c>
      <c r="E1861" t="s">
        <v>4451</v>
      </c>
      <c r="F1861" s="192" t="s">
        <v>789</v>
      </c>
      <c r="G1861" s="192" t="s">
        <v>3627</v>
      </c>
      <c r="H1861" s="192" t="s">
        <v>3624</v>
      </c>
      <c r="I1861" t="s">
        <v>3414</v>
      </c>
      <c r="J1861" t="s">
        <v>865</v>
      </c>
      <c r="K1861" t="s">
        <v>797</v>
      </c>
    </row>
    <row r="1862" spans="2:11" x14ac:dyDescent="0.25">
      <c r="B1862" s="191"/>
      <c r="C1862" s="191"/>
      <c r="D1862" s="192" t="s">
        <v>4452</v>
      </c>
      <c r="E1862" t="s">
        <v>4453</v>
      </c>
      <c r="F1862" s="192" t="s">
        <v>789</v>
      </c>
      <c r="G1862" s="192" t="s">
        <v>3630</v>
      </c>
      <c r="H1862" s="192" t="s">
        <v>3624</v>
      </c>
      <c r="I1862" t="s">
        <v>3414</v>
      </c>
      <c r="J1862" t="s">
        <v>865</v>
      </c>
      <c r="K1862" t="s">
        <v>797</v>
      </c>
    </row>
    <row r="1863" spans="2:11" x14ac:dyDescent="0.25">
      <c r="B1863" s="191"/>
      <c r="C1863" s="191" t="s">
        <v>4454</v>
      </c>
      <c r="D1863" s="192"/>
      <c r="E1863" s="185" t="s">
        <v>4455</v>
      </c>
      <c r="F1863" s="192" t="s">
        <v>789</v>
      </c>
      <c r="G1863" s="192" t="s">
        <v>790</v>
      </c>
      <c r="H1863" s="192" t="s">
        <v>790</v>
      </c>
      <c r="I1863" t="s">
        <v>3414</v>
      </c>
    </row>
    <row r="1864" spans="2:11" x14ac:dyDescent="0.25">
      <c r="B1864" s="191"/>
      <c r="C1864" s="191"/>
      <c r="D1864" s="192" t="s">
        <v>4456</v>
      </c>
      <c r="E1864" t="s">
        <v>4457</v>
      </c>
      <c r="F1864" s="192" t="s">
        <v>789</v>
      </c>
      <c r="G1864" s="192" t="s">
        <v>3675</v>
      </c>
      <c r="H1864" s="192" t="s">
        <v>3624</v>
      </c>
      <c r="I1864" t="s">
        <v>3414</v>
      </c>
      <c r="J1864" t="s">
        <v>865</v>
      </c>
      <c r="K1864" t="s">
        <v>797</v>
      </c>
    </row>
    <row r="1865" spans="2:11" x14ac:dyDescent="0.25">
      <c r="B1865" s="191"/>
      <c r="C1865" s="191"/>
      <c r="D1865" s="192" t="s">
        <v>4458</v>
      </c>
      <c r="E1865" t="s">
        <v>4459</v>
      </c>
      <c r="F1865" s="192" t="s">
        <v>789</v>
      </c>
      <c r="G1865" s="192" t="s">
        <v>3623</v>
      </c>
      <c r="H1865" s="192" t="s">
        <v>3624</v>
      </c>
      <c r="I1865" t="s">
        <v>3414</v>
      </c>
      <c r="J1865" t="s">
        <v>865</v>
      </c>
      <c r="K1865" t="s">
        <v>797</v>
      </c>
    </row>
    <row r="1866" spans="2:11" x14ac:dyDescent="0.25">
      <c r="B1866" s="191"/>
      <c r="C1866" s="191"/>
      <c r="D1866" s="192" t="s">
        <v>4460</v>
      </c>
      <c r="E1866" t="s">
        <v>4461</v>
      </c>
      <c r="F1866" s="192" t="s">
        <v>789</v>
      </c>
      <c r="G1866" s="192" t="s">
        <v>3627</v>
      </c>
      <c r="H1866" s="192" t="s">
        <v>3624</v>
      </c>
      <c r="I1866" t="s">
        <v>3414</v>
      </c>
      <c r="J1866" t="s">
        <v>865</v>
      </c>
      <c r="K1866" t="s">
        <v>797</v>
      </c>
    </row>
    <row r="1867" spans="2:11" x14ac:dyDescent="0.25">
      <c r="B1867" s="191"/>
      <c r="C1867" s="191"/>
      <c r="D1867" s="192" t="s">
        <v>4462</v>
      </c>
      <c r="E1867" t="s">
        <v>4463</v>
      </c>
      <c r="F1867" s="192" t="s">
        <v>789</v>
      </c>
      <c r="G1867" s="192" t="s">
        <v>3630</v>
      </c>
      <c r="H1867" s="192" t="s">
        <v>3624</v>
      </c>
      <c r="I1867" t="s">
        <v>3414</v>
      </c>
      <c r="J1867" t="s">
        <v>865</v>
      </c>
      <c r="K1867" t="s">
        <v>797</v>
      </c>
    </row>
    <row r="1868" spans="2:11" x14ac:dyDescent="0.25">
      <c r="B1868" s="191"/>
      <c r="C1868" s="191" t="s">
        <v>4464</v>
      </c>
      <c r="D1868" s="192"/>
      <c r="E1868" s="185" t="s">
        <v>4393</v>
      </c>
      <c r="F1868" s="192" t="s">
        <v>789</v>
      </c>
      <c r="G1868" s="192" t="s">
        <v>790</v>
      </c>
      <c r="H1868" s="192" t="s">
        <v>790</v>
      </c>
      <c r="I1868" t="s">
        <v>3414</v>
      </c>
    </row>
    <row r="1869" spans="2:11" x14ac:dyDescent="0.25">
      <c r="B1869" s="191"/>
      <c r="C1869" s="191" t="s">
        <v>4465</v>
      </c>
      <c r="D1869" s="192"/>
      <c r="E1869" s="185" t="s">
        <v>4466</v>
      </c>
      <c r="F1869" s="192" t="s">
        <v>789</v>
      </c>
      <c r="G1869" s="192" t="s">
        <v>790</v>
      </c>
      <c r="H1869" s="192" t="s">
        <v>790</v>
      </c>
      <c r="I1869" t="s">
        <v>3414</v>
      </c>
    </row>
    <row r="1870" spans="2:11" x14ac:dyDescent="0.25">
      <c r="B1870" s="191"/>
      <c r="C1870" s="191"/>
      <c r="D1870" s="192" t="s">
        <v>4467</v>
      </c>
      <c r="E1870" t="s">
        <v>4468</v>
      </c>
      <c r="F1870" s="192" t="s">
        <v>789</v>
      </c>
      <c r="G1870" s="192" t="s">
        <v>3675</v>
      </c>
      <c r="H1870" s="192" t="s">
        <v>3624</v>
      </c>
      <c r="I1870" t="s">
        <v>3414</v>
      </c>
      <c r="J1870" t="s">
        <v>865</v>
      </c>
      <c r="K1870" t="s">
        <v>797</v>
      </c>
    </row>
    <row r="1871" spans="2:11" x14ac:dyDescent="0.25">
      <c r="B1871" s="191"/>
      <c r="C1871" s="191"/>
      <c r="D1871" s="192" t="s">
        <v>4469</v>
      </c>
      <c r="E1871" t="s">
        <v>4470</v>
      </c>
      <c r="F1871" s="192" t="s">
        <v>789</v>
      </c>
      <c r="G1871" s="192" t="s">
        <v>3623</v>
      </c>
      <c r="H1871" s="192" t="s">
        <v>3624</v>
      </c>
      <c r="I1871" t="s">
        <v>3414</v>
      </c>
      <c r="J1871" t="s">
        <v>865</v>
      </c>
      <c r="K1871" t="s">
        <v>797</v>
      </c>
    </row>
    <row r="1872" spans="2:11" x14ac:dyDescent="0.25">
      <c r="B1872" s="191"/>
      <c r="C1872" s="191"/>
      <c r="D1872" s="192" t="s">
        <v>4471</v>
      </c>
      <c r="E1872" t="s">
        <v>4472</v>
      </c>
      <c r="F1872" s="192" t="s">
        <v>789</v>
      </c>
      <c r="G1872" s="192" t="s">
        <v>3627</v>
      </c>
      <c r="H1872" s="192" t="s">
        <v>3624</v>
      </c>
      <c r="I1872" t="s">
        <v>3414</v>
      </c>
      <c r="J1872" t="s">
        <v>865</v>
      </c>
      <c r="K1872" t="s">
        <v>797</v>
      </c>
    </row>
    <row r="1873" spans="2:11" x14ac:dyDescent="0.25">
      <c r="B1873" s="191"/>
      <c r="C1873" s="191"/>
      <c r="D1873" s="192" t="s">
        <v>4473</v>
      </c>
      <c r="E1873" t="s">
        <v>4474</v>
      </c>
      <c r="F1873" s="192" t="s">
        <v>789</v>
      </c>
      <c r="G1873" s="192" t="s">
        <v>3630</v>
      </c>
      <c r="H1873" s="192" t="s">
        <v>3624</v>
      </c>
      <c r="I1873" t="s">
        <v>3414</v>
      </c>
      <c r="J1873" t="s">
        <v>865</v>
      </c>
      <c r="K1873" t="s">
        <v>797</v>
      </c>
    </row>
    <row r="1874" spans="2:11" x14ac:dyDescent="0.25">
      <c r="B1874" s="191"/>
      <c r="C1874" s="191" t="s">
        <v>4475</v>
      </c>
      <c r="D1874" s="192"/>
      <c r="E1874" s="185" t="s">
        <v>4476</v>
      </c>
      <c r="F1874" s="192" t="s">
        <v>789</v>
      </c>
      <c r="G1874" s="192" t="s">
        <v>790</v>
      </c>
      <c r="H1874" s="192" t="s">
        <v>790</v>
      </c>
      <c r="I1874" t="s">
        <v>3414</v>
      </c>
    </row>
    <row r="1875" spans="2:11" x14ac:dyDescent="0.25">
      <c r="B1875" s="191"/>
      <c r="C1875" s="191"/>
      <c r="D1875" s="192" t="s">
        <v>4477</v>
      </c>
      <c r="E1875" t="s">
        <v>4478</v>
      </c>
      <c r="F1875" s="192" t="s">
        <v>789</v>
      </c>
      <c r="G1875" s="192" t="s">
        <v>3675</v>
      </c>
      <c r="H1875" s="192" t="s">
        <v>3624</v>
      </c>
      <c r="I1875" t="s">
        <v>3414</v>
      </c>
      <c r="J1875" t="s">
        <v>865</v>
      </c>
      <c r="K1875" t="s">
        <v>797</v>
      </c>
    </row>
    <row r="1876" spans="2:11" x14ac:dyDescent="0.25">
      <c r="B1876" s="191"/>
      <c r="C1876" s="191"/>
      <c r="D1876" s="192" t="s">
        <v>4479</v>
      </c>
      <c r="E1876" t="s">
        <v>4480</v>
      </c>
      <c r="F1876" s="192" t="s">
        <v>789</v>
      </c>
      <c r="G1876" s="192" t="s">
        <v>3623</v>
      </c>
      <c r="H1876" s="192" t="s">
        <v>3624</v>
      </c>
      <c r="I1876" t="s">
        <v>3414</v>
      </c>
      <c r="J1876" t="s">
        <v>865</v>
      </c>
      <c r="K1876" t="s">
        <v>797</v>
      </c>
    </row>
    <row r="1877" spans="2:11" x14ac:dyDescent="0.25">
      <c r="B1877" s="191"/>
      <c r="C1877" s="191"/>
      <c r="D1877" s="192" t="s">
        <v>4481</v>
      </c>
      <c r="E1877" t="s">
        <v>4482</v>
      </c>
      <c r="F1877" s="192" t="s">
        <v>789</v>
      </c>
      <c r="G1877" s="192" t="s">
        <v>3627</v>
      </c>
      <c r="H1877" s="192" t="s">
        <v>3624</v>
      </c>
      <c r="I1877" t="s">
        <v>3414</v>
      </c>
      <c r="J1877" t="s">
        <v>865</v>
      </c>
      <c r="K1877" t="s">
        <v>797</v>
      </c>
    </row>
    <row r="1878" spans="2:11" x14ac:dyDescent="0.25">
      <c r="B1878" s="191"/>
      <c r="C1878" s="191"/>
      <c r="D1878" s="192" t="s">
        <v>4483</v>
      </c>
      <c r="E1878" t="s">
        <v>4484</v>
      </c>
      <c r="F1878" s="192" t="s">
        <v>789</v>
      </c>
      <c r="G1878" s="192" t="s">
        <v>3630</v>
      </c>
      <c r="H1878" s="192" t="s">
        <v>3624</v>
      </c>
      <c r="I1878" t="s">
        <v>3414</v>
      </c>
      <c r="J1878" t="s">
        <v>865</v>
      </c>
      <c r="K1878" t="s">
        <v>797</v>
      </c>
    </row>
    <row r="1879" spans="2:11" x14ac:dyDescent="0.25">
      <c r="B1879" s="191"/>
      <c r="C1879" s="191" t="s">
        <v>4485</v>
      </c>
      <c r="D1879" s="192"/>
      <c r="E1879" s="185" t="s">
        <v>4486</v>
      </c>
      <c r="F1879" s="192" t="s">
        <v>789</v>
      </c>
      <c r="G1879" s="192" t="s">
        <v>790</v>
      </c>
      <c r="H1879" s="192" t="s">
        <v>790</v>
      </c>
      <c r="I1879" t="s">
        <v>3414</v>
      </c>
    </row>
    <row r="1880" spans="2:11" x14ac:dyDescent="0.25">
      <c r="B1880" s="191"/>
      <c r="C1880" s="191" t="s">
        <v>4487</v>
      </c>
      <c r="D1880" s="192"/>
      <c r="E1880" s="185" t="s">
        <v>4488</v>
      </c>
      <c r="F1880" s="192" t="s">
        <v>789</v>
      </c>
      <c r="G1880" s="192" t="s">
        <v>790</v>
      </c>
      <c r="H1880" s="192" t="s">
        <v>790</v>
      </c>
      <c r="I1880" t="s">
        <v>3414</v>
      </c>
    </row>
    <row r="1881" spans="2:11" x14ac:dyDescent="0.25">
      <c r="B1881" s="191"/>
      <c r="C1881" s="191"/>
      <c r="D1881" s="192" t="s">
        <v>4489</v>
      </c>
      <c r="E1881" t="s">
        <v>4490</v>
      </c>
      <c r="F1881" s="192" t="s">
        <v>789</v>
      </c>
      <c r="G1881" s="192" t="s">
        <v>3675</v>
      </c>
      <c r="H1881" s="192" t="s">
        <v>3624</v>
      </c>
      <c r="I1881" t="s">
        <v>3414</v>
      </c>
      <c r="J1881" t="s">
        <v>865</v>
      </c>
      <c r="K1881" t="s">
        <v>797</v>
      </c>
    </row>
    <row r="1882" spans="2:11" x14ac:dyDescent="0.25">
      <c r="B1882" s="191"/>
      <c r="C1882" s="191"/>
      <c r="D1882" s="192" t="s">
        <v>4491</v>
      </c>
      <c r="E1882" t="s">
        <v>4492</v>
      </c>
      <c r="F1882" s="192" t="s">
        <v>789</v>
      </c>
      <c r="G1882" s="192" t="s">
        <v>3623</v>
      </c>
      <c r="H1882" s="192" t="s">
        <v>3624</v>
      </c>
      <c r="I1882" t="s">
        <v>3414</v>
      </c>
      <c r="J1882" t="s">
        <v>865</v>
      </c>
      <c r="K1882" t="s">
        <v>797</v>
      </c>
    </row>
    <row r="1883" spans="2:11" x14ac:dyDescent="0.25">
      <c r="B1883" s="191"/>
      <c r="C1883" s="191"/>
      <c r="D1883" s="192" t="s">
        <v>4493</v>
      </c>
      <c r="E1883" t="s">
        <v>4494</v>
      </c>
      <c r="F1883" s="192" t="s">
        <v>789</v>
      </c>
      <c r="G1883" s="192" t="s">
        <v>3627</v>
      </c>
      <c r="H1883" s="192" t="s">
        <v>3624</v>
      </c>
      <c r="I1883" t="s">
        <v>3414</v>
      </c>
      <c r="J1883" t="s">
        <v>865</v>
      </c>
      <c r="K1883" t="s">
        <v>797</v>
      </c>
    </row>
    <row r="1884" spans="2:11" x14ac:dyDescent="0.25">
      <c r="B1884" s="191"/>
      <c r="C1884" s="191"/>
      <c r="D1884" s="192" t="s">
        <v>4495</v>
      </c>
      <c r="E1884" t="s">
        <v>4496</v>
      </c>
      <c r="F1884" s="192" t="s">
        <v>789</v>
      </c>
      <c r="G1884" s="192" t="s">
        <v>3630</v>
      </c>
      <c r="H1884" s="192" t="s">
        <v>3624</v>
      </c>
      <c r="I1884" t="s">
        <v>3414</v>
      </c>
      <c r="J1884" t="s">
        <v>865</v>
      </c>
      <c r="K1884" t="s">
        <v>797</v>
      </c>
    </row>
    <row r="1885" spans="2:11" x14ac:dyDescent="0.25">
      <c r="B1885" s="191"/>
      <c r="C1885" s="191" t="s">
        <v>4497</v>
      </c>
      <c r="D1885" s="192"/>
      <c r="E1885" s="185" t="s">
        <v>4498</v>
      </c>
      <c r="F1885" s="192" t="s">
        <v>789</v>
      </c>
      <c r="G1885" s="192" t="s">
        <v>790</v>
      </c>
      <c r="H1885" s="192" t="s">
        <v>790</v>
      </c>
      <c r="I1885" t="s">
        <v>3414</v>
      </c>
    </row>
    <row r="1886" spans="2:11" x14ac:dyDescent="0.25">
      <c r="B1886" s="191"/>
      <c r="C1886" s="191"/>
      <c r="D1886" s="192" t="s">
        <v>4499</v>
      </c>
      <c r="E1886" t="s">
        <v>4500</v>
      </c>
      <c r="F1886" s="192" t="s">
        <v>789</v>
      </c>
      <c r="G1886" s="192" t="s">
        <v>3675</v>
      </c>
      <c r="H1886" s="192" t="s">
        <v>3624</v>
      </c>
      <c r="I1886" t="s">
        <v>3414</v>
      </c>
      <c r="J1886" t="s">
        <v>865</v>
      </c>
      <c r="K1886" t="s">
        <v>797</v>
      </c>
    </row>
    <row r="1887" spans="2:11" x14ac:dyDescent="0.25">
      <c r="B1887" s="191"/>
      <c r="C1887" s="191"/>
      <c r="D1887" s="192" t="s">
        <v>4501</v>
      </c>
      <c r="E1887" t="s">
        <v>4502</v>
      </c>
      <c r="F1887" s="192" t="s">
        <v>789</v>
      </c>
      <c r="G1887" s="192" t="s">
        <v>3623</v>
      </c>
      <c r="H1887" s="192" t="s">
        <v>3624</v>
      </c>
      <c r="I1887" t="s">
        <v>3414</v>
      </c>
      <c r="J1887" t="s">
        <v>865</v>
      </c>
      <c r="K1887" t="s">
        <v>797</v>
      </c>
    </row>
    <row r="1888" spans="2:11" x14ac:dyDescent="0.25">
      <c r="B1888" s="191"/>
      <c r="C1888" s="191"/>
      <c r="D1888" s="192" t="s">
        <v>4503</v>
      </c>
      <c r="E1888" t="s">
        <v>4504</v>
      </c>
      <c r="F1888" s="192" t="s">
        <v>789</v>
      </c>
      <c r="G1888" s="192" t="s">
        <v>3627</v>
      </c>
      <c r="H1888" s="192" t="s">
        <v>3624</v>
      </c>
      <c r="I1888" t="s">
        <v>3414</v>
      </c>
      <c r="J1888" t="s">
        <v>865</v>
      </c>
      <c r="K1888" t="s">
        <v>797</v>
      </c>
    </row>
    <row r="1889" spans="2:11" x14ac:dyDescent="0.25">
      <c r="B1889" s="191"/>
      <c r="C1889" s="191"/>
      <c r="D1889" s="192" t="s">
        <v>4505</v>
      </c>
      <c r="E1889" t="s">
        <v>4506</v>
      </c>
      <c r="F1889" s="192" t="s">
        <v>789</v>
      </c>
      <c r="G1889" s="192" t="s">
        <v>3630</v>
      </c>
      <c r="H1889" s="192" t="s">
        <v>3624</v>
      </c>
      <c r="I1889" t="s">
        <v>3414</v>
      </c>
      <c r="J1889" t="s">
        <v>865</v>
      </c>
      <c r="K1889" t="s">
        <v>797</v>
      </c>
    </row>
    <row r="1890" spans="2:11" x14ac:dyDescent="0.25">
      <c r="B1890" s="191"/>
      <c r="C1890" s="191" t="s">
        <v>4507</v>
      </c>
      <c r="D1890" s="192"/>
      <c r="E1890" s="185" t="s">
        <v>4508</v>
      </c>
      <c r="F1890" s="192" t="s">
        <v>789</v>
      </c>
      <c r="G1890" s="192" t="s">
        <v>790</v>
      </c>
      <c r="H1890" s="192" t="s">
        <v>790</v>
      </c>
      <c r="I1890" t="s">
        <v>3414</v>
      </c>
    </row>
    <row r="1891" spans="2:11" x14ac:dyDescent="0.25">
      <c r="B1891" s="191"/>
      <c r="C1891" s="191"/>
      <c r="D1891" s="192" t="s">
        <v>4509</v>
      </c>
      <c r="E1891" t="s">
        <v>4510</v>
      </c>
      <c r="F1891" s="192" t="s">
        <v>789</v>
      </c>
      <c r="G1891" s="192" t="s">
        <v>3675</v>
      </c>
      <c r="H1891" s="192" t="s">
        <v>3624</v>
      </c>
      <c r="I1891" t="s">
        <v>3414</v>
      </c>
      <c r="J1891" t="s">
        <v>865</v>
      </c>
      <c r="K1891" t="s">
        <v>797</v>
      </c>
    </row>
    <row r="1892" spans="2:11" x14ac:dyDescent="0.25">
      <c r="B1892" s="191"/>
      <c r="C1892" s="191"/>
      <c r="D1892" s="192" t="s">
        <v>4511</v>
      </c>
      <c r="E1892" t="s">
        <v>4512</v>
      </c>
      <c r="F1892" s="192" t="s">
        <v>789</v>
      </c>
      <c r="G1892" s="192" t="s">
        <v>3623</v>
      </c>
      <c r="H1892" s="192" t="s">
        <v>3624</v>
      </c>
      <c r="I1892" t="s">
        <v>3414</v>
      </c>
      <c r="J1892" t="s">
        <v>865</v>
      </c>
      <c r="K1892" t="s">
        <v>797</v>
      </c>
    </row>
    <row r="1893" spans="2:11" x14ac:dyDescent="0.25">
      <c r="B1893" s="191"/>
      <c r="C1893" s="191"/>
      <c r="D1893" s="192" t="s">
        <v>4513</v>
      </c>
      <c r="E1893" t="s">
        <v>4514</v>
      </c>
      <c r="F1893" s="192" t="s">
        <v>789</v>
      </c>
      <c r="G1893" s="192" t="s">
        <v>3627</v>
      </c>
      <c r="H1893" s="192" t="s">
        <v>3624</v>
      </c>
      <c r="I1893" t="s">
        <v>3414</v>
      </c>
      <c r="J1893" t="s">
        <v>865</v>
      </c>
      <c r="K1893" t="s">
        <v>797</v>
      </c>
    </row>
    <row r="1894" spans="2:11" x14ac:dyDescent="0.25">
      <c r="B1894" s="191"/>
      <c r="C1894" s="191"/>
      <c r="D1894" s="192" t="s">
        <v>4515</v>
      </c>
      <c r="E1894" t="s">
        <v>4516</v>
      </c>
      <c r="F1894" s="192" t="s">
        <v>789</v>
      </c>
      <c r="G1894" s="192" t="s">
        <v>3630</v>
      </c>
      <c r="H1894" s="192" t="s">
        <v>3624</v>
      </c>
      <c r="I1894" t="s">
        <v>3414</v>
      </c>
      <c r="J1894" t="s">
        <v>865</v>
      </c>
      <c r="K1894" t="s">
        <v>797</v>
      </c>
    </row>
    <row r="1895" spans="2:11" x14ac:dyDescent="0.25">
      <c r="B1895" s="191"/>
      <c r="C1895" s="191" t="s">
        <v>4517</v>
      </c>
      <c r="D1895" s="192"/>
      <c r="E1895" s="185" t="s">
        <v>4518</v>
      </c>
      <c r="F1895" s="192" t="s">
        <v>789</v>
      </c>
      <c r="G1895" s="192" t="s">
        <v>790</v>
      </c>
      <c r="H1895" s="192" t="s">
        <v>790</v>
      </c>
      <c r="I1895" t="s">
        <v>3414</v>
      </c>
    </row>
    <row r="1896" spans="2:11" x14ac:dyDescent="0.25">
      <c r="B1896" s="191"/>
      <c r="C1896" s="191"/>
      <c r="D1896" s="192" t="s">
        <v>4519</v>
      </c>
      <c r="E1896" t="s">
        <v>4520</v>
      </c>
      <c r="F1896" s="192" t="s">
        <v>789</v>
      </c>
      <c r="G1896" s="192" t="s">
        <v>3675</v>
      </c>
      <c r="H1896" s="192" t="s">
        <v>3624</v>
      </c>
      <c r="I1896" t="s">
        <v>3414</v>
      </c>
      <c r="J1896" t="s">
        <v>865</v>
      </c>
      <c r="K1896" t="s">
        <v>797</v>
      </c>
    </row>
    <row r="1897" spans="2:11" x14ac:dyDescent="0.25">
      <c r="B1897" s="191"/>
      <c r="C1897" s="191"/>
      <c r="D1897" s="192" t="s">
        <v>4521</v>
      </c>
      <c r="E1897" t="s">
        <v>4522</v>
      </c>
      <c r="F1897" s="192" t="s">
        <v>789</v>
      </c>
      <c r="G1897" s="192" t="s">
        <v>3623</v>
      </c>
      <c r="H1897" s="192" t="s">
        <v>3624</v>
      </c>
      <c r="I1897" t="s">
        <v>3414</v>
      </c>
      <c r="J1897" t="s">
        <v>865</v>
      </c>
      <c r="K1897" t="s">
        <v>797</v>
      </c>
    </row>
    <row r="1898" spans="2:11" x14ac:dyDescent="0.25">
      <c r="B1898" s="191"/>
      <c r="C1898" s="191"/>
      <c r="D1898" s="192" t="s">
        <v>4523</v>
      </c>
      <c r="E1898" t="s">
        <v>4524</v>
      </c>
      <c r="F1898" s="192" t="s">
        <v>789</v>
      </c>
      <c r="G1898" s="192" t="s">
        <v>3627</v>
      </c>
      <c r="H1898" s="192" t="s">
        <v>3624</v>
      </c>
      <c r="I1898" t="s">
        <v>3414</v>
      </c>
      <c r="J1898" t="s">
        <v>865</v>
      </c>
      <c r="K1898" t="s">
        <v>797</v>
      </c>
    </row>
    <row r="1899" spans="2:11" x14ac:dyDescent="0.25">
      <c r="B1899" s="191"/>
      <c r="C1899" s="191"/>
      <c r="D1899" s="192" t="s">
        <v>4525</v>
      </c>
      <c r="E1899" t="s">
        <v>4526</v>
      </c>
      <c r="F1899" s="192" t="s">
        <v>789</v>
      </c>
      <c r="G1899" s="192" t="s">
        <v>3630</v>
      </c>
      <c r="H1899" s="192" t="s">
        <v>3624</v>
      </c>
      <c r="I1899" t="s">
        <v>3414</v>
      </c>
      <c r="J1899" t="s">
        <v>865</v>
      </c>
      <c r="K1899" t="s">
        <v>797</v>
      </c>
    </row>
    <row r="1900" spans="2:11" x14ac:dyDescent="0.25">
      <c r="B1900" s="191" t="s">
        <v>4527</v>
      </c>
      <c r="C1900" s="191"/>
      <c r="D1900" s="192"/>
      <c r="E1900" s="185" t="s">
        <v>4528</v>
      </c>
      <c r="F1900" s="192" t="s">
        <v>789</v>
      </c>
      <c r="G1900" s="192" t="s">
        <v>790</v>
      </c>
      <c r="H1900" s="192" t="s">
        <v>790</v>
      </c>
      <c r="I1900" t="s">
        <v>3414</v>
      </c>
      <c r="J1900" t="s">
        <v>865</v>
      </c>
    </row>
    <row r="1901" spans="2:11" x14ac:dyDescent="0.25">
      <c r="B1901" s="191"/>
      <c r="C1901" s="191" t="s">
        <v>4529</v>
      </c>
      <c r="D1901" s="192"/>
      <c r="E1901" s="185" t="s">
        <v>4530</v>
      </c>
      <c r="F1901" s="192" t="s">
        <v>789</v>
      </c>
      <c r="G1901" s="192" t="s">
        <v>790</v>
      </c>
      <c r="H1901" s="192" t="s">
        <v>790</v>
      </c>
      <c r="I1901" t="s">
        <v>3414</v>
      </c>
      <c r="J1901" t="s">
        <v>865</v>
      </c>
    </row>
    <row r="1902" spans="2:11" x14ac:dyDescent="0.25">
      <c r="B1902" s="191"/>
      <c r="C1902" s="191"/>
      <c r="D1902" s="192" t="s">
        <v>4531</v>
      </c>
      <c r="E1902" t="s">
        <v>4532</v>
      </c>
      <c r="F1902" s="192" t="s">
        <v>789</v>
      </c>
      <c r="G1902" s="192" t="s">
        <v>3675</v>
      </c>
      <c r="H1902" s="192" t="s">
        <v>3624</v>
      </c>
      <c r="I1902" t="s">
        <v>3414</v>
      </c>
      <c r="J1902" t="s">
        <v>865</v>
      </c>
      <c r="K1902" t="s">
        <v>797</v>
      </c>
    </row>
    <row r="1903" spans="2:11" x14ac:dyDescent="0.25">
      <c r="B1903" s="191"/>
      <c r="C1903" s="191"/>
      <c r="D1903" s="192" t="s">
        <v>4533</v>
      </c>
      <c r="E1903" t="s">
        <v>4534</v>
      </c>
      <c r="F1903" s="192" t="s">
        <v>789</v>
      </c>
      <c r="G1903" s="192" t="s">
        <v>790</v>
      </c>
      <c r="H1903" s="192" t="s">
        <v>790</v>
      </c>
      <c r="I1903" t="s">
        <v>3414</v>
      </c>
      <c r="J1903" t="s">
        <v>865</v>
      </c>
      <c r="K1903" t="s">
        <v>797</v>
      </c>
    </row>
    <row r="1904" spans="2:11" x14ac:dyDescent="0.25">
      <c r="B1904" s="191"/>
      <c r="C1904" s="191"/>
      <c r="D1904" s="192" t="s">
        <v>4535</v>
      </c>
      <c r="E1904" t="s">
        <v>4536</v>
      </c>
      <c r="F1904" s="192" t="s">
        <v>789</v>
      </c>
      <c r="G1904" s="192" t="s">
        <v>3623</v>
      </c>
      <c r="H1904" s="192" t="s">
        <v>3624</v>
      </c>
      <c r="I1904" t="s">
        <v>3414</v>
      </c>
      <c r="J1904" t="s">
        <v>865</v>
      </c>
      <c r="K1904" t="s">
        <v>797</v>
      </c>
    </row>
    <row r="1905" spans="2:11" x14ac:dyDescent="0.25">
      <c r="B1905" s="191"/>
      <c r="C1905" s="191"/>
      <c r="D1905" s="192" t="s">
        <v>4537</v>
      </c>
      <c r="E1905" t="s">
        <v>4538</v>
      </c>
      <c r="F1905" s="192" t="s">
        <v>789</v>
      </c>
      <c r="G1905" s="192" t="s">
        <v>3627</v>
      </c>
      <c r="H1905" s="192" t="s">
        <v>3624</v>
      </c>
      <c r="I1905" t="s">
        <v>3414</v>
      </c>
      <c r="J1905" t="s">
        <v>865</v>
      </c>
      <c r="K1905" t="s">
        <v>797</v>
      </c>
    </row>
    <row r="1906" spans="2:11" x14ac:dyDescent="0.25">
      <c r="B1906" s="191"/>
      <c r="C1906" s="191"/>
      <c r="D1906" s="192" t="s">
        <v>4539</v>
      </c>
      <c r="E1906" t="s">
        <v>4540</v>
      </c>
      <c r="F1906" s="192" t="s">
        <v>789</v>
      </c>
      <c r="G1906" s="192" t="s">
        <v>3630</v>
      </c>
      <c r="H1906" s="192" t="s">
        <v>3624</v>
      </c>
      <c r="I1906" t="s">
        <v>3414</v>
      </c>
      <c r="J1906" t="s">
        <v>865</v>
      </c>
      <c r="K1906" t="s">
        <v>797</v>
      </c>
    </row>
    <row r="1907" spans="2:11" x14ac:dyDescent="0.25">
      <c r="B1907" s="191"/>
      <c r="C1907" s="191" t="s">
        <v>4541</v>
      </c>
      <c r="D1907" s="192"/>
      <c r="E1907" s="185" t="s">
        <v>4542</v>
      </c>
      <c r="F1907" s="192" t="s">
        <v>789</v>
      </c>
      <c r="G1907" s="192" t="s">
        <v>790</v>
      </c>
      <c r="H1907" s="192" t="s">
        <v>790</v>
      </c>
      <c r="I1907" t="s">
        <v>3414</v>
      </c>
      <c r="J1907" t="s">
        <v>865</v>
      </c>
    </row>
    <row r="1908" spans="2:11" x14ac:dyDescent="0.25">
      <c r="B1908" s="191"/>
      <c r="C1908" s="191"/>
      <c r="D1908" s="192" t="s">
        <v>4543</v>
      </c>
      <c r="E1908" t="s">
        <v>4544</v>
      </c>
      <c r="F1908" s="192" t="s">
        <v>789</v>
      </c>
      <c r="G1908" s="192" t="s">
        <v>3675</v>
      </c>
      <c r="H1908" s="192" t="s">
        <v>3624</v>
      </c>
      <c r="I1908" t="s">
        <v>3414</v>
      </c>
      <c r="J1908" t="s">
        <v>865</v>
      </c>
      <c r="K1908" t="s">
        <v>797</v>
      </c>
    </row>
    <row r="1909" spans="2:11" x14ac:dyDescent="0.25">
      <c r="B1909" s="191"/>
      <c r="C1909" s="191"/>
      <c r="D1909" s="192" t="s">
        <v>4545</v>
      </c>
      <c r="E1909" t="s">
        <v>4546</v>
      </c>
      <c r="F1909" s="192" t="s">
        <v>789</v>
      </c>
      <c r="G1909" s="192" t="s">
        <v>3623</v>
      </c>
      <c r="H1909" s="192" t="s">
        <v>3624</v>
      </c>
      <c r="I1909" t="s">
        <v>3414</v>
      </c>
      <c r="J1909" t="s">
        <v>865</v>
      </c>
      <c r="K1909" t="s">
        <v>797</v>
      </c>
    </row>
    <row r="1910" spans="2:11" x14ac:dyDescent="0.25">
      <c r="B1910" s="191"/>
      <c r="C1910" s="191"/>
      <c r="D1910" s="192" t="s">
        <v>4547</v>
      </c>
      <c r="E1910" t="s">
        <v>4548</v>
      </c>
      <c r="F1910" s="192" t="s">
        <v>789</v>
      </c>
      <c r="G1910" s="192" t="s">
        <v>3627</v>
      </c>
      <c r="H1910" s="192" t="s">
        <v>3624</v>
      </c>
      <c r="I1910" t="s">
        <v>3414</v>
      </c>
      <c r="J1910" t="s">
        <v>865</v>
      </c>
      <c r="K1910" t="s">
        <v>797</v>
      </c>
    </row>
    <row r="1911" spans="2:11" x14ac:dyDescent="0.25">
      <c r="B1911" s="191"/>
      <c r="C1911" s="191"/>
      <c r="D1911" s="192" t="s">
        <v>4549</v>
      </c>
      <c r="E1911" t="s">
        <v>4550</v>
      </c>
      <c r="F1911" s="192" t="s">
        <v>789</v>
      </c>
      <c r="G1911" s="192" t="s">
        <v>3630</v>
      </c>
      <c r="H1911" s="192" t="s">
        <v>3624</v>
      </c>
      <c r="I1911" t="s">
        <v>3414</v>
      </c>
      <c r="J1911" t="s">
        <v>865</v>
      </c>
      <c r="K1911" t="s">
        <v>797</v>
      </c>
    </row>
    <row r="1912" spans="2:11" x14ac:dyDescent="0.25">
      <c r="B1912" s="191"/>
      <c r="C1912" s="191" t="s">
        <v>4551</v>
      </c>
      <c r="D1912" s="192"/>
      <c r="E1912" s="185" t="s">
        <v>4552</v>
      </c>
      <c r="F1912" s="192" t="s">
        <v>789</v>
      </c>
      <c r="G1912" s="192" t="s">
        <v>790</v>
      </c>
      <c r="H1912" s="192" t="s">
        <v>790</v>
      </c>
      <c r="I1912" t="s">
        <v>3414</v>
      </c>
      <c r="J1912" t="s">
        <v>865</v>
      </c>
    </row>
    <row r="1913" spans="2:11" x14ac:dyDescent="0.25">
      <c r="B1913" s="191"/>
      <c r="C1913" s="191"/>
      <c r="D1913" s="192" t="s">
        <v>4553</v>
      </c>
      <c r="E1913" t="s">
        <v>4554</v>
      </c>
      <c r="F1913" s="192" t="s">
        <v>789</v>
      </c>
      <c r="G1913" s="192" t="s">
        <v>3675</v>
      </c>
      <c r="H1913" s="192" t="s">
        <v>3624</v>
      </c>
      <c r="I1913" t="s">
        <v>3414</v>
      </c>
      <c r="J1913" t="s">
        <v>865</v>
      </c>
      <c r="K1913" t="s">
        <v>797</v>
      </c>
    </row>
    <row r="1914" spans="2:11" x14ac:dyDescent="0.25">
      <c r="B1914" s="191"/>
      <c r="C1914" s="191"/>
      <c r="D1914" s="192" t="s">
        <v>4555</v>
      </c>
      <c r="E1914" t="s">
        <v>4556</v>
      </c>
      <c r="F1914" s="192" t="s">
        <v>789</v>
      </c>
      <c r="G1914" s="192" t="s">
        <v>3623</v>
      </c>
      <c r="H1914" s="192" t="s">
        <v>3624</v>
      </c>
      <c r="I1914" t="s">
        <v>3414</v>
      </c>
      <c r="J1914" t="s">
        <v>865</v>
      </c>
      <c r="K1914" t="s">
        <v>797</v>
      </c>
    </row>
    <row r="1915" spans="2:11" x14ac:dyDescent="0.25">
      <c r="B1915" s="191"/>
      <c r="C1915" s="191"/>
      <c r="D1915" s="194" t="s">
        <v>4557</v>
      </c>
      <c r="E1915" t="s">
        <v>4558</v>
      </c>
      <c r="F1915" s="192" t="s">
        <v>789</v>
      </c>
      <c r="G1915" s="192" t="s">
        <v>3627</v>
      </c>
      <c r="H1915" s="192" t="s">
        <v>3624</v>
      </c>
      <c r="I1915" t="s">
        <v>3414</v>
      </c>
      <c r="J1915" t="s">
        <v>865</v>
      </c>
      <c r="K1915" t="s">
        <v>797</v>
      </c>
    </row>
    <row r="1916" spans="2:11" x14ac:dyDescent="0.25">
      <c r="B1916" s="191"/>
      <c r="C1916" s="191"/>
      <c r="D1916" s="192" t="s">
        <v>4559</v>
      </c>
      <c r="E1916" t="s">
        <v>4560</v>
      </c>
      <c r="F1916" s="192" t="s">
        <v>789</v>
      </c>
      <c r="G1916" s="192" t="s">
        <v>3630</v>
      </c>
      <c r="H1916" s="192" t="s">
        <v>3624</v>
      </c>
      <c r="I1916" t="s">
        <v>3414</v>
      </c>
      <c r="J1916" t="s">
        <v>865</v>
      </c>
      <c r="K1916" t="s">
        <v>797</v>
      </c>
    </row>
    <row r="1917" spans="2:11" x14ac:dyDescent="0.25">
      <c r="B1917" s="191"/>
      <c r="C1917" s="191" t="s">
        <v>4561</v>
      </c>
      <c r="D1917" s="192"/>
      <c r="E1917" s="185" t="s">
        <v>4562</v>
      </c>
      <c r="F1917" s="192" t="s">
        <v>789</v>
      </c>
      <c r="G1917" s="192" t="s">
        <v>790</v>
      </c>
      <c r="H1917" s="192" t="s">
        <v>790</v>
      </c>
      <c r="I1917" t="s">
        <v>3414</v>
      </c>
      <c r="J1917" t="s">
        <v>865</v>
      </c>
    </row>
    <row r="1918" spans="2:11" x14ac:dyDescent="0.25">
      <c r="B1918" s="191"/>
      <c r="C1918" s="191"/>
      <c r="D1918" s="192" t="s">
        <v>4563</v>
      </c>
      <c r="E1918" t="s">
        <v>4564</v>
      </c>
      <c r="F1918" s="192" t="s">
        <v>789</v>
      </c>
      <c r="G1918" s="192" t="s">
        <v>3675</v>
      </c>
      <c r="H1918" s="192" t="s">
        <v>3624</v>
      </c>
      <c r="I1918" t="s">
        <v>3414</v>
      </c>
      <c r="J1918" t="s">
        <v>865</v>
      </c>
      <c r="K1918" t="s">
        <v>797</v>
      </c>
    </row>
    <row r="1919" spans="2:11" x14ac:dyDescent="0.25">
      <c r="B1919" s="191"/>
      <c r="C1919" s="191"/>
      <c r="D1919" s="192" t="s">
        <v>4565</v>
      </c>
      <c r="E1919" t="s">
        <v>4566</v>
      </c>
      <c r="F1919" s="192" t="s">
        <v>789</v>
      </c>
      <c r="G1919" s="192" t="s">
        <v>3623</v>
      </c>
      <c r="H1919" s="192" t="s">
        <v>3624</v>
      </c>
      <c r="I1919" t="s">
        <v>3414</v>
      </c>
      <c r="J1919" t="s">
        <v>865</v>
      </c>
      <c r="K1919" t="s">
        <v>797</v>
      </c>
    </row>
    <row r="1920" spans="2:11" x14ac:dyDescent="0.25">
      <c r="B1920" s="191"/>
      <c r="C1920" s="191"/>
      <c r="D1920" s="192" t="s">
        <v>4567</v>
      </c>
      <c r="E1920" t="s">
        <v>4568</v>
      </c>
      <c r="F1920" s="192" t="s">
        <v>789</v>
      </c>
      <c r="G1920" s="192" t="s">
        <v>3627</v>
      </c>
      <c r="H1920" s="192" t="s">
        <v>3624</v>
      </c>
      <c r="I1920" t="s">
        <v>3414</v>
      </c>
      <c r="J1920" t="s">
        <v>865</v>
      </c>
      <c r="K1920" t="s">
        <v>797</v>
      </c>
    </row>
    <row r="1921" spans="2:11" x14ac:dyDescent="0.25">
      <c r="B1921" s="191"/>
      <c r="C1921" s="191"/>
      <c r="D1921" s="192" t="s">
        <v>4569</v>
      </c>
      <c r="E1921" t="s">
        <v>4570</v>
      </c>
      <c r="F1921" s="192" t="s">
        <v>789</v>
      </c>
      <c r="G1921" s="192" t="s">
        <v>3630</v>
      </c>
      <c r="H1921" s="192" t="s">
        <v>3624</v>
      </c>
      <c r="I1921" t="s">
        <v>3414</v>
      </c>
      <c r="J1921" t="s">
        <v>865</v>
      </c>
      <c r="K1921" t="s">
        <v>797</v>
      </c>
    </row>
    <row r="1922" spans="2:11" x14ac:dyDescent="0.25">
      <c r="B1922" s="191"/>
      <c r="C1922" s="191" t="s">
        <v>4571</v>
      </c>
      <c r="D1922" s="192"/>
      <c r="E1922" s="185" t="s">
        <v>4572</v>
      </c>
      <c r="F1922" s="192" t="s">
        <v>789</v>
      </c>
      <c r="G1922" s="192" t="s">
        <v>790</v>
      </c>
      <c r="H1922" s="192" t="s">
        <v>790</v>
      </c>
      <c r="I1922" t="s">
        <v>2870</v>
      </c>
    </row>
    <row r="1923" spans="2:11" x14ac:dyDescent="0.25">
      <c r="B1923" s="191"/>
      <c r="C1923" s="191" t="s">
        <v>4573</v>
      </c>
      <c r="D1923" s="192"/>
      <c r="E1923" s="185" t="s">
        <v>4574</v>
      </c>
      <c r="F1923" s="192" t="s">
        <v>789</v>
      </c>
      <c r="G1923" s="192" t="s">
        <v>790</v>
      </c>
      <c r="H1923" s="192" t="s">
        <v>790</v>
      </c>
      <c r="I1923" t="s">
        <v>2870</v>
      </c>
    </row>
    <row r="1924" spans="2:11" x14ac:dyDescent="0.25">
      <c r="B1924" s="191"/>
      <c r="C1924" s="191"/>
      <c r="D1924" s="192" t="s">
        <v>4575</v>
      </c>
      <c r="E1924" t="s">
        <v>4576</v>
      </c>
      <c r="F1924" s="192" t="s">
        <v>4577</v>
      </c>
      <c r="G1924" s="192" t="s">
        <v>790</v>
      </c>
      <c r="H1924" s="192" t="s">
        <v>790</v>
      </c>
      <c r="I1924" t="s">
        <v>2870</v>
      </c>
      <c r="J1924" t="s">
        <v>865</v>
      </c>
      <c r="K1924" t="s">
        <v>797</v>
      </c>
    </row>
    <row r="1925" spans="2:11" x14ac:dyDescent="0.25">
      <c r="B1925" s="191"/>
      <c r="C1925" s="191"/>
      <c r="D1925" s="192" t="s">
        <v>4578</v>
      </c>
      <c r="E1925" t="s">
        <v>4579</v>
      </c>
      <c r="F1925" s="192" t="s">
        <v>4577</v>
      </c>
      <c r="G1925" s="192" t="s">
        <v>790</v>
      </c>
      <c r="H1925" s="192" t="s">
        <v>790</v>
      </c>
      <c r="I1925" t="s">
        <v>2870</v>
      </c>
      <c r="J1925" t="s">
        <v>865</v>
      </c>
      <c r="K1925" t="s">
        <v>797</v>
      </c>
    </row>
    <row r="1926" spans="2:11" x14ac:dyDescent="0.25">
      <c r="B1926" s="191"/>
      <c r="C1926" s="191"/>
      <c r="D1926" s="192" t="s">
        <v>4580</v>
      </c>
      <c r="E1926" t="s">
        <v>4581</v>
      </c>
      <c r="F1926" s="192" t="s">
        <v>4577</v>
      </c>
      <c r="G1926" s="192" t="s">
        <v>790</v>
      </c>
      <c r="H1926" s="192" t="s">
        <v>790</v>
      </c>
      <c r="I1926" t="s">
        <v>2870</v>
      </c>
      <c r="J1926" t="s">
        <v>865</v>
      </c>
      <c r="K1926" t="s">
        <v>797</v>
      </c>
    </row>
    <row r="1927" spans="2:11" x14ac:dyDescent="0.25">
      <c r="B1927" s="191"/>
      <c r="C1927" s="191"/>
      <c r="D1927" s="192" t="s">
        <v>4582</v>
      </c>
      <c r="E1927" t="s">
        <v>4583</v>
      </c>
      <c r="F1927" s="192" t="s">
        <v>4577</v>
      </c>
      <c r="G1927" s="192" t="s">
        <v>790</v>
      </c>
      <c r="H1927" s="192" t="s">
        <v>790</v>
      </c>
      <c r="I1927" t="s">
        <v>2870</v>
      </c>
      <c r="J1927" t="s">
        <v>865</v>
      </c>
      <c r="K1927" t="s">
        <v>797</v>
      </c>
    </row>
    <row r="1928" spans="2:11" x14ac:dyDescent="0.25">
      <c r="B1928" s="191"/>
      <c r="C1928" s="191"/>
      <c r="D1928" s="192" t="s">
        <v>4584</v>
      </c>
      <c r="E1928" t="s">
        <v>4585</v>
      </c>
      <c r="F1928" s="192" t="s">
        <v>4577</v>
      </c>
      <c r="G1928" s="192" t="s">
        <v>790</v>
      </c>
      <c r="H1928" s="192" t="s">
        <v>790</v>
      </c>
      <c r="I1928" t="s">
        <v>2870</v>
      </c>
      <c r="J1928" t="s">
        <v>865</v>
      </c>
      <c r="K1928" t="s">
        <v>797</v>
      </c>
    </row>
    <row r="1929" spans="2:11" x14ac:dyDescent="0.25">
      <c r="B1929" s="191"/>
      <c r="C1929" s="191"/>
      <c r="D1929" s="192" t="s">
        <v>4586</v>
      </c>
      <c r="E1929" t="s">
        <v>4587</v>
      </c>
      <c r="F1929" s="192" t="s">
        <v>4577</v>
      </c>
      <c r="G1929" s="192" t="s">
        <v>790</v>
      </c>
      <c r="H1929" s="192" t="s">
        <v>790</v>
      </c>
      <c r="I1929" t="s">
        <v>2870</v>
      </c>
      <c r="J1929" t="s">
        <v>865</v>
      </c>
      <c r="K1929" t="s">
        <v>797</v>
      </c>
    </row>
    <row r="1930" spans="2:11" x14ac:dyDescent="0.25">
      <c r="B1930" s="191"/>
      <c r="C1930" s="191" t="s">
        <v>4588</v>
      </c>
      <c r="D1930" s="192"/>
      <c r="E1930" s="185" t="s">
        <v>4589</v>
      </c>
      <c r="F1930" s="192" t="s">
        <v>789</v>
      </c>
      <c r="G1930" s="192" t="s">
        <v>790</v>
      </c>
      <c r="H1930" s="192" t="s">
        <v>790</v>
      </c>
      <c r="I1930" t="s">
        <v>2870</v>
      </c>
    </row>
    <row r="1931" spans="2:11" x14ac:dyDescent="0.25">
      <c r="B1931" s="191"/>
      <c r="C1931" s="191"/>
      <c r="D1931" s="192" t="s">
        <v>4590</v>
      </c>
      <c r="E1931" t="s">
        <v>4591</v>
      </c>
      <c r="F1931" s="192" t="s">
        <v>4577</v>
      </c>
      <c r="G1931" s="192" t="s">
        <v>790</v>
      </c>
      <c r="H1931" s="192" t="s">
        <v>790</v>
      </c>
      <c r="I1931" t="s">
        <v>2870</v>
      </c>
      <c r="J1931" t="s">
        <v>865</v>
      </c>
      <c r="K1931" t="s">
        <v>797</v>
      </c>
    </row>
    <row r="1932" spans="2:11" x14ac:dyDescent="0.25">
      <c r="B1932" s="191"/>
      <c r="C1932" s="191"/>
      <c r="D1932" s="192" t="s">
        <v>4592</v>
      </c>
      <c r="E1932" t="s">
        <v>4593</v>
      </c>
      <c r="F1932" s="192" t="s">
        <v>4577</v>
      </c>
      <c r="G1932" s="192" t="s">
        <v>790</v>
      </c>
      <c r="H1932" s="192" t="s">
        <v>790</v>
      </c>
      <c r="I1932" t="s">
        <v>2870</v>
      </c>
      <c r="J1932" t="s">
        <v>865</v>
      </c>
      <c r="K1932" t="s">
        <v>797</v>
      </c>
    </row>
    <row r="1933" spans="2:11" x14ac:dyDescent="0.25">
      <c r="B1933" s="191"/>
      <c r="C1933" s="191"/>
      <c r="D1933" s="192" t="s">
        <v>4594</v>
      </c>
      <c r="E1933" t="s">
        <v>4595</v>
      </c>
      <c r="F1933" s="192" t="s">
        <v>4577</v>
      </c>
      <c r="G1933" s="192" t="s">
        <v>790</v>
      </c>
      <c r="H1933" s="192" t="s">
        <v>790</v>
      </c>
      <c r="I1933" t="s">
        <v>2870</v>
      </c>
      <c r="J1933" t="s">
        <v>865</v>
      </c>
      <c r="K1933" t="s">
        <v>797</v>
      </c>
    </row>
    <row r="1934" spans="2:11" x14ac:dyDescent="0.25">
      <c r="B1934" s="191"/>
      <c r="C1934" s="191"/>
      <c r="D1934" s="192" t="s">
        <v>4596</v>
      </c>
      <c r="E1934" t="s">
        <v>4597</v>
      </c>
      <c r="F1934" s="192" t="s">
        <v>4577</v>
      </c>
      <c r="G1934" s="192" t="s">
        <v>790</v>
      </c>
      <c r="H1934" s="192" t="s">
        <v>790</v>
      </c>
      <c r="I1934" t="s">
        <v>2870</v>
      </c>
      <c r="J1934" t="s">
        <v>865</v>
      </c>
      <c r="K1934" t="s">
        <v>797</v>
      </c>
    </row>
    <row r="1935" spans="2:11" x14ac:dyDescent="0.25">
      <c r="B1935" s="191"/>
      <c r="C1935" s="191"/>
      <c r="D1935" s="192" t="s">
        <v>4598</v>
      </c>
      <c r="E1935" t="s">
        <v>4599</v>
      </c>
      <c r="F1935" s="192" t="s">
        <v>4577</v>
      </c>
      <c r="G1935" s="192" t="s">
        <v>790</v>
      </c>
      <c r="H1935" s="192" t="s">
        <v>790</v>
      </c>
      <c r="I1935" t="s">
        <v>2870</v>
      </c>
      <c r="J1935" t="s">
        <v>865</v>
      </c>
      <c r="K1935" t="s">
        <v>797</v>
      </c>
    </row>
    <row r="1936" spans="2:11" x14ac:dyDescent="0.25">
      <c r="B1936" s="191"/>
      <c r="C1936" s="191" t="s">
        <v>4600</v>
      </c>
      <c r="D1936" s="192"/>
      <c r="E1936" s="185" t="s">
        <v>4601</v>
      </c>
      <c r="F1936" s="192" t="s">
        <v>789</v>
      </c>
      <c r="G1936" s="192" t="s">
        <v>790</v>
      </c>
      <c r="H1936" s="192" t="s">
        <v>790</v>
      </c>
      <c r="I1936" t="s">
        <v>3414</v>
      </c>
    </row>
    <row r="1937" spans="2:11" x14ac:dyDescent="0.25">
      <c r="B1937" s="191"/>
      <c r="C1937" s="191" t="s">
        <v>4602</v>
      </c>
      <c r="D1937" s="192"/>
      <c r="E1937" s="185" t="s">
        <v>4601</v>
      </c>
      <c r="F1937" s="192" t="s">
        <v>789</v>
      </c>
      <c r="G1937" s="192" t="s">
        <v>790</v>
      </c>
      <c r="H1937" s="192" t="s">
        <v>790</v>
      </c>
      <c r="I1937" t="s">
        <v>3414</v>
      </c>
    </row>
    <row r="1938" spans="2:11" x14ac:dyDescent="0.25">
      <c r="B1938" s="191"/>
      <c r="C1938" s="191"/>
      <c r="D1938" s="192" t="s">
        <v>4603</v>
      </c>
      <c r="E1938" t="s">
        <v>4604</v>
      </c>
      <c r="F1938" s="192" t="s">
        <v>789</v>
      </c>
      <c r="G1938" s="192" t="s">
        <v>3675</v>
      </c>
      <c r="H1938" s="192" t="s">
        <v>3624</v>
      </c>
      <c r="I1938" t="s">
        <v>3414</v>
      </c>
      <c r="J1938" t="s">
        <v>865</v>
      </c>
      <c r="K1938" t="s">
        <v>797</v>
      </c>
    </row>
    <row r="1939" spans="2:11" x14ac:dyDescent="0.25">
      <c r="B1939" s="191"/>
      <c r="C1939" s="191"/>
      <c r="D1939" s="192" t="s">
        <v>4605</v>
      </c>
      <c r="E1939" t="s">
        <v>4606</v>
      </c>
      <c r="F1939" s="192" t="s">
        <v>789</v>
      </c>
      <c r="G1939" s="192" t="s">
        <v>3623</v>
      </c>
      <c r="H1939" s="192" t="s">
        <v>3624</v>
      </c>
      <c r="I1939" t="s">
        <v>3414</v>
      </c>
      <c r="J1939" t="s">
        <v>865</v>
      </c>
      <c r="K1939" t="s">
        <v>797</v>
      </c>
    </row>
    <row r="1940" spans="2:11" x14ac:dyDescent="0.25">
      <c r="B1940" s="191"/>
      <c r="C1940" s="191"/>
      <c r="D1940" s="194" t="s">
        <v>4607</v>
      </c>
      <c r="E1940" t="s">
        <v>4608</v>
      </c>
      <c r="F1940" s="192" t="s">
        <v>789</v>
      </c>
      <c r="G1940" s="192" t="s">
        <v>3627</v>
      </c>
      <c r="H1940" s="192" t="s">
        <v>3624</v>
      </c>
      <c r="I1940" t="s">
        <v>3414</v>
      </c>
      <c r="J1940" t="s">
        <v>865</v>
      </c>
      <c r="K1940" t="s">
        <v>797</v>
      </c>
    </row>
    <row r="1941" spans="2:11" x14ac:dyDescent="0.25">
      <c r="B1941" s="191"/>
      <c r="C1941" s="191"/>
      <c r="D1941" s="192" t="s">
        <v>4609</v>
      </c>
      <c r="E1941" t="s">
        <v>4610</v>
      </c>
      <c r="F1941" s="192" t="s">
        <v>789</v>
      </c>
      <c r="G1941" s="192" t="s">
        <v>3630</v>
      </c>
      <c r="H1941" s="192" t="s">
        <v>3624</v>
      </c>
      <c r="I1941" t="s">
        <v>3414</v>
      </c>
      <c r="J1941" t="s">
        <v>865</v>
      </c>
      <c r="K1941" t="s">
        <v>797</v>
      </c>
    </row>
    <row r="1942" spans="2:11" x14ac:dyDescent="0.25">
      <c r="B1942" s="191"/>
      <c r="C1942" s="191" t="s">
        <v>4611</v>
      </c>
      <c r="D1942" s="192"/>
      <c r="E1942" s="185" t="s">
        <v>4612</v>
      </c>
      <c r="F1942" s="192" t="s">
        <v>789</v>
      </c>
      <c r="G1942" s="192" t="s">
        <v>790</v>
      </c>
      <c r="H1942" s="192" t="s">
        <v>790</v>
      </c>
      <c r="I1942" t="s">
        <v>3414</v>
      </c>
    </row>
    <row r="1943" spans="2:11" x14ac:dyDescent="0.25">
      <c r="B1943" s="191"/>
      <c r="C1943" s="191" t="s">
        <v>4613</v>
      </c>
      <c r="D1943" s="192"/>
      <c r="E1943" s="185" t="s">
        <v>4612</v>
      </c>
      <c r="F1943" s="192" t="s">
        <v>789</v>
      </c>
      <c r="G1943" s="192" t="s">
        <v>790</v>
      </c>
      <c r="H1943" s="192" t="s">
        <v>790</v>
      </c>
      <c r="I1943" t="s">
        <v>3414</v>
      </c>
    </row>
    <row r="1944" spans="2:11" x14ac:dyDescent="0.25">
      <c r="B1944" s="191"/>
      <c r="C1944" s="191"/>
      <c r="D1944" s="192" t="s">
        <v>4614</v>
      </c>
      <c r="E1944" t="s">
        <v>4615</v>
      </c>
      <c r="F1944" s="192" t="s">
        <v>789</v>
      </c>
      <c r="G1944" s="192" t="s">
        <v>3675</v>
      </c>
      <c r="H1944" s="192" t="s">
        <v>3624</v>
      </c>
      <c r="I1944" t="s">
        <v>3414</v>
      </c>
      <c r="J1944" t="s">
        <v>865</v>
      </c>
      <c r="K1944" t="s">
        <v>797</v>
      </c>
    </row>
    <row r="1945" spans="2:11" x14ac:dyDescent="0.25">
      <c r="B1945" s="191"/>
      <c r="C1945" s="191"/>
      <c r="D1945" s="192" t="s">
        <v>4616</v>
      </c>
      <c r="E1945" t="s">
        <v>4617</v>
      </c>
      <c r="F1945" s="192" t="s">
        <v>789</v>
      </c>
      <c r="G1945" s="192" t="s">
        <v>3627</v>
      </c>
      <c r="H1945" s="192" t="s">
        <v>3624</v>
      </c>
      <c r="I1945" t="s">
        <v>3414</v>
      </c>
      <c r="J1945" t="s">
        <v>865</v>
      </c>
      <c r="K1945" t="s">
        <v>797</v>
      </c>
    </row>
    <row r="1946" spans="2:11" x14ac:dyDescent="0.25">
      <c r="B1946" s="191"/>
      <c r="C1946" s="191"/>
      <c r="D1946" s="192" t="s">
        <v>4618</v>
      </c>
      <c r="E1946" t="s">
        <v>4619</v>
      </c>
      <c r="F1946" s="192" t="s">
        <v>789</v>
      </c>
      <c r="G1946" s="192" t="s">
        <v>3630</v>
      </c>
      <c r="H1946" s="192" t="s">
        <v>3624</v>
      </c>
      <c r="I1946" t="s">
        <v>3414</v>
      </c>
      <c r="J1946" t="s">
        <v>865</v>
      </c>
      <c r="K1946" t="s">
        <v>797</v>
      </c>
    </row>
    <row r="1947" spans="2:11" x14ac:dyDescent="0.25">
      <c r="B1947" s="191"/>
      <c r="C1947" s="191" t="s">
        <v>4620</v>
      </c>
      <c r="D1947" s="192"/>
      <c r="E1947" s="185" t="s">
        <v>4621</v>
      </c>
      <c r="F1947" s="192" t="s">
        <v>789</v>
      </c>
      <c r="G1947" s="192" t="s">
        <v>790</v>
      </c>
      <c r="H1947" s="192" t="s">
        <v>790</v>
      </c>
      <c r="I1947" t="s">
        <v>3414</v>
      </c>
      <c r="J1947" t="s">
        <v>865</v>
      </c>
    </row>
    <row r="1948" spans="2:11" x14ac:dyDescent="0.25">
      <c r="B1948" s="191"/>
      <c r="C1948" s="191" t="s">
        <v>4622</v>
      </c>
      <c r="D1948" s="192"/>
      <c r="E1948" s="185" t="s">
        <v>4623</v>
      </c>
      <c r="F1948" s="192" t="s">
        <v>789</v>
      </c>
      <c r="G1948" s="192" t="s">
        <v>790</v>
      </c>
      <c r="H1948" s="192" t="s">
        <v>790</v>
      </c>
      <c r="I1948" t="s">
        <v>3414</v>
      </c>
    </row>
    <row r="1949" spans="2:11" s="91" customFormat="1" x14ac:dyDescent="0.25">
      <c r="B1949" s="193"/>
      <c r="C1949" s="193"/>
      <c r="D1949" s="194" t="s">
        <v>744</v>
      </c>
      <c r="E1949" s="91" t="s">
        <v>4624</v>
      </c>
      <c r="F1949" s="194" t="s">
        <v>789</v>
      </c>
      <c r="G1949" s="194" t="s">
        <v>3627</v>
      </c>
      <c r="H1949" s="194" t="s">
        <v>3624</v>
      </c>
      <c r="I1949" s="91" t="s">
        <v>3414</v>
      </c>
      <c r="J1949" s="91" t="s">
        <v>865</v>
      </c>
      <c r="K1949" s="91" t="s">
        <v>797</v>
      </c>
    </row>
    <row r="1950" spans="2:11" x14ac:dyDescent="0.25">
      <c r="B1950" s="191"/>
      <c r="C1950" s="191"/>
      <c r="D1950" s="192" t="s">
        <v>4625</v>
      </c>
      <c r="E1950" t="s">
        <v>4626</v>
      </c>
      <c r="F1950" s="192" t="s">
        <v>789</v>
      </c>
      <c r="G1950" s="192" t="s">
        <v>3630</v>
      </c>
      <c r="H1950" s="192" t="s">
        <v>3624</v>
      </c>
      <c r="I1950" t="s">
        <v>3414</v>
      </c>
      <c r="J1950" t="s">
        <v>865</v>
      </c>
      <c r="K1950" t="s">
        <v>797</v>
      </c>
    </row>
    <row r="1951" spans="2:11" x14ac:dyDescent="0.25">
      <c r="B1951" s="191"/>
      <c r="C1951" s="191" t="s">
        <v>4627</v>
      </c>
      <c r="D1951" s="192"/>
      <c r="E1951" s="185" t="s">
        <v>4628</v>
      </c>
      <c r="F1951" s="192" t="s">
        <v>789</v>
      </c>
      <c r="G1951" s="192" t="s">
        <v>790</v>
      </c>
      <c r="H1951" s="192" t="s">
        <v>790</v>
      </c>
      <c r="I1951" t="s">
        <v>2870</v>
      </c>
    </row>
    <row r="1952" spans="2:11" x14ac:dyDescent="0.25">
      <c r="B1952" s="191"/>
      <c r="C1952" s="191"/>
      <c r="D1952" s="192" t="s">
        <v>4629</v>
      </c>
      <c r="E1952" t="s">
        <v>4630</v>
      </c>
      <c r="F1952" s="192" t="s">
        <v>4631</v>
      </c>
      <c r="G1952" s="192" t="s">
        <v>790</v>
      </c>
      <c r="H1952" s="192" t="s">
        <v>790</v>
      </c>
      <c r="I1952" t="s">
        <v>2870</v>
      </c>
      <c r="J1952" t="s">
        <v>865</v>
      </c>
      <c r="K1952" t="s">
        <v>797</v>
      </c>
    </row>
    <row r="1953" spans="2:11" x14ac:dyDescent="0.25">
      <c r="B1953" s="191"/>
      <c r="C1953" s="191"/>
      <c r="D1953" s="192" t="s">
        <v>4632</v>
      </c>
      <c r="E1953" t="s">
        <v>4633</v>
      </c>
      <c r="F1953" s="192" t="s">
        <v>4631</v>
      </c>
      <c r="G1953" s="192" t="s">
        <v>790</v>
      </c>
      <c r="H1953" s="192" t="s">
        <v>790</v>
      </c>
      <c r="I1953" t="s">
        <v>2870</v>
      </c>
      <c r="J1953" t="s">
        <v>865</v>
      </c>
      <c r="K1953" t="s">
        <v>797</v>
      </c>
    </row>
    <row r="1954" spans="2:11" x14ac:dyDescent="0.25">
      <c r="B1954" s="191"/>
      <c r="C1954" s="191"/>
      <c r="D1954" s="192" t="s">
        <v>4634</v>
      </c>
      <c r="E1954" t="s">
        <v>4635</v>
      </c>
      <c r="F1954" s="192" t="s">
        <v>4631</v>
      </c>
      <c r="G1954" s="192" t="s">
        <v>790</v>
      </c>
      <c r="H1954" s="192" t="s">
        <v>790</v>
      </c>
      <c r="I1954" t="s">
        <v>2870</v>
      </c>
      <c r="J1954" t="s">
        <v>865</v>
      </c>
      <c r="K1954" t="s">
        <v>797</v>
      </c>
    </row>
    <row r="1955" spans="2:11" x14ac:dyDescent="0.25">
      <c r="B1955" s="191"/>
      <c r="C1955" s="191" t="s">
        <v>4636</v>
      </c>
      <c r="D1955" s="192"/>
      <c r="E1955" s="185" t="s">
        <v>4621</v>
      </c>
      <c r="F1955" s="192" t="s">
        <v>789</v>
      </c>
      <c r="G1955" s="192" t="s">
        <v>790</v>
      </c>
      <c r="H1955" s="192" t="s">
        <v>790</v>
      </c>
      <c r="I1955" t="s">
        <v>3414</v>
      </c>
    </row>
    <row r="1956" spans="2:11" x14ac:dyDescent="0.25">
      <c r="B1956" s="191"/>
      <c r="C1956" s="191"/>
      <c r="D1956" s="192" t="s">
        <v>4637</v>
      </c>
      <c r="E1956" t="s">
        <v>4638</v>
      </c>
      <c r="F1956" s="192" t="s">
        <v>789</v>
      </c>
      <c r="G1956" s="192" t="s">
        <v>3675</v>
      </c>
      <c r="H1956" s="192" t="s">
        <v>3624</v>
      </c>
      <c r="I1956" t="s">
        <v>3414</v>
      </c>
      <c r="J1956" t="s">
        <v>865</v>
      </c>
      <c r="K1956" t="s">
        <v>797</v>
      </c>
    </row>
    <row r="1957" spans="2:11" x14ac:dyDescent="0.25">
      <c r="B1957" s="191"/>
      <c r="C1957" s="191"/>
      <c r="D1957" s="192" t="s">
        <v>4639</v>
      </c>
      <c r="E1957" t="s">
        <v>4640</v>
      </c>
      <c r="F1957" s="192" t="s">
        <v>789</v>
      </c>
      <c r="G1957" s="192" t="s">
        <v>3623</v>
      </c>
      <c r="H1957" s="192" t="s">
        <v>3624</v>
      </c>
      <c r="I1957" t="s">
        <v>3414</v>
      </c>
      <c r="J1957" t="s">
        <v>865</v>
      </c>
      <c r="K1957" t="s">
        <v>797</v>
      </c>
    </row>
    <row r="1958" spans="2:11" x14ac:dyDescent="0.25">
      <c r="B1958" s="191"/>
      <c r="C1958" s="191"/>
      <c r="D1958" s="194" t="s">
        <v>4641</v>
      </c>
      <c r="E1958" s="91" t="s">
        <v>4642</v>
      </c>
      <c r="F1958" s="192" t="s">
        <v>789</v>
      </c>
      <c r="G1958" s="192" t="s">
        <v>3627</v>
      </c>
      <c r="H1958" s="192" t="s">
        <v>3624</v>
      </c>
      <c r="I1958" t="s">
        <v>3414</v>
      </c>
      <c r="J1958" t="s">
        <v>865</v>
      </c>
      <c r="K1958" t="s">
        <v>797</v>
      </c>
    </row>
    <row r="1959" spans="2:11" x14ac:dyDescent="0.25">
      <c r="B1959" s="191"/>
      <c r="C1959" s="191"/>
      <c r="D1959" s="192" t="s">
        <v>597</v>
      </c>
      <c r="E1959" t="s">
        <v>4643</v>
      </c>
      <c r="F1959" s="192" t="s">
        <v>789</v>
      </c>
      <c r="G1959" s="192" t="s">
        <v>3630</v>
      </c>
      <c r="H1959" s="192" t="s">
        <v>3624</v>
      </c>
      <c r="I1959" t="s">
        <v>3414</v>
      </c>
      <c r="J1959" t="s">
        <v>865</v>
      </c>
      <c r="K1959" t="s">
        <v>797</v>
      </c>
    </row>
    <row r="1960" spans="2:11" x14ac:dyDescent="0.25">
      <c r="B1960" s="191" t="s">
        <v>4644</v>
      </c>
      <c r="C1960" s="191"/>
      <c r="D1960" s="192"/>
      <c r="E1960" s="185" t="s">
        <v>4645</v>
      </c>
      <c r="F1960" s="192" t="s">
        <v>789</v>
      </c>
      <c r="G1960" s="192" t="s">
        <v>790</v>
      </c>
      <c r="H1960" s="192" t="s">
        <v>790</v>
      </c>
      <c r="I1960" t="s">
        <v>2870</v>
      </c>
    </row>
    <row r="1961" spans="2:11" x14ac:dyDescent="0.25">
      <c r="B1961" s="191"/>
      <c r="C1961" s="191" t="s">
        <v>4646</v>
      </c>
      <c r="D1961" s="192"/>
      <c r="E1961" s="185" t="s">
        <v>4647</v>
      </c>
      <c r="F1961" s="192" t="s">
        <v>789</v>
      </c>
      <c r="G1961" s="192" t="s">
        <v>790</v>
      </c>
      <c r="H1961" s="192" t="s">
        <v>790</v>
      </c>
      <c r="I1961" t="s">
        <v>2870</v>
      </c>
    </row>
    <row r="1962" spans="2:11" x14ac:dyDescent="0.25">
      <c r="B1962" s="191"/>
      <c r="C1962" s="191" t="s">
        <v>4648</v>
      </c>
      <c r="D1962" s="192"/>
      <c r="E1962" s="185" t="s">
        <v>4649</v>
      </c>
      <c r="F1962" s="192" t="s">
        <v>789</v>
      </c>
      <c r="G1962" s="192" t="s">
        <v>790</v>
      </c>
      <c r="H1962" s="192" t="s">
        <v>790</v>
      </c>
      <c r="I1962" t="s">
        <v>2870</v>
      </c>
    </row>
    <row r="1963" spans="2:11" x14ac:dyDescent="0.25">
      <c r="B1963" s="191"/>
      <c r="C1963" s="191"/>
      <c r="D1963" s="192" t="s">
        <v>4650</v>
      </c>
      <c r="E1963" t="s">
        <v>4651</v>
      </c>
      <c r="F1963" s="192" t="s">
        <v>4631</v>
      </c>
      <c r="G1963" s="192" t="s">
        <v>790</v>
      </c>
      <c r="H1963" s="192" t="s">
        <v>790</v>
      </c>
      <c r="I1963" t="s">
        <v>2870</v>
      </c>
      <c r="J1963" t="s">
        <v>865</v>
      </c>
      <c r="K1963" t="s">
        <v>797</v>
      </c>
    </row>
    <row r="1964" spans="2:11" x14ac:dyDescent="0.25">
      <c r="B1964" s="191"/>
      <c r="C1964" s="191" t="s">
        <v>4652</v>
      </c>
      <c r="D1964" s="192"/>
      <c r="E1964" s="185" t="s">
        <v>4653</v>
      </c>
      <c r="F1964" s="192" t="s">
        <v>789</v>
      </c>
      <c r="G1964" s="192" t="s">
        <v>790</v>
      </c>
      <c r="H1964" s="192" t="s">
        <v>790</v>
      </c>
      <c r="I1964" t="s">
        <v>2870</v>
      </c>
    </row>
    <row r="1965" spans="2:11" x14ac:dyDescent="0.25">
      <c r="B1965" s="191"/>
      <c r="C1965" s="191"/>
      <c r="D1965" s="192" t="s">
        <v>4654</v>
      </c>
      <c r="E1965" t="s">
        <v>4655</v>
      </c>
      <c r="F1965" s="192" t="s">
        <v>4631</v>
      </c>
      <c r="G1965" s="192" t="s">
        <v>790</v>
      </c>
      <c r="H1965" s="192" t="s">
        <v>790</v>
      </c>
      <c r="I1965" t="s">
        <v>2870</v>
      </c>
      <c r="J1965" t="s">
        <v>865</v>
      </c>
      <c r="K1965" t="s">
        <v>797</v>
      </c>
    </row>
    <row r="1966" spans="2:11" x14ac:dyDescent="0.25">
      <c r="B1966" s="191"/>
      <c r="C1966" s="191" t="s">
        <v>4656</v>
      </c>
      <c r="D1966" s="192"/>
      <c r="E1966" s="185" t="s">
        <v>4657</v>
      </c>
      <c r="F1966" s="192" t="s">
        <v>789</v>
      </c>
      <c r="G1966" s="192" t="s">
        <v>790</v>
      </c>
      <c r="H1966" s="192" t="s">
        <v>790</v>
      </c>
      <c r="I1966" t="s">
        <v>2870</v>
      </c>
    </row>
    <row r="1967" spans="2:11" x14ac:dyDescent="0.25">
      <c r="B1967" s="191"/>
      <c r="C1967" s="191" t="s">
        <v>4658</v>
      </c>
      <c r="D1967" s="192"/>
      <c r="E1967" s="185" t="s">
        <v>4659</v>
      </c>
      <c r="F1967" s="192" t="s">
        <v>789</v>
      </c>
      <c r="G1967" s="192" t="s">
        <v>790</v>
      </c>
      <c r="H1967" s="192" t="s">
        <v>790</v>
      </c>
      <c r="I1967" t="s">
        <v>2870</v>
      </c>
    </row>
    <row r="1968" spans="2:11" x14ac:dyDescent="0.25">
      <c r="B1968" s="191"/>
      <c r="C1968" s="191"/>
      <c r="D1968" s="192" t="s">
        <v>4660</v>
      </c>
      <c r="E1968" t="s">
        <v>4659</v>
      </c>
      <c r="F1968" s="192" t="s">
        <v>4631</v>
      </c>
      <c r="G1968" s="192" t="s">
        <v>790</v>
      </c>
      <c r="H1968" s="192" t="s">
        <v>790</v>
      </c>
      <c r="I1968" t="s">
        <v>2870</v>
      </c>
      <c r="J1968" t="s">
        <v>865</v>
      </c>
      <c r="K1968" t="s">
        <v>797</v>
      </c>
    </row>
    <row r="1969" spans="2:11" x14ac:dyDescent="0.25">
      <c r="B1969" s="191"/>
      <c r="C1969" s="191" t="s">
        <v>4661</v>
      </c>
      <c r="D1969" s="192"/>
      <c r="E1969" s="185" t="s">
        <v>4662</v>
      </c>
      <c r="F1969" s="192" t="s">
        <v>789</v>
      </c>
      <c r="G1969" s="192" t="s">
        <v>790</v>
      </c>
      <c r="H1969" s="192" t="s">
        <v>790</v>
      </c>
      <c r="I1969" t="s">
        <v>2870</v>
      </c>
    </row>
    <row r="1970" spans="2:11" x14ac:dyDescent="0.25">
      <c r="B1970" s="191"/>
      <c r="C1970" s="191"/>
      <c r="D1970" s="192" t="s">
        <v>4663</v>
      </c>
      <c r="E1970" t="s">
        <v>4664</v>
      </c>
      <c r="F1970" s="192" t="s">
        <v>4631</v>
      </c>
      <c r="G1970" s="192" t="s">
        <v>790</v>
      </c>
      <c r="H1970" s="192" t="s">
        <v>790</v>
      </c>
      <c r="I1970" t="s">
        <v>2870</v>
      </c>
      <c r="J1970" t="s">
        <v>865</v>
      </c>
      <c r="K1970" t="s">
        <v>797</v>
      </c>
    </row>
    <row r="1971" spans="2:11" x14ac:dyDescent="0.25">
      <c r="B1971" s="191"/>
      <c r="C1971" s="191" t="s">
        <v>4665</v>
      </c>
      <c r="D1971" s="192"/>
      <c r="E1971" s="185" t="s">
        <v>4666</v>
      </c>
      <c r="F1971" s="192" t="s">
        <v>789</v>
      </c>
      <c r="G1971" s="192" t="s">
        <v>790</v>
      </c>
      <c r="H1971" s="192" t="s">
        <v>790</v>
      </c>
      <c r="I1971" t="s">
        <v>2870</v>
      </c>
    </row>
    <row r="1972" spans="2:11" x14ac:dyDescent="0.25">
      <c r="B1972" s="191"/>
      <c r="C1972" s="191"/>
      <c r="D1972" s="192" t="s">
        <v>4667</v>
      </c>
      <c r="E1972" t="s">
        <v>4666</v>
      </c>
      <c r="F1972" s="192" t="s">
        <v>4631</v>
      </c>
      <c r="G1972" s="192" t="s">
        <v>790</v>
      </c>
      <c r="H1972" s="192" t="s">
        <v>790</v>
      </c>
      <c r="I1972" t="s">
        <v>2870</v>
      </c>
      <c r="J1972" t="s">
        <v>865</v>
      </c>
      <c r="K1972" t="s">
        <v>797</v>
      </c>
    </row>
    <row r="1973" spans="2:11" x14ac:dyDescent="0.25">
      <c r="B1973" s="191"/>
      <c r="C1973" s="191" t="s">
        <v>4668</v>
      </c>
      <c r="D1973" s="192"/>
      <c r="E1973" s="185" t="s">
        <v>4669</v>
      </c>
      <c r="F1973" s="192" t="s">
        <v>789</v>
      </c>
      <c r="G1973" s="192" t="s">
        <v>790</v>
      </c>
      <c r="H1973" s="192" t="s">
        <v>790</v>
      </c>
      <c r="I1973" t="s">
        <v>2870</v>
      </c>
    </row>
    <row r="1974" spans="2:11" x14ac:dyDescent="0.25">
      <c r="B1974" s="191"/>
      <c r="C1974" s="191"/>
      <c r="D1974" s="192" t="s">
        <v>4670</v>
      </c>
      <c r="E1974" t="s">
        <v>4671</v>
      </c>
      <c r="F1974" s="192" t="s">
        <v>4631</v>
      </c>
      <c r="G1974" s="192" t="s">
        <v>790</v>
      </c>
      <c r="H1974" s="192" t="s">
        <v>790</v>
      </c>
      <c r="I1974" t="s">
        <v>2870</v>
      </c>
      <c r="J1974" t="s">
        <v>865</v>
      </c>
      <c r="K1974" t="s">
        <v>797</v>
      </c>
    </row>
    <row r="1975" spans="2:11" x14ac:dyDescent="0.25">
      <c r="B1975" s="191"/>
      <c r="C1975" s="191" t="s">
        <v>4672</v>
      </c>
      <c r="D1975" s="192"/>
      <c r="E1975" s="185" t="s">
        <v>4673</v>
      </c>
      <c r="F1975" s="192" t="s">
        <v>789</v>
      </c>
      <c r="G1975" s="192" t="s">
        <v>790</v>
      </c>
      <c r="H1975" s="192" t="s">
        <v>790</v>
      </c>
      <c r="I1975" t="s">
        <v>2870</v>
      </c>
    </row>
    <row r="1976" spans="2:11" x14ac:dyDescent="0.25">
      <c r="B1976" s="191"/>
      <c r="C1976" s="191" t="s">
        <v>4674</v>
      </c>
      <c r="D1976" s="192"/>
      <c r="E1976" s="185" t="s">
        <v>4675</v>
      </c>
      <c r="F1976" s="192" t="s">
        <v>789</v>
      </c>
      <c r="G1976" s="192" t="s">
        <v>790</v>
      </c>
      <c r="H1976" s="192" t="s">
        <v>790</v>
      </c>
      <c r="I1976" t="s">
        <v>2870</v>
      </c>
    </row>
    <row r="1977" spans="2:11" x14ac:dyDescent="0.25">
      <c r="B1977" s="191"/>
      <c r="C1977" s="191"/>
      <c r="D1977" s="192" t="s">
        <v>4676</v>
      </c>
      <c r="E1977" t="s">
        <v>4677</v>
      </c>
      <c r="F1977" s="192" t="s">
        <v>4631</v>
      </c>
      <c r="G1977" s="192" t="s">
        <v>790</v>
      </c>
      <c r="H1977" s="192" t="s">
        <v>790</v>
      </c>
      <c r="I1977" t="s">
        <v>2870</v>
      </c>
      <c r="J1977" t="s">
        <v>865</v>
      </c>
      <c r="K1977" t="s">
        <v>797</v>
      </c>
    </row>
    <row r="1978" spans="2:11" x14ac:dyDescent="0.25">
      <c r="B1978" s="191"/>
      <c r="C1978" s="191" t="s">
        <v>4678</v>
      </c>
      <c r="D1978" s="192"/>
      <c r="E1978" s="185" t="s">
        <v>4679</v>
      </c>
      <c r="F1978" s="192" t="s">
        <v>789</v>
      </c>
      <c r="G1978" s="192" t="s">
        <v>790</v>
      </c>
      <c r="H1978" s="192" t="s">
        <v>790</v>
      </c>
      <c r="I1978" t="s">
        <v>2870</v>
      </c>
    </row>
    <row r="1979" spans="2:11" x14ac:dyDescent="0.25">
      <c r="B1979" s="191"/>
      <c r="C1979" s="191"/>
      <c r="D1979" s="192" t="s">
        <v>4680</v>
      </c>
      <c r="E1979" t="s">
        <v>4681</v>
      </c>
      <c r="F1979" s="192" t="s">
        <v>4631</v>
      </c>
      <c r="G1979" s="192" t="s">
        <v>790</v>
      </c>
      <c r="H1979" s="192" t="s">
        <v>790</v>
      </c>
      <c r="I1979" t="s">
        <v>2870</v>
      </c>
      <c r="J1979" t="s">
        <v>865</v>
      </c>
      <c r="K1979" t="s">
        <v>797</v>
      </c>
    </row>
    <row r="1980" spans="2:11" x14ac:dyDescent="0.25">
      <c r="B1980" s="191" t="s">
        <v>4682</v>
      </c>
      <c r="C1980" s="191"/>
      <c r="D1980" s="192"/>
      <c r="E1980" s="185" t="s">
        <v>4683</v>
      </c>
      <c r="F1980" s="192" t="s">
        <v>789</v>
      </c>
      <c r="G1980" s="192" t="s">
        <v>790</v>
      </c>
      <c r="H1980" s="192" t="s">
        <v>790</v>
      </c>
      <c r="I1980" t="s">
        <v>3414</v>
      </c>
      <c r="J1980" t="s">
        <v>865</v>
      </c>
    </row>
    <row r="1981" spans="2:11" x14ac:dyDescent="0.25">
      <c r="B1981" s="191"/>
      <c r="C1981" s="191" t="s">
        <v>4684</v>
      </c>
      <c r="D1981" s="192"/>
      <c r="E1981" s="185" t="s">
        <v>4685</v>
      </c>
      <c r="F1981" s="192" t="s">
        <v>789</v>
      </c>
      <c r="G1981" s="192" t="s">
        <v>790</v>
      </c>
      <c r="H1981" s="192" t="s">
        <v>790</v>
      </c>
      <c r="I1981" t="s">
        <v>3414</v>
      </c>
      <c r="J1981" t="s">
        <v>865</v>
      </c>
    </row>
    <row r="1982" spans="2:11" x14ac:dyDescent="0.25">
      <c r="B1982" s="191"/>
      <c r="C1982" s="191" t="s">
        <v>4686</v>
      </c>
      <c r="D1982" s="192"/>
      <c r="E1982" s="185" t="s">
        <v>4687</v>
      </c>
      <c r="F1982" s="192" t="s">
        <v>789</v>
      </c>
      <c r="G1982" s="192" t="s">
        <v>790</v>
      </c>
      <c r="H1982" s="192" t="s">
        <v>790</v>
      </c>
      <c r="I1982" t="s">
        <v>3414</v>
      </c>
    </row>
    <row r="1983" spans="2:11" x14ac:dyDescent="0.25">
      <c r="B1983" s="191"/>
      <c r="C1983" s="191"/>
      <c r="D1983" s="192" t="s">
        <v>4688</v>
      </c>
      <c r="E1983" t="s">
        <v>4689</v>
      </c>
      <c r="F1983" s="192" t="s">
        <v>789</v>
      </c>
      <c r="G1983" s="192" t="s">
        <v>4690</v>
      </c>
      <c r="H1983" s="192" t="s">
        <v>3624</v>
      </c>
      <c r="I1983" t="s">
        <v>3414</v>
      </c>
      <c r="J1983" t="s">
        <v>865</v>
      </c>
      <c r="K1983" t="s">
        <v>797</v>
      </c>
    </row>
    <row r="1984" spans="2:11" x14ac:dyDescent="0.25">
      <c r="B1984" s="191"/>
      <c r="C1984" s="191" t="s">
        <v>4691</v>
      </c>
      <c r="D1984" s="192"/>
      <c r="E1984" s="185" t="s">
        <v>4692</v>
      </c>
      <c r="F1984" s="192" t="s">
        <v>789</v>
      </c>
      <c r="G1984" s="192" t="s">
        <v>790</v>
      </c>
      <c r="H1984" s="192" t="s">
        <v>790</v>
      </c>
      <c r="I1984" t="s">
        <v>3414</v>
      </c>
    </row>
    <row r="1985" spans="2:11" x14ac:dyDescent="0.25">
      <c r="B1985" s="191"/>
      <c r="C1985" s="191"/>
      <c r="D1985" s="192" t="s">
        <v>4693</v>
      </c>
      <c r="E1985" t="s">
        <v>4694</v>
      </c>
      <c r="F1985" s="192" t="s">
        <v>789</v>
      </c>
      <c r="G1985" s="192" t="s">
        <v>4690</v>
      </c>
      <c r="H1985" s="192" t="s">
        <v>3624</v>
      </c>
      <c r="I1985" t="s">
        <v>3414</v>
      </c>
      <c r="J1985" t="s">
        <v>865</v>
      </c>
      <c r="K1985" t="s">
        <v>797</v>
      </c>
    </row>
    <row r="1986" spans="2:11" x14ac:dyDescent="0.25">
      <c r="B1986" s="191"/>
      <c r="C1986" s="191" t="s">
        <v>4695</v>
      </c>
      <c r="D1986" s="192"/>
      <c r="E1986" s="185" t="s">
        <v>4696</v>
      </c>
      <c r="F1986" s="192" t="s">
        <v>789</v>
      </c>
      <c r="G1986" s="192" t="s">
        <v>790</v>
      </c>
      <c r="H1986" s="192" t="s">
        <v>790</v>
      </c>
      <c r="I1986" t="s">
        <v>3414</v>
      </c>
    </row>
    <row r="1987" spans="2:11" x14ac:dyDescent="0.25">
      <c r="B1987" s="191"/>
      <c r="C1987" s="191"/>
      <c r="D1987" s="192" t="s">
        <v>4697</v>
      </c>
      <c r="E1987" t="s">
        <v>4696</v>
      </c>
      <c r="F1987" s="192" t="s">
        <v>789</v>
      </c>
      <c r="G1987" s="192" t="s">
        <v>4690</v>
      </c>
      <c r="H1987" s="192" t="s">
        <v>3624</v>
      </c>
      <c r="I1987" t="s">
        <v>3414</v>
      </c>
      <c r="J1987" t="s">
        <v>865</v>
      </c>
      <c r="K1987" t="s">
        <v>797</v>
      </c>
    </row>
    <row r="1988" spans="2:11" x14ac:dyDescent="0.25">
      <c r="B1988" s="191"/>
      <c r="C1988" s="191" t="s">
        <v>4698</v>
      </c>
      <c r="D1988" s="192"/>
      <c r="E1988" s="185" t="s">
        <v>4699</v>
      </c>
      <c r="F1988" s="192" t="s">
        <v>789</v>
      </c>
      <c r="G1988" s="192" t="s">
        <v>790</v>
      </c>
      <c r="H1988" s="192" t="s">
        <v>790</v>
      </c>
      <c r="I1988" t="s">
        <v>3414</v>
      </c>
    </row>
    <row r="1989" spans="2:11" x14ac:dyDescent="0.25">
      <c r="B1989" s="191"/>
      <c r="C1989" s="191"/>
      <c r="D1989" s="192" t="s">
        <v>4700</v>
      </c>
      <c r="E1989" t="s">
        <v>4699</v>
      </c>
      <c r="F1989" s="192" t="s">
        <v>789</v>
      </c>
      <c r="G1989" s="192" t="s">
        <v>4690</v>
      </c>
      <c r="H1989" s="192" t="s">
        <v>3624</v>
      </c>
      <c r="I1989" t="s">
        <v>3414</v>
      </c>
      <c r="J1989" t="s">
        <v>865</v>
      </c>
      <c r="K1989" t="s">
        <v>797</v>
      </c>
    </row>
    <row r="1990" spans="2:11" x14ac:dyDescent="0.25">
      <c r="B1990" s="191"/>
      <c r="C1990" s="191" t="s">
        <v>4701</v>
      </c>
      <c r="D1990" s="192"/>
      <c r="E1990" s="185" t="s">
        <v>4702</v>
      </c>
      <c r="F1990" s="192" t="s">
        <v>789</v>
      </c>
      <c r="G1990" s="192" t="s">
        <v>790</v>
      </c>
      <c r="H1990" s="192" t="s">
        <v>790</v>
      </c>
      <c r="I1990" t="s">
        <v>3414</v>
      </c>
      <c r="J1990" t="s">
        <v>865</v>
      </c>
    </row>
    <row r="1991" spans="2:11" x14ac:dyDescent="0.25">
      <c r="B1991" s="191"/>
      <c r="C1991" s="191"/>
      <c r="D1991" s="192" t="s">
        <v>4703</v>
      </c>
      <c r="E1991" t="s">
        <v>4702</v>
      </c>
      <c r="F1991" s="192" t="s">
        <v>789</v>
      </c>
      <c r="G1991" s="192" t="s">
        <v>4690</v>
      </c>
      <c r="H1991" s="192" t="s">
        <v>3624</v>
      </c>
      <c r="I1991" t="s">
        <v>3414</v>
      </c>
      <c r="J1991" t="s">
        <v>865</v>
      </c>
      <c r="K1991" t="s">
        <v>797</v>
      </c>
    </row>
    <row r="1992" spans="2:11" x14ac:dyDescent="0.25">
      <c r="B1992" s="191"/>
      <c r="C1992" s="191" t="s">
        <v>4704</v>
      </c>
      <c r="D1992" s="192"/>
      <c r="E1992" s="185" t="s">
        <v>4705</v>
      </c>
      <c r="F1992" s="192" t="s">
        <v>789</v>
      </c>
      <c r="G1992" s="192" t="s">
        <v>790</v>
      </c>
      <c r="H1992" s="192" t="s">
        <v>790</v>
      </c>
      <c r="I1992" t="s">
        <v>3414</v>
      </c>
    </row>
    <row r="1993" spans="2:11" x14ac:dyDescent="0.25">
      <c r="B1993" s="191"/>
      <c r="C1993" s="191" t="s">
        <v>4706</v>
      </c>
      <c r="D1993" s="192"/>
      <c r="E1993" s="185" t="s">
        <v>4707</v>
      </c>
      <c r="F1993" s="192" t="s">
        <v>789</v>
      </c>
      <c r="G1993" s="192" t="s">
        <v>790</v>
      </c>
      <c r="H1993" s="192" t="s">
        <v>790</v>
      </c>
      <c r="I1993" t="s">
        <v>3414</v>
      </c>
    </row>
    <row r="1994" spans="2:11" x14ac:dyDescent="0.25">
      <c r="B1994" s="191"/>
      <c r="C1994" s="191" t="s">
        <v>4708</v>
      </c>
      <c r="D1994" s="192"/>
      <c r="E1994" s="185" t="s">
        <v>4709</v>
      </c>
      <c r="F1994" s="192" t="s">
        <v>789</v>
      </c>
      <c r="G1994" s="192" t="s">
        <v>790</v>
      </c>
      <c r="H1994" s="192" t="s">
        <v>790</v>
      </c>
      <c r="I1994" t="s">
        <v>3414</v>
      </c>
    </row>
    <row r="1995" spans="2:11" x14ac:dyDescent="0.25">
      <c r="B1995" s="191"/>
      <c r="C1995" s="191"/>
      <c r="D1995" s="192" t="s">
        <v>4710</v>
      </c>
      <c r="E1995" t="s">
        <v>4709</v>
      </c>
      <c r="F1995" s="192" t="s">
        <v>789</v>
      </c>
      <c r="G1995" s="192" t="s">
        <v>4690</v>
      </c>
      <c r="H1995" s="192" t="s">
        <v>3624</v>
      </c>
      <c r="I1995" t="s">
        <v>3414</v>
      </c>
      <c r="J1995" t="s">
        <v>865</v>
      </c>
      <c r="K1995" t="s">
        <v>797</v>
      </c>
    </row>
    <row r="1996" spans="2:11" x14ac:dyDescent="0.25">
      <c r="B1996" s="191"/>
      <c r="C1996" s="191" t="s">
        <v>4711</v>
      </c>
      <c r="D1996" s="192"/>
      <c r="E1996" s="185" t="s">
        <v>4712</v>
      </c>
      <c r="F1996" s="192" t="s">
        <v>789</v>
      </c>
      <c r="G1996" s="192" t="s">
        <v>790</v>
      </c>
      <c r="H1996" s="192" t="s">
        <v>790</v>
      </c>
      <c r="I1996" t="s">
        <v>3414</v>
      </c>
    </row>
    <row r="1997" spans="2:11" x14ac:dyDescent="0.25">
      <c r="B1997" s="191"/>
      <c r="C1997" s="191"/>
      <c r="D1997" s="192" t="s">
        <v>4713</v>
      </c>
      <c r="E1997" t="s">
        <v>4714</v>
      </c>
      <c r="F1997" s="192" t="s">
        <v>789</v>
      </c>
      <c r="G1997" s="192" t="s">
        <v>4690</v>
      </c>
      <c r="H1997" s="192" t="s">
        <v>3624</v>
      </c>
      <c r="I1997" t="s">
        <v>3414</v>
      </c>
      <c r="J1997" t="s">
        <v>865</v>
      </c>
      <c r="K1997" t="s">
        <v>797</v>
      </c>
    </row>
    <row r="1998" spans="2:11" x14ac:dyDescent="0.25">
      <c r="B1998" s="191"/>
      <c r="C1998" s="191" t="s">
        <v>4715</v>
      </c>
      <c r="D1998" s="192"/>
      <c r="E1998" s="185" t="s">
        <v>4716</v>
      </c>
      <c r="F1998" s="192" t="s">
        <v>789</v>
      </c>
      <c r="G1998" s="192" t="s">
        <v>790</v>
      </c>
      <c r="H1998" s="192" t="s">
        <v>790</v>
      </c>
      <c r="I1998" t="s">
        <v>3414</v>
      </c>
    </row>
    <row r="1999" spans="2:11" x14ac:dyDescent="0.25">
      <c r="B1999" s="191"/>
      <c r="C1999" s="191"/>
      <c r="D1999" s="192" t="s">
        <v>4717</v>
      </c>
      <c r="E1999" t="s">
        <v>4716</v>
      </c>
      <c r="F1999" s="192" t="s">
        <v>789</v>
      </c>
      <c r="G1999" s="192" t="s">
        <v>4690</v>
      </c>
      <c r="H1999" s="192" t="s">
        <v>3624</v>
      </c>
      <c r="I1999" t="s">
        <v>3414</v>
      </c>
      <c r="J1999" t="s">
        <v>865</v>
      </c>
      <c r="K1999" t="s">
        <v>797</v>
      </c>
    </row>
    <row r="2000" spans="2:11" x14ac:dyDescent="0.25">
      <c r="B2000" s="191"/>
      <c r="C2000" s="191" t="s">
        <v>4718</v>
      </c>
      <c r="D2000" s="192"/>
      <c r="E2000" s="185" t="s">
        <v>4719</v>
      </c>
      <c r="F2000" s="192" t="s">
        <v>789</v>
      </c>
      <c r="G2000" s="192" t="s">
        <v>790</v>
      </c>
      <c r="H2000" s="192" t="s">
        <v>790</v>
      </c>
      <c r="I2000" t="s">
        <v>3414</v>
      </c>
    </row>
    <row r="2001" spans="2:11" x14ac:dyDescent="0.25">
      <c r="B2001" s="191"/>
      <c r="C2001" s="191"/>
      <c r="D2001" s="192" t="s">
        <v>4720</v>
      </c>
      <c r="E2001" t="s">
        <v>4719</v>
      </c>
      <c r="F2001" s="192" t="s">
        <v>789</v>
      </c>
      <c r="G2001" s="192" t="s">
        <v>4690</v>
      </c>
      <c r="H2001" s="192" t="s">
        <v>3624</v>
      </c>
      <c r="I2001" t="s">
        <v>3414</v>
      </c>
      <c r="J2001" t="s">
        <v>865</v>
      </c>
      <c r="K2001" t="s">
        <v>797</v>
      </c>
    </row>
    <row r="2002" spans="2:11" x14ac:dyDescent="0.25">
      <c r="B2002" s="191"/>
      <c r="C2002" s="191" t="s">
        <v>4721</v>
      </c>
      <c r="D2002" s="192"/>
      <c r="E2002" s="185" t="s">
        <v>4722</v>
      </c>
      <c r="F2002" s="192" t="s">
        <v>789</v>
      </c>
      <c r="G2002" s="192" t="s">
        <v>790</v>
      </c>
      <c r="H2002" s="192" t="s">
        <v>790</v>
      </c>
      <c r="I2002" t="s">
        <v>3414</v>
      </c>
    </row>
    <row r="2003" spans="2:11" x14ac:dyDescent="0.25">
      <c r="B2003" s="191"/>
      <c r="C2003" s="191"/>
      <c r="D2003" s="192" t="s">
        <v>4723</v>
      </c>
      <c r="E2003" t="s">
        <v>4722</v>
      </c>
      <c r="F2003" s="192" t="s">
        <v>789</v>
      </c>
      <c r="G2003" s="192" t="s">
        <v>4690</v>
      </c>
      <c r="H2003" s="192" t="s">
        <v>3624</v>
      </c>
      <c r="I2003" t="s">
        <v>3414</v>
      </c>
      <c r="J2003" t="s">
        <v>865</v>
      </c>
      <c r="K2003" t="s">
        <v>797</v>
      </c>
    </row>
    <row r="2004" spans="2:11" x14ac:dyDescent="0.25">
      <c r="B2004" s="191"/>
      <c r="C2004" s="191" t="s">
        <v>4724</v>
      </c>
      <c r="D2004" s="192"/>
      <c r="E2004" s="185" t="s">
        <v>4725</v>
      </c>
      <c r="F2004" s="192" t="s">
        <v>789</v>
      </c>
      <c r="G2004" s="192" t="s">
        <v>790</v>
      </c>
      <c r="H2004" s="192" t="s">
        <v>790</v>
      </c>
      <c r="I2004" t="s">
        <v>3414</v>
      </c>
    </row>
    <row r="2005" spans="2:11" x14ac:dyDescent="0.25">
      <c r="B2005" s="191"/>
      <c r="C2005" s="191"/>
      <c r="D2005" s="192" t="s">
        <v>4726</v>
      </c>
      <c r="E2005" t="s">
        <v>4725</v>
      </c>
      <c r="F2005" s="192" t="s">
        <v>789</v>
      </c>
      <c r="G2005" s="192" t="s">
        <v>4690</v>
      </c>
      <c r="H2005" s="192" t="s">
        <v>3624</v>
      </c>
      <c r="I2005" t="s">
        <v>3414</v>
      </c>
      <c r="J2005" t="s">
        <v>865</v>
      </c>
      <c r="K2005" t="s">
        <v>797</v>
      </c>
    </row>
    <row r="2006" spans="2:11" x14ac:dyDescent="0.25">
      <c r="B2006" s="191"/>
      <c r="C2006" s="191" t="s">
        <v>4727</v>
      </c>
      <c r="D2006" s="192"/>
      <c r="E2006" s="185" t="s">
        <v>4728</v>
      </c>
      <c r="F2006" s="192" t="s">
        <v>789</v>
      </c>
      <c r="G2006" s="192" t="s">
        <v>790</v>
      </c>
      <c r="H2006" s="192" t="s">
        <v>790</v>
      </c>
      <c r="I2006" t="s">
        <v>3414</v>
      </c>
    </row>
    <row r="2007" spans="2:11" x14ac:dyDescent="0.25">
      <c r="B2007" s="191"/>
      <c r="C2007" s="191"/>
      <c r="D2007" s="192" t="s">
        <v>4729</v>
      </c>
      <c r="E2007" t="s">
        <v>4728</v>
      </c>
      <c r="F2007" s="192" t="s">
        <v>789</v>
      </c>
      <c r="G2007" s="192" t="s">
        <v>4690</v>
      </c>
      <c r="H2007" s="192" t="s">
        <v>3624</v>
      </c>
      <c r="I2007" t="s">
        <v>3414</v>
      </c>
      <c r="J2007" t="s">
        <v>865</v>
      </c>
      <c r="K2007" t="s">
        <v>797</v>
      </c>
    </row>
    <row r="2008" spans="2:11" x14ac:dyDescent="0.25">
      <c r="B2008" s="191"/>
      <c r="C2008" s="191" t="s">
        <v>4730</v>
      </c>
      <c r="D2008" s="192"/>
      <c r="E2008" s="185" t="s">
        <v>4731</v>
      </c>
      <c r="F2008" s="192" t="s">
        <v>789</v>
      </c>
      <c r="G2008" s="192" t="s">
        <v>790</v>
      </c>
      <c r="H2008" s="192" t="s">
        <v>790</v>
      </c>
      <c r="I2008" t="s">
        <v>3414</v>
      </c>
    </row>
    <row r="2009" spans="2:11" x14ac:dyDescent="0.25">
      <c r="B2009" s="191"/>
      <c r="C2009" s="191" t="s">
        <v>4732</v>
      </c>
      <c r="D2009" s="192"/>
      <c r="E2009" s="185" t="s">
        <v>4733</v>
      </c>
      <c r="F2009" s="192" t="s">
        <v>789</v>
      </c>
      <c r="G2009" s="192" t="s">
        <v>790</v>
      </c>
      <c r="H2009" s="192" t="s">
        <v>790</v>
      </c>
      <c r="I2009" t="s">
        <v>3414</v>
      </c>
    </row>
    <row r="2010" spans="2:11" x14ac:dyDescent="0.25">
      <c r="B2010" s="191"/>
      <c r="C2010" s="191"/>
      <c r="D2010" s="192" t="s">
        <v>4734</v>
      </c>
      <c r="E2010" t="s">
        <v>4735</v>
      </c>
      <c r="F2010" s="192" t="s">
        <v>789</v>
      </c>
      <c r="G2010" s="192" t="s">
        <v>4690</v>
      </c>
      <c r="H2010" s="192" t="s">
        <v>3624</v>
      </c>
      <c r="I2010" t="s">
        <v>3414</v>
      </c>
      <c r="J2010" t="s">
        <v>865</v>
      </c>
      <c r="K2010" t="s">
        <v>797</v>
      </c>
    </row>
    <row r="2011" spans="2:11" x14ac:dyDescent="0.25">
      <c r="B2011" s="191"/>
      <c r="C2011" s="191" t="s">
        <v>4736</v>
      </c>
      <c r="D2011" s="192"/>
      <c r="E2011" s="185" t="s">
        <v>4737</v>
      </c>
      <c r="F2011" s="192" t="s">
        <v>789</v>
      </c>
      <c r="G2011" s="192" t="s">
        <v>790</v>
      </c>
      <c r="H2011" s="192" t="s">
        <v>790</v>
      </c>
      <c r="I2011" t="s">
        <v>3414</v>
      </c>
      <c r="J2011" t="s">
        <v>865</v>
      </c>
    </row>
    <row r="2012" spans="2:11" x14ac:dyDescent="0.25">
      <c r="B2012" s="191"/>
      <c r="C2012" s="191"/>
      <c r="D2012" s="192" t="s">
        <v>4738</v>
      </c>
      <c r="E2012" t="s">
        <v>4739</v>
      </c>
      <c r="F2012" s="192" t="s">
        <v>789</v>
      </c>
      <c r="G2012" s="192" t="s">
        <v>4690</v>
      </c>
      <c r="H2012" s="192" t="s">
        <v>3624</v>
      </c>
      <c r="I2012" t="s">
        <v>3414</v>
      </c>
      <c r="J2012" t="s">
        <v>865</v>
      </c>
      <c r="K2012" t="s">
        <v>797</v>
      </c>
    </row>
    <row r="2013" spans="2:11" x14ac:dyDescent="0.25">
      <c r="B2013" s="191"/>
      <c r="C2013" s="191" t="s">
        <v>4740</v>
      </c>
      <c r="D2013" s="192"/>
      <c r="E2013" s="185" t="s">
        <v>4741</v>
      </c>
      <c r="F2013" s="192" t="s">
        <v>789</v>
      </c>
      <c r="G2013" s="192" t="s">
        <v>790</v>
      </c>
      <c r="H2013" s="192" t="s">
        <v>790</v>
      </c>
      <c r="I2013" t="s">
        <v>3414</v>
      </c>
      <c r="J2013" t="s">
        <v>865</v>
      </c>
    </row>
    <row r="2014" spans="2:11" x14ac:dyDescent="0.25">
      <c r="B2014" s="191"/>
      <c r="C2014" s="191"/>
      <c r="D2014" s="192" t="s">
        <v>4742</v>
      </c>
      <c r="E2014" t="s">
        <v>4743</v>
      </c>
      <c r="F2014" s="192" t="s">
        <v>789</v>
      </c>
      <c r="G2014" s="192" t="s">
        <v>4690</v>
      </c>
      <c r="H2014" s="192" t="s">
        <v>3624</v>
      </c>
      <c r="I2014" t="s">
        <v>3414</v>
      </c>
      <c r="J2014" t="s">
        <v>865</v>
      </c>
      <c r="K2014" t="s">
        <v>797</v>
      </c>
    </row>
    <row r="2015" spans="2:11" x14ac:dyDescent="0.25">
      <c r="B2015" s="191"/>
      <c r="C2015" s="191" t="s">
        <v>4744</v>
      </c>
      <c r="D2015" s="192"/>
      <c r="E2015" s="185" t="s">
        <v>4745</v>
      </c>
      <c r="F2015" s="192" t="s">
        <v>789</v>
      </c>
      <c r="G2015" s="192" t="s">
        <v>790</v>
      </c>
      <c r="H2015" s="192" t="s">
        <v>790</v>
      </c>
      <c r="I2015" t="s">
        <v>3414</v>
      </c>
    </row>
    <row r="2016" spans="2:11" x14ac:dyDescent="0.25">
      <c r="B2016" s="191"/>
      <c r="C2016" s="191" t="s">
        <v>4746</v>
      </c>
      <c r="D2016" s="192"/>
      <c r="E2016" s="185" t="s">
        <v>4747</v>
      </c>
      <c r="F2016" s="192" t="s">
        <v>789</v>
      </c>
      <c r="G2016" s="192" t="s">
        <v>790</v>
      </c>
      <c r="H2016" s="192" t="s">
        <v>790</v>
      </c>
      <c r="I2016" t="s">
        <v>3414</v>
      </c>
    </row>
    <row r="2017" spans="2:11" x14ac:dyDescent="0.25">
      <c r="B2017" s="191"/>
      <c r="C2017" s="191"/>
      <c r="D2017" s="192" t="s">
        <v>4748</v>
      </c>
      <c r="E2017" t="s">
        <v>4747</v>
      </c>
      <c r="F2017" s="192" t="s">
        <v>789</v>
      </c>
      <c r="G2017" s="192" t="s">
        <v>4690</v>
      </c>
      <c r="H2017" s="192" t="s">
        <v>3624</v>
      </c>
      <c r="I2017" t="s">
        <v>3414</v>
      </c>
      <c r="J2017" t="s">
        <v>865</v>
      </c>
      <c r="K2017" t="s">
        <v>797</v>
      </c>
    </row>
    <row r="2018" spans="2:11" x14ac:dyDescent="0.25">
      <c r="B2018" s="191"/>
      <c r="C2018" s="191" t="s">
        <v>4749</v>
      </c>
      <c r="D2018" s="192"/>
      <c r="E2018" s="185" t="s">
        <v>4750</v>
      </c>
      <c r="F2018" s="192" t="s">
        <v>789</v>
      </c>
      <c r="G2018" s="192" t="s">
        <v>790</v>
      </c>
      <c r="H2018" s="192" t="s">
        <v>790</v>
      </c>
      <c r="I2018" t="s">
        <v>3414</v>
      </c>
    </row>
    <row r="2019" spans="2:11" x14ac:dyDescent="0.25">
      <c r="B2019" s="191"/>
      <c r="C2019" s="191"/>
      <c r="D2019" s="192" t="s">
        <v>4751</v>
      </c>
      <c r="E2019" t="s">
        <v>4750</v>
      </c>
      <c r="F2019" s="192" t="s">
        <v>789</v>
      </c>
      <c r="G2019" s="192" t="s">
        <v>4690</v>
      </c>
      <c r="H2019" s="192" t="s">
        <v>3624</v>
      </c>
      <c r="I2019" t="s">
        <v>3414</v>
      </c>
      <c r="J2019" t="s">
        <v>865</v>
      </c>
      <c r="K2019" t="s">
        <v>797</v>
      </c>
    </row>
    <row r="2020" spans="2:11" x14ac:dyDescent="0.25">
      <c r="B2020" s="191"/>
      <c r="C2020" s="191" t="s">
        <v>4752</v>
      </c>
      <c r="D2020" s="192"/>
      <c r="E2020" s="185" t="s">
        <v>4753</v>
      </c>
      <c r="F2020" s="192" t="s">
        <v>789</v>
      </c>
      <c r="G2020" s="192" t="s">
        <v>790</v>
      </c>
      <c r="H2020" s="192" t="s">
        <v>790</v>
      </c>
      <c r="I2020" t="s">
        <v>3414</v>
      </c>
    </row>
    <row r="2021" spans="2:11" x14ac:dyDescent="0.25">
      <c r="B2021" s="191"/>
      <c r="C2021" s="191"/>
      <c r="D2021" s="192" t="s">
        <v>4754</v>
      </c>
      <c r="E2021" t="s">
        <v>4753</v>
      </c>
      <c r="F2021" s="192" t="s">
        <v>789</v>
      </c>
      <c r="G2021" s="192" t="s">
        <v>4690</v>
      </c>
      <c r="H2021" s="192" t="s">
        <v>3624</v>
      </c>
      <c r="I2021" t="s">
        <v>3414</v>
      </c>
      <c r="J2021" t="s">
        <v>865</v>
      </c>
      <c r="K2021" t="s">
        <v>797</v>
      </c>
    </row>
    <row r="2022" spans="2:11" x14ac:dyDescent="0.25">
      <c r="B2022" s="191"/>
      <c r="C2022" s="191" t="s">
        <v>4755</v>
      </c>
      <c r="D2022" s="192"/>
      <c r="E2022" s="185" t="s">
        <v>4756</v>
      </c>
      <c r="F2022" s="192" t="s">
        <v>789</v>
      </c>
      <c r="G2022" s="192" t="s">
        <v>790</v>
      </c>
      <c r="H2022" s="192" t="s">
        <v>790</v>
      </c>
      <c r="I2022" t="s">
        <v>3414</v>
      </c>
    </row>
    <row r="2023" spans="2:11" x14ac:dyDescent="0.25">
      <c r="B2023" s="191"/>
      <c r="C2023" s="191" t="s">
        <v>4757</v>
      </c>
      <c r="D2023" s="192"/>
      <c r="E2023" s="185" t="s">
        <v>4758</v>
      </c>
      <c r="F2023" s="192" t="s">
        <v>789</v>
      </c>
      <c r="G2023" s="192" t="s">
        <v>790</v>
      </c>
      <c r="H2023" s="192" t="s">
        <v>790</v>
      </c>
      <c r="I2023" t="s">
        <v>3414</v>
      </c>
    </row>
    <row r="2024" spans="2:11" x14ac:dyDescent="0.25">
      <c r="B2024" s="191"/>
      <c r="C2024" s="191"/>
      <c r="D2024" s="192" t="s">
        <v>4759</v>
      </c>
      <c r="E2024" t="s">
        <v>4758</v>
      </c>
      <c r="F2024" s="192" t="s">
        <v>789</v>
      </c>
      <c r="G2024" s="192" t="s">
        <v>4690</v>
      </c>
      <c r="H2024" s="192" t="s">
        <v>3624</v>
      </c>
      <c r="I2024" t="s">
        <v>3414</v>
      </c>
      <c r="J2024" t="s">
        <v>865</v>
      </c>
      <c r="K2024" t="s">
        <v>797</v>
      </c>
    </row>
    <row r="2025" spans="2:11" x14ac:dyDescent="0.25">
      <c r="B2025" s="191"/>
      <c r="C2025" s="191" t="s">
        <v>4760</v>
      </c>
      <c r="D2025" s="192"/>
      <c r="E2025" s="185" t="s">
        <v>4761</v>
      </c>
      <c r="F2025" s="192" t="s">
        <v>789</v>
      </c>
      <c r="G2025" s="192" t="s">
        <v>790</v>
      </c>
      <c r="H2025" s="192" t="s">
        <v>790</v>
      </c>
      <c r="I2025" t="s">
        <v>3414</v>
      </c>
    </row>
    <row r="2026" spans="2:11" x14ac:dyDescent="0.25">
      <c r="B2026" s="191"/>
      <c r="C2026" s="191"/>
      <c r="D2026" s="192" t="s">
        <v>4762</v>
      </c>
      <c r="E2026" t="s">
        <v>4761</v>
      </c>
      <c r="F2026" s="192" t="s">
        <v>789</v>
      </c>
      <c r="G2026" s="192" t="s">
        <v>4690</v>
      </c>
      <c r="H2026" s="192" t="s">
        <v>3624</v>
      </c>
      <c r="I2026" t="s">
        <v>3414</v>
      </c>
      <c r="J2026" t="s">
        <v>865</v>
      </c>
      <c r="K2026" t="s">
        <v>797</v>
      </c>
    </row>
    <row r="2027" spans="2:11" x14ac:dyDescent="0.25">
      <c r="B2027" s="191"/>
      <c r="C2027" s="191" t="s">
        <v>4763</v>
      </c>
      <c r="D2027" s="192"/>
      <c r="E2027" s="185" t="s">
        <v>4764</v>
      </c>
      <c r="F2027" s="192" t="s">
        <v>789</v>
      </c>
      <c r="G2027" s="192" t="s">
        <v>790</v>
      </c>
      <c r="H2027" s="192" t="s">
        <v>790</v>
      </c>
      <c r="I2027" t="s">
        <v>3414</v>
      </c>
      <c r="J2027" t="s">
        <v>865</v>
      </c>
    </row>
    <row r="2028" spans="2:11" x14ac:dyDescent="0.25">
      <c r="B2028" s="191"/>
      <c r="C2028" s="191" t="s">
        <v>4765</v>
      </c>
      <c r="D2028" s="192"/>
      <c r="E2028" s="185" t="s">
        <v>4766</v>
      </c>
      <c r="F2028" s="192" t="s">
        <v>789</v>
      </c>
      <c r="G2028" s="192" t="s">
        <v>790</v>
      </c>
      <c r="H2028" s="192" t="s">
        <v>790</v>
      </c>
      <c r="I2028" t="s">
        <v>3414</v>
      </c>
    </row>
    <row r="2029" spans="2:11" x14ac:dyDescent="0.25">
      <c r="B2029" s="191"/>
      <c r="C2029" s="191"/>
      <c r="D2029" s="192" t="s">
        <v>4767</v>
      </c>
      <c r="E2029" t="s">
        <v>4766</v>
      </c>
      <c r="F2029" s="192" t="s">
        <v>789</v>
      </c>
      <c r="G2029" s="192" t="s">
        <v>4690</v>
      </c>
      <c r="H2029" s="192" t="s">
        <v>3624</v>
      </c>
      <c r="I2029" t="s">
        <v>3414</v>
      </c>
      <c r="J2029" t="s">
        <v>865</v>
      </c>
      <c r="K2029" t="s">
        <v>797</v>
      </c>
    </row>
    <row r="2030" spans="2:11" x14ac:dyDescent="0.25">
      <c r="B2030" s="191"/>
      <c r="C2030" s="191" t="s">
        <v>4768</v>
      </c>
      <c r="D2030" s="192"/>
      <c r="E2030" s="185" t="s">
        <v>4769</v>
      </c>
      <c r="F2030" s="192" t="s">
        <v>789</v>
      </c>
      <c r="G2030" s="192" t="s">
        <v>790</v>
      </c>
      <c r="H2030" s="192" t="s">
        <v>790</v>
      </c>
      <c r="I2030" t="s">
        <v>3414</v>
      </c>
    </row>
    <row r="2031" spans="2:11" x14ac:dyDescent="0.25">
      <c r="B2031" s="191"/>
      <c r="C2031" s="191"/>
      <c r="D2031" s="192" t="s">
        <v>4770</v>
      </c>
      <c r="E2031" t="s">
        <v>4771</v>
      </c>
      <c r="F2031" s="192" t="s">
        <v>789</v>
      </c>
      <c r="G2031" s="192" t="s">
        <v>4690</v>
      </c>
      <c r="H2031" s="192" t="s">
        <v>3624</v>
      </c>
      <c r="I2031" t="s">
        <v>3414</v>
      </c>
      <c r="J2031" t="s">
        <v>865</v>
      </c>
      <c r="K2031" t="s">
        <v>797</v>
      </c>
    </row>
    <row r="2032" spans="2:11" x14ac:dyDescent="0.25">
      <c r="B2032" s="191"/>
      <c r="C2032" s="191" t="s">
        <v>4772</v>
      </c>
      <c r="D2032" s="192"/>
      <c r="E2032" s="185" t="s">
        <v>4773</v>
      </c>
      <c r="F2032" s="192" t="s">
        <v>789</v>
      </c>
      <c r="G2032" s="192" t="s">
        <v>790</v>
      </c>
      <c r="H2032" s="192" t="s">
        <v>790</v>
      </c>
      <c r="I2032" t="s">
        <v>3414</v>
      </c>
    </row>
    <row r="2033" spans="2:11" x14ac:dyDescent="0.25">
      <c r="B2033" s="191"/>
      <c r="C2033" s="191"/>
      <c r="D2033" s="192" t="s">
        <v>4774</v>
      </c>
      <c r="E2033" t="s">
        <v>4775</v>
      </c>
      <c r="F2033" s="192" t="s">
        <v>789</v>
      </c>
      <c r="G2033" s="192" t="s">
        <v>4690</v>
      </c>
      <c r="H2033" s="192" t="s">
        <v>3624</v>
      </c>
      <c r="I2033" t="s">
        <v>3414</v>
      </c>
      <c r="J2033" t="s">
        <v>865</v>
      </c>
      <c r="K2033" t="s">
        <v>797</v>
      </c>
    </row>
    <row r="2034" spans="2:11" x14ac:dyDescent="0.25">
      <c r="B2034" s="191" t="s">
        <v>4776</v>
      </c>
      <c r="C2034" s="191"/>
      <c r="D2034" s="192"/>
      <c r="E2034" s="185" t="s">
        <v>4777</v>
      </c>
      <c r="F2034" s="192" t="s">
        <v>789</v>
      </c>
      <c r="G2034" s="192" t="s">
        <v>790</v>
      </c>
      <c r="H2034" s="192" t="s">
        <v>790</v>
      </c>
      <c r="I2034" t="s">
        <v>3414</v>
      </c>
      <c r="J2034" t="s">
        <v>865</v>
      </c>
    </row>
    <row r="2035" spans="2:11" x14ac:dyDescent="0.25">
      <c r="B2035" s="191"/>
      <c r="C2035" s="191" t="s">
        <v>4778</v>
      </c>
      <c r="D2035" s="192"/>
      <c r="E2035" s="185" t="s">
        <v>4779</v>
      </c>
      <c r="F2035" s="192" t="s">
        <v>789</v>
      </c>
      <c r="G2035" s="192" t="s">
        <v>790</v>
      </c>
      <c r="H2035" s="192" t="s">
        <v>790</v>
      </c>
      <c r="I2035" t="s">
        <v>3414</v>
      </c>
      <c r="J2035" t="s">
        <v>865</v>
      </c>
    </row>
    <row r="2036" spans="2:11" x14ac:dyDescent="0.25">
      <c r="B2036" s="191"/>
      <c r="C2036" s="191" t="s">
        <v>4780</v>
      </c>
      <c r="D2036" s="192"/>
      <c r="E2036" s="185" t="s">
        <v>4781</v>
      </c>
      <c r="F2036" s="192" t="s">
        <v>789</v>
      </c>
      <c r="G2036" s="192" t="s">
        <v>790</v>
      </c>
      <c r="H2036" s="192" t="s">
        <v>790</v>
      </c>
      <c r="I2036" t="s">
        <v>3414</v>
      </c>
    </row>
    <row r="2037" spans="2:11" x14ac:dyDescent="0.25">
      <c r="B2037" s="191"/>
      <c r="C2037" s="191" t="s">
        <v>4782</v>
      </c>
      <c r="D2037" s="192"/>
      <c r="E2037" s="185" t="s">
        <v>4783</v>
      </c>
      <c r="F2037" s="192" t="s">
        <v>789</v>
      </c>
      <c r="G2037" s="192" t="s">
        <v>790</v>
      </c>
      <c r="H2037" s="192" t="s">
        <v>790</v>
      </c>
      <c r="I2037" t="s">
        <v>3414</v>
      </c>
    </row>
    <row r="2038" spans="2:11" x14ac:dyDescent="0.25">
      <c r="B2038" s="191"/>
      <c r="C2038" s="191"/>
      <c r="D2038" s="192" t="s">
        <v>4784</v>
      </c>
      <c r="E2038" t="s">
        <v>4785</v>
      </c>
      <c r="F2038" s="192" t="s">
        <v>789</v>
      </c>
      <c r="G2038" s="192" t="s">
        <v>3675</v>
      </c>
      <c r="H2038" s="192" t="s">
        <v>3624</v>
      </c>
      <c r="I2038" t="s">
        <v>3414</v>
      </c>
      <c r="J2038" t="s">
        <v>865</v>
      </c>
      <c r="K2038" t="s">
        <v>797</v>
      </c>
    </row>
    <row r="2039" spans="2:11" x14ac:dyDescent="0.25">
      <c r="B2039" s="191"/>
      <c r="C2039" s="191"/>
      <c r="D2039" s="192" t="s">
        <v>4786</v>
      </c>
      <c r="E2039" t="s">
        <v>4787</v>
      </c>
      <c r="F2039" s="192" t="s">
        <v>789</v>
      </c>
      <c r="G2039" s="192" t="s">
        <v>3623</v>
      </c>
      <c r="H2039" s="192" t="s">
        <v>3624</v>
      </c>
      <c r="I2039" t="s">
        <v>3414</v>
      </c>
      <c r="J2039" t="s">
        <v>865</v>
      </c>
      <c r="K2039" t="s">
        <v>797</v>
      </c>
    </row>
    <row r="2040" spans="2:11" x14ac:dyDescent="0.25">
      <c r="B2040" s="191"/>
      <c r="C2040" s="191"/>
      <c r="D2040" s="192" t="s">
        <v>4788</v>
      </c>
      <c r="E2040" t="s">
        <v>4789</v>
      </c>
      <c r="F2040" s="192" t="s">
        <v>789</v>
      </c>
      <c r="G2040" s="192" t="s">
        <v>3627</v>
      </c>
      <c r="H2040" s="192" t="s">
        <v>3624</v>
      </c>
      <c r="I2040" t="s">
        <v>3414</v>
      </c>
      <c r="J2040" t="s">
        <v>865</v>
      </c>
      <c r="K2040" t="s">
        <v>797</v>
      </c>
    </row>
    <row r="2041" spans="2:11" x14ac:dyDescent="0.25">
      <c r="B2041" s="191"/>
      <c r="C2041" s="191"/>
      <c r="D2041" s="192" t="s">
        <v>4790</v>
      </c>
      <c r="E2041" t="s">
        <v>4791</v>
      </c>
      <c r="F2041" s="192" t="s">
        <v>789</v>
      </c>
      <c r="G2041" s="192" t="s">
        <v>3630</v>
      </c>
      <c r="H2041" s="192" t="s">
        <v>3624</v>
      </c>
      <c r="I2041" t="s">
        <v>3414</v>
      </c>
      <c r="J2041" t="s">
        <v>865</v>
      </c>
      <c r="K2041" t="s">
        <v>797</v>
      </c>
    </row>
    <row r="2042" spans="2:11" x14ac:dyDescent="0.25">
      <c r="B2042" s="191"/>
      <c r="C2042" s="191" t="s">
        <v>4792</v>
      </c>
      <c r="D2042" s="192"/>
      <c r="E2042" s="185" t="s">
        <v>4793</v>
      </c>
      <c r="F2042" s="192" t="s">
        <v>789</v>
      </c>
      <c r="G2042" s="192" t="s">
        <v>790</v>
      </c>
      <c r="H2042" s="192" t="s">
        <v>790</v>
      </c>
      <c r="I2042" t="s">
        <v>3414</v>
      </c>
    </row>
    <row r="2043" spans="2:11" x14ac:dyDescent="0.25">
      <c r="B2043" s="191"/>
      <c r="C2043" s="191"/>
      <c r="D2043" s="192" t="s">
        <v>4794</v>
      </c>
      <c r="E2043" t="s">
        <v>4795</v>
      </c>
      <c r="F2043" s="192" t="s">
        <v>789</v>
      </c>
      <c r="G2043" s="192" t="s">
        <v>3675</v>
      </c>
      <c r="H2043" s="192" t="s">
        <v>3624</v>
      </c>
      <c r="I2043" t="s">
        <v>3414</v>
      </c>
      <c r="J2043" t="s">
        <v>865</v>
      </c>
      <c r="K2043" t="s">
        <v>797</v>
      </c>
    </row>
    <row r="2044" spans="2:11" x14ac:dyDescent="0.25">
      <c r="B2044" s="191"/>
      <c r="C2044" s="191"/>
      <c r="D2044" s="192" t="s">
        <v>4796</v>
      </c>
      <c r="E2044" t="s">
        <v>4797</v>
      </c>
      <c r="F2044" s="192" t="s">
        <v>789</v>
      </c>
      <c r="G2044" s="192" t="s">
        <v>3623</v>
      </c>
      <c r="H2044" s="192" t="s">
        <v>3624</v>
      </c>
      <c r="I2044" t="s">
        <v>3414</v>
      </c>
      <c r="J2044" t="s">
        <v>865</v>
      </c>
      <c r="K2044" t="s">
        <v>797</v>
      </c>
    </row>
    <row r="2045" spans="2:11" x14ac:dyDescent="0.25">
      <c r="B2045" s="191"/>
      <c r="C2045" s="191"/>
      <c r="D2045" s="192" t="s">
        <v>4798</v>
      </c>
      <c r="E2045" t="s">
        <v>4799</v>
      </c>
      <c r="F2045" s="192" t="s">
        <v>789</v>
      </c>
      <c r="G2045" s="192" t="s">
        <v>3627</v>
      </c>
      <c r="H2045" s="192" t="s">
        <v>3624</v>
      </c>
      <c r="I2045" t="s">
        <v>3414</v>
      </c>
      <c r="J2045" t="s">
        <v>865</v>
      </c>
      <c r="K2045" t="s">
        <v>797</v>
      </c>
    </row>
    <row r="2046" spans="2:11" x14ac:dyDescent="0.25">
      <c r="B2046" s="191"/>
      <c r="C2046" s="191"/>
      <c r="D2046" s="192" t="s">
        <v>4800</v>
      </c>
      <c r="E2046" t="s">
        <v>4801</v>
      </c>
      <c r="F2046" s="192" t="s">
        <v>789</v>
      </c>
      <c r="G2046" s="192" t="s">
        <v>3630</v>
      </c>
      <c r="H2046" s="192" t="s">
        <v>3624</v>
      </c>
      <c r="I2046" t="s">
        <v>3414</v>
      </c>
      <c r="J2046" t="s">
        <v>865</v>
      </c>
      <c r="K2046" t="s">
        <v>797</v>
      </c>
    </row>
    <row r="2047" spans="2:11" x14ac:dyDescent="0.25">
      <c r="B2047" s="191"/>
      <c r="C2047" s="191" t="s">
        <v>4802</v>
      </c>
      <c r="D2047" s="192"/>
      <c r="E2047" s="185" t="s">
        <v>4803</v>
      </c>
      <c r="F2047" s="192" t="s">
        <v>789</v>
      </c>
      <c r="G2047" s="192" t="s">
        <v>790</v>
      </c>
      <c r="H2047" s="192" t="s">
        <v>790</v>
      </c>
      <c r="I2047" t="s">
        <v>3414</v>
      </c>
    </row>
    <row r="2048" spans="2:11" x14ac:dyDescent="0.25">
      <c r="B2048" s="191"/>
      <c r="C2048" s="191"/>
      <c r="D2048" s="192" t="s">
        <v>4804</v>
      </c>
      <c r="E2048" t="s">
        <v>4805</v>
      </c>
      <c r="F2048" s="192" t="s">
        <v>789</v>
      </c>
      <c r="G2048" s="192" t="s">
        <v>3675</v>
      </c>
      <c r="H2048" s="192" t="s">
        <v>3624</v>
      </c>
      <c r="I2048" t="s">
        <v>3414</v>
      </c>
      <c r="J2048" t="s">
        <v>865</v>
      </c>
      <c r="K2048" t="s">
        <v>797</v>
      </c>
    </row>
    <row r="2049" spans="2:11" x14ac:dyDescent="0.25">
      <c r="B2049" s="191"/>
      <c r="C2049" s="191"/>
      <c r="D2049" s="192" t="s">
        <v>4806</v>
      </c>
      <c r="E2049" t="s">
        <v>4807</v>
      </c>
      <c r="F2049" s="192" t="s">
        <v>789</v>
      </c>
      <c r="G2049" s="192" t="s">
        <v>3623</v>
      </c>
      <c r="H2049" s="192" t="s">
        <v>3624</v>
      </c>
      <c r="I2049" t="s">
        <v>3414</v>
      </c>
      <c r="J2049" t="s">
        <v>865</v>
      </c>
      <c r="K2049" t="s">
        <v>797</v>
      </c>
    </row>
    <row r="2050" spans="2:11" x14ac:dyDescent="0.25">
      <c r="B2050" s="191"/>
      <c r="C2050" s="191"/>
      <c r="D2050" s="192" t="s">
        <v>4808</v>
      </c>
      <c r="E2050" t="s">
        <v>4809</v>
      </c>
      <c r="F2050" s="192" t="s">
        <v>789</v>
      </c>
      <c r="G2050" s="192" t="s">
        <v>3627</v>
      </c>
      <c r="H2050" s="192" t="s">
        <v>3624</v>
      </c>
      <c r="I2050" t="s">
        <v>3414</v>
      </c>
      <c r="J2050" t="s">
        <v>865</v>
      </c>
      <c r="K2050" t="s">
        <v>797</v>
      </c>
    </row>
    <row r="2051" spans="2:11" x14ac:dyDescent="0.25">
      <c r="B2051" s="191"/>
      <c r="C2051" s="191"/>
      <c r="D2051" s="192" t="s">
        <v>4810</v>
      </c>
      <c r="E2051" t="s">
        <v>4811</v>
      </c>
      <c r="F2051" s="192" t="s">
        <v>789</v>
      </c>
      <c r="G2051" s="192" t="s">
        <v>3630</v>
      </c>
      <c r="H2051" s="192" t="s">
        <v>3624</v>
      </c>
      <c r="I2051" t="s">
        <v>3414</v>
      </c>
      <c r="J2051" t="s">
        <v>865</v>
      </c>
      <c r="K2051" t="s">
        <v>797</v>
      </c>
    </row>
    <row r="2052" spans="2:11" x14ac:dyDescent="0.25">
      <c r="B2052" s="191"/>
      <c r="C2052" s="191" t="s">
        <v>4812</v>
      </c>
      <c r="D2052" s="192"/>
      <c r="E2052" s="185" t="s">
        <v>4813</v>
      </c>
      <c r="F2052" s="192" t="s">
        <v>789</v>
      </c>
      <c r="G2052" s="192" t="s">
        <v>790</v>
      </c>
      <c r="H2052" s="192" t="s">
        <v>790</v>
      </c>
      <c r="I2052" t="s">
        <v>3414</v>
      </c>
    </row>
    <row r="2053" spans="2:11" x14ac:dyDescent="0.25">
      <c r="B2053" s="191"/>
      <c r="C2053" s="191" t="s">
        <v>4814</v>
      </c>
      <c r="D2053" s="192"/>
      <c r="E2053" s="185" t="s">
        <v>4815</v>
      </c>
      <c r="F2053" s="192" t="s">
        <v>789</v>
      </c>
      <c r="G2053" s="192" t="s">
        <v>790</v>
      </c>
      <c r="H2053" s="192" t="s">
        <v>790</v>
      </c>
      <c r="I2053" t="s">
        <v>3414</v>
      </c>
    </row>
    <row r="2054" spans="2:11" x14ac:dyDescent="0.25">
      <c r="B2054" s="191"/>
      <c r="C2054" s="191" t="s">
        <v>4816</v>
      </c>
      <c r="D2054" s="192"/>
      <c r="E2054" s="185" t="s">
        <v>4817</v>
      </c>
      <c r="F2054" s="192" t="s">
        <v>789</v>
      </c>
      <c r="G2054" s="192" t="s">
        <v>790</v>
      </c>
      <c r="H2054" s="192" t="s">
        <v>790</v>
      </c>
      <c r="I2054" t="s">
        <v>3414</v>
      </c>
    </row>
    <row r="2055" spans="2:11" x14ac:dyDescent="0.25">
      <c r="B2055" s="191"/>
      <c r="C2055" s="191" t="s">
        <v>4818</v>
      </c>
      <c r="D2055" s="192"/>
      <c r="E2055" s="185" t="s">
        <v>4819</v>
      </c>
      <c r="F2055" s="192" t="s">
        <v>789</v>
      </c>
      <c r="G2055" s="192" t="s">
        <v>790</v>
      </c>
      <c r="H2055" s="192" t="s">
        <v>790</v>
      </c>
      <c r="I2055" t="s">
        <v>3414</v>
      </c>
    </row>
    <row r="2056" spans="2:11" x14ac:dyDescent="0.25">
      <c r="B2056" s="191"/>
      <c r="C2056" s="191"/>
      <c r="D2056" s="192" t="s">
        <v>4820</v>
      </c>
      <c r="E2056" t="s">
        <v>4821</v>
      </c>
      <c r="F2056" s="192" t="s">
        <v>789</v>
      </c>
      <c r="G2056" s="192" t="s">
        <v>3675</v>
      </c>
      <c r="H2056" s="192" t="s">
        <v>3624</v>
      </c>
      <c r="I2056" t="s">
        <v>3414</v>
      </c>
      <c r="J2056" t="s">
        <v>865</v>
      </c>
      <c r="K2056" t="s">
        <v>797</v>
      </c>
    </row>
    <row r="2057" spans="2:11" x14ac:dyDescent="0.25">
      <c r="B2057" s="191"/>
      <c r="C2057" s="191"/>
      <c r="D2057" s="192" t="s">
        <v>4822</v>
      </c>
      <c r="E2057" t="s">
        <v>4823</v>
      </c>
      <c r="F2057" s="192" t="s">
        <v>789</v>
      </c>
      <c r="G2057" s="192" t="s">
        <v>3623</v>
      </c>
      <c r="H2057" s="192" t="s">
        <v>3624</v>
      </c>
      <c r="I2057" t="s">
        <v>3414</v>
      </c>
      <c r="J2057" t="s">
        <v>865</v>
      </c>
      <c r="K2057" t="s">
        <v>797</v>
      </c>
    </row>
    <row r="2058" spans="2:11" x14ac:dyDescent="0.25">
      <c r="B2058" s="191"/>
      <c r="C2058" s="191"/>
      <c r="D2058" s="192" t="s">
        <v>4824</v>
      </c>
      <c r="E2058" t="s">
        <v>4825</v>
      </c>
      <c r="F2058" s="192" t="s">
        <v>789</v>
      </c>
      <c r="G2058" s="192" t="s">
        <v>3627</v>
      </c>
      <c r="H2058" s="192" t="s">
        <v>3624</v>
      </c>
      <c r="I2058" t="s">
        <v>3414</v>
      </c>
      <c r="J2058" t="s">
        <v>865</v>
      </c>
      <c r="K2058" t="s">
        <v>797</v>
      </c>
    </row>
    <row r="2059" spans="2:11" x14ac:dyDescent="0.25">
      <c r="B2059" s="191"/>
      <c r="C2059" s="191"/>
      <c r="D2059" s="192" t="s">
        <v>4826</v>
      </c>
      <c r="E2059" t="s">
        <v>4827</v>
      </c>
      <c r="F2059" s="192" t="s">
        <v>789</v>
      </c>
      <c r="G2059" s="192" t="s">
        <v>3630</v>
      </c>
      <c r="H2059" s="192" t="s">
        <v>3624</v>
      </c>
      <c r="I2059" t="s">
        <v>3414</v>
      </c>
      <c r="J2059" t="s">
        <v>865</v>
      </c>
      <c r="K2059" t="s">
        <v>797</v>
      </c>
    </row>
    <row r="2060" spans="2:11" x14ac:dyDescent="0.25">
      <c r="B2060" s="191"/>
      <c r="C2060" s="191" t="s">
        <v>4828</v>
      </c>
      <c r="D2060" s="192"/>
      <c r="E2060" s="185" t="s">
        <v>4829</v>
      </c>
      <c r="F2060" s="192" t="s">
        <v>789</v>
      </c>
      <c r="G2060" s="192" t="s">
        <v>790</v>
      </c>
      <c r="H2060" s="192" t="s">
        <v>790</v>
      </c>
      <c r="I2060" t="s">
        <v>3414</v>
      </c>
    </row>
    <row r="2061" spans="2:11" x14ac:dyDescent="0.25">
      <c r="B2061" s="191"/>
      <c r="C2061" s="191"/>
      <c r="D2061" s="192" t="s">
        <v>4830</v>
      </c>
      <c r="E2061" t="s">
        <v>4831</v>
      </c>
      <c r="F2061" s="192" t="s">
        <v>789</v>
      </c>
      <c r="G2061" s="192" t="s">
        <v>3675</v>
      </c>
      <c r="H2061" s="192" t="s">
        <v>3624</v>
      </c>
      <c r="I2061" t="s">
        <v>3414</v>
      </c>
      <c r="J2061" t="s">
        <v>865</v>
      </c>
      <c r="K2061" t="s">
        <v>797</v>
      </c>
    </row>
    <row r="2062" spans="2:11" x14ac:dyDescent="0.25">
      <c r="B2062" s="191"/>
      <c r="C2062" s="191"/>
      <c r="D2062" s="192" t="s">
        <v>4832</v>
      </c>
      <c r="E2062" t="s">
        <v>4833</v>
      </c>
      <c r="F2062" s="192" t="s">
        <v>789</v>
      </c>
      <c r="G2062" s="192" t="s">
        <v>3623</v>
      </c>
      <c r="H2062" s="192" t="s">
        <v>3624</v>
      </c>
      <c r="I2062" t="s">
        <v>3414</v>
      </c>
      <c r="J2062" t="s">
        <v>865</v>
      </c>
      <c r="K2062" t="s">
        <v>797</v>
      </c>
    </row>
    <row r="2063" spans="2:11" x14ac:dyDescent="0.25">
      <c r="B2063" s="191"/>
      <c r="C2063" s="191"/>
      <c r="D2063" s="192" t="s">
        <v>4834</v>
      </c>
      <c r="E2063" t="s">
        <v>4835</v>
      </c>
      <c r="F2063" s="192" t="s">
        <v>789</v>
      </c>
      <c r="G2063" s="192" t="s">
        <v>3627</v>
      </c>
      <c r="H2063" s="192" t="s">
        <v>3624</v>
      </c>
      <c r="I2063" t="s">
        <v>3414</v>
      </c>
      <c r="J2063" t="s">
        <v>865</v>
      </c>
      <c r="K2063" t="s">
        <v>797</v>
      </c>
    </row>
    <row r="2064" spans="2:11" x14ac:dyDescent="0.25">
      <c r="B2064" s="191"/>
      <c r="C2064" s="191"/>
      <c r="D2064" s="192" t="s">
        <v>4836</v>
      </c>
      <c r="E2064" t="s">
        <v>4837</v>
      </c>
      <c r="F2064" s="192" t="s">
        <v>789</v>
      </c>
      <c r="G2064" s="192" t="s">
        <v>3630</v>
      </c>
      <c r="H2064" s="192" t="s">
        <v>3624</v>
      </c>
      <c r="I2064" t="s">
        <v>3414</v>
      </c>
      <c r="J2064" t="s">
        <v>865</v>
      </c>
      <c r="K2064" t="s">
        <v>797</v>
      </c>
    </row>
    <row r="2065" spans="2:11" x14ac:dyDescent="0.25">
      <c r="B2065" s="191"/>
      <c r="C2065" s="191" t="s">
        <v>4838</v>
      </c>
      <c r="D2065" s="192"/>
      <c r="E2065" s="185" t="s">
        <v>4839</v>
      </c>
      <c r="F2065" s="192" t="s">
        <v>789</v>
      </c>
      <c r="G2065" s="192" t="s">
        <v>790</v>
      </c>
      <c r="H2065" s="192" t="s">
        <v>790</v>
      </c>
      <c r="I2065" t="s">
        <v>3414</v>
      </c>
    </row>
    <row r="2066" spans="2:11" x14ac:dyDescent="0.25">
      <c r="B2066" s="191"/>
      <c r="C2066" s="191"/>
      <c r="D2066" s="192" t="s">
        <v>4840</v>
      </c>
      <c r="E2066" t="s">
        <v>4841</v>
      </c>
      <c r="F2066" s="192" t="s">
        <v>789</v>
      </c>
      <c r="G2066" s="192" t="s">
        <v>3675</v>
      </c>
      <c r="H2066" s="192" t="s">
        <v>3624</v>
      </c>
      <c r="I2066" t="s">
        <v>3414</v>
      </c>
      <c r="J2066" t="s">
        <v>865</v>
      </c>
      <c r="K2066" t="s">
        <v>797</v>
      </c>
    </row>
    <row r="2067" spans="2:11" x14ac:dyDescent="0.25">
      <c r="B2067" s="191"/>
      <c r="C2067" s="191"/>
      <c r="D2067" s="192" t="s">
        <v>4842</v>
      </c>
      <c r="E2067" t="s">
        <v>4843</v>
      </c>
      <c r="F2067" s="192" t="s">
        <v>789</v>
      </c>
      <c r="G2067" s="192" t="s">
        <v>3623</v>
      </c>
      <c r="H2067" s="192" t="s">
        <v>3624</v>
      </c>
      <c r="I2067" t="s">
        <v>3414</v>
      </c>
      <c r="J2067" t="s">
        <v>865</v>
      </c>
      <c r="K2067" t="s">
        <v>797</v>
      </c>
    </row>
    <row r="2068" spans="2:11" x14ac:dyDescent="0.25">
      <c r="B2068" s="191"/>
      <c r="C2068" s="191"/>
      <c r="D2068" s="192" t="s">
        <v>4844</v>
      </c>
      <c r="E2068" t="s">
        <v>4845</v>
      </c>
      <c r="F2068" s="192" t="s">
        <v>789</v>
      </c>
      <c r="G2068" s="192" t="s">
        <v>3627</v>
      </c>
      <c r="H2068" s="192" t="s">
        <v>3624</v>
      </c>
      <c r="I2068" t="s">
        <v>3414</v>
      </c>
      <c r="J2068" t="s">
        <v>865</v>
      </c>
      <c r="K2068" t="s">
        <v>797</v>
      </c>
    </row>
    <row r="2069" spans="2:11" x14ac:dyDescent="0.25">
      <c r="B2069" s="191"/>
      <c r="C2069" s="191"/>
      <c r="D2069" s="192" t="s">
        <v>4846</v>
      </c>
      <c r="E2069" t="s">
        <v>4847</v>
      </c>
      <c r="F2069" s="192" t="s">
        <v>789</v>
      </c>
      <c r="G2069" s="192" t="s">
        <v>3630</v>
      </c>
      <c r="H2069" s="192" t="s">
        <v>3624</v>
      </c>
      <c r="I2069" t="s">
        <v>3414</v>
      </c>
      <c r="J2069" t="s">
        <v>865</v>
      </c>
      <c r="K2069" t="s">
        <v>797</v>
      </c>
    </row>
    <row r="2070" spans="2:11" x14ac:dyDescent="0.25">
      <c r="B2070" s="191"/>
      <c r="C2070" s="191" t="s">
        <v>4848</v>
      </c>
      <c r="D2070" s="192"/>
      <c r="E2070" s="185" t="s">
        <v>4849</v>
      </c>
      <c r="F2070" s="192" t="s">
        <v>789</v>
      </c>
      <c r="G2070" s="192" t="s">
        <v>790</v>
      </c>
      <c r="H2070" s="192" t="s">
        <v>790</v>
      </c>
      <c r="I2070" t="s">
        <v>3414</v>
      </c>
    </row>
    <row r="2071" spans="2:11" x14ac:dyDescent="0.25">
      <c r="B2071" s="191"/>
      <c r="C2071" s="191" t="s">
        <v>4850</v>
      </c>
      <c r="D2071" s="192"/>
      <c r="E2071" s="185" t="s">
        <v>4851</v>
      </c>
      <c r="F2071" s="192" t="s">
        <v>789</v>
      </c>
      <c r="G2071" s="192" t="s">
        <v>790</v>
      </c>
      <c r="H2071" s="192" t="s">
        <v>790</v>
      </c>
      <c r="I2071" t="s">
        <v>3414</v>
      </c>
    </row>
    <row r="2072" spans="2:11" x14ac:dyDescent="0.25">
      <c r="B2072" s="191"/>
      <c r="C2072" s="191" t="s">
        <v>4852</v>
      </c>
      <c r="D2072" s="192"/>
      <c r="E2072" s="185" t="s">
        <v>4853</v>
      </c>
      <c r="F2072" s="192" t="s">
        <v>789</v>
      </c>
      <c r="G2072" s="192" t="s">
        <v>790</v>
      </c>
      <c r="H2072" s="192" t="s">
        <v>790</v>
      </c>
      <c r="I2072" t="s">
        <v>3414</v>
      </c>
    </row>
    <row r="2073" spans="2:11" x14ac:dyDescent="0.25">
      <c r="B2073" s="191"/>
      <c r="C2073" s="191"/>
      <c r="D2073" s="192" t="s">
        <v>4854</v>
      </c>
      <c r="E2073" t="s">
        <v>4855</v>
      </c>
      <c r="F2073" s="192" t="s">
        <v>789</v>
      </c>
      <c r="G2073" s="192" t="s">
        <v>3675</v>
      </c>
      <c r="H2073" s="192" t="s">
        <v>3624</v>
      </c>
      <c r="I2073" t="s">
        <v>3414</v>
      </c>
      <c r="J2073" t="s">
        <v>865</v>
      </c>
      <c r="K2073" t="s">
        <v>797</v>
      </c>
    </row>
    <row r="2074" spans="2:11" x14ac:dyDescent="0.25">
      <c r="B2074" s="191"/>
      <c r="C2074" s="191"/>
      <c r="D2074" s="192" t="s">
        <v>4856</v>
      </c>
      <c r="E2074" t="s">
        <v>4857</v>
      </c>
      <c r="F2074" s="192" t="s">
        <v>789</v>
      </c>
      <c r="G2074" s="192" t="s">
        <v>3623</v>
      </c>
      <c r="H2074" s="192" t="s">
        <v>3624</v>
      </c>
      <c r="I2074" t="s">
        <v>3414</v>
      </c>
      <c r="J2074" t="s">
        <v>865</v>
      </c>
      <c r="K2074" t="s">
        <v>797</v>
      </c>
    </row>
    <row r="2075" spans="2:11" x14ac:dyDescent="0.25">
      <c r="B2075" s="191"/>
      <c r="C2075" s="191"/>
      <c r="D2075" s="192" t="s">
        <v>4858</v>
      </c>
      <c r="E2075" t="s">
        <v>4859</v>
      </c>
      <c r="F2075" s="192" t="s">
        <v>789</v>
      </c>
      <c r="G2075" s="192" t="s">
        <v>3627</v>
      </c>
      <c r="H2075" s="192" t="s">
        <v>3624</v>
      </c>
      <c r="I2075" t="s">
        <v>3414</v>
      </c>
      <c r="J2075" t="s">
        <v>865</v>
      </c>
      <c r="K2075" t="s">
        <v>797</v>
      </c>
    </row>
    <row r="2076" spans="2:11" x14ac:dyDescent="0.25">
      <c r="B2076" s="191"/>
      <c r="C2076" s="191"/>
      <c r="D2076" s="192" t="s">
        <v>4860</v>
      </c>
      <c r="E2076" t="s">
        <v>4861</v>
      </c>
      <c r="F2076" s="192" t="s">
        <v>789</v>
      </c>
      <c r="G2076" s="192" t="s">
        <v>3630</v>
      </c>
      <c r="H2076" s="192" t="s">
        <v>3624</v>
      </c>
      <c r="I2076" t="s">
        <v>3414</v>
      </c>
      <c r="J2076" t="s">
        <v>865</v>
      </c>
      <c r="K2076" t="s">
        <v>797</v>
      </c>
    </row>
    <row r="2077" spans="2:11" x14ac:dyDescent="0.25">
      <c r="B2077" s="191"/>
      <c r="C2077" s="191" t="s">
        <v>4862</v>
      </c>
      <c r="D2077" s="192"/>
      <c r="E2077" s="185" t="s">
        <v>4863</v>
      </c>
      <c r="F2077" s="192" t="s">
        <v>789</v>
      </c>
      <c r="G2077" s="192" t="s">
        <v>790</v>
      </c>
      <c r="H2077" s="192" t="s">
        <v>790</v>
      </c>
      <c r="I2077" t="s">
        <v>3414</v>
      </c>
    </row>
    <row r="2078" spans="2:11" x14ac:dyDescent="0.25">
      <c r="B2078" s="191"/>
      <c r="C2078" s="191"/>
      <c r="D2078" s="192" t="s">
        <v>4864</v>
      </c>
      <c r="E2078" t="s">
        <v>4865</v>
      </c>
      <c r="F2078" s="192" t="s">
        <v>789</v>
      </c>
      <c r="G2078" s="192" t="s">
        <v>3675</v>
      </c>
      <c r="H2078" s="192" t="s">
        <v>3624</v>
      </c>
      <c r="I2078" t="s">
        <v>3414</v>
      </c>
      <c r="J2078" t="s">
        <v>865</v>
      </c>
      <c r="K2078" t="s">
        <v>797</v>
      </c>
    </row>
    <row r="2079" spans="2:11" x14ac:dyDescent="0.25">
      <c r="B2079" s="191"/>
      <c r="C2079" s="191"/>
      <c r="D2079" s="192" t="s">
        <v>4866</v>
      </c>
      <c r="E2079" t="s">
        <v>4867</v>
      </c>
      <c r="F2079" s="192" t="s">
        <v>789</v>
      </c>
      <c r="G2079" s="192" t="s">
        <v>3623</v>
      </c>
      <c r="H2079" s="192" t="s">
        <v>3624</v>
      </c>
      <c r="I2079" t="s">
        <v>3414</v>
      </c>
      <c r="J2079" t="s">
        <v>865</v>
      </c>
      <c r="K2079" t="s">
        <v>797</v>
      </c>
    </row>
    <row r="2080" spans="2:11" x14ac:dyDescent="0.25">
      <c r="B2080" s="191"/>
      <c r="C2080" s="191"/>
      <c r="D2080" s="192" t="s">
        <v>4868</v>
      </c>
      <c r="E2080" t="s">
        <v>4869</v>
      </c>
      <c r="F2080" s="192" t="s">
        <v>789</v>
      </c>
      <c r="G2080" s="192" t="s">
        <v>3627</v>
      </c>
      <c r="H2080" s="192" t="s">
        <v>3624</v>
      </c>
      <c r="I2080" t="s">
        <v>3414</v>
      </c>
      <c r="J2080" t="s">
        <v>865</v>
      </c>
      <c r="K2080" t="s">
        <v>797</v>
      </c>
    </row>
    <row r="2081" spans="2:11" x14ac:dyDescent="0.25">
      <c r="B2081" s="191"/>
      <c r="C2081" s="191"/>
      <c r="D2081" s="192" t="s">
        <v>4870</v>
      </c>
      <c r="E2081" t="s">
        <v>4871</v>
      </c>
      <c r="F2081" s="192" t="s">
        <v>789</v>
      </c>
      <c r="G2081" s="192" t="s">
        <v>3630</v>
      </c>
      <c r="H2081" s="192" t="s">
        <v>3624</v>
      </c>
      <c r="I2081" t="s">
        <v>3414</v>
      </c>
      <c r="J2081" t="s">
        <v>865</v>
      </c>
      <c r="K2081" t="s">
        <v>797</v>
      </c>
    </row>
    <row r="2082" spans="2:11" x14ac:dyDescent="0.25">
      <c r="B2082" s="191"/>
      <c r="C2082" s="191" t="s">
        <v>4872</v>
      </c>
      <c r="D2082" s="192"/>
      <c r="E2082" s="185" t="s">
        <v>4873</v>
      </c>
      <c r="F2082" s="192" t="s">
        <v>789</v>
      </c>
      <c r="G2082" s="192" t="s">
        <v>790</v>
      </c>
      <c r="H2082" s="192" t="s">
        <v>790</v>
      </c>
      <c r="I2082" t="s">
        <v>3414</v>
      </c>
    </row>
    <row r="2083" spans="2:11" x14ac:dyDescent="0.25">
      <c r="B2083" s="191"/>
      <c r="C2083" s="191"/>
      <c r="D2083" s="192" t="s">
        <v>4874</v>
      </c>
      <c r="E2083" t="s">
        <v>4875</v>
      </c>
      <c r="F2083" s="192" t="s">
        <v>789</v>
      </c>
      <c r="G2083" s="192" t="s">
        <v>3675</v>
      </c>
      <c r="H2083" s="192" t="s">
        <v>3624</v>
      </c>
      <c r="I2083" t="s">
        <v>3414</v>
      </c>
      <c r="J2083" t="s">
        <v>865</v>
      </c>
      <c r="K2083" t="s">
        <v>797</v>
      </c>
    </row>
    <row r="2084" spans="2:11" x14ac:dyDescent="0.25">
      <c r="B2084" s="191"/>
      <c r="C2084" s="191"/>
      <c r="D2084" s="192" t="s">
        <v>4876</v>
      </c>
      <c r="E2084" t="s">
        <v>4877</v>
      </c>
      <c r="F2084" s="192" t="s">
        <v>789</v>
      </c>
      <c r="G2084" s="192" t="s">
        <v>3623</v>
      </c>
      <c r="H2084" s="192" t="s">
        <v>3624</v>
      </c>
      <c r="I2084" t="s">
        <v>3414</v>
      </c>
      <c r="J2084" t="s">
        <v>865</v>
      </c>
      <c r="K2084" t="s">
        <v>797</v>
      </c>
    </row>
    <row r="2085" spans="2:11" x14ac:dyDescent="0.25">
      <c r="B2085" s="191"/>
      <c r="C2085" s="191"/>
      <c r="D2085" s="192" t="s">
        <v>4878</v>
      </c>
      <c r="E2085" t="s">
        <v>4879</v>
      </c>
      <c r="F2085" s="192" t="s">
        <v>789</v>
      </c>
      <c r="G2085" s="192" t="s">
        <v>3627</v>
      </c>
      <c r="H2085" s="192" t="s">
        <v>3624</v>
      </c>
      <c r="I2085" t="s">
        <v>3414</v>
      </c>
      <c r="J2085" t="s">
        <v>865</v>
      </c>
      <c r="K2085" t="s">
        <v>797</v>
      </c>
    </row>
    <row r="2086" spans="2:11" x14ac:dyDescent="0.25">
      <c r="B2086" s="191"/>
      <c r="C2086" s="191"/>
      <c r="D2086" s="192" t="s">
        <v>4880</v>
      </c>
      <c r="E2086" t="s">
        <v>4881</v>
      </c>
      <c r="F2086" s="192" t="s">
        <v>789</v>
      </c>
      <c r="G2086" s="192" t="s">
        <v>3630</v>
      </c>
      <c r="H2086" s="192" t="s">
        <v>3624</v>
      </c>
      <c r="I2086" t="s">
        <v>3414</v>
      </c>
      <c r="J2086" t="s">
        <v>865</v>
      </c>
      <c r="K2086" t="s">
        <v>797</v>
      </c>
    </row>
    <row r="2087" spans="2:11" s="91" customFormat="1" x14ac:dyDescent="0.25">
      <c r="B2087" s="193"/>
      <c r="C2087" s="193" t="s">
        <v>4882</v>
      </c>
      <c r="D2087" s="194"/>
      <c r="E2087" s="195" t="s">
        <v>4883</v>
      </c>
      <c r="F2087" s="194" t="s">
        <v>789</v>
      </c>
      <c r="G2087" s="194" t="s">
        <v>790</v>
      </c>
      <c r="H2087" s="194" t="s">
        <v>790</v>
      </c>
      <c r="I2087" s="91" t="s">
        <v>3414</v>
      </c>
    </row>
    <row r="2088" spans="2:11" x14ac:dyDescent="0.25">
      <c r="B2088" s="191"/>
      <c r="C2088" s="191" t="s">
        <v>4884</v>
      </c>
      <c r="D2088" s="192"/>
      <c r="E2088" s="185" t="s">
        <v>4885</v>
      </c>
      <c r="F2088" s="192" t="s">
        <v>789</v>
      </c>
      <c r="G2088" s="192" t="s">
        <v>790</v>
      </c>
      <c r="H2088" s="192" t="s">
        <v>790</v>
      </c>
      <c r="I2088" t="s">
        <v>3414</v>
      </c>
    </row>
    <row r="2089" spans="2:11" x14ac:dyDescent="0.25">
      <c r="B2089" s="191"/>
      <c r="C2089" s="191"/>
      <c r="D2089" s="192" t="s">
        <v>4886</v>
      </c>
      <c r="E2089" t="s">
        <v>4887</v>
      </c>
      <c r="F2089" s="192" t="s">
        <v>789</v>
      </c>
      <c r="G2089" s="192" t="s">
        <v>3675</v>
      </c>
      <c r="H2089" s="192" t="s">
        <v>3624</v>
      </c>
      <c r="I2089" t="s">
        <v>3414</v>
      </c>
      <c r="J2089" t="s">
        <v>865</v>
      </c>
      <c r="K2089" t="s">
        <v>797</v>
      </c>
    </row>
    <row r="2090" spans="2:11" x14ac:dyDescent="0.25">
      <c r="B2090" s="191"/>
      <c r="C2090" s="191"/>
      <c r="D2090" s="192" t="s">
        <v>4888</v>
      </c>
      <c r="E2090" t="s">
        <v>4889</v>
      </c>
      <c r="F2090" s="192" t="s">
        <v>789</v>
      </c>
      <c r="G2090" s="192" t="s">
        <v>3623</v>
      </c>
      <c r="H2090" s="192" t="s">
        <v>3624</v>
      </c>
      <c r="I2090" t="s">
        <v>3414</v>
      </c>
      <c r="J2090" t="s">
        <v>865</v>
      </c>
      <c r="K2090" t="s">
        <v>797</v>
      </c>
    </row>
    <row r="2091" spans="2:11" x14ac:dyDescent="0.25">
      <c r="B2091" s="191"/>
      <c r="C2091" s="191"/>
      <c r="D2091" s="192" t="s">
        <v>4890</v>
      </c>
      <c r="E2091" t="s">
        <v>4891</v>
      </c>
      <c r="F2091" s="192" t="s">
        <v>789</v>
      </c>
      <c r="G2091" s="192" t="s">
        <v>3627</v>
      </c>
      <c r="H2091" s="192" t="s">
        <v>3624</v>
      </c>
      <c r="I2091" t="s">
        <v>3414</v>
      </c>
      <c r="J2091" t="s">
        <v>865</v>
      </c>
      <c r="K2091" t="s">
        <v>797</v>
      </c>
    </row>
    <row r="2092" spans="2:11" x14ac:dyDescent="0.25">
      <c r="B2092" s="191"/>
      <c r="C2092" s="191"/>
      <c r="D2092" s="192" t="s">
        <v>4892</v>
      </c>
      <c r="E2092" t="s">
        <v>4893</v>
      </c>
      <c r="F2092" s="192" t="s">
        <v>789</v>
      </c>
      <c r="G2092" s="192" t="s">
        <v>3630</v>
      </c>
      <c r="H2092" s="192" t="s">
        <v>3624</v>
      </c>
      <c r="I2092" t="s">
        <v>3414</v>
      </c>
      <c r="J2092" t="s">
        <v>865</v>
      </c>
      <c r="K2092" t="s">
        <v>797</v>
      </c>
    </row>
    <row r="2093" spans="2:11" x14ac:dyDescent="0.25">
      <c r="B2093" s="191"/>
      <c r="C2093" s="191" t="s">
        <v>4894</v>
      </c>
      <c r="D2093" s="192"/>
      <c r="E2093" s="185" t="s">
        <v>4895</v>
      </c>
      <c r="F2093" s="192" t="s">
        <v>789</v>
      </c>
      <c r="G2093" s="192" t="s">
        <v>790</v>
      </c>
      <c r="H2093" s="192" t="s">
        <v>790</v>
      </c>
      <c r="I2093" t="s">
        <v>3414</v>
      </c>
    </row>
    <row r="2094" spans="2:11" x14ac:dyDescent="0.25">
      <c r="B2094" s="191"/>
      <c r="C2094" s="191"/>
      <c r="D2094" s="192" t="s">
        <v>4896</v>
      </c>
      <c r="E2094" t="s">
        <v>4897</v>
      </c>
      <c r="F2094" s="192" t="s">
        <v>789</v>
      </c>
      <c r="G2094" s="192" t="s">
        <v>3675</v>
      </c>
      <c r="H2094" s="192" t="s">
        <v>3624</v>
      </c>
      <c r="I2094" t="s">
        <v>3414</v>
      </c>
      <c r="J2094" t="s">
        <v>865</v>
      </c>
      <c r="K2094" t="s">
        <v>797</v>
      </c>
    </row>
    <row r="2095" spans="2:11" x14ac:dyDescent="0.25">
      <c r="B2095" s="191"/>
      <c r="C2095" s="191"/>
      <c r="D2095" s="192" t="s">
        <v>4898</v>
      </c>
      <c r="E2095" t="s">
        <v>4899</v>
      </c>
      <c r="F2095" s="192" t="s">
        <v>789</v>
      </c>
      <c r="G2095" s="192" t="s">
        <v>3623</v>
      </c>
      <c r="H2095" s="192" t="s">
        <v>3624</v>
      </c>
      <c r="I2095" t="s">
        <v>3414</v>
      </c>
      <c r="J2095" t="s">
        <v>865</v>
      </c>
      <c r="K2095" t="s">
        <v>797</v>
      </c>
    </row>
    <row r="2096" spans="2:11" x14ac:dyDescent="0.25">
      <c r="B2096" s="191"/>
      <c r="C2096" s="191"/>
      <c r="D2096" s="192" t="s">
        <v>4900</v>
      </c>
      <c r="E2096" t="s">
        <v>4901</v>
      </c>
      <c r="F2096" s="192" t="s">
        <v>789</v>
      </c>
      <c r="G2096" s="192" t="s">
        <v>3627</v>
      </c>
      <c r="H2096" s="192" t="s">
        <v>3624</v>
      </c>
      <c r="I2096" t="s">
        <v>3414</v>
      </c>
      <c r="J2096" t="s">
        <v>865</v>
      </c>
      <c r="K2096" t="s">
        <v>797</v>
      </c>
    </row>
    <row r="2097" spans="2:11" x14ac:dyDescent="0.25">
      <c r="B2097" s="191"/>
      <c r="C2097" s="191"/>
      <c r="D2097" s="192" t="s">
        <v>4902</v>
      </c>
      <c r="E2097" t="s">
        <v>4903</v>
      </c>
      <c r="F2097" s="192" t="s">
        <v>789</v>
      </c>
      <c r="G2097" s="192" t="s">
        <v>3630</v>
      </c>
      <c r="H2097" s="192" t="s">
        <v>3624</v>
      </c>
      <c r="I2097" t="s">
        <v>3414</v>
      </c>
      <c r="J2097" t="s">
        <v>865</v>
      </c>
      <c r="K2097" t="s">
        <v>797</v>
      </c>
    </row>
    <row r="2098" spans="2:11" x14ac:dyDescent="0.25">
      <c r="B2098" s="191"/>
      <c r="C2098" s="191" t="s">
        <v>4904</v>
      </c>
      <c r="D2098" s="192"/>
      <c r="E2098" s="185" t="s">
        <v>4905</v>
      </c>
      <c r="F2098" s="192" t="s">
        <v>789</v>
      </c>
      <c r="G2098" s="192" t="s">
        <v>790</v>
      </c>
      <c r="H2098" s="192" t="s">
        <v>790</v>
      </c>
      <c r="I2098" t="s">
        <v>3414</v>
      </c>
    </row>
    <row r="2099" spans="2:11" x14ac:dyDescent="0.25">
      <c r="B2099" s="191"/>
      <c r="C2099" s="191"/>
      <c r="D2099" s="192" t="s">
        <v>4906</v>
      </c>
      <c r="E2099" t="s">
        <v>4907</v>
      </c>
      <c r="F2099" s="192" t="s">
        <v>789</v>
      </c>
      <c r="G2099" s="192" t="s">
        <v>3675</v>
      </c>
      <c r="H2099" s="192" t="s">
        <v>3624</v>
      </c>
      <c r="I2099" t="s">
        <v>3414</v>
      </c>
      <c r="J2099" t="s">
        <v>865</v>
      </c>
      <c r="K2099" t="s">
        <v>797</v>
      </c>
    </row>
    <row r="2100" spans="2:11" x14ac:dyDescent="0.25">
      <c r="B2100" s="191"/>
      <c r="C2100" s="191"/>
      <c r="D2100" s="192" t="s">
        <v>4908</v>
      </c>
      <c r="E2100" t="s">
        <v>4909</v>
      </c>
      <c r="F2100" s="192" t="s">
        <v>789</v>
      </c>
      <c r="G2100" s="192" t="s">
        <v>3623</v>
      </c>
      <c r="H2100" s="192" t="s">
        <v>3624</v>
      </c>
      <c r="I2100" t="s">
        <v>3414</v>
      </c>
      <c r="J2100" t="s">
        <v>865</v>
      </c>
      <c r="K2100" t="s">
        <v>797</v>
      </c>
    </row>
    <row r="2101" spans="2:11" x14ac:dyDescent="0.25">
      <c r="B2101" s="191"/>
      <c r="C2101" s="191"/>
      <c r="D2101" s="192" t="s">
        <v>4910</v>
      </c>
      <c r="E2101" t="s">
        <v>4911</v>
      </c>
      <c r="F2101" s="192" t="s">
        <v>789</v>
      </c>
      <c r="G2101" s="192" t="s">
        <v>3627</v>
      </c>
      <c r="H2101" s="192" t="s">
        <v>3624</v>
      </c>
      <c r="I2101" t="s">
        <v>3414</v>
      </c>
      <c r="J2101" t="s">
        <v>865</v>
      </c>
      <c r="K2101" t="s">
        <v>797</v>
      </c>
    </row>
    <row r="2102" spans="2:11" x14ac:dyDescent="0.25">
      <c r="B2102" s="191"/>
      <c r="C2102" s="191"/>
      <c r="D2102" s="192" t="s">
        <v>4912</v>
      </c>
      <c r="E2102" t="s">
        <v>4913</v>
      </c>
      <c r="F2102" s="192" t="s">
        <v>789</v>
      </c>
      <c r="G2102" s="192" t="s">
        <v>3630</v>
      </c>
      <c r="H2102" s="192" t="s">
        <v>3624</v>
      </c>
      <c r="I2102" t="s">
        <v>3414</v>
      </c>
      <c r="J2102" t="s">
        <v>865</v>
      </c>
      <c r="K2102" t="s">
        <v>797</v>
      </c>
    </row>
    <row r="2103" spans="2:11" x14ac:dyDescent="0.25">
      <c r="B2103" s="191"/>
      <c r="C2103" s="191" t="s">
        <v>4914</v>
      </c>
      <c r="D2103" s="192"/>
      <c r="E2103" s="185" t="s">
        <v>4915</v>
      </c>
      <c r="F2103" s="192" t="s">
        <v>789</v>
      </c>
      <c r="G2103" s="192" t="s">
        <v>790</v>
      </c>
      <c r="H2103" s="192" t="s">
        <v>790</v>
      </c>
      <c r="I2103" t="s">
        <v>3414</v>
      </c>
    </row>
    <row r="2104" spans="2:11" x14ac:dyDescent="0.25">
      <c r="B2104" s="191"/>
      <c r="C2104" s="191" t="s">
        <v>4916</v>
      </c>
      <c r="D2104" s="192"/>
      <c r="E2104" s="185" t="s">
        <v>4917</v>
      </c>
      <c r="F2104" s="192" t="s">
        <v>789</v>
      </c>
      <c r="G2104" s="192" t="s">
        <v>790</v>
      </c>
      <c r="H2104" s="192" t="s">
        <v>790</v>
      </c>
      <c r="I2104" t="s">
        <v>3414</v>
      </c>
    </row>
    <row r="2105" spans="2:11" x14ac:dyDescent="0.25">
      <c r="B2105" s="191"/>
      <c r="C2105" s="191"/>
      <c r="D2105" s="192" t="s">
        <v>4918</v>
      </c>
      <c r="E2105" t="s">
        <v>4919</v>
      </c>
      <c r="F2105" s="192" t="s">
        <v>789</v>
      </c>
      <c r="G2105" s="192" t="s">
        <v>3675</v>
      </c>
      <c r="H2105" s="192" t="s">
        <v>3624</v>
      </c>
      <c r="I2105" t="s">
        <v>3414</v>
      </c>
      <c r="J2105" t="s">
        <v>865</v>
      </c>
      <c r="K2105" t="s">
        <v>797</v>
      </c>
    </row>
    <row r="2106" spans="2:11" x14ac:dyDescent="0.25">
      <c r="B2106" s="191"/>
      <c r="C2106" s="191"/>
      <c r="D2106" s="192" t="s">
        <v>4920</v>
      </c>
      <c r="E2106" t="s">
        <v>4921</v>
      </c>
      <c r="F2106" s="192" t="s">
        <v>789</v>
      </c>
      <c r="G2106" s="192" t="s">
        <v>3623</v>
      </c>
      <c r="H2106" s="192" t="s">
        <v>3624</v>
      </c>
      <c r="I2106" t="s">
        <v>3414</v>
      </c>
      <c r="J2106" t="s">
        <v>865</v>
      </c>
      <c r="K2106" t="s">
        <v>797</v>
      </c>
    </row>
    <row r="2107" spans="2:11" x14ac:dyDescent="0.25">
      <c r="B2107" s="191"/>
      <c r="C2107" s="191"/>
      <c r="D2107" s="192" t="s">
        <v>4922</v>
      </c>
      <c r="E2107" t="s">
        <v>4923</v>
      </c>
      <c r="F2107" s="192" t="s">
        <v>789</v>
      </c>
      <c r="G2107" s="192" t="s">
        <v>3627</v>
      </c>
      <c r="H2107" s="192" t="s">
        <v>3624</v>
      </c>
      <c r="I2107" t="s">
        <v>3414</v>
      </c>
      <c r="J2107" t="s">
        <v>865</v>
      </c>
      <c r="K2107" t="s">
        <v>797</v>
      </c>
    </row>
    <row r="2108" spans="2:11" x14ac:dyDescent="0.25">
      <c r="B2108" s="191"/>
      <c r="C2108" s="191"/>
      <c r="D2108" s="192" t="s">
        <v>4924</v>
      </c>
      <c r="E2108" t="s">
        <v>4925</v>
      </c>
      <c r="F2108" s="192" t="s">
        <v>789</v>
      </c>
      <c r="G2108" s="192" t="s">
        <v>3630</v>
      </c>
      <c r="H2108" s="192" t="s">
        <v>3624</v>
      </c>
      <c r="I2108" t="s">
        <v>3414</v>
      </c>
      <c r="J2108" t="s">
        <v>865</v>
      </c>
      <c r="K2108" t="s">
        <v>797</v>
      </c>
    </row>
    <row r="2109" spans="2:11" x14ac:dyDescent="0.25">
      <c r="B2109" s="191"/>
      <c r="C2109" s="191" t="s">
        <v>4926</v>
      </c>
      <c r="D2109" s="192"/>
      <c r="E2109" s="185" t="s">
        <v>4927</v>
      </c>
      <c r="F2109" s="192" t="s">
        <v>789</v>
      </c>
      <c r="G2109" s="192" t="s">
        <v>790</v>
      </c>
      <c r="H2109" s="192" t="s">
        <v>790</v>
      </c>
      <c r="I2109" t="s">
        <v>3414</v>
      </c>
    </row>
    <row r="2110" spans="2:11" x14ac:dyDescent="0.25">
      <c r="B2110" s="191"/>
      <c r="C2110" s="191"/>
      <c r="D2110" s="192" t="s">
        <v>4928</v>
      </c>
      <c r="E2110" t="s">
        <v>4929</v>
      </c>
      <c r="F2110" s="192" t="s">
        <v>789</v>
      </c>
      <c r="G2110" s="192" t="s">
        <v>3675</v>
      </c>
      <c r="H2110" s="192" t="s">
        <v>3624</v>
      </c>
      <c r="I2110" t="s">
        <v>3414</v>
      </c>
      <c r="J2110" t="s">
        <v>865</v>
      </c>
      <c r="K2110" t="s">
        <v>797</v>
      </c>
    </row>
    <row r="2111" spans="2:11" x14ac:dyDescent="0.25">
      <c r="B2111" s="191"/>
      <c r="C2111" s="191"/>
      <c r="D2111" s="192" t="s">
        <v>4930</v>
      </c>
      <c r="E2111" t="s">
        <v>4931</v>
      </c>
      <c r="F2111" s="192" t="s">
        <v>789</v>
      </c>
      <c r="G2111" s="192" t="s">
        <v>3623</v>
      </c>
      <c r="H2111" s="192" t="s">
        <v>3624</v>
      </c>
      <c r="I2111" t="s">
        <v>3414</v>
      </c>
      <c r="J2111" t="s">
        <v>865</v>
      </c>
      <c r="K2111" t="s">
        <v>797</v>
      </c>
    </row>
    <row r="2112" spans="2:11" x14ac:dyDescent="0.25">
      <c r="B2112" s="191"/>
      <c r="C2112" s="191"/>
      <c r="D2112" s="192" t="s">
        <v>4932</v>
      </c>
      <c r="E2112" t="s">
        <v>4933</v>
      </c>
      <c r="F2112" s="192" t="s">
        <v>789</v>
      </c>
      <c r="G2112" s="192" t="s">
        <v>3627</v>
      </c>
      <c r="H2112" s="192" t="s">
        <v>3624</v>
      </c>
      <c r="I2112" t="s">
        <v>3414</v>
      </c>
      <c r="J2112" t="s">
        <v>865</v>
      </c>
      <c r="K2112" t="s">
        <v>797</v>
      </c>
    </row>
    <row r="2113" spans="2:11" x14ac:dyDescent="0.25">
      <c r="B2113" s="191"/>
      <c r="C2113" s="191"/>
      <c r="D2113" s="192" t="s">
        <v>4934</v>
      </c>
      <c r="E2113" t="s">
        <v>4935</v>
      </c>
      <c r="F2113" s="192" t="s">
        <v>789</v>
      </c>
      <c r="G2113" s="192" t="s">
        <v>3630</v>
      </c>
      <c r="H2113" s="192" t="s">
        <v>3624</v>
      </c>
      <c r="I2113" t="s">
        <v>3414</v>
      </c>
      <c r="J2113" t="s">
        <v>865</v>
      </c>
      <c r="K2113" t="s">
        <v>797</v>
      </c>
    </row>
    <row r="2114" spans="2:11" x14ac:dyDescent="0.25">
      <c r="B2114" s="191"/>
      <c r="C2114" s="191" t="s">
        <v>4936</v>
      </c>
      <c r="D2114" s="192"/>
      <c r="E2114" s="185" t="s">
        <v>4937</v>
      </c>
      <c r="F2114" s="192" t="s">
        <v>789</v>
      </c>
      <c r="G2114" s="192" t="s">
        <v>790</v>
      </c>
      <c r="H2114" s="192" t="s">
        <v>790</v>
      </c>
      <c r="I2114" t="s">
        <v>3414</v>
      </c>
    </row>
    <row r="2115" spans="2:11" x14ac:dyDescent="0.25">
      <c r="B2115" s="191"/>
      <c r="C2115" s="191" t="s">
        <v>4938</v>
      </c>
      <c r="D2115" s="192"/>
      <c r="E2115" s="185" t="s">
        <v>4939</v>
      </c>
      <c r="F2115" s="192" t="s">
        <v>789</v>
      </c>
      <c r="G2115" s="192" t="s">
        <v>790</v>
      </c>
      <c r="H2115" s="192" t="s">
        <v>790</v>
      </c>
      <c r="I2115" t="s">
        <v>3414</v>
      </c>
    </row>
    <row r="2116" spans="2:11" x14ac:dyDescent="0.25">
      <c r="B2116" s="191"/>
      <c r="C2116" s="191"/>
      <c r="D2116" s="192" t="s">
        <v>4940</v>
      </c>
      <c r="E2116" t="s">
        <v>4941</v>
      </c>
      <c r="F2116" s="192" t="s">
        <v>789</v>
      </c>
      <c r="G2116" s="192" t="s">
        <v>3675</v>
      </c>
      <c r="H2116" s="192" t="s">
        <v>3624</v>
      </c>
      <c r="I2116" t="s">
        <v>3414</v>
      </c>
      <c r="J2116" t="s">
        <v>865</v>
      </c>
      <c r="K2116" t="s">
        <v>797</v>
      </c>
    </row>
    <row r="2117" spans="2:11" x14ac:dyDescent="0.25">
      <c r="B2117" s="191"/>
      <c r="C2117" s="191"/>
      <c r="D2117" s="192" t="s">
        <v>4942</v>
      </c>
      <c r="E2117" t="s">
        <v>4943</v>
      </c>
      <c r="F2117" s="192" t="s">
        <v>789</v>
      </c>
      <c r="G2117" s="192" t="s">
        <v>3623</v>
      </c>
      <c r="H2117" s="192" t="s">
        <v>3624</v>
      </c>
      <c r="I2117" t="s">
        <v>3414</v>
      </c>
      <c r="J2117" t="s">
        <v>865</v>
      </c>
      <c r="K2117" t="s">
        <v>797</v>
      </c>
    </row>
    <row r="2118" spans="2:11" x14ac:dyDescent="0.25">
      <c r="B2118" s="191"/>
      <c r="C2118" s="191"/>
      <c r="D2118" s="192" t="s">
        <v>4944</v>
      </c>
      <c r="E2118" t="s">
        <v>4945</v>
      </c>
      <c r="F2118" s="192" t="s">
        <v>789</v>
      </c>
      <c r="G2118" s="192" t="s">
        <v>3627</v>
      </c>
      <c r="H2118" s="192" t="s">
        <v>3624</v>
      </c>
      <c r="I2118" t="s">
        <v>3414</v>
      </c>
      <c r="J2118" t="s">
        <v>865</v>
      </c>
      <c r="K2118" t="s">
        <v>797</v>
      </c>
    </row>
    <row r="2119" spans="2:11" x14ac:dyDescent="0.25">
      <c r="B2119" s="191"/>
      <c r="C2119" s="191"/>
      <c r="D2119" s="192" t="s">
        <v>4946</v>
      </c>
      <c r="E2119" t="s">
        <v>4947</v>
      </c>
      <c r="F2119" s="192" t="s">
        <v>789</v>
      </c>
      <c r="G2119" s="192" t="s">
        <v>3630</v>
      </c>
      <c r="H2119" s="192" t="s">
        <v>3624</v>
      </c>
      <c r="I2119" t="s">
        <v>3414</v>
      </c>
      <c r="J2119" t="s">
        <v>865</v>
      </c>
      <c r="K2119" t="s">
        <v>797</v>
      </c>
    </row>
    <row r="2120" spans="2:11" x14ac:dyDescent="0.25">
      <c r="B2120" s="191"/>
      <c r="C2120" s="191" t="s">
        <v>4948</v>
      </c>
      <c r="D2120" s="192"/>
      <c r="E2120" s="185" t="s">
        <v>4949</v>
      </c>
      <c r="F2120" s="192" t="s">
        <v>789</v>
      </c>
      <c r="G2120" s="192" t="s">
        <v>790</v>
      </c>
      <c r="H2120" s="192" t="s">
        <v>790</v>
      </c>
      <c r="I2120" t="s">
        <v>3414</v>
      </c>
    </row>
    <row r="2121" spans="2:11" x14ac:dyDescent="0.25">
      <c r="B2121" s="191"/>
      <c r="C2121" s="191"/>
      <c r="D2121" s="192" t="s">
        <v>4950</v>
      </c>
      <c r="E2121" t="s">
        <v>4951</v>
      </c>
      <c r="F2121" s="192" t="s">
        <v>789</v>
      </c>
      <c r="G2121" s="192" t="s">
        <v>3675</v>
      </c>
      <c r="H2121" s="192" t="s">
        <v>3624</v>
      </c>
      <c r="I2121" t="s">
        <v>3414</v>
      </c>
      <c r="J2121" t="s">
        <v>865</v>
      </c>
      <c r="K2121" t="s">
        <v>797</v>
      </c>
    </row>
    <row r="2122" spans="2:11" x14ac:dyDescent="0.25">
      <c r="B2122" s="191"/>
      <c r="C2122" s="191"/>
      <c r="D2122" s="192" t="s">
        <v>4952</v>
      </c>
      <c r="E2122" t="s">
        <v>4953</v>
      </c>
      <c r="F2122" s="192" t="s">
        <v>789</v>
      </c>
      <c r="G2122" s="192" t="s">
        <v>3623</v>
      </c>
      <c r="H2122" s="192" t="s">
        <v>3624</v>
      </c>
      <c r="I2122" t="s">
        <v>3414</v>
      </c>
      <c r="J2122" t="s">
        <v>865</v>
      </c>
      <c r="K2122" t="s">
        <v>797</v>
      </c>
    </row>
    <row r="2123" spans="2:11" x14ac:dyDescent="0.25">
      <c r="B2123" s="191"/>
      <c r="C2123" s="191"/>
      <c r="D2123" s="192" t="s">
        <v>4954</v>
      </c>
      <c r="E2123" t="s">
        <v>4955</v>
      </c>
      <c r="F2123" s="192" t="s">
        <v>789</v>
      </c>
      <c r="G2123" s="192" t="s">
        <v>3627</v>
      </c>
      <c r="H2123" s="192" t="s">
        <v>3624</v>
      </c>
      <c r="I2123" t="s">
        <v>3414</v>
      </c>
      <c r="J2123" t="s">
        <v>865</v>
      </c>
      <c r="K2123" t="s">
        <v>797</v>
      </c>
    </row>
    <row r="2124" spans="2:11" x14ac:dyDescent="0.25">
      <c r="B2124" s="191"/>
      <c r="C2124" s="191"/>
      <c r="D2124" s="192" t="s">
        <v>4956</v>
      </c>
      <c r="E2124" t="s">
        <v>4957</v>
      </c>
      <c r="F2124" s="192" t="s">
        <v>789</v>
      </c>
      <c r="G2124" s="192" t="s">
        <v>3630</v>
      </c>
      <c r="H2124" s="192" t="s">
        <v>3624</v>
      </c>
      <c r="I2124" t="s">
        <v>3414</v>
      </c>
      <c r="J2124" t="s">
        <v>865</v>
      </c>
      <c r="K2124" t="s">
        <v>797</v>
      </c>
    </row>
    <row r="2125" spans="2:11" x14ac:dyDescent="0.25">
      <c r="B2125" s="191"/>
      <c r="C2125" s="191" t="s">
        <v>4958</v>
      </c>
      <c r="D2125" s="192"/>
      <c r="E2125" s="185" t="s">
        <v>4959</v>
      </c>
      <c r="F2125" s="192" t="s">
        <v>789</v>
      </c>
      <c r="G2125" s="192" t="s">
        <v>790</v>
      </c>
      <c r="H2125" s="192" t="s">
        <v>790</v>
      </c>
      <c r="I2125" t="s">
        <v>3414</v>
      </c>
      <c r="J2125" t="s">
        <v>865</v>
      </c>
    </row>
    <row r="2126" spans="2:11" x14ac:dyDescent="0.25">
      <c r="B2126" s="191"/>
      <c r="C2126" s="191" t="s">
        <v>4960</v>
      </c>
      <c r="D2126" s="192"/>
      <c r="E2126" s="185" t="s">
        <v>4961</v>
      </c>
      <c r="F2126" s="192" t="s">
        <v>789</v>
      </c>
      <c r="G2126" s="192" t="s">
        <v>790</v>
      </c>
      <c r="H2126" s="192" t="s">
        <v>790</v>
      </c>
      <c r="I2126" t="s">
        <v>3414</v>
      </c>
    </row>
    <row r="2127" spans="2:11" x14ac:dyDescent="0.25">
      <c r="B2127" s="191"/>
      <c r="C2127" s="191" t="s">
        <v>4962</v>
      </c>
      <c r="D2127" s="192"/>
      <c r="E2127" s="185" t="s">
        <v>4963</v>
      </c>
      <c r="F2127" s="192" t="s">
        <v>789</v>
      </c>
      <c r="G2127" s="192" t="s">
        <v>790</v>
      </c>
      <c r="H2127" s="192" t="s">
        <v>790</v>
      </c>
      <c r="I2127" t="s">
        <v>3414</v>
      </c>
    </row>
    <row r="2128" spans="2:11" x14ac:dyDescent="0.25">
      <c r="B2128" s="191"/>
      <c r="C2128" s="191" t="s">
        <v>4964</v>
      </c>
      <c r="D2128" s="192"/>
      <c r="E2128" s="185" t="s">
        <v>4965</v>
      </c>
      <c r="F2128" s="192" t="s">
        <v>789</v>
      </c>
      <c r="G2128" s="192" t="s">
        <v>790</v>
      </c>
      <c r="H2128" s="192" t="s">
        <v>790</v>
      </c>
      <c r="I2128" t="s">
        <v>3414</v>
      </c>
    </row>
    <row r="2129" spans="2:11" x14ac:dyDescent="0.25">
      <c r="B2129" s="191"/>
      <c r="C2129" s="191"/>
      <c r="D2129" s="192" t="s">
        <v>4966</v>
      </c>
      <c r="E2129" t="s">
        <v>4967</v>
      </c>
      <c r="F2129" s="192" t="s">
        <v>789</v>
      </c>
      <c r="G2129" s="192" t="s">
        <v>3675</v>
      </c>
      <c r="H2129" s="192" t="s">
        <v>3624</v>
      </c>
      <c r="I2129" t="s">
        <v>3414</v>
      </c>
      <c r="J2129" t="s">
        <v>865</v>
      </c>
      <c r="K2129" t="s">
        <v>797</v>
      </c>
    </row>
    <row r="2130" spans="2:11" x14ac:dyDescent="0.25">
      <c r="B2130" s="191"/>
      <c r="C2130" s="191"/>
      <c r="D2130" s="192" t="s">
        <v>4968</v>
      </c>
      <c r="E2130" t="s">
        <v>4969</v>
      </c>
      <c r="F2130" s="192" t="s">
        <v>789</v>
      </c>
      <c r="G2130" s="192" t="s">
        <v>3623</v>
      </c>
      <c r="H2130" s="192" t="s">
        <v>3624</v>
      </c>
      <c r="I2130" t="s">
        <v>3414</v>
      </c>
      <c r="J2130" t="s">
        <v>865</v>
      </c>
      <c r="K2130" t="s">
        <v>797</v>
      </c>
    </row>
    <row r="2131" spans="2:11" x14ac:dyDescent="0.25">
      <c r="B2131" s="191"/>
      <c r="C2131" s="191"/>
      <c r="D2131" s="192" t="s">
        <v>4970</v>
      </c>
      <c r="E2131" t="s">
        <v>4971</v>
      </c>
      <c r="F2131" s="192" t="s">
        <v>789</v>
      </c>
      <c r="G2131" s="192" t="s">
        <v>3627</v>
      </c>
      <c r="H2131" s="192" t="s">
        <v>3624</v>
      </c>
      <c r="I2131" t="s">
        <v>3414</v>
      </c>
      <c r="J2131" t="s">
        <v>865</v>
      </c>
      <c r="K2131" t="s">
        <v>797</v>
      </c>
    </row>
    <row r="2132" spans="2:11" x14ac:dyDescent="0.25">
      <c r="B2132" s="191"/>
      <c r="C2132" s="191"/>
      <c r="D2132" s="192" t="s">
        <v>4972</v>
      </c>
      <c r="E2132" t="s">
        <v>4973</v>
      </c>
      <c r="F2132" s="192" t="s">
        <v>789</v>
      </c>
      <c r="G2132" s="192" t="s">
        <v>3630</v>
      </c>
      <c r="H2132" s="192" t="s">
        <v>3624</v>
      </c>
      <c r="I2132" t="s">
        <v>3414</v>
      </c>
      <c r="J2132" t="s">
        <v>865</v>
      </c>
      <c r="K2132" t="s">
        <v>797</v>
      </c>
    </row>
    <row r="2133" spans="2:11" x14ac:dyDescent="0.25">
      <c r="B2133" s="191"/>
      <c r="C2133" s="191" t="s">
        <v>4974</v>
      </c>
      <c r="D2133" s="192"/>
      <c r="E2133" s="185" t="s">
        <v>4975</v>
      </c>
      <c r="F2133" s="192" t="s">
        <v>789</v>
      </c>
      <c r="G2133" s="192" t="s">
        <v>790</v>
      </c>
      <c r="H2133" s="192" t="s">
        <v>790</v>
      </c>
      <c r="I2133" t="s">
        <v>3414</v>
      </c>
    </row>
    <row r="2134" spans="2:11" x14ac:dyDescent="0.25">
      <c r="B2134" s="191"/>
      <c r="C2134" s="191"/>
      <c r="D2134" s="192" t="s">
        <v>4976</v>
      </c>
      <c r="E2134" t="s">
        <v>4977</v>
      </c>
      <c r="F2134" s="192" t="s">
        <v>789</v>
      </c>
      <c r="G2134" s="192" t="s">
        <v>3675</v>
      </c>
      <c r="H2134" s="192" t="s">
        <v>3624</v>
      </c>
      <c r="I2134" t="s">
        <v>3414</v>
      </c>
      <c r="J2134" t="s">
        <v>865</v>
      </c>
      <c r="K2134" t="s">
        <v>797</v>
      </c>
    </row>
    <row r="2135" spans="2:11" x14ac:dyDescent="0.25">
      <c r="B2135" s="191"/>
      <c r="C2135" s="191"/>
      <c r="D2135" s="192" t="s">
        <v>4978</v>
      </c>
      <c r="E2135" t="s">
        <v>4979</v>
      </c>
      <c r="F2135" s="192" t="s">
        <v>789</v>
      </c>
      <c r="G2135" s="192" t="s">
        <v>3623</v>
      </c>
      <c r="H2135" s="192" t="s">
        <v>3624</v>
      </c>
      <c r="I2135" t="s">
        <v>3414</v>
      </c>
      <c r="J2135" t="s">
        <v>865</v>
      </c>
      <c r="K2135" t="s">
        <v>797</v>
      </c>
    </row>
    <row r="2136" spans="2:11" x14ac:dyDescent="0.25">
      <c r="B2136" s="191"/>
      <c r="C2136" s="191"/>
      <c r="D2136" s="192" t="s">
        <v>4980</v>
      </c>
      <c r="E2136" t="s">
        <v>4981</v>
      </c>
      <c r="F2136" s="192" t="s">
        <v>789</v>
      </c>
      <c r="G2136" s="192" t="s">
        <v>3627</v>
      </c>
      <c r="H2136" s="192" t="s">
        <v>3624</v>
      </c>
      <c r="I2136" t="s">
        <v>3414</v>
      </c>
      <c r="J2136" t="s">
        <v>865</v>
      </c>
      <c r="K2136" t="s">
        <v>797</v>
      </c>
    </row>
    <row r="2137" spans="2:11" x14ac:dyDescent="0.25">
      <c r="B2137" s="191"/>
      <c r="C2137" s="191"/>
      <c r="D2137" s="192" t="s">
        <v>4982</v>
      </c>
      <c r="E2137" t="s">
        <v>4983</v>
      </c>
      <c r="F2137" s="192" t="s">
        <v>789</v>
      </c>
      <c r="G2137" s="192" t="s">
        <v>3630</v>
      </c>
      <c r="H2137" s="192" t="s">
        <v>3624</v>
      </c>
      <c r="I2137" t="s">
        <v>3414</v>
      </c>
      <c r="J2137" t="s">
        <v>865</v>
      </c>
      <c r="K2137" t="s">
        <v>797</v>
      </c>
    </row>
    <row r="2138" spans="2:11" x14ac:dyDescent="0.25">
      <c r="B2138" s="191"/>
      <c r="C2138" s="191" t="s">
        <v>4984</v>
      </c>
      <c r="D2138" s="192"/>
      <c r="E2138" s="185" t="s">
        <v>4985</v>
      </c>
      <c r="F2138" s="192" t="s">
        <v>789</v>
      </c>
      <c r="G2138" s="192" t="s">
        <v>790</v>
      </c>
      <c r="H2138" s="192" t="s">
        <v>790</v>
      </c>
      <c r="I2138" t="s">
        <v>3414</v>
      </c>
    </row>
    <row r="2139" spans="2:11" x14ac:dyDescent="0.25">
      <c r="B2139" s="191"/>
      <c r="C2139" s="191" t="s">
        <v>4986</v>
      </c>
      <c r="D2139" s="192"/>
      <c r="E2139" s="185" t="s">
        <v>4987</v>
      </c>
      <c r="F2139" s="192" t="s">
        <v>789</v>
      </c>
      <c r="G2139" s="192" t="s">
        <v>790</v>
      </c>
      <c r="H2139" s="192" t="s">
        <v>790</v>
      </c>
      <c r="I2139" t="s">
        <v>3414</v>
      </c>
    </row>
    <row r="2140" spans="2:11" x14ac:dyDescent="0.25">
      <c r="B2140" s="191"/>
      <c r="C2140" s="191"/>
      <c r="D2140" s="192" t="s">
        <v>4988</v>
      </c>
      <c r="E2140" t="s">
        <v>4989</v>
      </c>
      <c r="F2140" s="192" t="s">
        <v>789</v>
      </c>
      <c r="G2140" s="192" t="s">
        <v>3675</v>
      </c>
      <c r="H2140" s="192" t="s">
        <v>3624</v>
      </c>
      <c r="I2140" t="s">
        <v>3414</v>
      </c>
      <c r="J2140" t="s">
        <v>865</v>
      </c>
      <c r="K2140" t="s">
        <v>797</v>
      </c>
    </row>
    <row r="2141" spans="2:11" x14ac:dyDescent="0.25">
      <c r="B2141" s="191"/>
      <c r="C2141" s="191"/>
      <c r="D2141" s="192" t="s">
        <v>4990</v>
      </c>
      <c r="E2141" t="s">
        <v>4991</v>
      </c>
      <c r="F2141" s="192" t="s">
        <v>789</v>
      </c>
      <c r="G2141" s="192" t="s">
        <v>3623</v>
      </c>
      <c r="H2141" s="192" t="s">
        <v>3624</v>
      </c>
      <c r="I2141" t="s">
        <v>3414</v>
      </c>
      <c r="J2141" t="s">
        <v>865</v>
      </c>
      <c r="K2141" t="s">
        <v>797</v>
      </c>
    </row>
    <row r="2142" spans="2:11" x14ac:dyDescent="0.25">
      <c r="B2142" s="191"/>
      <c r="C2142" s="191"/>
      <c r="D2142" s="192" t="s">
        <v>4992</v>
      </c>
      <c r="E2142" t="s">
        <v>4993</v>
      </c>
      <c r="F2142" s="192" t="s">
        <v>789</v>
      </c>
      <c r="G2142" s="192" t="s">
        <v>3627</v>
      </c>
      <c r="H2142" s="192" t="s">
        <v>3624</v>
      </c>
      <c r="I2142" t="s">
        <v>3414</v>
      </c>
      <c r="J2142" t="s">
        <v>865</v>
      </c>
      <c r="K2142" t="s">
        <v>797</v>
      </c>
    </row>
    <row r="2143" spans="2:11" x14ac:dyDescent="0.25">
      <c r="B2143" s="191"/>
      <c r="C2143" s="191"/>
      <c r="D2143" s="192" t="s">
        <v>4994</v>
      </c>
      <c r="E2143" t="s">
        <v>4995</v>
      </c>
      <c r="F2143" s="192" t="s">
        <v>789</v>
      </c>
      <c r="G2143" s="192" t="s">
        <v>3630</v>
      </c>
      <c r="H2143" s="192" t="s">
        <v>3624</v>
      </c>
      <c r="I2143" t="s">
        <v>3414</v>
      </c>
      <c r="J2143" t="s">
        <v>865</v>
      </c>
      <c r="K2143" t="s">
        <v>797</v>
      </c>
    </row>
    <row r="2144" spans="2:11" x14ac:dyDescent="0.25">
      <c r="B2144" s="191"/>
      <c r="C2144" s="191" t="s">
        <v>4996</v>
      </c>
      <c r="D2144" s="192"/>
      <c r="E2144" s="185" t="s">
        <v>4997</v>
      </c>
      <c r="F2144" s="192" t="s">
        <v>789</v>
      </c>
      <c r="G2144" s="192" t="s">
        <v>790</v>
      </c>
      <c r="H2144" s="192" t="s">
        <v>790</v>
      </c>
      <c r="I2144" t="s">
        <v>3414</v>
      </c>
    </row>
    <row r="2145" spans="2:11" x14ac:dyDescent="0.25">
      <c r="B2145" s="191"/>
      <c r="C2145" s="191"/>
      <c r="D2145" s="192" t="s">
        <v>4998</v>
      </c>
      <c r="E2145" t="s">
        <v>4999</v>
      </c>
      <c r="F2145" s="192" t="s">
        <v>789</v>
      </c>
      <c r="G2145" s="192" t="s">
        <v>3675</v>
      </c>
      <c r="H2145" s="192" t="s">
        <v>3624</v>
      </c>
      <c r="I2145" t="s">
        <v>3414</v>
      </c>
      <c r="J2145" t="s">
        <v>865</v>
      </c>
      <c r="K2145" t="s">
        <v>797</v>
      </c>
    </row>
    <row r="2146" spans="2:11" x14ac:dyDescent="0.25">
      <c r="B2146" s="191"/>
      <c r="C2146" s="191"/>
      <c r="D2146" s="192" t="s">
        <v>5000</v>
      </c>
      <c r="E2146" t="s">
        <v>5001</v>
      </c>
      <c r="F2146" s="192" t="s">
        <v>789</v>
      </c>
      <c r="G2146" s="192" t="s">
        <v>3623</v>
      </c>
      <c r="H2146" s="192" t="s">
        <v>3624</v>
      </c>
      <c r="I2146" t="s">
        <v>3414</v>
      </c>
      <c r="J2146" t="s">
        <v>865</v>
      </c>
      <c r="K2146" t="s">
        <v>797</v>
      </c>
    </row>
    <row r="2147" spans="2:11" x14ac:dyDescent="0.25">
      <c r="B2147" s="191"/>
      <c r="C2147" s="191"/>
      <c r="D2147" s="192" t="s">
        <v>5002</v>
      </c>
      <c r="E2147" t="s">
        <v>5003</v>
      </c>
      <c r="F2147" s="192" t="s">
        <v>789</v>
      </c>
      <c r="G2147" s="192" t="s">
        <v>3627</v>
      </c>
      <c r="H2147" s="192" t="s">
        <v>3624</v>
      </c>
      <c r="I2147" t="s">
        <v>3414</v>
      </c>
      <c r="J2147" t="s">
        <v>865</v>
      </c>
      <c r="K2147" t="s">
        <v>797</v>
      </c>
    </row>
    <row r="2148" spans="2:11" x14ac:dyDescent="0.25">
      <c r="B2148" s="191"/>
      <c r="C2148" s="191"/>
      <c r="D2148" s="192" t="s">
        <v>5004</v>
      </c>
      <c r="E2148" t="s">
        <v>5005</v>
      </c>
      <c r="F2148" s="192" t="s">
        <v>789</v>
      </c>
      <c r="G2148" s="192" t="s">
        <v>3630</v>
      </c>
      <c r="H2148" s="192" t="s">
        <v>3624</v>
      </c>
      <c r="I2148" t="s">
        <v>3414</v>
      </c>
      <c r="J2148" t="s">
        <v>865</v>
      </c>
      <c r="K2148" t="s">
        <v>797</v>
      </c>
    </row>
    <row r="2149" spans="2:11" x14ac:dyDescent="0.25">
      <c r="B2149" s="191"/>
      <c r="C2149" s="191" t="s">
        <v>5006</v>
      </c>
      <c r="D2149" s="192"/>
      <c r="E2149" s="185" t="s">
        <v>5007</v>
      </c>
      <c r="F2149" s="192" t="s">
        <v>789</v>
      </c>
      <c r="G2149" s="192" t="s">
        <v>790</v>
      </c>
      <c r="H2149" s="192" t="s">
        <v>790</v>
      </c>
      <c r="I2149" t="s">
        <v>3414</v>
      </c>
    </row>
    <row r="2150" spans="2:11" x14ac:dyDescent="0.25">
      <c r="B2150" s="191"/>
      <c r="C2150" s="191" t="s">
        <v>5008</v>
      </c>
      <c r="D2150" s="192"/>
      <c r="E2150" s="185" t="s">
        <v>5009</v>
      </c>
      <c r="F2150" s="192" t="s">
        <v>789</v>
      </c>
      <c r="G2150" s="192" t="s">
        <v>790</v>
      </c>
      <c r="H2150" s="192" t="s">
        <v>790</v>
      </c>
      <c r="I2150" t="s">
        <v>3414</v>
      </c>
    </row>
    <row r="2151" spans="2:11" x14ac:dyDescent="0.25">
      <c r="B2151" s="191"/>
      <c r="C2151" s="191"/>
      <c r="D2151" s="192" t="s">
        <v>5010</v>
      </c>
      <c r="E2151" t="s">
        <v>5011</v>
      </c>
      <c r="F2151" s="192" t="s">
        <v>789</v>
      </c>
      <c r="G2151" s="192" t="s">
        <v>3675</v>
      </c>
      <c r="H2151" s="192" t="s">
        <v>3624</v>
      </c>
      <c r="I2151" t="s">
        <v>3414</v>
      </c>
      <c r="J2151" t="s">
        <v>865</v>
      </c>
      <c r="K2151" t="s">
        <v>797</v>
      </c>
    </row>
    <row r="2152" spans="2:11" x14ac:dyDescent="0.25">
      <c r="B2152" s="191"/>
      <c r="C2152" s="191"/>
      <c r="D2152" s="192" t="s">
        <v>5012</v>
      </c>
      <c r="E2152" t="s">
        <v>5013</v>
      </c>
      <c r="F2152" s="192" t="s">
        <v>789</v>
      </c>
      <c r="G2152" s="192" t="s">
        <v>3623</v>
      </c>
      <c r="H2152" s="192" t="s">
        <v>3624</v>
      </c>
      <c r="I2152" t="s">
        <v>3414</v>
      </c>
      <c r="J2152" t="s">
        <v>865</v>
      </c>
      <c r="K2152" t="s">
        <v>797</v>
      </c>
    </row>
    <row r="2153" spans="2:11" x14ac:dyDescent="0.25">
      <c r="B2153" s="191"/>
      <c r="C2153" s="191"/>
      <c r="D2153" s="192" t="s">
        <v>5014</v>
      </c>
      <c r="E2153" t="s">
        <v>5015</v>
      </c>
      <c r="F2153" s="192" t="s">
        <v>789</v>
      </c>
      <c r="G2153" s="192" t="s">
        <v>3627</v>
      </c>
      <c r="H2153" s="192" t="s">
        <v>3624</v>
      </c>
      <c r="I2153" t="s">
        <v>3414</v>
      </c>
      <c r="J2153" t="s">
        <v>865</v>
      </c>
      <c r="K2153" t="s">
        <v>797</v>
      </c>
    </row>
    <row r="2154" spans="2:11" x14ac:dyDescent="0.25">
      <c r="B2154" s="191"/>
      <c r="C2154" s="191"/>
      <c r="D2154" s="192" t="s">
        <v>5016</v>
      </c>
      <c r="E2154" t="s">
        <v>5017</v>
      </c>
      <c r="F2154" s="192" t="s">
        <v>789</v>
      </c>
      <c r="G2154" s="192" t="s">
        <v>3630</v>
      </c>
      <c r="H2154" s="192" t="s">
        <v>3624</v>
      </c>
      <c r="I2154" t="s">
        <v>3414</v>
      </c>
      <c r="J2154" t="s">
        <v>865</v>
      </c>
      <c r="K2154" t="s">
        <v>797</v>
      </c>
    </row>
    <row r="2155" spans="2:11" x14ac:dyDescent="0.25">
      <c r="B2155" s="191"/>
      <c r="C2155" s="191" t="s">
        <v>5018</v>
      </c>
      <c r="D2155" s="192"/>
      <c r="E2155" s="185" t="s">
        <v>5019</v>
      </c>
      <c r="F2155" s="192" t="s">
        <v>789</v>
      </c>
      <c r="G2155" s="192" t="s">
        <v>790</v>
      </c>
      <c r="H2155" s="192" t="s">
        <v>790</v>
      </c>
      <c r="I2155" t="s">
        <v>3414</v>
      </c>
    </row>
    <row r="2156" spans="2:11" x14ac:dyDescent="0.25">
      <c r="B2156" s="191"/>
      <c r="C2156" s="191"/>
      <c r="D2156" s="192" t="s">
        <v>5020</v>
      </c>
      <c r="E2156" t="s">
        <v>5021</v>
      </c>
      <c r="F2156" s="192" t="s">
        <v>789</v>
      </c>
      <c r="G2156" s="192" t="s">
        <v>3675</v>
      </c>
      <c r="H2156" s="192" t="s">
        <v>3624</v>
      </c>
      <c r="I2156" t="s">
        <v>3414</v>
      </c>
      <c r="J2156" t="s">
        <v>865</v>
      </c>
      <c r="K2156" t="s">
        <v>797</v>
      </c>
    </row>
    <row r="2157" spans="2:11" x14ac:dyDescent="0.25">
      <c r="B2157" s="191"/>
      <c r="C2157" s="191"/>
      <c r="D2157" s="192" t="s">
        <v>5022</v>
      </c>
      <c r="E2157" t="s">
        <v>5023</v>
      </c>
      <c r="F2157" s="192" t="s">
        <v>789</v>
      </c>
      <c r="G2157" s="192" t="s">
        <v>3623</v>
      </c>
      <c r="H2157" s="192" t="s">
        <v>3624</v>
      </c>
      <c r="I2157" t="s">
        <v>3414</v>
      </c>
      <c r="J2157" t="s">
        <v>865</v>
      </c>
      <c r="K2157" t="s">
        <v>797</v>
      </c>
    </row>
    <row r="2158" spans="2:11" x14ac:dyDescent="0.25">
      <c r="B2158" s="191"/>
      <c r="C2158" s="191"/>
      <c r="D2158" s="192" t="s">
        <v>5024</v>
      </c>
      <c r="E2158" t="s">
        <v>5025</v>
      </c>
      <c r="F2158" s="192" t="s">
        <v>789</v>
      </c>
      <c r="G2158" s="192" t="s">
        <v>3627</v>
      </c>
      <c r="H2158" s="192" t="s">
        <v>3624</v>
      </c>
      <c r="I2158" t="s">
        <v>3414</v>
      </c>
      <c r="J2158" t="s">
        <v>865</v>
      </c>
      <c r="K2158" t="s">
        <v>797</v>
      </c>
    </row>
    <row r="2159" spans="2:11" x14ac:dyDescent="0.25">
      <c r="B2159" s="191"/>
      <c r="C2159" s="191"/>
      <c r="D2159" s="192" t="s">
        <v>5026</v>
      </c>
      <c r="E2159" t="s">
        <v>5021</v>
      </c>
      <c r="F2159" s="192" t="s">
        <v>789</v>
      </c>
      <c r="G2159" s="192" t="s">
        <v>3630</v>
      </c>
      <c r="H2159" s="192" t="s">
        <v>3624</v>
      </c>
      <c r="I2159" t="s">
        <v>3414</v>
      </c>
      <c r="J2159" t="s">
        <v>865</v>
      </c>
      <c r="K2159" t="s">
        <v>797</v>
      </c>
    </row>
    <row r="2160" spans="2:11" x14ac:dyDescent="0.25">
      <c r="B2160" s="191"/>
      <c r="C2160" s="191" t="s">
        <v>5027</v>
      </c>
      <c r="D2160" s="192"/>
      <c r="E2160" s="185" t="s">
        <v>5028</v>
      </c>
      <c r="F2160" s="192" t="s">
        <v>789</v>
      </c>
      <c r="G2160" s="192" t="s">
        <v>790</v>
      </c>
      <c r="H2160" s="192" t="s">
        <v>790</v>
      </c>
      <c r="I2160" t="s">
        <v>3414</v>
      </c>
    </row>
    <row r="2161" spans="2:11" x14ac:dyDescent="0.25">
      <c r="B2161" s="191"/>
      <c r="C2161" s="191" t="s">
        <v>5029</v>
      </c>
      <c r="D2161" s="192"/>
      <c r="E2161" s="185" t="s">
        <v>5030</v>
      </c>
      <c r="F2161" s="192" t="s">
        <v>789</v>
      </c>
      <c r="G2161" s="192" t="s">
        <v>790</v>
      </c>
      <c r="H2161" s="192" t="s">
        <v>790</v>
      </c>
      <c r="I2161" t="s">
        <v>3414</v>
      </c>
    </row>
    <row r="2162" spans="2:11" x14ac:dyDescent="0.25">
      <c r="B2162" s="191"/>
      <c r="C2162" s="191"/>
      <c r="D2162" s="192" t="s">
        <v>5031</v>
      </c>
      <c r="E2162" t="s">
        <v>5032</v>
      </c>
      <c r="F2162" s="192" t="s">
        <v>789</v>
      </c>
      <c r="G2162" s="192" t="s">
        <v>3675</v>
      </c>
      <c r="H2162" s="192" t="s">
        <v>3624</v>
      </c>
      <c r="I2162" t="s">
        <v>3414</v>
      </c>
      <c r="J2162" t="s">
        <v>865</v>
      </c>
      <c r="K2162" t="s">
        <v>797</v>
      </c>
    </row>
    <row r="2163" spans="2:11" x14ac:dyDescent="0.25">
      <c r="B2163" s="191"/>
      <c r="C2163" s="191"/>
      <c r="D2163" s="192" t="s">
        <v>5033</v>
      </c>
      <c r="E2163" t="s">
        <v>5034</v>
      </c>
      <c r="F2163" s="192" t="s">
        <v>789</v>
      </c>
      <c r="G2163" s="192" t="s">
        <v>3623</v>
      </c>
      <c r="H2163" s="192" t="s">
        <v>3624</v>
      </c>
      <c r="I2163" t="s">
        <v>3414</v>
      </c>
      <c r="J2163" t="s">
        <v>865</v>
      </c>
      <c r="K2163" t="s">
        <v>797</v>
      </c>
    </row>
    <row r="2164" spans="2:11" x14ac:dyDescent="0.25">
      <c r="B2164" s="191"/>
      <c r="C2164" s="191"/>
      <c r="D2164" s="192" t="s">
        <v>5035</v>
      </c>
      <c r="E2164" t="s">
        <v>5036</v>
      </c>
      <c r="F2164" s="192" t="s">
        <v>789</v>
      </c>
      <c r="G2164" s="192" t="s">
        <v>3627</v>
      </c>
      <c r="H2164" s="192" t="s">
        <v>3624</v>
      </c>
      <c r="I2164" t="s">
        <v>3414</v>
      </c>
      <c r="J2164" t="s">
        <v>865</v>
      </c>
      <c r="K2164" t="s">
        <v>797</v>
      </c>
    </row>
    <row r="2165" spans="2:11" x14ac:dyDescent="0.25">
      <c r="B2165" s="191"/>
      <c r="C2165" s="191"/>
      <c r="D2165" s="192" t="s">
        <v>5037</v>
      </c>
      <c r="E2165" t="s">
        <v>5038</v>
      </c>
      <c r="F2165" s="192" t="s">
        <v>789</v>
      </c>
      <c r="G2165" s="192" t="s">
        <v>3630</v>
      </c>
      <c r="H2165" s="192" t="s">
        <v>3624</v>
      </c>
      <c r="I2165" t="s">
        <v>3414</v>
      </c>
      <c r="J2165" t="s">
        <v>865</v>
      </c>
      <c r="K2165" t="s">
        <v>797</v>
      </c>
    </row>
    <row r="2166" spans="2:11" x14ac:dyDescent="0.25">
      <c r="B2166" s="191"/>
      <c r="C2166" s="191" t="s">
        <v>5039</v>
      </c>
      <c r="D2166" s="192"/>
      <c r="E2166" s="185" t="s">
        <v>5040</v>
      </c>
      <c r="F2166" s="192" t="s">
        <v>789</v>
      </c>
      <c r="G2166" s="192" t="s">
        <v>790</v>
      </c>
      <c r="H2166" s="192" t="s">
        <v>790</v>
      </c>
      <c r="I2166" t="s">
        <v>3414</v>
      </c>
    </row>
    <row r="2167" spans="2:11" x14ac:dyDescent="0.25">
      <c r="B2167" s="191"/>
      <c r="C2167" s="191"/>
      <c r="D2167" s="192" t="s">
        <v>5041</v>
      </c>
      <c r="E2167" t="s">
        <v>5042</v>
      </c>
      <c r="F2167" s="192" t="s">
        <v>789</v>
      </c>
      <c r="G2167" s="192" t="s">
        <v>3675</v>
      </c>
      <c r="H2167" s="192" t="s">
        <v>3624</v>
      </c>
      <c r="I2167" t="s">
        <v>3414</v>
      </c>
      <c r="J2167" t="s">
        <v>865</v>
      </c>
      <c r="K2167" t="s">
        <v>797</v>
      </c>
    </row>
    <row r="2168" spans="2:11" x14ac:dyDescent="0.25">
      <c r="B2168" s="191"/>
      <c r="C2168" s="191"/>
      <c r="D2168" s="192" t="s">
        <v>5043</v>
      </c>
      <c r="E2168" t="s">
        <v>5044</v>
      </c>
      <c r="F2168" s="192" t="s">
        <v>789</v>
      </c>
      <c r="G2168" s="192" t="s">
        <v>3623</v>
      </c>
      <c r="H2168" s="192" t="s">
        <v>3624</v>
      </c>
      <c r="I2168" t="s">
        <v>3414</v>
      </c>
      <c r="J2168" t="s">
        <v>865</v>
      </c>
      <c r="K2168" t="s">
        <v>797</v>
      </c>
    </row>
    <row r="2169" spans="2:11" x14ac:dyDescent="0.25">
      <c r="B2169" s="191"/>
      <c r="C2169" s="191"/>
      <c r="D2169" s="192" t="s">
        <v>5045</v>
      </c>
      <c r="E2169" t="s">
        <v>5046</v>
      </c>
      <c r="F2169" s="192" t="s">
        <v>789</v>
      </c>
      <c r="G2169" s="192" t="s">
        <v>3627</v>
      </c>
      <c r="H2169" s="192" t="s">
        <v>3624</v>
      </c>
      <c r="I2169" t="s">
        <v>3414</v>
      </c>
      <c r="J2169" t="s">
        <v>865</v>
      </c>
      <c r="K2169" t="s">
        <v>797</v>
      </c>
    </row>
    <row r="2170" spans="2:11" x14ac:dyDescent="0.25">
      <c r="B2170" s="191"/>
      <c r="C2170" s="191"/>
      <c r="D2170" s="192" t="s">
        <v>5047</v>
      </c>
      <c r="E2170" t="s">
        <v>5048</v>
      </c>
      <c r="F2170" s="192" t="s">
        <v>789</v>
      </c>
      <c r="G2170" s="192" t="s">
        <v>3630</v>
      </c>
      <c r="H2170" s="192" t="s">
        <v>3624</v>
      </c>
      <c r="I2170" t="s">
        <v>3414</v>
      </c>
      <c r="J2170" t="s">
        <v>865</v>
      </c>
      <c r="K2170" t="s">
        <v>797</v>
      </c>
    </row>
    <row r="2171" spans="2:11" x14ac:dyDescent="0.25">
      <c r="B2171" s="191"/>
      <c r="C2171" s="191" t="s">
        <v>5049</v>
      </c>
      <c r="D2171" s="192"/>
      <c r="E2171" s="185" t="s">
        <v>5050</v>
      </c>
      <c r="F2171" s="192" t="s">
        <v>789</v>
      </c>
      <c r="G2171" s="192" t="s">
        <v>790</v>
      </c>
      <c r="H2171" s="192" t="s">
        <v>790</v>
      </c>
      <c r="I2171" t="s">
        <v>3414</v>
      </c>
    </row>
    <row r="2172" spans="2:11" x14ac:dyDescent="0.25">
      <c r="B2172" s="191"/>
      <c r="C2172" s="191" t="s">
        <v>5051</v>
      </c>
      <c r="D2172" s="192"/>
      <c r="E2172" s="185" t="s">
        <v>5052</v>
      </c>
      <c r="F2172" s="192" t="s">
        <v>789</v>
      </c>
      <c r="G2172" s="192" t="s">
        <v>790</v>
      </c>
      <c r="H2172" s="192" t="s">
        <v>790</v>
      </c>
      <c r="I2172" t="s">
        <v>3414</v>
      </c>
    </row>
    <row r="2173" spans="2:11" x14ac:dyDescent="0.25">
      <c r="B2173" s="191"/>
      <c r="C2173" s="191" t="s">
        <v>5053</v>
      </c>
      <c r="D2173" s="192"/>
      <c r="E2173" s="185" t="s">
        <v>5054</v>
      </c>
      <c r="F2173" s="192" t="s">
        <v>789</v>
      </c>
      <c r="G2173" s="192" t="s">
        <v>790</v>
      </c>
      <c r="H2173" s="192" t="s">
        <v>790</v>
      </c>
      <c r="I2173" t="s">
        <v>820</v>
      </c>
    </row>
    <row r="2174" spans="2:11" x14ac:dyDescent="0.25">
      <c r="B2174" s="191"/>
      <c r="C2174" s="191"/>
      <c r="D2174" s="192" t="s">
        <v>5055</v>
      </c>
      <c r="E2174" t="s">
        <v>5056</v>
      </c>
      <c r="F2174" s="192" t="s">
        <v>789</v>
      </c>
      <c r="G2174" s="192" t="s">
        <v>790</v>
      </c>
      <c r="H2174" s="192" t="s">
        <v>790</v>
      </c>
      <c r="I2174" t="s">
        <v>3414</v>
      </c>
      <c r="J2174" t="s">
        <v>865</v>
      </c>
      <c r="K2174" t="s">
        <v>797</v>
      </c>
    </row>
    <row r="2175" spans="2:11" x14ac:dyDescent="0.25">
      <c r="B2175" s="191"/>
      <c r="C2175" s="191"/>
      <c r="D2175" s="192" t="s">
        <v>5057</v>
      </c>
      <c r="E2175" t="s">
        <v>5058</v>
      </c>
      <c r="F2175" s="192" t="s">
        <v>789</v>
      </c>
      <c r="G2175" s="192" t="s">
        <v>790</v>
      </c>
      <c r="H2175" s="192" t="s">
        <v>790</v>
      </c>
      <c r="I2175" t="s">
        <v>3414</v>
      </c>
      <c r="J2175" t="s">
        <v>865</v>
      </c>
      <c r="K2175" t="s">
        <v>797</v>
      </c>
    </row>
    <row r="2176" spans="2:11" x14ac:dyDescent="0.25">
      <c r="B2176" s="191"/>
      <c r="C2176" s="191"/>
      <c r="D2176" s="192" t="s">
        <v>5059</v>
      </c>
      <c r="E2176" t="s">
        <v>5060</v>
      </c>
      <c r="F2176" s="192" t="s">
        <v>789</v>
      </c>
      <c r="G2176" s="192" t="s">
        <v>3623</v>
      </c>
      <c r="H2176" s="192" t="s">
        <v>3624</v>
      </c>
      <c r="I2176" t="s">
        <v>3414</v>
      </c>
      <c r="J2176" t="s">
        <v>865</v>
      </c>
      <c r="K2176" t="s">
        <v>797</v>
      </c>
    </row>
    <row r="2177" spans="2:11" x14ac:dyDescent="0.25">
      <c r="B2177" s="191"/>
      <c r="C2177" s="191"/>
      <c r="D2177" s="192" t="s">
        <v>5061</v>
      </c>
      <c r="E2177" t="s">
        <v>5062</v>
      </c>
      <c r="F2177" s="192" t="s">
        <v>789</v>
      </c>
      <c r="G2177" s="192" t="s">
        <v>3627</v>
      </c>
      <c r="H2177" s="192" t="s">
        <v>3624</v>
      </c>
      <c r="I2177" t="s">
        <v>3414</v>
      </c>
      <c r="J2177" t="s">
        <v>865</v>
      </c>
      <c r="K2177" t="s">
        <v>797</v>
      </c>
    </row>
    <row r="2178" spans="2:11" x14ac:dyDescent="0.25">
      <c r="B2178" s="191"/>
      <c r="C2178" s="191"/>
      <c r="D2178" s="192" t="s">
        <v>5063</v>
      </c>
      <c r="E2178" t="s">
        <v>5064</v>
      </c>
      <c r="F2178" s="192" t="s">
        <v>789</v>
      </c>
      <c r="G2178" s="192" t="s">
        <v>3630</v>
      </c>
      <c r="H2178" s="192" t="s">
        <v>3624</v>
      </c>
      <c r="I2178" t="s">
        <v>3414</v>
      </c>
      <c r="J2178" t="s">
        <v>865</v>
      </c>
      <c r="K2178" t="s">
        <v>797</v>
      </c>
    </row>
    <row r="2179" spans="2:11" x14ac:dyDescent="0.25">
      <c r="B2179" s="191"/>
      <c r="C2179" s="191" t="s">
        <v>5065</v>
      </c>
      <c r="D2179" s="192"/>
      <c r="E2179" s="185" t="s">
        <v>5066</v>
      </c>
      <c r="F2179" s="192" t="s">
        <v>789</v>
      </c>
      <c r="G2179" s="192" t="s">
        <v>790</v>
      </c>
      <c r="H2179" s="192" t="s">
        <v>790</v>
      </c>
      <c r="I2179" t="s">
        <v>3414</v>
      </c>
    </row>
    <row r="2180" spans="2:11" x14ac:dyDescent="0.25">
      <c r="B2180" s="191"/>
      <c r="C2180" s="191"/>
      <c r="D2180" s="192" t="s">
        <v>5067</v>
      </c>
      <c r="E2180" t="s">
        <v>5068</v>
      </c>
      <c r="F2180" s="192" t="s">
        <v>789</v>
      </c>
      <c r="G2180" s="192" t="s">
        <v>790</v>
      </c>
      <c r="H2180" s="192" t="s">
        <v>790</v>
      </c>
      <c r="I2180" t="s">
        <v>3414</v>
      </c>
      <c r="J2180" t="s">
        <v>865</v>
      </c>
      <c r="K2180" t="s">
        <v>797</v>
      </c>
    </row>
    <row r="2181" spans="2:11" x14ac:dyDescent="0.25">
      <c r="B2181" s="191"/>
      <c r="C2181" s="191"/>
      <c r="D2181" s="192" t="s">
        <v>5069</v>
      </c>
      <c r="E2181" t="s">
        <v>5070</v>
      </c>
      <c r="F2181" s="192" t="s">
        <v>789</v>
      </c>
      <c r="G2181" s="192" t="s">
        <v>790</v>
      </c>
      <c r="H2181" s="192" t="s">
        <v>790</v>
      </c>
      <c r="I2181" t="s">
        <v>3414</v>
      </c>
      <c r="J2181" t="s">
        <v>865</v>
      </c>
      <c r="K2181" t="s">
        <v>797</v>
      </c>
    </row>
    <row r="2182" spans="2:11" x14ac:dyDescent="0.25">
      <c r="B2182" s="191"/>
      <c r="C2182" s="191"/>
      <c r="D2182" s="192" t="s">
        <v>5071</v>
      </c>
      <c r="E2182" t="s">
        <v>5072</v>
      </c>
      <c r="F2182" s="192" t="s">
        <v>789</v>
      </c>
      <c r="G2182" s="192" t="s">
        <v>3623</v>
      </c>
      <c r="H2182" s="192" t="s">
        <v>3624</v>
      </c>
      <c r="I2182" t="s">
        <v>3414</v>
      </c>
      <c r="J2182" t="s">
        <v>865</v>
      </c>
      <c r="K2182" t="s">
        <v>797</v>
      </c>
    </row>
    <row r="2183" spans="2:11" x14ac:dyDescent="0.25">
      <c r="B2183" s="191"/>
      <c r="C2183" s="191"/>
      <c r="D2183" s="192" t="s">
        <v>5073</v>
      </c>
      <c r="E2183" t="s">
        <v>5074</v>
      </c>
      <c r="F2183" s="192" t="s">
        <v>789</v>
      </c>
      <c r="G2183" s="192" t="s">
        <v>3627</v>
      </c>
      <c r="H2183" s="192" t="s">
        <v>3624</v>
      </c>
      <c r="I2183" t="s">
        <v>3414</v>
      </c>
      <c r="J2183" t="s">
        <v>865</v>
      </c>
      <c r="K2183" t="s">
        <v>797</v>
      </c>
    </row>
    <row r="2184" spans="2:11" x14ac:dyDescent="0.25">
      <c r="B2184" s="191"/>
      <c r="C2184" s="191"/>
      <c r="D2184" s="192" t="s">
        <v>5075</v>
      </c>
      <c r="E2184" t="s">
        <v>5076</v>
      </c>
      <c r="F2184" s="192" t="s">
        <v>789</v>
      </c>
      <c r="G2184" s="192" t="s">
        <v>3630</v>
      </c>
      <c r="H2184" s="192" t="s">
        <v>3624</v>
      </c>
      <c r="I2184" t="s">
        <v>3414</v>
      </c>
      <c r="J2184" t="s">
        <v>865</v>
      </c>
      <c r="K2184" t="s">
        <v>797</v>
      </c>
    </row>
    <row r="2185" spans="2:11" x14ac:dyDescent="0.25">
      <c r="B2185" s="191"/>
      <c r="C2185" s="191" t="s">
        <v>5077</v>
      </c>
      <c r="D2185" s="192"/>
      <c r="E2185" s="185" t="s">
        <v>5078</v>
      </c>
      <c r="F2185" s="192" t="s">
        <v>789</v>
      </c>
      <c r="G2185" s="192" t="s">
        <v>790</v>
      </c>
      <c r="H2185" s="192" t="s">
        <v>790</v>
      </c>
      <c r="I2185" t="s">
        <v>3414</v>
      </c>
    </row>
    <row r="2186" spans="2:11" x14ac:dyDescent="0.25">
      <c r="B2186" s="191"/>
      <c r="C2186" s="191"/>
      <c r="D2186" s="192" t="s">
        <v>5079</v>
      </c>
      <c r="E2186" t="s">
        <v>5080</v>
      </c>
      <c r="F2186" s="192" t="s">
        <v>789</v>
      </c>
      <c r="G2186" s="192" t="s">
        <v>790</v>
      </c>
      <c r="H2186" s="192" t="s">
        <v>790</v>
      </c>
      <c r="I2186" t="s">
        <v>3414</v>
      </c>
      <c r="J2186" t="s">
        <v>865</v>
      </c>
      <c r="K2186" t="s">
        <v>797</v>
      </c>
    </row>
    <row r="2187" spans="2:11" x14ac:dyDescent="0.25">
      <c r="B2187" s="191"/>
      <c r="C2187" s="191"/>
      <c r="D2187" s="192" t="s">
        <v>5081</v>
      </c>
      <c r="E2187" t="s">
        <v>5082</v>
      </c>
      <c r="F2187" s="192" t="s">
        <v>789</v>
      </c>
      <c r="G2187" s="192" t="s">
        <v>790</v>
      </c>
      <c r="H2187" s="192" t="s">
        <v>790</v>
      </c>
      <c r="I2187" t="s">
        <v>3414</v>
      </c>
      <c r="J2187" t="s">
        <v>865</v>
      </c>
      <c r="K2187" t="s">
        <v>797</v>
      </c>
    </row>
    <row r="2188" spans="2:11" x14ac:dyDescent="0.25">
      <c r="B2188" s="191"/>
      <c r="C2188" s="191"/>
      <c r="D2188" s="192" t="s">
        <v>5083</v>
      </c>
      <c r="E2188" t="s">
        <v>5084</v>
      </c>
      <c r="F2188" s="192" t="s">
        <v>789</v>
      </c>
      <c r="G2188" s="192" t="s">
        <v>3623</v>
      </c>
      <c r="H2188" s="192" t="s">
        <v>3624</v>
      </c>
      <c r="I2188" t="s">
        <v>3414</v>
      </c>
      <c r="J2188" t="s">
        <v>865</v>
      </c>
      <c r="K2188" t="s">
        <v>797</v>
      </c>
    </row>
    <row r="2189" spans="2:11" x14ac:dyDescent="0.25">
      <c r="B2189" s="191"/>
      <c r="C2189" s="191"/>
      <c r="D2189" s="192" t="s">
        <v>5085</v>
      </c>
      <c r="E2189" t="s">
        <v>5086</v>
      </c>
      <c r="F2189" s="192" t="s">
        <v>789</v>
      </c>
      <c r="G2189" s="192" t="s">
        <v>3627</v>
      </c>
      <c r="H2189" s="192" t="s">
        <v>3624</v>
      </c>
      <c r="I2189" t="s">
        <v>3414</v>
      </c>
      <c r="J2189" t="s">
        <v>865</v>
      </c>
      <c r="K2189" t="s">
        <v>797</v>
      </c>
    </row>
    <row r="2190" spans="2:11" x14ac:dyDescent="0.25">
      <c r="B2190" s="191"/>
      <c r="C2190" s="191"/>
      <c r="D2190" s="192" t="s">
        <v>5087</v>
      </c>
      <c r="E2190" t="s">
        <v>5088</v>
      </c>
      <c r="F2190" s="192" t="s">
        <v>789</v>
      </c>
      <c r="G2190" s="192" t="s">
        <v>3630</v>
      </c>
      <c r="H2190" s="192" t="s">
        <v>3624</v>
      </c>
      <c r="I2190" t="s">
        <v>3414</v>
      </c>
      <c r="J2190" t="s">
        <v>865</v>
      </c>
      <c r="K2190" t="s">
        <v>797</v>
      </c>
    </row>
    <row r="2191" spans="2:11" x14ac:dyDescent="0.25">
      <c r="B2191" s="191"/>
      <c r="C2191" s="191" t="s">
        <v>5089</v>
      </c>
      <c r="D2191" s="192"/>
      <c r="E2191" s="185" t="s">
        <v>5090</v>
      </c>
      <c r="F2191" s="192" t="s">
        <v>789</v>
      </c>
      <c r="G2191" s="192" t="s">
        <v>790</v>
      </c>
      <c r="H2191" s="192" t="s">
        <v>790</v>
      </c>
      <c r="I2191" t="s">
        <v>3414</v>
      </c>
    </row>
    <row r="2192" spans="2:11" x14ac:dyDescent="0.25">
      <c r="B2192" s="191"/>
      <c r="C2192" s="191"/>
      <c r="D2192" s="192" t="s">
        <v>5091</v>
      </c>
      <c r="E2192" t="s">
        <v>5092</v>
      </c>
      <c r="F2192" s="192" t="s">
        <v>789</v>
      </c>
      <c r="G2192" s="192" t="s">
        <v>790</v>
      </c>
      <c r="H2192" s="192" t="s">
        <v>790</v>
      </c>
      <c r="I2192" t="s">
        <v>3414</v>
      </c>
      <c r="J2192" t="s">
        <v>865</v>
      </c>
      <c r="K2192" t="s">
        <v>797</v>
      </c>
    </row>
    <row r="2193" spans="2:11" x14ac:dyDescent="0.25">
      <c r="B2193" s="191"/>
      <c r="C2193" s="191"/>
      <c r="D2193" s="192" t="s">
        <v>5093</v>
      </c>
      <c r="E2193" t="s">
        <v>5094</v>
      </c>
      <c r="F2193" s="192" t="s">
        <v>789</v>
      </c>
      <c r="G2193" s="192" t="s">
        <v>790</v>
      </c>
      <c r="H2193" s="192" t="s">
        <v>790</v>
      </c>
      <c r="I2193" t="s">
        <v>3414</v>
      </c>
      <c r="J2193" t="s">
        <v>865</v>
      </c>
      <c r="K2193" t="s">
        <v>797</v>
      </c>
    </row>
    <row r="2194" spans="2:11" x14ac:dyDescent="0.25">
      <c r="B2194" s="191"/>
      <c r="C2194" s="191"/>
      <c r="D2194" s="192" t="s">
        <v>5095</v>
      </c>
      <c r="E2194" t="s">
        <v>5096</v>
      </c>
      <c r="F2194" s="192" t="s">
        <v>789</v>
      </c>
      <c r="G2194" s="192" t="s">
        <v>3623</v>
      </c>
      <c r="H2194" s="192" t="s">
        <v>3624</v>
      </c>
      <c r="I2194" t="s">
        <v>3414</v>
      </c>
      <c r="J2194" t="s">
        <v>865</v>
      </c>
      <c r="K2194" t="s">
        <v>797</v>
      </c>
    </row>
    <row r="2195" spans="2:11" x14ac:dyDescent="0.25">
      <c r="B2195" s="191"/>
      <c r="C2195" s="191"/>
      <c r="D2195" s="192" t="s">
        <v>5097</v>
      </c>
      <c r="E2195" t="s">
        <v>5098</v>
      </c>
      <c r="F2195" s="192" t="s">
        <v>789</v>
      </c>
      <c r="G2195" s="192" t="s">
        <v>3627</v>
      </c>
      <c r="H2195" s="192" t="s">
        <v>3624</v>
      </c>
      <c r="I2195" t="s">
        <v>3414</v>
      </c>
      <c r="J2195" t="s">
        <v>865</v>
      </c>
      <c r="K2195" t="s">
        <v>797</v>
      </c>
    </row>
    <row r="2196" spans="2:11" x14ac:dyDescent="0.25">
      <c r="B2196" s="191"/>
      <c r="C2196" s="191"/>
      <c r="D2196" s="192" t="s">
        <v>5099</v>
      </c>
      <c r="E2196" t="s">
        <v>5100</v>
      </c>
      <c r="F2196" s="192" t="s">
        <v>789</v>
      </c>
      <c r="G2196" s="192" t="s">
        <v>3630</v>
      </c>
      <c r="H2196" s="192" t="s">
        <v>3624</v>
      </c>
      <c r="I2196" t="s">
        <v>3414</v>
      </c>
      <c r="J2196" t="s">
        <v>865</v>
      </c>
      <c r="K2196" t="s">
        <v>797</v>
      </c>
    </row>
    <row r="2197" spans="2:11" x14ac:dyDescent="0.25">
      <c r="B2197" s="191"/>
      <c r="C2197" s="191" t="s">
        <v>5101</v>
      </c>
      <c r="D2197" s="192"/>
      <c r="E2197" s="185" t="s">
        <v>5102</v>
      </c>
      <c r="F2197" s="192" t="s">
        <v>789</v>
      </c>
      <c r="G2197" s="192" t="s">
        <v>790</v>
      </c>
      <c r="H2197" s="192" t="s">
        <v>790</v>
      </c>
      <c r="I2197" t="s">
        <v>3414</v>
      </c>
    </row>
    <row r="2198" spans="2:11" x14ac:dyDescent="0.25">
      <c r="B2198" s="191"/>
      <c r="C2198" s="191"/>
      <c r="D2198" s="192" t="s">
        <v>5103</v>
      </c>
      <c r="E2198" t="s">
        <v>5104</v>
      </c>
      <c r="F2198" s="192" t="s">
        <v>789</v>
      </c>
      <c r="G2198" s="192" t="s">
        <v>790</v>
      </c>
      <c r="H2198" s="192" t="s">
        <v>790</v>
      </c>
      <c r="I2198" t="s">
        <v>3414</v>
      </c>
      <c r="J2198" t="s">
        <v>865</v>
      </c>
      <c r="K2198" t="s">
        <v>797</v>
      </c>
    </row>
    <row r="2199" spans="2:11" x14ac:dyDescent="0.25">
      <c r="B2199" s="191"/>
      <c r="C2199" s="191"/>
      <c r="D2199" s="192" t="s">
        <v>5105</v>
      </c>
      <c r="E2199" t="s">
        <v>5106</v>
      </c>
      <c r="F2199" s="192" t="s">
        <v>789</v>
      </c>
      <c r="G2199" s="192" t="s">
        <v>790</v>
      </c>
      <c r="H2199" s="192" t="s">
        <v>790</v>
      </c>
      <c r="I2199" t="s">
        <v>3414</v>
      </c>
      <c r="J2199" t="s">
        <v>865</v>
      </c>
      <c r="K2199" t="s">
        <v>797</v>
      </c>
    </row>
    <row r="2200" spans="2:11" x14ac:dyDescent="0.25">
      <c r="B2200" s="191"/>
      <c r="C2200" s="191"/>
      <c r="D2200" s="192" t="s">
        <v>5107</v>
      </c>
      <c r="E2200" t="s">
        <v>5108</v>
      </c>
      <c r="F2200" s="192" t="s">
        <v>789</v>
      </c>
      <c r="G2200" s="192" t="s">
        <v>3623</v>
      </c>
      <c r="H2200" s="192" t="s">
        <v>3624</v>
      </c>
      <c r="I2200" t="s">
        <v>3414</v>
      </c>
      <c r="J2200" t="s">
        <v>865</v>
      </c>
      <c r="K2200" t="s">
        <v>797</v>
      </c>
    </row>
    <row r="2201" spans="2:11" x14ac:dyDescent="0.25">
      <c r="B2201" s="191"/>
      <c r="C2201" s="191"/>
      <c r="D2201" s="192" t="s">
        <v>5109</v>
      </c>
      <c r="E2201" t="s">
        <v>5110</v>
      </c>
      <c r="F2201" s="192" t="s">
        <v>789</v>
      </c>
      <c r="G2201" s="192" t="s">
        <v>3627</v>
      </c>
      <c r="H2201" s="192" t="s">
        <v>3624</v>
      </c>
      <c r="I2201" t="s">
        <v>3414</v>
      </c>
      <c r="J2201" t="s">
        <v>865</v>
      </c>
      <c r="K2201" t="s">
        <v>797</v>
      </c>
    </row>
    <row r="2202" spans="2:11" x14ac:dyDescent="0.25">
      <c r="B2202" s="191"/>
      <c r="C2202" s="191"/>
      <c r="D2202" s="192" t="s">
        <v>5111</v>
      </c>
      <c r="E2202" t="s">
        <v>5112</v>
      </c>
      <c r="F2202" s="192" t="s">
        <v>789</v>
      </c>
      <c r="G2202" s="192" t="s">
        <v>3630</v>
      </c>
      <c r="H2202" s="192" t="s">
        <v>3624</v>
      </c>
      <c r="I2202" t="s">
        <v>3414</v>
      </c>
      <c r="J2202" t="s">
        <v>865</v>
      </c>
      <c r="K2202" t="s">
        <v>797</v>
      </c>
    </row>
    <row r="2203" spans="2:11" x14ac:dyDescent="0.25">
      <c r="B2203" s="191"/>
      <c r="C2203" s="191" t="s">
        <v>5113</v>
      </c>
      <c r="D2203" s="192"/>
      <c r="E2203" s="185" t="s">
        <v>5114</v>
      </c>
      <c r="F2203" s="192" t="s">
        <v>789</v>
      </c>
      <c r="G2203" s="192" t="s">
        <v>790</v>
      </c>
      <c r="H2203" s="192" t="s">
        <v>790</v>
      </c>
      <c r="I2203" t="s">
        <v>3414</v>
      </c>
    </row>
    <row r="2204" spans="2:11" x14ac:dyDescent="0.25">
      <c r="B2204" s="191"/>
      <c r="C2204" s="191"/>
      <c r="D2204" s="192" t="s">
        <v>5115</v>
      </c>
      <c r="E2204" t="s">
        <v>5116</v>
      </c>
      <c r="F2204" s="192" t="s">
        <v>789</v>
      </c>
      <c r="G2204" s="192" t="s">
        <v>3675</v>
      </c>
      <c r="H2204" s="192" t="s">
        <v>3624</v>
      </c>
      <c r="I2204" t="s">
        <v>3414</v>
      </c>
      <c r="J2204" t="s">
        <v>865</v>
      </c>
      <c r="K2204" t="s">
        <v>797</v>
      </c>
    </row>
    <row r="2205" spans="2:11" x14ac:dyDescent="0.25">
      <c r="B2205" s="191"/>
      <c r="C2205" s="191"/>
      <c r="D2205" s="192" t="s">
        <v>5117</v>
      </c>
      <c r="E2205" t="s">
        <v>5118</v>
      </c>
      <c r="F2205" s="192" t="s">
        <v>789</v>
      </c>
      <c r="G2205" s="192" t="s">
        <v>790</v>
      </c>
      <c r="H2205" s="192" t="s">
        <v>790</v>
      </c>
      <c r="I2205" t="s">
        <v>3414</v>
      </c>
      <c r="J2205" t="s">
        <v>865</v>
      </c>
      <c r="K2205" t="s">
        <v>797</v>
      </c>
    </row>
    <row r="2206" spans="2:11" x14ac:dyDescent="0.25">
      <c r="B2206" s="191"/>
      <c r="C2206" s="191"/>
      <c r="D2206" s="192" t="s">
        <v>5119</v>
      </c>
      <c r="E2206" t="s">
        <v>5120</v>
      </c>
      <c r="F2206" s="192" t="s">
        <v>789</v>
      </c>
      <c r="G2206" s="192" t="s">
        <v>3623</v>
      </c>
      <c r="H2206" s="192" t="s">
        <v>3624</v>
      </c>
      <c r="I2206" t="s">
        <v>3414</v>
      </c>
      <c r="J2206" t="s">
        <v>865</v>
      </c>
      <c r="K2206" t="s">
        <v>797</v>
      </c>
    </row>
    <row r="2207" spans="2:11" x14ac:dyDescent="0.25">
      <c r="B2207" s="191"/>
      <c r="C2207" s="191"/>
      <c r="D2207" s="192" t="s">
        <v>5121</v>
      </c>
      <c r="E2207" t="s">
        <v>5122</v>
      </c>
      <c r="F2207" s="192" t="s">
        <v>789</v>
      </c>
      <c r="G2207" s="192" t="s">
        <v>3627</v>
      </c>
      <c r="H2207" s="192" t="s">
        <v>3624</v>
      </c>
      <c r="I2207" t="s">
        <v>3414</v>
      </c>
      <c r="J2207" t="s">
        <v>865</v>
      </c>
      <c r="K2207" t="s">
        <v>797</v>
      </c>
    </row>
    <row r="2208" spans="2:11" x14ac:dyDescent="0.25">
      <c r="B2208" s="191"/>
      <c r="C2208" s="191"/>
      <c r="D2208" s="192" t="s">
        <v>5123</v>
      </c>
      <c r="E2208" t="s">
        <v>5124</v>
      </c>
      <c r="F2208" s="192" t="s">
        <v>789</v>
      </c>
      <c r="G2208" s="192" t="s">
        <v>3630</v>
      </c>
      <c r="H2208" s="192" t="s">
        <v>3624</v>
      </c>
      <c r="I2208" t="s">
        <v>3414</v>
      </c>
      <c r="J2208" t="s">
        <v>865</v>
      </c>
      <c r="K2208" t="s">
        <v>797</v>
      </c>
    </row>
    <row r="2209" spans="2:11" x14ac:dyDescent="0.25">
      <c r="B2209" s="191"/>
      <c r="C2209" s="191" t="s">
        <v>5125</v>
      </c>
      <c r="D2209" s="192"/>
      <c r="E2209" s="185" t="s">
        <v>5126</v>
      </c>
      <c r="F2209" s="192" t="s">
        <v>789</v>
      </c>
      <c r="G2209" s="192" t="s">
        <v>790</v>
      </c>
      <c r="H2209" s="192" t="s">
        <v>790</v>
      </c>
      <c r="I2209" t="s">
        <v>3414</v>
      </c>
    </row>
    <row r="2210" spans="2:11" x14ac:dyDescent="0.25">
      <c r="B2210" s="191"/>
      <c r="C2210" s="191"/>
      <c r="D2210" s="192" t="s">
        <v>5127</v>
      </c>
      <c r="E2210" t="s">
        <v>5128</v>
      </c>
      <c r="F2210" s="192" t="s">
        <v>789</v>
      </c>
      <c r="G2210" s="192" t="s">
        <v>790</v>
      </c>
      <c r="H2210" s="192" t="s">
        <v>790</v>
      </c>
      <c r="I2210" t="s">
        <v>3414</v>
      </c>
      <c r="J2210" t="s">
        <v>865</v>
      </c>
      <c r="K2210" t="s">
        <v>797</v>
      </c>
    </row>
    <row r="2211" spans="2:11" x14ac:dyDescent="0.25">
      <c r="B2211" s="191"/>
      <c r="C2211" s="191"/>
      <c r="D2211" s="192" t="s">
        <v>5129</v>
      </c>
      <c r="E2211" t="s">
        <v>5130</v>
      </c>
      <c r="F2211" s="192" t="s">
        <v>789</v>
      </c>
      <c r="G2211" s="192" t="s">
        <v>790</v>
      </c>
      <c r="H2211" s="192" t="s">
        <v>790</v>
      </c>
      <c r="I2211" t="s">
        <v>3414</v>
      </c>
      <c r="J2211" t="s">
        <v>865</v>
      </c>
      <c r="K2211" t="s">
        <v>797</v>
      </c>
    </row>
    <row r="2212" spans="2:11" x14ac:dyDescent="0.25">
      <c r="B2212" s="191"/>
      <c r="C2212" s="191"/>
      <c r="D2212" s="192" t="s">
        <v>5131</v>
      </c>
      <c r="E2212" t="s">
        <v>5132</v>
      </c>
      <c r="F2212" s="192" t="s">
        <v>789</v>
      </c>
      <c r="G2212" s="192" t="s">
        <v>3623</v>
      </c>
      <c r="H2212" s="192" t="s">
        <v>3624</v>
      </c>
      <c r="I2212" t="s">
        <v>3414</v>
      </c>
      <c r="J2212" t="s">
        <v>865</v>
      </c>
      <c r="K2212" t="s">
        <v>797</v>
      </c>
    </row>
    <row r="2213" spans="2:11" x14ac:dyDescent="0.25">
      <c r="B2213" s="191"/>
      <c r="C2213" s="191"/>
      <c r="D2213" s="192" t="s">
        <v>5133</v>
      </c>
      <c r="E2213" t="s">
        <v>5134</v>
      </c>
      <c r="F2213" s="192" t="s">
        <v>789</v>
      </c>
      <c r="G2213" s="192" t="s">
        <v>3627</v>
      </c>
      <c r="H2213" s="192" t="s">
        <v>3624</v>
      </c>
      <c r="I2213" t="s">
        <v>3414</v>
      </c>
      <c r="J2213" t="s">
        <v>865</v>
      </c>
      <c r="K2213" t="s">
        <v>797</v>
      </c>
    </row>
    <row r="2214" spans="2:11" x14ac:dyDescent="0.25">
      <c r="B2214" s="191"/>
      <c r="C2214" s="191"/>
      <c r="D2214" s="192" t="s">
        <v>5135</v>
      </c>
      <c r="E2214" t="s">
        <v>5136</v>
      </c>
      <c r="F2214" s="192" t="s">
        <v>789</v>
      </c>
      <c r="G2214" s="192" t="s">
        <v>3630</v>
      </c>
      <c r="H2214" s="192" t="s">
        <v>3624</v>
      </c>
      <c r="I2214" t="s">
        <v>3414</v>
      </c>
      <c r="J2214" t="s">
        <v>865</v>
      </c>
      <c r="K2214" t="s">
        <v>797</v>
      </c>
    </row>
    <row r="2215" spans="2:11" x14ac:dyDescent="0.25">
      <c r="B2215" s="191"/>
      <c r="C2215" s="191" t="s">
        <v>5137</v>
      </c>
      <c r="D2215" s="192"/>
      <c r="E2215" s="185" t="s">
        <v>5138</v>
      </c>
      <c r="F2215" s="192" t="s">
        <v>789</v>
      </c>
      <c r="G2215" s="192" t="s">
        <v>790</v>
      </c>
      <c r="H2215" s="192" t="s">
        <v>790</v>
      </c>
      <c r="I2215" t="s">
        <v>3414</v>
      </c>
    </row>
    <row r="2216" spans="2:11" x14ac:dyDescent="0.25">
      <c r="B2216" s="191"/>
      <c r="C2216" s="191" t="s">
        <v>5139</v>
      </c>
      <c r="D2216" s="192"/>
      <c r="E2216" s="185" t="s">
        <v>5140</v>
      </c>
      <c r="F2216" s="192" t="s">
        <v>789</v>
      </c>
      <c r="G2216" s="192" t="s">
        <v>790</v>
      </c>
      <c r="H2216" s="192" t="s">
        <v>790</v>
      </c>
      <c r="I2216" t="s">
        <v>820</v>
      </c>
    </row>
    <row r="2217" spans="2:11" x14ac:dyDescent="0.25">
      <c r="B2217" s="191"/>
      <c r="C2217" s="191"/>
      <c r="D2217" s="192" t="s">
        <v>5141</v>
      </c>
      <c r="E2217" t="s">
        <v>5142</v>
      </c>
      <c r="F2217" s="192" t="s">
        <v>789</v>
      </c>
      <c r="G2217" s="192" t="s">
        <v>3675</v>
      </c>
      <c r="H2217" s="192" t="s">
        <v>3624</v>
      </c>
      <c r="I2217" t="s">
        <v>3414</v>
      </c>
      <c r="J2217" t="s">
        <v>865</v>
      </c>
      <c r="K2217" t="s">
        <v>797</v>
      </c>
    </row>
    <row r="2218" spans="2:11" x14ac:dyDescent="0.25">
      <c r="B2218" s="191"/>
      <c r="C2218" s="191"/>
      <c r="D2218" s="192" t="s">
        <v>5143</v>
      </c>
      <c r="E2218" t="s">
        <v>5144</v>
      </c>
      <c r="F2218" s="192" t="s">
        <v>789</v>
      </c>
      <c r="G2218" s="192" t="s">
        <v>3623</v>
      </c>
      <c r="H2218" s="192" t="s">
        <v>3624</v>
      </c>
      <c r="I2218" t="s">
        <v>3414</v>
      </c>
      <c r="J2218" t="s">
        <v>865</v>
      </c>
      <c r="K2218" t="s">
        <v>797</v>
      </c>
    </row>
    <row r="2219" spans="2:11" x14ac:dyDescent="0.25">
      <c r="B2219" s="191"/>
      <c r="C2219" s="191"/>
      <c r="D2219" s="192" t="s">
        <v>5145</v>
      </c>
      <c r="E2219" t="s">
        <v>5146</v>
      </c>
      <c r="F2219" s="192" t="s">
        <v>789</v>
      </c>
      <c r="G2219" s="192" t="s">
        <v>3627</v>
      </c>
      <c r="H2219" s="192" t="s">
        <v>3624</v>
      </c>
      <c r="I2219" t="s">
        <v>3414</v>
      </c>
      <c r="J2219" t="s">
        <v>865</v>
      </c>
      <c r="K2219" t="s">
        <v>797</v>
      </c>
    </row>
    <row r="2220" spans="2:11" x14ac:dyDescent="0.25">
      <c r="B2220" s="191"/>
      <c r="C2220" s="191"/>
      <c r="D2220" s="192" t="s">
        <v>5147</v>
      </c>
      <c r="E2220" t="s">
        <v>5148</v>
      </c>
      <c r="F2220" s="192" t="s">
        <v>789</v>
      </c>
      <c r="G2220" s="192" t="s">
        <v>3630</v>
      </c>
      <c r="H2220" s="192" t="s">
        <v>3624</v>
      </c>
      <c r="I2220" t="s">
        <v>3414</v>
      </c>
      <c r="J2220" t="s">
        <v>865</v>
      </c>
      <c r="K2220" t="s">
        <v>797</v>
      </c>
    </row>
    <row r="2221" spans="2:11" x14ac:dyDescent="0.25">
      <c r="B2221" s="191"/>
      <c r="C2221" s="191" t="s">
        <v>5149</v>
      </c>
      <c r="D2221" s="192"/>
      <c r="E2221" s="185" t="s">
        <v>5150</v>
      </c>
      <c r="F2221" s="192" t="s">
        <v>789</v>
      </c>
      <c r="G2221" s="192" t="s">
        <v>790</v>
      </c>
      <c r="H2221" s="192" t="s">
        <v>790</v>
      </c>
      <c r="I2221" t="s">
        <v>3414</v>
      </c>
    </row>
    <row r="2222" spans="2:11" x14ac:dyDescent="0.25">
      <c r="B2222" s="191"/>
      <c r="C2222" s="191"/>
      <c r="D2222" s="192" t="s">
        <v>5151</v>
      </c>
      <c r="E2222" t="s">
        <v>5152</v>
      </c>
      <c r="F2222" s="192" t="s">
        <v>789</v>
      </c>
      <c r="G2222" s="192" t="s">
        <v>3675</v>
      </c>
      <c r="H2222" s="192" t="s">
        <v>3624</v>
      </c>
      <c r="I2222" t="s">
        <v>3414</v>
      </c>
      <c r="J2222" t="s">
        <v>865</v>
      </c>
      <c r="K2222" t="s">
        <v>797</v>
      </c>
    </row>
    <row r="2223" spans="2:11" x14ac:dyDescent="0.25">
      <c r="B2223" s="191"/>
      <c r="C2223" s="191"/>
      <c r="D2223" s="192" t="s">
        <v>5153</v>
      </c>
      <c r="E2223" t="s">
        <v>5154</v>
      </c>
      <c r="F2223" s="192" t="s">
        <v>789</v>
      </c>
      <c r="G2223" s="192" t="s">
        <v>3623</v>
      </c>
      <c r="H2223" s="192" t="s">
        <v>3624</v>
      </c>
      <c r="I2223" t="s">
        <v>3414</v>
      </c>
      <c r="J2223" t="s">
        <v>865</v>
      </c>
      <c r="K2223" t="s">
        <v>797</v>
      </c>
    </row>
    <row r="2224" spans="2:11" x14ac:dyDescent="0.25">
      <c r="B2224" s="191"/>
      <c r="C2224" s="191"/>
      <c r="D2224" s="192" t="s">
        <v>5155</v>
      </c>
      <c r="E2224" t="s">
        <v>5156</v>
      </c>
      <c r="F2224" s="192" t="s">
        <v>789</v>
      </c>
      <c r="G2224" s="192" t="s">
        <v>3627</v>
      </c>
      <c r="H2224" s="192" t="s">
        <v>3624</v>
      </c>
      <c r="I2224" t="s">
        <v>3414</v>
      </c>
      <c r="J2224" t="s">
        <v>865</v>
      </c>
      <c r="K2224" t="s">
        <v>797</v>
      </c>
    </row>
    <row r="2225" spans="2:11" x14ac:dyDescent="0.25">
      <c r="B2225" s="191"/>
      <c r="C2225" s="191"/>
      <c r="D2225" s="192" t="s">
        <v>5157</v>
      </c>
      <c r="E2225" t="s">
        <v>5158</v>
      </c>
      <c r="F2225" s="192" t="s">
        <v>789</v>
      </c>
      <c r="G2225" s="192" t="s">
        <v>3630</v>
      </c>
      <c r="H2225" s="192" t="s">
        <v>3624</v>
      </c>
      <c r="I2225" t="s">
        <v>3414</v>
      </c>
      <c r="J2225" t="s">
        <v>865</v>
      </c>
      <c r="K2225" t="s">
        <v>797</v>
      </c>
    </row>
    <row r="2226" spans="2:11" x14ac:dyDescent="0.25">
      <c r="B2226" s="191"/>
      <c r="C2226" s="191" t="s">
        <v>5159</v>
      </c>
      <c r="D2226" s="192"/>
      <c r="E2226" s="185" t="s">
        <v>5160</v>
      </c>
      <c r="F2226" s="192" t="s">
        <v>789</v>
      </c>
      <c r="G2226" s="192" t="s">
        <v>790</v>
      </c>
      <c r="H2226" s="192" t="s">
        <v>790</v>
      </c>
      <c r="I2226" t="s">
        <v>3414</v>
      </c>
    </row>
    <row r="2227" spans="2:11" x14ac:dyDescent="0.25">
      <c r="B2227" s="191"/>
      <c r="C2227" s="191"/>
      <c r="D2227" s="192" t="s">
        <v>5161</v>
      </c>
      <c r="E2227" t="s">
        <v>5162</v>
      </c>
      <c r="F2227" s="192" t="s">
        <v>789</v>
      </c>
      <c r="G2227" s="192" t="s">
        <v>3675</v>
      </c>
      <c r="H2227" s="192" t="s">
        <v>3624</v>
      </c>
      <c r="I2227" t="s">
        <v>3414</v>
      </c>
      <c r="J2227" t="s">
        <v>865</v>
      </c>
      <c r="K2227" t="s">
        <v>797</v>
      </c>
    </row>
    <row r="2228" spans="2:11" x14ac:dyDescent="0.25">
      <c r="B2228" s="191"/>
      <c r="C2228" s="191"/>
      <c r="D2228" s="192" t="s">
        <v>5163</v>
      </c>
      <c r="E2228" t="s">
        <v>5164</v>
      </c>
      <c r="F2228" s="192" t="s">
        <v>789</v>
      </c>
      <c r="G2228" s="192" t="s">
        <v>3623</v>
      </c>
      <c r="H2228" s="192" t="s">
        <v>3624</v>
      </c>
      <c r="I2228" t="s">
        <v>3414</v>
      </c>
      <c r="J2228" t="s">
        <v>865</v>
      </c>
      <c r="K2228" t="s">
        <v>797</v>
      </c>
    </row>
    <row r="2229" spans="2:11" x14ac:dyDescent="0.25">
      <c r="B2229" s="191"/>
      <c r="C2229" s="191"/>
      <c r="D2229" s="192" t="s">
        <v>5165</v>
      </c>
      <c r="E2229" t="s">
        <v>5166</v>
      </c>
      <c r="F2229" s="192" t="s">
        <v>789</v>
      </c>
      <c r="G2229" s="192" t="s">
        <v>3627</v>
      </c>
      <c r="H2229" s="192" t="s">
        <v>3624</v>
      </c>
      <c r="I2229" t="s">
        <v>3414</v>
      </c>
      <c r="J2229" t="s">
        <v>865</v>
      </c>
      <c r="K2229" t="s">
        <v>797</v>
      </c>
    </row>
    <row r="2230" spans="2:11" x14ac:dyDescent="0.25">
      <c r="B2230" s="191"/>
      <c r="C2230" s="191"/>
      <c r="D2230" s="192" t="s">
        <v>5167</v>
      </c>
      <c r="E2230" t="s">
        <v>5168</v>
      </c>
      <c r="F2230" s="192" t="s">
        <v>789</v>
      </c>
      <c r="G2230" s="192" t="s">
        <v>3630</v>
      </c>
      <c r="H2230" s="192" t="s">
        <v>3624</v>
      </c>
      <c r="I2230" t="s">
        <v>3414</v>
      </c>
      <c r="J2230" t="s">
        <v>865</v>
      </c>
      <c r="K2230" t="s">
        <v>797</v>
      </c>
    </row>
    <row r="2231" spans="2:11" x14ac:dyDescent="0.25">
      <c r="B2231" s="191"/>
      <c r="C2231" s="191" t="s">
        <v>5169</v>
      </c>
      <c r="D2231" s="192"/>
      <c r="E2231" s="185" t="s">
        <v>5170</v>
      </c>
      <c r="F2231" s="192" t="s">
        <v>789</v>
      </c>
      <c r="G2231" s="192" t="s">
        <v>790</v>
      </c>
      <c r="H2231" s="192" t="s">
        <v>790</v>
      </c>
      <c r="I2231" t="s">
        <v>3414</v>
      </c>
    </row>
    <row r="2232" spans="2:11" x14ac:dyDescent="0.25">
      <c r="B2232" s="191"/>
      <c r="C2232" s="191"/>
      <c r="D2232" s="192" t="s">
        <v>5171</v>
      </c>
      <c r="E2232" t="s">
        <v>5172</v>
      </c>
      <c r="F2232" s="192" t="s">
        <v>789</v>
      </c>
      <c r="G2232" s="192" t="s">
        <v>3675</v>
      </c>
      <c r="H2232" s="192" t="s">
        <v>3624</v>
      </c>
      <c r="I2232" t="s">
        <v>3414</v>
      </c>
      <c r="J2232" t="s">
        <v>865</v>
      </c>
      <c r="K2232" t="s">
        <v>797</v>
      </c>
    </row>
    <row r="2233" spans="2:11" x14ac:dyDescent="0.25">
      <c r="B2233" s="191"/>
      <c r="C2233" s="191"/>
      <c r="D2233" s="192" t="s">
        <v>5173</v>
      </c>
      <c r="E2233" t="s">
        <v>5174</v>
      </c>
      <c r="F2233" s="192" t="s">
        <v>789</v>
      </c>
      <c r="G2233" s="192" t="s">
        <v>3623</v>
      </c>
      <c r="H2233" s="192" t="s">
        <v>3624</v>
      </c>
      <c r="I2233" t="s">
        <v>3414</v>
      </c>
      <c r="J2233" t="s">
        <v>865</v>
      </c>
      <c r="K2233" t="s">
        <v>797</v>
      </c>
    </row>
    <row r="2234" spans="2:11" x14ac:dyDescent="0.25">
      <c r="B2234" s="191"/>
      <c r="C2234" s="191"/>
      <c r="D2234" s="192" t="s">
        <v>5175</v>
      </c>
      <c r="E2234" t="s">
        <v>5176</v>
      </c>
      <c r="F2234" s="192" t="s">
        <v>789</v>
      </c>
      <c r="G2234" s="192" t="s">
        <v>3627</v>
      </c>
      <c r="H2234" s="192" t="s">
        <v>3624</v>
      </c>
      <c r="I2234" t="s">
        <v>3414</v>
      </c>
      <c r="J2234" t="s">
        <v>865</v>
      </c>
      <c r="K2234" t="s">
        <v>797</v>
      </c>
    </row>
    <row r="2235" spans="2:11" x14ac:dyDescent="0.25">
      <c r="B2235" s="191"/>
      <c r="C2235" s="191"/>
      <c r="D2235" s="192" t="s">
        <v>5177</v>
      </c>
      <c r="E2235" t="s">
        <v>5178</v>
      </c>
      <c r="F2235" s="192" t="s">
        <v>789</v>
      </c>
      <c r="G2235" s="192" t="s">
        <v>3630</v>
      </c>
      <c r="H2235" s="192" t="s">
        <v>3624</v>
      </c>
      <c r="I2235" t="s">
        <v>3414</v>
      </c>
      <c r="J2235" t="s">
        <v>865</v>
      </c>
      <c r="K2235" t="s">
        <v>797</v>
      </c>
    </row>
    <row r="2236" spans="2:11" x14ac:dyDescent="0.25">
      <c r="B2236" s="191"/>
      <c r="C2236" s="191" t="s">
        <v>5179</v>
      </c>
      <c r="D2236" s="192"/>
      <c r="E2236" s="185" t="s">
        <v>5180</v>
      </c>
      <c r="F2236" s="192" t="s">
        <v>789</v>
      </c>
      <c r="G2236" s="192" t="s">
        <v>790</v>
      </c>
      <c r="H2236" s="192" t="s">
        <v>790</v>
      </c>
      <c r="I2236" t="s">
        <v>3414</v>
      </c>
    </row>
    <row r="2237" spans="2:11" x14ac:dyDescent="0.25">
      <c r="B2237" s="191"/>
      <c r="C2237" s="191"/>
      <c r="D2237" s="192" t="s">
        <v>5181</v>
      </c>
      <c r="E2237" t="s">
        <v>5182</v>
      </c>
      <c r="F2237" s="192" t="s">
        <v>789</v>
      </c>
      <c r="G2237" s="192" t="s">
        <v>3675</v>
      </c>
      <c r="H2237" s="192" t="s">
        <v>3624</v>
      </c>
      <c r="I2237" t="s">
        <v>3414</v>
      </c>
      <c r="J2237" t="s">
        <v>865</v>
      </c>
      <c r="K2237" t="s">
        <v>797</v>
      </c>
    </row>
    <row r="2238" spans="2:11" x14ac:dyDescent="0.25">
      <c r="B2238" s="191"/>
      <c r="C2238" s="191"/>
      <c r="D2238" s="192" t="s">
        <v>5183</v>
      </c>
      <c r="E2238" t="s">
        <v>5184</v>
      </c>
      <c r="F2238" s="192" t="s">
        <v>789</v>
      </c>
      <c r="G2238" s="192" t="s">
        <v>3623</v>
      </c>
      <c r="H2238" s="192" t="s">
        <v>3624</v>
      </c>
      <c r="I2238" t="s">
        <v>3414</v>
      </c>
      <c r="J2238" t="s">
        <v>865</v>
      </c>
      <c r="K2238" t="s">
        <v>797</v>
      </c>
    </row>
    <row r="2239" spans="2:11" x14ac:dyDescent="0.25">
      <c r="B2239" s="191"/>
      <c r="C2239" s="191"/>
      <c r="D2239" s="192" t="s">
        <v>5185</v>
      </c>
      <c r="E2239" t="s">
        <v>5186</v>
      </c>
      <c r="F2239" s="192" t="s">
        <v>789</v>
      </c>
      <c r="G2239" s="192" t="s">
        <v>3627</v>
      </c>
      <c r="H2239" s="192" t="s">
        <v>3624</v>
      </c>
      <c r="I2239" t="s">
        <v>3414</v>
      </c>
      <c r="J2239" t="s">
        <v>865</v>
      </c>
      <c r="K2239" t="s">
        <v>797</v>
      </c>
    </row>
    <row r="2240" spans="2:11" x14ac:dyDescent="0.25">
      <c r="B2240" s="191"/>
      <c r="C2240" s="191"/>
      <c r="D2240" s="192" t="s">
        <v>5187</v>
      </c>
      <c r="E2240" t="s">
        <v>5188</v>
      </c>
      <c r="F2240" s="192" t="s">
        <v>789</v>
      </c>
      <c r="G2240" s="192" t="s">
        <v>3630</v>
      </c>
      <c r="H2240" s="192" t="s">
        <v>3624</v>
      </c>
      <c r="I2240" t="s">
        <v>3414</v>
      </c>
      <c r="J2240" t="s">
        <v>865</v>
      </c>
      <c r="K2240" t="s">
        <v>797</v>
      </c>
    </row>
    <row r="2241" spans="2:11" x14ac:dyDescent="0.25">
      <c r="B2241" s="191"/>
      <c r="C2241" s="191" t="s">
        <v>5189</v>
      </c>
      <c r="D2241" s="192"/>
      <c r="E2241" s="185" t="s">
        <v>5190</v>
      </c>
      <c r="F2241" s="192" t="s">
        <v>789</v>
      </c>
      <c r="G2241" s="192" t="s">
        <v>790</v>
      </c>
      <c r="H2241" s="192" t="s">
        <v>790</v>
      </c>
      <c r="I2241" t="s">
        <v>3414</v>
      </c>
    </row>
    <row r="2242" spans="2:11" x14ac:dyDescent="0.25">
      <c r="B2242" s="191"/>
      <c r="C2242" s="191"/>
      <c r="D2242" s="192" t="s">
        <v>5191</v>
      </c>
      <c r="E2242" t="s">
        <v>5192</v>
      </c>
      <c r="F2242" s="192" t="s">
        <v>789</v>
      </c>
      <c r="G2242" s="192" t="s">
        <v>3675</v>
      </c>
      <c r="H2242" s="192" t="s">
        <v>3624</v>
      </c>
      <c r="I2242" t="s">
        <v>3414</v>
      </c>
      <c r="J2242" t="s">
        <v>865</v>
      </c>
      <c r="K2242" t="s">
        <v>797</v>
      </c>
    </row>
    <row r="2243" spans="2:11" x14ac:dyDescent="0.25">
      <c r="B2243" s="191"/>
      <c r="C2243" s="191"/>
      <c r="D2243" s="192" t="s">
        <v>5193</v>
      </c>
      <c r="E2243" t="s">
        <v>5194</v>
      </c>
      <c r="F2243" s="192" t="s">
        <v>789</v>
      </c>
      <c r="G2243" s="192" t="s">
        <v>3623</v>
      </c>
      <c r="H2243" s="192" t="s">
        <v>3624</v>
      </c>
      <c r="I2243" t="s">
        <v>3414</v>
      </c>
      <c r="J2243" t="s">
        <v>865</v>
      </c>
      <c r="K2243" t="s">
        <v>797</v>
      </c>
    </row>
    <row r="2244" spans="2:11" x14ac:dyDescent="0.25">
      <c r="B2244" s="191"/>
      <c r="C2244" s="191"/>
      <c r="D2244" s="192" t="s">
        <v>5195</v>
      </c>
      <c r="E2244" t="s">
        <v>5196</v>
      </c>
      <c r="F2244" s="192" t="s">
        <v>789</v>
      </c>
      <c r="G2244" s="192" t="s">
        <v>3627</v>
      </c>
      <c r="H2244" s="192" t="s">
        <v>3624</v>
      </c>
      <c r="I2244" t="s">
        <v>3414</v>
      </c>
      <c r="J2244" t="s">
        <v>865</v>
      </c>
      <c r="K2244" t="s">
        <v>797</v>
      </c>
    </row>
    <row r="2245" spans="2:11" x14ac:dyDescent="0.25">
      <c r="B2245" s="191"/>
      <c r="C2245" s="191"/>
      <c r="D2245" s="192" t="s">
        <v>5197</v>
      </c>
      <c r="E2245" t="s">
        <v>5198</v>
      </c>
      <c r="F2245" s="192" t="s">
        <v>789</v>
      </c>
      <c r="G2245" s="192" t="s">
        <v>3630</v>
      </c>
      <c r="H2245" s="192" t="s">
        <v>3624</v>
      </c>
      <c r="I2245" t="s">
        <v>3414</v>
      </c>
      <c r="J2245" t="s">
        <v>865</v>
      </c>
      <c r="K2245" t="s">
        <v>797</v>
      </c>
    </row>
    <row r="2246" spans="2:11" x14ac:dyDescent="0.25">
      <c r="B2246" s="191"/>
      <c r="C2246" s="191" t="s">
        <v>5199</v>
      </c>
      <c r="D2246" s="192"/>
      <c r="E2246" s="185" t="s">
        <v>5200</v>
      </c>
      <c r="F2246" s="192" t="s">
        <v>789</v>
      </c>
      <c r="G2246" s="192" t="s">
        <v>790</v>
      </c>
      <c r="H2246" s="192" t="s">
        <v>790</v>
      </c>
      <c r="I2246" t="s">
        <v>3414</v>
      </c>
    </row>
    <row r="2247" spans="2:11" x14ac:dyDescent="0.25">
      <c r="B2247" s="191"/>
      <c r="C2247" s="191"/>
      <c r="D2247" s="192" t="s">
        <v>5201</v>
      </c>
      <c r="E2247" t="s">
        <v>5202</v>
      </c>
      <c r="F2247" s="192" t="s">
        <v>789</v>
      </c>
      <c r="G2247" s="192" t="s">
        <v>3675</v>
      </c>
      <c r="H2247" s="192" t="s">
        <v>3624</v>
      </c>
      <c r="I2247" t="s">
        <v>3414</v>
      </c>
      <c r="J2247" t="s">
        <v>865</v>
      </c>
      <c r="K2247" t="s">
        <v>797</v>
      </c>
    </row>
    <row r="2248" spans="2:11" x14ac:dyDescent="0.25">
      <c r="B2248" s="191"/>
      <c r="C2248" s="191"/>
      <c r="D2248" s="192" t="s">
        <v>5203</v>
      </c>
      <c r="E2248" t="s">
        <v>5204</v>
      </c>
      <c r="F2248" s="192" t="s">
        <v>789</v>
      </c>
      <c r="G2248" s="192" t="s">
        <v>3623</v>
      </c>
      <c r="H2248" s="192" t="s">
        <v>3624</v>
      </c>
      <c r="I2248" t="s">
        <v>3414</v>
      </c>
      <c r="J2248" t="s">
        <v>865</v>
      </c>
      <c r="K2248" t="s">
        <v>797</v>
      </c>
    </row>
    <row r="2249" spans="2:11" x14ac:dyDescent="0.25">
      <c r="B2249" s="191"/>
      <c r="C2249" s="191"/>
      <c r="D2249" s="192" t="s">
        <v>5205</v>
      </c>
      <c r="E2249" t="s">
        <v>5206</v>
      </c>
      <c r="F2249" s="192" t="s">
        <v>789</v>
      </c>
      <c r="G2249" s="192" t="s">
        <v>3627</v>
      </c>
      <c r="H2249" s="192" t="s">
        <v>3624</v>
      </c>
      <c r="I2249" t="s">
        <v>3414</v>
      </c>
      <c r="J2249" t="s">
        <v>865</v>
      </c>
      <c r="K2249" t="s">
        <v>797</v>
      </c>
    </row>
    <row r="2250" spans="2:11" x14ac:dyDescent="0.25">
      <c r="B2250" s="191"/>
      <c r="C2250" s="191"/>
      <c r="D2250" s="192" t="s">
        <v>5207</v>
      </c>
      <c r="E2250" t="s">
        <v>5208</v>
      </c>
      <c r="F2250" s="192" t="s">
        <v>789</v>
      </c>
      <c r="G2250" s="192" t="s">
        <v>3630</v>
      </c>
      <c r="H2250" s="192" t="s">
        <v>3624</v>
      </c>
      <c r="I2250" t="s">
        <v>3414</v>
      </c>
      <c r="J2250" t="s">
        <v>865</v>
      </c>
      <c r="K2250" t="s">
        <v>797</v>
      </c>
    </row>
    <row r="2251" spans="2:11" x14ac:dyDescent="0.25">
      <c r="B2251" s="191"/>
      <c r="C2251" s="191" t="s">
        <v>5209</v>
      </c>
      <c r="D2251" s="192"/>
      <c r="E2251" s="185" t="s">
        <v>5210</v>
      </c>
      <c r="F2251" s="192" t="s">
        <v>789</v>
      </c>
      <c r="G2251" s="192" t="s">
        <v>790</v>
      </c>
      <c r="H2251" s="192" t="s">
        <v>790</v>
      </c>
      <c r="I2251" t="s">
        <v>3414</v>
      </c>
    </row>
    <row r="2252" spans="2:11" x14ac:dyDescent="0.25">
      <c r="B2252" s="191"/>
      <c r="C2252" s="191" t="s">
        <v>5211</v>
      </c>
      <c r="D2252" s="192"/>
      <c r="E2252" s="185" t="s">
        <v>5212</v>
      </c>
      <c r="F2252" s="192" t="s">
        <v>789</v>
      </c>
      <c r="G2252" s="192" t="s">
        <v>790</v>
      </c>
      <c r="H2252" s="192" t="s">
        <v>790</v>
      </c>
      <c r="I2252" t="s">
        <v>3414</v>
      </c>
    </row>
    <row r="2253" spans="2:11" x14ac:dyDescent="0.25">
      <c r="B2253" s="191"/>
      <c r="C2253" s="191"/>
      <c r="D2253" s="192" t="s">
        <v>5213</v>
      </c>
      <c r="E2253" t="s">
        <v>5214</v>
      </c>
      <c r="F2253" s="192" t="s">
        <v>789</v>
      </c>
      <c r="G2253" s="192" t="s">
        <v>3675</v>
      </c>
      <c r="H2253" s="192" t="s">
        <v>3624</v>
      </c>
      <c r="I2253" t="s">
        <v>3414</v>
      </c>
      <c r="J2253" t="s">
        <v>865</v>
      </c>
      <c r="K2253" t="s">
        <v>797</v>
      </c>
    </row>
    <row r="2254" spans="2:11" x14ac:dyDescent="0.25">
      <c r="B2254" s="191"/>
      <c r="C2254" s="191"/>
      <c r="D2254" s="192" t="s">
        <v>5215</v>
      </c>
      <c r="E2254" t="s">
        <v>5216</v>
      </c>
      <c r="F2254" s="192" t="s">
        <v>789</v>
      </c>
      <c r="G2254" s="192" t="s">
        <v>3623</v>
      </c>
      <c r="H2254" s="192" t="s">
        <v>3624</v>
      </c>
      <c r="I2254" t="s">
        <v>3414</v>
      </c>
      <c r="J2254" t="s">
        <v>865</v>
      </c>
      <c r="K2254" t="s">
        <v>797</v>
      </c>
    </row>
    <row r="2255" spans="2:11" x14ac:dyDescent="0.25">
      <c r="B2255" s="191"/>
      <c r="C2255" s="191"/>
      <c r="D2255" s="192" t="s">
        <v>5217</v>
      </c>
      <c r="E2255" t="s">
        <v>5218</v>
      </c>
      <c r="F2255" s="192" t="s">
        <v>789</v>
      </c>
      <c r="G2255" s="192" t="s">
        <v>3627</v>
      </c>
      <c r="H2255" s="192" t="s">
        <v>3624</v>
      </c>
      <c r="I2255" t="s">
        <v>3414</v>
      </c>
      <c r="J2255" t="s">
        <v>865</v>
      </c>
      <c r="K2255" t="s">
        <v>797</v>
      </c>
    </row>
    <row r="2256" spans="2:11" x14ac:dyDescent="0.25">
      <c r="B2256" s="191"/>
      <c r="C2256" s="191"/>
      <c r="D2256" s="192" t="s">
        <v>5219</v>
      </c>
      <c r="E2256" t="s">
        <v>5220</v>
      </c>
      <c r="F2256" s="192" t="s">
        <v>789</v>
      </c>
      <c r="G2256" s="192" t="s">
        <v>3630</v>
      </c>
      <c r="H2256" s="192" t="s">
        <v>3624</v>
      </c>
      <c r="I2256" t="s">
        <v>3414</v>
      </c>
      <c r="J2256" t="s">
        <v>865</v>
      </c>
      <c r="K2256" t="s">
        <v>797</v>
      </c>
    </row>
    <row r="2257" spans="2:11" x14ac:dyDescent="0.25">
      <c r="B2257" s="191"/>
      <c r="C2257" s="191" t="s">
        <v>5221</v>
      </c>
      <c r="D2257" s="192"/>
      <c r="E2257" s="185" t="s">
        <v>5222</v>
      </c>
      <c r="F2257" s="192" t="s">
        <v>789</v>
      </c>
      <c r="G2257" s="192" t="s">
        <v>790</v>
      </c>
      <c r="H2257" s="192" t="s">
        <v>790</v>
      </c>
      <c r="I2257" t="s">
        <v>3414</v>
      </c>
    </row>
    <row r="2258" spans="2:11" x14ac:dyDescent="0.25">
      <c r="B2258" s="191"/>
      <c r="C2258" s="191"/>
      <c r="D2258" s="192" t="s">
        <v>5223</v>
      </c>
      <c r="E2258" t="s">
        <v>5224</v>
      </c>
      <c r="F2258" s="192" t="s">
        <v>789</v>
      </c>
      <c r="G2258" s="192" t="s">
        <v>3675</v>
      </c>
      <c r="H2258" s="192" t="s">
        <v>3624</v>
      </c>
      <c r="I2258" t="s">
        <v>3414</v>
      </c>
      <c r="J2258" t="s">
        <v>865</v>
      </c>
      <c r="K2258" t="s">
        <v>797</v>
      </c>
    </row>
    <row r="2259" spans="2:11" x14ac:dyDescent="0.25">
      <c r="B2259" s="191"/>
      <c r="C2259" s="191"/>
      <c r="D2259" s="192" t="s">
        <v>5225</v>
      </c>
      <c r="E2259" t="s">
        <v>5226</v>
      </c>
      <c r="F2259" s="192" t="s">
        <v>789</v>
      </c>
      <c r="G2259" s="192" t="s">
        <v>3623</v>
      </c>
      <c r="H2259" s="192" t="s">
        <v>3624</v>
      </c>
      <c r="I2259" t="s">
        <v>3414</v>
      </c>
      <c r="J2259" t="s">
        <v>865</v>
      </c>
      <c r="K2259" t="s">
        <v>797</v>
      </c>
    </row>
    <row r="2260" spans="2:11" x14ac:dyDescent="0.25">
      <c r="B2260" s="191"/>
      <c r="C2260" s="191"/>
      <c r="D2260" s="192" t="s">
        <v>5227</v>
      </c>
      <c r="E2260" t="s">
        <v>5228</v>
      </c>
      <c r="F2260" s="192" t="s">
        <v>789</v>
      </c>
      <c r="G2260" s="192" t="s">
        <v>3627</v>
      </c>
      <c r="H2260" s="192" t="s">
        <v>3624</v>
      </c>
      <c r="I2260" t="s">
        <v>3414</v>
      </c>
      <c r="J2260" t="s">
        <v>865</v>
      </c>
      <c r="K2260" t="s">
        <v>797</v>
      </c>
    </row>
    <row r="2261" spans="2:11" x14ac:dyDescent="0.25">
      <c r="B2261" s="191"/>
      <c r="C2261" s="191"/>
      <c r="D2261" s="192" t="s">
        <v>5229</v>
      </c>
      <c r="E2261" t="s">
        <v>5230</v>
      </c>
      <c r="F2261" s="192" t="s">
        <v>789</v>
      </c>
      <c r="G2261" s="192" t="s">
        <v>3630</v>
      </c>
      <c r="H2261" s="192" t="s">
        <v>3624</v>
      </c>
      <c r="I2261" t="s">
        <v>3414</v>
      </c>
      <c r="J2261" t="s">
        <v>865</v>
      </c>
      <c r="K2261" t="s">
        <v>797</v>
      </c>
    </row>
    <row r="2262" spans="2:11" x14ac:dyDescent="0.25">
      <c r="B2262" s="191"/>
      <c r="C2262" s="191" t="s">
        <v>5231</v>
      </c>
      <c r="D2262" s="192"/>
      <c r="E2262" s="185" t="s">
        <v>5232</v>
      </c>
      <c r="F2262" s="192" t="s">
        <v>789</v>
      </c>
      <c r="G2262" s="192" t="s">
        <v>790</v>
      </c>
      <c r="H2262" s="192" t="s">
        <v>790</v>
      </c>
      <c r="I2262" t="s">
        <v>3414</v>
      </c>
    </row>
    <row r="2263" spans="2:11" x14ac:dyDescent="0.25">
      <c r="B2263" s="191"/>
      <c r="C2263" s="191"/>
      <c r="D2263" s="192" t="s">
        <v>5233</v>
      </c>
      <c r="E2263" t="s">
        <v>5234</v>
      </c>
      <c r="F2263" s="192" t="s">
        <v>789</v>
      </c>
      <c r="G2263" s="192" t="s">
        <v>3675</v>
      </c>
      <c r="H2263" s="192" t="s">
        <v>3624</v>
      </c>
      <c r="I2263" t="s">
        <v>3414</v>
      </c>
      <c r="J2263" t="s">
        <v>865</v>
      </c>
      <c r="K2263" t="s">
        <v>797</v>
      </c>
    </row>
    <row r="2264" spans="2:11" x14ac:dyDescent="0.25">
      <c r="B2264" s="191"/>
      <c r="C2264" s="191"/>
      <c r="D2264" s="192" t="s">
        <v>5235</v>
      </c>
      <c r="E2264" t="s">
        <v>5236</v>
      </c>
      <c r="F2264" s="192" t="s">
        <v>789</v>
      </c>
      <c r="G2264" s="192" t="s">
        <v>3623</v>
      </c>
      <c r="H2264" s="192" t="s">
        <v>3624</v>
      </c>
      <c r="I2264" t="s">
        <v>3414</v>
      </c>
      <c r="J2264" t="s">
        <v>865</v>
      </c>
      <c r="K2264" t="s">
        <v>797</v>
      </c>
    </row>
    <row r="2265" spans="2:11" x14ac:dyDescent="0.25">
      <c r="B2265" s="191"/>
      <c r="C2265" s="191"/>
      <c r="D2265" s="192" t="s">
        <v>5237</v>
      </c>
      <c r="E2265" t="s">
        <v>5238</v>
      </c>
      <c r="F2265" s="192" t="s">
        <v>789</v>
      </c>
      <c r="G2265" s="192" t="s">
        <v>3627</v>
      </c>
      <c r="H2265" s="192" t="s">
        <v>3624</v>
      </c>
      <c r="I2265" t="s">
        <v>3414</v>
      </c>
      <c r="J2265" t="s">
        <v>865</v>
      </c>
      <c r="K2265" t="s">
        <v>797</v>
      </c>
    </row>
    <row r="2266" spans="2:11" x14ac:dyDescent="0.25">
      <c r="B2266" s="191"/>
      <c r="C2266" s="191"/>
      <c r="D2266" s="192" t="s">
        <v>5239</v>
      </c>
      <c r="E2266" t="s">
        <v>5240</v>
      </c>
      <c r="F2266" s="192" t="s">
        <v>789</v>
      </c>
      <c r="G2266" s="192" t="s">
        <v>3630</v>
      </c>
      <c r="H2266" s="192" t="s">
        <v>3624</v>
      </c>
      <c r="I2266" t="s">
        <v>3414</v>
      </c>
      <c r="J2266" t="s">
        <v>865</v>
      </c>
      <c r="K2266" t="s">
        <v>797</v>
      </c>
    </row>
    <row r="2267" spans="2:11" x14ac:dyDescent="0.25">
      <c r="B2267" s="191"/>
      <c r="C2267" s="191" t="s">
        <v>5241</v>
      </c>
      <c r="D2267" s="192"/>
      <c r="E2267" s="185" t="s">
        <v>5242</v>
      </c>
      <c r="F2267" s="192" t="s">
        <v>789</v>
      </c>
      <c r="G2267" s="192" t="s">
        <v>790</v>
      </c>
      <c r="H2267" s="192" t="s">
        <v>790</v>
      </c>
      <c r="I2267" t="s">
        <v>3414</v>
      </c>
    </row>
    <row r="2268" spans="2:11" x14ac:dyDescent="0.25">
      <c r="B2268" s="191"/>
      <c r="C2268" s="191" t="s">
        <v>5243</v>
      </c>
      <c r="D2268" s="192"/>
      <c r="E2268" s="185" t="s">
        <v>5244</v>
      </c>
      <c r="F2268" s="192" t="s">
        <v>789</v>
      </c>
      <c r="G2268" s="192" t="s">
        <v>790</v>
      </c>
      <c r="H2268" s="192" t="s">
        <v>790</v>
      </c>
      <c r="I2268" t="s">
        <v>3414</v>
      </c>
    </row>
    <row r="2269" spans="2:11" x14ac:dyDescent="0.25">
      <c r="B2269" s="191"/>
      <c r="C2269" s="191" t="s">
        <v>5245</v>
      </c>
      <c r="D2269" s="192"/>
      <c r="E2269" s="185" t="s">
        <v>5246</v>
      </c>
      <c r="F2269" s="192" t="s">
        <v>789</v>
      </c>
      <c r="G2269" s="192" t="s">
        <v>790</v>
      </c>
      <c r="H2269" s="192" t="s">
        <v>790</v>
      </c>
      <c r="I2269" t="s">
        <v>3414</v>
      </c>
    </row>
    <row r="2270" spans="2:11" x14ac:dyDescent="0.25">
      <c r="B2270" s="191"/>
      <c r="C2270" s="191"/>
      <c r="D2270" s="192" t="s">
        <v>5247</v>
      </c>
      <c r="E2270" t="s">
        <v>5248</v>
      </c>
      <c r="F2270" s="192" t="s">
        <v>789</v>
      </c>
      <c r="G2270" s="192" t="s">
        <v>3675</v>
      </c>
      <c r="H2270" s="192" t="s">
        <v>3624</v>
      </c>
      <c r="I2270" t="s">
        <v>3414</v>
      </c>
      <c r="J2270" t="s">
        <v>865</v>
      </c>
      <c r="K2270" t="s">
        <v>797</v>
      </c>
    </row>
    <row r="2271" spans="2:11" x14ac:dyDescent="0.25">
      <c r="B2271" s="191"/>
      <c r="C2271" s="191"/>
      <c r="D2271" s="192" t="s">
        <v>5249</v>
      </c>
      <c r="E2271" t="s">
        <v>5250</v>
      </c>
      <c r="F2271" s="192" t="s">
        <v>789</v>
      </c>
      <c r="G2271" s="192" t="s">
        <v>3623</v>
      </c>
      <c r="H2271" s="192" t="s">
        <v>3624</v>
      </c>
      <c r="I2271" t="s">
        <v>3414</v>
      </c>
      <c r="J2271" t="s">
        <v>865</v>
      </c>
      <c r="K2271" t="s">
        <v>797</v>
      </c>
    </row>
    <row r="2272" spans="2:11" x14ac:dyDescent="0.25">
      <c r="B2272" s="191"/>
      <c r="C2272" s="191"/>
      <c r="D2272" s="192" t="s">
        <v>5251</v>
      </c>
      <c r="E2272" t="s">
        <v>5252</v>
      </c>
      <c r="F2272" s="192" t="s">
        <v>789</v>
      </c>
      <c r="G2272" s="192" t="s">
        <v>3627</v>
      </c>
      <c r="H2272" s="192" t="s">
        <v>3624</v>
      </c>
      <c r="I2272" t="s">
        <v>3414</v>
      </c>
      <c r="J2272" t="s">
        <v>865</v>
      </c>
      <c r="K2272" t="s">
        <v>797</v>
      </c>
    </row>
    <row r="2273" spans="2:11" x14ac:dyDescent="0.25">
      <c r="B2273" s="191"/>
      <c r="C2273" s="191"/>
      <c r="D2273" s="192" t="s">
        <v>5253</v>
      </c>
      <c r="E2273" t="s">
        <v>5254</v>
      </c>
      <c r="F2273" s="192" t="s">
        <v>789</v>
      </c>
      <c r="G2273" s="192" t="s">
        <v>3630</v>
      </c>
      <c r="H2273" s="192" t="s">
        <v>3624</v>
      </c>
      <c r="I2273" t="s">
        <v>3414</v>
      </c>
      <c r="J2273" t="s">
        <v>865</v>
      </c>
      <c r="K2273" t="s">
        <v>797</v>
      </c>
    </row>
    <row r="2274" spans="2:11" x14ac:dyDescent="0.25">
      <c r="B2274" s="191"/>
      <c r="C2274" s="191" t="s">
        <v>5255</v>
      </c>
      <c r="D2274" s="192"/>
      <c r="E2274" s="185" t="s">
        <v>5256</v>
      </c>
      <c r="F2274" s="192" t="s">
        <v>789</v>
      </c>
      <c r="G2274" s="192" t="s">
        <v>790</v>
      </c>
      <c r="H2274" s="192" t="s">
        <v>790</v>
      </c>
      <c r="I2274" t="s">
        <v>3414</v>
      </c>
    </row>
    <row r="2275" spans="2:11" x14ac:dyDescent="0.25">
      <c r="B2275" s="191"/>
      <c r="C2275" s="191"/>
      <c r="D2275" s="192" t="s">
        <v>5257</v>
      </c>
      <c r="E2275" t="s">
        <v>5258</v>
      </c>
      <c r="F2275" s="192" t="s">
        <v>789</v>
      </c>
      <c r="G2275" s="192" t="s">
        <v>3675</v>
      </c>
      <c r="H2275" s="192" t="s">
        <v>3624</v>
      </c>
      <c r="I2275" t="s">
        <v>3414</v>
      </c>
      <c r="J2275" t="s">
        <v>865</v>
      </c>
      <c r="K2275" t="s">
        <v>797</v>
      </c>
    </row>
    <row r="2276" spans="2:11" x14ac:dyDescent="0.25">
      <c r="B2276" s="191"/>
      <c r="C2276" s="191"/>
      <c r="D2276" s="192" t="s">
        <v>5259</v>
      </c>
      <c r="E2276" t="s">
        <v>5260</v>
      </c>
      <c r="F2276" s="192" t="s">
        <v>789</v>
      </c>
      <c r="G2276" s="192" t="s">
        <v>3623</v>
      </c>
      <c r="H2276" s="192" t="s">
        <v>3624</v>
      </c>
      <c r="I2276" t="s">
        <v>3414</v>
      </c>
      <c r="J2276" t="s">
        <v>865</v>
      </c>
      <c r="K2276" t="s">
        <v>797</v>
      </c>
    </row>
    <row r="2277" spans="2:11" x14ac:dyDescent="0.25">
      <c r="B2277" s="191"/>
      <c r="C2277" s="191"/>
      <c r="D2277" s="192" t="s">
        <v>5261</v>
      </c>
      <c r="E2277" t="s">
        <v>5262</v>
      </c>
      <c r="F2277" s="192" t="s">
        <v>789</v>
      </c>
      <c r="G2277" s="192" t="s">
        <v>3627</v>
      </c>
      <c r="H2277" s="192" t="s">
        <v>3624</v>
      </c>
      <c r="I2277" t="s">
        <v>3414</v>
      </c>
      <c r="J2277" t="s">
        <v>865</v>
      </c>
      <c r="K2277" t="s">
        <v>797</v>
      </c>
    </row>
    <row r="2278" spans="2:11" x14ac:dyDescent="0.25">
      <c r="B2278" s="191"/>
      <c r="C2278" s="191"/>
      <c r="D2278" s="192" t="s">
        <v>5263</v>
      </c>
      <c r="E2278" t="s">
        <v>5264</v>
      </c>
      <c r="F2278" s="192" t="s">
        <v>789</v>
      </c>
      <c r="G2278" s="192" t="s">
        <v>3630</v>
      </c>
      <c r="H2278" s="192" t="s">
        <v>3624</v>
      </c>
      <c r="I2278" t="s">
        <v>3414</v>
      </c>
      <c r="J2278" t="s">
        <v>865</v>
      </c>
      <c r="K2278" t="s">
        <v>797</v>
      </c>
    </row>
    <row r="2279" spans="2:11" x14ac:dyDescent="0.25">
      <c r="B2279" s="191"/>
      <c r="C2279" s="191" t="s">
        <v>5265</v>
      </c>
      <c r="D2279" s="192"/>
      <c r="E2279" s="185" t="s">
        <v>5266</v>
      </c>
      <c r="F2279" s="192" t="s">
        <v>789</v>
      </c>
      <c r="G2279" s="192" t="s">
        <v>790</v>
      </c>
      <c r="H2279" s="192" t="s">
        <v>790</v>
      </c>
      <c r="I2279" t="s">
        <v>3414</v>
      </c>
    </row>
    <row r="2280" spans="2:11" x14ac:dyDescent="0.25">
      <c r="B2280" s="191"/>
      <c r="C2280" s="191" t="s">
        <v>5267</v>
      </c>
      <c r="D2280" s="192"/>
      <c r="E2280" s="185" t="s">
        <v>5268</v>
      </c>
      <c r="F2280" s="192" t="s">
        <v>789</v>
      </c>
      <c r="G2280" s="192" t="s">
        <v>790</v>
      </c>
      <c r="H2280" s="192" t="s">
        <v>790</v>
      </c>
      <c r="I2280" t="s">
        <v>3414</v>
      </c>
    </row>
    <row r="2281" spans="2:11" x14ac:dyDescent="0.25">
      <c r="B2281" s="191"/>
      <c r="C2281" s="191"/>
      <c r="D2281" s="192" t="s">
        <v>5269</v>
      </c>
      <c r="E2281" t="s">
        <v>5270</v>
      </c>
      <c r="F2281" s="192" t="s">
        <v>789</v>
      </c>
      <c r="G2281" s="192" t="s">
        <v>3675</v>
      </c>
      <c r="H2281" s="192" t="s">
        <v>3624</v>
      </c>
      <c r="I2281" t="s">
        <v>3414</v>
      </c>
      <c r="J2281" t="s">
        <v>865</v>
      </c>
      <c r="K2281" t="s">
        <v>797</v>
      </c>
    </row>
    <row r="2282" spans="2:11" x14ac:dyDescent="0.25">
      <c r="B2282" s="191"/>
      <c r="C2282" s="191"/>
      <c r="D2282" s="192" t="s">
        <v>5271</v>
      </c>
      <c r="E2282" t="s">
        <v>5272</v>
      </c>
      <c r="F2282" s="192" t="s">
        <v>789</v>
      </c>
      <c r="G2282" s="192" t="s">
        <v>3623</v>
      </c>
      <c r="H2282" s="192" t="s">
        <v>3624</v>
      </c>
      <c r="I2282" t="s">
        <v>3414</v>
      </c>
      <c r="J2282" t="s">
        <v>865</v>
      </c>
      <c r="K2282" t="s">
        <v>797</v>
      </c>
    </row>
    <row r="2283" spans="2:11" x14ac:dyDescent="0.25">
      <c r="B2283" s="191"/>
      <c r="C2283" s="191"/>
      <c r="D2283" s="192" t="s">
        <v>5273</v>
      </c>
      <c r="E2283" t="s">
        <v>5274</v>
      </c>
      <c r="F2283" s="192" t="s">
        <v>789</v>
      </c>
      <c r="G2283" s="192" t="s">
        <v>3627</v>
      </c>
      <c r="H2283" s="192" t="s">
        <v>3624</v>
      </c>
      <c r="I2283" t="s">
        <v>3414</v>
      </c>
      <c r="J2283" t="s">
        <v>865</v>
      </c>
      <c r="K2283" t="s">
        <v>797</v>
      </c>
    </row>
    <row r="2284" spans="2:11" x14ac:dyDescent="0.25">
      <c r="B2284" s="191"/>
      <c r="C2284" s="191"/>
      <c r="D2284" s="192" t="s">
        <v>5275</v>
      </c>
      <c r="E2284" t="s">
        <v>5276</v>
      </c>
      <c r="F2284" s="192" t="s">
        <v>789</v>
      </c>
      <c r="G2284" s="192" t="s">
        <v>3630</v>
      </c>
      <c r="H2284" s="192" t="s">
        <v>3624</v>
      </c>
      <c r="I2284" t="s">
        <v>3414</v>
      </c>
      <c r="J2284" t="s">
        <v>865</v>
      </c>
      <c r="K2284" t="s">
        <v>797</v>
      </c>
    </row>
    <row r="2285" spans="2:11" x14ac:dyDescent="0.25">
      <c r="B2285" s="191"/>
      <c r="C2285" s="191" t="s">
        <v>5277</v>
      </c>
      <c r="D2285" s="192"/>
      <c r="E2285" s="185" t="s">
        <v>5278</v>
      </c>
      <c r="F2285" s="192" t="s">
        <v>789</v>
      </c>
      <c r="G2285" s="192" t="s">
        <v>790</v>
      </c>
      <c r="H2285" s="192" t="s">
        <v>790</v>
      </c>
      <c r="I2285" t="s">
        <v>3414</v>
      </c>
    </row>
    <row r="2286" spans="2:11" x14ac:dyDescent="0.25">
      <c r="B2286" s="191"/>
      <c r="C2286" s="191"/>
      <c r="D2286" s="192" t="s">
        <v>5279</v>
      </c>
      <c r="E2286" t="s">
        <v>5280</v>
      </c>
      <c r="F2286" s="192" t="s">
        <v>789</v>
      </c>
      <c r="G2286" s="192" t="s">
        <v>3675</v>
      </c>
      <c r="H2286" s="192" t="s">
        <v>3624</v>
      </c>
      <c r="I2286" t="s">
        <v>3414</v>
      </c>
      <c r="J2286" t="s">
        <v>865</v>
      </c>
      <c r="K2286" t="s">
        <v>797</v>
      </c>
    </row>
    <row r="2287" spans="2:11" x14ac:dyDescent="0.25">
      <c r="B2287" s="191"/>
      <c r="C2287" s="191"/>
      <c r="D2287" s="192" t="s">
        <v>5281</v>
      </c>
      <c r="E2287" t="s">
        <v>5282</v>
      </c>
      <c r="F2287" s="192" t="s">
        <v>789</v>
      </c>
      <c r="G2287" s="192" t="s">
        <v>3623</v>
      </c>
      <c r="H2287" s="192" t="s">
        <v>3624</v>
      </c>
      <c r="I2287" t="s">
        <v>3414</v>
      </c>
      <c r="J2287" t="s">
        <v>865</v>
      </c>
      <c r="K2287" t="s">
        <v>797</v>
      </c>
    </row>
    <row r="2288" spans="2:11" x14ac:dyDescent="0.25">
      <c r="B2288" s="191"/>
      <c r="C2288" s="191"/>
      <c r="D2288" s="192" t="s">
        <v>5283</v>
      </c>
      <c r="E2288" t="s">
        <v>5284</v>
      </c>
      <c r="F2288" s="192" t="s">
        <v>789</v>
      </c>
      <c r="G2288" s="192" t="s">
        <v>3627</v>
      </c>
      <c r="H2288" s="192" t="s">
        <v>3624</v>
      </c>
      <c r="I2288" t="s">
        <v>3414</v>
      </c>
      <c r="J2288" t="s">
        <v>865</v>
      </c>
      <c r="K2288" t="s">
        <v>797</v>
      </c>
    </row>
    <row r="2289" spans="2:11" x14ac:dyDescent="0.25">
      <c r="B2289" s="191"/>
      <c r="C2289" s="191"/>
      <c r="D2289" s="192" t="s">
        <v>5285</v>
      </c>
      <c r="E2289" t="s">
        <v>5286</v>
      </c>
      <c r="F2289" s="192" t="s">
        <v>789</v>
      </c>
      <c r="G2289" s="192" t="s">
        <v>3630</v>
      </c>
      <c r="H2289" s="192" t="s">
        <v>3624</v>
      </c>
      <c r="I2289" t="s">
        <v>3414</v>
      </c>
      <c r="J2289" t="s">
        <v>865</v>
      </c>
      <c r="K2289" t="s">
        <v>797</v>
      </c>
    </row>
    <row r="2290" spans="2:11" x14ac:dyDescent="0.25">
      <c r="B2290" s="191"/>
      <c r="C2290" s="191" t="s">
        <v>5287</v>
      </c>
      <c r="D2290" s="192"/>
      <c r="E2290" s="185" t="s">
        <v>5288</v>
      </c>
      <c r="F2290" s="192" t="s">
        <v>789</v>
      </c>
      <c r="G2290" s="192" t="s">
        <v>790</v>
      </c>
      <c r="H2290" s="192" t="s">
        <v>790</v>
      </c>
      <c r="I2290" t="s">
        <v>3414</v>
      </c>
      <c r="J2290" t="s">
        <v>865</v>
      </c>
    </row>
    <row r="2291" spans="2:11" x14ac:dyDescent="0.25">
      <c r="B2291" s="191"/>
      <c r="C2291" s="191" t="s">
        <v>5289</v>
      </c>
      <c r="D2291" s="192"/>
      <c r="E2291" s="185" t="s">
        <v>5290</v>
      </c>
      <c r="F2291" s="192" t="s">
        <v>789</v>
      </c>
      <c r="G2291" s="192" t="s">
        <v>790</v>
      </c>
      <c r="H2291" s="192" t="s">
        <v>790</v>
      </c>
      <c r="I2291" t="s">
        <v>3414</v>
      </c>
    </row>
    <row r="2292" spans="2:11" x14ac:dyDescent="0.25">
      <c r="B2292" s="191"/>
      <c r="C2292" s="191" t="s">
        <v>5291</v>
      </c>
      <c r="D2292" s="192"/>
      <c r="E2292" s="185" t="s">
        <v>5292</v>
      </c>
      <c r="F2292" s="192" t="s">
        <v>789</v>
      </c>
      <c r="G2292" s="192" t="s">
        <v>790</v>
      </c>
      <c r="H2292" s="192" t="s">
        <v>790</v>
      </c>
      <c r="I2292" t="s">
        <v>3414</v>
      </c>
    </row>
    <row r="2293" spans="2:11" x14ac:dyDescent="0.25">
      <c r="B2293" s="191"/>
      <c r="C2293" s="191"/>
      <c r="D2293" s="192" t="s">
        <v>5293</v>
      </c>
      <c r="E2293" t="s">
        <v>5294</v>
      </c>
      <c r="F2293" s="192" t="s">
        <v>789</v>
      </c>
      <c r="G2293" s="192" t="s">
        <v>790</v>
      </c>
      <c r="H2293" s="192" t="s">
        <v>790</v>
      </c>
      <c r="I2293" t="s">
        <v>3414</v>
      </c>
      <c r="J2293" t="s">
        <v>865</v>
      </c>
      <c r="K2293" t="s">
        <v>797</v>
      </c>
    </row>
    <row r="2294" spans="2:11" x14ac:dyDescent="0.25">
      <c r="B2294" s="191"/>
      <c r="C2294" s="191"/>
      <c r="D2294" s="192" t="s">
        <v>5295</v>
      </c>
      <c r="E2294" t="s">
        <v>5296</v>
      </c>
      <c r="F2294" s="192" t="s">
        <v>789</v>
      </c>
      <c r="G2294" s="192" t="s">
        <v>790</v>
      </c>
      <c r="H2294" s="192" t="s">
        <v>790</v>
      </c>
      <c r="I2294" t="s">
        <v>3414</v>
      </c>
      <c r="J2294" t="s">
        <v>865</v>
      </c>
      <c r="K2294" t="s">
        <v>797</v>
      </c>
    </row>
    <row r="2295" spans="2:11" x14ac:dyDescent="0.25">
      <c r="B2295" s="191"/>
      <c r="C2295" s="191"/>
      <c r="D2295" s="192" t="s">
        <v>5297</v>
      </c>
      <c r="E2295" t="s">
        <v>5298</v>
      </c>
      <c r="F2295" s="192" t="s">
        <v>789</v>
      </c>
      <c r="G2295" s="192" t="s">
        <v>3623</v>
      </c>
      <c r="H2295" s="192" t="s">
        <v>3624</v>
      </c>
      <c r="I2295" t="s">
        <v>3414</v>
      </c>
      <c r="J2295" t="s">
        <v>865</v>
      </c>
      <c r="K2295" t="s">
        <v>797</v>
      </c>
    </row>
    <row r="2296" spans="2:11" x14ac:dyDescent="0.25">
      <c r="B2296" s="191"/>
      <c r="C2296" s="191"/>
      <c r="D2296" s="192" t="s">
        <v>5299</v>
      </c>
      <c r="E2296" t="s">
        <v>5300</v>
      </c>
      <c r="F2296" s="192" t="s">
        <v>789</v>
      </c>
      <c r="G2296" s="192" t="s">
        <v>3627</v>
      </c>
      <c r="H2296" s="192" t="s">
        <v>3624</v>
      </c>
      <c r="I2296" t="s">
        <v>3414</v>
      </c>
      <c r="J2296" t="s">
        <v>865</v>
      </c>
      <c r="K2296" t="s">
        <v>797</v>
      </c>
    </row>
    <row r="2297" spans="2:11" x14ac:dyDescent="0.25">
      <c r="B2297" s="191"/>
      <c r="C2297" s="191"/>
      <c r="D2297" s="192" t="s">
        <v>5301</v>
      </c>
      <c r="E2297" t="s">
        <v>5302</v>
      </c>
      <c r="F2297" s="192" t="s">
        <v>789</v>
      </c>
      <c r="G2297" s="192" t="s">
        <v>3630</v>
      </c>
      <c r="H2297" s="192" t="s">
        <v>3624</v>
      </c>
      <c r="I2297" t="s">
        <v>3414</v>
      </c>
      <c r="J2297" t="s">
        <v>865</v>
      </c>
      <c r="K2297" t="s">
        <v>797</v>
      </c>
    </row>
    <row r="2298" spans="2:11" x14ac:dyDescent="0.25">
      <c r="B2298" s="191"/>
      <c r="C2298" s="191" t="s">
        <v>5303</v>
      </c>
      <c r="D2298" s="192"/>
      <c r="E2298" s="185" t="s">
        <v>5304</v>
      </c>
      <c r="F2298" s="192" t="s">
        <v>789</v>
      </c>
      <c r="G2298" s="192" t="s">
        <v>790</v>
      </c>
      <c r="H2298" s="192" t="s">
        <v>790</v>
      </c>
      <c r="I2298" t="s">
        <v>3414</v>
      </c>
    </row>
    <row r="2299" spans="2:11" x14ac:dyDescent="0.25">
      <c r="B2299" s="191"/>
      <c r="C2299" s="191"/>
      <c r="D2299" s="192" t="s">
        <v>5305</v>
      </c>
      <c r="E2299" t="s">
        <v>5306</v>
      </c>
      <c r="F2299" s="192" t="s">
        <v>789</v>
      </c>
      <c r="G2299" s="192" t="s">
        <v>3675</v>
      </c>
      <c r="H2299" s="192" t="s">
        <v>3624</v>
      </c>
      <c r="I2299" t="s">
        <v>3414</v>
      </c>
      <c r="J2299" t="s">
        <v>865</v>
      </c>
      <c r="K2299" t="s">
        <v>797</v>
      </c>
    </row>
    <row r="2300" spans="2:11" x14ac:dyDescent="0.25">
      <c r="B2300" s="191"/>
      <c r="C2300" s="191"/>
      <c r="D2300" s="192" t="s">
        <v>5307</v>
      </c>
      <c r="E2300" t="s">
        <v>5308</v>
      </c>
      <c r="F2300" s="192" t="s">
        <v>789</v>
      </c>
      <c r="G2300" s="192" t="s">
        <v>3623</v>
      </c>
      <c r="H2300" s="192" t="s">
        <v>3624</v>
      </c>
      <c r="I2300" t="s">
        <v>3414</v>
      </c>
      <c r="J2300" t="s">
        <v>865</v>
      </c>
      <c r="K2300" t="s">
        <v>797</v>
      </c>
    </row>
    <row r="2301" spans="2:11" x14ac:dyDescent="0.25">
      <c r="B2301" s="191"/>
      <c r="C2301" s="191"/>
      <c r="D2301" s="192" t="s">
        <v>5309</v>
      </c>
      <c r="E2301" t="s">
        <v>5310</v>
      </c>
      <c r="F2301" s="192" t="s">
        <v>789</v>
      </c>
      <c r="G2301" s="192" t="s">
        <v>3627</v>
      </c>
      <c r="H2301" s="192" t="s">
        <v>3624</v>
      </c>
      <c r="I2301" t="s">
        <v>3414</v>
      </c>
      <c r="J2301" t="s">
        <v>865</v>
      </c>
      <c r="K2301" t="s">
        <v>797</v>
      </c>
    </row>
    <row r="2302" spans="2:11" x14ac:dyDescent="0.25">
      <c r="B2302" s="191"/>
      <c r="C2302" s="191"/>
      <c r="D2302" s="192" t="s">
        <v>5311</v>
      </c>
      <c r="E2302" t="s">
        <v>5312</v>
      </c>
      <c r="F2302" s="192" t="s">
        <v>789</v>
      </c>
      <c r="G2302" s="192" t="s">
        <v>3630</v>
      </c>
      <c r="H2302" s="192" t="s">
        <v>3624</v>
      </c>
      <c r="I2302" t="s">
        <v>3414</v>
      </c>
      <c r="J2302" t="s">
        <v>865</v>
      </c>
      <c r="K2302" t="s">
        <v>797</v>
      </c>
    </row>
    <row r="2303" spans="2:11" x14ac:dyDescent="0.25">
      <c r="B2303" s="191"/>
      <c r="C2303" s="191" t="s">
        <v>5313</v>
      </c>
      <c r="D2303" s="192"/>
      <c r="E2303" s="185" t="s">
        <v>5314</v>
      </c>
      <c r="F2303" s="192" t="s">
        <v>789</v>
      </c>
      <c r="G2303" s="192" t="s">
        <v>790</v>
      </c>
      <c r="H2303" s="192" t="s">
        <v>790</v>
      </c>
      <c r="I2303" t="s">
        <v>3414</v>
      </c>
    </row>
    <row r="2304" spans="2:11" x14ac:dyDescent="0.25">
      <c r="B2304" s="191"/>
      <c r="C2304" s="191"/>
      <c r="D2304" s="192" t="s">
        <v>5315</v>
      </c>
      <c r="E2304" t="s">
        <v>5316</v>
      </c>
      <c r="F2304" s="192" t="s">
        <v>789</v>
      </c>
      <c r="G2304" s="192" t="s">
        <v>3675</v>
      </c>
      <c r="H2304" s="192" t="s">
        <v>3624</v>
      </c>
      <c r="I2304" t="s">
        <v>3414</v>
      </c>
      <c r="J2304" t="s">
        <v>865</v>
      </c>
      <c r="K2304" t="s">
        <v>797</v>
      </c>
    </row>
    <row r="2305" spans="2:11" x14ac:dyDescent="0.25">
      <c r="B2305" s="191"/>
      <c r="C2305" s="191"/>
      <c r="D2305" s="192" t="s">
        <v>5317</v>
      </c>
      <c r="E2305" t="s">
        <v>5318</v>
      </c>
      <c r="F2305" s="192" t="s">
        <v>789</v>
      </c>
      <c r="G2305" s="192" t="s">
        <v>3623</v>
      </c>
      <c r="H2305" s="192" t="s">
        <v>3624</v>
      </c>
      <c r="I2305" t="s">
        <v>3414</v>
      </c>
      <c r="J2305" t="s">
        <v>865</v>
      </c>
      <c r="K2305" t="s">
        <v>797</v>
      </c>
    </row>
    <row r="2306" spans="2:11" x14ac:dyDescent="0.25">
      <c r="B2306" s="191"/>
      <c r="C2306" s="191"/>
      <c r="D2306" s="192" t="s">
        <v>5319</v>
      </c>
      <c r="E2306" t="s">
        <v>5320</v>
      </c>
      <c r="F2306" s="192" t="s">
        <v>789</v>
      </c>
      <c r="G2306" s="192" t="s">
        <v>3627</v>
      </c>
      <c r="H2306" s="192" t="s">
        <v>3624</v>
      </c>
      <c r="I2306" t="s">
        <v>3414</v>
      </c>
      <c r="J2306" t="s">
        <v>865</v>
      </c>
      <c r="K2306" t="s">
        <v>797</v>
      </c>
    </row>
    <row r="2307" spans="2:11" x14ac:dyDescent="0.25">
      <c r="B2307" s="191"/>
      <c r="C2307" s="191"/>
      <c r="D2307" s="192" t="s">
        <v>5321</v>
      </c>
      <c r="E2307" t="s">
        <v>5322</v>
      </c>
      <c r="F2307" s="192" t="s">
        <v>789</v>
      </c>
      <c r="G2307" s="192" t="s">
        <v>3630</v>
      </c>
      <c r="H2307" s="192" t="s">
        <v>3624</v>
      </c>
      <c r="I2307" t="s">
        <v>3414</v>
      </c>
      <c r="J2307" t="s">
        <v>865</v>
      </c>
      <c r="K2307" t="s">
        <v>797</v>
      </c>
    </row>
    <row r="2308" spans="2:11" x14ac:dyDescent="0.25">
      <c r="B2308" s="191"/>
      <c r="C2308" s="191" t="s">
        <v>5323</v>
      </c>
      <c r="D2308" s="192"/>
      <c r="E2308" s="185" t="s">
        <v>5324</v>
      </c>
      <c r="F2308" s="192" t="s">
        <v>789</v>
      </c>
      <c r="G2308" s="192" t="s">
        <v>790</v>
      </c>
      <c r="H2308" s="192" t="s">
        <v>790</v>
      </c>
      <c r="I2308" t="s">
        <v>3414</v>
      </c>
    </row>
    <row r="2309" spans="2:11" x14ac:dyDescent="0.25">
      <c r="B2309" s="191"/>
      <c r="C2309" s="191"/>
      <c r="D2309" s="192" t="s">
        <v>5325</v>
      </c>
      <c r="E2309" t="s">
        <v>5326</v>
      </c>
      <c r="F2309" s="192" t="s">
        <v>789</v>
      </c>
      <c r="G2309" s="192" t="s">
        <v>3675</v>
      </c>
      <c r="H2309" s="192" t="s">
        <v>3624</v>
      </c>
      <c r="I2309" t="s">
        <v>3414</v>
      </c>
      <c r="J2309" t="s">
        <v>865</v>
      </c>
      <c r="K2309" t="s">
        <v>797</v>
      </c>
    </row>
    <row r="2310" spans="2:11" x14ac:dyDescent="0.25">
      <c r="B2310" s="191"/>
      <c r="C2310" s="191"/>
      <c r="D2310" s="192" t="s">
        <v>5327</v>
      </c>
      <c r="E2310" t="s">
        <v>5328</v>
      </c>
      <c r="F2310" s="192" t="s">
        <v>789</v>
      </c>
      <c r="G2310" s="192" t="s">
        <v>3623</v>
      </c>
      <c r="H2310" s="192" t="s">
        <v>3624</v>
      </c>
      <c r="I2310" t="s">
        <v>3414</v>
      </c>
      <c r="J2310" t="s">
        <v>865</v>
      </c>
      <c r="K2310" t="s">
        <v>797</v>
      </c>
    </row>
    <row r="2311" spans="2:11" x14ac:dyDescent="0.25">
      <c r="B2311" s="191"/>
      <c r="C2311" s="191"/>
      <c r="D2311" s="192" t="s">
        <v>5329</v>
      </c>
      <c r="E2311" t="s">
        <v>5330</v>
      </c>
      <c r="F2311" s="192" t="s">
        <v>789</v>
      </c>
      <c r="G2311" s="192" t="s">
        <v>3627</v>
      </c>
      <c r="H2311" s="192" t="s">
        <v>3624</v>
      </c>
      <c r="I2311" t="s">
        <v>3414</v>
      </c>
      <c r="J2311" t="s">
        <v>865</v>
      </c>
      <c r="K2311" t="s">
        <v>797</v>
      </c>
    </row>
    <row r="2312" spans="2:11" x14ac:dyDescent="0.25">
      <c r="B2312" s="191"/>
      <c r="C2312" s="191"/>
      <c r="D2312" s="192" t="s">
        <v>5331</v>
      </c>
      <c r="E2312" t="s">
        <v>5332</v>
      </c>
      <c r="F2312" s="192" t="s">
        <v>789</v>
      </c>
      <c r="G2312" s="192" t="s">
        <v>3630</v>
      </c>
      <c r="H2312" s="192" t="s">
        <v>3624</v>
      </c>
      <c r="I2312" t="s">
        <v>3414</v>
      </c>
      <c r="J2312" t="s">
        <v>865</v>
      </c>
      <c r="K2312" t="s">
        <v>797</v>
      </c>
    </row>
    <row r="2313" spans="2:11" x14ac:dyDescent="0.25">
      <c r="B2313" s="191"/>
      <c r="C2313" s="191" t="s">
        <v>5333</v>
      </c>
      <c r="D2313" s="192"/>
      <c r="E2313" s="185" t="s">
        <v>5334</v>
      </c>
      <c r="F2313" s="192" t="s">
        <v>789</v>
      </c>
      <c r="G2313" s="192" t="s">
        <v>790</v>
      </c>
      <c r="H2313" s="192" t="s">
        <v>790</v>
      </c>
      <c r="I2313" t="s">
        <v>3414</v>
      </c>
    </row>
    <row r="2314" spans="2:11" x14ac:dyDescent="0.25">
      <c r="B2314" s="191"/>
      <c r="C2314" s="191"/>
      <c r="D2314" s="192" t="s">
        <v>5335</v>
      </c>
      <c r="E2314" t="s">
        <v>5336</v>
      </c>
      <c r="F2314" s="192" t="s">
        <v>789</v>
      </c>
      <c r="G2314" s="192" t="s">
        <v>3675</v>
      </c>
      <c r="H2314" s="192" t="s">
        <v>3624</v>
      </c>
      <c r="I2314" t="s">
        <v>3414</v>
      </c>
      <c r="J2314" t="s">
        <v>865</v>
      </c>
      <c r="K2314" t="s">
        <v>797</v>
      </c>
    </row>
    <row r="2315" spans="2:11" x14ac:dyDescent="0.25">
      <c r="B2315" s="191"/>
      <c r="C2315" s="191"/>
      <c r="D2315" s="192" t="s">
        <v>5337</v>
      </c>
      <c r="E2315" t="s">
        <v>5338</v>
      </c>
      <c r="F2315" s="192" t="s">
        <v>789</v>
      </c>
      <c r="G2315" s="192" t="s">
        <v>3623</v>
      </c>
      <c r="H2315" s="192" t="s">
        <v>3624</v>
      </c>
      <c r="I2315" t="s">
        <v>3414</v>
      </c>
      <c r="J2315" t="s">
        <v>865</v>
      </c>
      <c r="K2315" t="s">
        <v>797</v>
      </c>
    </row>
    <row r="2316" spans="2:11" x14ac:dyDescent="0.25">
      <c r="B2316" s="191"/>
      <c r="C2316" s="191"/>
      <c r="D2316" s="192" t="s">
        <v>5339</v>
      </c>
      <c r="E2316" t="s">
        <v>5340</v>
      </c>
      <c r="F2316" s="192" t="s">
        <v>789</v>
      </c>
      <c r="G2316" s="192" t="s">
        <v>3627</v>
      </c>
      <c r="H2316" s="192" t="s">
        <v>3624</v>
      </c>
      <c r="I2316" t="s">
        <v>3414</v>
      </c>
      <c r="J2316" t="s">
        <v>865</v>
      </c>
      <c r="K2316" t="s">
        <v>797</v>
      </c>
    </row>
    <row r="2317" spans="2:11" x14ac:dyDescent="0.25">
      <c r="B2317" s="191"/>
      <c r="C2317" s="191"/>
      <c r="D2317" s="192" t="s">
        <v>5341</v>
      </c>
      <c r="E2317" t="s">
        <v>5342</v>
      </c>
      <c r="F2317" s="192" t="s">
        <v>789</v>
      </c>
      <c r="G2317" s="192" t="s">
        <v>3630</v>
      </c>
      <c r="H2317" s="192" t="s">
        <v>3624</v>
      </c>
      <c r="I2317" t="s">
        <v>3414</v>
      </c>
      <c r="J2317" t="s">
        <v>865</v>
      </c>
      <c r="K2317" t="s">
        <v>797</v>
      </c>
    </row>
    <row r="2318" spans="2:11" x14ac:dyDescent="0.25">
      <c r="B2318" s="191"/>
      <c r="C2318" s="191" t="s">
        <v>5343</v>
      </c>
      <c r="D2318" s="192"/>
      <c r="E2318" s="185" t="s">
        <v>5344</v>
      </c>
      <c r="F2318" s="192" t="s">
        <v>789</v>
      </c>
      <c r="G2318" s="192" t="s">
        <v>790</v>
      </c>
      <c r="H2318" s="192" t="s">
        <v>790</v>
      </c>
      <c r="I2318" t="s">
        <v>3414</v>
      </c>
    </row>
    <row r="2319" spans="2:11" x14ac:dyDescent="0.25">
      <c r="B2319" s="191"/>
      <c r="C2319" s="191"/>
      <c r="D2319" s="192" t="s">
        <v>5345</v>
      </c>
      <c r="E2319" t="s">
        <v>5346</v>
      </c>
      <c r="F2319" s="192" t="s">
        <v>789</v>
      </c>
      <c r="G2319" s="192" t="s">
        <v>3675</v>
      </c>
      <c r="H2319" s="192" t="s">
        <v>3624</v>
      </c>
      <c r="I2319" t="s">
        <v>3414</v>
      </c>
      <c r="J2319" t="s">
        <v>865</v>
      </c>
      <c r="K2319" t="s">
        <v>797</v>
      </c>
    </row>
    <row r="2320" spans="2:11" x14ac:dyDescent="0.25">
      <c r="B2320" s="191"/>
      <c r="C2320" s="191"/>
      <c r="D2320" s="192" t="s">
        <v>5347</v>
      </c>
      <c r="E2320" t="s">
        <v>5348</v>
      </c>
      <c r="F2320" s="192" t="s">
        <v>789</v>
      </c>
      <c r="G2320" s="192" t="s">
        <v>3623</v>
      </c>
      <c r="H2320" s="192" t="s">
        <v>3624</v>
      </c>
      <c r="I2320" t="s">
        <v>3414</v>
      </c>
      <c r="J2320" t="s">
        <v>865</v>
      </c>
      <c r="K2320" t="s">
        <v>797</v>
      </c>
    </row>
    <row r="2321" spans="2:11" x14ac:dyDescent="0.25">
      <c r="B2321" s="191"/>
      <c r="C2321" s="191"/>
      <c r="D2321" s="192" t="s">
        <v>5349</v>
      </c>
      <c r="E2321" t="s">
        <v>5350</v>
      </c>
      <c r="F2321" s="192" t="s">
        <v>789</v>
      </c>
      <c r="G2321" s="192" t="s">
        <v>3627</v>
      </c>
      <c r="H2321" s="192" t="s">
        <v>3624</v>
      </c>
      <c r="I2321" t="s">
        <v>3414</v>
      </c>
      <c r="J2321" t="s">
        <v>865</v>
      </c>
      <c r="K2321" t="s">
        <v>797</v>
      </c>
    </row>
    <row r="2322" spans="2:11" x14ac:dyDescent="0.25">
      <c r="B2322" s="191"/>
      <c r="C2322" s="191"/>
      <c r="D2322" s="192" t="s">
        <v>5351</v>
      </c>
      <c r="E2322" t="s">
        <v>5352</v>
      </c>
      <c r="F2322" s="192" t="s">
        <v>789</v>
      </c>
      <c r="G2322" s="192" t="s">
        <v>3630</v>
      </c>
      <c r="H2322" s="192" t="s">
        <v>3624</v>
      </c>
      <c r="I2322" t="s">
        <v>3414</v>
      </c>
      <c r="J2322" t="s">
        <v>865</v>
      </c>
      <c r="K2322" t="s">
        <v>797</v>
      </c>
    </row>
    <row r="2323" spans="2:11" x14ac:dyDescent="0.25">
      <c r="B2323" s="191"/>
      <c r="C2323" s="191" t="s">
        <v>5353</v>
      </c>
      <c r="D2323" s="192"/>
      <c r="E2323" s="185" t="s">
        <v>5354</v>
      </c>
      <c r="F2323" s="192" t="s">
        <v>789</v>
      </c>
      <c r="G2323" s="192" t="s">
        <v>790</v>
      </c>
      <c r="H2323" s="192" t="s">
        <v>790</v>
      </c>
      <c r="I2323" t="s">
        <v>3414</v>
      </c>
    </row>
    <row r="2324" spans="2:11" x14ac:dyDescent="0.25">
      <c r="B2324" s="191"/>
      <c r="C2324" s="191" t="s">
        <v>5355</v>
      </c>
      <c r="D2324" s="192"/>
      <c r="E2324" s="185" t="s">
        <v>5356</v>
      </c>
      <c r="F2324" s="192" t="s">
        <v>789</v>
      </c>
      <c r="G2324" s="192" t="s">
        <v>790</v>
      </c>
      <c r="H2324" s="192" t="s">
        <v>790</v>
      </c>
      <c r="I2324" t="s">
        <v>3414</v>
      </c>
    </row>
    <row r="2325" spans="2:11" x14ac:dyDescent="0.25">
      <c r="B2325" s="191"/>
      <c r="C2325" s="191"/>
      <c r="D2325" s="192" t="s">
        <v>5357</v>
      </c>
      <c r="E2325" t="s">
        <v>5358</v>
      </c>
      <c r="F2325" s="192" t="s">
        <v>789</v>
      </c>
      <c r="G2325" s="192" t="s">
        <v>3675</v>
      </c>
      <c r="H2325" s="192" t="s">
        <v>3624</v>
      </c>
      <c r="I2325" t="s">
        <v>3414</v>
      </c>
      <c r="J2325" t="s">
        <v>865</v>
      </c>
      <c r="K2325" t="s">
        <v>797</v>
      </c>
    </row>
    <row r="2326" spans="2:11" x14ac:dyDescent="0.25">
      <c r="B2326" s="191"/>
      <c r="C2326" s="191"/>
      <c r="D2326" s="192" t="s">
        <v>5359</v>
      </c>
      <c r="E2326" t="s">
        <v>5360</v>
      </c>
      <c r="F2326" s="192" t="s">
        <v>789</v>
      </c>
      <c r="G2326" s="192" t="s">
        <v>3623</v>
      </c>
      <c r="H2326" s="192" t="s">
        <v>3624</v>
      </c>
      <c r="I2326" t="s">
        <v>3414</v>
      </c>
      <c r="J2326" t="s">
        <v>865</v>
      </c>
      <c r="K2326" t="s">
        <v>797</v>
      </c>
    </row>
    <row r="2327" spans="2:11" x14ac:dyDescent="0.25">
      <c r="B2327" s="191"/>
      <c r="C2327" s="191"/>
      <c r="D2327" s="192" t="s">
        <v>5361</v>
      </c>
      <c r="E2327" t="s">
        <v>5362</v>
      </c>
      <c r="F2327" s="192" t="s">
        <v>789</v>
      </c>
      <c r="G2327" s="192" t="s">
        <v>3627</v>
      </c>
      <c r="H2327" s="192" t="s">
        <v>3624</v>
      </c>
      <c r="I2327" t="s">
        <v>3414</v>
      </c>
      <c r="J2327" t="s">
        <v>865</v>
      </c>
      <c r="K2327" t="s">
        <v>797</v>
      </c>
    </row>
    <row r="2328" spans="2:11" x14ac:dyDescent="0.25">
      <c r="B2328" s="191"/>
      <c r="C2328" s="191"/>
      <c r="D2328" s="192" t="s">
        <v>5363</v>
      </c>
      <c r="E2328" t="s">
        <v>5364</v>
      </c>
      <c r="F2328" s="192" t="s">
        <v>789</v>
      </c>
      <c r="G2328" s="192" t="s">
        <v>3630</v>
      </c>
      <c r="H2328" s="192" t="s">
        <v>3624</v>
      </c>
      <c r="I2328" t="s">
        <v>3414</v>
      </c>
      <c r="J2328" t="s">
        <v>865</v>
      </c>
      <c r="K2328" t="s">
        <v>797</v>
      </c>
    </row>
    <row r="2329" spans="2:11" x14ac:dyDescent="0.25">
      <c r="B2329" s="191"/>
      <c r="C2329" s="191" t="s">
        <v>5365</v>
      </c>
      <c r="D2329" s="192"/>
      <c r="E2329" s="185" t="s">
        <v>5366</v>
      </c>
      <c r="F2329" s="192" t="s">
        <v>789</v>
      </c>
      <c r="G2329" s="192" t="s">
        <v>790</v>
      </c>
      <c r="H2329" s="192" t="s">
        <v>790</v>
      </c>
      <c r="I2329" t="s">
        <v>3414</v>
      </c>
    </row>
    <row r="2330" spans="2:11" x14ac:dyDescent="0.25">
      <c r="B2330" s="191"/>
      <c r="C2330" s="191"/>
      <c r="D2330" s="192" t="s">
        <v>5367</v>
      </c>
      <c r="E2330" t="s">
        <v>5368</v>
      </c>
      <c r="F2330" s="192" t="s">
        <v>789</v>
      </c>
      <c r="G2330" s="192" t="s">
        <v>3675</v>
      </c>
      <c r="H2330" s="192" t="s">
        <v>3624</v>
      </c>
      <c r="I2330" t="s">
        <v>3414</v>
      </c>
      <c r="J2330" t="s">
        <v>865</v>
      </c>
      <c r="K2330" t="s">
        <v>797</v>
      </c>
    </row>
    <row r="2331" spans="2:11" x14ac:dyDescent="0.25">
      <c r="B2331" s="191"/>
      <c r="C2331" s="191"/>
      <c r="D2331" s="192" t="s">
        <v>5369</v>
      </c>
      <c r="E2331" t="s">
        <v>5370</v>
      </c>
      <c r="F2331" s="192" t="s">
        <v>789</v>
      </c>
      <c r="G2331" s="192" t="s">
        <v>3623</v>
      </c>
      <c r="H2331" s="192" t="s">
        <v>3624</v>
      </c>
      <c r="I2331" t="s">
        <v>3414</v>
      </c>
      <c r="J2331" t="s">
        <v>865</v>
      </c>
      <c r="K2331" t="s">
        <v>797</v>
      </c>
    </row>
    <row r="2332" spans="2:11" x14ac:dyDescent="0.25">
      <c r="B2332" s="191"/>
      <c r="C2332" s="191"/>
      <c r="D2332" s="192" t="s">
        <v>5371</v>
      </c>
      <c r="E2332" t="s">
        <v>5372</v>
      </c>
      <c r="F2332" s="192" t="s">
        <v>789</v>
      </c>
      <c r="G2332" s="192" t="s">
        <v>3627</v>
      </c>
      <c r="H2332" s="192" t="s">
        <v>3624</v>
      </c>
      <c r="I2332" t="s">
        <v>3414</v>
      </c>
      <c r="J2332" t="s">
        <v>865</v>
      </c>
      <c r="K2332" t="s">
        <v>797</v>
      </c>
    </row>
    <row r="2333" spans="2:11" x14ac:dyDescent="0.25">
      <c r="B2333" s="191"/>
      <c r="C2333" s="191"/>
      <c r="D2333" s="192" t="s">
        <v>5373</v>
      </c>
      <c r="E2333" t="s">
        <v>5374</v>
      </c>
      <c r="F2333" s="192" t="s">
        <v>789</v>
      </c>
      <c r="G2333" s="192" t="s">
        <v>3630</v>
      </c>
      <c r="H2333" s="192" t="s">
        <v>3624</v>
      </c>
      <c r="I2333" t="s">
        <v>3414</v>
      </c>
      <c r="J2333" t="s">
        <v>865</v>
      </c>
      <c r="K2333" t="s">
        <v>797</v>
      </c>
    </row>
    <row r="2334" spans="2:11" x14ac:dyDescent="0.25">
      <c r="B2334" s="191"/>
      <c r="C2334" s="191" t="s">
        <v>5375</v>
      </c>
      <c r="D2334" s="192"/>
      <c r="E2334" s="185" t="s">
        <v>5376</v>
      </c>
      <c r="F2334" s="192" t="s">
        <v>789</v>
      </c>
      <c r="G2334" s="192" t="s">
        <v>790</v>
      </c>
      <c r="H2334" s="192" t="s">
        <v>790</v>
      </c>
      <c r="I2334" t="s">
        <v>3414</v>
      </c>
    </row>
    <row r="2335" spans="2:11" x14ac:dyDescent="0.25">
      <c r="B2335" s="191"/>
      <c r="C2335" s="191"/>
      <c r="D2335" s="192" t="s">
        <v>5377</v>
      </c>
      <c r="E2335" t="s">
        <v>5378</v>
      </c>
      <c r="F2335" s="192" t="s">
        <v>789</v>
      </c>
      <c r="G2335" s="192" t="s">
        <v>3675</v>
      </c>
      <c r="H2335" s="192" t="s">
        <v>3624</v>
      </c>
      <c r="I2335" t="s">
        <v>3414</v>
      </c>
      <c r="J2335" t="s">
        <v>865</v>
      </c>
      <c r="K2335" t="s">
        <v>797</v>
      </c>
    </row>
    <row r="2336" spans="2:11" x14ac:dyDescent="0.25">
      <c r="B2336" s="191"/>
      <c r="C2336" s="191"/>
      <c r="D2336" s="192" t="s">
        <v>5379</v>
      </c>
      <c r="E2336" t="s">
        <v>5380</v>
      </c>
      <c r="F2336" s="192" t="s">
        <v>789</v>
      </c>
      <c r="G2336" s="192" t="s">
        <v>3623</v>
      </c>
      <c r="H2336" s="192" t="s">
        <v>3624</v>
      </c>
      <c r="I2336" t="s">
        <v>3414</v>
      </c>
      <c r="J2336" t="s">
        <v>865</v>
      </c>
      <c r="K2336" t="s">
        <v>797</v>
      </c>
    </row>
    <row r="2337" spans="2:11" x14ac:dyDescent="0.25">
      <c r="B2337" s="191"/>
      <c r="C2337" s="191"/>
      <c r="D2337" s="192" t="s">
        <v>5381</v>
      </c>
      <c r="E2337" t="s">
        <v>5382</v>
      </c>
      <c r="F2337" s="192" t="s">
        <v>789</v>
      </c>
      <c r="G2337" s="192" t="s">
        <v>3627</v>
      </c>
      <c r="H2337" s="192" t="s">
        <v>3624</v>
      </c>
      <c r="I2337" t="s">
        <v>3414</v>
      </c>
      <c r="J2337" t="s">
        <v>865</v>
      </c>
      <c r="K2337" t="s">
        <v>797</v>
      </c>
    </row>
    <row r="2338" spans="2:11" x14ac:dyDescent="0.25">
      <c r="B2338" s="191"/>
      <c r="C2338" s="191"/>
      <c r="D2338" s="192" t="s">
        <v>5383</v>
      </c>
      <c r="E2338" t="s">
        <v>5384</v>
      </c>
      <c r="F2338" s="192" t="s">
        <v>789</v>
      </c>
      <c r="G2338" s="192" t="s">
        <v>3630</v>
      </c>
      <c r="H2338" s="192" t="s">
        <v>3624</v>
      </c>
      <c r="I2338" t="s">
        <v>3414</v>
      </c>
      <c r="J2338" t="s">
        <v>865</v>
      </c>
      <c r="K2338" t="s">
        <v>797</v>
      </c>
    </row>
    <row r="2339" spans="2:11" x14ac:dyDescent="0.25">
      <c r="B2339" s="191"/>
      <c r="C2339" s="191" t="s">
        <v>5385</v>
      </c>
      <c r="D2339" s="192"/>
      <c r="E2339" s="185" t="s">
        <v>5386</v>
      </c>
      <c r="F2339" s="192" t="s">
        <v>789</v>
      </c>
      <c r="G2339" s="192" t="s">
        <v>790</v>
      </c>
      <c r="H2339" s="192" t="s">
        <v>790</v>
      </c>
      <c r="I2339" t="s">
        <v>3414</v>
      </c>
    </row>
    <row r="2340" spans="2:11" x14ac:dyDescent="0.25">
      <c r="B2340" s="191"/>
      <c r="C2340" s="191"/>
      <c r="D2340" s="192" t="s">
        <v>5387</v>
      </c>
      <c r="E2340" t="s">
        <v>5388</v>
      </c>
      <c r="F2340" s="192" t="s">
        <v>789</v>
      </c>
      <c r="G2340" s="192" t="s">
        <v>3675</v>
      </c>
      <c r="H2340" s="192" t="s">
        <v>3624</v>
      </c>
      <c r="I2340" t="s">
        <v>3414</v>
      </c>
      <c r="J2340" t="s">
        <v>865</v>
      </c>
      <c r="K2340" t="s">
        <v>797</v>
      </c>
    </row>
    <row r="2341" spans="2:11" x14ac:dyDescent="0.25">
      <c r="B2341" s="191"/>
      <c r="C2341" s="191"/>
      <c r="D2341" s="192" t="s">
        <v>5389</v>
      </c>
      <c r="E2341" t="s">
        <v>5390</v>
      </c>
      <c r="F2341" s="192" t="s">
        <v>789</v>
      </c>
      <c r="G2341" s="192" t="s">
        <v>3623</v>
      </c>
      <c r="H2341" s="192" t="s">
        <v>3624</v>
      </c>
      <c r="I2341" t="s">
        <v>3414</v>
      </c>
      <c r="J2341" t="s">
        <v>865</v>
      </c>
      <c r="K2341" t="s">
        <v>797</v>
      </c>
    </row>
    <row r="2342" spans="2:11" x14ac:dyDescent="0.25">
      <c r="B2342" s="191"/>
      <c r="C2342" s="191"/>
      <c r="D2342" s="192" t="s">
        <v>5391</v>
      </c>
      <c r="E2342" t="s">
        <v>5392</v>
      </c>
      <c r="F2342" s="192" t="s">
        <v>789</v>
      </c>
      <c r="G2342" s="192" t="s">
        <v>3627</v>
      </c>
      <c r="H2342" s="192" t="s">
        <v>3624</v>
      </c>
      <c r="I2342" t="s">
        <v>3414</v>
      </c>
      <c r="J2342" t="s">
        <v>865</v>
      </c>
      <c r="K2342" t="s">
        <v>797</v>
      </c>
    </row>
    <row r="2343" spans="2:11" x14ac:dyDescent="0.25">
      <c r="B2343" s="191"/>
      <c r="C2343" s="191"/>
      <c r="D2343" s="192" t="s">
        <v>5393</v>
      </c>
      <c r="E2343" t="s">
        <v>5394</v>
      </c>
      <c r="F2343" s="192" t="s">
        <v>789</v>
      </c>
      <c r="G2343" s="192" t="s">
        <v>3630</v>
      </c>
      <c r="H2343" s="192" t="s">
        <v>3624</v>
      </c>
      <c r="I2343" t="s">
        <v>3414</v>
      </c>
      <c r="J2343" t="s">
        <v>865</v>
      </c>
      <c r="K2343" t="s">
        <v>797</v>
      </c>
    </row>
    <row r="2344" spans="2:11" x14ac:dyDescent="0.25">
      <c r="B2344" s="191"/>
      <c r="C2344" s="191" t="s">
        <v>5395</v>
      </c>
      <c r="D2344" s="192"/>
      <c r="E2344" s="185" t="s">
        <v>5396</v>
      </c>
      <c r="F2344" s="192" t="s">
        <v>789</v>
      </c>
      <c r="G2344" s="192" t="s">
        <v>790</v>
      </c>
      <c r="H2344" s="192" t="s">
        <v>790</v>
      </c>
      <c r="I2344" t="s">
        <v>3414</v>
      </c>
    </row>
    <row r="2345" spans="2:11" x14ac:dyDescent="0.25">
      <c r="B2345" s="191"/>
      <c r="C2345" s="191"/>
      <c r="D2345" s="192" t="s">
        <v>5397</v>
      </c>
      <c r="E2345" t="s">
        <v>5398</v>
      </c>
      <c r="F2345" s="192" t="s">
        <v>789</v>
      </c>
      <c r="G2345" s="192" t="s">
        <v>3675</v>
      </c>
      <c r="H2345" s="192" t="s">
        <v>3624</v>
      </c>
      <c r="I2345" t="s">
        <v>3414</v>
      </c>
      <c r="J2345" t="s">
        <v>865</v>
      </c>
      <c r="K2345" t="s">
        <v>797</v>
      </c>
    </row>
    <row r="2346" spans="2:11" x14ac:dyDescent="0.25">
      <c r="B2346" s="191"/>
      <c r="C2346" s="191"/>
      <c r="D2346" s="192" t="s">
        <v>5399</v>
      </c>
      <c r="E2346" t="s">
        <v>5400</v>
      </c>
      <c r="F2346" s="192" t="s">
        <v>789</v>
      </c>
      <c r="G2346" s="192" t="s">
        <v>3623</v>
      </c>
      <c r="H2346" s="192" t="s">
        <v>3624</v>
      </c>
      <c r="I2346" t="s">
        <v>3414</v>
      </c>
      <c r="J2346" t="s">
        <v>865</v>
      </c>
      <c r="K2346" t="s">
        <v>797</v>
      </c>
    </row>
    <row r="2347" spans="2:11" x14ac:dyDescent="0.25">
      <c r="B2347" s="191"/>
      <c r="C2347" s="191"/>
      <c r="D2347" s="192" t="s">
        <v>5401</v>
      </c>
      <c r="E2347" t="s">
        <v>5402</v>
      </c>
      <c r="F2347" s="192" t="s">
        <v>789</v>
      </c>
      <c r="G2347" s="192" t="s">
        <v>3627</v>
      </c>
      <c r="H2347" s="192" t="s">
        <v>3624</v>
      </c>
      <c r="I2347" t="s">
        <v>3414</v>
      </c>
      <c r="J2347" t="s">
        <v>865</v>
      </c>
      <c r="K2347" t="s">
        <v>797</v>
      </c>
    </row>
    <row r="2348" spans="2:11" x14ac:dyDescent="0.25">
      <c r="B2348" s="191"/>
      <c r="C2348" s="191"/>
      <c r="D2348" s="192" t="s">
        <v>5403</v>
      </c>
      <c r="E2348" t="s">
        <v>5404</v>
      </c>
      <c r="F2348" s="192" t="s">
        <v>789</v>
      </c>
      <c r="G2348" s="192" t="s">
        <v>3630</v>
      </c>
      <c r="H2348" s="192" t="s">
        <v>3624</v>
      </c>
      <c r="I2348" t="s">
        <v>3414</v>
      </c>
      <c r="J2348" t="s">
        <v>865</v>
      </c>
      <c r="K2348" t="s">
        <v>797</v>
      </c>
    </row>
    <row r="2349" spans="2:11" x14ac:dyDescent="0.25">
      <c r="B2349" s="191"/>
      <c r="C2349" s="191" t="s">
        <v>5405</v>
      </c>
      <c r="D2349" s="192"/>
      <c r="E2349" s="185" t="s">
        <v>5406</v>
      </c>
      <c r="F2349" s="192" t="s">
        <v>789</v>
      </c>
      <c r="G2349" s="192" t="s">
        <v>790</v>
      </c>
      <c r="H2349" s="192" t="s">
        <v>790</v>
      </c>
      <c r="I2349" t="s">
        <v>3414</v>
      </c>
    </row>
    <row r="2350" spans="2:11" x14ac:dyDescent="0.25">
      <c r="B2350" s="191"/>
      <c r="C2350" s="191"/>
      <c r="D2350" s="192" t="s">
        <v>5407</v>
      </c>
      <c r="E2350" t="s">
        <v>5408</v>
      </c>
      <c r="F2350" s="192" t="s">
        <v>789</v>
      </c>
      <c r="G2350" s="192" t="s">
        <v>3675</v>
      </c>
      <c r="H2350" s="192" t="s">
        <v>3624</v>
      </c>
      <c r="I2350" t="s">
        <v>3414</v>
      </c>
      <c r="J2350" t="s">
        <v>865</v>
      </c>
      <c r="K2350" t="s">
        <v>797</v>
      </c>
    </row>
    <row r="2351" spans="2:11" x14ac:dyDescent="0.25">
      <c r="B2351" s="191"/>
      <c r="C2351" s="191"/>
      <c r="D2351" s="192" t="s">
        <v>5409</v>
      </c>
      <c r="E2351" t="s">
        <v>5410</v>
      </c>
      <c r="F2351" s="192" t="s">
        <v>789</v>
      </c>
      <c r="G2351" s="192" t="s">
        <v>3623</v>
      </c>
      <c r="H2351" s="192" t="s">
        <v>3624</v>
      </c>
      <c r="I2351" t="s">
        <v>3414</v>
      </c>
      <c r="J2351" t="s">
        <v>865</v>
      </c>
      <c r="K2351" t="s">
        <v>797</v>
      </c>
    </row>
    <row r="2352" spans="2:11" x14ac:dyDescent="0.25">
      <c r="B2352" s="191"/>
      <c r="C2352" s="191"/>
      <c r="D2352" s="192" t="s">
        <v>5411</v>
      </c>
      <c r="E2352" t="s">
        <v>5412</v>
      </c>
      <c r="F2352" s="192" t="s">
        <v>789</v>
      </c>
      <c r="G2352" s="192" t="s">
        <v>3627</v>
      </c>
      <c r="H2352" s="192" t="s">
        <v>3624</v>
      </c>
      <c r="I2352" t="s">
        <v>3414</v>
      </c>
      <c r="J2352" t="s">
        <v>865</v>
      </c>
      <c r="K2352" t="s">
        <v>797</v>
      </c>
    </row>
    <row r="2353" spans="2:11" x14ac:dyDescent="0.25">
      <c r="B2353" s="191"/>
      <c r="C2353" s="191"/>
      <c r="D2353" s="192" t="s">
        <v>5413</v>
      </c>
      <c r="E2353" t="s">
        <v>5414</v>
      </c>
      <c r="F2353" s="192" t="s">
        <v>789</v>
      </c>
      <c r="G2353" s="192" t="s">
        <v>3630</v>
      </c>
      <c r="H2353" s="192" t="s">
        <v>3624</v>
      </c>
      <c r="I2353" t="s">
        <v>3414</v>
      </c>
      <c r="J2353" t="s">
        <v>865</v>
      </c>
      <c r="K2353" t="s">
        <v>797</v>
      </c>
    </row>
    <row r="2354" spans="2:11" x14ac:dyDescent="0.25">
      <c r="B2354" s="191"/>
      <c r="C2354" s="191" t="s">
        <v>5415</v>
      </c>
      <c r="D2354" s="192"/>
      <c r="E2354" s="185" t="s">
        <v>5416</v>
      </c>
      <c r="F2354" s="192" t="s">
        <v>789</v>
      </c>
      <c r="G2354" s="192" t="s">
        <v>790</v>
      </c>
      <c r="H2354" s="192" t="s">
        <v>790</v>
      </c>
      <c r="I2354" t="s">
        <v>3414</v>
      </c>
    </row>
    <row r="2355" spans="2:11" x14ac:dyDescent="0.25">
      <c r="B2355" s="191"/>
      <c r="C2355" s="191" t="s">
        <v>5417</v>
      </c>
      <c r="D2355" s="192"/>
      <c r="E2355" s="185" t="s">
        <v>5418</v>
      </c>
      <c r="F2355" s="192" t="s">
        <v>789</v>
      </c>
      <c r="G2355" s="192" t="s">
        <v>790</v>
      </c>
      <c r="H2355" s="192" t="s">
        <v>790</v>
      </c>
      <c r="I2355" t="s">
        <v>3414</v>
      </c>
    </row>
    <row r="2356" spans="2:11" x14ac:dyDescent="0.25">
      <c r="B2356" s="191"/>
      <c r="C2356" s="191" t="s">
        <v>5419</v>
      </c>
      <c r="D2356" s="192"/>
      <c r="E2356" s="185" t="s">
        <v>5420</v>
      </c>
      <c r="F2356" s="192" t="s">
        <v>789</v>
      </c>
      <c r="G2356" s="192" t="s">
        <v>790</v>
      </c>
      <c r="H2356" s="192" t="s">
        <v>790</v>
      </c>
      <c r="I2356" t="s">
        <v>3414</v>
      </c>
    </row>
    <row r="2357" spans="2:11" x14ac:dyDescent="0.25">
      <c r="B2357" s="191"/>
      <c r="C2357" s="191"/>
      <c r="D2357" s="192" t="s">
        <v>5421</v>
      </c>
      <c r="E2357" t="s">
        <v>5422</v>
      </c>
      <c r="F2357" s="192" t="s">
        <v>789</v>
      </c>
      <c r="G2357" s="192" t="s">
        <v>3627</v>
      </c>
      <c r="H2357" s="192" t="s">
        <v>5423</v>
      </c>
      <c r="I2357" t="s">
        <v>3414</v>
      </c>
      <c r="J2357" t="s">
        <v>865</v>
      </c>
      <c r="K2357" t="s">
        <v>797</v>
      </c>
    </row>
    <row r="2358" spans="2:11" x14ac:dyDescent="0.25">
      <c r="B2358" s="191"/>
      <c r="C2358" s="191"/>
      <c r="D2358" s="192" t="s">
        <v>5424</v>
      </c>
      <c r="E2358" t="s">
        <v>5425</v>
      </c>
      <c r="F2358" s="192" t="s">
        <v>789</v>
      </c>
      <c r="G2358" s="192" t="s">
        <v>3630</v>
      </c>
      <c r="H2358" s="192" t="s">
        <v>5423</v>
      </c>
      <c r="I2358" t="s">
        <v>3414</v>
      </c>
      <c r="J2358" t="s">
        <v>865</v>
      </c>
      <c r="K2358" t="s">
        <v>797</v>
      </c>
    </row>
    <row r="2359" spans="2:11" x14ac:dyDescent="0.25">
      <c r="B2359" s="191"/>
      <c r="C2359" s="191" t="s">
        <v>5426</v>
      </c>
      <c r="D2359" s="192"/>
      <c r="E2359" s="185" t="s">
        <v>5427</v>
      </c>
      <c r="F2359" s="192" t="s">
        <v>789</v>
      </c>
      <c r="G2359" s="192" t="s">
        <v>790</v>
      </c>
      <c r="H2359" s="192" t="s">
        <v>790</v>
      </c>
      <c r="I2359" t="s">
        <v>3414</v>
      </c>
    </row>
    <row r="2360" spans="2:11" x14ac:dyDescent="0.25">
      <c r="B2360" s="191"/>
      <c r="C2360" s="191"/>
      <c r="D2360" s="192" t="s">
        <v>5428</v>
      </c>
      <c r="E2360" t="s">
        <v>5429</v>
      </c>
      <c r="F2360" s="192" t="s">
        <v>789</v>
      </c>
      <c r="G2360" s="192" t="s">
        <v>3627</v>
      </c>
      <c r="H2360" s="192" t="s">
        <v>5423</v>
      </c>
      <c r="I2360" t="s">
        <v>3414</v>
      </c>
      <c r="J2360" t="s">
        <v>865</v>
      </c>
      <c r="K2360" t="s">
        <v>797</v>
      </c>
    </row>
    <row r="2361" spans="2:11" x14ac:dyDescent="0.25">
      <c r="B2361" s="191"/>
      <c r="C2361" s="191"/>
      <c r="D2361" s="192" t="s">
        <v>5430</v>
      </c>
      <c r="E2361" t="s">
        <v>5431</v>
      </c>
      <c r="F2361" s="192" t="s">
        <v>789</v>
      </c>
      <c r="G2361" s="192" t="s">
        <v>3630</v>
      </c>
      <c r="H2361" s="192" t="s">
        <v>5423</v>
      </c>
      <c r="I2361" t="s">
        <v>3414</v>
      </c>
      <c r="J2361" t="s">
        <v>865</v>
      </c>
      <c r="K2361" t="s">
        <v>797</v>
      </c>
    </row>
    <row r="2362" spans="2:11" x14ac:dyDescent="0.25">
      <c r="B2362" s="191"/>
      <c r="C2362" s="191" t="s">
        <v>5432</v>
      </c>
      <c r="D2362" s="192"/>
      <c r="E2362" s="185" t="s">
        <v>5433</v>
      </c>
      <c r="F2362" s="192" t="s">
        <v>789</v>
      </c>
      <c r="G2362" s="192" t="s">
        <v>790</v>
      </c>
      <c r="H2362" s="192" t="s">
        <v>790</v>
      </c>
      <c r="I2362" t="s">
        <v>3414</v>
      </c>
    </row>
    <row r="2363" spans="2:11" x14ac:dyDescent="0.25">
      <c r="B2363" s="191"/>
      <c r="C2363" s="191"/>
      <c r="D2363" s="192" t="s">
        <v>5434</v>
      </c>
      <c r="E2363" t="s">
        <v>5435</v>
      </c>
      <c r="F2363" s="192" t="s">
        <v>789</v>
      </c>
      <c r="G2363" s="192" t="s">
        <v>3627</v>
      </c>
      <c r="H2363" s="192" t="s">
        <v>5423</v>
      </c>
      <c r="I2363" t="s">
        <v>3414</v>
      </c>
      <c r="J2363" t="s">
        <v>865</v>
      </c>
      <c r="K2363" t="s">
        <v>797</v>
      </c>
    </row>
    <row r="2364" spans="2:11" x14ac:dyDescent="0.25">
      <c r="B2364" s="191"/>
      <c r="C2364" s="191"/>
      <c r="D2364" s="192" t="s">
        <v>5436</v>
      </c>
      <c r="E2364" t="s">
        <v>5437</v>
      </c>
      <c r="F2364" s="192" t="s">
        <v>789</v>
      </c>
      <c r="G2364" s="192" t="s">
        <v>3630</v>
      </c>
      <c r="H2364" s="192" t="s">
        <v>5423</v>
      </c>
      <c r="I2364" t="s">
        <v>3414</v>
      </c>
      <c r="J2364" t="s">
        <v>865</v>
      </c>
      <c r="K2364" t="s">
        <v>797</v>
      </c>
    </row>
    <row r="2365" spans="2:11" x14ac:dyDescent="0.25">
      <c r="B2365" s="191"/>
      <c r="C2365" s="191" t="s">
        <v>5438</v>
      </c>
      <c r="D2365" s="192"/>
      <c r="E2365" s="185" t="s">
        <v>5439</v>
      </c>
      <c r="F2365" s="192" t="s">
        <v>789</v>
      </c>
      <c r="G2365" s="192" t="s">
        <v>790</v>
      </c>
      <c r="H2365" s="192" t="s">
        <v>790</v>
      </c>
      <c r="I2365" t="s">
        <v>3414</v>
      </c>
    </row>
    <row r="2366" spans="2:11" x14ac:dyDescent="0.25">
      <c r="B2366" s="191"/>
      <c r="C2366" s="191"/>
      <c r="D2366" s="192" t="s">
        <v>5440</v>
      </c>
      <c r="E2366" t="s">
        <v>5441</v>
      </c>
      <c r="F2366" s="192" t="s">
        <v>789</v>
      </c>
      <c r="G2366" s="192" t="s">
        <v>3627</v>
      </c>
      <c r="H2366" s="192" t="s">
        <v>5423</v>
      </c>
      <c r="I2366" t="s">
        <v>3414</v>
      </c>
      <c r="J2366" t="s">
        <v>865</v>
      </c>
      <c r="K2366" t="s">
        <v>797</v>
      </c>
    </row>
    <row r="2367" spans="2:11" x14ac:dyDescent="0.25">
      <c r="B2367" s="191"/>
      <c r="C2367" s="191"/>
      <c r="D2367" s="192" t="s">
        <v>5442</v>
      </c>
      <c r="E2367" t="s">
        <v>5443</v>
      </c>
      <c r="F2367" s="192" t="s">
        <v>789</v>
      </c>
      <c r="G2367" s="192" t="s">
        <v>3630</v>
      </c>
      <c r="H2367" s="192" t="s">
        <v>5423</v>
      </c>
      <c r="I2367" t="s">
        <v>3414</v>
      </c>
      <c r="J2367" t="s">
        <v>865</v>
      </c>
      <c r="K2367" t="s">
        <v>797</v>
      </c>
    </row>
    <row r="2368" spans="2:11" x14ac:dyDescent="0.25">
      <c r="B2368" s="191"/>
      <c r="C2368" s="191" t="s">
        <v>5444</v>
      </c>
      <c r="D2368" s="192"/>
      <c r="E2368" s="185" t="s">
        <v>5445</v>
      </c>
      <c r="F2368" s="192" t="s">
        <v>789</v>
      </c>
      <c r="G2368" s="192" t="s">
        <v>790</v>
      </c>
      <c r="H2368" s="192" t="s">
        <v>790</v>
      </c>
      <c r="I2368" t="s">
        <v>3414</v>
      </c>
    </row>
    <row r="2369" spans="2:11" x14ac:dyDescent="0.25">
      <c r="B2369" s="191"/>
      <c r="C2369" s="191"/>
      <c r="D2369" s="192" t="s">
        <v>5446</v>
      </c>
      <c r="E2369" t="s">
        <v>5447</v>
      </c>
      <c r="F2369" s="192" t="s">
        <v>789</v>
      </c>
      <c r="G2369" s="192" t="s">
        <v>3627</v>
      </c>
      <c r="H2369" s="192" t="s">
        <v>5423</v>
      </c>
      <c r="I2369" t="s">
        <v>3414</v>
      </c>
      <c r="J2369" t="s">
        <v>865</v>
      </c>
      <c r="K2369" t="s">
        <v>797</v>
      </c>
    </row>
    <row r="2370" spans="2:11" x14ac:dyDescent="0.25">
      <c r="B2370" s="191"/>
      <c r="C2370" s="191"/>
      <c r="D2370" s="192" t="s">
        <v>5448</v>
      </c>
      <c r="E2370" t="s">
        <v>5449</v>
      </c>
      <c r="F2370" s="192" t="s">
        <v>789</v>
      </c>
      <c r="G2370" s="192" t="s">
        <v>3630</v>
      </c>
      <c r="H2370" s="192" t="s">
        <v>5423</v>
      </c>
      <c r="I2370" t="s">
        <v>3414</v>
      </c>
      <c r="J2370" t="s">
        <v>865</v>
      </c>
      <c r="K2370" t="s">
        <v>797</v>
      </c>
    </row>
    <row r="2371" spans="2:11" x14ac:dyDescent="0.25">
      <c r="B2371" s="191"/>
      <c r="C2371" s="191" t="s">
        <v>5450</v>
      </c>
      <c r="D2371" s="192"/>
      <c r="E2371" s="185" t="s">
        <v>5451</v>
      </c>
      <c r="F2371" s="192" t="s">
        <v>789</v>
      </c>
      <c r="G2371" s="192" t="s">
        <v>790</v>
      </c>
      <c r="H2371" s="192" t="s">
        <v>790</v>
      </c>
      <c r="I2371" t="s">
        <v>3414</v>
      </c>
    </row>
    <row r="2372" spans="2:11" x14ac:dyDescent="0.25">
      <c r="B2372" s="191"/>
      <c r="C2372" s="191" t="s">
        <v>5452</v>
      </c>
      <c r="D2372" s="192"/>
      <c r="E2372" s="185" t="s">
        <v>2616</v>
      </c>
      <c r="F2372" s="192" t="s">
        <v>789</v>
      </c>
      <c r="G2372" s="192" t="s">
        <v>790</v>
      </c>
      <c r="H2372" s="192" t="s">
        <v>790</v>
      </c>
      <c r="I2372" t="s">
        <v>3414</v>
      </c>
    </row>
    <row r="2373" spans="2:11" x14ac:dyDescent="0.25">
      <c r="B2373" s="191"/>
      <c r="C2373" s="191"/>
      <c r="D2373" s="192" t="s">
        <v>5453</v>
      </c>
      <c r="E2373" t="s">
        <v>5454</v>
      </c>
      <c r="F2373" s="192" t="s">
        <v>789</v>
      </c>
      <c r="G2373" s="192" t="s">
        <v>3627</v>
      </c>
      <c r="H2373" s="192" t="s">
        <v>5423</v>
      </c>
      <c r="I2373" t="s">
        <v>3414</v>
      </c>
      <c r="J2373" t="s">
        <v>865</v>
      </c>
      <c r="K2373" t="s">
        <v>797</v>
      </c>
    </row>
    <row r="2374" spans="2:11" x14ac:dyDescent="0.25">
      <c r="B2374" s="191"/>
      <c r="C2374" s="191"/>
      <c r="D2374" s="192" t="s">
        <v>5455</v>
      </c>
      <c r="E2374" t="s">
        <v>5456</v>
      </c>
      <c r="F2374" s="192" t="s">
        <v>789</v>
      </c>
      <c r="G2374" s="192" t="s">
        <v>3630</v>
      </c>
      <c r="H2374" s="192" t="s">
        <v>5423</v>
      </c>
      <c r="I2374" t="s">
        <v>3414</v>
      </c>
      <c r="J2374" t="s">
        <v>865</v>
      </c>
      <c r="K2374" t="s">
        <v>797</v>
      </c>
    </row>
    <row r="2375" spans="2:11" x14ac:dyDescent="0.25">
      <c r="B2375" s="191"/>
      <c r="C2375" s="191" t="s">
        <v>5457</v>
      </c>
      <c r="D2375" s="192"/>
      <c r="E2375" s="185" t="s">
        <v>5458</v>
      </c>
      <c r="F2375" s="192" t="s">
        <v>789</v>
      </c>
      <c r="G2375" s="192" t="s">
        <v>790</v>
      </c>
      <c r="H2375" s="192" t="s">
        <v>790</v>
      </c>
      <c r="I2375" t="s">
        <v>3414</v>
      </c>
    </row>
    <row r="2376" spans="2:11" x14ac:dyDescent="0.25">
      <c r="B2376" s="191"/>
      <c r="C2376" s="191"/>
      <c r="D2376" s="192" t="s">
        <v>5459</v>
      </c>
      <c r="E2376" t="s">
        <v>5460</v>
      </c>
      <c r="F2376" s="192" t="s">
        <v>789</v>
      </c>
      <c r="G2376" s="192" t="s">
        <v>3627</v>
      </c>
      <c r="H2376" s="192" t="s">
        <v>5423</v>
      </c>
      <c r="I2376" t="s">
        <v>3414</v>
      </c>
      <c r="J2376" t="s">
        <v>865</v>
      </c>
      <c r="K2376" t="s">
        <v>797</v>
      </c>
    </row>
    <row r="2377" spans="2:11" x14ac:dyDescent="0.25">
      <c r="B2377" s="191"/>
      <c r="C2377" s="191"/>
      <c r="D2377" s="192" t="s">
        <v>5461</v>
      </c>
      <c r="E2377" t="s">
        <v>5462</v>
      </c>
      <c r="F2377" s="192" t="s">
        <v>789</v>
      </c>
      <c r="G2377" s="192" t="s">
        <v>3630</v>
      </c>
      <c r="H2377" s="192" t="s">
        <v>5423</v>
      </c>
      <c r="I2377" t="s">
        <v>3414</v>
      </c>
      <c r="J2377" t="s">
        <v>865</v>
      </c>
      <c r="K2377" t="s">
        <v>797</v>
      </c>
    </row>
    <row r="2378" spans="2:11" x14ac:dyDescent="0.25">
      <c r="B2378" s="191"/>
      <c r="C2378" s="191" t="s">
        <v>5463</v>
      </c>
      <c r="D2378" s="192"/>
      <c r="E2378" s="185" t="s">
        <v>5464</v>
      </c>
      <c r="F2378" s="192" t="s">
        <v>789</v>
      </c>
      <c r="G2378" s="192" t="s">
        <v>790</v>
      </c>
      <c r="H2378" s="192" t="s">
        <v>790</v>
      </c>
      <c r="I2378" t="s">
        <v>3414</v>
      </c>
    </row>
    <row r="2379" spans="2:11" x14ac:dyDescent="0.25">
      <c r="B2379" s="191"/>
      <c r="C2379" s="191" t="s">
        <v>5465</v>
      </c>
      <c r="D2379" s="192"/>
      <c r="E2379" s="185" t="s">
        <v>5466</v>
      </c>
      <c r="F2379" s="192" t="s">
        <v>789</v>
      </c>
      <c r="G2379" s="192" t="s">
        <v>790</v>
      </c>
      <c r="H2379" s="192" t="s">
        <v>790</v>
      </c>
      <c r="I2379" t="s">
        <v>3414</v>
      </c>
    </row>
    <row r="2380" spans="2:11" x14ac:dyDescent="0.25">
      <c r="B2380" s="191"/>
      <c r="C2380" s="191" t="s">
        <v>5467</v>
      </c>
      <c r="D2380" s="192"/>
      <c r="E2380" s="185" t="s">
        <v>5468</v>
      </c>
      <c r="F2380" s="192" t="s">
        <v>789</v>
      </c>
      <c r="G2380" s="192" t="s">
        <v>790</v>
      </c>
      <c r="H2380" s="192" t="s">
        <v>790</v>
      </c>
      <c r="I2380" t="s">
        <v>3414</v>
      </c>
    </row>
    <row r="2381" spans="2:11" x14ac:dyDescent="0.25">
      <c r="B2381" s="191"/>
      <c r="C2381" s="191"/>
      <c r="D2381" s="192" t="s">
        <v>5469</v>
      </c>
      <c r="E2381" t="s">
        <v>5470</v>
      </c>
      <c r="F2381" s="192" t="s">
        <v>789</v>
      </c>
      <c r="G2381" s="192" t="s">
        <v>3675</v>
      </c>
      <c r="H2381" s="192" t="s">
        <v>5423</v>
      </c>
      <c r="I2381" t="s">
        <v>3414</v>
      </c>
      <c r="J2381" t="s">
        <v>865</v>
      </c>
      <c r="K2381" t="s">
        <v>797</v>
      </c>
    </row>
    <row r="2382" spans="2:11" x14ac:dyDescent="0.25">
      <c r="B2382" s="191"/>
      <c r="C2382" s="191"/>
      <c r="D2382" s="192" t="s">
        <v>5471</v>
      </c>
      <c r="E2382" t="s">
        <v>5472</v>
      </c>
      <c r="F2382" s="192" t="s">
        <v>789</v>
      </c>
      <c r="G2382" s="192" t="s">
        <v>3623</v>
      </c>
      <c r="H2382" s="192" t="s">
        <v>5423</v>
      </c>
      <c r="I2382" t="s">
        <v>3414</v>
      </c>
      <c r="J2382" t="s">
        <v>865</v>
      </c>
      <c r="K2382" t="s">
        <v>797</v>
      </c>
    </row>
    <row r="2383" spans="2:11" x14ac:dyDescent="0.25">
      <c r="B2383" s="191"/>
      <c r="C2383" s="191"/>
      <c r="D2383" s="192" t="s">
        <v>5473</v>
      </c>
      <c r="E2383" t="s">
        <v>5474</v>
      </c>
      <c r="F2383" s="192" t="s">
        <v>789</v>
      </c>
      <c r="G2383" s="192" t="s">
        <v>3627</v>
      </c>
      <c r="H2383" s="192" t="s">
        <v>5423</v>
      </c>
      <c r="I2383" t="s">
        <v>3414</v>
      </c>
      <c r="J2383" t="s">
        <v>865</v>
      </c>
      <c r="K2383" t="s">
        <v>797</v>
      </c>
    </row>
    <row r="2384" spans="2:11" x14ac:dyDescent="0.25">
      <c r="B2384" s="191"/>
      <c r="C2384" s="191"/>
      <c r="D2384" s="192" t="s">
        <v>5475</v>
      </c>
      <c r="E2384" t="s">
        <v>5476</v>
      </c>
      <c r="F2384" s="192" t="s">
        <v>789</v>
      </c>
      <c r="G2384" s="192" t="s">
        <v>3630</v>
      </c>
      <c r="H2384" s="192" t="s">
        <v>5423</v>
      </c>
      <c r="I2384" t="s">
        <v>3414</v>
      </c>
      <c r="J2384" t="s">
        <v>865</v>
      </c>
      <c r="K2384" t="s">
        <v>797</v>
      </c>
    </row>
    <row r="2385" spans="2:11" x14ac:dyDescent="0.25">
      <c r="B2385" s="191"/>
      <c r="C2385" s="191" t="s">
        <v>5477</v>
      </c>
      <c r="D2385" s="192"/>
      <c r="E2385" s="185" t="s">
        <v>5478</v>
      </c>
      <c r="F2385" s="192" t="s">
        <v>789</v>
      </c>
      <c r="G2385" s="192" t="s">
        <v>790</v>
      </c>
      <c r="H2385" s="192" t="s">
        <v>790</v>
      </c>
      <c r="I2385" t="s">
        <v>3414</v>
      </c>
    </row>
    <row r="2386" spans="2:11" x14ac:dyDescent="0.25">
      <c r="B2386" s="191"/>
      <c r="C2386" s="191"/>
      <c r="D2386" s="192" t="s">
        <v>5479</v>
      </c>
      <c r="E2386" t="s">
        <v>5480</v>
      </c>
      <c r="F2386" s="192" t="s">
        <v>789</v>
      </c>
      <c r="G2386" s="192" t="s">
        <v>3675</v>
      </c>
      <c r="H2386" s="192" t="s">
        <v>3624</v>
      </c>
      <c r="I2386" t="s">
        <v>3414</v>
      </c>
      <c r="J2386" t="s">
        <v>865</v>
      </c>
      <c r="K2386" t="s">
        <v>797</v>
      </c>
    </row>
    <row r="2387" spans="2:11" x14ac:dyDescent="0.25">
      <c r="B2387" s="191"/>
      <c r="C2387" s="191"/>
      <c r="D2387" s="192" t="s">
        <v>5481</v>
      </c>
      <c r="E2387" t="s">
        <v>5482</v>
      </c>
      <c r="F2387" s="192" t="s">
        <v>789</v>
      </c>
      <c r="G2387" s="192" t="s">
        <v>3623</v>
      </c>
      <c r="H2387" s="192" t="s">
        <v>3624</v>
      </c>
      <c r="I2387" t="s">
        <v>3414</v>
      </c>
      <c r="J2387" t="s">
        <v>865</v>
      </c>
      <c r="K2387" t="s">
        <v>797</v>
      </c>
    </row>
    <row r="2388" spans="2:11" x14ac:dyDescent="0.25">
      <c r="B2388" s="191"/>
      <c r="C2388" s="191"/>
      <c r="D2388" s="192" t="s">
        <v>5483</v>
      </c>
      <c r="E2388" t="s">
        <v>5484</v>
      </c>
      <c r="F2388" s="192" t="s">
        <v>789</v>
      </c>
      <c r="G2388" s="192" t="s">
        <v>3627</v>
      </c>
      <c r="H2388" s="192" t="s">
        <v>3624</v>
      </c>
      <c r="I2388" t="s">
        <v>3414</v>
      </c>
      <c r="J2388" t="s">
        <v>865</v>
      </c>
      <c r="K2388" t="s">
        <v>797</v>
      </c>
    </row>
    <row r="2389" spans="2:11" x14ac:dyDescent="0.25">
      <c r="B2389" s="191"/>
      <c r="C2389" s="191"/>
      <c r="D2389" s="192" t="s">
        <v>5485</v>
      </c>
      <c r="E2389" t="s">
        <v>5486</v>
      </c>
      <c r="F2389" s="192" t="s">
        <v>789</v>
      </c>
      <c r="G2389" s="192" t="s">
        <v>3630</v>
      </c>
      <c r="H2389" s="192" t="s">
        <v>3624</v>
      </c>
      <c r="I2389" t="s">
        <v>3414</v>
      </c>
      <c r="J2389" t="s">
        <v>865</v>
      </c>
      <c r="K2389" t="s">
        <v>797</v>
      </c>
    </row>
    <row r="2390" spans="2:11" x14ac:dyDescent="0.25">
      <c r="B2390" s="191"/>
      <c r="C2390" s="191" t="s">
        <v>5487</v>
      </c>
      <c r="D2390" s="192"/>
      <c r="E2390" s="185" t="s">
        <v>5488</v>
      </c>
      <c r="F2390" s="192" t="s">
        <v>789</v>
      </c>
      <c r="G2390" s="192" t="s">
        <v>790</v>
      </c>
      <c r="H2390" s="192" t="s">
        <v>790</v>
      </c>
      <c r="I2390" t="s">
        <v>820</v>
      </c>
    </row>
    <row r="2391" spans="2:11" x14ac:dyDescent="0.25">
      <c r="B2391" s="191"/>
      <c r="C2391" s="191" t="s">
        <v>5489</v>
      </c>
      <c r="D2391" s="192"/>
      <c r="E2391" s="185" t="s">
        <v>5490</v>
      </c>
      <c r="F2391" s="192" t="s">
        <v>789</v>
      </c>
      <c r="G2391" s="192" t="s">
        <v>790</v>
      </c>
      <c r="H2391" s="192" t="s">
        <v>790</v>
      </c>
      <c r="I2391" t="s">
        <v>3414</v>
      </c>
    </row>
    <row r="2392" spans="2:11" x14ac:dyDescent="0.25">
      <c r="B2392" s="191"/>
      <c r="C2392" s="191"/>
      <c r="D2392" s="192" t="s">
        <v>5491</v>
      </c>
      <c r="E2392" t="s">
        <v>5492</v>
      </c>
      <c r="F2392" s="192" t="s">
        <v>789</v>
      </c>
      <c r="G2392" s="192" t="s">
        <v>3675</v>
      </c>
      <c r="H2392" s="192" t="s">
        <v>3624</v>
      </c>
      <c r="I2392" t="s">
        <v>3414</v>
      </c>
      <c r="J2392" t="s">
        <v>865</v>
      </c>
      <c r="K2392" t="s">
        <v>797</v>
      </c>
    </row>
    <row r="2393" spans="2:11" x14ac:dyDescent="0.25">
      <c r="B2393" s="191"/>
      <c r="C2393" s="191"/>
      <c r="D2393" s="192" t="s">
        <v>5493</v>
      </c>
      <c r="E2393" t="s">
        <v>5494</v>
      </c>
      <c r="F2393" s="192" t="s">
        <v>789</v>
      </c>
      <c r="G2393" s="192" t="s">
        <v>3623</v>
      </c>
      <c r="H2393" s="192" t="s">
        <v>3624</v>
      </c>
      <c r="I2393" t="s">
        <v>3414</v>
      </c>
      <c r="J2393" t="s">
        <v>865</v>
      </c>
      <c r="K2393" t="s">
        <v>797</v>
      </c>
    </row>
    <row r="2394" spans="2:11" x14ac:dyDescent="0.25">
      <c r="B2394" s="191"/>
      <c r="C2394" s="191"/>
      <c r="D2394" s="192" t="s">
        <v>5495</v>
      </c>
      <c r="E2394" t="s">
        <v>5496</v>
      </c>
      <c r="F2394" s="192" t="s">
        <v>789</v>
      </c>
      <c r="G2394" s="192" t="s">
        <v>3627</v>
      </c>
      <c r="H2394" s="192" t="s">
        <v>3624</v>
      </c>
      <c r="I2394" t="s">
        <v>3414</v>
      </c>
      <c r="J2394" t="s">
        <v>865</v>
      </c>
      <c r="K2394" t="s">
        <v>797</v>
      </c>
    </row>
    <row r="2395" spans="2:11" x14ac:dyDescent="0.25">
      <c r="B2395" s="191"/>
      <c r="C2395" s="191"/>
      <c r="D2395" s="192" t="s">
        <v>5497</v>
      </c>
      <c r="E2395" t="s">
        <v>5498</v>
      </c>
      <c r="F2395" s="192" t="s">
        <v>789</v>
      </c>
      <c r="G2395" s="192" t="s">
        <v>3630</v>
      </c>
      <c r="H2395" s="192" t="s">
        <v>3624</v>
      </c>
      <c r="I2395" t="s">
        <v>3414</v>
      </c>
      <c r="J2395" t="s">
        <v>865</v>
      </c>
      <c r="K2395" t="s">
        <v>797</v>
      </c>
    </row>
    <row r="2396" spans="2:11" x14ac:dyDescent="0.25">
      <c r="B2396" s="191"/>
      <c r="C2396" s="191" t="s">
        <v>5499</v>
      </c>
      <c r="D2396" s="192"/>
      <c r="E2396" s="185" t="s">
        <v>5500</v>
      </c>
      <c r="F2396" s="192" t="s">
        <v>789</v>
      </c>
      <c r="G2396" s="192" t="s">
        <v>790</v>
      </c>
      <c r="H2396" s="192" t="s">
        <v>790</v>
      </c>
      <c r="I2396" t="s">
        <v>3414</v>
      </c>
    </row>
    <row r="2397" spans="2:11" x14ac:dyDescent="0.25">
      <c r="B2397" s="191"/>
      <c r="C2397" s="191"/>
      <c r="D2397" s="192" t="s">
        <v>5501</v>
      </c>
      <c r="E2397" t="s">
        <v>5502</v>
      </c>
      <c r="F2397" s="192" t="s">
        <v>789</v>
      </c>
      <c r="G2397" s="192" t="s">
        <v>3675</v>
      </c>
      <c r="H2397" s="192" t="s">
        <v>3624</v>
      </c>
      <c r="I2397" t="s">
        <v>3414</v>
      </c>
      <c r="J2397" t="s">
        <v>865</v>
      </c>
      <c r="K2397" t="s">
        <v>797</v>
      </c>
    </row>
    <row r="2398" spans="2:11" x14ac:dyDescent="0.25">
      <c r="B2398" s="191"/>
      <c r="C2398" s="191"/>
      <c r="D2398" s="192" t="s">
        <v>5503</v>
      </c>
      <c r="E2398" t="s">
        <v>5504</v>
      </c>
      <c r="F2398" s="192" t="s">
        <v>789</v>
      </c>
      <c r="G2398" s="192" t="s">
        <v>3623</v>
      </c>
      <c r="H2398" s="192" t="s">
        <v>3624</v>
      </c>
      <c r="I2398" t="s">
        <v>3414</v>
      </c>
      <c r="J2398" t="s">
        <v>865</v>
      </c>
      <c r="K2398" t="s">
        <v>797</v>
      </c>
    </row>
    <row r="2399" spans="2:11" x14ac:dyDescent="0.25">
      <c r="B2399" s="191"/>
      <c r="C2399" s="191"/>
      <c r="D2399" s="192" t="s">
        <v>5505</v>
      </c>
      <c r="E2399" t="s">
        <v>5506</v>
      </c>
      <c r="F2399" s="192" t="s">
        <v>789</v>
      </c>
      <c r="G2399" s="192" t="s">
        <v>3627</v>
      </c>
      <c r="H2399" s="192" t="s">
        <v>3624</v>
      </c>
      <c r="I2399" t="s">
        <v>3414</v>
      </c>
      <c r="J2399" t="s">
        <v>865</v>
      </c>
      <c r="K2399" t="s">
        <v>797</v>
      </c>
    </row>
    <row r="2400" spans="2:11" x14ac:dyDescent="0.25">
      <c r="B2400" s="191"/>
      <c r="C2400" s="191"/>
      <c r="D2400" s="192" t="s">
        <v>5507</v>
      </c>
      <c r="E2400" t="s">
        <v>5508</v>
      </c>
      <c r="F2400" s="192" t="s">
        <v>789</v>
      </c>
      <c r="G2400" s="192" t="s">
        <v>3630</v>
      </c>
      <c r="H2400" s="192" t="s">
        <v>3624</v>
      </c>
      <c r="I2400" t="s">
        <v>3414</v>
      </c>
      <c r="J2400" t="s">
        <v>865</v>
      </c>
      <c r="K2400" t="s">
        <v>797</v>
      </c>
    </row>
    <row r="2401" spans="2:11" x14ac:dyDescent="0.25">
      <c r="B2401" s="191"/>
      <c r="C2401" s="191" t="s">
        <v>5509</v>
      </c>
      <c r="D2401" s="192"/>
      <c r="E2401" s="185" t="s">
        <v>5510</v>
      </c>
      <c r="F2401" s="192" t="s">
        <v>789</v>
      </c>
      <c r="G2401" s="192" t="s">
        <v>790</v>
      </c>
      <c r="H2401" s="192" t="s">
        <v>790</v>
      </c>
      <c r="I2401" t="s">
        <v>3414</v>
      </c>
    </row>
    <row r="2402" spans="2:11" x14ac:dyDescent="0.25">
      <c r="B2402" s="191"/>
      <c r="C2402" s="191"/>
      <c r="D2402" s="192" t="s">
        <v>5511</v>
      </c>
      <c r="E2402" t="s">
        <v>5512</v>
      </c>
      <c r="F2402" s="192" t="s">
        <v>789</v>
      </c>
      <c r="G2402" s="192" t="s">
        <v>3675</v>
      </c>
      <c r="H2402" s="192" t="s">
        <v>3624</v>
      </c>
      <c r="I2402" t="s">
        <v>3414</v>
      </c>
      <c r="J2402" t="s">
        <v>865</v>
      </c>
      <c r="K2402" t="s">
        <v>797</v>
      </c>
    </row>
    <row r="2403" spans="2:11" x14ac:dyDescent="0.25">
      <c r="B2403" s="191"/>
      <c r="C2403" s="191"/>
      <c r="D2403" s="192" t="s">
        <v>5513</v>
      </c>
      <c r="E2403" t="s">
        <v>5514</v>
      </c>
      <c r="F2403" s="192" t="s">
        <v>789</v>
      </c>
      <c r="G2403" s="192" t="s">
        <v>3623</v>
      </c>
      <c r="H2403" s="192" t="s">
        <v>3624</v>
      </c>
      <c r="I2403" t="s">
        <v>3414</v>
      </c>
      <c r="J2403" t="s">
        <v>865</v>
      </c>
      <c r="K2403" t="s">
        <v>797</v>
      </c>
    </row>
    <row r="2404" spans="2:11" x14ac:dyDescent="0.25">
      <c r="B2404" s="191"/>
      <c r="C2404" s="191"/>
      <c r="D2404" s="192" t="s">
        <v>5515</v>
      </c>
      <c r="E2404" t="s">
        <v>5516</v>
      </c>
      <c r="F2404" s="192" t="s">
        <v>789</v>
      </c>
      <c r="G2404" s="192" t="s">
        <v>3627</v>
      </c>
      <c r="H2404" s="192" t="s">
        <v>3624</v>
      </c>
      <c r="I2404" t="s">
        <v>3414</v>
      </c>
      <c r="J2404" t="s">
        <v>865</v>
      </c>
      <c r="K2404" t="s">
        <v>797</v>
      </c>
    </row>
    <row r="2405" spans="2:11" x14ac:dyDescent="0.25">
      <c r="B2405" s="191"/>
      <c r="C2405" s="191"/>
      <c r="D2405" s="192" t="s">
        <v>5517</v>
      </c>
      <c r="E2405" t="s">
        <v>5518</v>
      </c>
      <c r="F2405" s="192" t="s">
        <v>789</v>
      </c>
      <c r="G2405" s="192" t="s">
        <v>3630</v>
      </c>
      <c r="H2405" s="192" t="s">
        <v>3624</v>
      </c>
      <c r="I2405" t="s">
        <v>3414</v>
      </c>
      <c r="J2405" t="s">
        <v>865</v>
      </c>
      <c r="K2405" t="s">
        <v>797</v>
      </c>
    </row>
    <row r="2406" spans="2:11" x14ac:dyDescent="0.25">
      <c r="B2406" s="191"/>
      <c r="C2406" s="191" t="s">
        <v>5519</v>
      </c>
      <c r="D2406" s="192"/>
      <c r="E2406" s="185" t="s">
        <v>5520</v>
      </c>
      <c r="F2406" s="192" t="s">
        <v>789</v>
      </c>
      <c r="G2406" s="192" t="s">
        <v>790</v>
      </c>
      <c r="H2406" s="192" t="s">
        <v>790</v>
      </c>
      <c r="I2406" t="s">
        <v>3414</v>
      </c>
    </row>
    <row r="2407" spans="2:11" x14ac:dyDescent="0.25">
      <c r="B2407" s="191"/>
      <c r="C2407" s="191"/>
      <c r="D2407" s="192" t="s">
        <v>5521</v>
      </c>
      <c r="E2407" t="s">
        <v>5522</v>
      </c>
      <c r="F2407" s="192" t="s">
        <v>789</v>
      </c>
      <c r="G2407" s="192" t="s">
        <v>3675</v>
      </c>
      <c r="H2407" s="192" t="s">
        <v>3624</v>
      </c>
      <c r="I2407" t="s">
        <v>3414</v>
      </c>
      <c r="J2407" t="s">
        <v>865</v>
      </c>
      <c r="K2407" t="s">
        <v>797</v>
      </c>
    </row>
    <row r="2408" spans="2:11" x14ac:dyDescent="0.25">
      <c r="B2408" s="191"/>
      <c r="C2408" s="191"/>
      <c r="D2408" s="192" t="s">
        <v>5523</v>
      </c>
      <c r="E2408" t="s">
        <v>5524</v>
      </c>
      <c r="F2408" s="192" t="s">
        <v>789</v>
      </c>
      <c r="G2408" s="192" t="s">
        <v>3623</v>
      </c>
      <c r="H2408" s="192" t="s">
        <v>3624</v>
      </c>
      <c r="I2408" t="s">
        <v>3414</v>
      </c>
      <c r="J2408" t="s">
        <v>865</v>
      </c>
      <c r="K2408" t="s">
        <v>797</v>
      </c>
    </row>
    <row r="2409" spans="2:11" x14ac:dyDescent="0.25">
      <c r="B2409" s="191"/>
      <c r="C2409" s="191"/>
      <c r="D2409" s="192" t="s">
        <v>5525</v>
      </c>
      <c r="E2409" t="s">
        <v>5526</v>
      </c>
      <c r="F2409" s="192" t="s">
        <v>789</v>
      </c>
      <c r="G2409" s="192" t="s">
        <v>3627</v>
      </c>
      <c r="H2409" s="192" t="s">
        <v>3624</v>
      </c>
      <c r="I2409" t="s">
        <v>3414</v>
      </c>
      <c r="J2409" t="s">
        <v>865</v>
      </c>
      <c r="K2409" t="s">
        <v>797</v>
      </c>
    </row>
    <row r="2410" spans="2:11" x14ac:dyDescent="0.25">
      <c r="B2410" s="191"/>
      <c r="C2410" s="191"/>
      <c r="D2410" s="192" t="s">
        <v>5527</v>
      </c>
      <c r="E2410" t="s">
        <v>5528</v>
      </c>
      <c r="F2410" s="192" t="s">
        <v>789</v>
      </c>
      <c r="G2410" s="192" t="s">
        <v>3630</v>
      </c>
      <c r="H2410" s="192" t="s">
        <v>3624</v>
      </c>
      <c r="I2410" t="s">
        <v>3414</v>
      </c>
      <c r="J2410" t="s">
        <v>865</v>
      </c>
      <c r="K2410" t="s">
        <v>797</v>
      </c>
    </row>
    <row r="2411" spans="2:11" x14ac:dyDescent="0.25">
      <c r="B2411" s="191"/>
      <c r="C2411" s="191" t="s">
        <v>5529</v>
      </c>
      <c r="D2411" s="192"/>
      <c r="E2411" s="185" t="s">
        <v>5530</v>
      </c>
      <c r="F2411" s="192" t="s">
        <v>789</v>
      </c>
      <c r="G2411" s="192" t="s">
        <v>790</v>
      </c>
      <c r="H2411" s="192" t="s">
        <v>790</v>
      </c>
      <c r="I2411" t="s">
        <v>3414</v>
      </c>
    </row>
    <row r="2412" spans="2:11" x14ac:dyDescent="0.25">
      <c r="B2412" s="191"/>
      <c r="C2412" s="191"/>
      <c r="D2412" s="192" t="s">
        <v>5531</v>
      </c>
      <c r="E2412" t="s">
        <v>5532</v>
      </c>
      <c r="F2412" s="192" t="s">
        <v>789</v>
      </c>
      <c r="G2412" s="192" t="s">
        <v>3675</v>
      </c>
      <c r="H2412" s="192" t="s">
        <v>3624</v>
      </c>
      <c r="I2412" t="s">
        <v>3414</v>
      </c>
      <c r="J2412" t="s">
        <v>865</v>
      </c>
      <c r="K2412" t="s">
        <v>797</v>
      </c>
    </row>
    <row r="2413" spans="2:11" x14ac:dyDescent="0.25">
      <c r="B2413" s="191"/>
      <c r="C2413" s="191"/>
      <c r="D2413" s="192" t="s">
        <v>5533</v>
      </c>
      <c r="E2413" t="s">
        <v>5534</v>
      </c>
      <c r="F2413" s="192" t="s">
        <v>789</v>
      </c>
      <c r="G2413" s="192" t="s">
        <v>3623</v>
      </c>
      <c r="H2413" s="192" t="s">
        <v>3624</v>
      </c>
      <c r="I2413" t="s">
        <v>3414</v>
      </c>
      <c r="J2413" t="s">
        <v>865</v>
      </c>
      <c r="K2413" t="s">
        <v>797</v>
      </c>
    </row>
    <row r="2414" spans="2:11" x14ac:dyDescent="0.25">
      <c r="B2414" s="191"/>
      <c r="C2414" s="191"/>
      <c r="D2414" s="192" t="s">
        <v>5535</v>
      </c>
      <c r="E2414" t="s">
        <v>5536</v>
      </c>
      <c r="F2414" s="192" t="s">
        <v>789</v>
      </c>
      <c r="G2414" s="192" t="s">
        <v>3627</v>
      </c>
      <c r="H2414" s="192" t="s">
        <v>3624</v>
      </c>
      <c r="I2414" t="s">
        <v>3414</v>
      </c>
      <c r="J2414" t="s">
        <v>865</v>
      </c>
      <c r="K2414" t="s">
        <v>797</v>
      </c>
    </row>
    <row r="2415" spans="2:11" x14ac:dyDescent="0.25">
      <c r="B2415" s="191"/>
      <c r="C2415" s="191"/>
      <c r="D2415" s="192" t="s">
        <v>5537</v>
      </c>
      <c r="E2415" t="s">
        <v>5538</v>
      </c>
      <c r="F2415" s="192" t="s">
        <v>789</v>
      </c>
      <c r="G2415" s="192" t="s">
        <v>3630</v>
      </c>
      <c r="H2415" s="192" t="s">
        <v>3624</v>
      </c>
      <c r="I2415" t="s">
        <v>3414</v>
      </c>
      <c r="J2415" t="s">
        <v>865</v>
      </c>
      <c r="K2415" t="s">
        <v>797</v>
      </c>
    </row>
    <row r="2416" spans="2:11" x14ac:dyDescent="0.25">
      <c r="B2416" s="191"/>
      <c r="C2416" s="191" t="s">
        <v>5539</v>
      </c>
      <c r="D2416" s="192"/>
      <c r="E2416" s="185" t="s">
        <v>5540</v>
      </c>
      <c r="F2416" s="192" t="s">
        <v>789</v>
      </c>
      <c r="G2416" s="192" t="s">
        <v>790</v>
      </c>
      <c r="H2416" s="192" t="s">
        <v>790</v>
      </c>
      <c r="I2416" t="s">
        <v>3414</v>
      </c>
    </row>
    <row r="2417" spans="2:11" x14ac:dyDescent="0.25">
      <c r="B2417" s="191"/>
      <c r="C2417" s="191"/>
      <c r="D2417" s="192" t="s">
        <v>5541</v>
      </c>
      <c r="E2417" t="s">
        <v>5542</v>
      </c>
      <c r="F2417" s="192" t="s">
        <v>789</v>
      </c>
      <c r="G2417" s="192" t="s">
        <v>3675</v>
      </c>
      <c r="H2417" s="192" t="s">
        <v>3624</v>
      </c>
      <c r="I2417" t="s">
        <v>3414</v>
      </c>
      <c r="J2417" t="s">
        <v>865</v>
      </c>
      <c r="K2417" t="s">
        <v>797</v>
      </c>
    </row>
    <row r="2418" spans="2:11" x14ac:dyDescent="0.25">
      <c r="B2418" s="191"/>
      <c r="C2418" s="191"/>
      <c r="D2418" s="192" t="s">
        <v>5543</v>
      </c>
      <c r="E2418" t="s">
        <v>5544</v>
      </c>
      <c r="F2418" s="192" t="s">
        <v>789</v>
      </c>
      <c r="G2418" s="192" t="s">
        <v>3623</v>
      </c>
      <c r="H2418" s="192" t="s">
        <v>3624</v>
      </c>
      <c r="I2418" t="s">
        <v>3414</v>
      </c>
      <c r="J2418" t="s">
        <v>865</v>
      </c>
      <c r="K2418" t="s">
        <v>797</v>
      </c>
    </row>
    <row r="2419" spans="2:11" x14ac:dyDescent="0.25">
      <c r="B2419" s="191"/>
      <c r="C2419" s="191"/>
      <c r="D2419" s="192" t="s">
        <v>5545</v>
      </c>
      <c r="E2419" t="s">
        <v>5546</v>
      </c>
      <c r="F2419" s="192" t="s">
        <v>789</v>
      </c>
      <c r="G2419" s="192" t="s">
        <v>3627</v>
      </c>
      <c r="H2419" s="192" t="s">
        <v>3624</v>
      </c>
      <c r="I2419" t="s">
        <v>3414</v>
      </c>
      <c r="J2419" t="s">
        <v>865</v>
      </c>
      <c r="K2419" t="s">
        <v>797</v>
      </c>
    </row>
    <row r="2420" spans="2:11" x14ac:dyDescent="0.25">
      <c r="B2420" s="191"/>
      <c r="C2420" s="191"/>
      <c r="D2420" s="192" t="s">
        <v>5547</v>
      </c>
      <c r="E2420" t="s">
        <v>5548</v>
      </c>
      <c r="F2420" s="192" t="s">
        <v>789</v>
      </c>
      <c r="G2420" s="192" t="s">
        <v>3630</v>
      </c>
      <c r="H2420" s="192" t="s">
        <v>3624</v>
      </c>
      <c r="I2420" t="s">
        <v>3414</v>
      </c>
      <c r="J2420" t="s">
        <v>865</v>
      </c>
      <c r="K2420" t="s">
        <v>797</v>
      </c>
    </row>
    <row r="2421" spans="2:11" x14ac:dyDescent="0.25">
      <c r="B2421" s="191"/>
      <c r="C2421" s="191" t="s">
        <v>5549</v>
      </c>
      <c r="D2421" s="192"/>
      <c r="E2421" s="185" t="s">
        <v>5550</v>
      </c>
      <c r="F2421" s="192" t="s">
        <v>789</v>
      </c>
      <c r="G2421" s="192" t="s">
        <v>790</v>
      </c>
      <c r="H2421" s="192" t="s">
        <v>790</v>
      </c>
      <c r="I2421" t="s">
        <v>3414</v>
      </c>
    </row>
    <row r="2422" spans="2:11" x14ac:dyDescent="0.25">
      <c r="B2422" s="191"/>
      <c r="C2422" s="191"/>
      <c r="D2422" s="192" t="s">
        <v>5551</v>
      </c>
      <c r="E2422" t="s">
        <v>5552</v>
      </c>
      <c r="F2422" s="192" t="s">
        <v>789</v>
      </c>
      <c r="G2422" s="192" t="s">
        <v>3675</v>
      </c>
      <c r="H2422" s="192" t="s">
        <v>3624</v>
      </c>
      <c r="I2422" t="s">
        <v>3414</v>
      </c>
      <c r="J2422" t="s">
        <v>865</v>
      </c>
      <c r="K2422" t="s">
        <v>797</v>
      </c>
    </row>
    <row r="2423" spans="2:11" x14ac:dyDescent="0.25">
      <c r="B2423" s="191"/>
      <c r="C2423" s="191"/>
      <c r="D2423" s="192" t="s">
        <v>5553</v>
      </c>
      <c r="E2423" t="s">
        <v>5554</v>
      </c>
      <c r="F2423" s="192" t="s">
        <v>789</v>
      </c>
      <c r="G2423" s="192" t="s">
        <v>3623</v>
      </c>
      <c r="H2423" s="192" t="s">
        <v>3624</v>
      </c>
      <c r="I2423" t="s">
        <v>3414</v>
      </c>
      <c r="J2423" t="s">
        <v>865</v>
      </c>
      <c r="K2423" t="s">
        <v>797</v>
      </c>
    </row>
    <row r="2424" spans="2:11" x14ac:dyDescent="0.25">
      <c r="B2424" s="191"/>
      <c r="C2424" s="191"/>
      <c r="D2424" s="192" t="s">
        <v>5555</v>
      </c>
      <c r="E2424" t="s">
        <v>5552</v>
      </c>
      <c r="F2424" s="192" t="s">
        <v>789</v>
      </c>
      <c r="G2424" s="192" t="s">
        <v>3627</v>
      </c>
      <c r="H2424" s="192" t="s">
        <v>3624</v>
      </c>
      <c r="I2424" t="s">
        <v>3414</v>
      </c>
      <c r="J2424" t="s">
        <v>865</v>
      </c>
      <c r="K2424" t="s">
        <v>797</v>
      </c>
    </row>
    <row r="2425" spans="2:11" x14ac:dyDescent="0.25">
      <c r="B2425" s="191"/>
      <c r="C2425" s="191"/>
      <c r="D2425" s="192" t="s">
        <v>5556</v>
      </c>
      <c r="E2425" t="s">
        <v>5557</v>
      </c>
      <c r="F2425" s="192" t="s">
        <v>789</v>
      </c>
      <c r="G2425" s="192" t="s">
        <v>3630</v>
      </c>
      <c r="H2425" s="192" t="s">
        <v>3624</v>
      </c>
      <c r="I2425" t="s">
        <v>3414</v>
      </c>
      <c r="J2425" t="s">
        <v>865</v>
      </c>
      <c r="K2425" t="s">
        <v>797</v>
      </c>
    </row>
    <row r="2426" spans="2:11" x14ac:dyDescent="0.25">
      <c r="B2426" s="191"/>
      <c r="C2426" s="191" t="s">
        <v>5558</v>
      </c>
      <c r="D2426" s="192"/>
      <c r="E2426" s="185" t="s">
        <v>5559</v>
      </c>
      <c r="F2426" s="192" t="s">
        <v>789</v>
      </c>
      <c r="G2426" s="192" t="s">
        <v>790</v>
      </c>
      <c r="H2426" s="192" t="s">
        <v>790</v>
      </c>
      <c r="I2426" t="s">
        <v>3414</v>
      </c>
    </row>
    <row r="2427" spans="2:11" x14ac:dyDescent="0.25">
      <c r="B2427" s="191"/>
      <c r="C2427" s="191"/>
      <c r="D2427" s="192" t="s">
        <v>5560</v>
      </c>
      <c r="E2427" t="s">
        <v>5561</v>
      </c>
      <c r="F2427" s="192" t="s">
        <v>789</v>
      </c>
      <c r="G2427" s="192" t="s">
        <v>3675</v>
      </c>
      <c r="H2427" s="192" t="s">
        <v>3624</v>
      </c>
      <c r="I2427" t="s">
        <v>3414</v>
      </c>
      <c r="J2427" t="s">
        <v>865</v>
      </c>
      <c r="K2427" t="s">
        <v>797</v>
      </c>
    </row>
    <row r="2428" spans="2:11" x14ac:dyDescent="0.25">
      <c r="B2428" s="191"/>
      <c r="C2428" s="191"/>
      <c r="D2428" s="192" t="s">
        <v>5562</v>
      </c>
      <c r="E2428" t="s">
        <v>5563</v>
      </c>
      <c r="F2428" s="192" t="s">
        <v>789</v>
      </c>
      <c r="G2428" s="192" t="s">
        <v>3623</v>
      </c>
      <c r="H2428" s="192" t="s">
        <v>3624</v>
      </c>
      <c r="I2428" t="s">
        <v>3414</v>
      </c>
      <c r="J2428" t="s">
        <v>865</v>
      </c>
      <c r="K2428" t="s">
        <v>797</v>
      </c>
    </row>
    <row r="2429" spans="2:11" x14ac:dyDescent="0.25">
      <c r="B2429" s="191"/>
      <c r="C2429" s="191"/>
      <c r="D2429" s="192" t="s">
        <v>5564</v>
      </c>
      <c r="E2429" t="s">
        <v>5565</v>
      </c>
      <c r="F2429" s="192" t="s">
        <v>789</v>
      </c>
      <c r="G2429" s="192" t="s">
        <v>3627</v>
      </c>
      <c r="H2429" s="192" t="s">
        <v>3624</v>
      </c>
      <c r="I2429" t="s">
        <v>3414</v>
      </c>
      <c r="J2429" t="s">
        <v>865</v>
      </c>
      <c r="K2429" t="s">
        <v>797</v>
      </c>
    </row>
    <row r="2430" spans="2:11" x14ac:dyDescent="0.25">
      <c r="B2430" s="191"/>
      <c r="C2430" s="191"/>
      <c r="D2430" s="192" t="s">
        <v>5566</v>
      </c>
      <c r="E2430" t="s">
        <v>5567</v>
      </c>
      <c r="F2430" s="192" t="s">
        <v>789</v>
      </c>
      <c r="G2430" s="192" t="s">
        <v>3630</v>
      </c>
      <c r="H2430" s="192" t="s">
        <v>3624</v>
      </c>
      <c r="I2430" t="s">
        <v>3414</v>
      </c>
      <c r="J2430" t="s">
        <v>865</v>
      </c>
      <c r="K2430" t="s">
        <v>797</v>
      </c>
    </row>
    <row r="2431" spans="2:11" x14ac:dyDescent="0.25">
      <c r="B2431" s="191"/>
      <c r="C2431" s="191" t="s">
        <v>5568</v>
      </c>
      <c r="D2431" s="192"/>
      <c r="E2431" s="185" t="s">
        <v>5569</v>
      </c>
      <c r="F2431" s="192" t="s">
        <v>789</v>
      </c>
      <c r="G2431" s="192" t="s">
        <v>790</v>
      </c>
      <c r="H2431" s="192" t="s">
        <v>790</v>
      </c>
      <c r="I2431" t="s">
        <v>3414</v>
      </c>
    </row>
    <row r="2432" spans="2:11" x14ac:dyDescent="0.25">
      <c r="B2432" s="191"/>
      <c r="C2432" s="191"/>
      <c r="D2432" s="192" t="s">
        <v>5570</v>
      </c>
      <c r="E2432" t="s">
        <v>5571</v>
      </c>
      <c r="F2432" s="192" t="s">
        <v>789</v>
      </c>
      <c r="G2432" s="192" t="s">
        <v>3675</v>
      </c>
      <c r="H2432" s="192" t="s">
        <v>3624</v>
      </c>
      <c r="I2432" t="s">
        <v>3414</v>
      </c>
      <c r="J2432" t="s">
        <v>865</v>
      </c>
      <c r="K2432" t="s">
        <v>797</v>
      </c>
    </row>
    <row r="2433" spans="2:11" x14ac:dyDescent="0.25">
      <c r="B2433" s="191"/>
      <c r="C2433" s="191"/>
      <c r="D2433" s="192" t="s">
        <v>5572</v>
      </c>
      <c r="E2433" t="s">
        <v>5573</v>
      </c>
      <c r="F2433" s="192" t="s">
        <v>789</v>
      </c>
      <c r="G2433" s="192" t="s">
        <v>3623</v>
      </c>
      <c r="H2433" s="192" t="s">
        <v>3624</v>
      </c>
      <c r="I2433" t="s">
        <v>3414</v>
      </c>
      <c r="J2433" t="s">
        <v>865</v>
      </c>
      <c r="K2433" t="s">
        <v>797</v>
      </c>
    </row>
    <row r="2434" spans="2:11" x14ac:dyDescent="0.25">
      <c r="B2434" s="191"/>
      <c r="C2434" s="191"/>
      <c r="D2434" s="192" t="s">
        <v>5574</v>
      </c>
      <c r="E2434" t="s">
        <v>5575</v>
      </c>
      <c r="F2434" s="192" t="s">
        <v>789</v>
      </c>
      <c r="G2434" s="192" t="s">
        <v>3627</v>
      </c>
      <c r="H2434" s="192" t="s">
        <v>3624</v>
      </c>
      <c r="I2434" t="s">
        <v>3414</v>
      </c>
      <c r="J2434" t="s">
        <v>865</v>
      </c>
      <c r="K2434" t="s">
        <v>797</v>
      </c>
    </row>
    <row r="2435" spans="2:11" x14ac:dyDescent="0.25">
      <c r="B2435" s="191"/>
      <c r="C2435" s="191"/>
      <c r="D2435" s="192" t="s">
        <v>5576</v>
      </c>
      <c r="E2435" t="s">
        <v>5577</v>
      </c>
      <c r="F2435" s="192" t="s">
        <v>789</v>
      </c>
      <c r="G2435" s="192" t="s">
        <v>3630</v>
      </c>
      <c r="H2435" s="192" t="s">
        <v>3624</v>
      </c>
      <c r="I2435" t="s">
        <v>3414</v>
      </c>
      <c r="J2435" t="s">
        <v>865</v>
      </c>
      <c r="K2435" t="s">
        <v>797</v>
      </c>
    </row>
    <row r="2436" spans="2:11" x14ac:dyDescent="0.25">
      <c r="B2436" s="191"/>
      <c r="C2436" s="191" t="s">
        <v>5578</v>
      </c>
      <c r="D2436" s="192"/>
      <c r="E2436" s="185" t="s">
        <v>5579</v>
      </c>
      <c r="F2436" s="192" t="s">
        <v>789</v>
      </c>
      <c r="G2436" s="192" t="s">
        <v>790</v>
      </c>
      <c r="H2436" s="192" t="s">
        <v>790</v>
      </c>
      <c r="I2436" t="s">
        <v>3414</v>
      </c>
    </row>
    <row r="2437" spans="2:11" x14ac:dyDescent="0.25">
      <c r="B2437" s="191"/>
      <c r="C2437" s="191" t="s">
        <v>5580</v>
      </c>
      <c r="D2437" s="192"/>
      <c r="E2437" s="185" t="s">
        <v>5581</v>
      </c>
      <c r="F2437" s="192" t="s">
        <v>789</v>
      </c>
      <c r="G2437" s="192" t="s">
        <v>790</v>
      </c>
      <c r="H2437" s="192" t="s">
        <v>790</v>
      </c>
      <c r="I2437" t="s">
        <v>3414</v>
      </c>
    </row>
    <row r="2438" spans="2:11" x14ac:dyDescent="0.25">
      <c r="B2438" s="191"/>
      <c r="C2438" s="191"/>
      <c r="D2438" s="192" t="s">
        <v>5582</v>
      </c>
      <c r="E2438" t="s">
        <v>5583</v>
      </c>
      <c r="F2438" s="192" t="s">
        <v>789</v>
      </c>
      <c r="G2438" s="192" t="s">
        <v>3675</v>
      </c>
      <c r="H2438" s="192" t="s">
        <v>3624</v>
      </c>
      <c r="I2438" t="s">
        <v>3414</v>
      </c>
      <c r="J2438" t="s">
        <v>865</v>
      </c>
      <c r="K2438" t="s">
        <v>797</v>
      </c>
    </row>
    <row r="2439" spans="2:11" x14ac:dyDescent="0.25">
      <c r="B2439" s="191"/>
      <c r="C2439" s="191"/>
      <c r="D2439" s="192" t="s">
        <v>5584</v>
      </c>
      <c r="E2439" t="s">
        <v>5585</v>
      </c>
      <c r="F2439" s="192" t="s">
        <v>789</v>
      </c>
      <c r="G2439" s="192" t="s">
        <v>3623</v>
      </c>
      <c r="H2439" s="192" t="s">
        <v>3624</v>
      </c>
      <c r="I2439" t="s">
        <v>3414</v>
      </c>
      <c r="J2439" t="s">
        <v>865</v>
      </c>
      <c r="K2439" t="s">
        <v>797</v>
      </c>
    </row>
    <row r="2440" spans="2:11" x14ac:dyDescent="0.25">
      <c r="B2440" s="191"/>
      <c r="C2440" s="191"/>
      <c r="D2440" s="192" t="s">
        <v>5586</v>
      </c>
      <c r="E2440" t="s">
        <v>5587</v>
      </c>
      <c r="F2440" s="192" t="s">
        <v>789</v>
      </c>
      <c r="G2440" s="192" t="s">
        <v>3627</v>
      </c>
      <c r="H2440" s="192" t="s">
        <v>3624</v>
      </c>
      <c r="I2440" t="s">
        <v>3414</v>
      </c>
      <c r="J2440" t="s">
        <v>865</v>
      </c>
      <c r="K2440" t="s">
        <v>797</v>
      </c>
    </row>
    <row r="2441" spans="2:11" x14ac:dyDescent="0.25">
      <c r="B2441" s="191"/>
      <c r="C2441" s="191"/>
      <c r="D2441" s="192" t="s">
        <v>5588</v>
      </c>
      <c r="E2441" t="s">
        <v>5583</v>
      </c>
      <c r="F2441" s="192" t="s">
        <v>789</v>
      </c>
      <c r="G2441" s="192" t="s">
        <v>3630</v>
      </c>
      <c r="H2441" s="192" t="s">
        <v>3624</v>
      </c>
      <c r="I2441" t="s">
        <v>3414</v>
      </c>
      <c r="J2441" t="s">
        <v>865</v>
      </c>
      <c r="K2441" t="s">
        <v>797</v>
      </c>
    </row>
    <row r="2442" spans="2:11" x14ac:dyDescent="0.25">
      <c r="B2442" s="191"/>
      <c r="C2442" s="191" t="s">
        <v>5589</v>
      </c>
      <c r="D2442" s="192"/>
      <c r="E2442" s="185" t="s">
        <v>5590</v>
      </c>
      <c r="F2442" s="192" t="s">
        <v>789</v>
      </c>
      <c r="G2442" s="192" t="s">
        <v>790</v>
      </c>
      <c r="H2442" s="192" t="s">
        <v>790</v>
      </c>
      <c r="I2442" t="s">
        <v>3414</v>
      </c>
    </row>
    <row r="2443" spans="2:11" x14ac:dyDescent="0.25">
      <c r="B2443" s="191"/>
      <c r="C2443" s="191"/>
      <c r="D2443" s="192" t="s">
        <v>5591</v>
      </c>
      <c r="E2443" t="s">
        <v>5592</v>
      </c>
      <c r="F2443" s="192" t="s">
        <v>789</v>
      </c>
      <c r="G2443" s="192" t="s">
        <v>3675</v>
      </c>
      <c r="H2443" s="192" t="s">
        <v>3624</v>
      </c>
      <c r="I2443" t="s">
        <v>3414</v>
      </c>
      <c r="J2443" t="s">
        <v>865</v>
      </c>
      <c r="K2443" t="s">
        <v>797</v>
      </c>
    </row>
    <row r="2444" spans="2:11" x14ac:dyDescent="0.25">
      <c r="B2444" s="191"/>
      <c r="C2444" s="191"/>
      <c r="D2444" s="192" t="s">
        <v>5593</v>
      </c>
      <c r="E2444" t="s">
        <v>5594</v>
      </c>
      <c r="F2444" s="192" t="s">
        <v>789</v>
      </c>
      <c r="G2444" s="192" t="s">
        <v>3623</v>
      </c>
      <c r="H2444" s="192" t="s">
        <v>3624</v>
      </c>
      <c r="I2444" t="s">
        <v>3414</v>
      </c>
      <c r="J2444" t="s">
        <v>865</v>
      </c>
      <c r="K2444" t="s">
        <v>797</v>
      </c>
    </row>
    <row r="2445" spans="2:11" x14ac:dyDescent="0.25">
      <c r="B2445" s="191"/>
      <c r="C2445" s="191"/>
      <c r="D2445" s="192" t="s">
        <v>5595</v>
      </c>
      <c r="E2445" t="s">
        <v>5596</v>
      </c>
      <c r="F2445" s="192" t="s">
        <v>789</v>
      </c>
      <c r="G2445" s="192" t="s">
        <v>3627</v>
      </c>
      <c r="H2445" s="192" t="s">
        <v>3624</v>
      </c>
      <c r="I2445" t="s">
        <v>3414</v>
      </c>
      <c r="J2445" t="s">
        <v>865</v>
      </c>
      <c r="K2445" t="s">
        <v>797</v>
      </c>
    </row>
    <row r="2446" spans="2:11" x14ac:dyDescent="0.25">
      <c r="B2446" s="191"/>
      <c r="C2446" s="191"/>
      <c r="D2446" s="192" t="s">
        <v>5597</v>
      </c>
      <c r="E2446" t="s">
        <v>5598</v>
      </c>
      <c r="F2446" s="192" t="s">
        <v>789</v>
      </c>
      <c r="G2446" s="192" t="s">
        <v>3630</v>
      </c>
      <c r="H2446" s="192" t="s">
        <v>3624</v>
      </c>
      <c r="I2446" t="s">
        <v>3414</v>
      </c>
      <c r="J2446" t="s">
        <v>865</v>
      </c>
      <c r="K2446" t="s">
        <v>797</v>
      </c>
    </row>
    <row r="2447" spans="2:11" x14ac:dyDescent="0.25">
      <c r="B2447" s="191"/>
      <c r="C2447" s="191" t="s">
        <v>5599</v>
      </c>
      <c r="D2447" s="192"/>
      <c r="E2447" s="185" t="s">
        <v>5600</v>
      </c>
      <c r="F2447" s="192" t="s">
        <v>789</v>
      </c>
      <c r="G2447" s="192" t="s">
        <v>790</v>
      </c>
      <c r="H2447" s="192" t="s">
        <v>790</v>
      </c>
      <c r="I2447" t="s">
        <v>3414</v>
      </c>
    </row>
    <row r="2448" spans="2:11" x14ac:dyDescent="0.25">
      <c r="B2448" s="191"/>
      <c r="C2448" s="191"/>
      <c r="D2448" s="192" t="s">
        <v>5601</v>
      </c>
      <c r="E2448" t="s">
        <v>5602</v>
      </c>
      <c r="F2448" s="192" t="s">
        <v>789</v>
      </c>
      <c r="G2448" s="192" t="s">
        <v>3675</v>
      </c>
      <c r="H2448" s="192" t="s">
        <v>3624</v>
      </c>
      <c r="I2448" t="s">
        <v>3414</v>
      </c>
      <c r="J2448" t="s">
        <v>865</v>
      </c>
      <c r="K2448" t="s">
        <v>797</v>
      </c>
    </row>
    <row r="2449" spans="2:11" x14ac:dyDescent="0.25">
      <c r="B2449" s="191"/>
      <c r="C2449" s="191"/>
      <c r="D2449" s="192" t="s">
        <v>5603</v>
      </c>
      <c r="E2449" t="s">
        <v>5604</v>
      </c>
      <c r="F2449" s="192" t="s">
        <v>789</v>
      </c>
      <c r="G2449" s="192" t="s">
        <v>3623</v>
      </c>
      <c r="H2449" s="192" t="s">
        <v>3624</v>
      </c>
      <c r="I2449" t="s">
        <v>3414</v>
      </c>
      <c r="J2449" t="s">
        <v>865</v>
      </c>
      <c r="K2449" t="s">
        <v>797</v>
      </c>
    </row>
    <row r="2450" spans="2:11" x14ac:dyDescent="0.25">
      <c r="B2450" s="191"/>
      <c r="C2450" s="191"/>
      <c r="D2450" s="192" t="s">
        <v>5605</v>
      </c>
      <c r="E2450" t="s">
        <v>5606</v>
      </c>
      <c r="F2450" s="192" t="s">
        <v>789</v>
      </c>
      <c r="G2450" s="192" t="s">
        <v>3627</v>
      </c>
      <c r="H2450" s="192" t="s">
        <v>3624</v>
      </c>
      <c r="I2450" t="s">
        <v>3414</v>
      </c>
      <c r="J2450" t="s">
        <v>865</v>
      </c>
      <c r="K2450" t="s">
        <v>797</v>
      </c>
    </row>
    <row r="2451" spans="2:11" x14ac:dyDescent="0.25">
      <c r="B2451" s="191"/>
      <c r="C2451" s="191"/>
      <c r="D2451" s="192" t="s">
        <v>5607</v>
      </c>
      <c r="E2451" t="s">
        <v>5608</v>
      </c>
      <c r="F2451" s="192" t="s">
        <v>789</v>
      </c>
      <c r="G2451" s="192" t="s">
        <v>3630</v>
      </c>
      <c r="H2451" s="192" t="s">
        <v>3624</v>
      </c>
      <c r="I2451" t="s">
        <v>3414</v>
      </c>
      <c r="J2451" t="s">
        <v>865</v>
      </c>
      <c r="K2451" t="s">
        <v>797</v>
      </c>
    </row>
    <row r="2452" spans="2:11" x14ac:dyDescent="0.25">
      <c r="B2452" s="191"/>
      <c r="C2452" s="191" t="s">
        <v>5609</v>
      </c>
      <c r="D2452" s="192"/>
      <c r="E2452" s="185" t="s">
        <v>5610</v>
      </c>
      <c r="F2452" s="192" t="s">
        <v>789</v>
      </c>
      <c r="G2452" s="192" t="s">
        <v>790</v>
      </c>
      <c r="H2452" s="192" t="s">
        <v>790</v>
      </c>
      <c r="I2452" t="s">
        <v>3414</v>
      </c>
    </row>
    <row r="2453" spans="2:11" x14ac:dyDescent="0.25">
      <c r="B2453" s="191"/>
      <c r="C2453" s="191"/>
      <c r="D2453" s="192" t="s">
        <v>5611</v>
      </c>
      <c r="E2453" t="s">
        <v>5612</v>
      </c>
      <c r="F2453" s="192" t="s">
        <v>789</v>
      </c>
      <c r="G2453" s="192" t="s">
        <v>3675</v>
      </c>
      <c r="H2453" s="192" t="s">
        <v>5423</v>
      </c>
      <c r="I2453" t="s">
        <v>3414</v>
      </c>
      <c r="J2453" t="s">
        <v>865</v>
      </c>
      <c r="K2453" t="s">
        <v>797</v>
      </c>
    </row>
    <row r="2454" spans="2:11" x14ac:dyDescent="0.25">
      <c r="B2454" s="191"/>
      <c r="C2454" s="191"/>
      <c r="D2454" s="192" t="s">
        <v>5613</v>
      </c>
      <c r="E2454" t="s">
        <v>5614</v>
      </c>
      <c r="F2454" s="192" t="s">
        <v>789</v>
      </c>
      <c r="G2454" s="192" t="s">
        <v>3623</v>
      </c>
      <c r="H2454" s="192" t="s">
        <v>5423</v>
      </c>
      <c r="I2454" t="s">
        <v>3414</v>
      </c>
      <c r="J2454" t="s">
        <v>865</v>
      </c>
      <c r="K2454" t="s">
        <v>797</v>
      </c>
    </row>
    <row r="2455" spans="2:11" x14ac:dyDescent="0.25">
      <c r="B2455" s="191"/>
      <c r="C2455" s="191"/>
      <c r="D2455" s="192" t="s">
        <v>5615</v>
      </c>
      <c r="E2455" t="s">
        <v>5616</v>
      </c>
      <c r="F2455" s="192" t="s">
        <v>789</v>
      </c>
      <c r="G2455" s="192" t="s">
        <v>3627</v>
      </c>
      <c r="H2455" s="192" t="s">
        <v>5423</v>
      </c>
      <c r="I2455" t="s">
        <v>3414</v>
      </c>
      <c r="J2455" t="s">
        <v>865</v>
      </c>
      <c r="K2455" t="s">
        <v>797</v>
      </c>
    </row>
    <row r="2456" spans="2:11" x14ac:dyDescent="0.25">
      <c r="B2456" s="191"/>
      <c r="C2456" s="191"/>
      <c r="D2456" s="192" t="s">
        <v>5617</v>
      </c>
      <c r="E2456" t="s">
        <v>5618</v>
      </c>
      <c r="F2456" s="192" t="s">
        <v>789</v>
      </c>
      <c r="G2456" s="192" t="s">
        <v>3630</v>
      </c>
      <c r="H2456" s="192" t="s">
        <v>5423</v>
      </c>
      <c r="I2456" t="s">
        <v>3414</v>
      </c>
      <c r="J2456" t="s">
        <v>865</v>
      </c>
      <c r="K2456" t="s">
        <v>797</v>
      </c>
    </row>
    <row r="2457" spans="2:11" x14ac:dyDescent="0.25">
      <c r="B2457" s="191"/>
      <c r="C2457" s="191" t="s">
        <v>5619</v>
      </c>
      <c r="D2457" s="192"/>
      <c r="E2457" s="185" t="s">
        <v>5620</v>
      </c>
      <c r="F2457" s="192" t="s">
        <v>789</v>
      </c>
      <c r="G2457" s="192" t="s">
        <v>790</v>
      </c>
      <c r="H2457" s="192" t="s">
        <v>790</v>
      </c>
      <c r="I2457" t="s">
        <v>3414</v>
      </c>
    </row>
    <row r="2458" spans="2:11" x14ac:dyDescent="0.25">
      <c r="B2458" s="191"/>
      <c r="C2458" s="191"/>
      <c r="D2458" s="192" t="s">
        <v>5621</v>
      </c>
      <c r="E2458" t="s">
        <v>5622</v>
      </c>
      <c r="F2458" s="192" t="s">
        <v>789</v>
      </c>
      <c r="G2458" s="192" t="s">
        <v>3675</v>
      </c>
      <c r="H2458" s="192" t="s">
        <v>5423</v>
      </c>
      <c r="I2458" t="s">
        <v>3414</v>
      </c>
      <c r="J2458" t="s">
        <v>865</v>
      </c>
      <c r="K2458" t="s">
        <v>797</v>
      </c>
    </row>
    <row r="2459" spans="2:11" x14ac:dyDescent="0.25">
      <c r="B2459" s="191"/>
      <c r="C2459" s="191"/>
      <c r="D2459" s="192" t="s">
        <v>5623</v>
      </c>
      <c r="E2459" t="s">
        <v>5624</v>
      </c>
      <c r="F2459" s="192" t="s">
        <v>789</v>
      </c>
      <c r="G2459" s="192" t="s">
        <v>3623</v>
      </c>
      <c r="H2459" s="192" t="s">
        <v>5423</v>
      </c>
      <c r="I2459" t="s">
        <v>3414</v>
      </c>
      <c r="J2459" t="s">
        <v>865</v>
      </c>
      <c r="K2459" t="s">
        <v>797</v>
      </c>
    </row>
    <row r="2460" spans="2:11" x14ac:dyDescent="0.25">
      <c r="B2460" s="191"/>
      <c r="C2460" s="191"/>
      <c r="D2460" s="192" t="s">
        <v>5625</v>
      </c>
      <c r="E2460" t="s">
        <v>5626</v>
      </c>
      <c r="F2460" s="192" t="s">
        <v>789</v>
      </c>
      <c r="G2460" s="192" t="s">
        <v>3627</v>
      </c>
      <c r="H2460" s="192" t="s">
        <v>5423</v>
      </c>
      <c r="I2460" t="s">
        <v>3414</v>
      </c>
      <c r="J2460" t="s">
        <v>865</v>
      </c>
      <c r="K2460" t="s">
        <v>797</v>
      </c>
    </row>
    <row r="2461" spans="2:11" x14ac:dyDescent="0.25">
      <c r="B2461" s="191"/>
      <c r="C2461" s="191"/>
      <c r="D2461" s="192" t="s">
        <v>5627</v>
      </c>
      <c r="E2461" t="s">
        <v>5628</v>
      </c>
      <c r="F2461" s="192" t="s">
        <v>789</v>
      </c>
      <c r="G2461" s="192" t="s">
        <v>3630</v>
      </c>
      <c r="H2461" s="192" t="s">
        <v>5423</v>
      </c>
      <c r="I2461" t="s">
        <v>3414</v>
      </c>
      <c r="J2461" t="s">
        <v>865</v>
      </c>
      <c r="K2461" t="s">
        <v>797</v>
      </c>
    </row>
    <row r="2462" spans="2:11" x14ac:dyDescent="0.25">
      <c r="B2462" s="191"/>
      <c r="C2462" s="191" t="s">
        <v>5629</v>
      </c>
      <c r="D2462" s="192"/>
      <c r="E2462" s="185" t="s">
        <v>5630</v>
      </c>
      <c r="F2462" s="192" t="s">
        <v>789</v>
      </c>
      <c r="G2462" s="192" t="s">
        <v>790</v>
      </c>
      <c r="H2462" s="192" t="s">
        <v>790</v>
      </c>
      <c r="I2462" t="s">
        <v>3414</v>
      </c>
    </row>
    <row r="2463" spans="2:11" x14ac:dyDescent="0.25">
      <c r="B2463" s="191"/>
      <c r="C2463" s="191"/>
      <c r="D2463" s="192" t="s">
        <v>5631</v>
      </c>
      <c r="E2463" t="s">
        <v>5632</v>
      </c>
      <c r="F2463" s="192" t="s">
        <v>789</v>
      </c>
      <c r="G2463" s="192" t="s">
        <v>3675</v>
      </c>
      <c r="H2463" s="192" t="s">
        <v>5423</v>
      </c>
      <c r="I2463" t="s">
        <v>3414</v>
      </c>
      <c r="J2463" t="s">
        <v>865</v>
      </c>
      <c r="K2463" t="s">
        <v>797</v>
      </c>
    </row>
    <row r="2464" spans="2:11" x14ac:dyDescent="0.25">
      <c r="B2464" s="191"/>
      <c r="C2464" s="191"/>
      <c r="D2464" s="192" t="s">
        <v>5633</v>
      </c>
      <c r="E2464" t="s">
        <v>5634</v>
      </c>
      <c r="F2464" s="192" t="s">
        <v>789</v>
      </c>
      <c r="G2464" s="192" t="s">
        <v>3623</v>
      </c>
      <c r="H2464" s="192" t="s">
        <v>5423</v>
      </c>
      <c r="I2464" t="s">
        <v>3414</v>
      </c>
      <c r="J2464" t="s">
        <v>865</v>
      </c>
      <c r="K2464" t="s">
        <v>797</v>
      </c>
    </row>
    <row r="2465" spans="2:11" x14ac:dyDescent="0.25">
      <c r="B2465" s="191"/>
      <c r="C2465" s="191"/>
      <c r="D2465" s="192" t="s">
        <v>5635</v>
      </c>
      <c r="E2465" t="s">
        <v>5636</v>
      </c>
      <c r="F2465" s="192" t="s">
        <v>789</v>
      </c>
      <c r="G2465" s="192" t="s">
        <v>3627</v>
      </c>
      <c r="H2465" s="192" t="s">
        <v>5423</v>
      </c>
      <c r="I2465" t="s">
        <v>3414</v>
      </c>
      <c r="J2465" t="s">
        <v>865</v>
      </c>
      <c r="K2465" t="s">
        <v>797</v>
      </c>
    </row>
    <row r="2466" spans="2:11" x14ac:dyDescent="0.25">
      <c r="B2466" s="191"/>
      <c r="C2466" s="191"/>
      <c r="D2466" s="192" t="s">
        <v>5637</v>
      </c>
      <c r="E2466" t="s">
        <v>5638</v>
      </c>
      <c r="F2466" s="192" t="s">
        <v>789</v>
      </c>
      <c r="G2466" s="192" t="s">
        <v>3630</v>
      </c>
      <c r="H2466" s="192" t="s">
        <v>5423</v>
      </c>
      <c r="I2466" t="s">
        <v>3414</v>
      </c>
      <c r="J2466" t="s">
        <v>865</v>
      </c>
      <c r="K2466" t="s">
        <v>797</v>
      </c>
    </row>
    <row r="2467" spans="2:11" x14ac:dyDescent="0.25">
      <c r="B2467" s="191"/>
      <c r="C2467" s="191" t="s">
        <v>5639</v>
      </c>
      <c r="D2467" s="192"/>
      <c r="E2467" s="185" t="s">
        <v>5640</v>
      </c>
      <c r="F2467" s="192" t="s">
        <v>789</v>
      </c>
      <c r="G2467" s="192" t="s">
        <v>790</v>
      </c>
      <c r="H2467" s="192" t="s">
        <v>790</v>
      </c>
      <c r="I2467" t="s">
        <v>3414</v>
      </c>
    </row>
    <row r="2468" spans="2:11" x14ac:dyDescent="0.25">
      <c r="B2468" s="191"/>
      <c r="C2468" s="191"/>
      <c r="D2468" s="192" t="s">
        <v>5641</v>
      </c>
      <c r="E2468" t="s">
        <v>5642</v>
      </c>
      <c r="F2468" s="192" t="s">
        <v>789</v>
      </c>
      <c r="G2468" s="192" t="s">
        <v>3675</v>
      </c>
      <c r="H2468" s="192" t="s">
        <v>5423</v>
      </c>
      <c r="I2468" t="s">
        <v>3414</v>
      </c>
      <c r="J2468" t="s">
        <v>865</v>
      </c>
      <c r="K2468" t="s">
        <v>797</v>
      </c>
    </row>
    <row r="2469" spans="2:11" x14ac:dyDescent="0.25">
      <c r="B2469" s="191"/>
      <c r="C2469" s="191"/>
      <c r="D2469" s="192" t="s">
        <v>5643</v>
      </c>
      <c r="E2469" t="s">
        <v>5644</v>
      </c>
      <c r="F2469" s="192" t="s">
        <v>789</v>
      </c>
      <c r="G2469" s="192" t="s">
        <v>3623</v>
      </c>
      <c r="H2469" s="192" t="s">
        <v>5423</v>
      </c>
      <c r="I2469" t="s">
        <v>3414</v>
      </c>
      <c r="J2469" t="s">
        <v>865</v>
      </c>
      <c r="K2469" t="s">
        <v>797</v>
      </c>
    </row>
    <row r="2470" spans="2:11" x14ac:dyDescent="0.25">
      <c r="B2470" s="191"/>
      <c r="C2470" s="191"/>
      <c r="D2470" s="192" t="s">
        <v>5645</v>
      </c>
      <c r="E2470" t="s">
        <v>5646</v>
      </c>
      <c r="F2470" s="192" t="s">
        <v>789</v>
      </c>
      <c r="G2470" s="192" t="s">
        <v>3627</v>
      </c>
      <c r="H2470" s="192" t="s">
        <v>5423</v>
      </c>
      <c r="I2470" t="s">
        <v>3414</v>
      </c>
      <c r="J2470" t="s">
        <v>865</v>
      </c>
      <c r="K2470" t="s">
        <v>797</v>
      </c>
    </row>
    <row r="2471" spans="2:11" x14ac:dyDescent="0.25">
      <c r="B2471" s="191"/>
      <c r="C2471" s="191"/>
      <c r="D2471" s="192" t="s">
        <v>5647</v>
      </c>
      <c r="E2471" t="s">
        <v>5648</v>
      </c>
      <c r="F2471" s="192" t="s">
        <v>789</v>
      </c>
      <c r="G2471" s="192" t="s">
        <v>3630</v>
      </c>
      <c r="H2471" s="192" t="s">
        <v>5423</v>
      </c>
      <c r="I2471" t="s">
        <v>3414</v>
      </c>
      <c r="J2471" t="s">
        <v>865</v>
      </c>
      <c r="K2471" t="s">
        <v>797</v>
      </c>
    </row>
    <row r="2472" spans="2:11" x14ac:dyDescent="0.25">
      <c r="B2472" s="191"/>
      <c r="C2472" s="191" t="s">
        <v>5649</v>
      </c>
      <c r="D2472" s="192"/>
      <c r="E2472" s="185" t="s">
        <v>5650</v>
      </c>
      <c r="F2472" s="192" t="s">
        <v>789</v>
      </c>
      <c r="G2472" s="192" t="s">
        <v>790</v>
      </c>
      <c r="H2472" s="192" t="s">
        <v>790</v>
      </c>
      <c r="I2472" t="s">
        <v>3414</v>
      </c>
    </row>
    <row r="2473" spans="2:11" x14ac:dyDescent="0.25">
      <c r="B2473" s="191"/>
      <c r="C2473" s="191"/>
      <c r="D2473" s="192" t="s">
        <v>5651</v>
      </c>
      <c r="E2473" t="s">
        <v>5652</v>
      </c>
      <c r="F2473" s="192" t="s">
        <v>789</v>
      </c>
      <c r="G2473" s="192" t="s">
        <v>3675</v>
      </c>
      <c r="H2473" s="192" t="s">
        <v>5423</v>
      </c>
      <c r="I2473" t="s">
        <v>3414</v>
      </c>
      <c r="J2473" t="s">
        <v>865</v>
      </c>
      <c r="K2473" t="s">
        <v>797</v>
      </c>
    </row>
    <row r="2474" spans="2:11" x14ac:dyDescent="0.25">
      <c r="B2474" s="191"/>
      <c r="C2474" s="191"/>
      <c r="D2474" s="192" t="s">
        <v>5653</v>
      </c>
      <c r="E2474" t="s">
        <v>5654</v>
      </c>
      <c r="F2474" s="192" t="s">
        <v>789</v>
      </c>
      <c r="G2474" s="192" t="s">
        <v>3623</v>
      </c>
      <c r="H2474" s="192" t="s">
        <v>5423</v>
      </c>
      <c r="I2474" t="s">
        <v>3414</v>
      </c>
      <c r="J2474" t="s">
        <v>865</v>
      </c>
      <c r="K2474" t="s">
        <v>797</v>
      </c>
    </row>
    <row r="2475" spans="2:11" x14ac:dyDescent="0.25">
      <c r="B2475" s="191"/>
      <c r="C2475" s="191"/>
      <c r="D2475" s="192" t="s">
        <v>5655</v>
      </c>
      <c r="E2475" t="s">
        <v>5656</v>
      </c>
      <c r="F2475" s="192" t="s">
        <v>789</v>
      </c>
      <c r="G2475" s="192" t="s">
        <v>3627</v>
      </c>
      <c r="H2475" s="192" t="s">
        <v>5423</v>
      </c>
      <c r="I2475" t="s">
        <v>3414</v>
      </c>
      <c r="J2475" t="s">
        <v>865</v>
      </c>
      <c r="K2475" t="s">
        <v>797</v>
      </c>
    </row>
    <row r="2476" spans="2:11" x14ac:dyDescent="0.25">
      <c r="B2476" s="191"/>
      <c r="C2476" s="191"/>
      <c r="D2476" s="192" t="s">
        <v>5657</v>
      </c>
      <c r="E2476" t="s">
        <v>5658</v>
      </c>
      <c r="F2476" s="192" t="s">
        <v>789</v>
      </c>
      <c r="G2476" s="192" t="s">
        <v>3630</v>
      </c>
      <c r="H2476" s="192" t="s">
        <v>5423</v>
      </c>
      <c r="I2476" t="s">
        <v>3414</v>
      </c>
      <c r="J2476" t="s">
        <v>865</v>
      </c>
      <c r="K2476" t="s">
        <v>797</v>
      </c>
    </row>
    <row r="2477" spans="2:11" x14ac:dyDescent="0.25">
      <c r="B2477" s="191"/>
      <c r="C2477" s="191" t="s">
        <v>5659</v>
      </c>
      <c r="D2477" s="192"/>
      <c r="E2477" s="185" t="s">
        <v>5660</v>
      </c>
      <c r="F2477" s="192" t="s">
        <v>789</v>
      </c>
      <c r="G2477" s="192" t="s">
        <v>790</v>
      </c>
      <c r="H2477" s="192" t="s">
        <v>790</v>
      </c>
      <c r="I2477" t="s">
        <v>3414</v>
      </c>
    </row>
    <row r="2478" spans="2:11" x14ac:dyDescent="0.25">
      <c r="B2478" s="191"/>
      <c r="C2478" s="191"/>
      <c r="D2478" s="192" t="s">
        <v>5661</v>
      </c>
      <c r="E2478" t="s">
        <v>5662</v>
      </c>
      <c r="F2478" s="192" t="s">
        <v>789</v>
      </c>
      <c r="G2478" s="192" t="s">
        <v>3675</v>
      </c>
      <c r="H2478" s="192" t="s">
        <v>5423</v>
      </c>
      <c r="I2478" t="s">
        <v>3414</v>
      </c>
      <c r="J2478" t="s">
        <v>865</v>
      </c>
      <c r="K2478" t="s">
        <v>797</v>
      </c>
    </row>
    <row r="2479" spans="2:11" x14ac:dyDescent="0.25">
      <c r="B2479" s="191"/>
      <c r="C2479" s="191"/>
      <c r="D2479" s="192" t="s">
        <v>5663</v>
      </c>
      <c r="E2479" t="s">
        <v>5664</v>
      </c>
      <c r="F2479" s="192" t="s">
        <v>789</v>
      </c>
      <c r="G2479" s="192" t="s">
        <v>3623</v>
      </c>
      <c r="H2479" s="192" t="s">
        <v>5423</v>
      </c>
      <c r="I2479" t="s">
        <v>3414</v>
      </c>
      <c r="J2479" t="s">
        <v>865</v>
      </c>
      <c r="K2479" t="s">
        <v>797</v>
      </c>
    </row>
    <row r="2480" spans="2:11" x14ac:dyDescent="0.25">
      <c r="B2480" s="191"/>
      <c r="C2480" s="191"/>
      <c r="D2480" s="192" t="s">
        <v>5665</v>
      </c>
      <c r="E2480" t="s">
        <v>5666</v>
      </c>
      <c r="F2480" s="192" t="s">
        <v>789</v>
      </c>
      <c r="G2480" s="192" t="s">
        <v>3627</v>
      </c>
      <c r="H2480" s="192" t="s">
        <v>5423</v>
      </c>
      <c r="I2480" t="s">
        <v>3414</v>
      </c>
      <c r="J2480" t="s">
        <v>865</v>
      </c>
      <c r="K2480" t="s">
        <v>797</v>
      </c>
    </row>
    <row r="2481" spans="2:11" x14ac:dyDescent="0.25">
      <c r="B2481" s="191"/>
      <c r="C2481" s="191"/>
      <c r="D2481" s="192" t="s">
        <v>5667</v>
      </c>
      <c r="E2481" t="s">
        <v>5668</v>
      </c>
      <c r="F2481" s="192" t="s">
        <v>789</v>
      </c>
      <c r="G2481" s="192" t="s">
        <v>3630</v>
      </c>
      <c r="H2481" s="192" t="s">
        <v>5423</v>
      </c>
      <c r="I2481" t="s">
        <v>3414</v>
      </c>
      <c r="J2481" t="s">
        <v>865</v>
      </c>
      <c r="K2481" t="s">
        <v>797</v>
      </c>
    </row>
    <row r="2482" spans="2:11" x14ac:dyDescent="0.25">
      <c r="B2482" s="191"/>
      <c r="C2482" s="191" t="s">
        <v>5669</v>
      </c>
      <c r="D2482" s="192"/>
      <c r="E2482" s="185" t="s">
        <v>2557</v>
      </c>
      <c r="F2482" s="192" t="s">
        <v>789</v>
      </c>
      <c r="G2482" s="192" t="s">
        <v>790</v>
      </c>
      <c r="H2482" s="192" t="s">
        <v>790</v>
      </c>
      <c r="I2482" t="s">
        <v>3414</v>
      </c>
    </row>
    <row r="2483" spans="2:11" x14ac:dyDescent="0.25">
      <c r="B2483" s="191"/>
      <c r="C2483" s="191" t="s">
        <v>5670</v>
      </c>
      <c r="D2483" s="192"/>
      <c r="E2483" s="185" t="s">
        <v>5671</v>
      </c>
      <c r="F2483" s="192" t="s">
        <v>789</v>
      </c>
      <c r="G2483" s="192" t="s">
        <v>790</v>
      </c>
      <c r="H2483" s="192" t="s">
        <v>790</v>
      </c>
      <c r="I2483" t="s">
        <v>3414</v>
      </c>
    </row>
    <row r="2484" spans="2:11" x14ac:dyDescent="0.25">
      <c r="B2484" s="191"/>
      <c r="C2484" s="191"/>
      <c r="D2484" s="192" t="s">
        <v>5672</v>
      </c>
      <c r="E2484" t="s">
        <v>5673</v>
      </c>
      <c r="F2484" s="192" t="s">
        <v>789</v>
      </c>
      <c r="G2484" s="192" t="s">
        <v>3675</v>
      </c>
      <c r="H2484" s="192" t="s">
        <v>5423</v>
      </c>
      <c r="I2484" t="s">
        <v>3414</v>
      </c>
      <c r="J2484" t="s">
        <v>865</v>
      </c>
      <c r="K2484" t="s">
        <v>797</v>
      </c>
    </row>
    <row r="2485" spans="2:11" x14ac:dyDescent="0.25">
      <c r="B2485" s="191"/>
      <c r="C2485" s="191"/>
      <c r="D2485" s="192" t="s">
        <v>5674</v>
      </c>
      <c r="E2485" t="s">
        <v>5675</v>
      </c>
      <c r="F2485" s="192" t="s">
        <v>789</v>
      </c>
      <c r="G2485" s="192" t="s">
        <v>3623</v>
      </c>
      <c r="H2485" s="192" t="s">
        <v>5423</v>
      </c>
      <c r="I2485" t="s">
        <v>3414</v>
      </c>
      <c r="J2485" t="s">
        <v>865</v>
      </c>
      <c r="K2485" t="s">
        <v>797</v>
      </c>
    </row>
    <row r="2486" spans="2:11" x14ac:dyDescent="0.25">
      <c r="B2486" s="191"/>
      <c r="C2486" s="191"/>
      <c r="D2486" s="192" t="s">
        <v>5676</v>
      </c>
      <c r="E2486" t="s">
        <v>5677</v>
      </c>
      <c r="F2486" s="192" t="s">
        <v>789</v>
      </c>
      <c r="G2486" s="192" t="s">
        <v>3627</v>
      </c>
      <c r="H2486" s="192" t="s">
        <v>5423</v>
      </c>
      <c r="I2486" t="s">
        <v>3414</v>
      </c>
      <c r="J2486" t="s">
        <v>865</v>
      </c>
      <c r="K2486" t="s">
        <v>797</v>
      </c>
    </row>
    <row r="2487" spans="2:11" x14ac:dyDescent="0.25">
      <c r="B2487" s="191"/>
      <c r="C2487" s="191"/>
      <c r="D2487" s="192" t="s">
        <v>5678</v>
      </c>
      <c r="E2487" t="s">
        <v>5679</v>
      </c>
      <c r="F2487" s="192" t="s">
        <v>789</v>
      </c>
      <c r="G2487" s="192" t="s">
        <v>3630</v>
      </c>
      <c r="H2487" s="192" t="s">
        <v>5423</v>
      </c>
      <c r="I2487" t="s">
        <v>3414</v>
      </c>
      <c r="J2487" t="s">
        <v>865</v>
      </c>
      <c r="K2487" t="s">
        <v>797</v>
      </c>
    </row>
    <row r="2488" spans="2:11" x14ac:dyDescent="0.25">
      <c r="B2488" s="191"/>
      <c r="C2488" s="191" t="s">
        <v>5680</v>
      </c>
      <c r="D2488" s="192"/>
      <c r="E2488" s="185" t="s">
        <v>5681</v>
      </c>
      <c r="F2488" s="192" t="s">
        <v>789</v>
      </c>
      <c r="G2488" s="192" t="s">
        <v>790</v>
      </c>
      <c r="H2488" s="192" t="s">
        <v>790</v>
      </c>
      <c r="I2488" t="s">
        <v>3414</v>
      </c>
    </row>
    <row r="2489" spans="2:11" x14ac:dyDescent="0.25">
      <c r="B2489" s="191"/>
      <c r="C2489" s="191"/>
      <c r="D2489" s="192" t="s">
        <v>5682</v>
      </c>
      <c r="E2489" t="s">
        <v>5683</v>
      </c>
      <c r="F2489" s="192" t="s">
        <v>789</v>
      </c>
      <c r="G2489" s="192" t="s">
        <v>3675</v>
      </c>
      <c r="H2489" s="192" t="s">
        <v>5423</v>
      </c>
      <c r="I2489" t="s">
        <v>3414</v>
      </c>
      <c r="J2489" t="s">
        <v>865</v>
      </c>
      <c r="K2489" t="s">
        <v>797</v>
      </c>
    </row>
    <row r="2490" spans="2:11" x14ac:dyDescent="0.25">
      <c r="B2490" s="191"/>
      <c r="C2490" s="191"/>
      <c r="D2490" s="192" t="s">
        <v>5684</v>
      </c>
      <c r="E2490" t="s">
        <v>5685</v>
      </c>
      <c r="F2490" s="192" t="s">
        <v>789</v>
      </c>
      <c r="G2490" s="192" t="s">
        <v>3623</v>
      </c>
      <c r="H2490" s="192" t="s">
        <v>5423</v>
      </c>
      <c r="I2490" t="s">
        <v>3414</v>
      </c>
      <c r="J2490" t="s">
        <v>865</v>
      </c>
      <c r="K2490" t="s">
        <v>797</v>
      </c>
    </row>
    <row r="2491" spans="2:11" x14ac:dyDescent="0.25">
      <c r="B2491" s="191"/>
      <c r="C2491" s="191"/>
      <c r="D2491" s="192" t="s">
        <v>5686</v>
      </c>
      <c r="E2491" t="s">
        <v>5687</v>
      </c>
      <c r="F2491" s="192" t="s">
        <v>789</v>
      </c>
      <c r="G2491" s="192" t="s">
        <v>3627</v>
      </c>
      <c r="H2491" s="192" t="s">
        <v>5423</v>
      </c>
      <c r="I2491" t="s">
        <v>3414</v>
      </c>
      <c r="J2491" t="s">
        <v>865</v>
      </c>
      <c r="K2491" t="s">
        <v>797</v>
      </c>
    </row>
    <row r="2492" spans="2:11" x14ac:dyDescent="0.25">
      <c r="B2492" s="191"/>
      <c r="C2492" s="191"/>
      <c r="D2492" s="192" t="s">
        <v>5688</v>
      </c>
      <c r="E2492" t="s">
        <v>5689</v>
      </c>
      <c r="F2492" s="192" t="s">
        <v>789</v>
      </c>
      <c r="G2492" s="192" t="s">
        <v>3630</v>
      </c>
      <c r="H2492" s="192" t="s">
        <v>5423</v>
      </c>
      <c r="I2492" t="s">
        <v>3414</v>
      </c>
      <c r="J2492" t="s">
        <v>865</v>
      </c>
      <c r="K2492" t="s">
        <v>797</v>
      </c>
    </row>
    <row r="2493" spans="2:11" x14ac:dyDescent="0.25">
      <c r="B2493" s="191"/>
      <c r="C2493" s="191" t="s">
        <v>5690</v>
      </c>
      <c r="D2493" s="192"/>
      <c r="E2493" s="185" t="s">
        <v>5691</v>
      </c>
      <c r="F2493" s="192" t="s">
        <v>789</v>
      </c>
      <c r="G2493" s="192" t="s">
        <v>790</v>
      </c>
      <c r="H2493" s="192" t="s">
        <v>790</v>
      </c>
      <c r="I2493" t="s">
        <v>3414</v>
      </c>
    </row>
    <row r="2494" spans="2:11" x14ac:dyDescent="0.25">
      <c r="B2494" s="191"/>
      <c r="C2494" s="191"/>
      <c r="D2494" s="192" t="s">
        <v>5692</v>
      </c>
      <c r="E2494" t="s">
        <v>5693</v>
      </c>
      <c r="F2494" s="192" t="s">
        <v>789</v>
      </c>
      <c r="G2494" s="192" t="s">
        <v>3675</v>
      </c>
      <c r="H2494" s="192" t="s">
        <v>5423</v>
      </c>
      <c r="I2494" t="s">
        <v>3414</v>
      </c>
      <c r="J2494" t="s">
        <v>865</v>
      </c>
      <c r="K2494" t="s">
        <v>797</v>
      </c>
    </row>
    <row r="2495" spans="2:11" x14ac:dyDescent="0.25">
      <c r="B2495" s="191"/>
      <c r="C2495" s="191"/>
      <c r="D2495" s="192" t="s">
        <v>5694</v>
      </c>
      <c r="E2495" t="s">
        <v>5695</v>
      </c>
      <c r="F2495" s="192" t="s">
        <v>789</v>
      </c>
      <c r="G2495" s="192" t="s">
        <v>3623</v>
      </c>
      <c r="H2495" s="192" t="s">
        <v>5423</v>
      </c>
      <c r="I2495" t="s">
        <v>3414</v>
      </c>
      <c r="J2495" t="s">
        <v>865</v>
      </c>
      <c r="K2495" t="s">
        <v>797</v>
      </c>
    </row>
    <row r="2496" spans="2:11" x14ac:dyDescent="0.25">
      <c r="B2496" s="191"/>
      <c r="C2496" s="191"/>
      <c r="D2496" s="192" t="s">
        <v>5696</v>
      </c>
      <c r="E2496" t="s">
        <v>5697</v>
      </c>
      <c r="F2496" s="192" t="s">
        <v>789</v>
      </c>
      <c r="G2496" s="192" t="s">
        <v>3627</v>
      </c>
      <c r="H2496" s="192" t="s">
        <v>5423</v>
      </c>
      <c r="I2496" t="s">
        <v>3414</v>
      </c>
      <c r="J2496" t="s">
        <v>865</v>
      </c>
      <c r="K2496" t="s">
        <v>797</v>
      </c>
    </row>
    <row r="2497" spans="2:11" x14ac:dyDescent="0.25">
      <c r="B2497" s="191"/>
      <c r="C2497" s="191"/>
      <c r="D2497" s="192" t="s">
        <v>5698</v>
      </c>
      <c r="E2497" t="s">
        <v>5699</v>
      </c>
      <c r="F2497" s="192" t="s">
        <v>789</v>
      </c>
      <c r="G2497" s="192" t="s">
        <v>3630</v>
      </c>
      <c r="H2497" s="192" t="s">
        <v>5423</v>
      </c>
      <c r="I2497" t="s">
        <v>3414</v>
      </c>
      <c r="J2497" t="s">
        <v>865</v>
      </c>
      <c r="K2497" t="s">
        <v>797</v>
      </c>
    </row>
    <row r="2498" spans="2:11" x14ac:dyDescent="0.25">
      <c r="B2498" s="191"/>
      <c r="C2498" s="191" t="s">
        <v>5700</v>
      </c>
      <c r="D2498" s="192"/>
      <c r="E2498" s="185" t="s">
        <v>5701</v>
      </c>
      <c r="F2498" s="192" t="s">
        <v>789</v>
      </c>
      <c r="G2498" s="192" t="s">
        <v>790</v>
      </c>
      <c r="H2498" s="192" t="s">
        <v>790</v>
      </c>
      <c r="I2498" t="s">
        <v>3414</v>
      </c>
    </row>
    <row r="2499" spans="2:11" x14ac:dyDescent="0.25">
      <c r="B2499" s="191"/>
      <c r="C2499" s="191"/>
      <c r="D2499" s="192" t="s">
        <v>5702</v>
      </c>
      <c r="E2499" t="s">
        <v>5703</v>
      </c>
      <c r="F2499" s="192" t="s">
        <v>789</v>
      </c>
      <c r="G2499" s="192" t="s">
        <v>3675</v>
      </c>
      <c r="H2499" s="192" t="s">
        <v>5423</v>
      </c>
      <c r="I2499" t="s">
        <v>3414</v>
      </c>
      <c r="J2499" t="s">
        <v>865</v>
      </c>
      <c r="K2499" t="s">
        <v>797</v>
      </c>
    </row>
    <row r="2500" spans="2:11" x14ac:dyDescent="0.25">
      <c r="B2500" s="191"/>
      <c r="C2500" s="191"/>
      <c r="D2500" s="192" t="s">
        <v>5704</v>
      </c>
      <c r="E2500" t="s">
        <v>5705</v>
      </c>
      <c r="F2500" s="192" t="s">
        <v>789</v>
      </c>
      <c r="G2500" s="192" t="s">
        <v>3623</v>
      </c>
      <c r="H2500" s="192" t="s">
        <v>5423</v>
      </c>
      <c r="I2500" t="s">
        <v>3414</v>
      </c>
      <c r="J2500" t="s">
        <v>865</v>
      </c>
      <c r="K2500" t="s">
        <v>797</v>
      </c>
    </row>
    <row r="2501" spans="2:11" x14ac:dyDescent="0.25">
      <c r="B2501" s="191"/>
      <c r="C2501" s="191"/>
      <c r="D2501" s="192" t="s">
        <v>5706</v>
      </c>
      <c r="E2501" t="s">
        <v>5707</v>
      </c>
      <c r="F2501" s="192" t="s">
        <v>789</v>
      </c>
      <c r="G2501" s="192" t="s">
        <v>3627</v>
      </c>
      <c r="H2501" s="192" t="s">
        <v>5423</v>
      </c>
      <c r="I2501" t="s">
        <v>3414</v>
      </c>
      <c r="J2501" t="s">
        <v>865</v>
      </c>
      <c r="K2501" t="s">
        <v>797</v>
      </c>
    </row>
    <row r="2502" spans="2:11" x14ac:dyDescent="0.25">
      <c r="B2502" s="191"/>
      <c r="C2502" s="191"/>
      <c r="D2502" s="192" t="s">
        <v>5708</v>
      </c>
      <c r="E2502" t="s">
        <v>5709</v>
      </c>
      <c r="F2502" s="192" t="s">
        <v>789</v>
      </c>
      <c r="G2502" s="192" t="s">
        <v>3630</v>
      </c>
      <c r="H2502" s="192" t="s">
        <v>5423</v>
      </c>
      <c r="I2502" t="s">
        <v>3414</v>
      </c>
      <c r="J2502" t="s">
        <v>865</v>
      </c>
      <c r="K2502" t="s">
        <v>797</v>
      </c>
    </row>
    <row r="2503" spans="2:11" x14ac:dyDescent="0.25">
      <c r="B2503" s="191"/>
      <c r="C2503" s="191" t="s">
        <v>5710</v>
      </c>
      <c r="D2503" s="192"/>
      <c r="E2503" s="185" t="s">
        <v>5711</v>
      </c>
      <c r="F2503" s="192" t="s">
        <v>789</v>
      </c>
      <c r="G2503" s="192" t="s">
        <v>790</v>
      </c>
      <c r="H2503" s="192" t="s">
        <v>790</v>
      </c>
      <c r="I2503" t="s">
        <v>3414</v>
      </c>
    </row>
    <row r="2504" spans="2:11" x14ac:dyDescent="0.25">
      <c r="B2504" s="191"/>
      <c r="C2504" s="191"/>
      <c r="D2504" s="192" t="s">
        <v>5712</v>
      </c>
      <c r="E2504" t="s">
        <v>5713</v>
      </c>
      <c r="F2504" s="192" t="s">
        <v>789</v>
      </c>
      <c r="G2504" s="192" t="s">
        <v>3675</v>
      </c>
      <c r="H2504" s="192" t="s">
        <v>5423</v>
      </c>
      <c r="I2504" t="s">
        <v>3414</v>
      </c>
      <c r="J2504" t="s">
        <v>865</v>
      </c>
      <c r="K2504" t="s">
        <v>797</v>
      </c>
    </row>
    <row r="2505" spans="2:11" x14ac:dyDescent="0.25">
      <c r="B2505" s="191"/>
      <c r="C2505" s="191"/>
      <c r="D2505" s="192" t="s">
        <v>5714</v>
      </c>
      <c r="E2505" t="s">
        <v>5715</v>
      </c>
      <c r="F2505" s="192" t="s">
        <v>789</v>
      </c>
      <c r="G2505" s="192" t="s">
        <v>3623</v>
      </c>
      <c r="H2505" s="192" t="s">
        <v>5423</v>
      </c>
      <c r="I2505" t="s">
        <v>3414</v>
      </c>
      <c r="J2505" t="s">
        <v>865</v>
      </c>
      <c r="K2505" t="s">
        <v>797</v>
      </c>
    </row>
    <row r="2506" spans="2:11" x14ac:dyDescent="0.25">
      <c r="B2506" s="191"/>
      <c r="C2506" s="191"/>
      <c r="D2506" s="192" t="s">
        <v>5716</v>
      </c>
      <c r="E2506" t="s">
        <v>5717</v>
      </c>
      <c r="F2506" s="192" t="s">
        <v>789</v>
      </c>
      <c r="G2506" s="192" t="s">
        <v>3627</v>
      </c>
      <c r="H2506" s="192" t="s">
        <v>5423</v>
      </c>
      <c r="I2506" t="s">
        <v>3414</v>
      </c>
      <c r="J2506" t="s">
        <v>865</v>
      </c>
      <c r="K2506" t="s">
        <v>797</v>
      </c>
    </row>
    <row r="2507" spans="2:11" x14ac:dyDescent="0.25">
      <c r="B2507" s="191"/>
      <c r="C2507" s="191"/>
      <c r="D2507" s="192" t="s">
        <v>5718</v>
      </c>
      <c r="E2507" t="s">
        <v>5719</v>
      </c>
      <c r="F2507" s="192" t="s">
        <v>789</v>
      </c>
      <c r="G2507" s="192" t="s">
        <v>3630</v>
      </c>
      <c r="H2507" s="192" t="s">
        <v>5423</v>
      </c>
      <c r="I2507" t="s">
        <v>3414</v>
      </c>
      <c r="J2507" t="s">
        <v>865</v>
      </c>
      <c r="K2507" t="s">
        <v>797</v>
      </c>
    </row>
    <row r="2508" spans="2:11" x14ac:dyDescent="0.25">
      <c r="B2508" s="191"/>
      <c r="C2508" s="191" t="s">
        <v>5720</v>
      </c>
      <c r="D2508" s="192"/>
      <c r="E2508" s="185" t="s">
        <v>5721</v>
      </c>
      <c r="F2508" s="192" t="s">
        <v>789</v>
      </c>
      <c r="G2508" s="192" t="s">
        <v>790</v>
      </c>
      <c r="H2508" s="192" t="s">
        <v>790</v>
      </c>
      <c r="I2508" t="s">
        <v>3414</v>
      </c>
    </row>
    <row r="2509" spans="2:11" x14ac:dyDescent="0.25">
      <c r="B2509" s="191"/>
      <c r="C2509" s="191"/>
      <c r="D2509" s="192" t="s">
        <v>5722</v>
      </c>
      <c r="E2509" t="s">
        <v>5723</v>
      </c>
      <c r="F2509" s="192" t="s">
        <v>789</v>
      </c>
      <c r="G2509" s="192" t="s">
        <v>3675</v>
      </c>
      <c r="H2509" s="192" t="s">
        <v>5423</v>
      </c>
      <c r="I2509" t="s">
        <v>3414</v>
      </c>
      <c r="J2509" t="s">
        <v>865</v>
      </c>
      <c r="K2509" t="s">
        <v>797</v>
      </c>
    </row>
    <row r="2510" spans="2:11" x14ac:dyDescent="0.25">
      <c r="B2510" s="191"/>
      <c r="C2510" s="191"/>
      <c r="D2510" s="192" t="s">
        <v>5724</v>
      </c>
      <c r="E2510" t="s">
        <v>5725</v>
      </c>
      <c r="F2510" s="192" t="s">
        <v>789</v>
      </c>
      <c r="G2510" s="192" t="s">
        <v>3623</v>
      </c>
      <c r="H2510" s="192" t="s">
        <v>5423</v>
      </c>
      <c r="I2510" t="s">
        <v>3414</v>
      </c>
      <c r="J2510" t="s">
        <v>865</v>
      </c>
      <c r="K2510" t="s">
        <v>797</v>
      </c>
    </row>
    <row r="2511" spans="2:11" x14ac:dyDescent="0.25">
      <c r="B2511" s="191"/>
      <c r="C2511" s="191"/>
      <c r="D2511" s="192" t="s">
        <v>5726</v>
      </c>
      <c r="E2511" t="s">
        <v>5727</v>
      </c>
      <c r="F2511" s="192" t="s">
        <v>789</v>
      </c>
      <c r="G2511" s="192" t="s">
        <v>3627</v>
      </c>
      <c r="H2511" s="192" t="s">
        <v>5423</v>
      </c>
      <c r="I2511" t="s">
        <v>3414</v>
      </c>
      <c r="J2511" t="s">
        <v>865</v>
      </c>
      <c r="K2511" t="s">
        <v>797</v>
      </c>
    </row>
    <row r="2512" spans="2:11" x14ac:dyDescent="0.25">
      <c r="B2512" s="191"/>
      <c r="C2512" s="191"/>
      <c r="D2512" s="192" t="s">
        <v>5728</v>
      </c>
      <c r="E2512" t="s">
        <v>5729</v>
      </c>
      <c r="F2512" s="192" t="s">
        <v>789</v>
      </c>
      <c r="G2512" s="192" t="s">
        <v>3630</v>
      </c>
      <c r="H2512" s="192" t="s">
        <v>5423</v>
      </c>
      <c r="I2512" t="s">
        <v>3414</v>
      </c>
      <c r="J2512" t="s">
        <v>865</v>
      </c>
      <c r="K2512" t="s">
        <v>797</v>
      </c>
    </row>
    <row r="2513" spans="2:11" x14ac:dyDescent="0.25">
      <c r="B2513" s="191"/>
      <c r="C2513" s="191" t="s">
        <v>5730</v>
      </c>
      <c r="D2513" s="192"/>
      <c r="E2513" s="185" t="s">
        <v>5731</v>
      </c>
      <c r="F2513" s="192" t="s">
        <v>789</v>
      </c>
      <c r="G2513" s="192" t="s">
        <v>790</v>
      </c>
      <c r="H2513" s="192" t="s">
        <v>790</v>
      </c>
      <c r="I2513" t="s">
        <v>3414</v>
      </c>
    </row>
    <row r="2514" spans="2:11" x14ac:dyDescent="0.25">
      <c r="B2514" s="191"/>
      <c r="C2514" s="191"/>
      <c r="D2514" s="192" t="s">
        <v>5732</v>
      </c>
      <c r="E2514" t="s">
        <v>5733</v>
      </c>
      <c r="F2514" s="192" t="s">
        <v>789</v>
      </c>
      <c r="G2514" s="192" t="s">
        <v>3675</v>
      </c>
      <c r="H2514" s="192" t="s">
        <v>5423</v>
      </c>
      <c r="I2514" t="s">
        <v>3414</v>
      </c>
      <c r="J2514" t="s">
        <v>865</v>
      </c>
      <c r="K2514" t="s">
        <v>797</v>
      </c>
    </row>
    <row r="2515" spans="2:11" x14ac:dyDescent="0.25">
      <c r="B2515" s="191"/>
      <c r="C2515" s="191"/>
      <c r="D2515" s="192" t="s">
        <v>5734</v>
      </c>
      <c r="E2515" t="s">
        <v>5735</v>
      </c>
      <c r="F2515" s="192" t="s">
        <v>789</v>
      </c>
      <c r="G2515" s="192" t="s">
        <v>3623</v>
      </c>
      <c r="H2515" s="192" t="s">
        <v>5423</v>
      </c>
      <c r="I2515" t="s">
        <v>3414</v>
      </c>
      <c r="J2515" t="s">
        <v>865</v>
      </c>
      <c r="K2515" t="s">
        <v>797</v>
      </c>
    </row>
    <row r="2516" spans="2:11" x14ac:dyDescent="0.25">
      <c r="B2516" s="191"/>
      <c r="C2516" s="191"/>
      <c r="D2516" s="192" t="s">
        <v>5736</v>
      </c>
      <c r="E2516" t="s">
        <v>5737</v>
      </c>
      <c r="F2516" s="192" t="s">
        <v>789</v>
      </c>
      <c r="G2516" s="192" t="s">
        <v>3627</v>
      </c>
      <c r="H2516" s="192" t="s">
        <v>5423</v>
      </c>
      <c r="I2516" t="s">
        <v>3414</v>
      </c>
      <c r="J2516" t="s">
        <v>865</v>
      </c>
      <c r="K2516" t="s">
        <v>797</v>
      </c>
    </row>
    <row r="2517" spans="2:11" x14ac:dyDescent="0.25">
      <c r="B2517" s="191"/>
      <c r="C2517" s="191"/>
      <c r="D2517" s="192" t="s">
        <v>5738</v>
      </c>
      <c r="E2517" t="s">
        <v>5739</v>
      </c>
      <c r="F2517" s="192" t="s">
        <v>789</v>
      </c>
      <c r="G2517" s="192" t="s">
        <v>3630</v>
      </c>
      <c r="H2517" s="192" t="s">
        <v>5423</v>
      </c>
      <c r="I2517" t="s">
        <v>3414</v>
      </c>
      <c r="J2517" t="s">
        <v>865</v>
      </c>
      <c r="K2517" t="s">
        <v>797</v>
      </c>
    </row>
    <row r="2518" spans="2:11" x14ac:dyDescent="0.25">
      <c r="B2518" s="191"/>
      <c r="C2518" s="191" t="s">
        <v>5740</v>
      </c>
      <c r="D2518" s="192"/>
      <c r="E2518" s="185" t="s">
        <v>5741</v>
      </c>
      <c r="F2518" s="192" t="s">
        <v>789</v>
      </c>
      <c r="G2518" s="192" t="s">
        <v>790</v>
      </c>
      <c r="H2518" s="192" t="s">
        <v>790</v>
      </c>
      <c r="I2518" t="s">
        <v>3414</v>
      </c>
    </row>
    <row r="2519" spans="2:11" x14ac:dyDescent="0.25">
      <c r="B2519" s="191"/>
      <c r="C2519" s="191" t="s">
        <v>5742</v>
      </c>
      <c r="D2519" s="192"/>
      <c r="E2519" s="185" t="s">
        <v>5743</v>
      </c>
      <c r="F2519" s="192" t="s">
        <v>789</v>
      </c>
      <c r="G2519" s="192" t="s">
        <v>790</v>
      </c>
      <c r="H2519" s="192" t="s">
        <v>790</v>
      </c>
      <c r="I2519" t="s">
        <v>3414</v>
      </c>
    </row>
    <row r="2520" spans="2:11" x14ac:dyDescent="0.25">
      <c r="B2520" s="191"/>
      <c r="C2520" s="191"/>
      <c r="D2520" s="192" t="s">
        <v>5744</v>
      </c>
      <c r="E2520" t="s">
        <v>5745</v>
      </c>
      <c r="F2520" s="192" t="s">
        <v>789</v>
      </c>
      <c r="G2520" s="192" t="s">
        <v>3675</v>
      </c>
      <c r="H2520" s="192" t="s">
        <v>5423</v>
      </c>
      <c r="I2520" t="s">
        <v>3414</v>
      </c>
      <c r="J2520" t="s">
        <v>865</v>
      </c>
      <c r="K2520" t="s">
        <v>797</v>
      </c>
    </row>
    <row r="2521" spans="2:11" x14ac:dyDescent="0.25">
      <c r="B2521" s="191"/>
      <c r="C2521" s="191"/>
      <c r="D2521" s="192" t="s">
        <v>5746</v>
      </c>
      <c r="E2521" t="s">
        <v>5747</v>
      </c>
      <c r="F2521" s="192" t="s">
        <v>789</v>
      </c>
      <c r="G2521" s="192" t="s">
        <v>3623</v>
      </c>
      <c r="H2521" s="192" t="s">
        <v>5423</v>
      </c>
      <c r="I2521" t="s">
        <v>3414</v>
      </c>
      <c r="J2521" t="s">
        <v>865</v>
      </c>
      <c r="K2521" t="s">
        <v>797</v>
      </c>
    </row>
    <row r="2522" spans="2:11" x14ac:dyDescent="0.25">
      <c r="B2522" s="191"/>
      <c r="C2522" s="191"/>
      <c r="D2522" s="192" t="s">
        <v>5748</v>
      </c>
      <c r="E2522" t="s">
        <v>5749</v>
      </c>
      <c r="F2522" s="192" t="s">
        <v>789</v>
      </c>
      <c r="G2522" s="192" t="s">
        <v>3627</v>
      </c>
      <c r="H2522" s="192" t="s">
        <v>5423</v>
      </c>
      <c r="I2522" t="s">
        <v>3414</v>
      </c>
      <c r="J2522" t="s">
        <v>865</v>
      </c>
      <c r="K2522" t="s">
        <v>797</v>
      </c>
    </row>
    <row r="2523" spans="2:11" x14ac:dyDescent="0.25">
      <c r="B2523" s="191"/>
      <c r="C2523" s="191"/>
      <c r="D2523" s="192" t="s">
        <v>5750</v>
      </c>
      <c r="E2523" t="s">
        <v>5751</v>
      </c>
      <c r="F2523" s="192" t="s">
        <v>789</v>
      </c>
      <c r="G2523" s="192" t="s">
        <v>3630</v>
      </c>
      <c r="H2523" s="192" t="s">
        <v>5423</v>
      </c>
      <c r="I2523" t="s">
        <v>3414</v>
      </c>
      <c r="J2523" t="s">
        <v>865</v>
      </c>
      <c r="K2523" t="s">
        <v>797</v>
      </c>
    </row>
    <row r="2524" spans="2:11" x14ac:dyDescent="0.25">
      <c r="B2524" s="191"/>
      <c r="C2524" s="191" t="s">
        <v>5752</v>
      </c>
      <c r="D2524" s="192"/>
      <c r="E2524" s="185" t="s">
        <v>5753</v>
      </c>
      <c r="F2524" s="192" t="s">
        <v>789</v>
      </c>
      <c r="G2524" s="192" t="s">
        <v>790</v>
      </c>
      <c r="H2524" s="192" t="s">
        <v>790</v>
      </c>
      <c r="I2524" t="s">
        <v>3414</v>
      </c>
    </row>
    <row r="2525" spans="2:11" x14ac:dyDescent="0.25">
      <c r="B2525" s="191"/>
      <c r="C2525" s="191"/>
      <c r="D2525" s="192" t="s">
        <v>5754</v>
      </c>
      <c r="E2525" t="s">
        <v>5755</v>
      </c>
      <c r="F2525" s="192" t="s">
        <v>789</v>
      </c>
      <c r="G2525" s="192" t="s">
        <v>3675</v>
      </c>
      <c r="H2525" s="192" t="s">
        <v>5423</v>
      </c>
      <c r="I2525" t="s">
        <v>3414</v>
      </c>
      <c r="J2525" t="s">
        <v>865</v>
      </c>
      <c r="K2525" t="s">
        <v>797</v>
      </c>
    </row>
    <row r="2526" spans="2:11" x14ac:dyDescent="0.25">
      <c r="B2526" s="191"/>
      <c r="C2526" s="191"/>
      <c r="D2526" s="192" t="s">
        <v>5756</v>
      </c>
      <c r="E2526" t="s">
        <v>5757</v>
      </c>
      <c r="F2526" s="192" t="s">
        <v>789</v>
      </c>
      <c r="G2526" s="192" t="s">
        <v>3623</v>
      </c>
      <c r="H2526" s="192" t="s">
        <v>5423</v>
      </c>
      <c r="I2526" t="s">
        <v>3414</v>
      </c>
      <c r="J2526" t="s">
        <v>865</v>
      </c>
      <c r="K2526" t="s">
        <v>797</v>
      </c>
    </row>
    <row r="2527" spans="2:11" x14ac:dyDescent="0.25">
      <c r="B2527" s="191"/>
      <c r="C2527" s="191"/>
      <c r="D2527" s="192" t="s">
        <v>5758</v>
      </c>
      <c r="E2527" t="s">
        <v>5759</v>
      </c>
      <c r="F2527" s="192" t="s">
        <v>789</v>
      </c>
      <c r="G2527" s="192" t="s">
        <v>3627</v>
      </c>
      <c r="H2527" s="192" t="s">
        <v>5423</v>
      </c>
      <c r="I2527" t="s">
        <v>3414</v>
      </c>
      <c r="J2527" t="s">
        <v>865</v>
      </c>
      <c r="K2527" t="s">
        <v>797</v>
      </c>
    </row>
    <row r="2528" spans="2:11" x14ac:dyDescent="0.25">
      <c r="B2528" s="191"/>
      <c r="C2528" s="191"/>
      <c r="D2528" s="192" t="s">
        <v>5760</v>
      </c>
      <c r="E2528" t="s">
        <v>5761</v>
      </c>
      <c r="F2528" s="192" t="s">
        <v>789</v>
      </c>
      <c r="G2528" s="192" t="s">
        <v>3630</v>
      </c>
      <c r="H2528" s="192" t="s">
        <v>5423</v>
      </c>
      <c r="I2528" t="s">
        <v>3414</v>
      </c>
      <c r="J2528" t="s">
        <v>865</v>
      </c>
      <c r="K2528" t="s">
        <v>797</v>
      </c>
    </row>
    <row r="2529" spans="2:11" x14ac:dyDescent="0.25">
      <c r="B2529" s="191"/>
      <c r="C2529" s="191" t="s">
        <v>5762</v>
      </c>
      <c r="D2529" s="192"/>
      <c r="E2529" s="185" t="s">
        <v>5763</v>
      </c>
      <c r="F2529" s="192" t="s">
        <v>789</v>
      </c>
      <c r="G2529" s="192" t="s">
        <v>790</v>
      </c>
      <c r="H2529" s="192" t="s">
        <v>790</v>
      </c>
      <c r="I2529" t="s">
        <v>3414</v>
      </c>
    </row>
    <row r="2530" spans="2:11" x14ac:dyDescent="0.25">
      <c r="B2530" s="191"/>
      <c r="C2530" s="191" t="s">
        <v>5764</v>
      </c>
      <c r="D2530" s="192"/>
      <c r="E2530" s="185" t="s">
        <v>5765</v>
      </c>
      <c r="F2530" s="192" t="s">
        <v>789</v>
      </c>
      <c r="G2530" s="192" t="s">
        <v>790</v>
      </c>
      <c r="H2530" s="192" t="s">
        <v>790</v>
      </c>
      <c r="I2530" t="s">
        <v>3414</v>
      </c>
    </row>
    <row r="2531" spans="2:11" x14ac:dyDescent="0.25">
      <c r="B2531" s="191"/>
      <c r="C2531" s="191" t="s">
        <v>5766</v>
      </c>
      <c r="D2531" s="192"/>
      <c r="E2531" s="185" t="s">
        <v>5767</v>
      </c>
      <c r="F2531" s="192" t="s">
        <v>789</v>
      </c>
      <c r="G2531" s="192" t="s">
        <v>790</v>
      </c>
      <c r="H2531" s="192" t="s">
        <v>790</v>
      </c>
      <c r="I2531" t="s">
        <v>3414</v>
      </c>
    </row>
    <row r="2532" spans="2:11" x14ac:dyDescent="0.25">
      <c r="B2532" s="191"/>
      <c r="C2532" s="191"/>
      <c r="D2532" s="192" t="s">
        <v>5768</v>
      </c>
      <c r="E2532" t="s">
        <v>5769</v>
      </c>
      <c r="F2532" s="192" t="s">
        <v>789</v>
      </c>
      <c r="G2532" s="192" t="s">
        <v>3627</v>
      </c>
      <c r="H2532" s="192" t="s">
        <v>5423</v>
      </c>
      <c r="I2532" t="s">
        <v>3414</v>
      </c>
      <c r="J2532" t="s">
        <v>865</v>
      </c>
      <c r="K2532" t="s">
        <v>797</v>
      </c>
    </row>
    <row r="2533" spans="2:11" x14ac:dyDescent="0.25">
      <c r="B2533" s="191"/>
      <c r="C2533" s="191"/>
      <c r="D2533" s="192" t="s">
        <v>5770</v>
      </c>
      <c r="E2533" t="s">
        <v>5771</v>
      </c>
      <c r="F2533" s="192" t="s">
        <v>789</v>
      </c>
      <c r="G2533" s="192" t="s">
        <v>3630</v>
      </c>
      <c r="H2533" s="192" t="s">
        <v>5423</v>
      </c>
      <c r="I2533" t="s">
        <v>3414</v>
      </c>
      <c r="J2533" t="s">
        <v>865</v>
      </c>
      <c r="K2533" t="s">
        <v>797</v>
      </c>
    </row>
    <row r="2534" spans="2:11" x14ac:dyDescent="0.25">
      <c r="B2534" s="191"/>
      <c r="C2534" s="191" t="s">
        <v>5772</v>
      </c>
      <c r="D2534" s="192"/>
      <c r="E2534" s="185" t="s">
        <v>5773</v>
      </c>
      <c r="F2534" s="192" t="s">
        <v>789</v>
      </c>
      <c r="G2534" s="192" t="s">
        <v>790</v>
      </c>
      <c r="H2534" s="192" t="s">
        <v>790</v>
      </c>
      <c r="I2534" t="s">
        <v>3414</v>
      </c>
    </row>
    <row r="2535" spans="2:11" x14ac:dyDescent="0.25">
      <c r="B2535" s="191"/>
      <c r="C2535" s="191"/>
      <c r="D2535" s="192" t="s">
        <v>5774</v>
      </c>
      <c r="E2535" t="s">
        <v>5775</v>
      </c>
      <c r="F2535" s="192" t="s">
        <v>789</v>
      </c>
      <c r="G2535" s="192" t="s">
        <v>3627</v>
      </c>
      <c r="H2535" s="192" t="s">
        <v>5423</v>
      </c>
      <c r="I2535" t="s">
        <v>3414</v>
      </c>
      <c r="J2535" t="s">
        <v>865</v>
      </c>
      <c r="K2535" t="s">
        <v>797</v>
      </c>
    </row>
    <row r="2536" spans="2:11" x14ac:dyDescent="0.25">
      <c r="B2536" s="191"/>
      <c r="C2536" s="191"/>
      <c r="D2536" s="192" t="s">
        <v>5776</v>
      </c>
      <c r="E2536" t="s">
        <v>5777</v>
      </c>
      <c r="F2536" s="192" t="s">
        <v>789</v>
      </c>
      <c r="G2536" s="192" t="s">
        <v>3630</v>
      </c>
      <c r="H2536" s="192" t="s">
        <v>5423</v>
      </c>
      <c r="I2536" t="s">
        <v>3414</v>
      </c>
      <c r="J2536" t="s">
        <v>865</v>
      </c>
      <c r="K2536" t="s">
        <v>797</v>
      </c>
    </row>
    <row r="2537" spans="2:11" x14ac:dyDescent="0.25">
      <c r="B2537" s="191"/>
      <c r="C2537" s="191" t="s">
        <v>5778</v>
      </c>
      <c r="D2537" s="192"/>
      <c r="E2537" s="185" t="s">
        <v>3219</v>
      </c>
      <c r="F2537" s="192" t="s">
        <v>789</v>
      </c>
      <c r="G2537" s="192" t="s">
        <v>790</v>
      </c>
      <c r="H2537" s="192" t="s">
        <v>790</v>
      </c>
      <c r="I2537" t="s">
        <v>3414</v>
      </c>
    </row>
    <row r="2538" spans="2:11" x14ac:dyDescent="0.25">
      <c r="B2538" s="191"/>
      <c r="C2538" s="191" t="s">
        <v>5779</v>
      </c>
      <c r="D2538" s="192"/>
      <c r="E2538" s="185" t="s">
        <v>5780</v>
      </c>
      <c r="F2538" s="192" t="s">
        <v>789</v>
      </c>
      <c r="G2538" s="192" t="s">
        <v>790</v>
      </c>
      <c r="H2538" s="192" t="s">
        <v>790</v>
      </c>
      <c r="I2538" t="s">
        <v>3414</v>
      </c>
    </row>
    <row r="2539" spans="2:11" x14ac:dyDescent="0.25">
      <c r="B2539" s="191"/>
      <c r="C2539" s="191"/>
      <c r="D2539" s="192" t="s">
        <v>5781</v>
      </c>
      <c r="E2539" t="s">
        <v>5782</v>
      </c>
      <c r="F2539" s="192" t="s">
        <v>789</v>
      </c>
      <c r="G2539" s="192" t="s">
        <v>3675</v>
      </c>
      <c r="H2539" s="192" t="s">
        <v>5423</v>
      </c>
      <c r="I2539" t="s">
        <v>3414</v>
      </c>
      <c r="J2539" t="s">
        <v>865</v>
      </c>
      <c r="K2539" t="s">
        <v>797</v>
      </c>
    </row>
    <row r="2540" spans="2:11" x14ac:dyDescent="0.25">
      <c r="B2540" s="191"/>
      <c r="C2540" s="191"/>
      <c r="D2540" s="192" t="s">
        <v>5783</v>
      </c>
      <c r="E2540" t="s">
        <v>5784</v>
      </c>
      <c r="F2540" s="192" t="s">
        <v>789</v>
      </c>
      <c r="G2540" s="192" t="s">
        <v>3623</v>
      </c>
      <c r="H2540" s="192" t="s">
        <v>5423</v>
      </c>
      <c r="I2540" t="s">
        <v>3414</v>
      </c>
      <c r="J2540" t="s">
        <v>865</v>
      </c>
      <c r="K2540" t="s">
        <v>797</v>
      </c>
    </row>
    <row r="2541" spans="2:11" x14ac:dyDescent="0.25">
      <c r="B2541" s="191"/>
      <c r="C2541" s="191"/>
      <c r="D2541" s="192" t="s">
        <v>5785</v>
      </c>
      <c r="E2541" t="s">
        <v>5786</v>
      </c>
      <c r="F2541" s="192" t="s">
        <v>789</v>
      </c>
      <c r="G2541" s="192" t="s">
        <v>3627</v>
      </c>
      <c r="H2541" s="192" t="s">
        <v>5423</v>
      </c>
      <c r="I2541" t="s">
        <v>3414</v>
      </c>
      <c r="J2541" t="s">
        <v>865</v>
      </c>
      <c r="K2541" t="s">
        <v>797</v>
      </c>
    </row>
    <row r="2542" spans="2:11" x14ac:dyDescent="0.25">
      <c r="B2542" s="191"/>
      <c r="C2542" s="191"/>
      <c r="D2542" s="192" t="s">
        <v>5787</v>
      </c>
      <c r="E2542" t="s">
        <v>5788</v>
      </c>
      <c r="F2542" s="192" t="s">
        <v>789</v>
      </c>
      <c r="G2542" s="192" t="s">
        <v>3630</v>
      </c>
      <c r="H2542" s="192" t="s">
        <v>5423</v>
      </c>
      <c r="I2542" t="s">
        <v>3414</v>
      </c>
      <c r="J2542" t="s">
        <v>865</v>
      </c>
      <c r="K2542" t="s">
        <v>797</v>
      </c>
    </row>
    <row r="2543" spans="2:11" x14ac:dyDescent="0.25">
      <c r="B2543" s="191"/>
      <c r="C2543" s="191" t="s">
        <v>5789</v>
      </c>
      <c r="D2543" s="192"/>
      <c r="E2543" s="185" t="s">
        <v>5790</v>
      </c>
      <c r="F2543" s="192" t="s">
        <v>789</v>
      </c>
      <c r="G2543" s="192" t="s">
        <v>790</v>
      </c>
      <c r="H2543" s="192" t="s">
        <v>790</v>
      </c>
      <c r="I2543" t="s">
        <v>3414</v>
      </c>
    </row>
    <row r="2544" spans="2:11" x14ac:dyDescent="0.25">
      <c r="B2544" s="191"/>
      <c r="C2544" s="191"/>
      <c r="D2544" s="192" t="s">
        <v>5791</v>
      </c>
      <c r="E2544" t="s">
        <v>5792</v>
      </c>
      <c r="F2544" s="192" t="s">
        <v>789</v>
      </c>
      <c r="G2544" s="192" t="s">
        <v>3675</v>
      </c>
      <c r="H2544" s="192" t="s">
        <v>5423</v>
      </c>
      <c r="I2544" t="s">
        <v>3414</v>
      </c>
      <c r="J2544" t="s">
        <v>865</v>
      </c>
      <c r="K2544" t="s">
        <v>797</v>
      </c>
    </row>
    <row r="2545" spans="2:11" x14ac:dyDescent="0.25">
      <c r="B2545" s="191"/>
      <c r="C2545" s="191"/>
      <c r="D2545" s="192" t="s">
        <v>5793</v>
      </c>
      <c r="E2545" t="s">
        <v>5794</v>
      </c>
      <c r="F2545" s="192" t="s">
        <v>789</v>
      </c>
      <c r="G2545" s="192" t="s">
        <v>3623</v>
      </c>
      <c r="H2545" s="192" t="s">
        <v>5423</v>
      </c>
      <c r="I2545" t="s">
        <v>3414</v>
      </c>
      <c r="J2545" t="s">
        <v>865</v>
      </c>
      <c r="K2545" t="s">
        <v>797</v>
      </c>
    </row>
    <row r="2546" spans="2:11" x14ac:dyDescent="0.25">
      <c r="B2546" s="191"/>
      <c r="C2546" s="191"/>
      <c r="D2546" s="192" t="s">
        <v>5795</v>
      </c>
      <c r="E2546" t="s">
        <v>5796</v>
      </c>
      <c r="F2546" s="192" t="s">
        <v>789</v>
      </c>
      <c r="G2546" s="192" t="s">
        <v>3627</v>
      </c>
      <c r="H2546" s="192" t="s">
        <v>5423</v>
      </c>
      <c r="I2546" t="s">
        <v>3414</v>
      </c>
      <c r="J2546" t="s">
        <v>865</v>
      </c>
      <c r="K2546" t="s">
        <v>797</v>
      </c>
    </row>
    <row r="2547" spans="2:11" x14ac:dyDescent="0.25">
      <c r="B2547" s="191"/>
      <c r="C2547" s="191"/>
      <c r="D2547" s="192" t="s">
        <v>5797</v>
      </c>
      <c r="E2547" t="s">
        <v>5798</v>
      </c>
      <c r="F2547" s="192" t="s">
        <v>789</v>
      </c>
      <c r="G2547" s="192" t="s">
        <v>3630</v>
      </c>
      <c r="H2547" s="192" t="s">
        <v>5423</v>
      </c>
      <c r="I2547" t="s">
        <v>3414</v>
      </c>
      <c r="J2547" t="s">
        <v>865</v>
      </c>
      <c r="K2547" t="s">
        <v>797</v>
      </c>
    </row>
    <row r="2548" spans="2:11" x14ac:dyDescent="0.25">
      <c r="B2548" s="191"/>
      <c r="C2548" s="191" t="s">
        <v>5799</v>
      </c>
      <c r="D2548" s="192"/>
      <c r="E2548" s="185" t="s">
        <v>3222</v>
      </c>
      <c r="F2548" s="192" t="s">
        <v>789</v>
      </c>
      <c r="G2548" s="192" t="s">
        <v>790</v>
      </c>
      <c r="H2548" s="192" t="s">
        <v>790</v>
      </c>
      <c r="I2548" t="s">
        <v>3414</v>
      </c>
    </row>
    <row r="2549" spans="2:11" x14ac:dyDescent="0.25">
      <c r="B2549" s="191"/>
      <c r="C2549" s="191"/>
      <c r="D2549" s="192" t="s">
        <v>5800</v>
      </c>
      <c r="E2549" t="s">
        <v>5801</v>
      </c>
      <c r="F2549" s="192" t="s">
        <v>789</v>
      </c>
      <c r="G2549" s="192" t="s">
        <v>3675</v>
      </c>
      <c r="H2549" s="192" t="s">
        <v>5423</v>
      </c>
      <c r="I2549" t="s">
        <v>3414</v>
      </c>
      <c r="J2549" t="s">
        <v>865</v>
      </c>
      <c r="K2549" t="s">
        <v>797</v>
      </c>
    </row>
    <row r="2550" spans="2:11" x14ac:dyDescent="0.25">
      <c r="B2550" s="191"/>
      <c r="C2550" s="191"/>
      <c r="D2550" s="192" t="s">
        <v>5802</v>
      </c>
      <c r="E2550" t="s">
        <v>5803</v>
      </c>
      <c r="F2550" s="192" t="s">
        <v>789</v>
      </c>
      <c r="G2550" s="192" t="s">
        <v>3623</v>
      </c>
      <c r="H2550" s="192" t="s">
        <v>5423</v>
      </c>
      <c r="I2550" t="s">
        <v>3414</v>
      </c>
      <c r="J2550" t="s">
        <v>865</v>
      </c>
      <c r="K2550" t="s">
        <v>797</v>
      </c>
    </row>
    <row r="2551" spans="2:11" x14ac:dyDescent="0.25">
      <c r="B2551" s="191"/>
      <c r="C2551" s="191"/>
      <c r="D2551" s="192" t="s">
        <v>5804</v>
      </c>
      <c r="E2551" t="s">
        <v>5805</v>
      </c>
      <c r="F2551" s="192" t="s">
        <v>789</v>
      </c>
      <c r="G2551" s="192" t="s">
        <v>3627</v>
      </c>
      <c r="H2551" s="192" t="s">
        <v>5423</v>
      </c>
      <c r="I2551" t="s">
        <v>3414</v>
      </c>
      <c r="J2551" t="s">
        <v>865</v>
      </c>
      <c r="K2551" t="s">
        <v>797</v>
      </c>
    </row>
    <row r="2552" spans="2:11" x14ac:dyDescent="0.25">
      <c r="B2552" s="191"/>
      <c r="C2552" s="191"/>
      <c r="D2552" s="192" t="s">
        <v>5806</v>
      </c>
      <c r="E2552" t="s">
        <v>5807</v>
      </c>
      <c r="F2552" s="192" t="s">
        <v>789</v>
      </c>
      <c r="G2552" s="192" t="s">
        <v>3630</v>
      </c>
      <c r="H2552" s="192" t="s">
        <v>5423</v>
      </c>
      <c r="I2552" t="s">
        <v>3414</v>
      </c>
      <c r="J2552" t="s">
        <v>865</v>
      </c>
      <c r="K2552" t="s">
        <v>797</v>
      </c>
    </row>
    <row r="2553" spans="2:11" x14ac:dyDescent="0.25">
      <c r="B2553" s="191"/>
      <c r="C2553" s="191" t="s">
        <v>5808</v>
      </c>
      <c r="D2553" s="192"/>
      <c r="E2553" s="185" t="s">
        <v>3225</v>
      </c>
      <c r="F2553" s="192" t="s">
        <v>789</v>
      </c>
      <c r="G2553" s="192" t="s">
        <v>790</v>
      </c>
      <c r="H2553" s="192" t="s">
        <v>790</v>
      </c>
      <c r="I2553" t="s">
        <v>3414</v>
      </c>
    </row>
    <row r="2554" spans="2:11" x14ac:dyDescent="0.25">
      <c r="B2554" s="191"/>
      <c r="C2554" s="191" t="s">
        <v>5809</v>
      </c>
      <c r="D2554" s="192"/>
      <c r="E2554" s="185" t="s">
        <v>5810</v>
      </c>
      <c r="F2554" s="192" t="s">
        <v>789</v>
      </c>
      <c r="G2554" s="192" t="s">
        <v>790</v>
      </c>
      <c r="H2554" s="192" t="s">
        <v>790</v>
      </c>
      <c r="I2554" t="s">
        <v>3414</v>
      </c>
    </row>
    <row r="2555" spans="2:11" x14ac:dyDescent="0.25">
      <c r="B2555" s="191"/>
      <c r="C2555" s="191"/>
      <c r="D2555" s="192" t="s">
        <v>5811</v>
      </c>
      <c r="E2555" t="s">
        <v>5812</v>
      </c>
      <c r="F2555" s="192" t="s">
        <v>789</v>
      </c>
      <c r="G2555" s="192" t="s">
        <v>3675</v>
      </c>
      <c r="H2555" s="192" t="s">
        <v>5423</v>
      </c>
      <c r="I2555" t="s">
        <v>3414</v>
      </c>
      <c r="J2555" t="s">
        <v>865</v>
      </c>
      <c r="K2555" t="s">
        <v>797</v>
      </c>
    </row>
    <row r="2556" spans="2:11" x14ac:dyDescent="0.25">
      <c r="B2556" s="191"/>
      <c r="C2556" s="191"/>
      <c r="D2556" s="192" t="s">
        <v>5813</v>
      </c>
      <c r="E2556" t="s">
        <v>5814</v>
      </c>
      <c r="F2556" s="192" t="s">
        <v>789</v>
      </c>
      <c r="G2556" s="192" t="s">
        <v>3623</v>
      </c>
      <c r="H2556" s="192" t="s">
        <v>5423</v>
      </c>
      <c r="I2556" t="s">
        <v>3414</v>
      </c>
      <c r="J2556" t="s">
        <v>865</v>
      </c>
      <c r="K2556" t="s">
        <v>797</v>
      </c>
    </row>
    <row r="2557" spans="2:11" x14ac:dyDescent="0.25">
      <c r="B2557" s="191"/>
      <c r="C2557" s="191"/>
      <c r="D2557" s="192" t="s">
        <v>5815</v>
      </c>
      <c r="E2557" t="s">
        <v>5816</v>
      </c>
      <c r="F2557" s="192" t="s">
        <v>789</v>
      </c>
      <c r="G2557" s="192" t="s">
        <v>3627</v>
      </c>
      <c r="H2557" s="192" t="s">
        <v>5423</v>
      </c>
      <c r="I2557" t="s">
        <v>3414</v>
      </c>
      <c r="J2557" t="s">
        <v>865</v>
      </c>
      <c r="K2557" t="s">
        <v>797</v>
      </c>
    </row>
    <row r="2558" spans="2:11" x14ac:dyDescent="0.25">
      <c r="B2558" s="191"/>
      <c r="C2558" s="191"/>
      <c r="D2558" s="192" t="s">
        <v>5817</v>
      </c>
      <c r="E2558" t="s">
        <v>5818</v>
      </c>
      <c r="F2558" s="192" t="s">
        <v>789</v>
      </c>
      <c r="G2558" s="192" t="s">
        <v>3630</v>
      </c>
      <c r="H2558" s="192" t="s">
        <v>5423</v>
      </c>
      <c r="I2558" t="s">
        <v>3414</v>
      </c>
      <c r="J2558" t="s">
        <v>865</v>
      </c>
      <c r="K2558" t="s">
        <v>797</v>
      </c>
    </row>
    <row r="2559" spans="2:11" x14ac:dyDescent="0.25">
      <c r="B2559" s="191"/>
      <c r="C2559" s="191" t="s">
        <v>5819</v>
      </c>
      <c r="D2559" s="192"/>
      <c r="E2559" s="185" t="s">
        <v>5820</v>
      </c>
      <c r="F2559" s="192" t="s">
        <v>789</v>
      </c>
      <c r="G2559" s="192" t="s">
        <v>790</v>
      </c>
      <c r="H2559" s="192" t="s">
        <v>790</v>
      </c>
      <c r="I2559" t="s">
        <v>3414</v>
      </c>
    </row>
    <row r="2560" spans="2:11" x14ac:dyDescent="0.25">
      <c r="B2560" s="191"/>
      <c r="C2560" s="191"/>
      <c r="D2560" s="192" t="s">
        <v>5821</v>
      </c>
      <c r="E2560" t="s">
        <v>5822</v>
      </c>
      <c r="F2560" s="192" t="s">
        <v>789</v>
      </c>
      <c r="G2560" s="192" t="s">
        <v>3675</v>
      </c>
      <c r="H2560" s="192" t="s">
        <v>5423</v>
      </c>
      <c r="I2560" t="s">
        <v>3414</v>
      </c>
      <c r="J2560" t="s">
        <v>865</v>
      </c>
      <c r="K2560" t="s">
        <v>797</v>
      </c>
    </row>
    <row r="2561" spans="2:11" x14ac:dyDescent="0.25">
      <c r="B2561" s="191"/>
      <c r="C2561" s="191"/>
      <c r="D2561" s="192" t="s">
        <v>5823</v>
      </c>
      <c r="E2561" t="s">
        <v>5824</v>
      </c>
      <c r="F2561" s="192" t="s">
        <v>789</v>
      </c>
      <c r="G2561" s="192" t="s">
        <v>3623</v>
      </c>
      <c r="H2561" s="192" t="s">
        <v>5423</v>
      </c>
      <c r="I2561" t="s">
        <v>3414</v>
      </c>
      <c r="J2561" t="s">
        <v>865</v>
      </c>
      <c r="K2561" t="s">
        <v>797</v>
      </c>
    </row>
    <row r="2562" spans="2:11" x14ac:dyDescent="0.25">
      <c r="B2562" s="191"/>
      <c r="C2562" s="191"/>
      <c r="D2562" s="192" t="s">
        <v>5825</v>
      </c>
      <c r="E2562" t="s">
        <v>5826</v>
      </c>
      <c r="F2562" s="192" t="s">
        <v>789</v>
      </c>
      <c r="G2562" s="192" t="s">
        <v>3627</v>
      </c>
      <c r="H2562" s="192" t="s">
        <v>5423</v>
      </c>
      <c r="I2562" t="s">
        <v>3414</v>
      </c>
      <c r="J2562" t="s">
        <v>865</v>
      </c>
      <c r="K2562" t="s">
        <v>797</v>
      </c>
    </row>
    <row r="2563" spans="2:11" x14ac:dyDescent="0.25">
      <c r="B2563" s="191"/>
      <c r="C2563" s="191"/>
      <c r="D2563" s="192" t="s">
        <v>5827</v>
      </c>
      <c r="E2563" t="s">
        <v>5828</v>
      </c>
      <c r="F2563" s="192" t="s">
        <v>789</v>
      </c>
      <c r="G2563" s="192" t="s">
        <v>3630</v>
      </c>
      <c r="H2563" s="192" t="s">
        <v>5423</v>
      </c>
      <c r="I2563" t="s">
        <v>3414</v>
      </c>
      <c r="J2563" t="s">
        <v>865</v>
      </c>
      <c r="K2563" t="s">
        <v>797</v>
      </c>
    </row>
    <row r="2564" spans="2:11" x14ac:dyDescent="0.25">
      <c r="B2564" s="191"/>
      <c r="C2564" s="191" t="s">
        <v>5829</v>
      </c>
      <c r="D2564" s="192"/>
      <c r="E2564" s="185" t="s">
        <v>5830</v>
      </c>
      <c r="F2564" s="192" t="s">
        <v>789</v>
      </c>
      <c r="G2564" s="192" t="s">
        <v>790</v>
      </c>
      <c r="H2564" s="192" t="s">
        <v>790</v>
      </c>
      <c r="I2564" t="s">
        <v>3414</v>
      </c>
    </row>
    <row r="2565" spans="2:11" x14ac:dyDescent="0.25">
      <c r="B2565" s="191"/>
      <c r="C2565" s="191" t="s">
        <v>5831</v>
      </c>
      <c r="D2565" s="192"/>
      <c r="E2565" s="185" t="s">
        <v>5832</v>
      </c>
      <c r="F2565" s="192" t="s">
        <v>789</v>
      </c>
      <c r="G2565" s="192" t="s">
        <v>790</v>
      </c>
      <c r="H2565" s="192" t="s">
        <v>790</v>
      </c>
      <c r="I2565" t="s">
        <v>3414</v>
      </c>
    </row>
    <row r="2566" spans="2:11" x14ac:dyDescent="0.25">
      <c r="B2566" s="191"/>
      <c r="C2566" s="191"/>
      <c r="D2566" s="192" t="s">
        <v>5833</v>
      </c>
      <c r="E2566" t="s">
        <v>5834</v>
      </c>
      <c r="F2566" s="192" t="s">
        <v>789</v>
      </c>
      <c r="G2566" s="192" t="s">
        <v>3675</v>
      </c>
      <c r="H2566" s="192" t="s">
        <v>5423</v>
      </c>
      <c r="I2566" t="s">
        <v>3414</v>
      </c>
      <c r="J2566" t="s">
        <v>865</v>
      </c>
      <c r="K2566" t="s">
        <v>797</v>
      </c>
    </row>
    <row r="2567" spans="2:11" x14ac:dyDescent="0.25">
      <c r="B2567" s="191"/>
      <c r="C2567" s="191"/>
      <c r="D2567" s="192" t="s">
        <v>5835</v>
      </c>
      <c r="E2567" t="s">
        <v>5836</v>
      </c>
      <c r="F2567" s="192" t="s">
        <v>789</v>
      </c>
      <c r="G2567" s="192" t="s">
        <v>3623</v>
      </c>
      <c r="H2567" s="192" t="s">
        <v>5423</v>
      </c>
      <c r="I2567" t="s">
        <v>3414</v>
      </c>
      <c r="J2567" t="s">
        <v>865</v>
      </c>
      <c r="K2567" t="s">
        <v>797</v>
      </c>
    </row>
    <row r="2568" spans="2:11" x14ac:dyDescent="0.25">
      <c r="B2568" s="191"/>
      <c r="C2568" s="191"/>
      <c r="D2568" s="192" t="s">
        <v>5837</v>
      </c>
      <c r="E2568" t="s">
        <v>5838</v>
      </c>
      <c r="F2568" s="192" t="s">
        <v>789</v>
      </c>
      <c r="G2568" s="192" t="s">
        <v>3627</v>
      </c>
      <c r="H2568" s="192" t="s">
        <v>5423</v>
      </c>
      <c r="I2568" t="s">
        <v>3414</v>
      </c>
      <c r="J2568" t="s">
        <v>865</v>
      </c>
      <c r="K2568" t="s">
        <v>797</v>
      </c>
    </row>
    <row r="2569" spans="2:11" x14ac:dyDescent="0.25">
      <c r="B2569" s="191"/>
      <c r="C2569" s="191"/>
      <c r="D2569" s="192" t="s">
        <v>5839</v>
      </c>
      <c r="E2569" t="s">
        <v>5840</v>
      </c>
      <c r="F2569" s="192" t="s">
        <v>789</v>
      </c>
      <c r="G2569" s="192" t="s">
        <v>3630</v>
      </c>
      <c r="H2569" s="192" t="s">
        <v>5423</v>
      </c>
      <c r="I2569" t="s">
        <v>3414</v>
      </c>
      <c r="J2569" t="s">
        <v>865</v>
      </c>
      <c r="K2569" t="s">
        <v>797</v>
      </c>
    </row>
    <row r="2570" spans="2:11" x14ac:dyDescent="0.25">
      <c r="B2570" s="191"/>
      <c r="C2570" s="191" t="s">
        <v>5841</v>
      </c>
      <c r="D2570" s="192"/>
      <c r="E2570" s="185" t="s">
        <v>5842</v>
      </c>
      <c r="F2570" s="192" t="s">
        <v>789</v>
      </c>
      <c r="G2570" s="192" t="s">
        <v>790</v>
      </c>
      <c r="H2570" s="192" t="s">
        <v>790</v>
      </c>
      <c r="I2570" t="s">
        <v>3414</v>
      </c>
    </row>
    <row r="2571" spans="2:11" x14ac:dyDescent="0.25">
      <c r="B2571" s="191"/>
      <c r="C2571" s="191"/>
      <c r="D2571" s="192" t="s">
        <v>5843</v>
      </c>
      <c r="E2571" t="s">
        <v>5844</v>
      </c>
      <c r="F2571" s="192" t="s">
        <v>789</v>
      </c>
      <c r="G2571" s="192" t="s">
        <v>3675</v>
      </c>
      <c r="H2571" s="192" t="s">
        <v>5423</v>
      </c>
      <c r="I2571" t="s">
        <v>3414</v>
      </c>
      <c r="J2571" t="s">
        <v>865</v>
      </c>
      <c r="K2571" t="s">
        <v>797</v>
      </c>
    </row>
    <row r="2572" spans="2:11" x14ac:dyDescent="0.25">
      <c r="B2572" s="191"/>
      <c r="C2572" s="191"/>
      <c r="D2572" s="192" t="s">
        <v>5845</v>
      </c>
      <c r="E2572" t="s">
        <v>5846</v>
      </c>
      <c r="F2572" s="192" t="s">
        <v>789</v>
      </c>
      <c r="G2572" s="192" t="s">
        <v>3623</v>
      </c>
      <c r="H2572" s="192" t="s">
        <v>5423</v>
      </c>
      <c r="I2572" t="s">
        <v>3414</v>
      </c>
      <c r="J2572" t="s">
        <v>865</v>
      </c>
      <c r="K2572" t="s">
        <v>797</v>
      </c>
    </row>
    <row r="2573" spans="2:11" x14ac:dyDescent="0.25">
      <c r="B2573" s="191"/>
      <c r="C2573" s="191"/>
      <c r="D2573" s="192" t="s">
        <v>5847</v>
      </c>
      <c r="E2573" t="s">
        <v>5848</v>
      </c>
      <c r="F2573" s="192" t="s">
        <v>789</v>
      </c>
      <c r="G2573" s="192" t="s">
        <v>3627</v>
      </c>
      <c r="H2573" s="192" t="s">
        <v>5423</v>
      </c>
      <c r="I2573" t="s">
        <v>3414</v>
      </c>
      <c r="J2573" t="s">
        <v>865</v>
      </c>
      <c r="K2573" t="s">
        <v>797</v>
      </c>
    </row>
    <row r="2574" spans="2:11" x14ac:dyDescent="0.25">
      <c r="B2574" s="191"/>
      <c r="C2574" s="191"/>
      <c r="D2574" s="192" t="s">
        <v>5849</v>
      </c>
      <c r="E2574" t="s">
        <v>5850</v>
      </c>
      <c r="F2574" s="192" t="s">
        <v>789</v>
      </c>
      <c r="G2574" s="192" t="s">
        <v>3630</v>
      </c>
      <c r="H2574" s="192" t="s">
        <v>5423</v>
      </c>
      <c r="I2574" t="s">
        <v>3414</v>
      </c>
      <c r="J2574" t="s">
        <v>865</v>
      </c>
      <c r="K2574" t="s">
        <v>797</v>
      </c>
    </row>
    <row r="2575" spans="2:11" x14ac:dyDescent="0.25">
      <c r="B2575" s="191"/>
      <c r="C2575" s="191" t="s">
        <v>5851</v>
      </c>
      <c r="D2575" s="192"/>
      <c r="E2575" s="185" t="s">
        <v>5852</v>
      </c>
      <c r="F2575" s="192" t="s">
        <v>789</v>
      </c>
      <c r="G2575" s="192" t="s">
        <v>790</v>
      </c>
      <c r="H2575" s="192" t="s">
        <v>790</v>
      </c>
      <c r="I2575" t="s">
        <v>3414</v>
      </c>
    </row>
    <row r="2576" spans="2:11" x14ac:dyDescent="0.25">
      <c r="B2576" s="191"/>
      <c r="C2576" s="191" t="s">
        <v>5853</v>
      </c>
      <c r="D2576" s="192"/>
      <c r="E2576" s="185" t="s">
        <v>5854</v>
      </c>
      <c r="F2576" s="192" t="s">
        <v>789</v>
      </c>
      <c r="G2576" s="192" t="s">
        <v>790</v>
      </c>
      <c r="H2576" s="192" t="s">
        <v>790</v>
      </c>
      <c r="I2576" t="s">
        <v>3414</v>
      </c>
    </row>
    <row r="2577" spans="2:11" x14ac:dyDescent="0.25">
      <c r="B2577" s="191"/>
      <c r="C2577" s="191"/>
      <c r="D2577" s="192" t="s">
        <v>5855</v>
      </c>
      <c r="E2577" t="s">
        <v>5856</v>
      </c>
      <c r="F2577" s="192" t="s">
        <v>789</v>
      </c>
      <c r="G2577" s="192" t="s">
        <v>3675</v>
      </c>
      <c r="H2577" s="192" t="s">
        <v>3624</v>
      </c>
      <c r="I2577" t="s">
        <v>3414</v>
      </c>
      <c r="J2577" t="s">
        <v>865</v>
      </c>
      <c r="K2577" t="s">
        <v>797</v>
      </c>
    </row>
    <row r="2578" spans="2:11" x14ac:dyDescent="0.25">
      <c r="B2578" s="191"/>
      <c r="C2578" s="191"/>
      <c r="D2578" s="192" t="s">
        <v>5857</v>
      </c>
      <c r="E2578" t="s">
        <v>5858</v>
      </c>
      <c r="F2578" s="192" t="s">
        <v>789</v>
      </c>
      <c r="G2578" s="192" t="s">
        <v>3623</v>
      </c>
      <c r="H2578" s="192" t="s">
        <v>3624</v>
      </c>
      <c r="I2578" t="s">
        <v>3414</v>
      </c>
      <c r="J2578" t="s">
        <v>865</v>
      </c>
      <c r="K2578" t="s">
        <v>797</v>
      </c>
    </row>
    <row r="2579" spans="2:11" x14ac:dyDescent="0.25">
      <c r="B2579" s="191"/>
      <c r="C2579" s="191"/>
      <c r="D2579" s="192" t="s">
        <v>5859</v>
      </c>
      <c r="E2579" t="s">
        <v>5860</v>
      </c>
      <c r="F2579" s="192" t="s">
        <v>789</v>
      </c>
      <c r="G2579" s="192" t="s">
        <v>3627</v>
      </c>
      <c r="H2579" s="192" t="s">
        <v>3624</v>
      </c>
      <c r="I2579" t="s">
        <v>3414</v>
      </c>
      <c r="J2579" t="s">
        <v>865</v>
      </c>
      <c r="K2579" t="s">
        <v>797</v>
      </c>
    </row>
    <row r="2580" spans="2:11" x14ac:dyDescent="0.25">
      <c r="B2580" s="191"/>
      <c r="C2580" s="191"/>
      <c r="D2580" s="192" t="s">
        <v>5861</v>
      </c>
      <c r="E2580" t="s">
        <v>5862</v>
      </c>
      <c r="F2580" s="192" t="s">
        <v>789</v>
      </c>
      <c r="G2580" s="192" t="s">
        <v>3630</v>
      </c>
      <c r="H2580" s="192" t="s">
        <v>3624</v>
      </c>
      <c r="I2580" t="s">
        <v>3414</v>
      </c>
      <c r="J2580" t="s">
        <v>865</v>
      </c>
      <c r="K2580" t="s">
        <v>797</v>
      </c>
    </row>
    <row r="2581" spans="2:11" x14ac:dyDescent="0.25">
      <c r="B2581" s="191"/>
      <c r="C2581" s="191" t="s">
        <v>5863</v>
      </c>
      <c r="D2581" s="192"/>
      <c r="E2581" s="185" t="s">
        <v>5864</v>
      </c>
      <c r="F2581" s="192" t="s">
        <v>789</v>
      </c>
      <c r="G2581" s="192" t="s">
        <v>790</v>
      </c>
      <c r="H2581" s="192" t="s">
        <v>790</v>
      </c>
      <c r="I2581" t="s">
        <v>3414</v>
      </c>
    </row>
    <row r="2582" spans="2:11" x14ac:dyDescent="0.25">
      <c r="B2582" s="191"/>
      <c r="C2582" s="191"/>
      <c r="D2582" s="192" t="s">
        <v>5865</v>
      </c>
      <c r="E2582" t="s">
        <v>5866</v>
      </c>
      <c r="F2582" s="192" t="s">
        <v>789</v>
      </c>
      <c r="G2582" s="192" t="s">
        <v>3675</v>
      </c>
      <c r="H2582" s="192" t="s">
        <v>3624</v>
      </c>
      <c r="I2582" t="s">
        <v>3414</v>
      </c>
      <c r="J2582" t="s">
        <v>865</v>
      </c>
      <c r="K2582" t="s">
        <v>797</v>
      </c>
    </row>
    <row r="2583" spans="2:11" x14ac:dyDescent="0.25">
      <c r="B2583" s="191"/>
      <c r="C2583" s="191"/>
      <c r="D2583" s="192" t="s">
        <v>5867</v>
      </c>
      <c r="E2583" t="s">
        <v>5868</v>
      </c>
      <c r="F2583" s="192" t="s">
        <v>789</v>
      </c>
      <c r="G2583" s="192" t="s">
        <v>3623</v>
      </c>
      <c r="H2583" s="192" t="s">
        <v>3624</v>
      </c>
      <c r="I2583" t="s">
        <v>3414</v>
      </c>
      <c r="J2583" t="s">
        <v>865</v>
      </c>
      <c r="K2583" t="s">
        <v>797</v>
      </c>
    </row>
    <row r="2584" spans="2:11" x14ac:dyDescent="0.25">
      <c r="B2584" s="191"/>
      <c r="C2584" s="191"/>
      <c r="D2584" s="192" t="s">
        <v>5869</v>
      </c>
      <c r="E2584" t="s">
        <v>5870</v>
      </c>
      <c r="F2584" s="192" t="s">
        <v>789</v>
      </c>
      <c r="G2584" s="192" t="s">
        <v>3627</v>
      </c>
      <c r="H2584" s="192" t="s">
        <v>3624</v>
      </c>
      <c r="I2584" t="s">
        <v>3414</v>
      </c>
      <c r="J2584" t="s">
        <v>865</v>
      </c>
      <c r="K2584" t="s">
        <v>797</v>
      </c>
    </row>
    <row r="2585" spans="2:11" x14ac:dyDescent="0.25">
      <c r="B2585" s="191"/>
      <c r="C2585" s="191"/>
      <c r="D2585" s="192" t="s">
        <v>5871</v>
      </c>
      <c r="E2585" t="s">
        <v>5872</v>
      </c>
      <c r="F2585" s="192" t="s">
        <v>789</v>
      </c>
      <c r="G2585" s="192" t="s">
        <v>3630</v>
      </c>
      <c r="H2585" s="192" t="s">
        <v>3624</v>
      </c>
      <c r="I2585" t="s">
        <v>3414</v>
      </c>
      <c r="J2585" t="s">
        <v>865</v>
      </c>
      <c r="K2585" t="s">
        <v>797</v>
      </c>
    </row>
    <row r="2586" spans="2:11" x14ac:dyDescent="0.25">
      <c r="B2586" s="191"/>
      <c r="C2586" s="191" t="s">
        <v>5873</v>
      </c>
      <c r="D2586" s="192"/>
      <c r="E2586" s="185" t="s">
        <v>3237</v>
      </c>
      <c r="F2586" s="192" t="s">
        <v>789</v>
      </c>
      <c r="G2586" s="192" t="s">
        <v>790</v>
      </c>
      <c r="H2586" s="192" t="s">
        <v>790</v>
      </c>
      <c r="I2586" t="s">
        <v>3414</v>
      </c>
    </row>
    <row r="2587" spans="2:11" x14ac:dyDescent="0.25">
      <c r="B2587" s="191"/>
      <c r="C2587" s="191"/>
      <c r="D2587" s="192" t="s">
        <v>5874</v>
      </c>
      <c r="E2587" t="s">
        <v>5875</v>
      </c>
      <c r="F2587" s="192" t="s">
        <v>789</v>
      </c>
      <c r="G2587" s="192" t="s">
        <v>3675</v>
      </c>
      <c r="H2587" s="192" t="s">
        <v>5423</v>
      </c>
      <c r="I2587" t="s">
        <v>3414</v>
      </c>
      <c r="J2587" t="s">
        <v>865</v>
      </c>
      <c r="K2587" t="s">
        <v>797</v>
      </c>
    </row>
    <row r="2588" spans="2:11" x14ac:dyDescent="0.25">
      <c r="B2588" s="191"/>
      <c r="C2588" s="191"/>
      <c r="D2588" s="192" t="s">
        <v>5876</v>
      </c>
      <c r="E2588" t="s">
        <v>5877</v>
      </c>
      <c r="F2588" s="192" t="s">
        <v>789</v>
      </c>
      <c r="G2588" s="192" t="s">
        <v>3623</v>
      </c>
      <c r="H2588" s="192" t="s">
        <v>5423</v>
      </c>
      <c r="I2588" t="s">
        <v>3414</v>
      </c>
      <c r="J2588" t="s">
        <v>865</v>
      </c>
      <c r="K2588" t="s">
        <v>797</v>
      </c>
    </row>
    <row r="2589" spans="2:11" x14ac:dyDescent="0.25">
      <c r="B2589" s="191"/>
      <c r="C2589" s="191"/>
      <c r="D2589" s="192" t="s">
        <v>5878</v>
      </c>
      <c r="E2589" t="s">
        <v>5879</v>
      </c>
      <c r="F2589" s="192" t="s">
        <v>789</v>
      </c>
      <c r="G2589" s="192" t="s">
        <v>3627</v>
      </c>
      <c r="H2589" s="192" t="s">
        <v>5423</v>
      </c>
      <c r="I2589" t="s">
        <v>3414</v>
      </c>
      <c r="J2589" t="s">
        <v>865</v>
      </c>
      <c r="K2589" t="s">
        <v>797</v>
      </c>
    </row>
    <row r="2590" spans="2:11" x14ac:dyDescent="0.25">
      <c r="B2590" s="191"/>
      <c r="C2590" s="191"/>
      <c r="D2590" s="192" t="s">
        <v>5880</v>
      </c>
      <c r="E2590" t="s">
        <v>5881</v>
      </c>
      <c r="F2590" s="192" t="s">
        <v>789</v>
      </c>
      <c r="G2590" s="192" t="s">
        <v>3630</v>
      </c>
      <c r="H2590" s="192" t="s">
        <v>5423</v>
      </c>
      <c r="I2590" t="s">
        <v>3414</v>
      </c>
      <c r="J2590" t="s">
        <v>865</v>
      </c>
      <c r="K2590" t="s">
        <v>797</v>
      </c>
    </row>
    <row r="2591" spans="2:11" x14ac:dyDescent="0.25">
      <c r="B2591" s="191" t="s">
        <v>5882</v>
      </c>
      <c r="C2591" s="191"/>
      <c r="D2591" s="192"/>
      <c r="E2591" s="185" t="s">
        <v>5883</v>
      </c>
      <c r="F2591" s="192" t="s">
        <v>789</v>
      </c>
      <c r="G2591" s="192" t="s">
        <v>790</v>
      </c>
      <c r="H2591" s="192" t="s">
        <v>790</v>
      </c>
      <c r="I2591" t="s">
        <v>5884</v>
      </c>
      <c r="J2591" t="s">
        <v>865</v>
      </c>
    </row>
    <row r="2592" spans="2:11" x14ac:dyDescent="0.25">
      <c r="B2592" s="191"/>
      <c r="C2592" s="191" t="s">
        <v>5885</v>
      </c>
      <c r="D2592" s="192"/>
      <c r="E2592" s="185" t="s">
        <v>5886</v>
      </c>
      <c r="F2592" s="192" t="s">
        <v>789</v>
      </c>
      <c r="G2592" s="192" t="s">
        <v>790</v>
      </c>
      <c r="H2592" s="192" t="s">
        <v>790</v>
      </c>
      <c r="I2592" t="s">
        <v>5884</v>
      </c>
    </row>
    <row r="2593" spans="2:11" x14ac:dyDescent="0.25">
      <c r="B2593" s="191"/>
      <c r="C2593" s="191" t="s">
        <v>5887</v>
      </c>
      <c r="D2593" s="192"/>
      <c r="E2593" s="185" t="s">
        <v>5888</v>
      </c>
      <c r="F2593" s="192" t="s">
        <v>789</v>
      </c>
      <c r="G2593" s="192" t="s">
        <v>790</v>
      </c>
      <c r="H2593" s="192" t="s">
        <v>790</v>
      </c>
      <c r="I2593" t="s">
        <v>5884</v>
      </c>
    </row>
    <row r="2594" spans="2:11" x14ac:dyDescent="0.25">
      <c r="B2594" s="191"/>
      <c r="C2594" s="191"/>
      <c r="D2594" s="192" t="s">
        <v>5889</v>
      </c>
      <c r="E2594" t="s">
        <v>5890</v>
      </c>
      <c r="F2594" s="192" t="s">
        <v>5891</v>
      </c>
      <c r="G2594" s="192" t="s">
        <v>3419</v>
      </c>
      <c r="H2594" s="192" t="s">
        <v>3624</v>
      </c>
      <c r="I2594" t="s">
        <v>5884</v>
      </c>
      <c r="J2594" t="s">
        <v>865</v>
      </c>
      <c r="K2594" t="s">
        <v>797</v>
      </c>
    </row>
    <row r="2595" spans="2:11" x14ac:dyDescent="0.25">
      <c r="B2595" s="191"/>
      <c r="C2595" s="191"/>
      <c r="D2595" s="192" t="s">
        <v>5892</v>
      </c>
      <c r="E2595" t="s">
        <v>5893</v>
      </c>
      <c r="F2595" s="192" t="s">
        <v>5891</v>
      </c>
      <c r="G2595" s="192" t="s">
        <v>3419</v>
      </c>
      <c r="H2595" s="192" t="s">
        <v>3624</v>
      </c>
      <c r="I2595" t="s">
        <v>5884</v>
      </c>
      <c r="J2595" t="s">
        <v>865</v>
      </c>
      <c r="K2595" t="s">
        <v>797</v>
      </c>
    </row>
    <row r="2596" spans="2:11" x14ac:dyDescent="0.25">
      <c r="B2596" s="191"/>
      <c r="C2596" s="191" t="s">
        <v>5894</v>
      </c>
      <c r="D2596" s="192"/>
      <c r="E2596" s="185" t="s">
        <v>5895</v>
      </c>
      <c r="F2596" s="192" t="s">
        <v>789</v>
      </c>
      <c r="G2596" s="192" t="s">
        <v>790</v>
      </c>
      <c r="H2596" s="192" t="s">
        <v>790</v>
      </c>
      <c r="I2596" t="s">
        <v>5884</v>
      </c>
    </row>
    <row r="2597" spans="2:11" x14ac:dyDescent="0.25">
      <c r="B2597" s="191"/>
      <c r="C2597" s="191"/>
      <c r="D2597" s="192" t="s">
        <v>5896</v>
      </c>
      <c r="E2597" t="s">
        <v>5897</v>
      </c>
      <c r="F2597" s="192" t="s">
        <v>5891</v>
      </c>
      <c r="G2597" s="192" t="s">
        <v>3419</v>
      </c>
      <c r="H2597" s="192" t="s">
        <v>3624</v>
      </c>
      <c r="I2597" t="s">
        <v>5884</v>
      </c>
      <c r="J2597" t="s">
        <v>865</v>
      </c>
      <c r="K2597" t="s">
        <v>797</v>
      </c>
    </row>
    <row r="2598" spans="2:11" x14ac:dyDescent="0.25">
      <c r="B2598" s="191"/>
      <c r="C2598" s="191"/>
      <c r="D2598" s="192" t="s">
        <v>5898</v>
      </c>
      <c r="E2598" t="s">
        <v>5899</v>
      </c>
      <c r="F2598" s="192" t="s">
        <v>5891</v>
      </c>
      <c r="G2598" s="192" t="s">
        <v>3419</v>
      </c>
      <c r="H2598" s="192" t="s">
        <v>3624</v>
      </c>
      <c r="I2598" t="s">
        <v>5884</v>
      </c>
      <c r="J2598" t="s">
        <v>865</v>
      </c>
      <c r="K2598" t="s">
        <v>797</v>
      </c>
    </row>
    <row r="2599" spans="2:11" x14ac:dyDescent="0.25">
      <c r="B2599" s="191"/>
      <c r="C2599" s="191" t="s">
        <v>5900</v>
      </c>
      <c r="D2599" s="192"/>
      <c r="E2599" s="185" t="s">
        <v>5901</v>
      </c>
      <c r="F2599" s="192" t="s">
        <v>789</v>
      </c>
      <c r="G2599" s="192" t="s">
        <v>790</v>
      </c>
      <c r="H2599" s="192" t="s">
        <v>790</v>
      </c>
      <c r="I2599" t="s">
        <v>5884</v>
      </c>
    </row>
    <row r="2600" spans="2:11" x14ac:dyDescent="0.25">
      <c r="B2600" s="191"/>
      <c r="C2600" s="191" t="s">
        <v>5902</v>
      </c>
      <c r="D2600" s="192"/>
      <c r="E2600" s="185" t="s">
        <v>5903</v>
      </c>
      <c r="F2600" s="192" t="s">
        <v>789</v>
      </c>
      <c r="G2600" s="192" t="s">
        <v>790</v>
      </c>
      <c r="H2600" s="192" t="s">
        <v>790</v>
      </c>
      <c r="I2600" t="s">
        <v>5884</v>
      </c>
    </row>
    <row r="2601" spans="2:11" x14ac:dyDescent="0.25">
      <c r="B2601" s="191"/>
      <c r="C2601" s="191"/>
      <c r="D2601" s="192" t="s">
        <v>5904</v>
      </c>
      <c r="E2601" t="s">
        <v>5905</v>
      </c>
      <c r="F2601" s="192" t="s">
        <v>5891</v>
      </c>
      <c r="G2601" s="192" t="s">
        <v>5906</v>
      </c>
      <c r="H2601" s="192" t="s">
        <v>3624</v>
      </c>
      <c r="I2601" t="s">
        <v>5884</v>
      </c>
      <c r="J2601" t="s">
        <v>865</v>
      </c>
      <c r="K2601" t="s">
        <v>797</v>
      </c>
    </row>
    <row r="2602" spans="2:11" x14ac:dyDescent="0.25">
      <c r="B2602" s="191"/>
      <c r="C2602" s="191"/>
      <c r="D2602" s="192" t="s">
        <v>5907</v>
      </c>
      <c r="E2602" t="s">
        <v>5908</v>
      </c>
      <c r="F2602" s="192" t="s">
        <v>5891</v>
      </c>
      <c r="G2602" s="192" t="s">
        <v>5906</v>
      </c>
      <c r="H2602" s="192" t="s">
        <v>3624</v>
      </c>
      <c r="I2602" t="s">
        <v>5884</v>
      </c>
      <c r="J2602" t="s">
        <v>865</v>
      </c>
      <c r="K2602" t="s">
        <v>797</v>
      </c>
    </row>
    <row r="2603" spans="2:11" x14ac:dyDescent="0.25">
      <c r="B2603" s="191"/>
      <c r="C2603" s="191" t="s">
        <v>5909</v>
      </c>
      <c r="D2603" s="192"/>
      <c r="E2603" s="185" t="s">
        <v>5910</v>
      </c>
      <c r="F2603" s="192" t="s">
        <v>789</v>
      </c>
      <c r="G2603" s="192" t="s">
        <v>790</v>
      </c>
      <c r="H2603" s="192" t="s">
        <v>790</v>
      </c>
      <c r="I2603" t="s">
        <v>5884</v>
      </c>
    </row>
    <row r="2604" spans="2:11" x14ac:dyDescent="0.25">
      <c r="B2604" s="191"/>
      <c r="C2604" s="191"/>
      <c r="D2604" s="192" t="s">
        <v>5911</v>
      </c>
      <c r="E2604" t="s">
        <v>5912</v>
      </c>
      <c r="F2604" s="192" t="s">
        <v>5891</v>
      </c>
      <c r="G2604" s="192" t="s">
        <v>5906</v>
      </c>
      <c r="H2604" s="192" t="s">
        <v>3624</v>
      </c>
      <c r="I2604" t="s">
        <v>5884</v>
      </c>
      <c r="J2604" t="s">
        <v>865</v>
      </c>
      <c r="K2604" t="s">
        <v>797</v>
      </c>
    </row>
    <row r="2605" spans="2:11" x14ac:dyDescent="0.25">
      <c r="B2605" s="191"/>
      <c r="C2605" s="191"/>
      <c r="D2605" s="192" t="s">
        <v>5913</v>
      </c>
      <c r="E2605" t="s">
        <v>5914</v>
      </c>
      <c r="F2605" s="192" t="s">
        <v>5891</v>
      </c>
      <c r="G2605" s="192" t="s">
        <v>5906</v>
      </c>
      <c r="H2605" s="192" t="s">
        <v>3624</v>
      </c>
      <c r="I2605" t="s">
        <v>5884</v>
      </c>
      <c r="J2605" t="s">
        <v>865</v>
      </c>
      <c r="K2605" t="s">
        <v>797</v>
      </c>
    </row>
    <row r="2606" spans="2:11" x14ac:dyDescent="0.25">
      <c r="B2606" s="191"/>
      <c r="C2606" s="191" t="s">
        <v>5915</v>
      </c>
      <c r="D2606" s="192"/>
      <c r="E2606" s="185" t="s">
        <v>5916</v>
      </c>
      <c r="F2606" s="192" t="s">
        <v>789</v>
      </c>
      <c r="G2606" s="192" t="s">
        <v>790</v>
      </c>
      <c r="H2606" s="192" t="s">
        <v>790</v>
      </c>
      <c r="I2606" t="s">
        <v>5884</v>
      </c>
    </row>
    <row r="2607" spans="2:11" x14ac:dyDescent="0.25">
      <c r="B2607" s="191"/>
      <c r="C2607" s="191" t="s">
        <v>5917</v>
      </c>
      <c r="D2607" s="192"/>
      <c r="E2607" s="185" t="s">
        <v>5918</v>
      </c>
      <c r="F2607" s="192" t="s">
        <v>789</v>
      </c>
      <c r="G2607" s="192" t="s">
        <v>790</v>
      </c>
      <c r="H2607" s="192" t="s">
        <v>790</v>
      </c>
      <c r="I2607" t="s">
        <v>5884</v>
      </c>
    </row>
    <row r="2608" spans="2:11" x14ac:dyDescent="0.25">
      <c r="B2608" s="191"/>
      <c r="C2608" s="191"/>
      <c r="D2608" s="192" t="s">
        <v>5919</v>
      </c>
      <c r="E2608" t="s">
        <v>5920</v>
      </c>
      <c r="F2608" s="192" t="s">
        <v>5891</v>
      </c>
      <c r="G2608" s="192" t="s">
        <v>5906</v>
      </c>
      <c r="H2608" s="192" t="s">
        <v>3624</v>
      </c>
      <c r="I2608" t="s">
        <v>5884</v>
      </c>
      <c r="J2608" t="s">
        <v>865</v>
      </c>
      <c r="K2608" t="s">
        <v>797</v>
      </c>
    </row>
    <row r="2609" spans="2:11" x14ac:dyDescent="0.25">
      <c r="B2609" s="191"/>
      <c r="C2609" s="191" t="s">
        <v>5921</v>
      </c>
      <c r="D2609" s="192"/>
      <c r="E2609" s="185" t="s">
        <v>5922</v>
      </c>
      <c r="F2609" s="192" t="s">
        <v>789</v>
      </c>
      <c r="G2609" s="192" t="s">
        <v>790</v>
      </c>
      <c r="H2609" s="192" t="s">
        <v>790</v>
      </c>
      <c r="I2609" t="s">
        <v>5884</v>
      </c>
    </row>
    <row r="2610" spans="2:11" x14ac:dyDescent="0.25">
      <c r="B2610" s="191"/>
      <c r="C2610" s="191"/>
      <c r="D2610" s="192" t="s">
        <v>5923</v>
      </c>
      <c r="E2610" t="s">
        <v>5924</v>
      </c>
      <c r="F2610" s="192" t="s">
        <v>5891</v>
      </c>
      <c r="G2610" s="192" t="s">
        <v>5906</v>
      </c>
      <c r="H2610" s="192" t="s">
        <v>3624</v>
      </c>
      <c r="I2610" t="s">
        <v>5884</v>
      </c>
      <c r="J2610" t="s">
        <v>865</v>
      </c>
      <c r="K2610" t="s">
        <v>797</v>
      </c>
    </row>
    <row r="2611" spans="2:11" x14ac:dyDescent="0.25">
      <c r="B2611" s="191"/>
      <c r="C2611" s="191" t="s">
        <v>5925</v>
      </c>
      <c r="D2611" s="192"/>
      <c r="E2611" s="185" t="s">
        <v>5926</v>
      </c>
      <c r="F2611" s="192" t="s">
        <v>789</v>
      </c>
      <c r="G2611" s="192" t="s">
        <v>790</v>
      </c>
      <c r="H2611" s="192" t="s">
        <v>790</v>
      </c>
      <c r="I2611" t="s">
        <v>5884</v>
      </c>
    </row>
    <row r="2612" spans="2:11" x14ac:dyDescent="0.25">
      <c r="B2612" s="191"/>
      <c r="C2612" s="191"/>
      <c r="D2612" s="192" t="s">
        <v>5927</v>
      </c>
      <c r="E2612" t="s">
        <v>5926</v>
      </c>
      <c r="F2612" s="192" t="s">
        <v>5891</v>
      </c>
      <c r="G2612" s="192" t="s">
        <v>5906</v>
      </c>
      <c r="H2612" s="192" t="s">
        <v>3624</v>
      </c>
      <c r="I2612" t="s">
        <v>5884</v>
      </c>
      <c r="J2612" t="s">
        <v>865</v>
      </c>
      <c r="K2612" t="s">
        <v>797</v>
      </c>
    </row>
    <row r="2613" spans="2:11" x14ac:dyDescent="0.25">
      <c r="B2613" s="191"/>
      <c r="C2613" s="191" t="s">
        <v>5928</v>
      </c>
      <c r="D2613" s="192"/>
      <c r="E2613" s="185" t="s">
        <v>5929</v>
      </c>
      <c r="F2613" s="192" t="s">
        <v>789</v>
      </c>
      <c r="G2613" s="192" t="s">
        <v>790</v>
      </c>
      <c r="H2613" s="192" t="s">
        <v>790</v>
      </c>
      <c r="I2613" t="s">
        <v>5884</v>
      </c>
    </row>
    <row r="2614" spans="2:11" x14ac:dyDescent="0.25">
      <c r="B2614" s="191"/>
      <c r="C2614" s="191"/>
      <c r="D2614" s="192" t="s">
        <v>5930</v>
      </c>
      <c r="E2614" t="s">
        <v>5929</v>
      </c>
      <c r="F2614" s="192" t="s">
        <v>5891</v>
      </c>
      <c r="G2614" s="192" t="s">
        <v>5906</v>
      </c>
      <c r="H2614" s="192" t="s">
        <v>3624</v>
      </c>
      <c r="I2614" t="s">
        <v>5884</v>
      </c>
      <c r="J2614" t="s">
        <v>865</v>
      </c>
      <c r="K2614" t="s">
        <v>797</v>
      </c>
    </row>
    <row r="2615" spans="2:11" x14ac:dyDescent="0.25">
      <c r="B2615" s="191"/>
      <c r="C2615" s="191" t="s">
        <v>5931</v>
      </c>
      <c r="D2615" s="192"/>
      <c r="E2615" s="185" t="s">
        <v>5932</v>
      </c>
      <c r="F2615" s="192" t="s">
        <v>789</v>
      </c>
      <c r="G2615" s="192" t="s">
        <v>790</v>
      </c>
      <c r="H2615" s="192" t="s">
        <v>790</v>
      </c>
      <c r="I2615" t="s">
        <v>5884</v>
      </c>
    </row>
    <row r="2616" spans="2:11" x14ac:dyDescent="0.25">
      <c r="B2616" s="191"/>
      <c r="C2616" s="191" t="s">
        <v>5933</v>
      </c>
      <c r="D2616" s="192"/>
      <c r="E2616" s="185" t="s">
        <v>5934</v>
      </c>
      <c r="F2616" s="192" t="s">
        <v>789</v>
      </c>
      <c r="G2616" s="192" t="s">
        <v>790</v>
      </c>
      <c r="H2616" s="192" t="s">
        <v>790</v>
      </c>
      <c r="I2616" t="s">
        <v>5884</v>
      </c>
    </row>
    <row r="2617" spans="2:11" x14ac:dyDescent="0.25">
      <c r="B2617" s="191"/>
      <c r="C2617" s="191"/>
      <c r="D2617" s="192" t="s">
        <v>5935</v>
      </c>
      <c r="E2617" t="s">
        <v>5936</v>
      </c>
      <c r="F2617" s="192" t="s">
        <v>5891</v>
      </c>
      <c r="G2617" s="192" t="s">
        <v>5906</v>
      </c>
      <c r="H2617" s="192" t="s">
        <v>3624</v>
      </c>
      <c r="I2617" t="s">
        <v>5884</v>
      </c>
      <c r="J2617" t="s">
        <v>865</v>
      </c>
      <c r="K2617" t="s">
        <v>797</v>
      </c>
    </row>
    <row r="2618" spans="2:11" x14ac:dyDescent="0.25">
      <c r="B2618" s="191"/>
      <c r="C2618" s="191"/>
      <c r="D2618" s="192" t="s">
        <v>5937</v>
      </c>
      <c r="E2618" t="s">
        <v>5938</v>
      </c>
      <c r="F2618" s="192" t="s">
        <v>5891</v>
      </c>
      <c r="G2618" s="192" t="s">
        <v>5906</v>
      </c>
      <c r="H2618" s="192" t="s">
        <v>3624</v>
      </c>
      <c r="I2618" t="s">
        <v>5884</v>
      </c>
      <c r="J2618" t="s">
        <v>865</v>
      </c>
      <c r="K2618" t="s">
        <v>797</v>
      </c>
    </row>
    <row r="2619" spans="2:11" x14ac:dyDescent="0.25">
      <c r="B2619" s="191"/>
      <c r="C2619" s="191" t="s">
        <v>5939</v>
      </c>
      <c r="D2619" s="192"/>
      <c r="E2619" s="185" t="s">
        <v>5940</v>
      </c>
      <c r="F2619" s="192" t="s">
        <v>789</v>
      </c>
      <c r="G2619" s="192" t="s">
        <v>790</v>
      </c>
      <c r="H2619" s="192" t="s">
        <v>790</v>
      </c>
      <c r="I2619" t="s">
        <v>5884</v>
      </c>
    </row>
    <row r="2620" spans="2:11" x14ac:dyDescent="0.25">
      <c r="B2620" s="191"/>
      <c r="C2620" s="191"/>
      <c r="D2620" s="192" t="s">
        <v>5941</v>
      </c>
      <c r="E2620" t="s">
        <v>5942</v>
      </c>
      <c r="F2620" s="192" t="s">
        <v>5891</v>
      </c>
      <c r="G2620" s="192" t="s">
        <v>5906</v>
      </c>
      <c r="H2620" s="192" t="s">
        <v>3624</v>
      </c>
      <c r="I2620" t="s">
        <v>5884</v>
      </c>
      <c r="J2620" t="s">
        <v>865</v>
      </c>
      <c r="K2620" t="s">
        <v>797</v>
      </c>
    </row>
    <row r="2621" spans="2:11" x14ac:dyDescent="0.25">
      <c r="B2621" s="191"/>
      <c r="C2621" s="191"/>
      <c r="D2621" s="192" t="s">
        <v>5943</v>
      </c>
      <c r="E2621" t="s">
        <v>5944</v>
      </c>
      <c r="F2621" s="192" t="s">
        <v>5891</v>
      </c>
      <c r="G2621" s="192" t="s">
        <v>5906</v>
      </c>
      <c r="H2621" s="192" t="s">
        <v>3624</v>
      </c>
      <c r="I2621" t="s">
        <v>5884</v>
      </c>
      <c r="J2621" t="s">
        <v>865</v>
      </c>
      <c r="K2621" t="s">
        <v>797</v>
      </c>
    </row>
    <row r="2622" spans="2:11" x14ac:dyDescent="0.25">
      <c r="B2622" s="191"/>
      <c r="C2622" s="191" t="s">
        <v>5945</v>
      </c>
      <c r="D2622" s="192"/>
      <c r="E2622" s="185" t="s">
        <v>5946</v>
      </c>
      <c r="F2622" s="192" t="s">
        <v>789</v>
      </c>
      <c r="G2622" s="192" t="s">
        <v>790</v>
      </c>
      <c r="H2622" s="192" t="s">
        <v>790</v>
      </c>
      <c r="I2622" t="s">
        <v>5884</v>
      </c>
    </row>
    <row r="2623" spans="2:11" x14ac:dyDescent="0.25">
      <c r="B2623" s="191"/>
      <c r="C2623" s="191" t="s">
        <v>5947</v>
      </c>
      <c r="D2623" s="192"/>
      <c r="E2623" s="185" t="s">
        <v>5948</v>
      </c>
      <c r="F2623" s="192" t="s">
        <v>789</v>
      </c>
      <c r="G2623" s="192" t="s">
        <v>790</v>
      </c>
      <c r="H2623" s="192" t="s">
        <v>790</v>
      </c>
      <c r="I2623" t="s">
        <v>5884</v>
      </c>
    </row>
    <row r="2624" spans="2:11" x14ac:dyDescent="0.25">
      <c r="B2624" s="191"/>
      <c r="C2624" s="191"/>
      <c r="D2624" s="192" t="s">
        <v>5949</v>
      </c>
      <c r="E2624" t="s">
        <v>5950</v>
      </c>
      <c r="F2624" s="192" t="s">
        <v>5891</v>
      </c>
      <c r="G2624" s="192" t="s">
        <v>5951</v>
      </c>
      <c r="H2624" s="192" t="s">
        <v>3624</v>
      </c>
      <c r="I2624" t="s">
        <v>5884</v>
      </c>
      <c r="J2624" t="s">
        <v>865</v>
      </c>
      <c r="K2624" t="s">
        <v>797</v>
      </c>
    </row>
    <row r="2625" spans="2:11" x14ac:dyDescent="0.25">
      <c r="B2625" s="191"/>
      <c r="C2625" s="191"/>
      <c r="D2625" s="192" t="s">
        <v>5952</v>
      </c>
      <c r="E2625" t="s">
        <v>5953</v>
      </c>
      <c r="F2625" s="192" t="s">
        <v>5891</v>
      </c>
      <c r="G2625" s="192" t="s">
        <v>5951</v>
      </c>
      <c r="H2625" s="192" t="s">
        <v>3624</v>
      </c>
      <c r="I2625" t="s">
        <v>5884</v>
      </c>
      <c r="J2625" t="s">
        <v>865</v>
      </c>
      <c r="K2625" t="s">
        <v>797</v>
      </c>
    </row>
    <row r="2626" spans="2:11" x14ac:dyDescent="0.25">
      <c r="B2626" s="191"/>
      <c r="C2626" s="191" t="s">
        <v>5954</v>
      </c>
      <c r="D2626" s="192"/>
      <c r="E2626" s="185" t="s">
        <v>5955</v>
      </c>
      <c r="F2626" s="192" t="s">
        <v>789</v>
      </c>
      <c r="G2626" s="192" t="s">
        <v>790</v>
      </c>
      <c r="H2626" s="192" t="s">
        <v>790</v>
      </c>
      <c r="I2626" t="s">
        <v>5884</v>
      </c>
    </row>
    <row r="2627" spans="2:11" x14ac:dyDescent="0.25">
      <c r="B2627" s="191"/>
      <c r="C2627" s="191"/>
      <c r="D2627" s="192" t="s">
        <v>5956</v>
      </c>
      <c r="E2627" t="s">
        <v>5957</v>
      </c>
      <c r="F2627" s="192" t="s">
        <v>5891</v>
      </c>
      <c r="G2627" s="192" t="s">
        <v>5958</v>
      </c>
      <c r="H2627" s="192" t="s">
        <v>3624</v>
      </c>
      <c r="I2627" t="s">
        <v>5884</v>
      </c>
      <c r="J2627" t="s">
        <v>865</v>
      </c>
      <c r="K2627" t="s">
        <v>797</v>
      </c>
    </row>
    <row r="2628" spans="2:11" x14ac:dyDescent="0.25">
      <c r="B2628" s="191"/>
      <c r="C2628" s="191"/>
      <c r="D2628" s="192" t="s">
        <v>5959</v>
      </c>
      <c r="E2628" t="s">
        <v>5960</v>
      </c>
      <c r="F2628" s="192" t="s">
        <v>5891</v>
      </c>
      <c r="G2628" s="192" t="s">
        <v>5958</v>
      </c>
      <c r="H2628" s="192" t="s">
        <v>3624</v>
      </c>
      <c r="I2628" t="s">
        <v>5884</v>
      </c>
      <c r="J2628" t="s">
        <v>865</v>
      </c>
      <c r="K2628" t="s">
        <v>797</v>
      </c>
    </row>
    <row r="2629" spans="2:11" x14ac:dyDescent="0.25">
      <c r="B2629" s="191"/>
      <c r="C2629" s="191" t="s">
        <v>5961</v>
      </c>
      <c r="D2629" s="192"/>
      <c r="E2629" s="185" t="s">
        <v>5962</v>
      </c>
      <c r="F2629" s="192" t="s">
        <v>789</v>
      </c>
      <c r="G2629" s="192" t="s">
        <v>790</v>
      </c>
      <c r="H2629" s="192" t="s">
        <v>790</v>
      </c>
      <c r="I2629" t="s">
        <v>5884</v>
      </c>
    </row>
    <row r="2630" spans="2:11" x14ac:dyDescent="0.25">
      <c r="B2630" s="191"/>
      <c r="C2630" s="191"/>
      <c r="D2630" s="192" t="s">
        <v>5963</v>
      </c>
      <c r="E2630" t="s">
        <v>5964</v>
      </c>
      <c r="F2630" s="192" t="s">
        <v>5891</v>
      </c>
      <c r="G2630" s="192" t="s">
        <v>3419</v>
      </c>
      <c r="H2630" s="192" t="s">
        <v>3624</v>
      </c>
      <c r="I2630" t="s">
        <v>5884</v>
      </c>
      <c r="J2630" t="s">
        <v>865</v>
      </c>
      <c r="K2630" t="s">
        <v>797</v>
      </c>
    </row>
    <row r="2631" spans="2:11" x14ac:dyDescent="0.25">
      <c r="B2631" s="191"/>
      <c r="C2631" s="191"/>
      <c r="D2631" s="192" t="s">
        <v>5965</v>
      </c>
      <c r="E2631" t="s">
        <v>5966</v>
      </c>
      <c r="F2631" s="192" t="s">
        <v>5891</v>
      </c>
      <c r="G2631" s="192" t="s">
        <v>5906</v>
      </c>
      <c r="H2631" s="192" t="s">
        <v>3624</v>
      </c>
      <c r="I2631" t="s">
        <v>5884</v>
      </c>
      <c r="J2631" t="s">
        <v>865</v>
      </c>
      <c r="K2631" t="s">
        <v>797</v>
      </c>
    </row>
    <row r="2632" spans="2:11" x14ac:dyDescent="0.25">
      <c r="B2632" s="191"/>
      <c r="C2632" s="191"/>
      <c r="D2632" s="192" t="s">
        <v>5967</v>
      </c>
      <c r="E2632" t="s">
        <v>5968</v>
      </c>
      <c r="F2632" s="192" t="s">
        <v>5891</v>
      </c>
      <c r="G2632" s="192" t="s">
        <v>5951</v>
      </c>
      <c r="H2632" s="192" t="s">
        <v>3624</v>
      </c>
      <c r="I2632" t="s">
        <v>5884</v>
      </c>
      <c r="J2632" t="s">
        <v>865</v>
      </c>
      <c r="K2632" t="s">
        <v>797</v>
      </c>
    </row>
    <row r="2633" spans="2:11" x14ac:dyDescent="0.25">
      <c r="B2633" s="191"/>
      <c r="C2633" s="191"/>
      <c r="D2633" s="192" t="s">
        <v>5969</v>
      </c>
      <c r="E2633" t="s">
        <v>5970</v>
      </c>
      <c r="F2633" s="192" t="s">
        <v>5891</v>
      </c>
      <c r="G2633" s="192" t="s">
        <v>5971</v>
      </c>
      <c r="H2633" s="192" t="s">
        <v>3624</v>
      </c>
      <c r="I2633" t="s">
        <v>5884</v>
      </c>
      <c r="J2633" t="s">
        <v>865</v>
      </c>
      <c r="K2633" t="s">
        <v>797</v>
      </c>
    </row>
    <row r="2634" spans="2:11" x14ac:dyDescent="0.25">
      <c r="B2634" s="191"/>
      <c r="C2634" s="191"/>
      <c r="D2634" s="192" t="s">
        <v>5972</v>
      </c>
      <c r="E2634" t="s">
        <v>5973</v>
      </c>
      <c r="F2634" s="192" t="s">
        <v>5891</v>
      </c>
      <c r="G2634" s="192" t="s">
        <v>3424</v>
      </c>
      <c r="H2634" s="192" t="s">
        <v>3624</v>
      </c>
      <c r="I2634" t="s">
        <v>5884</v>
      </c>
      <c r="J2634" t="s">
        <v>865</v>
      </c>
      <c r="K2634" t="s">
        <v>797</v>
      </c>
    </row>
    <row r="2635" spans="2:11" x14ac:dyDescent="0.25">
      <c r="B2635" s="191"/>
      <c r="C2635" s="191"/>
      <c r="D2635" s="192" t="s">
        <v>5974</v>
      </c>
      <c r="E2635" t="s">
        <v>5975</v>
      </c>
      <c r="F2635" s="192" t="s">
        <v>5891</v>
      </c>
      <c r="G2635" s="192" t="s">
        <v>3430</v>
      </c>
      <c r="H2635" s="192" t="s">
        <v>3624</v>
      </c>
      <c r="I2635" t="s">
        <v>5884</v>
      </c>
      <c r="J2635" t="s">
        <v>865</v>
      </c>
      <c r="K2635" t="s">
        <v>797</v>
      </c>
    </row>
    <row r="2636" spans="2:11" x14ac:dyDescent="0.25">
      <c r="B2636" s="191"/>
      <c r="C2636" s="191"/>
      <c r="D2636" s="192" t="s">
        <v>5976</v>
      </c>
      <c r="E2636" t="s">
        <v>5977</v>
      </c>
      <c r="F2636" s="192" t="s">
        <v>5891</v>
      </c>
      <c r="G2636" s="192" t="s">
        <v>3449</v>
      </c>
      <c r="H2636" s="192" t="s">
        <v>3624</v>
      </c>
      <c r="I2636" t="s">
        <v>5884</v>
      </c>
      <c r="J2636" t="s">
        <v>865</v>
      </c>
      <c r="K2636" t="s">
        <v>797</v>
      </c>
    </row>
    <row r="2637" spans="2:11" x14ac:dyDescent="0.25">
      <c r="B2637" s="191"/>
      <c r="C2637" s="191"/>
      <c r="D2637" s="192" t="s">
        <v>5978</v>
      </c>
      <c r="E2637" t="s">
        <v>5979</v>
      </c>
      <c r="F2637" s="192" t="s">
        <v>5891</v>
      </c>
      <c r="G2637" s="192" t="s">
        <v>3419</v>
      </c>
      <c r="H2637" s="192" t="s">
        <v>3624</v>
      </c>
      <c r="I2637" t="s">
        <v>5884</v>
      </c>
      <c r="J2637" t="s">
        <v>865</v>
      </c>
      <c r="K2637" t="s">
        <v>797</v>
      </c>
    </row>
    <row r="2638" spans="2:11" x14ac:dyDescent="0.25">
      <c r="B2638" s="191" t="s">
        <v>5980</v>
      </c>
      <c r="C2638" s="191"/>
      <c r="D2638" s="192"/>
      <c r="E2638" s="185" t="s">
        <v>5981</v>
      </c>
      <c r="F2638" s="192" t="s">
        <v>789</v>
      </c>
      <c r="G2638" s="192" t="s">
        <v>790</v>
      </c>
      <c r="H2638" s="192" t="s">
        <v>790</v>
      </c>
      <c r="I2638" t="s">
        <v>2870</v>
      </c>
      <c r="J2638" t="s">
        <v>865</v>
      </c>
    </row>
    <row r="2639" spans="2:11" x14ac:dyDescent="0.25">
      <c r="B2639" s="191"/>
      <c r="C2639" s="191" t="s">
        <v>5982</v>
      </c>
      <c r="D2639" s="192"/>
      <c r="E2639" s="185" t="s">
        <v>5983</v>
      </c>
      <c r="F2639" s="192" t="s">
        <v>789</v>
      </c>
      <c r="G2639" s="192" t="s">
        <v>790</v>
      </c>
      <c r="H2639" s="192" t="s">
        <v>790</v>
      </c>
      <c r="I2639" t="s">
        <v>2870</v>
      </c>
    </row>
    <row r="2640" spans="2:11" x14ac:dyDescent="0.25">
      <c r="B2640" s="191"/>
      <c r="C2640" s="191" t="s">
        <v>5984</v>
      </c>
      <c r="D2640" s="192"/>
      <c r="E2640" s="185" t="s">
        <v>5985</v>
      </c>
      <c r="F2640" s="192" t="s">
        <v>789</v>
      </c>
      <c r="G2640" s="192" t="s">
        <v>790</v>
      </c>
      <c r="H2640" s="192" t="s">
        <v>790</v>
      </c>
      <c r="I2640" t="s">
        <v>2870</v>
      </c>
    </row>
    <row r="2641" spans="2:11" x14ac:dyDescent="0.25">
      <c r="B2641" s="191"/>
      <c r="C2641" s="191"/>
      <c r="D2641" s="192" t="s">
        <v>5986</v>
      </c>
      <c r="E2641" t="s">
        <v>5987</v>
      </c>
      <c r="F2641" s="192" t="s">
        <v>553</v>
      </c>
      <c r="G2641" s="192" t="s">
        <v>790</v>
      </c>
      <c r="H2641" s="192" t="s">
        <v>790</v>
      </c>
      <c r="I2641" t="s">
        <v>2870</v>
      </c>
      <c r="J2641" t="s">
        <v>865</v>
      </c>
      <c r="K2641" t="s">
        <v>797</v>
      </c>
    </row>
    <row r="2642" spans="2:11" x14ac:dyDescent="0.25">
      <c r="B2642" s="191"/>
      <c r="C2642" s="191"/>
      <c r="D2642" s="192" t="s">
        <v>5988</v>
      </c>
      <c r="E2642" t="s">
        <v>5989</v>
      </c>
      <c r="F2642" s="192" t="s">
        <v>553</v>
      </c>
      <c r="G2642" s="192" t="s">
        <v>790</v>
      </c>
      <c r="H2642" s="192" t="s">
        <v>790</v>
      </c>
      <c r="I2642" t="s">
        <v>2870</v>
      </c>
      <c r="J2642" t="s">
        <v>865</v>
      </c>
      <c r="K2642" t="s">
        <v>797</v>
      </c>
    </row>
    <row r="2643" spans="2:11" x14ac:dyDescent="0.25">
      <c r="B2643" s="191"/>
      <c r="C2643" s="191" t="s">
        <v>5990</v>
      </c>
      <c r="D2643" s="192"/>
      <c r="E2643" s="185" t="s">
        <v>5991</v>
      </c>
      <c r="F2643" s="192" t="s">
        <v>789</v>
      </c>
      <c r="G2643" s="192" t="s">
        <v>790</v>
      </c>
      <c r="H2643" s="192" t="s">
        <v>790</v>
      </c>
      <c r="I2643" t="s">
        <v>2870</v>
      </c>
    </row>
    <row r="2644" spans="2:11" x14ac:dyDescent="0.25">
      <c r="B2644" s="191"/>
      <c r="C2644" s="191"/>
      <c r="D2644" s="192" t="s">
        <v>5992</v>
      </c>
      <c r="E2644" t="s">
        <v>5993</v>
      </c>
      <c r="F2644" s="192" t="s">
        <v>553</v>
      </c>
      <c r="G2644" s="192" t="s">
        <v>790</v>
      </c>
      <c r="H2644" s="192" t="s">
        <v>790</v>
      </c>
      <c r="I2644" t="s">
        <v>2870</v>
      </c>
      <c r="J2644" t="s">
        <v>865</v>
      </c>
      <c r="K2644" t="s">
        <v>797</v>
      </c>
    </row>
    <row r="2645" spans="2:11" x14ac:dyDescent="0.25">
      <c r="B2645" s="191"/>
      <c r="C2645" s="191"/>
      <c r="D2645" s="192" t="s">
        <v>5994</v>
      </c>
      <c r="E2645" t="s">
        <v>5995</v>
      </c>
      <c r="F2645" s="192" t="s">
        <v>553</v>
      </c>
      <c r="G2645" s="192" t="s">
        <v>790</v>
      </c>
      <c r="H2645" s="192" t="s">
        <v>790</v>
      </c>
      <c r="I2645" t="s">
        <v>2870</v>
      </c>
      <c r="J2645" t="s">
        <v>865</v>
      </c>
      <c r="K2645" t="s">
        <v>797</v>
      </c>
    </row>
    <row r="2646" spans="2:11" x14ac:dyDescent="0.25">
      <c r="B2646" s="191"/>
      <c r="C2646" s="191" t="s">
        <v>5996</v>
      </c>
      <c r="D2646" s="192"/>
      <c r="E2646" s="185" t="s">
        <v>5997</v>
      </c>
      <c r="F2646" s="192" t="s">
        <v>789</v>
      </c>
      <c r="G2646" s="192" t="s">
        <v>790</v>
      </c>
      <c r="H2646" s="192" t="s">
        <v>790</v>
      </c>
      <c r="I2646" t="s">
        <v>2870</v>
      </c>
    </row>
    <row r="2647" spans="2:11" x14ac:dyDescent="0.25">
      <c r="B2647" s="191"/>
      <c r="C2647" s="191" t="s">
        <v>5998</v>
      </c>
      <c r="D2647" s="192"/>
      <c r="E2647" s="185" t="s">
        <v>5999</v>
      </c>
      <c r="F2647" s="192" t="s">
        <v>789</v>
      </c>
      <c r="G2647" s="192" t="s">
        <v>790</v>
      </c>
      <c r="H2647" s="192" t="s">
        <v>790</v>
      </c>
      <c r="I2647" t="s">
        <v>2870</v>
      </c>
    </row>
    <row r="2648" spans="2:11" x14ac:dyDescent="0.25">
      <c r="B2648" s="191"/>
      <c r="C2648" s="191"/>
      <c r="D2648" s="192" t="s">
        <v>6000</v>
      </c>
      <c r="E2648" t="s">
        <v>6001</v>
      </c>
      <c r="F2648" s="192" t="s">
        <v>553</v>
      </c>
      <c r="G2648" s="192" t="s">
        <v>790</v>
      </c>
      <c r="H2648" s="192" t="s">
        <v>790</v>
      </c>
      <c r="I2648" t="s">
        <v>2870</v>
      </c>
      <c r="J2648" t="s">
        <v>865</v>
      </c>
      <c r="K2648" t="s">
        <v>797</v>
      </c>
    </row>
    <row r="2649" spans="2:11" x14ac:dyDescent="0.25">
      <c r="B2649" s="191"/>
      <c r="C2649" s="191"/>
      <c r="D2649" s="192" t="s">
        <v>6002</v>
      </c>
      <c r="E2649" t="s">
        <v>6003</v>
      </c>
      <c r="F2649" s="192" t="s">
        <v>553</v>
      </c>
      <c r="G2649" s="192" t="s">
        <v>790</v>
      </c>
      <c r="H2649" s="192" t="s">
        <v>790</v>
      </c>
      <c r="I2649" t="s">
        <v>2870</v>
      </c>
      <c r="J2649" t="s">
        <v>865</v>
      </c>
      <c r="K2649" t="s">
        <v>797</v>
      </c>
    </row>
    <row r="2650" spans="2:11" x14ac:dyDescent="0.25">
      <c r="B2650" s="191"/>
      <c r="C2650" s="191" t="s">
        <v>6004</v>
      </c>
      <c r="D2650" s="192"/>
      <c r="E2650" s="185" t="s">
        <v>6005</v>
      </c>
      <c r="F2650" s="192" t="s">
        <v>789</v>
      </c>
      <c r="G2650" s="192" t="s">
        <v>790</v>
      </c>
      <c r="H2650" s="192" t="s">
        <v>790</v>
      </c>
      <c r="I2650" t="s">
        <v>2870</v>
      </c>
    </row>
    <row r="2651" spans="2:11" x14ac:dyDescent="0.25">
      <c r="B2651" s="191"/>
      <c r="C2651" s="191"/>
      <c r="D2651" s="192" t="s">
        <v>6006</v>
      </c>
      <c r="E2651" t="s">
        <v>6007</v>
      </c>
      <c r="F2651" s="192" t="s">
        <v>553</v>
      </c>
      <c r="G2651" s="192" t="s">
        <v>790</v>
      </c>
      <c r="H2651" s="192" t="s">
        <v>790</v>
      </c>
      <c r="I2651" t="s">
        <v>2870</v>
      </c>
      <c r="J2651" t="s">
        <v>865</v>
      </c>
      <c r="K2651" t="s">
        <v>797</v>
      </c>
    </row>
    <row r="2652" spans="2:11" x14ac:dyDescent="0.25">
      <c r="B2652" s="191"/>
      <c r="C2652" s="191"/>
      <c r="D2652" s="192" t="s">
        <v>6008</v>
      </c>
      <c r="E2652" t="s">
        <v>6009</v>
      </c>
      <c r="F2652" s="192" t="s">
        <v>553</v>
      </c>
      <c r="G2652" s="192" t="s">
        <v>790</v>
      </c>
      <c r="H2652" s="192" t="s">
        <v>790</v>
      </c>
      <c r="I2652" t="s">
        <v>2870</v>
      </c>
      <c r="J2652" t="s">
        <v>865</v>
      </c>
      <c r="K2652" t="s">
        <v>797</v>
      </c>
    </row>
    <row r="2653" spans="2:11" x14ac:dyDescent="0.25">
      <c r="B2653" s="191"/>
      <c r="C2653" s="191" t="s">
        <v>6010</v>
      </c>
      <c r="D2653" s="192"/>
      <c r="E2653" s="185" t="s">
        <v>6011</v>
      </c>
      <c r="F2653" s="192" t="s">
        <v>789</v>
      </c>
      <c r="G2653" s="192" t="s">
        <v>790</v>
      </c>
      <c r="H2653" s="192" t="s">
        <v>790</v>
      </c>
      <c r="I2653" t="s">
        <v>2870</v>
      </c>
    </row>
    <row r="2654" spans="2:11" x14ac:dyDescent="0.25">
      <c r="B2654" s="191"/>
      <c r="C2654" s="191" t="s">
        <v>6012</v>
      </c>
      <c r="D2654" s="192"/>
      <c r="E2654" s="185" t="s">
        <v>6013</v>
      </c>
      <c r="F2654" s="192" t="s">
        <v>789</v>
      </c>
      <c r="G2654" s="192" t="s">
        <v>790</v>
      </c>
      <c r="H2654" s="192" t="s">
        <v>790</v>
      </c>
      <c r="I2654" t="s">
        <v>2870</v>
      </c>
    </row>
    <row r="2655" spans="2:11" x14ac:dyDescent="0.25">
      <c r="B2655" s="191"/>
      <c r="C2655" s="191"/>
      <c r="D2655" s="192" t="s">
        <v>6014</v>
      </c>
      <c r="E2655" t="s">
        <v>6015</v>
      </c>
      <c r="F2655" s="192" t="s">
        <v>553</v>
      </c>
      <c r="G2655" s="192" t="s">
        <v>790</v>
      </c>
      <c r="H2655" s="192" t="s">
        <v>790</v>
      </c>
      <c r="I2655" t="s">
        <v>2870</v>
      </c>
      <c r="J2655" t="s">
        <v>865</v>
      </c>
      <c r="K2655" t="s">
        <v>797</v>
      </c>
    </row>
    <row r="2656" spans="2:11" x14ac:dyDescent="0.25">
      <c r="B2656" s="191"/>
      <c r="C2656" s="191"/>
      <c r="D2656" s="192" t="s">
        <v>6016</v>
      </c>
      <c r="E2656" t="s">
        <v>6017</v>
      </c>
      <c r="F2656" s="192" t="s">
        <v>553</v>
      </c>
      <c r="G2656" s="192" t="s">
        <v>790</v>
      </c>
      <c r="H2656" s="192" t="s">
        <v>790</v>
      </c>
      <c r="I2656" t="s">
        <v>2870</v>
      </c>
      <c r="J2656" t="s">
        <v>865</v>
      </c>
      <c r="K2656" t="s">
        <v>797</v>
      </c>
    </row>
    <row r="2657" spans="2:11" x14ac:dyDescent="0.25">
      <c r="B2657" s="191"/>
      <c r="C2657" s="191" t="s">
        <v>6018</v>
      </c>
      <c r="D2657" s="192"/>
      <c r="E2657" s="185" t="s">
        <v>6019</v>
      </c>
      <c r="F2657" s="192" t="s">
        <v>789</v>
      </c>
      <c r="G2657" s="192" t="s">
        <v>790</v>
      </c>
      <c r="H2657" s="192" t="s">
        <v>790</v>
      </c>
      <c r="I2657" t="s">
        <v>2870</v>
      </c>
    </row>
    <row r="2658" spans="2:11" x14ac:dyDescent="0.25">
      <c r="B2658" s="191"/>
      <c r="C2658" s="191"/>
      <c r="D2658" s="192" t="s">
        <v>6020</v>
      </c>
      <c r="E2658" t="s">
        <v>6021</v>
      </c>
      <c r="F2658" s="192" t="s">
        <v>553</v>
      </c>
      <c r="G2658" s="192" t="s">
        <v>790</v>
      </c>
      <c r="H2658" s="192" t="s">
        <v>790</v>
      </c>
      <c r="I2658" t="s">
        <v>2870</v>
      </c>
      <c r="J2658" t="s">
        <v>865</v>
      </c>
      <c r="K2658" t="s">
        <v>797</v>
      </c>
    </row>
    <row r="2659" spans="2:11" x14ac:dyDescent="0.25">
      <c r="B2659" s="191"/>
      <c r="C2659" s="191"/>
      <c r="D2659" s="192" t="s">
        <v>6022</v>
      </c>
      <c r="E2659" t="s">
        <v>6023</v>
      </c>
      <c r="F2659" s="192" t="s">
        <v>553</v>
      </c>
      <c r="G2659" s="192" t="s">
        <v>790</v>
      </c>
      <c r="H2659" s="192" t="s">
        <v>790</v>
      </c>
      <c r="I2659" t="s">
        <v>2870</v>
      </c>
      <c r="J2659" t="s">
        <v>865</v>
      </c>
      <c r="K2659" t="s">
        <v>797</v>
      </c>
    </row>
    <row r="2660" spans="2:11" x14ac:dyDescent="0.25">
      <c r="B2660" s="191"/>
      <c r="C2660" s="191" t="s">
        <v>6024</v>
      </c>
      <c r="D2660" s="192"/>
      <c r="E2660" s="185" t="s">
        <v>6025</v>
      </c>
      <c r="F2660" s="192" t="s">
        <v>789</v>
      </c>
      <c r="G2660" s="192" t="s">
        <v>790</v>
      </c>
      <c r="H2660" s="192" t="s">
        <v>790</v>
      </c>
      <c r="I2660" t="s">
        <v>2870</v>
      </c>
    </row>
    <row r="2661" spans="2:11" x14ac:dyDescent="0.25">
      <c r="B2661" s="191"/>
      <c r="C2661" s="191" t="s">
        <v>6026</v>
      </c>
      <c r="D2661" s="192"/>
      <c r="E2661" s="185" t="s">
        <v>6027</v>
      </c>
      <c r="F2661" s="192" t="s">
        <v>789</v>
      </c>
      <c r="G2661" s="192" t="s">
        <v>790</v>
      </c>
      <c r="H2661" s="192" t="s">
        <v>790</v>
      </c>
      <c r="I2661" t="s">
        <v>2870</v>
      </c>
    </row>
    <row r="2662" spans="2:11" x14ac:dyDescent="0.25">
      <c r="B2662" s="191"/>
      <c r="C2662" s="191"/>
      <c r="D2662" s="192" t="s">
        <v>6028</v>
      </c>
      <c r="E2662" t="s">
        <v>6029</v>
      </c>
      <c r="F2662" s="192" t="s">
        <v>553</v>
      </c>
      <c r="G2662" s="192" t="s">
        <v>790</v>
      </c>
      <c r="H2662" s="192" t="s">
        <v>790</v>
      </c>
      <c r="I2662" t="s">
        <v>2870</v>
      </c>
      <c r="J2662" t="s">
        <v>865</v>
      </c>
      <c r="K2662" t="s">
        <v>797</v>
      </c>
    </row>
    <row r="2663" spans="2:11" x14ac:dyDescent="0.25">
      <c r="B2663" s="191"/>
      <c r="C2663" s="191"/>
      <c r="D2663" s="192" t="s">
        <v>6030</v>
      </c>
      <c r="E2663" t="s">
        <v>6031</v>
      </c>
      <c r="F2663" s="192" t="s">
        <v>553</v>
      </c>
      <c r="G2663" s="192" t="s">
        <v>790</v>
      </c>
      <c r="H2663" s="192" t="s">
        <v>790</v>
      </c>
      <c r="I2663" t="s">
        <v>2870</v>
      </c>
      <c r="J2663" t="s">
        <v>865</v>
      </c>
      <c r="K2663" t="s">
        <v>797</v>
      </c>
    </row>
    <row r="2664" spans="2:11" x14ac:dyDescent="0.25">
      <c r="B2664" s="191"/>
      <c r="C2664" s="191" t="s">
        <v>6032</v>
      </c>
      <c r="D2664" s="192"/>
      <c r="E2664" s="185" t="s">
        <v>6033</v>
      </c>
      <c r="F2664" s="192" t="s">
        <v>789</v>
      </c>
      <c r="G2664" s="192" t="s">
        <v>790</v>
      </c>
      <c r="H2664" s="192" t="s">
        <v>790</v>
      </c>
      <c r="I2664" t="s">
        <v>2870</v>
      </c>
    </row>
    <row r="2665" spans="2:11" x14ac:dyDescent="0.25">
      <c r="B2665" s="191"/>
      <c r="C2665" s="191"/>
      <c r="D2665" s="192" t="s">
        <v>6034</v>
      </c>
      <c r="E2665" t="s">
        <v>6035</v>
      </c>
      <c r="F2665" s="192" t="s">
        <v>553</v>
      </c>
      <c r="G2665" s="192" t="s">
        <v>790</v>
      </c>
      <c r="H2665" s="192" t="s">
        <v>790</v>
      </c>
      <c r="I2665" t="s">
        <v>2870</v>
      </c>
      <c r="J2665" t="s">
        <v>865</v>
      </c>
      <c r="K2665" t="s">
        <v>797</v>
      </c>
    </row>
    <row r="2666" spans="2:11" x14ac:dyDescent="0.25">
      <c r="B2666" s="191"/>
      <c r="C2666" s="191"/>
      <c r="D2666" s="192" t="s">
        <v>6036</v>
      </c>
      <c r="E2666" t="s">
        <v>6037</v>
      </c>
      <c r="F2666" s="192" t="s">
        <v>553</v>
      </c>
      <c r="G2666" s="192" t="s">
        <v>790</v>
      </c>
      <c r="H2666" s="192" t="s">
        <v>790</v>
      </c>
      <c r="I2666" t="s">
        <v>2870</v>
      </c>
      <c r="J2666" t="s">
        <v>865</v>
      </c>
      <c r="K2666" t="s">
        <v>797</v>
      </c>
    </row>
    <row r="2667" spans="2:11" x14ac:dyDescent="0.25">
      <c r="B2667" s="191"/>
      <c r="C2667" s="191" t="s">
        <v>6038</v>
      </c>
      <c r="D2667" s="192"/>
      <c r="E2667" s="185" t="s">
        <v>6039</v>
      </c>
      <c r="F2667" s="192" t="s">
        <v>789</v>
      </c>
      <c r="G2667" s="192" t="s">
        <v>790</v>
      </c>
      <c r="H2667" s="192" t="s">
        <v>790</v>
      </c>
      <c r="I2667" t="s">
        <v>2870</v>
      </c>
    </row>
    <row r="2668" spans="2:11" x14ac:dyDescent="0.25">
      <c r="B2668" s="191"/>
      <c r="C2668" s="191" t="s">
        <v>6040</v>
      </c>
      <c r="D2668" s="192"/>
      <c r="E2668" s="185" t="s">
        <v>6041</v>
      </c>
      <c r="F2668" s="192" t="s">
        <v>789</v>
      </c>
      <c r="G2668" s="192" t="s">
        <v>790</v>
      </c>
      <c r="H2668" s="192" t="s">
        <v>790</v>
      </c>
      <c r="I2668" t="s">
        <v>2870</v>
      </c>
    </row>
    <row r="2669" spans="2:11" x14ac:dyDescent="0.25">
      <c r="B2669" s="191"/>
      <c r="C2669" s="191"/>
      <c r="D2669" s="192" t="s">
        <v>6042</v>
      </c>
      <c r="E2669" t="s">
        <v>6043</v>
      </c>
      <c r="F2669" s="192" t="s">
        <v>553</v>
      </c>
      <c r="G2669" s="192" t="s">
        <v>790</v>
      </c>
      <c r="H2669" s="192" t="s">
        <v>790</v>
      </c>
      <c r="I2669" t="s">
        <v>2870</v>
      </c>
      <c r="J2669" t="s">
        <v>865</v>
      </c>
      <c r="K2669" t="s">
        <v>797</v>
      </c>
    </row>
    <row r="2670" spans="2:11" x14ac:dyDescent="0.25">
      <c r="B2670" s="191"/>
      <c r="C2670" s="191"/>
      <c r="D2670" s="192" t="s">
        <v>6044</v>
      </c>
      <c r="E2670" t="s">
        <v>6045</v>
      </c>
      <c r="F2670" s="192" t="s">
        <v>553</v>
      </c>
      <c r="G2670" s="192" t="s">
        <v>790</v>
      </c>
      <c r="H2670" s="192" t="s">
        <v>790</v>
      </c>
      <c r="I2670" t="s">
        <v>2870</v>
      </c>
      <c r="J2670" t="s">
        <v>865</v>
      </c>
      <c r="K2670" t="s">
        <v>797</v>
      </c>
    </row>
    <row r="2671" spans="2:11" x14ac:dyDescent="0.25">
      <c r="B2671" s="191"/>
      <c r="C2671" s="191" t="s">
        <v>6046</v>
      </c>
      <c r="D2671" s="192"/>
      <c r="E2671" s="185" t="s">
        <v>6047</v>
      </c>
      <c r="F2671" s="192" t="s">
        <v>789</v>
      </c>
      <c r="G2671" s="192" t="s">
        <v>790</v>
      </c>
      <c r="H2671" s="192" t="s">
        <v>790</v>
      </c>
      <c r="I2671" t="s">
        <v>2870</v>
      </c>
    </row>
    <row r="2672" spans="2:11" x14ac:dyDescent="0.25">
      <c r="B2672" s="191"/>
      <c r="C2672" s="191"/>
      <c r="D2672" s="192" t="s">
        <v>6048</v>
      </c>
      <c r="E2672" t="s">
        <v>6049</v>
      </c>
      <c r="F2672" s="192" t="s">
        <v>553</v>
      </c>
      <c r="G2672" s="192" t="s">
        <v>790</v>
      </c>
      <c r="H2672" s="192" t="s">
        <v>790</v>
      </c>
      <c r="I2672" t="s">
        <v>2870</v>
      </c>
      <c r="J2672" t="s">
        <v>865</v>
      </c>
      <c r="K2672" t="s">
        <v>797</v>
      </c>
    </row>
    <row r="2673" spans="2:11" x14ac:dyDescent="0.25">
      <c r="B2673" s="191"/>
      <c r="C2673" s="191"/>
      <c r="D2673" s="192" t="s">
        <v>6050</v>
      </c>
      <c r="E2673" t="s">
        <v>6051</v>
      </c>
      <c r="F2673" s="192" t="s">
        <v>553</v>
      </c>
      <c r="G2673" s="192" t="s">
        <v>790</v>
      </c>
      <c r="H2673" s="192" t="s">
        <v>790</v>
      </c>
      <c r="I2673" t="s">
        <v>2870</v>
      </c>
      <c r="J2673" t="s">
        <v>865</v>
      </c>
      <c r="K2673" t="s">
        <v>797</v>
      </c>
    </row>
    <row r="2674" spans="2:11" x14ac:dyDescent="0.25">
      <c r="B2674" s="191"/>
      <c r="C2674" s="191" t="s">
        <v>6052</v>
      </c>
      <c r="D2674" s="192"/>
      <c r="E2674" s="185" t="s">
        <v>6053</v>
      </c>
      <c r="F2674" s="192" t="s">
        <v>789</v>
      </c>
      <c r="G2674" s="192" t="s">
        <v>790</v>
      </c>
      <c r="H2674" s="192" t="s">
        <v>790</v>
      </c>
      <c r="I2674" t="s">
        <v>2870</v>
      </c>
    </row>
    <row r="2675" spans="2:11" x14ac:dyDescent="0.25">
      <c r="B2675" s="191"/>
      <c r="C2675" s="191"/>
      <c r="D2675" s="192" t="s">
        <v>6054</v>
      </c>
      <c r="E2675" t="s">
        <v>6055</v>
      </c>
      <c r="F2675" s="192" t="s">
        <v>553</v>
      </c>
      <c r="G2675" s="192" t="s">
        <v>790</v>
      </c>
      <c r="H2675" s="192" t="s">
        <v>790</v>
      </c>
      <c r="I2675" t="s">
        <v>2870</v>
      </c>
      <c r="J2675" t="s">
        <v>865</v>
      </c>
      <c r="K2675" t="s">
        <v>797</v>
      </c>
    </row>
    <row r="2676" spans="2:11" x14ac:dyDescent="0.25">
      <c r="B2676" s="191"/>
      <c r="C2676" s="191"/>
      <c r="D2676" s="192" t="s">
        <v>6056</v>
      </c>
      <c r="E2676" t="s">
        <v>6057</v>
      </c>
      <c r="F2676" s="192" t="s">
        <v>553</v>
      </c>
      <c r="G2676" s="192" t="s">
        <v>790</v>
      </c>
      <c r="H2676" s="192" t="s">
        <v>790</v>
      </c>
      <c r="I2676" t="s">
        <v>2870</v>
      </c>
      <c r="J2676" t="s">
        <v>865</v>
      </c>
      <c r="K2676" t="s">
        <v>797</v>
      </c>
    </row>
    <row r="2677" spans="2:11" x14ac:dyDescent="0.25">
      <c r="B2677" s="191"/>
      <c r="C2677" s="191" t="s">
        <v>6058</v>
      </c>
      <c r="D2677" s="192"/>
      <c r="E2677" s="185" t="s">
        <v>6059</v>
      </c>
      <c r="F2677" s="192" t="s">
        <v>789</v>
      </c>
      <c r="G2677" s="192" t="s">
        <v>790</v>
      </c>
      <c r="H2677" s="192" t="s">
        <v>790</v>
      </c>
      <c r="I2677" t="s">
        <v>2870</v>
      </c>
    </row>
    <row r="2678" spans="2:11" x14ac:dyDescent="0.25">
      <c r="B2678" s="191"/>
      <c r="C2678" s="191"/>
      <c r="D2678" s="192" t="s">
        <v>6060</v>
      </c>
      <c r="E2678" t="s">
        <v>6061</v>
      </c>
      <c r="F2678" s="192" t="s">
        <v>553</v>
      </c>
      <c r="G2678" s="192" t="s">
        <v>790</v>
      </c>
      <c r="H2678" s="192" t="s">
        <v>790</v>
      </c>
      <c r="I2678" t="s">
        <v>2870</v>
      </c>
      <c r="J2678" t="s">
        <v>865</v>
      </c>
      <c r="K2678" t="s">
        <v>797</v>
      </c>
    </row>
    <row r="2679" spans="2:11" x14ac:dyDescent="0.25">
      <c r="B2679" s="191"/>
      <c r="C2679" s="191"/>
      <c r="D2679" s="192" t="s">
        <v>6062</v>
      </c>
      <c r="E2679" t="s">
        <v>6063</v>
      </c>
      <c r="F2679" s="192" t="s">
        <v>553</v>
      </c>
      <c r="G2679" s="192" t="s">
        <v>790</v>
      </c>
      <c r="H2679" s="192" t="s">
        <v>790</v>
      </c>
      <c r="I2679" t="s">
        <v>2870</v>
      </c>
      <c r="J2679" t="s">
        <v>865</v>
      </c>
      <c r="K2679" t="s">
        <v>797</v>
      </c>
    </row>
    <row r="2680" spans="2:11" x14ac:dyDescent="0.25">
      <c r="B2680" s="191"/>
      <c r="C2680" s="191" t="s">
        <v>6064</v>
      </c>
      <c r="D2680" s="192"/>
      <c r="E2680" s="185" t="s">
        <v>6065</v>
      </c>
      <c r="F2680" s="192" t="s">
        <v>789</v>
      </c>
      <c r="G2680" s="192" t="s">
        <v>790</v>
      </c>
      <c r="H2680" s="192" t="s">
        <v>790</v>
      </c>
      <c r="I2680" t="s">
        <v>2870</v>
      </c>
    </row>
    <row r="2681" spans="2:11" x14ac:dyDescent="0.25">
      <c r="B2681" s="191"/>
      <c r="C2681" s="191"/>
      <c r="D2681" s="192" t="s">
        <v>6066</v>
      </c>
      <c r="E2681" t="s">
        <v>6067</v>
      </c>
      <c r="F2681" s="192" t="s">
        <v>553</v>
      </c>
      <c r="G2681" s="192" t="s">
        <v>790</v>
      </c>
      <c r="H2681" s="192" t="s">
        <v>790</v>
      </c>
      <c r="I2681" t="s">
        <v>2870</v>
      </c>
      <c r="J2681" t="s">
        <v>865</v>
      </c>
      <c r="K2681" t="s">
        <v>797</v>
      </c>
    </row>
    <row r="2682" spans="2:11" x14ac:dyDescent="0.25">
      <c r="B2682" s="191"/>
      <c r="C2682" s="191"/>
      <c r="D2682" s="192" t="s">
        <v>6068</v>
      </c>
      <c r="E2682" t="s">
        <v>6069</v>
      </c>
      <c r="F2682" s="192" t="s">
        <v>553</v>
      </c>
      <c r="G2682" s="192" t="s">
        <v>790</v>
      </c>
      <c r="H2682" s="192" t="s">
        <v>790</v>
      </c>
      <c r="I2682" t="s">
        <v>2870</v>
      </c>
      <c r="J2682" t="s">
        <v>865</v>
      </c>
      <c r="K2682" t="s">
        <v>797</v>
      </c>
    </row>
    <row r="2683" spans="2:11" x14ac:dyDescent="0.25">
      <c r="B2683" s="191"/>
      <c r="C2683" s="191" t="s">
        <v>6070</v>
      </c>
      <c r="D2683" s="192"/>
      <c r="E2683" s="185" t="s">
        <v>6071</v>
      </c>
      <c r="F2683" s="192" t="s">
        <v>789</v>
      </c>
      <c r="G2683" s="192" t="s">
        <v>790</v>
      </c>
      <c r="H2683" s="192" t="s">
        <v>790</v>
      </c>
      <c r="I2683" t="s">
        <v>2870</v>
      </c>
    </row>
    <row r="2684" spans="2:11" x14ac:dyDescent="0.25">
      <c r="B2684" s="191"/>
      <c r="C2684" s="191"/>
      <c r="D2684" s="192" t="s">
        <v>6072</v>
      </c>
      <c r="E2684" t="s">
        <v>6073</v>
      </c>
      <c r="F2684" s="192" t="s">
        <v>553</v>
      </c>
      <c r="G2684" s="192" t="s">
        <v>790</v>
      </c>
      <c r="H2684" s="192" t="s">
        <v>790</v>
      </c>
      <c r="I2684" t="s">
        <v>2870</v>
      </c>
      <c r="J2684" t="s">
        <v>865</v>
      </c>
      <c r="K2684" t="s">
        <v>797</v>
      </c>
    </row>
    <row r="2685" spans="2:11" x14ac:dyDescent="0.25">
      <c r="B2685" s="191"/>
      <c r="C2685" s="191"/>
      <c r="D2685" s="192" t="s">
        <v>6074</v>
      </c>
      <c r="E2685" t="s">
        <v>6075</v>
      </c>
      <c r="F2685" s="192" t="s">
        <v>553</v>
      </c>
      <c r="G2685" s="192" t="s">
        <v>790</v>
      </c>
      <c r="H2685" s="192" t="s">
        <v>790</v>
      </c>
      <c r="I2685" t="s">
        <v>2870</v>
      </c>
      <c r="J2685" t="s">
        <v>865</v>
      </c>
      <c r="K2685" t="s">
        <v>797</v>
      </c>
    </row>
    <row r="2686" spans="2:11" x14ac:dyDescent="0.25">
      <c r="B2686" s="191" t="s">
        <v>6076</v>
      </c>
      <c r="C2686" s="191"/>
      <c r="D2686" s="192"/>
      <c r="E2686" s="185" t="s">
        <v>6077</v>
      </c>
      <c r="F2686" s="192" t="s">
        <v>789</v>
      </c>
      <c r="G2686" s="192" t="s">
        <v>790</v>
      </c>
      <c r="H2686" s="192" t="s">
        <v>790</v>
      </c>
      <c r="I2686" t="s">
        <v>3414</v>
      </c>
      <c r="J2686" t="s">
        <v>865</v>
      </c>
    </row>
    <row r="2687" spans="2:11" x14ac:dyDescent="0.25">
      <c r="B2687" s="191"/>
      <c r="C2687" s="191" t="s">
        <v>6078</v>
      </c>
      <c r="D2687" s="192"/>
      <c r="E2687" s="185" t="s">
        <v>6079</v>
      </c>
      <c r="F2687" s="192" t="s">
        <v>789</v>
      </c>
      <c r="G2687" s="192" t="s">
        <v>790</v>
      </c>
      <c r="H2687" s="192" t="s">
        <v>790</v>
      </c>
      <c r="I2687" t="s">
        <v>3414</v>
      </c>
    </row>
    <row r="2688" spans="2:11" x14ac:dyDescent="0.25">
      <c r="B2688" s="191"/>
      <c r="C2688" s="191"/>
      <c r="D2688" s="192" t="s">
        <v>5906</v>
      </c>
      <c r="E2688" t="s">
        <v>6080</v>
      </c>
      <c r="F2688" s="192" t="s">
        <v>789</v>
      </c>
      <c r="G2688" s="192" t="s">
        <v>790</v>
      </c>
      <c r="H2688" s="192" t="s">
        <v>790</v>
      </c>
      <c r="I2688" t="s">
        <v>3414</v>
      </c>
      <c r="J2688" t="s">
        <v>865</v>
      </c>
      <c r="K2688" t="s">
        <v>797</v>
      </c>
    </row>
    <row r="2689" spans="2:11" x14ac:dyDescent="0.25">
      <c r="B2689" s="191"/>
      <c r="C2689" s="191" t="s">
        <v>6081</v>
      </c>
      <c r="D2689" s="192"/>
      <c r="E2689" s="185" t="s">
        <v>6082</v>
      </c>
      <c r="F2689" s="192" t="s">
        <v>789</v>
      </c>
      <c r="G2689" s="192" t="s">
        <v>790</v>
      </c>
      <c r="H2689" s="192" t="s">
        <v>790</v>
      </c>
      <c r="I2689" t="s">
        <v>3414</v>
      </c>
    </row>
    <row r="2690" spans="2:11" x14ac:dyDescent="0.25">
      <c r="B2690" s="191"/>
      <c r="C2690" s="191"/>
      <c r="D2690" s="192" t="s">
        <v>5951</v>
      </c>
      <c r="E2690" t="s">
        <v>6083</v>
      </c>
      <c r="F2690" s="192" t="s">
        <v>789</v>
      </c>
      <c r="G2690" s="192" t="s">
        <v>790</v>
      </c>
      <c r="H2690" s="192" t="s">
        <v>790</v>
      </c>
      <c r="I2690" t="s">
        <v>3414</v>
      </c>
      <c r="J2690" t="s">
        <v>865</v>
      </c>
      <c r="K2690" t="s">
        <v>797</v>
      </c>
    </row>
    <row r="2691" spans="2:11" x14ac:dyDescent="0.25">
      <c r="B2691" s="191"/>
      <c r="C2691" s="191"/>
      <c r="D2691" s="192" t="s">
        <v>5958</v>
      </c>
      <c r="E2691" t="s">
        <v>6084</v>
      </c>
      <c r="F2691" s="192" t="s">
        <v>789</v>
      </c>
      <c r="G2691" s="192" t="s">
        <v>790</v>
      </c>
      <c r="H2691" s="192" t="s">
        <v>790</v>
      </c>
      <c r="I2691" t="s">
        <v>3414</v>
      </c>
      <c r="J2691" t="s">
        <v>865</v>
      </c>
      <c r="K2691" t="s">
        <v>797</v>
      </c>
    </row>
    <row r="2692" spans="2:11" x14ac:dyDescent="0.25">
      <c r="B2692" s="191"/>
      <c r="C2692" s="191" t="s">
        <v>6085</v>
      </c>
      <c r="D2692" s="192"/>
      <c r="E2692" s="185" t="s">
        <v>6086</v>
      </c>
      <c r="F2692" s="192" t="s">
        <v>789</v>
      </c>
      <c r="G2692" s="192" t="s">
        <v>790</v>
      </c>
      <c r="H2692" s="192" t="s">
        <v>790</v>
      </c>
      <c r="I2692" t="s">
        <v>3414</v>
      </c>
    </row>
    <row r="2693" spans="2:11" x14ac:dyDescent="0.25">
      <c r="B2693" s="191"/>
      <c r="C2693" s="191" t="s">
        <v>6087</v>
      </c>
      <c r="D2693" s="192"/>
      <c r="E2693" s="185" t="s">
        <v>6088</v>
      </c>
      <c r="F2693" s="192" t="s">
        <v>789</v>
      </c>
      <c r="G2693" s="192" t="s">
        <v>790</v>
      </c>
      <c r="H2693" s="192" t="s">
        <v>790</v>
      </c>
      <c r="I2693" t="s">
        <v>3414</v>
      </c>
    </row>
    <row r="2694" spans="2:11" x14ac:dyDescent="0.25">
      <c r="B2694" s="191"/>
      <c r="C2694" s="191" t="s">
        <v>6089</v>
      </c>
      <c r="D2694" s="192"/>
      <c r="E2694" s="185" t="s">
        <v>6090</v>
      </c>
      <c r="F2694" s="192" t="s">
        <v>789</v>
      </c>
      <c r="G2694" s="192" t="s">
        <v>790</v>
      </c>
      <c r="H2694" s="192" t="s">
        <v>790</v>
      </c>
      <c r="I2694" t="s">
        <v>3414</v>
      </c>
    </row>
    <row r="2695" spans="2:11" x14ac:dyDescent="0.25">
      <c r="B2695" s="191"/>
      <c r="C2695" s="191"/>
      <c r="D2695" s="192" t="s">
        <v>5971</v>
      </c>
      <c r="E2695" t="s">
        <v>6091</v>
      </c>
      <c r="F2695" s="192" t="s">
        <v>789</v>
      </c>
      <c r="G2695" s="192" t="s">
        <v>790</v>
      </c>
      <c r="H2695" s="192" t="s">
        <v>790</v>
      </c>
      <c r="I2695" t="s">
        <v>3414</v>
      </c>
      <c r="J2695" t="s">
        <v>865</v>
      </c>
      <c r="K2695" t="s">
        <v>797</v>
      </c>
    </row>
    <row r="2696" spans="2:11" x14ac:dyDescent="0.25">
      <c r="B2696" s="191"/>
      <c r="C2696" s="191"/>
      <c r="D2696" s="192" t="s">
        <v>6092</v>
      </c>
      <c r="E2696" t="s">
        <v>6093</v>
      </c>
      <c r="F2696" s="192" t="s">
        <v>789</v>
      </c>
      <c r="G2696" s="192" t="s">
        <v>790</v>
      </c>
      <c r="H2696" s="192" t="s">
        <v>790</v>
      </c>
      <c r="I2696" t="s">
        <v>3414</v>
      </c>
      <c r="J2696" t="s">
        <v>865</v>
      </c>
      <c r="K2696" t="s">
        <v>797</v>
      </c>
    </row>
    <row r="2697" spans="2:11" x14ac:dyDescent="0.25">
      <c r="B2697" s="191"/>
      <c r="C2697" s="191"/>
      <c r="D2697" s="192" t="s">
        <v>6094</v>
      </c>
      <c r="E2697" t="s">
        <v>6095</v>
      </c>
      <c r="F2697" s="192" t="s">
        <v>789</v>
      </c>
      <c r="G2697" s="192" t="s">
        <v>790</v>
      </c>
      <c r="H2697" s="192" t="s">
        <v>790</v>
      </c>
      <c r="I2697" t="s">
        <v>3414</v>
      </c>
      <c r="J2697" t="s">
        <v>865</v>
      </c>
      <c r="K2697" t="s">
        <v>797</v>
      </c>
    </row>
    <row r="2698" spans="2:11" x14ac:dyDescent="0.25">
      <c r="B2698" s="191"/>
      <c r="C2698" s="191" t="s">
        <v>6096</v>
      </c>
      <c r="D2698" s="192"/>
      <c r="E2698" s="185" t="s">
        <v>6097</v>
      </c>
      <c r="F2698" s="192" t="s">
        <v>789</v>
      </c>
      <c r="G2698" s="192" t="s">
        <v>790</v>
      </c>
      <c r="H2698" s="192" t="s">
        <v>790</v>
      </c>
      <c r="I2698" t="s">
        <v>3414</v>
      </c>
    </row>
    <row r="2699" spans="2:11" x14ac:dyDescent="0.25">
      <c r="B2699" s="191"/>
      <c r="C2699" s="191"/>
      <c r="D2699" s="192" t="s">
        <v>6098</v>
      </c>
      <c r="E2699" t="s">
        <v>6099</v>
      </c>
      <c r="F2699" s="192" t="s">
        <v>789</v>
      </c>
      <c r="G2699" s="192" t="s">
        <v>790</v>
      </c>
      <c r="H2699" s="192" t="s">
        <v>790</v>
      </c>
      <c r="I2699" t="s">
        <v>3414</v>
      </c>
      <c r="J2699" t="s">
        <v>865</v>
      </c>
      <c r="K2699" t="s">
        <v>797</v>
      </c>
    </row>
    <row r="2700" spans="2:11" x14ac:dyDescent="0.25">
      <c r="B2700" s="191"/>
      <c r="C2700" s="191"/>
      <c r="D2700" s="192" t="s">
        <v>6100</v>
      </c>
      <c r="E2700" t="s">
        <v>6101</v>
      </c>
      <c r="F2700" s="192" t="s">
        <v>789</v>
      </c>
      <c r="G2700" s="192" t="s">
        <v>790</v>
      </c>
      <c r="H2700" s="192" t="s">
        <v>790</v>
      </c>
      <c r="I2700" t="s">
        <v>3414</v>
      </c>
      <c r="J2700" t="s">
        <v>865</v>
      </c>
      <c r="K2700" t="s">
        <v>797</v>
      </c>
    </row>
    <row r="2701" spans="2:11" x14ac:dyDescent="0.25">
      <c r="B2701" s="191"/>
      <c r="C2701" s="191"/>
      <c r="D2701" s="192" t="s">
        <v>6102</v>
      </c>
      <c r="E2701" t="s">
        <v>6103</v>
      </c>
      <c r="F2701" s="192" t="s">
        <v>789</v>
      </c>
      <c r="G2701" s="192" t="s">
        <v>790</v>
      </c>
      <c r="H2701" s="192" t="s">
        <v>790</v>
      </c>
      <c r="I2701" t="s">
        <v>3414</v>
      </c>
      <c r="J2701" t="s">
        <v>865</v>
      </c>
      <c r="K2701" t="s">
        <v>797</v>
      </c>
    </row>
    <row r="2702" spans="2:11" x14ac:dyDescent="0.25">
      <c r="B2702" s="191"/>
      <c r="C2702" s="191" t="s">
        <v>6104</v>
      </c>
      <c r="D2702" s="192"/>
      <c r="E2702" s="185" t="s">
        <v>6105</v>
      </c>
      <c r="F2702" s="192" t="s">
        <v>789</v>
      </c>
      <c r="G2702" s="192" t="s">
        <v>790</v>
      </c>
      <c r="H2702" s="192" t="s">
        <v>790</v>
      </c>
      <c r="I2702" t="s">
        <v>3414</v>
      </c>
    </row>
    <row r="2703" spans="2:11" x14ac:dyDescent="0.25">
      <c r="B2703" s="191"/>
      <c r="C2703" s="191"/>
      <c r="D2703" s="192" t="s">
        <v>6106</v>
      </c>
      <c r="E2703" t="s">
        <v>6107</v>
      </c>
      <c r="F2703" s="192" t="s">
        <v>789</v>
      </c>
      <c r="G2703" s="192" t="s">
        <v>790</v>
      </c>
      <c r="H2703" s="192" t="s">
        <v>790</v>
      </c>
      <c r="I2703" t="s">
        <v>3414</v>
      </c>
      <c r="J2703" t="s">
        <v>865</v>
      </c>
      <c r="K2703" t="s">
        <v>797</v>
      </c>
    </row>
    <row r="2704" spans="2:11" x14ac:dyDescent="0.25">
      <c r="B2704" s="191"/>
      <c r="C2704" s="191"/>
      <c r="D2704" s="192" t="s">
        <v>6108</v>
      </c>
      <c r="E2704" t="s">
        <v>6109</v>
      </c>
      <c r="F2704" s="192" t="s">
        <v>789</v>
      </c>
      <c r="G2704" s="192" t="s">
        <v>790</v>
      </c>
      <c r="H2704" s="192" t="s">
        <v>790</v>
      </c>
      <c r="I2704" t="s">
        <v>3414</v>
      </c>
      <c r="J2704" t="s">
        <v>865</v>
      </c>
      <c r="K2704" t="s">
        <v>797</v>
      </c>
    </row>
    <row r="2705" spans="2:11" x14ac:dyDescent="0.25">
      <c r="B2705" s="191"/>
      <c r="C2705" s="191" t="s">
        <v>6110</v>
      </c>
      <c r="D2705" s="192"/>
      <c r="E2705" s="185" t="s">
        <v>6111</v>
      </c>
      <c r="F2705" s="192" t="s">
        <v>789</v>
      </c>
      <c r="G2705" s="192" t="s">
        <v>790</v>
      </c>
      <c r="H2705" s="192" t="s">
        <v>790</v>
      </c>
      <c r="I2705" t="s">
        <v>3414</v>
      </c>
    </row>
    <row r="2706" spans="2:11" x14ac:dyDescent="0.25">
      <c r="B2706" s="191"/>
      <c r="C2706" s="191"/>
      <c r="D2706" s="192" t="s">
        <v>6112</v>
      </c>
      <c r="E2706" t="s">
        <v>6113</v>
      </c>
      <c r="F2706" s="192" t="s">
        <v>789</v>
      </c>
      <c r="G2706" s="192" t="s">
        <v>790</v>
      </c>
      <c r="H2706" s="192" t="s">
        <v>790</v>
      </c>
      <c r="I2706" t="s">
        <v>3414</v>
      </c>
      <c r="J2706" t="s">
        <v>865</v>
      </c>
      <c r="K2706" t="s">
        <v>797</v>
      </c>
    </row>
    <row r="2707" spans="2:11" x14ac:dyDescent="0.25">
      <c r="B2707" s="191" t="s">
        <v>6114</v>
      </c>
      <c r="C2707" s="191"/>
      <c r="D2707" s="192"/>
      <c r="E2707" s="185" t="s">
        <v>6115</v>
      </c>
      <c r="F2707" s="192" t="s">
        <v>789</v>
      </c>
      <c r="G2707" s="192" t="s">
        <v>790</v>
      </c>
      <c r="H2707" s="192" t="s">
        <v>790</v>
      </c>
      <c r="I2707" t="s">
        <v>3414</v>
      </c>
      <c r="J2707" t="s">
        <v>865</v>
      </c>
    </row>
    <row r="2708" spans="2:11" x14ac:dyDescent="0.25">
      <c r="B2708" s="191"/>
      <c r="C2708" s="191" t="s">
        <v>6116</v>
      </c>
      <c r="D2708" s="192"/>
      <c r="E2708" s="185" t="s">
        <v>6117</v>
      </c>
      <c r="F2708" s="192" t="s">
        <v>789</v>
      </c>
      <c r="G2708" s="192" t="s">
        <v>790</v>
      </c>
      <c r="H2708" s="192" t="s">
        <v>790</v>
      </c>
      <c r="I2708" t="s">
        <v>3414</v>
      </c>
    </row>
    <row r="2709" spans="2:11" x14ac:dyDescent="0.25">
      <c r="B2709" s="191"/>
      <c r="C2709" s="191"/>
      <c r="D2709" s="192" t="s">
        <v>6118</v>
      </c>
      <c r="E2709" t="s">
        <v>6119</v>
      </c>
      <c r="F2709" s="192" t="s">
        <v>789</v>
      </c>
      <c r="G2709" s="192" t="s">
        <v>790</v>
      </c>
      <c r="H2709" s="192" t="s">
        <v>790</v>
      </c>
      <c r="I2709" t="s">
        <v>3414</v>
      </c>
      <c r="J2709" t="s">
        <v>865</v>
      </c>
      <c r="K2709" t="s">
        <v>797</v>
      </c>
    </row>
    <row r="2710" spans="2:11" x14ac:dyDescent="0.25">
      <c r="B2710" s="191"/>
      <c r="C2710" s="191" t="s">
        <v>6120</v>
      </c>
      <c r="D2710" s="192"/>
      <c r="E2710" s="185" t="s">
        <v>6121</v>
      </c>
      <c r="F2710" s="192" t="s">
        <v>789</v>
      </c>
      <c r="G2710" s="192" t="s">
        <v>790</v>
      </c>
      <c r="H2710" s="192" t="s">
        <v>790</v>
      </c>
      <c r="I2710" t="s">
        <v>3414</v>
      </c>
    </row>
    <row r="2711" spans="2:11" x14ac:dyDescent="0.25">
      <c r="B2711" s="191"/>
      <c r="C2711" s="191"/>
      <c r="D2711" s="192" t="s">
        <v>6122</v>
      </c>
      <c r="E2711" t="s">
        <v>6123</v>
      </c>
      <c r="F2711" s="192" t="s">
        <v>789</v>
      </c>
      <c r="G2711" s="192" t="s">
        <v>790</v>
      </c>
      <c r="H2711" s="192" t="s">
        <v>790</v>
      </c>
      <c r="I2711" t="s">
        <v>3414</v>
      </c>
      <c r="J2711" t="s">
        <v>865</v>
      </c>
      <c r="K2711" t="s">
        <v>797</v>
      </c>
    </row>
    <row r="2712" spans="2:11" x14ac:dyDescent="0.25">
      <c r="B2712" s="191"/>
      <c r="C2712" s="191"/>
      <c r="D2712" s="192" t="s">
        <v>6124</v>
      </c>
      <c r="E2712" t="s">
        <v>6125</v>
      </c>
      <c r="F2712" s="192" t="s">
        <v>789</v>
      </c>
      <c r="G2712" s="192" t="s">
        <v>790</v>
      </c>
      <c r="H2712" s="192" t="s">
        <v>790</v>
      </c>
      <c r="I2712" t="s">
        <v>3414</v>
      </c>
      <c r="J2712" t="s">
        <v>865</v>
      </c>
      <c r="K2712" t="s">
        <v>797</v>
      </c>
    </row>
    <row r="2713" spans="2:11" x14ac:dyDescent="0.25">
      <c r="B2713" s="191"/>
      <c r="C2713" s="191"/>
      <c r="D2713" s="192" t="s">
        <v>6126</v>
      </c>
      <c r="E2713" t="s">
        <v>6127</v>
      </c>
      <c r="F2713" s="192" t="s">
        <v>789</v>
      </c>
      <c r="G2713" s="192" t="s">
        <v>790</v>
      </c>
      <c r="H2713" s="192" t="s">
        <v>790</v>
      </c>
      <c r="I2713" t="s">
        <v>3414</v>
      </c>
      <c r="J2713" t="s">
        <v>865</v>
      </c>
      <c r="K2713" t="s">
        <v>797</v>
      </c>
    </row>
    <row r="2714" spans="2:11" x14ac:dyDescent="0.25">
      <c r="B2714" s="191"/>
      <c r="C2714" s="191"/>
      <c r="D2714" s="192" t="s">
        <v>6128</v>
      </c>
      <c r="E2714" t="s">
        <v>6129</v>
      </c>
      <c r="F2714" s="192" t="s">
        <v>789</v>
      </c>
      <c r="G2714" s="192" t="s">
        <v>790</v>
      </c>
      <c r="H2714" s="192" t="s">
        <v>790</v>
      </c>
      <c r="I2714" t="s">
        <v>3414</v>
      </c>
      <c r="J2714" t="s">
        <v>865</v>
      </c>
      <c r="K2714" t="s">
        <v>797</v>
      </c>
    </row>
    <row r="2715" spans="2:11" x14ac:dyDescent="0.25">
      <c r="B2715" s="191"/>
      <c r="C2715" s="191"/>
      <c r="D2715" s="192" t="s">
        <v>6130</v>
      </c>
      <c r="E2715" t="s">
        <v>6131</v>
      </c>
      <c r="F2715" s="192" t="s">
        <v>789</v>
      </c>
      <c r="G2715" s="192" t="s">
        <v>790</v>
      </c>
      <c r="H2715" s="192" t="s">
        <v>790</v>
      </c>
      <c r="I2715" t="s">
        <v>3414</v>
      </c>
      <c r="J2715" t="s">
        <v>865</v>
      </c>
      <c r="K2715" t="s">
        <v>797</v>
      </c>
    </row>
    <row r="2716" spans="2:11" x14ac:dyDescent="0.25">
      <c r="B2716" s="191"/>
      <c r="C2716" s="191"/>
      <c r="D2716" s="192" t="s">
        <v>6132</v>
      </c>
      <c r="E2716" t="s">
        <v>6133</v>
      </c>
      <c r="F2716" s="192" t="s">
        <v>789</v>
      </c>
      <c r="G2716" s="192" t="s">
        <v>790</v>
      </c>
      <c r="H2716" s="192" t="s">
        <v>790</v>
      </c>
      <c r="I2716" t="s">
        <v>3414</v>
      </c>
      <c r="J2716" t="s">
        <v>865</v>
      </c>
      <c r="K2716" t="s">
        <v>797</v>
      </c>
    </row>
    <row r="2717" spans="2:11" x14ac:dyDescent="0.25">
      <c r="B2717" s="191"/>
      <c r="C2717" s="191" t="s">
        <v>6134</v>
      </c>
      <c r="D2717" s="192"/>
      <c r="E2717" s="185" t="s">
        <v>6135</v>
      </c>
      <c r="F2717" s="192" t="s">
        <v>789</v>
      </c>
      <c r="G2717" s="192" t="s">
        <v>790</v>
      </c>
      <c r="H2717" s="192" t="s">
        <v>790</v>
      </c>
      <c r="I2717" t="s">
        <v>3414</v>
      </c>
    </row>
    <row r="2718" spans="2:11" x14ac:dyDescent="0.25">
      <c r="B2718" s="191"/>
      <c r="C2718" s="191"/>
      <c r="D2718" s="192" t="s">
        <v>6136</v>
      </c>
      <c r="E2718" t="s">
        <v>6137</v>
      </c>
      <c r="F2718" s="192" t="s">
        <v>789</v>
      </c>
      <c r="G2718" s="192" t="s">
        <v>790</v>
      </c>
      <c r="H2718" s="192" t="s">
        <v>790</v>
      </c>
      <c r="I2718" t="s">
        <v>3414</v>
      </c>
      <c r="J2718" t="s">
        <v>865</v>
      </c>
      <c r="K2718" t="s">
        <v>797</v>
      </c>
    </row>
    <row r="2719" spans="2:11" x14ac:dyDescent="0.25">
      <c r="B2719" s="191"/>
      <c r="C2719" s="191"/>
      <c r="D2719" s="192" t="s">
        <v>6138</v>
      </c>
      <c r="E2719" t="s">
        <v>6139</v>
      </c>
      <c r="F2719" s="192" t="s">
        <v>789</v>
      </c>
      <c r="G2719" s="192" t="s">
        <v>790</v>
      </c>
      <c r="H2719" s="192" t="s">
        <v>790</v>
      </c>
      <c r="I2719" t="s">
        <v>3414</v>
      </c>
      <c r="J2719" t="s">
        <v>865</v>
      </c>
      <c r="K2719" t="s">
        <v>797</v>
      </c>
    </row>
    <row r="2720" spans="2:11" x14ac:dyDescent="0.25">
      <c r="B2720" s="191"/>
      <c r="C2720" s="191"/>
      <c r="D2720" s="192" t="s">
        <v>6140</v>
      </c>
      <c r="E2720" t="s">
        <v>6141</v>
      </c>
      <c r="F2720" s="192" t="s">
        <v>789</v>
      </c>
      <c r="G2720" s="192" t="s">
        <v>790</v>
      </c>
      <c r="H2720" s="192" t="s">
        <v>790</v>
      </c>
      <c r="I2720" t="s">
        <v>3414</v>
      </c>
      <c r="J2720" t="s">
        <v>865</v>
      </c>
      <c r="K2720" t="s">
        <v>797</v>
      </c>
    </row>
    <row r="2721" spans="2:11" x14ac:dyDescent="0.25">
      <c r="B2721" s="191"/>
      <c r="C2721" s="191" t="s">
        <v>6142</v>
      </c>
      <c r="D2721" s="192"/>
      <c r="E2721" s="185" t="s">
        <v>6143</v>
      </c>
      <c r="F2721" s="192" t="s">
        <v>789</v>
      </c>
      <c r="G2721" s="192" t="s">
        <v>790</v>
      </c>
      <c r="H2721" s="192" t="s">
        <v>790</v>
      </c>
      <c r="I2721" t="s">
        <v>3414</v>
      </c>
    </row>
    <row r="2722" spans="2:11" x14ac:dyDescent="0.25">
      <c r="B2722" s="191"/>
      <c r="C2722" s="191"/>
      <c r="D2722" s="192" t="s">
        <v>6144</v>
      </c>
      <c r="E2722" t="s">
        <v>6145</v>
      </c>
      <c r="F2722" s="192" t="s">
        <v>789</v>
      </c>
      <c r="G2722" s="192" t="s">
        <v>790</v>
      </c>
      <c r="H2722" s="192" t="s">
        <v>790</v>
      </c>
      <c r="I2722" t="s">
        <v>3414</v>
      </c>
      <c r="J2722" t="s">
        <v>865</v>
      </c>
      <c r="K2722" t="s">
        <v>797</v>
      </c>
    </row>
    <row r="2723" spans="2:11" x14ac:dyDescent="0.25">
      <c r="B2723" s="191"/>
      <c r="C2723" s="191"/>
      <c r="D2723" s="192" t="s">
        <v>6146</v>
      </c>
      <c r="E2723" t="s">
        <v>6147</v>
      </c>
      <c r="F2723" s="192" t="s">
        <v>789</v>
      </c>
      <c r="G2723" s="192" t="s">
        <v>790</v>
      </c>
      <c r="H2723" s="192" t="s">
        <v>790</v>
      </c>
      <c r="I2723" t="s">
        <v>3414</v>
      </c>
      <c r="J2723" t="s">
        <v>865</v>
      </c>
      <c r="K2723" t="s">
        <v>797</v>
      </c>
    </row>
    <row r="2724" spans="2:11" x14ac:dyDescent="0.25">
      <c r="B2724" s="191"/>
      <c r="C2724" s="191" t="s">
        <v>6148</v>
      </c>
      <c r="D2724" s="192"/>
      <c r="E2724" s="185" t="s">
        <v>6149</v>
      </c>
      <c r="F2724" s="192" t="s">
        <v>789</v>
      </c>
      <c r="G2724" s="192" t="s">
        <v>790</v>
      </c>
      <c r="H2724" s="192" t="s">
        <v>790</v>
      </c>
      <c r="I2724" t="s">
        <v>3414</v>
      </c>
    </row>
    <row r="2725" spans="2:11" x14ac:dyDescent="0.25">
      <c r="B2725" s="191"/>
      <c r="C2725" s="191" t="s">
        <v>6150</v>
      </c>
      <c r="D2725" s="192"/>
      <c r="E2725" s="185" t="s">
        <v>6151</v>
      </c>
      <c r="F2725" s="192" t="s">
        <v>789</v>
      </c>
      <c r="G2725" s="192" t="s">
        <v>790</v>
      </c>
      <c r="H2725" s="192" t="s">
        <v>790</v>
      </c>
      <c r="I2725" t="s">
        <v>3414</v>
      </c>
    </row>
    <row r="2726" spans="2:11" x14ac:dyDescent="0.25">
      <c r="B2726" s="191"/>
      <c r="C2726" s="191"/>
      <c r="D2726" s="192" t="s">
        <v>6152</v>
      </c>
      <c r="E2726" t="s">
        <v>6153</v>
      </c>
      <c r="F2726" s="192" t="s">
        <v>789</v>
      </c>
      <c r="G2726" s="192" t="s">
        <v>790</v>
      </c>
      <c r="H2726" s="192" t="s">
        <v>790</v>
      </c>
      <c r="I2726" t="s">
        <v>3414</v>
      </c>
      <c r="J2726" t="s">
        <v>865</v>
      </c>
      <c r="K2726" t="s">
        <v>797</v>
      </c>
    </row>
    <row r="2727" spans="2:11" x14ac:dyDescent="0.25">
      <c r="B2727" s="191"/>
      <c r="C2727" s="191"/>
      <c r="D2727" s="192" t="s">
        <v>6154</v>
      </c>
      <c r="E2727" t="s">
        <v>6155</v>
      </c>
      <c r="F2727" s="192" t="s">
        <v>789</v>
      </c>
      <c r="G2727" s="192" t="s">
        <v>790</v>
      </c>
      <c r="H2727" s="192" t="s">
        <v>790</v>
      </c>
      <c r="I2727" t="s">
        <v>3414</v>
      </c>
      <c r="J2727" t="s">
        <v>865</v>
      </c>
      <c r="K2727" t="s">
        <v>797</v>
      </c>
    </row>
    <row r="2728" spans="2:11" x14ac:dyDescent="0.25">
      <c r="B2728" s="191"/>
      <c r="C2728" s="191" t="s">
        <v>6156</v>
      </c>
      <c r="D2728" s="192"/>
      <c r="E2728" s="185" t="s">
        <v>6157</v>
      </c>
      <c r="F2728" s="192" t="s">
        <v>789</v>
      </c>
      <c r="G2728" s="192" t="s">
        <v>790</v>
      </c>
      <c r="H2728" s="192" t="s">
        <v>790</v>
      </c>
      <c r="I2728" t="s">
        <v>3414</v>
      </c>
    </row>
    <row r="2729" spans="2:11" x14ac:dyDescent="0.25">
      <c r="B2729" s="191"/>
      <c r="C2729" s="191"/>
      <c r="D2729" s="192" t="s">
        <v>6158</v>
      </c>
      <c r="E2729" t="s">
        <v>6159</v>
      </c>
      <c r="F2729" s="192" t="s">
        <v>789</v>
      </c>
      <c r="G2729" s="192" t="s">
        <v>790</v>
      </c>
      <c r="H2729" s="192" t="s">
        <v>790</v>
      </c>
      <c r="I2729" t="s">
        <v>3414</v>
      </c>
      <c r="J2729" t="s">
        <v>865</v>
      </c>
      <c r="K2729" t="s">
        <v>797</v>
      </c>
    </row>
    <row r="2730" spans="2:11" x14ac:dyDescent="0.25">
      <c r="B2730" s="191"/>
      <c r="C2730" s="191"/>
      <c r="D2730" s="192" t="s">
        <v>6160</v>
      </c>
      <c r="E2730" t="s">
        <v>6161</v>
      </c>
      <c r="F2730" s="192" t="s">
        <v>789</v>
      </c>
      <c r="G2730" s="192" t="s">
        <v>790</v>
      </c>
      <c r="H2730" s="192" t="s">
        <v>790</v>
      </c>
      <c r="I2730" t="s">
        <v>3414</v>
      </c>
      <c r="J2730" t="s">
        <v>865</v>
      </c>
      <c r="K2730" t="s">
        <v>797</v>
      </c>
    </row>
    <row r="2731" spans="2:11" x14ac:dyDescent="0.25">
      <c r="B2731" s="191"/>
      <c r="C2731" s="191"/>
      <c r="D2731" s="192" t="s">
        <v>6162</v>
      </c>
      <c r="E2731" t="s">
        <v>6163</v>
      </c>
      <c r="F2731" s="192" t="s">
        <v>789</v>
      </c>
      <c r="G2731" s="192" t="s">
        <v>790</v>
      </c>
      <c r="H2731" s="192" t="s">
        <v>790</v>
      </c>
      <c r="I2731" t="s">
        <v>3414</v>
      </c>
      <c r="J2731" t="s">
        <v>865</v>
      </c>
      <c r="K2731" t="s">
        <v>797</v>
      </c>
    </row>
    <row r="2732" spans="2:11" x14ac:dyDescent="0.25">
      <c r="B2732" s="191"/>
      <c r="C2732" s="191" t="s">
        <v>6164</v>
      </c>
      <c r="D2732" s="192"/>
      <c r="E2732" s="185" t="s">
        <v>6165</v>
      </c>
      <c r="F2732" s="192" t="s">
        <v>789</v>
      </c>
      <c r="G2732" s="192" t="s">
        <v>790</v>
      </c>
      <c r="H2732" s="192" t="s">
        <v>790</v>
      </c>
      <c r="I2732" t="s">
        <v>3414</v>
      </c>
    </row>
    <row r="2733" spans="2:11" x14ac:dyDescent="0.25">
      <c r="B2733" s="191"/>
      <c r="C2733" s="191"/>
      <c r="D2733" s="192" t="s">
        <v>6166</v>
      </c>
      <c r="E2733" t="s">
        <v>6165</v>
      </c>
      <c r="F2733" s="192" t="s">
        <v>789</v>
      </c>
      <c r="G2733" s="192" t="s">
        <v>790</v>
      </c>
      <c r="H2733" s="192" t="s">
        <v>790</v>
      </c>
      <c r="I2733" t="s">
        <v>3414</v>
      </c>
      <c r="J2733" t="s">
        <v>865</v>
      </c>
      <c r="K2733" t="s">
        <v>797</v>
      </c>
    </row>
    <row r="2734" spans="2:11" x14ac:dyDescent="0.25">
      <c r="B2734" s="191"/>
      <c r="C2734" s="191" t="s">
        <v>6167</v>
      </c>
      <c r="D2734" s="192"/>
      <c r="E2734" s="185" t="s">
        <v>6168</v>
      </c>
      <c r="F2734" s="192" t="s">
        <v>789</v>
      </c>
      <c r="G2734" s="192" t="s">
        <v>790</v>
      </c>
      <c r="H2734" s="192" t="s">
        <v>790</v>
      </c>
      <c r="I2734" t="s">
        <v>3414</v>
      </c>
    </row>
    <row r="2735" spans="2:11" x14ac:dyDescent="0.25">
      <c r="B2735" s="191"/>
      <c r="C2735" s="191"/>
      <c r="D2735" s="192" t="s">
        <v>6169</v>
      </c>
      <c r="E2735" t="s">
        <v>6170</v>
      </c>
      <c r="F2735" s="192" t="s">
        <v>789</v>
      </c>
      <c r="G2735" s="192" t="s">
        <v>790</v>
      </c>
      <c r="H2735" s="192" t="s">
        <v>790</v>
      </c>
      <c r="I2735" t="s">
        <v>3414</v>
      </c>
      <c r="J2735" t="s">
        <v>865</v>
      </c>
      <c r="K2735" t="s">
        <v>797</v>
      </c>
    </row>
    <row r="2736" spans="2:11" x14ac:dyDescent="0.25">
      <c r="B2736" s="191"/>
      <c r="C2736" s="191"/>
      <c r="D2736" s="192" t="s">
        <v>6171</v>
      </c>
      <c r="E2736" t="s">
        <v>6172</v>
      </c>
      <c r="F2736" s="192" t="s">
        <v>789</v>
      </c>
      <c r="G2736" s="192" t="s">
        <v>790</v>
      </c>
      <c r="H2736" s="192" t="s">
        <v>790</v>
      </c>
      <c r="I2736" t="s">
        <v>3414</v>
      </c>
      <c r="J2736" t="s">
        <v>865</v>
      </c>
      <c r="K2736" t="s">
        <v>797</v>
      </c>
    </row>
    <row r="2737" spans="2:11" x14ac:dyDescent="0.25">
      <c r="B2737" s="191" t="s">
        <v>6173</v>
      </c>
      <c r="C2737" s="191"/>
      <c r="D2737" s="192"/>
      <c r="E2737" s="185" t="s">
        <v>6174</v>
      </c>
      <c r="F2737" s="192" t="s">
        <v>789</v>
      </c>
      <c r="G2737" s="192" t="s">
        <v>790</v>
      </c>
      <c r="H2737" s="192" t="s">
        <v>790</v>
      </c>
      <c r="I2737" t="s">
        <v>2870</v>
      </c>
      <c r="J2737" t="s">
        <v>865</v>
      </c>
    </row>
    <row r="2738" spans="2:11" x14ac:dyDescent="0.25">
      <c r="B2738" s="191"/>
      <c r="C2738" s="191" t="s">
        <v>6175</v>
      </c>
      <c r="D2738" s="192"/>
      <c r="E2738" s="185" t="s">
        <v>6174</v>
      </c>
      <c r="F2738" s="192" t="s">
        <v>789</v>
      </c>
      <c r="G2738" s="192" t="s">
        <v>790</v>
      </c>
      <c r="H2738" s="192" t="s">
        <v>790</v>
      </c>
      <c r="I2738" t="s">
        <v>2870</v>
      </c>
    </row>
    <row r="2739" spans="2:11" x14ac:dyDescent="0.25">
      <c r="B2739" s="191"/>
      <c r="C2739" s="191"/>
      <c r="D2739" s="192" t="s">
        <v>6176</v>
      </c>
      <c r="E2739" t="s">
        <v>6177</v>
      </c>
      <c r="F2739" s="192" t="s">
        <v>553</v>
      </c>
      <c r="G2739" s="192" t="s">
        <v>790</v>
      </c>
      <c r="H2739" s="192" t="s">
        <v>790</v>
      </c>
      <c r="I2739" t="s">
        <v>2870</v>
      </c>
      <c r="J2739" t="s">
        <v>865</v>
      </c>
      <c r="K2739" t="s">
        <v>797</v>
      </c>
    </row>
    <row r="2740" spans="2:11" x14ac:dyDescent="0.25">
      <c r="B2740" s="191"/>
      <c r="C2740" s="191"/>
      <c r="D2740" s="192" t="s">
        <v>6178</v>
      </c>
      <c r="E2740" t="s">
        <v>6179</v>
      </c>
      <c r="F2740" s="192" t="s">
        <v>6180</v>
      </c>
      <c r="G2740" s="192" t="s">
        <v>790</v>
      </c>
      <c r="H2740" s="192" t="s">
        <v>790</v>
      </c>
      <c r="I2740" t="s">
        <v>2870</v>
      </c>
      <c r="J2740" t="s">
        <v>865</v>
      </c>
      <c r="K2740" t="s">
        <v>797</v>
      </c>
    </row>
    <row r="2741" spans="2:11" x14ac:dyDescent="0.25">
      <c r="B2741" s="191" t="s">
        <v>6181</v>
      </c>
      <c r="C2741" s="191"/>
      <c r="D2741" s="192"/>
      <c r="E2741" s="185" t="s">
        <v>6182</v>
      </c>
      <c r="F2741" s="192" t="s">
        <v>789</v>
      </c>
      <c r="G2741" s="192" t="s">
        <v>790</v>
      </c>
      <c r="H2741" s="192" t="s">
        <v>790</v>
      </c>
      <c r="I2741" t="s">
        <v>2870</v>
      </c>
      <c r="J2741" t="s">
        <v>865</v>
      </c>
    </row>
    <row r="2742" spans="2:11" x14ac:dyDescent="0.25">
      <c r="B2742" s="191"/>
      <c r="C2742" s="191" t="s">
        <v>6183</v>
      </c>
      <c r="D2742" s="192"/>
      <c r="E2742" s="185" t="s">
        <v>6182</v>
      </c>
      <c r="F2742" s="192" t="s">
        <v>789</v>
      </c>
      <c r="G2742" s="192" t="s">
        <v>790</v>
      </c>
      <c r="H2742" s="192" t="s">
        <v>790</v>
      </c>
      <c r="I2742" t="s">
        <v>2870</v>
      </c>
    </row>
    <row r="2743" spans="2:11" x14ac:dyDescent="0.25">
      <c r="B2743" s="191"/>
      <c r="C2743" s="191" t="s">
        <v>6184</v>
      </c>
      <c r="D2743" s="192"/>
      <c r="E2743" s="185" t="s">
        <v>6185</v>
      </c>
      <c r="F2743" s="192" t="s">
        <v>789</v>
      </c>
      <c r="G2743" s="192" t="s">
        <v>790</v>
      </c>
      <c r="H2743" s="192" t="s">
        <v>790</v>
      </c>
      <c r="I2743" t="s">
        <v>2870</v>
      </c>
    </row>
    <row r="2744" spans="2:11" x14ac:dyDescent="0.25">
      <c r="B2744" s="191"/>
      <c r="C2744" s="191"/>
      <c r="D2744" s="192" t="s">
        <v>6186</v>
      </c>
      <c r="E2744" t="s">
        <v>6187</v>
      </c>
      <c r="F2744" s="192" t="s">
        <v>6188</v>
      </c>
      <c r="G2744" s="192" t="s">
        <v>790</v>
      </c>
      <c r="H2744" s="192" t="s">
        <v>790</v>
      </c>
      <c r="I2744" t="s">
        <v>2870</v>
      </c>
      <c r="J2744" t="s">
        <v>865</v>
      </c>
      <c r="K2744" t="s">
        <v>797</v>
      </c>
    </row>
    <row r="2745" spans="2:11" x14ac:dyDescent="0.25">
      <c r="B2745" s="191"/>
      <c r="C2745" s="191"/>
      <c r="D2745" s="192" t="s">
        <v>6189</v>
      </c>
      <c r="E2745" s="185" t="s">
        <v>6190</v>
      </c>
      <c r="F2745" s="192" t="s">
        <v>6188</v>
      </c>
      <c r="G2745" s="192" t="s">
        <v>790</v>
      </c>
      <c r="H2745" s="192" t="s">
        <v>790</v>
      </c>
      <c r="I2745" t="s">
        <v>2870</v>
      </c>
      <c r="J2745" t="s">
        <v>865</v>
      </c>
      <c r="K2745" t="s">
        <v>797</v>
      </c>
    </row>
    <row r="2746" spans="2:11" x14ac:dyDescent="0.25">
      <c r="B2746" s="191"/>
      <c r="C2746" s="191"/>
      <c r="D2746" s="192" t="s">
        <v>6191</v>
      </c>
      <c r="E2746" t="s">
        <v>6192</v>
      </c>
      <c r="F2746" s="192" t="s">
        <v>6188</v>
      </c>
      <c r="G2746" s="192" t="s">
        <v>790</v>
      </c>
      <c r="H2746" s="192" t="s">
        <v>790</v>
      </c>
      <c r="I2746" t="s">
        <v>2870</v>
      </c>
      <c r="J2746" t="s">
        <v>865</v>
      </c>
      <c r="K2746" t="s">
        <v>797</v>
      </c>
    </row>
    <row r="2747" spans="2:11" x14ac:dyDescent="0.25">
      <c r="B2747" s="191"/>
      <c r="C2747" s="191" t="s">
        <v>6193</v>
      </c>
      <c r="D2747" s="192"/>
      <c r="E2747" s="185" t="s">
        <v>6194</v>
      </c>
      <c r="F2747" s="192" t="s">
        <v>789</v>
      </c>
      <c r="G2747" s="192" t="s">
        <v>790</v>
      </c>
      <c r="H2747" s="192" t="s">
        <v>790</v>
      </c>
      <c r="I2747" t="s">
        <v>2870</v>
      </c>
    </row>
    <row r="2748" spans="2:11" x14ac:dyDescent="0.25">
      <c r="B2748" s="191"/>
      <c r="C2748" s="191"/>
      <c r="D2748" s="192" t="s">
        <v>6195</v>
      </c>
      <c r="E2748" t="s">
        <v>6196</v>
      </c>
      <c r="F2748" s="192" t="s">
        <v>6188</v>
      </c>
      <c r="G2748" s="192" t="s">
        <v>790</v>
      </c>
      <c r="H2748" s="192" t="s">
        <v>790</v>
      </c>
      <c r="I2748" t="s">
        <v>2870</v>
      </c>
      <c r="J2748" t="s">
        <v>865</v>
      </c>
      <c r="K2748" t="s">
        <v>797</v>
      </c>
    </row>
    <row r="2749" spans="2:11" x14ac:dyDescent="0.25">
      <c r="B2749" s="191"/>
      <c r="C2749" s="191"/>
      <c r="D2749" s="192" t="s">
        <v>6197</v>
      </c>
      <c r="E2749" t="s">
        <v>6198</v>
      </c>
      <c r="F2749" s="192" t="s">
        <v>6188</v>
      </c>
      <c r="G2749" s="192" t="s">
        <v>790</v>
      </c>
      <c r="H2749" s="192" t="s">
        <v>790</v>
      </c>
      <c r="I2749" t="s">
        <v>2870</v>
      </c>
      <c r="J2749" t="s">
        <v>865</v>
      </c>
      <c r="K2749" t="s">
        <v>797</v>
      </c>
    </row>
    <row r="2750" spans="2:11" x14ac:dyDescent="0.25">
      <c r="B2750" s="191"/>
      <c r="C2750" s="191"/>
      <c r="D2750" s="192" t="s">
        <v>6199</v>
      </c>
      <c r="E2750" t="s">
        <v>6200</v>
      </c>
      <c r="F2750" s="192" t="s">
        <v>6188</v>
      </c>
      <c r="G2750" s="192" t="s">
        <v>790</v>
      </c>
      <c r="H2750" s="192" t="s">
        <v>790</v>
      </c>
      <c r="I2750" t="s">
        <v>2870</v>
      </c>
      <c r="J2750" t="s">
        <v>865</v>
      </c>
      <c r="K2750" t="s">
        <v>797</v>
      </c>
    </row>
    <row r="2751" spans="2:11" x14ac:dyDescent="0.25">
      <c r="B2751" s="191" t="s">
        <v>6201</v>
      </c>
      <c r="C2751" s="191"/>
      <c r="D2751" s="192"/>
      <c r="E2751" s="185" t="s">
        <v>6202</v>
      </c>
      <c r="F2751" s="192" t="s">
        <v>789</v>
      </c>
      <c r="G2751" s="192" t="s">
        <v>790</v>
      </c>
      <c r="H2751" s="192" t="s">
        <v>790</v>
      </c>
      <c r="I2751" t="s">
        <v>2870</v>
      </c>
      <c r="J2751" t="s">
        <v>865</v>
      </c>
    </row>
    <row r="2752" spans="2:11" x14ac:dyDescent="0.25">
      <c r="B2752" s="191"/>
      <c r="C2752" s="191" t="s">
        <v>6203</v>
      </c>
      <c r="D2752" s="192"/>
      <c r="E2752" s="185" t="s">
        <v>6204</v>
      </c>
      <c r="F2752" s="192" t="s">
        <v>789</v>
      </c>
      <c r="G2752" s="192" t="s">
        <v>790</v>
      </c>
      <c r="H2752" s="192" t="s">
        <v>790</v>
      </c>
      <c r="I2752" t="s">
        <v>2870</v>
      </c>
    </row>
    <row r="2753" spans="2:11" x14ac:dyDescent="0.25">
      <c r="B2753" s="191"/>
      <c r="C2753" s="191"/>
      <c r="D2753" s="192" t="s">
        <v>6205</v>
      </c>
      <c r="E2753" t="s">
        <v>6206</v>
      </c>
      <c r="F2753" s="192" t="s">
        <v>6180</v>
      </c>
      <c r="G2753" s="192" t="s">
        <v>790</v>
      </c>
      <c r="H2753" s="192" t="s">
        <v>790</v>
      </c>
      <c r="I2753" t="s">
        <v>2870</v>
      </c>
      <c r="J2753" t="s">
        <v>865</v>
      </c>
      <c r="K2753" t="s">
        <v>797</v>
      </c>
    </row>
    <row r="2754" spans="2:11" x14ac:dyDescent="0.25">
      <c r="B2754" s="191"/>
      <c r="C2754" s="191" t="s">
        <v>6207</v>
      </c>
      <c r="D2754" s="192"/>
      <c r="E2754" s="185" t="s">
        <v>6208</v>
      </c>
      <c r="F2754" s="192" t="s">
        <v>789</v>
      </c>
      <c r="G2754" s="192" t="s">
        <v>790</v>
      </c>
      <c r="H2754" s="192" t="s">
        <v>790</v>
      </c>
      <c r="I2754" t="s">
        <v>2870</v>
      </c>
    </row>
    <row r="2755" spans="2:11" x14ac:dyDescent="0.25">
      <c r="B2755" s="191"/>
      <c r="C2755" s="191"/>
      <c r="D2755" s="192" t="s">
        <v>6209</v>
      </c>
      <c r="E2755" t="s">
        <v>6210</v>
      </c>
      <c r="F2755" s="192" t="s">
        <v>6180</v>
      </c>
      <c r="G2755" s="192" t="s">
        <v>790</v>
      </c>
      <c r="H2755" s="192" t="s">
        <v>790</v>
      </c>
      <c r="I2755" t="s">
        <v>2870</v>
      </c>
      <c r="J2755" t="s">
        <v>865</v>
      </c>
      <c r="K2755" t="s">
        <v>797</v>
      </c>
    </row>
    <row r="2756" spans="2:11" x14ac:dyDescent="0.25">
      <c r="B2756" s="191"/>
      <c r="C2756" s="191" t="s">
        <v>6211</v>
      </c>
      <c r="D2756" s="192"/>
      <c r="E2756" s="185" t="s">
        <v>6212</v>
      </c>
      <c r="F2756" s="192" t="s">
        <v>789</v>
      </c>
      <c r="G2756" s="192" t="s">
        <v>790</v>
      </c>
      <c r="H2756" s="192" t="s">
        <v>790</v>
      </c>
      <c r="I2756" t="s">
        <v>2870</v>
      </c>
    </row>
    <row r="2757" spans="2:11" x14ac:dyDescent="0.25">
      <c r="B2757" s="191"/>
      <c r="C2757" s="191"/>
      <c r="D2757" s="192" t="s">
        <v>6213</v>
      </c>
      <c r="E2757" t="s">
        <v>6214</v>
      </c>
      <c r="F2757" s="192" t="s">
        <v>6180</v>
      </c>
      <c r="G2757" s="192" t="s">
        <v>790</v>
      </c>
      <c r="H2757" s="192" t="s">
        <v>790</v>
      </c>
      <c r="I2757" t="s">
        <v>2870</v>
      </c>
      <c r="J2757" t="s">
        <v>865</v>
      </c>
      <c r="K2757" t="s">
        <v>797</v>
      </c>
    </row>
    <row r="2758" spans="2:11" x14ac:dyDescent="0.25">
      <c r="B2758" s="191"/>
      <c r="C2758" s="191" t="s">
        <v>6215</v>
      </c>
      <c r="D2758" s="192"/>
      <c r="E2758" s="185" t="s">
        <v>6216</v>
      </c>
      <c r="F2758" s="192" t="s">
        <v>789</v>
      </c>
      <c r="G2758" s="192" t="s">
        <v>790</v>
      </c>
      <c r="H2758" s="192" t="s">
        <v>790</v>
      </c>
      <c r="I2758" t="s">
        <v>2870</v>
      </c>
    </row>
    <row r="2759" spans="2:11" x14ac:dyDescent="0.25">
      <c r="B2759" s="191"/>
      <c r="C2759" s="191"/>
      <c r="D2759" s="192" t="s">
        <v>6217</v>
      </c>
      <c r="E2759" t="s">
        <v>6218</v>
      </c>
      <c r="F2759" s="192" t="s">
        <v>6180</v>
      </c>
      <c r="G2759" s="192" t="s">
        <v>790</v>
      </c>
      <c r="H2759" s="192" t="s">
        <v>790</v>
      </c>
      <c r="I2759" t="s">
        <v>2870</v>
      </c>
      <c r="J2759" t="s">
        <v>865</v>
      </c>
      <c r="K2759" t="s">
        <v>797</v>
      </c>
    </row>
    <row r="2760" spans="2:11" x14ac:dyDescent="0.25">
      <c r="B2760" s="191"/>
      <c r="C2760" s="191"/>
      <c r="D2760" s="192" t="s">
        <v>6219</v>
      </c>
      <c r="E2760" t="s">
        <v>6220</v>
      </c>
      <c r="F2760" s="192" t="s">
        <v>6180</v>
      </c>
      <c r="G2760" s="192" t="s">
        <v>790</v>
      </c>
      <c r="H2760" s="192" t="s">
        <v>790</v>
      </c>
      <c r="I2760" t="s">
        <v>2870</v>
      </c>
      <c r="J2760" t="s">
        <v>865</v>
      </c>
      <c r="K2760" t="s">
        <v>797</v>
      </c>
    </row>
    <row r="2761" spans="2:11" x14ac:dyDescent="0.25">
      <c r="B2761" s="191"/>
      <c r="C2761" s="191"/>
      <c r="D2761" s="192" t="s">
        <v>6221</v>
      </c>
      <c r="E2761" t="s">
        <v>6222</v>
      </c>
      <c r="F2761" s="192" t="s">
        <v>6180</v>
      </c>
      <c r="G2761" s="192" t="s">
        <v>790</v>
      </c>
      <c r="H2761" s="192" t="s">
        <v>790</v>
      </c>
      <c r="I2761" t="s">
        <v>2870</v>
      </c>
      <c r="J2761" t="s">
        <v>865</v>
      </c>
      <c r="K2761" t="s">
        <v>797</v>
      </c>
    </row>
    <row r="2762" spans="2:11" x14ac:dyDescent="0.25">
      <c r="B2762" s="191"/>
      <c r="C2762" s="191"/>
      <c r="D2762" s="192" t="s">
        <v>6223</v>
      </c>
      <c r="E2762" t="s">
        <v>6224</v>
      </c>
      <c r="F2762" s="192" t="s">
        <v>6180</v>
      </c>
      <c r="G2762" s="192" t="s">
        <v>790</v>
      </c>
      <c r="H2762" s="192" t="s">
        <v>790</v>
      </c>
      <c r="I2762" t="s">
        <v>2870</v>
      </c>
      <c r="J2762" t="s">
        <v>865</v>
      </c>
      <c r="K2762" t="s">
        <v>797</v>
      </c>
    </row>
    <row r="2763" spans="2:11" x14ac:dyDescent="0.25">
      <c r="B2763" s="191"/>
      <c r="C2763" s="191"/>
      <c r="D2763" s="192" t="s">
        <v>6225</v>
      </c>
      <c r="E2763" t="s">
        <v>6226</v>
      </c>
      <c r="F2763" s="192" t="s">
        <v>6180</v>
      </c>
      <c r="G2763" s="192" t="s">
        <v>790</v>
      </c>
      <c r="H2763" s="192" t="s">
        <v>790</v>
      </c>
      <c r="I2763" t="s">
        <v>2870</v>
      </c>
      <c r="J2763" t="s">
        <v>865</v>
      </c>
      <c r="K2763" t="s">
        <v>797</v>
      </c>
    </row>
    <row r="2764" spans="2:11" x14ac:dyDescent="0.25">
      <c r="B2764" s="191"/>
      <c r="C2764" s="191"/>
      <c r="D2764" s="192" t="s">
        <v>6227</v>
      </c>
      <c r="E2764" t="s">
        <v>6228</v>
      </c>
      <c r="F2764" s="192" t="s">
        <v>6180</v>
      </c>
      <c r="G2764" s="192" t="s">
        <v>790</v>
      </c>
      <c r="H2764" s="192" t="s">
        <v>790</v>
      </c>
      <c r="I2764" t="s">
        <v>2870</v>
      </c>
      <c r="J2764" t="s">
        <v>865</v>
      </c>
      <c r="K2764" t="s">
        <v>797</v>
      </c>
    </row>
    <row r="2765" spans="2:11" x14ac:dyDescent="0.25">
      <c r="B2765" s="191"/>
      <c r="C2765" s="191" t="s">
        <v>6229</v>
      </c>
      <c r="D2765" s="192"/>
      <c r="E2765" s="185" t="s">
        <v>6230</v>
      </c>
      <c r="F2765" s="192" t="s">
        <v>789</v>
      </c>
      <c r="G2765" s="192" t="s">
        <v>790</v>
      </c>
      <c r="H2765" s="192" t="s">
        <v>790</v>
      </c>
      <c r="I2765" t="s">
        <v>2870</v>
      </c>
    </row>
    <row r="2766" spans="2:11" x14ac:dyDescent="0.25">
      <c r="B2766" s="191"/>
      <c r="C2766" s="191"/>
      <c r="D2766" s="192" t="s">
        <v>6231</v>
      </c>
      <c r="E2766" t="s">
        <v>6232</v>
      </c>
      <c r="F2766" s="192" t="s">
        <v>6180</v>
      </c>
      <c r="G2766" s="192" t="s">
        <v>790</v>
      </c>
      <c r="H2766" s="192" t="s">
        <v>790</v>
      </c>
      <c r="I2766" t="s">
        <v>2870</v>
      </c>
      <c r="J2766" t="s">
        <v>865</v>
      </c>
      <c r="K2766" t="s">
        <v>797</v>
      </c>
    </row>
    <row r="2767" spans="2:11" x14ac:dyDescent="0.25">
      <c r="B2767" s="191"/>
      <c r="C2767" s="191"/>
      <c r="D2767" s="192" t="s">
        <v>6233</v>
      </c>
      <c r="E2767" t="s">
        <v>6234</v>
      </c>
      <c r="F2767" s="192" t="s">
        <v>6180</v>
      </c>
      <c r="G2767" s="192" t="s">
        <v>790</v>
      </c>
      <c r="H2767" s="192" t="s">
        <v>790</v>
      </c>
      <c r="I2767" t="s">
        <v>2870</v>
      </c>
      <c r="J2767" t="s">
        <v>865</v>
      </c>
      <c r="K2767" t="s">
        <v>797</v>
      </c>
    </row>
    <row r="2768" spans="2:11" x14ac:dyDescent="0.25">
      <c r="B2768" s="191"/>
      <c r="C2768" s="191"/>
      <c r="D2768" s="192" t="s">
        <v>6235</v>
      </c>
      <c r="E2768" t="s">
        <v>6236</v>
      </c>
      <c r="F2768" s="192" t="s">
        <v>6180</v>
      </c>
      <c r="G2768" s="192" t="s">
        <v>790</v>
      </c>
      <c r="H2768" s="192" t="s">
        <v>790</v>
      </c>
      <c r="I2768" t="s">
        <v>2870</v>
      </c>
      <c r="J2768" t="s">
        <v>865</v>
      </c>
      <c r="K2768" t="s">
        <v>797</v>
      </c>
    </row>
    <row r="2769" spans="2:11" x14ac:dyDescent="0.25">
      <c r="B2769" s="191"/>
      <c r="C2769" s="191" t="s">
        <v>6237</v>
      </c>
      <c r="D2769" s="192"/>
      <c r="E2769" s="185" t="s">
        <v>6238</v>
      </c>
      <c r="F2769" s="192" t="s">
        <v>789</v>
      </c>
      <c r="G2769" s="192" t="s">
        <v>790</v>
      </c>
      <c r="H2769" s="192" t="s">
        <v>790</v>
      </c>
      <c r="I2769" t="s">
        <v>2870</v>
      </c>
    </row>
    <row r="2770" spans="2:11" x14ac:dyDescent="0.25">
      <c r="B2770" s="191"/>
      <c r="C2770" s="191"/>
      <c r="D2770" s="192" t="s">
        <v>6239</v>
      </c>
      <c r="E2770" t="s">
        <v>6240</v>
      </c>
      <c r="F2770" s="192" t="s">
        <v>6241</v>
      </c>
      <c r="G2770" s="192" t="s">
        <v>790</v>
      </c>
      <c r="H2770" s="192" t="s">
        <v>790</v>
      </c>
      <c r="I2770" t="s">
        <v>2870</v>
      </c>
      <c r="J2770" t="s">
        <v>865</v>
      </c>
      <c r="K2770" t="s">
        <v>797</v>
      </c>
    </row>
    <row r="2771" spans="2:11" x14ac:dyDescent="0.25">
      <c r="B2771" s="191"/>
      <c r="C2771" s="191"/>
      <c r="D2771" s="192" t="s">
        <v>6242</v>
      </c>
      <c r="E2771" t="s">
        <v>6243</v>
      </c>
      <c r="F2771" s="192" t="s">
        <v>6241</v>
      </c>
      <c r="G2771" s="192" t="s">
        <v>790</v>
      </c>
      <c r="H2771" s="192" t="s">
        <v>790</v>
      </c>
      <c r="I2771" t="s">
        <v>2870</v>
      </c>
      <c r="J2771" t="s">
        <v>865</v>
      </c>
      <c r="K2771" t="s">
        <v>797</v>
      </c>
    </row>
    <row r="2772" spans="2:11" x14ac:dyDescent="0.25">
      <c r="B2772" s="191"/>
      <c r="C2772" s="191"/>
      <c r="D2772" s="192" t="s">
        <v>6244</v>
      </c>
      <c r="E2772" t="s">
        <v>6245</v>
      </c>
      <c r="F2772" s="192" t="s">
        <v>6241</v>
      </c>
      <c r="G2772" s="192" t="s">
        <v>790</v>
      </c>
      <c r="H2772" s="192" t="s">
        <v>790</v>
      </c>
      <c r="I2772" t="s">
        <v>2870</v>
      </c>
      <c r="J2772" t="s">
        <v>865</v>
      </c>
      <c r="K2772" t="s">
        <v>797</v>
      </c>
    </row>
    <row r="2773" spans="2:11" x14ac:dyDescent="0.25">
      <c r="B2773" s="191"/>
      <c r="C2773" s="191"/>
      <c r="D2773" s="192" t="s">
        <v>6246</v>
      </c>
      <c r="E2773" t="s">
        <v>6247</v>
      </c>
      <c r="F2773" s="192" t="s">
        <v>6241</v>
      </c>
      <c r="G2773" s="192" t="s">
        <v>790</v>
      </c>
      <c r="H2773" s="192" t="s">
        <v>790</v>
      </c>
      <c r="I2773" t="s">
        <v>2870</v>
      </c>
      <c r="J2773" t="s">
        <v>865</v>
      </c>
      <c r="K2773" t="s">
        <v>797</v>
      </c>
    </row>
    <row r="2774" spans="2:11" x14ac:dyDescent="0.25">
      <c r="B2774" s="191"/>
      <c r="C2774" s="191"/>
      <c r="D2774" s="192" t="s">
        <v>6248</v>
      </c>
      <c r="E2774" t="s">
        <v>6249</v>
      </c>
      <c r="F2774" s="192" t="s">
        <v>6241</v>
      </c>
      <c r="G2774" s="192" t="s">
        <v>790</v>
      </c>
      <c r="H2774" s="192" t="s">
        <v>790</v>
      </c>
      <c r="I2774" t="s">
        <v>2870</v>
      </c>
      <c r="J2774" t="s">
        <v>865</v>
      </c>
      <c r="K2774" t="s">
        <v>797</v>
      </c>
    </row>
    <row r="2775" spans="2:11" x14ac:dyDescent="0.25">
      <c r="B2775" s="191"/>
      <c r="C2775" s="191"/>
      <c r="D2775" s="192" t="s">
        <v>6250</v>
      </c>
      <c r="E2775" t="s">
        <v>6251</v>
      </c>
      <c r="F2775" s="192" t="s">
        <v>6241</v>
      </c>
      <c r="G2775" s="192" t="s">
        <v>790</v>
      </c>
      <c r="H2775" s="192" t="s">
        <v>790</v>
      </c>
      <c r="I2775" t="s">
        <v>2870</v>
      </c>
      <c r="J2775" t="s">
        <v>865</v>
      </c>
      <c r="K2775" t="s">
        <v>797</v>
      </c>
    </row>
    <row r="2776" spans="2:11" x14ac:dyDescent="0.25">
      <c r="B2776" s="191"/>
      <c r="C2776" s="191" t="s">
        <v>6252</v>
      </c>
      <c r="D2776" s="192"/>
      <c r="E2776" s="185" t="s">
        <v>6253</v>
      </c>
      <c r="F2776" s="192" t="s">
        <v>789</v>
      </c>
      <c r="G2776" s="192" t="s">
        <v>790</v>
      </c>
      <c r="H2776" s="192" t="s">
        <v>790</v>
      </c>
      <c r="I2776" t="s">
        <v>2870</v>
      </c>
    </row>
    <row r="2777" spans="2:11" x14ac:dyDescent="0.25">
      <c r="B2777" s="191"/>
      <c r="C2777" s="191"/>
      <c r="D2777" s="192" t="s">
        <v>6254</v>
      </c>
      <c r="E2777" t="s">
        <v>6255</v>
      </c>
      <c r="F2777" s="192" t="s">
        <v>6180</v>
      </c>
      <c r="G2777" s="192" t="s">
        <v>790</v>
      </c>
      <c r="H2777" s="192" t="s">
        <v>790</v>
      </c>
      <c r="I2777" t="s">
        <v>2870</v>
      </c>
      <c r="J2777" t="s">
        <v>865</v>
      </c>
      <c r="K2777" t="s">
        <v>797</v>
      </c>
    </row>
    <row r="2778" spans="2:11" x14ac:dyDescent="0.25">
      <c r="B2778" s="191"/>
      <c r="C2778" s="191"/>
      <c r="D2778" s="192" t="s">
        <v>6256</v>
      </c>
      <c r="E2778" t="s">
        <v>6257</v>
      </c>
      <c r="F2778" s="192" t="s">
        <v>6180</v>
      </c>
      <c r="G2778" s="192" t="s">
        <v>790</v>
      </c>
      <c r="H2778" s="192" t="s">
        <v>790</v>
      </c>
      <c r="I2778" t="s">
        <v>2870</v>
      </c>
      <c r="J2778" t="s">
        <v>865</v>
      </c>
      <c r="K2778" t="s">
        <v>797</v>
      </c>
    </row>
    <row r="2779" spans="2:11" x14ac:dyDescent="0.25">
      <c r="B2779" s="191"/>
      <c r="C2779" s="191"/>
      <c r="D2779" s="192" t="s">
        <v>6258</v>
      </c>
      <c r="E2779" t="s">
        <v>6259</v>
      </c>
      <c r="F2779" s="192" t="s">
        <v>6180</v>
      </c>
      <c r="G2779" s="192" t="s">
        <v>790</v>
      </c>
      <c r="H2779" s="192" t="s">
        <v>790</v>
      </c>
      <c r="I2779" t="s">
        <v>2870</v>
      </c>
      <c r="J2779" t="s">
        <v>865</v>
      </c>
      <c r="K2779" t="s">
        <v>797</v>
      </c>
    </row>
    <row r="2780" spans="2:11" x14ac:dyDescent="0.25">
      <c r="B2780" s="191"/>
      <c r="C2780" s="191"/>
      <c r="D2780" s="192" t="s">
        <v>6260</v>
      </c>
      <c r="E2780" t="s">
        <v>6261</v>
      </c>
      <c r="F2780" s="192" t="s">
        <v>6180</v>
      </c>
      <c r="G2780" s="192" t="s">
        <v>790</v>
      </c>
      <c r="H2780" s="192" t="s">
        <v>790</v>
      </c>
      <c r="I2780" t="s">
        <v>2870</v>
      </c>
      <c r="J2780" t="s">
        <v>865</v>
      </c>
      <c r="K2780" t="s">
        <v>797</v>
      </c>
    </row>
    <row r="2781" spans="2:11" x14ac:dyDescent="0.25">
      <c r="B2781" s="191"/>
      <c r="C2781" s="191" t="s">
        <v>6262</v>
      </c>
      <c r="D2781" s="192"/>
      <c r="E2781" s="185" t="s">
        <v>6202</v>
      </c>
      <c r="F2781" s="192" t="s">
        <v>789</v>
      </c>
      <c r="G2781" s="192" t="s">
        <v>790</v>
      </c>
      <c r="H2781" s="192" t="s">
        <v>790</v>
      </c>
      <c r="I2781" t="s">
        <v>2870</v>
      </c>
    </row>
    <row r="2782" spans="2:11" x14ac:dyDescent="0.25">
      <c r="B2782" s="191"/>
      <c r="C2782" s="191"/>
      <c r="D2782" s="192" t="s">
        <v>6263</v>
      </c>
      <c r="E2782" t="s">
        <v>6264</v>
      </c>
      <c r="F2782" s="192" t="s">
        <v>6180</v>
      </c>
      <c r="G2782" s="192" t="s">
        <v>790</v>
      </c>
      <c r="H2782" s="192" t="s">
        <v>790</v>
      </c>
      <c r="I2782" t="s">
        <v>2870</v>
      </c>
      <c r="J2782" t="s">
        <v>865</v>
      </c>
      <c r="K2782" t="s">
        <v>797</v>
      </c>
    </row>
    <row r="2783" spans="2:11" x14ac:dyDescent="0.25">
      <c r="B2783" s="191"/>
      <c r="C2783" s="191"/>
      <c r="D2783" s="192" t="s">
        <v>6265</v>
      </c>
      <c r="E2783" t="s">
        <v>6266</v>
      </c>
      <c r="F2783" s="192" t="s">
        <v>6180</v>
      </c>
      <c r="G2783" s="192" t="s">
        <v>790</v>
      </c>
      <c r="H2783" s="192" t="s">
        <v>790</v>
      </c>
      <c r="I2783" t="s">
        <v>2870</v>
      </c>
      <c r="J2783" t="s">
        <v>865</v>
      </c>
      <c r="K2783" t="s">
        <v>797</v>
      </c>
    </row>
    <row r="2784" spans="2:11" x14ac:dyDescent="0.25">
      <c r="B2784" s="191"/>
      <c r="C2784" s="191"/>
      <c r="D2784" s="192" t="s">
        <v>6267</v>
      </c>
      <c r="E2784" t="s">
        <v>6268</v>
      </c>
      <c r="F2784" s="192" t="s">
        <v>6180</v>
      </c>
      <c r="G2784" s="192" t="s">
        <v>790</v>
      </c>
      <c r="H2784" s="192" t="s">
        <v>790</v>
      </c>
      <c r="I2784" t="s">
        <v>2870</v>
      </c>
      <c r="J2784" t="s">
        <v>865</v>
      </c>
      <c r="K2784" t="s">
        <v>797</v>
      </c>
    </row>
    <row r="2785" spans="2:11" x14ac:dyDescent="0.25">
      <c r="B2785" s="191"/>
      <c r="C2785" s="191"/>
      <c r="D2785" s="192" t="s">
        <v>6269</v>
      </c>
      <c r="E2785" t="s">
        <v>6270</v>
      </c>
      <c r="F2785" s="192" t="s">
        <v>6180</v>
      </c>
      <c r="G2785" s="192" t="s">
        <v>790</v>
      </c>
      <c r="H2785" s="192" t="s">
        <v>790</v>
      </c>
      <c r="I2785" t="s">
        <v>2870</v>
      </c>
      <c r="J2785" t="s">
        <v>865</v>
      </c>
      <c r="K2785" t="s">
        <v>797</v>
      </c>
    </row>
    <row r="2786" spans="2:11" x14ac:dyDescent="0.25">
      <c r="B2786" s="191"/>
      <c r="C2786" s="191"/>
      <c r="D2786" s="192" t="s">
        <v>6271</v>
      </c>
      <c r="E2786" t="s">
        <v>6272</v>
      </c>
      <c r="F2786" s="192" t="s">
        <v>6180</v>
      </c>
      <c r="G2786" s="192" t="s">
        <v>790</v>
      </c>
      <c r="H2786" s="192" t="s">
        <v>790</v>
      </c>
      <c r="I2786" t="s">
        <v>2870</v>
      </c>
      <c r="J2786" t="s">
        <v>865</v>
      </c>
      <c r="K2786" t="s">
        <v>797</v>
      </c>
    </row>
    <row r="2787" spans="2:11" x14ac:dyDescent="0.25">
      <c r="B2787" s="191" t="s">
        <v>6273</v>
      </c>
      <c r="C2787" s="191"/>
      <c r="D2787" s="192"/>
      <c r="E2787" s="185" t="s">
        <v>6274</v>
      </c>
      <c r="F2787" s="192" t="s">
        <v>789</v>
      </c>
      <c r="G2787" s="192" t="s">
        <v>790</v>
      </c>
      <c r="H2787" s="192" t="s">
        <v>790</v>
      </c>
      <c r="I2787" t="s">
        <v>2870</v>
      </c>
    </row>
    <row r="2788" spans="2:11" x14ac:dyDescent="0.25">
      <c r="B2788" s="191"/>
      <c r="C2788" s="191" t="s">
        <v>6275</v>
      </c>
      <c r="D2788" s="192"/>
      <c r="E2788" s="185" t="s">
        <v>6276</v>
      </c>
      <c r="F2788" s="192" t="s">
        <v>789</v>
      </c>
      <c r="G2788" s="192" t="s">
        <v>790</v>
      </c>
      <c r="H2788" s="192" t="s">
        <v>790</v>
      </c>
      <c r="I2788" t="s">
        <v>2870</v>
      </c>
    </row>
    <row r="2789" spans="2:11" x14ac:dyDescent="0.25">
      <c r="B2789" s="191"/>
      <c r="C2789" s="191"/>
      <c r="D2789" s="192" t="s">
        <v>6277</v>
      </c>
      <c r="E2789" t="s">
        <v>6278</v>
      </c>
      <c r="F2789" s="192" t="s">
        <v>6180</v>
      </c>
      <c r="G2789" s="192" t="s">
        <v>790</v>
      </c>
      <c r="H2789" s="192" t="s">
        <v>790</v>
      </c>
      <c r="I2789" t="s">
        <v>2870</v>
      </c>
      <c r="J2789" t="s">
        <v>865</v>
      </c>
      <c r="K2789" t="s">
        <v>797</v>
      </c>
    </row>
    <row r="2790" spans="2:11" x14ac:dyDescent="0.25">
      <c r="B2790" s="191"/>
      <c r="C2790" s="191"/>
      <c r="D2790" s="192" t="s">
        <v>6279</v>
      </c>
      <c r="E2790" t="s">
        <v>6280</v>
      </c>
      <c r="F2790" s="192" t="s">
        <v>6180</v>
      </c>
      <c r="G2790" s="192" t="s">
        <v>790</v>
      </c>
      <c r="H2790" s="192" t="s">
        <v>790</v>
      </c>
      <c r="I2790" t="s">
        <v>2870</v>
      </c>
      <c r="J2790" t="s">
        <v>865</v>
      </c>
      <c r="K2790" t="s">
        <v>797</v>
      </c>
    </row>
    <row r="2791" spans="2:11" x14ac:dyDescent="0.25">
      <c r="B2791" s="191"/>
      <c r="C2791" s="191" t="s">
        <v>6281</v>
      </c>
      <c r="D2791" s="192"/>
      <c r="E2791" s="185" t="s">
        <v>6282</v>
      </c>
      <c r="F2791" s="192" t="s">
        <v>789</v>
      </c>
      <c r="G2791" s="192" t="s">
        <v>790</v>
      </c>
      <c r="H2791" s="192" t="s">
        <v>790</v>
      </c>
      <c r="I2791" t="s">
        <v>2870</v>
      </c>
    </row>
    <row r="2792" spans="2:11" x14ac:dyDescent="0.25">
      <c r="B2792" s="191"/>
      <c r="C2792" s="191"/>
      <c r="D2792" s="192" t="s">
        <v>6283</v>
      </c>
      <c r="E2792" t="s">
        <v>6284</v>
      </c>
      <c r="F2792" s="192" t="s">
        <v>6180</v>
      </c>
      <c r="G2792" s="192" t="s">
        <v>790</v>
      </c>
      <c r="H2792" s="192" t="s">
        <v>790</v>
      </c>
      <c r="I2792" t="s">
        <v>2870</v>
      </c>
      <c r="J2792" t="s">
        <v>865</v>
      </c>
      <c r="K2792" t="s">
        <v>797</v>
      </c>
    </row>
    <row r="2793" spans="2:11" x14ac:dyDescent="0.25">
      <c r="B2793" s="191"/>
      <c r="C2793" s="191"/>
      <c r="D2793" s="192" t="s">
        <v>6285</v>
      </c>
      <c r="E2793" t="s">
        <v>6286</v>
      </c>
      <c r="F2793" s="192" t="s">
        <v>6180</v>
      </c>
      <c r="G2793" s="192" t="s">
        <v>790</v>
      </c>
      <c r="H2793" s="192" t="s">
        <v>790</v>
      </c>
      <c r="I2793" t="s">
        <v>2870</v>
      </c>
      <c r="J2793" t="s">
        <v>865</v>
      </c>
      <c r="K2793" t="s">
        <v>797</v>
      </c>
    </row>
    <row r="2794" spans="2:11" x14ac:dyDescent="0.25">
      <c r="B2794" s="191"/>
      <c r="C2794" s="191"/>
      <c r="D2794" s="192" t="s">
        <v>6287</v>
      </c>
      <c r="E2794" t="s">
        <v>6288</v>
      </c>
      <c r="F2794" s="192" t="s">
        <v>6180</v>
      </c>
      <c r="G2794" s="192" t="s">
        <v>790</v>
      </c>
      <c r="H2794" s="192" t="s">
        <v>790</v>
      </c>
      <c r="I2794" t="s">
        <v>2870</v>
      </c>
      <c r="J2794" t="s">
        <v>865</v>
      </c>
      <c r="K2794" t="s">
        <v>797</v>
      </c>
    </row>
    <row r="2795" spans="2:11" x14ac:dyDescent="0.25">
      <c r="B2795" s="191"/>
      <c r="C2795" s="191"/>
      <c r="D2795" s="192" t="s">
        <v>6289</v>
      </c>
      <c r="E2795" t="s">
        <v>6290</v>
      </c>
      <c r="F2795" s="192" t="s">
        <v>6180</v>
      </c>
      <c r="G2795" s="192" t="s">
        <v>790</v>
      </c>
      <c r="H2795" s="192" t="s">
        <v>790</v>
      </c>
      <c r="I2795" t="s">
        <v>2870</v>
      </c>
      <c r="J2795" t="s">
        <v>865</v>
      </c>
      <c r="K2795" t="s">
        <v>797</v>
      </c>
    </row>
    <row r="2796" spans="2:11" x14ac:dyDescent="0.25">
      <c r="B2796" s="191"/>
      <c r="C2796" s="191" t="s">
        <v>6291</v>
      </c>
      <c r="D2796" s="192"/>
      <c r="E2796" s="185" t="s">
        <v>6292</v>
      </c>
      <c r="F2796" s="192" t="s">
        <v>789</v>
      </c>
      <c r="G2796" s="192" t="s">
        <v>790</v>
      </c>
      <c r="H2796" s="192" t="s">
        <v>790</v>
      </c>
      <c r="I2796" t="s">
        <v>2870</v>
      </c>
    </row>
    <row r="2797" spans="2:11" x14ac:dyDescent="0.25">
      <c r="B2797" s="191"/>
      <c r="C2797" s="191"/>
      <c r="D2797" s="192" t="s">
        <v>6293</v>
      </c>
      <c r="E2797" t="s">
        <v>6294</v>
      </c>
      <c r="F2797" s="192" t="s">
        <v>6180</v>
      </c>
      <c r="G2797" s="192" t="s">
        <v>790</v>
      </c>
      <c r="H2797" s="192" t="s">
        <v>790</v>
      </c>
      <c r="I2797" t="s">
        <v>2870</v>
      </c>
      <c r="J2797" t="s">
        <v>865</v>
      </c>
      <c r="K2797" t="s">
        <v>797</v>
      </c>
    </row>
    <row r="2798" spans="2:11" x14ac:dyDescent="0.25">
      <c r="B2798" s="191"/>
      <c r="C2798" s="191"/>
      <c r="D2798" s="192" t="s">
        <v>6295</v>
      </c>
      <c r="E2798" t="s">
        <v>6296</v>
      </c>
      <c r="F2798" s="192" t="s">
        <v>6180</v>
      </c>
      <c r="G2798" s="192" t="s">
        <v>790</v>
      </c>
      <c r="H2798" s="192" t="s">
        <v>790</v>
      </c>
      <c r="I2798" t="s">
        <v>2870</v>
      </c>
      <c r="J2798" t="s">
        <v>865</v>
      </c>
      <c r="K2798" t="s">
        <v>797</v>
      </c>
    </row>
    <row r="2799" spans="2:11" x14ac:dyDescent="0.25">
      <c r="B2799" s="191" t="s">
        <v>6297</v>
      </c>
      <c r="C2799" s="191"/>
      <c r="D2799" s="192"/>
      <c r="E2799" s="185" t="s">
        <v>6298</v>
      </c>
      <c r="F2799" s="192" t="s">
        <v>789</v>
      </c>
      <c r="G2799" s="192" t="s">
        <v>790</v>
      </c>
      <c r="H2799" s="192" t="s">
        <v>790</v>
      </c>
      <c r="I2799" t="s">
        <v>2870</v>
      </c>
      <c r="J2799" t="s">
        <v>865</v>
      </c>
    </row>
    <row r="2800" spans="2:11" x14ac:dyDescent="0.25">
      <c r="B2800" s="191"/>
      <c r="C2800" s="191" t="s">
        <v>6299</v>
      </c>
      <c r="D2800" s="192"/>
      <c r="E2800" s="185" t="s">
        <v>6300</v>
      </c>
      <c r="F2800" s="192" t="s">
        <v>789</v>
      </c>
      <c r="G2800" s="192" t="s">
        <v>790</v>
      </c>
      <c r="H2800" s="192" t="s">
        <v>790</v>
      </c>
      <c r="I2800" t="s">
        <v>2870</v>
      </c>
    </row>
    <row r="2801" spans="2:11" x14ac:dyDescent="0.25">
      <c r="B2801" s="191"/>
      <c r="C2801" s="191"/>
      <c r="D2801" s="192" t="s">
        <v>6301</v>
      </c>
      <c r="E2801" t="s">
        <v>6300</v>
      </c>
      <c r="F2801" s="192" t="s">
        <v>6302</v>
      </c>
      <c r="G2801" s="192" t="s">
        <v>790</v>
      </c>
      <c r="H2801" s="192" t="s">
        <v>790</v>
      </c>
      <c r="I2801" t="s">
        <v>2870</v>
      </c>
      <c r="J2801" t="s">
        <v>865</v>
      </c>
      <c r="K2801" t="s">
        <v>797</v>
      </c>
    </row>
    <row r="2802" spans="2:11" x14ac:dyDescent="0.25">
      <c r="B2802" s="191"/>
      <c r="C2802" s="191" t="s">
        <v>6303</v>
      </c>
      <c r="D2802" s="192"/>
      <c r="E2802" s="185" t="s">
        <v>6304</v>
      </c>
      <c r="F2802" s="192" t="s">
        <v>789</v>
      </c>
      <c r="G2802" s="192" t="s">
        <v>790</v>
      </c>
      <c r="H2802" s="192" t="s">
        <v>790</v>
      </c>
      <c r="I2802" t="s">
        <v>2870</v>
      </c>
    </row>
    <row r="2803" spans="2:11" x14ac:dyDescent="0.25">
      <c r="B2803" s="191"/>
      <c r="C2803" s="191"/>
      <c r="D2803" s="192" t="s">
        <v>6305</v>
      </c>
      <c r="E2803" t="s">
        <v>6306</v>
      </c>
      <c r="F2803" s="192" t="s">
        <v>6302</v>
      </c>
      <c r="G2803" s="192" t="s">
        <v>790</v>
      </c>
      <c r="H2803" s="192" t="s">
        <v>790</v>
      </c>
      <c r="I2803" t="s">
        <v>2870</v>
      </c>
      <c r="J2803" t="s">
        <v>865</v>
      </c>
      <c r="K2803" t="s">
        <v>797</v>
      </c>
    </row>
    <row r="2804" spans="2:11" x14ac:dyDescent="0.25">
      <c r="B2804" s="191"/>
      <c r="C2804" s="191"/>
      <c r="D2804" s="192" t="s">
        <v>6307</v>
      </c>
      <c r="E2804" t="s">
        <v>6308</v>
      </c>
      <c r="F2804" s="192" t="s">
        <v>6302</v>
      </c>
      <c r="G2804" s="192" t="s">
        <v>790</v>
      </c>
      <c r="H2804" s="192" t="s">
        <v>790</v>
      </c>
      <c r="I2804" t="s">
        <v>2870</v>
      </c>
      <c r="J2804" t="s">
        <v>865</v>
      </c>
      <c r="K2804" t="s">
        <v>797</v>
      </c>
    </row>
    <row r="2805" spans="2:11" x14ac:dyDescent="0.25">
      <c r="B2805" s="191"/>
      <c r="C2805" s="191"/>
      <c r="D2805" s="192" t="s">
        <v>6309</v>
      </c>
      <c r="E2805" t="s">
        <v>6310</v>
      </c>
      <c r="F2805" s="192" t="s">
        <v>6302</v>
      </c>
      <c r="G2805" s="192" t="s">
        <v>790</v>
      </c>
      <c r="H2805" s="192" t="s">
        <v>790</v>
      </c>
      <c r="I2805" t="s">
        <v>2870</v>
      </c>
      <c r="J2805" t="s">
        <v>865</v>
      </c>
      <c r="K2805" t="s">
        <v>797</v>
      </c>
    </row>
    <row r="2806" spans="2:11" x14ac:dyDescent="0.25">
      <c r="B2806" s="191"/>
      <c r="C2806" s="191"/>
      <c r="D2806" s="192" t="s">
        <v>6311</v>
      </c>
      <c r="E2806" t="s">
        <v>6312</v>
      </c>
      <c r="F2806" s="192" t="s">
        <v>6302</v>
      </c>
      <c r="G2806" s="192" t="s">
        <v>790</v>
      </c>
      <c r="H2806" s="192" t="s">
        <v>790</v>
      </c>
      <c r="I2806" t="s">
        <v>2870</v>
      </c>
      <c r="J2806" t="s">
        <v>865</v>
      </c>
      <c r="K2806" t="s">
        <v>797</v>
      </c>
    </row>
    <row r="2807" spans="2:11" x14ac:dyDescent="0.25">
      <c r="B2807" s="191"/>
      <c r="C2807" s="191"/>
      <c r="D2807" s="192" t="s">
        <v>6313</v>
      </c>
      <c r="E2807" t="s">
        <v>6314</v>
      </c>
      <c r="F2807" s="192" t="s">
        <v>6302</v>
      </c>
      <c r="G2807" s="192" t="s">
        <v>790</v>
      </c>
      <c r="H2807" s="192" t="s">
        <v>790</v>
      </c>
      <c r="I2807" t="s">
        <v>2870</v>
      </c>
      <c r="J2807" t="s">
        <v>865</v>
      </c>
      <c r="K2807" t="s">
        <v>797</v>
      </c>
    </row>
    <row r="2808" spans="2:11" x14ac:dyDescent="0.25">
      <c r="B2808" s="191"/>
      <c r="C2808" s="191" t="s">
        <v>6315</v>
      </c>
      <c r="D2808" s="192"/>
      <c r="E2808" s="185" t="s">
        <v>6316</v>
      </c>
      <c r="F2808" s="192" t="s">
        <v>789</v>
      </c>
      <c r="G2808" s="192" t="s">
        <v>790</v>
      </c>
      <c r="H2808" s="192" t="s">
        <v>790</v>
      </c>
      <c r="I2808" t="s">
        <v>2870</v>
      </c>
    </row>
    <row r="2809" spans="2:11" x14ac:dyDescent="0.25">
      <c r="B2809" s="191"/>
      <c r="C2809" s="191"/>
      <c r="D2809" s="192" t="s">
        <v>6317</v>
      </c>
      <c r="E2809" t="s">
        <v>6316</v>
      </c>
      <c r="F2809" s="192" t="s">
        <v>6302</v>
      </c>
      <c r="G2809" s="192" t="s">
        <v>790</v>
      </c>
      <c r="H2809" s="192" t="s">
        <v>790</v>
      </c>
      <c r="I2809" t="s">
        <v>2870</v>
      </c>
      <c r="J2809" t="s">
        <v>865</v>
      </c>
      <c r="K2809" t="s">
        <v>797</v>
      </c>
    </row>
    <row r="2810" spans="2:11" x14ac:dyDescent="0.25">
      <c r="B2810" s="191"/>
      <c r="C2810" s="191" t="s">
        <v>6318</v>
      </c>
      <c r="D2810" s="192"/>
      <c r="E2810" s="185" t="s">
        <v>6319</v>
      </c>
      <c r="F2810" s="192" t="s">
        <v>789</v>
      </c>
      <c r="G2810" s="192" t="s">
        <v>790</v>
      </c>
      <c r="H2810" s="192" t="s">
        <v>790</v>
      </c>
      <c r="I2810" t="s">
        <v>2870</v>
      </c>
    </row>
    <row r="2811" spans="2:11" x14ac:dyDescent="0.25">
      <c r="B2811" s="191"/>
      <c r="C2811" s="191"/>
      <c r="D2811" s="192" t="s">
        <v>6320</v>
      </c>
      <c r="E2811" t="s">
        <v>6319</v>
      </c>
      <c r="F2811" s="192" t="s">
        <v>6302</v>
      </c>
      <c r="G2811" s="192" t="s">
        <v>790</v>
      </c>
      <c r="H2811" s="192" t="s">
        <v>790</v>
      </c>
      <c r="I2811" t="s">
        <v>2870</v>
      </c>
      <c r="J2811" t="s">
        <v>865</v>
      </c>
      <c r="K2811" t="s">
        <v>797</v>
      </c>
    </row>
    <row r="2812" spans="2:11" x14ac:dyDescent="0.25">
      <c r="B2812" s="191"/>
      <c r="C2812" s="191" t="s">
        <v>6321</v>
      </c>
      <c r="D2812" s="192"/>
      <c r="E2812" s="185" t="s">
        <v>6322</v>
      </c>
      <c r="F2812" s="192" t="s">
        <v>789</v>
      </c>
      <c r="G2812" s="192" t="s">
        <v>790</v>
      </c>
      <c r="H2812" s="192" t="s">
        <v>790</v>
      </c>
      <c r="I2812" t="s">
        <v>2870</v>
      </c>
    </row>
    <row r="2813" spans="2:11" x14ac:dyDescent="0.25">
      <c r="B2813" s="191"/>
      <c r="C2813" s="191"/>
      <c r="D2813" s="192" t="s">
        <v>6323</v>
      </c>
      <c r="E2813" t="s">
        <v>6322</v>
      </c>
      <c r="F2813" s="192" t="s">
        <v>6302</v>
      </c>
      <c r="G2813" s="192" t="s">
        <v>790</v>
      </c>
      <c r="H2813" s="192" t="s">
        <v>790</v>
      </c>
      <c r="I2813" t="s">
        <v>2870</v>
      </c>
      <c r="J2813" t="s">
        <v>865</v>
      </c>
      <c r="K2813" t="s">
        <v>797</v>
      </c>
    </row>
    <row r="2814" spans="2:11" x14ac:dyDescent="0.25">
      <c r="B2814" s="191"/>
      <c r="C2814" s="191" t="s">
        <v>6324</v>
      </c>
      <c r="D2814" s="192"/>
      <c r="E2814" s="185" t="s">
        <v>6325</v>
      </c>
      <c r="F2814" s="192" t="s">
        <v>789</v>
      </c>
      <c r="G2814" s="192" t="s">
        <v>790</v>
      </c>
      <c r="H2814" s="192" t="s">
        <v>790</v>
      </c>
      <c r="I2814" t="s">
        <v>2870</v>
      </c>
    </row>
    <row r="2815" spans="2:11" x14ac:dyDescent="0.25">
      <c r="B2815" s="191"/>
      <c r="C2815" s="191"/>
      <c r="D2815" s="192" t="s">
        <v>6326</v>
      </c>
      <c r="E2815" t="s">
        <v>6325</v>
      </c>
      <c r="F2815" s="192" t="s">
        <v>6302</v>
      </c>
      <c r="G2815" s="192" t="s">
        <v>790</v>
      </c>
      <c r="H2815" s="192" t="s">
        <v>790</v>
      </c>
      <c r="I2815" t="s">
        <v>2870</v>
      </c>
      <c r="J2815" t="s">
        <v>865</v>
      </c>
      <c r="K2815" t="s">
        <v>797</v>
      </c>
    </row>
    <row r="2816" spans="2:11" x14ac:dyDescent="0.25">
      <c r="B2816" s="191"/>
      <c r="C2816" s="191" t="s">
        <v>6327</v>
      </c>
      <c r="D2816" s="192"/>
      <c r="E2816" s="185" t="s">
        <v>6328</v>
      </c>
      <c r="F2816" s="192" t="s">
        <v>789</v>
      </c>
      <c r="G2816" s="192" t="s">
        <v>790</v>
      </c>
      <c r="H2816" s="192" t="s">
        <v>790</v>
      </c>
      <c r="I2816" t="s">
        <v>2870</v>
      </c>
    </row>
    <row r="2817" spans="2:11" x14ac:dyDescent="0.25">
      <c r="B2817" s="191"/>
      <c r="C2817" s="191"/>
      <c r="D2817" s="192" t="s">
        <v>6329</v>
      </c>
      <c r="E2817" t="s">
        <v>6330</v>
      </c>
      <c r="F2817" s="192" t="s">
        <v>6302</v>
      </c>
      <c r="G2817" s="192" t="s">
        <v>790</v>
      </c>
      <c r="H2817" s="192" t="s">
        <v>790</v>
      </c>
      <c r="I2817" t="s">
        <v>2870</v>
      </c>
      <c r="J2817" t="s">
        <v>865</v>
      </c>
      <c r="K2817" t="s">
        <v>797</v>
      </c>
    </row>
    <row r="2818" spans="2:11" x14ac:dyDescent="0.25">
      <c r="B2818" s="191"/>
      <c r="C2818" s="191"/>
      <c r="D2818" s="192" t="s">
        <v>6331</v>
      </c>
      <c r="E2818" t="s">
        <v>6332</v>
      </c>
      <c r="F2818" s="192" t="s">
        <v>6302</v>
      </c>
      <c r="G2818" s="192" t="s">
        <v>790</v>
      </c>
      <c r="H2818" s="192" t="s">
        <v>790</v>
      </c>
      <c r="I2818" t="s">
        <v>2870</v>
      </c>
      <c r="J2818" t="s">
        <v>865</v>
      </c>
      <c r="K2818" t="s">
        <v>797</v>
      </c>
    </row>
    <row r="2819" spans="2:11" x14ac:dyDescent="0.25">
      <c r="B2819" s="191"/>
      <c r="C2819" s="191"/>
      <c r="D2819" s="192" t="s">
        <v>6333</v>
      </c>
      <c r="E2819" t="s">
        <v>6334</v>
      </c>
      <c r="F2819" s="192" t="s">
        <v>6302</v>
      </c>
      <c r="G2819" s="192" t="s">
        <v>790</v>
      </c>
      <c r="H2819" s="192" t="s">
        <v>790</v>
      </c>
      <c r="I2819" t="s">
        <v>2870</v>
      </c>
      <c r="J2819" t="s">
        <v>865</v>
      </c>
      <c r="K2819" t="s">
        <v>797</v>
      </c>
    </row>
    <row r="2820" spans="2:11" x14ac:dyDescent="0.25">
      <c r="B2820" s="191"/>
      <c r="C2820" s="191" t="s">
        <v>6335</v>
      </c>
      <c r="D2820" s="192"/>
      <c r="E2820" s="185" t="s">
        <v>6336</v>
      </c>
      <c r="F2820" s="192" t="s">
        <v>789</v>
      </c>
      <c r="G2820" s="192" t="s">
        <v>790</v>
      </c>
      <c r="H2820" s="192" t="s">
        <v>790</v>
      </c>
      <c r="I2820" t="s">
        <v>2870</v>
      </c>
    </row>
    <row r="2821" spans="2:11" x14ac:dyDescent="0.25">
      <c r="B2821" s="191"/>
      <c r="C2821" s="191"/>
      <c r="D2821" s="192" t="s">
        <v>6337</v>
      </c>
      <c r="E2821" t="s">
        <v>6338</v>
      </c>
      <c r="F2821" s="192" t="s">
        <v>6302</v>
      </c>
      <c r="G2821" s="192" t="s">
        <v>790</v>
      </c>
      <c r="H2821" s="192" t="s">
        <v>790</v>
      </c>
      <c r="I2821" t="s">
        <v>2870</v>
      </c>
      <c r="J2821" t="s">
        <v>865</v>
      </c>
      <c r="K2821" t="s">
        <v>797</v>
      </c>
    </row>
    <row r="2822" spans="2:11" x14ac:dyDescent="0.25">
      <c r="B2822" s="191"/>
      <c r="C2822" s="191"/>
      <c r="D2822" s="192" t="s">
        <v>6339</v>
      </c>
      <c r="E2822" t="s">
        <v>6340</v>
      </c>
      <c r="F2822" s="192" t="s">
        <v>6302</v>
      </c>
      <c r="G2822" s="192" t="s">
        <v>790</v>
      </c>
      <c r="H2822" s="192" t="s">
        <v>790</v>
      </c>
      <c r="I2822" t="s">
        <v>2870</v>
      </c>
      <c r="J2822" t="s">
        <v>865</v>
      </c>
      <c r="K2822" t="s">
        <v>797</v>
      </c>
    </row>
    <row r="2823" spans="2:11" x14ac:dyDescent="0.25">
      <c r="B2823" s="191"/>
      <c r="C2823" s="191" t="s">
        <v>6341</v>
      </c>
      <c r="D2823" s="192"/>
      <c r="E2823" s="185" t="s">
        <v>6342</v>
      </c>
      <c r="F2823" s="192" t="s">
        <v>789</v>
      </c>
      <c r="G2823" s="192" t="s">
        <v>790</v>
      </c>
      <c r="H2823" s="192" t="s">
        <v>790</v>
      </c>
      <c r="I2823" t="s">
        <v>2870</v>
      </c>
    </row>
    <row r="2824" spans="2:11" x14ac:dyDescent="0.25">
      <c r="B2824" s="191"/>
      <c r="C2824" s="191"/>
      <c r="D2824" s="192" t="s">
        <v>6343</v>
      </c>
      <c r="E2824" t="s">
        <v>6344</v>
      </c>
      <c r="F2824" s="192" t="s">
        <v>6302</v>
      </c>
      <c r="G2824" s="192" t="s">
        <v>790</v>
      </c>
      <c r="H2824" s="192" t="s">
        <v>790</v>
      </c>
      <c r="I2824" t="s">
        <v>2870</v>
      </c>
      <c r="J2824" t="s">
        <v>865</v>
      </c>
      <c r="K2824" t="s">
        <v>797</v>
      </c>
    </row>
    <row r="2825" spans="2:11" x14ac:dyDescent="0.25">
      <c r="B2825" s="191" t="s">
        <v>6345</v>
      </c>
      <c r="C2825" s="191"/>
      <c r="D2825" s="192"/>
      <c r="E2825" s="185" t="s">
        <v>6346</v>
      </c>
      <c r="F2825" s="192" t="s">
        <v>789</v>
      </c>
      <c r="G2825" s="192" t="s">
        <v>790</v>
      </c>
      <c r="H2825" s="192" t="s">
        <v>790</v>
      </c>
      <c r="I2825" t="s">
        <v>6347</v>
      </c>
      <c r="J2825" t="s">
        <v>865</v>
      </c>
    </row>
    <row r="2826" spans="2:11" x14ac:dyDescent="0.25">
      <c r="B2826" s="191"/>
      <c r="C2826" s="191" t="s">
        <v>6348</v>
      </c>
      <c r="D2826" s="192"/>
      <c r="E2826" s="185" t="s">
        <v>6346</v>
      </c>
      <c r="F2826" s="192" t="s">
        <v>789</v>
      </c>
      <c r="G2826" s="192" t="s">
        <v>790</v>
      </c>
      <c r="H2826" s="192" t="s">
        <v>790</v>
      </c>
      <c r="I2826" t="s">
        <v>6347</v>
      </c>
    </row>
    <row r="2827" spans="2:11" x14ac:dyDescent="0.25">
      <c r="B2827" s="191"/>
      <c r="C2827" s="191"/>
      <c r="D2827" s="192" t="s">
        <v>5423</v>
      </c>
      <c r="E2827" t="s">
        <v>6346</v>
      </c>
      <c r="F2827" s="192" t="s">
        <v>789</v>
      </c>
      <c r="G2827" s="192" t="s">
        <v>790</v>
      </c>
      <c r="H2827" s="192" t="s">
        <v>790</v>
      </c>
      <c r="I2827" t="s">
        <v>6347</v>
      </c>
      <c r="J2827" t="s">
        <v>865</v>
      </c>
      <c r="K2827" t="s">
        <v>797</v>
      </c>
    </row>
    <row r="2828" spans="2:11" x14ac:dyDescent="0.25">
      <c r="B2828" s="191" t="s">
        <v>6349</v>
      </c>
      <c r="C2828" s="191"/>
      <c r="D2828" s="192"/>
      <c r="E2828" s="185" t="s">
        <v>6350</v>
      </c>
      <c r="F2828" s="192" t="s">
        <v>789</v>
      </c>
      <c r="G2828" s="192" t="s">
        <v>790</v>
      </c>
      <c r="H2828" s="192" t="s">
        <v>790</v>
      </c>
      <c r="I2828" t="s">
        <v>6347</v>
      </c>
      <c r="J2828" t="s">
        <v>865</v>
      </c>
    </row>
    <row r="2829" spans="2:11" x14ac:dyDescent="0.25">
      <c r="B2829" s="191"/>
      <c r="C2829" s="191" t="s">
        <v>6351</v>
      </c>
      <c r="D2829" s="192"/>
      <c r="E2829" s="185" t="s">
        <v>6350</v>
      </c>
      <c r="F2829" s="192" t="s">
        <v>789</v>
      </c>
      <c r="G2829" s="192" t="s">
        <v>790</v>
      </c>
      <c r="H2829" s="192" t="s">
        <v>790</v>
      </c>
      <c r="I2829" t="s">
        <v>6347</v>
      </c>
    </row>
    <row r="2830" spans="2:11" x14ac:dyDescent="0.25">
      <c r="B2830" s="191"/>
      <c r="C2830" s="191"/>
      <c r="D2830" s="192" t="s">
        <v>3624</v>
      </c>
      <c r="E2830" t="s">
        <v>6350</v>
      </c>
      <c r="F2830" s="192" t="s">
        <v>789</v>
      </c>
      <c r="G2830" s="192" t="s">
        <v>790</v>
      </c>
      <c r="H2830" s="192" t="s">
        <v>790</v>
      </c>
      <c r="I2830" t="s">
        <v>6347</v>
      </c>
      <c r="J2830" t="s">
        <v>865</v>
      </c>
      <c r="K2830" t="s">
        <v>797</v>
      </c>
    </row>
    <row r="2831" spans="2:11" x14ac:dyDescent="0.25">
      <c r="B2831" s="191"/>
      <c r="C2831" s="191" t="s">
        <v>6352</v>
      </c>
      <c r="D2831" s="192"/>
      <c r="E2831" s="185" t="s">
        <v>6353</v>
      </c>
      <c r="F2831" s="192" t="s">
        <v>789</v>
      </c>
      <c r="G2831" s="192" t="s">
        <v>790</v>
      </c>
      <c r="H2831" s="192" t="s">
        <v>790</v>
      </c>
      <c r="I2831" t="s">
        <v>6347</v>
      </c>
    </row>
    <row r="2832" spans="2:11" x14ac:dyDescent="0.25">
      <c r="B2832" s="191"/>
      <c r="C2832" s="191"/>
      <c r="D2832" s="192" t="s">
        <v>6354</v>
      </c>
      <c r="E2832" t="s">
        <v>6355</v>
      </c>
      <c r="F2832" s="192" t="s">
        <v>789</v>
      </c>
      <c r="G2832" s="192" t="s">
        <v>790</v>
      </c>
      <c r="H2832" s="192" t="s">
        <v>790</v>
      </c>
      <c r="I2832" t="s">
        <v>6347</v>
      </c>
      <c r="J2832" t="s">
        <v>865</v>
      </c>
      <c r="K2832" t="s">
        <v>797</v>
      </c>
    </row>
    <row r="2833" spans="2:11" x14ac:dyDescent="0.25">
      <c r="B2833" s="191" t="s">
        <v>6356</v>
      </c>
      <c r="C2833" s="191"/>
      <c r="D2833" s="192"/>
      <c r="E2833" s="185" t="s">
        <v>6357</v>
      </c>
      <c r="F2833" s="192" t="s">
        <v>789</v>
      </c>
      <c r="G2833" s="192" t="s">
        <v>790</v>
      </c>
      <c r="H2833" s="192" t="s">
        <v>790</v>
      </c>
      <c r="I2833" t="s">
        <v>6347</v>
      </c>
      <c r="J2833" t="s">
        <v>865</v>
      </c>
    </row>
    <row r="2834" spans="2:11" x14ac:dyDescent="0.25">
      <c r="B2834" s="191"/>
      <c r="C2834" s="191" t="s">
        <v>6358</v>
      </c>
      <c r="D2834" s="192"/>
      <c r="E2834" s="185" t="s">
        <v>6357</v>
      </c>
      <c r="F2834" s="192" t="s">
        <v>789</v>
      </c>
      <c r="G2834" s="192" t="s">
        <v>790</v>
      </c>
      <c r="H2834" s="192" t="s">
        <v>790</v>
      </c>
      <c r="I2834" t="s">
        <v>6347</v>
      </c>
    </row>
    <row r="2835" spans="2:11" x14ac:dyDescent="0.25">
      <c r="B2835" s="191"/>
      <c r="C2835" s="191"/>
      <c r="D2835" s="192" t="s">
        <v>6359</v>
      </c>
      <c r="E2835" t="s">
        <v>6357</v>
      </c>
      <c r="F2835" s="192" t="s">
        <v>789</v>
      </c>
      <c r="G2835" s="192" t="s">
        <v>790</v>
      </c>
      <c r="H2835" s="192" t="s">
        <v>790</v>
      </c>
      <c r="I2835" t="s">
        <v>6347</v>
      </c>
      <c r="J2835" t="s">
        <v>865</v>
      </c>
      <c r="K2835" t="s">
        <v>797</v>
      </c>
    </row>
    <row r="2836" spans="2:11" x14ac:dyDescent="0.25">
      <c r="B2836" s="191" t="s">
        <v>6360</v>
      </c>
      <c r="C2836" s="191"/>
      <c r="D2836" s="192"/>
      <c r="E2836" s="185" t="s">
        <v>6361</v>
      </c>
      <c r="F2836" s="192" t="s">
        <v>789</v>
      </c>
      <c r="G2836" s="192" t="s">
        <v>790</v>
      </c>
      <c r="H2836" s="192" t="s">
        <v>790</v>
      </c>
      <c r="I2836" t="s">
        <v>6347</v>
      </c>
      <c r="J2836" t="s">
        <v>865</v>
      </c>
    </row>
    <row r="2837" spans="2:11" x14ac:dyDescent="0.25">
      <c r="B2837" s="191"/>
      <c r="C2837" s="191" t="s">
        <v>6362</v>
      </c>
      <c r="D2837" s="192"/>
      <c r="E2837" s="185" t="s">
        <v>6363</v>
      </c>
      <c r="F2837" s="192" t="s">
        <v>789</v>
      </c>
      <c r="G2837" s="192" t="s">
        <v>790</v>
      </c>
      <c r="H2837" s="192" t="s">
        <v>790</v>
      </c>
      <c r="I2837" t="s">
        <v>6347</v>
      </c>
    </row>
    <row r="2838" spans="2:11" x14ac:dyDescent="0.25">
      <c r="B2838" s="191"/>
      <c r="C2838" s="191"/>
      <c r="D2838" s="192" t="s">
        <v>6364</v>
      </c>
      <c r="E2838" t="s">
        <v>6363</v>
      </c>
      <c r="F2838" s="192" t="s">
        <v>789</v>
      </c>
      <c r="G2838" s="192" t="s">
        <v>790</v>
      </c>
      <c r="H2838" s="192" t="s">
        <v>790</v>
      </c>
      <c r="I2838" t="s">
        <v>6347</v>
      </c>
      <c r="J2838" t="s">
        <v>865</v>
      </c>
      <c r="K2838" t="s">
        <v>797</v>
      </c>
    </row>
    <row r="2839" spans="2:11" x14ac:dyDescent="0.25">
      <c r="B2839" s="191"/>
      <c r="C2839" s="191" t="s">
        <v>6365</v>
      </c>
      <c r="D2839" s="192"/>
      <c r="E2839" s="185" t="s">
        <v>6366</v>
      </c>
      <c r="F2839" s="192" t="s">
        <v>789</v>
      </c>
      <c r="G2839" s="192" t="s">
        <v>790</v>
      </c>
      <c r="H2839" s="192" t="s">
        <v>790</v>
      </c>
      <c r="I2839" t="s">
        <v>6347</v>
      </c>
    </row>
    <row r="2840" spans="2:11" x14ac:dyDescent="0.25">
      <c r="B2840" s="191"/>
      <c r="C2840" s="191"/>
      <c r="D2840" s="192" t="s">
        <v>6367</v>
      </c>
      <c r="E2840" t="s">
        <v>6366</v>
      </c>
      <c r="F2840" s="192" t="s">
        <v>789</v>
      </c>
      <c r="G2840" s="192" t="s">
        <v>790</v>
      </c>
      <c r="H2840" s="192" t="s">
        <v>790</v>
      </c>
      <c r="I2840" t="s">
        <v>6347</v>
      </c>
      <c r="J2840" t="s">
        <v>865</v>
      </c>
      <c r="K2840" t="s">
        <v>797</v>
      </c>
    </row>
    <row r="2841" spans="2:11" x14ac:dyDescent="0.25">
      <c r="B2841" s="191"/>
      <c r="C2841" s="191" t="s">
        <v>6368</v>
      </c>
      <c r="D2841" s="192"/>
      <c r="E2841" s="185" t="s">
        <v>6115</v>
      </c>
      <c r="F2841" s="192" t="s">
        <v>789</v>
      </c>
      <c r="G2841" s="192" t="s">
        <v>790</v>
      </c>
      <c r="H2841" s="192" t="s">
        <v>790</v>
      </c>
      <c r="I2841" t="s">
        <v>6347</v>
      </c>
    </row>
    <row r="2842" spans="2:11" x14ac:dyDescent="0.25">
      <c r="B2842" s="191"/>
      <c r="C2842" s="191"/>
      <c r="D2842" s="192" t="s">
        <v>6369</v>
      </c>
      <c r="E2842" t="s">
        <v>6115</v>
      </c>
      <c r="F2842" s="192" t="s">
        <v>789</v>
      </c>
      <c r="G2842" s="192" t="s">
        <v>790</v>
      </c>
      <c r="H2842" s="192" t="s">
        <v>790</v>
      </c>
      <c r="I2842" t="s">
        <v>6347</v>
      </c>
      <c r="J2842" t="s">
        <v>865</v>
      </c>
      <c r="K2842" t="s">
        <v>797</v>
      </c>
    </row>
    <row r="2843" spans="2:11" x14ac:dyDescent="0.25">
      <c r="B2843" s="191" t="s">
        <v>6370</v>
      </c>
      <c r="C2843" s="191"/>
      <c r="D2843" s="192"/>
      <c r="E2843" s="185" t="s">
        <v>6371</v>
      </c>
      <c r="F2843" s="192" t="s">
        <v>789</v>
      </c>
      <c r="G2843" s="192" t="s">
        <v>790</v>
      </c>
      <c r="H2843" s="192" t="s">
        <v>790</v>
      </c>
      <c r="I2843" t="s">
        <v>6347</v>
      </c>
      <c r="J2843" t="s">
        <v>865</v>
      </c>
    </row>
    <row r="2844" spans="2:11" x14ac:dyDescent="0.25">
      <c r="B2844" s="191"/>
      <c r="C2844" s="191" t="s">
        <v>6372</v>
      </c>
      <c r="D2844" s="192"/>
      <c r="E2844" s="185" t="s">
        <v>6371</v>
      </c>
      <c r="F2844" s="192" t="s">
        <v>789</v>
      </c>
      <c r="G2844" s="192" t="s">
        <v>790</v>
      </c>
      <c r="H2844" s="192" t="s">
        <v>790</v>
      </c>
      <c r="I2844" t="s">
        <v>6347</v>
      </c>
    </row>
    <row r="2845" spans="2:11" x14ac:dyDescent="0.25">
      <c r="B2845" s="191"/>
      <c r="C2845" s="191"/>
      <c r="D2845" s="192" t="s">
        <v>6373</v>
      </c>
      <c r="E2845" t="s">
        <v>6371</v>
      </c>
      <c r="F2845" s="192" t="s">
        <v>789</v>
      </c>
      <c r="G2845" s="192" t="s">
        <v>790</v>
      </c>
      <c r="H2845" s="192" t="s">
        <v>790</v>
      </c>
      <c r="I2845" t="s">
        <v>6347</v>
      </c>
      <c r="J2845" t="s">
        <v>865</v>
      </c>
      <c r="K2845" t="s">
        <v>797</v>
      </c>
    </row>
    <row r="2846" spans="2:11" x14ac:dyDescent="0.25">
      <c r="B2846" s="191" t="s">
        <v>6374</v>
      </c>
      <c r="C2846" s="191"/>
      <c r="D2846" s="192"/>
      <c r="E2846" s="185" t="s">
        <v>6375</v>
      </c>
      <c r="F2846" s="192" t="s">
        <v>789</v>
      </c>
      <c r="G2846" s="192" t="s">
        <v>790</v>
      </c>
      <c r="H2846" s="192" t="s">
        <v>790</v>
      </c>
      <c r="I2846" t="s">
        <v>6347</v>
      </c>
      <c r="J2846" t="s">
        <v>865</v>
      </c>
    </row>
    <row r="2847" spans="2:11" x14ac:dyDescent="0.25">
      <c r="B2847" s="191"/>
      <c r="C2847" s="191" t="s">
        <v>6376</v>
      </c>
      <c r="D2847" s="192"/>
      <c r="E2847" s="185" t="s">
        <v>6375</v>
      </c>
      <c r="F2847" s="192" t="s">
        <v>789</v>
      </c>
      <c r="G2847" s="192" t="s">
        <v>790</v>
      </c>
      <c r="H2847" s="192" t="s">
        <v>790</v>
      </c>
      <c r="I2847" t="s">
        <v>6347</v>
      </c>
    </row>
    <row r="2848" spans="2:11" x14ac:dyDescent="0.25">
      <c r="B2848" s="191"/>
      <c r="C2848" s="191"/>
      <c r="D2848" s="192" t="s">
        <v>6377</v>
      </c>
      <c r="E2848" t="s">
        <v>6375</v>
      </c>
      <c r="F2848" s="192" t="s">
        <v>789</v>
      </c>
      <c r="G2848" s="192" t="s">
        <v>790</v>
      </c>
      <c r="H2848" s="192" t="s">
        <v>790</v>
      </c>
      <c r="I2848" t="s">
        <v>6347</v>
      </c>
      <c r="J2848" t="s">
        <v>865</v>
      </c>
      <c r="K2848" t="s">
        <v>797</v>
      </c>
    </row>
    <row r="2849" spans="2:11" x14ac:dyDescent="0.25">
      <c r="B2849" s="191" t="s">
        <v>6378</v>
      </c>
      <c r="C2849" s="191"/>
      <c r="D2849" s="192"/>
      <c r="E2849" s="185" t="s">
        <v>6379</v>
      </c>
      <c r="F2849" s="192" t="s">
        <v>789</v>
      </c>
      <c r="G2849" s="192" t="s">
        <v>790</v>
      </c>
      <c r="H2849" s="192" t="s">
        <v>790</v>
      </c>
      <c r="I2849" t="s">
        <v>6347</v>
      </c>
      <c r="J2849" t="s">
        <v>865</v>
      </c>
    </row>
    <row r="2850" spans="2:11" x14ac:dyDescent="0.25">
      <c r="B2850" s="191"/>
      <c r="C2850" s="191" t="s">
        <v>6380</v>
      </c>
      <c r="D2850" s="192"/>
      <c r="E2850" s="185" t="s">
        <v>6379</v>
      </c>
      <c r="F2850" s="192" t="s">
        <v>789</v>
      </c>
      <c r="G2850" s="192" t="s">
        <v>790</v>
      </c>
      <c r="H2850" s="192" t="s">
        <v>790</v>
      </c>
      <c r="I2850" t="s">
        <v>6347</v>
      </c>
    </row>
    <row r="2851" spans="2:11" x14ac:dyDescent="0.25">
      <c r="B2851" s="191"/>
      <c r="C2851" s="191"/>
      <c r="D2851" s="192" t="s">
        <v>6381</v>
      </c>
      <c r="E2851" t="s">
        <v>6379</v>
      </c>
      <c r="F2851" s="192" t="s">
        <v>789</v>
      </c>
      <c r="G2851" s="192" t="s">
        <v>790</v>
      </c>
      <c r="H2851" s="192" t="s">
        <v>790</v>
      </c>
      <c r="I2851" t="s">
        <v>6347</v>
      </c>
      <c r="J2851" t="s">
        <v>865</v>
      </c>
      <c r="K2851" t="s">
        <v>797</v>
      </c>
    </row>
    <row r="2852" spans="2:11" x14ac:dyDescent="0.25">
      <c r="B2852" s="191" t="s">
        <v>6382</v>
      </c>
      <c r="C2852" s="191"/>
      <c r="D2852" s="192"/>
      <c r="E2852" s="185" t="s">
        <v>6383</v>
      </c>
      <c r="F2852" s="192" t="s">
        <v>789</v>
      </c>
      <c r="G2852" s="192" t="s">
        <v>790</v>
      </c>
      <c r="H2852" s="192" t="s">
        <v>790</v>
      </c>
      <c r="I2852" t="s">
        <v>6347</v>
      </c>
      <c r="J2852" t="s">
        <v>865</v>
      </c>
    </row>
    <row r="2853" spans="2:11" x14ac:dyDescent="0.25">
      <c r="B2853" s="191"/>
      <c r="C2853" s="191" t="s">
        <v>6384</v>
      </c>
      <c r="D2853" s="192"/>
      <c r="E2853" s="185" t="s">
        <v>6385</v>
      </c>
      <c r="F2853" s="192" t="s">
        <v>789</v>
      </c>
      <c r="G2853" s="192" t="s">
        <v>790</v>
      </c>
      <c r="H2853" s="192" t="s">
        <v>790</v>
      </c>
      <c r="I2853" t="s">
        <v>6347</v>
      </c>
    </row>
    <row r="2854" spans="2:11" x14ac:dyDescent="0.25">
      <c r="B2854" s="191"/>
      <c r="C2854" s="191"/>
      <c r="D2854" s="192" t="s">
        <v>6386</v>
      </c>
      <c r="E2854" t="s">
        <v>6385</v>
      </c>
      <c r="F2854" s="192" t="s">
        <v>789</v>
      </c>
      <c r="G2854" s="192" t="s">
        <v>790</v>
      </c>
      <c r="H2854" s="192" t="s">
        <v>790</v>
      </c>
      <c r="I2854" t="s">
        <v>6347</v>
      </c>
      <c r="J2854" t="s">
        <v>865</v>
      </c>
      <c r="K2854" t="s">
        <v>797</v>
      </c>
    </row>
    <row r="2855" spans="2:11" x14ac:dyDescent="0.25">
      <c r="B2855" s="191" t="s">
        <v>6387</v>
      </c>
      <c r="C2855" s="191"/>
      <c r="D2855" s="192"/>
      <c r="E2855" s="185" t="s">
        <v>2883</v>
      </c>
      <c r="F2855" s="192" t="s">
        <v>789</v>
      </c>
      <c r="G2855" s="192" t="s">
        <v>790</v>
      </c>
      <c r="H2855" s="192" t="s">
        <v>790</v>
      </c>
      <c r="I2855" t="s">
        <v>2870</v>
      </c>
      <c r="J2855" t="s">
        <v>865</v>
      </c>
    </row>
    <row r="2856" spans="2:11" x14ac:dyDescent="0.25">
      <c r="B2856" s="191"/>
      <c r="C2856" s="191"/>
      <c r="D2856" s="192" t="s">
        <v>6388</v>
      </c>
      <c r="E2856" t="s">
        <v>6389</v>
      </c>
      <c r="F2856" s="192" t="s">
        <v>789</v>
      </c>
      <c r="G2856" s="192" t="s">
        <v>790</v>
      </c>
      <c r="H2856" s="192" t="s">
        <v>790</v>
      </c>
      <c r="I2856" t="s">
        <v>2870</v>
      </c>
      <c r="J2856" t="s">
        <v>865</v>
      </c>
      <c r="K2856" t="s">
        <v>797</v>
      </c>
    </row>
    <row r="2857" spans="2:11" x14ac:dyDescent="0.25">
      <c r="B2857" s="191"/>
      <c r="C2857" s="191"/>
      <c r="D2857" s="192" t="s">
        <v>6390</v>
      </c>
      <c r="E2857" t="s">
        <v>6391</v>
      </c>
      <c r="F2857" s="192" t="s">
        <v>6392</v>
      </c>
      <c r="G2857" s="192" t="s">
        <v>790</v>
      </c>
      <c r="H2857" s="192" t="s">
        <v>790</v>
      </c>
      <c r="I2857" t="s">
        <v>2870</v>
      </c>
      <c r="J2857" t="s">
        <v>865</v>
      </c>
      <c r="K2857" t="s">
        <v>797</v>
      </c>
    </row>
    <row r="2858" spans="2:11" x14ac:dyDescent="0.25">
      <c r="B2858" s="191" t="s">
        <v>6393</v>
      </c>
      <c r="C2858" s="191"/>
      <c r="D2858" s="192"/>
      <c r="E2858" s="185" t="s">
        <v>6394</v>
      </c>
      <c r="F2858" s="192" t="s">
        <v>789</v>
      </c>
      <c r="G2858" s="192" t="s">
        <v>790</v>
      </c>
      <c r="H2858" s="192" t="s">
        <v>790</v>
      </c>
      <c r="I2858" t="s">
        <v>2870</v>
      </c>
      <c r="J2858" t="s">
        <v>865</v>
      </c>
    </row>
    <row r="2859" spans="2:11" x14ac:dyDescent="0.25">
      <c r="B2859" s="191"/>
      <c r="C2859" s="191"/>
      <c r="D2859" s="192" t="s">
        <v>6395</v>
      </c>
      <c r="E2859" t="s">
        <v>6396</v>
      </c>
      <c r="F2859" s="192" t="s">
        <v>789</v>
      </c>
      <c r="G2859" s="192" t="s">
        <v>790</v>
      </c>
      <c r="H2859" s="192" t="s">
        <v>790</v>
      </c>
      <c r="I2859" t="s">
        <v>2870</v>
      </c>
      <c r="J2859" t="s">
        <v>865</v>
      </c>
      <c r="K2859" t="s">
        <v>797</v>
      </c>
    </row>
    <row r="2860" spans="2:11" x14ac:dyDescent="0.25">
      <c r="B2860" s="191"/>
      <c r="C2860" s="191"/>
      <c r="D2860" s="192" t="s">
        <v>6397</v>
      </c>
      <c r="E2860" t="s">
        <v>6398</v>
      </c>
      <c r="F2860" s="192" t="s">
        <v>789</v>
      </c>
      <c r="G2860" s="192" t="s">
        <v>790</v>
      </c>
      <c r="H2860" s="192" t="s">
        <v>790</v>
      </c>
      <c r="I2860" t="s">
        <v>2870</v>
      </c>
      <c r="J2860" t="s">
        <v>865</v>
      </c>
      <c r="K2860" t="s">
        <v>797</v>
      </c>
    </row>
    <row r="2861" spans="2:11" x14ac:dyDescent="0.25">
      <c r="B2861" s="191" t="s">
        <v>6399</v>
      </c>
      <c r="C2861" s="191"/>
      <c r="D2861" s="192"/>
      <c r="E2861" s="185" t="s">
        <v>6400</v>
      </c>
      <c r="F2861" s="192" t="s">
        <v>789</v>
      </c>
      <c r="G2861" s="192" t="s">
        <v>790</v>
      </c>
      <c r="H2861" s="192" t="s">
        <v>790</v>
      </c>
      <c r="I2861" t="s">
        <v>6347</v>
      </c>
      <c r="J2861" t="s">
        <v>865</v>
      </c>
    </row>
    <row r="2862" spans="2:11" x14ac:dyDescent="0.25">
      <c r="B2862" s="191"/>
      <c r="C2862" s="191" t="s">
        <v>6401</v>
      </c>
      <c r="D2862" s="192"/>
      <c r="E2862" s="185" t="s">
        <v>6402</v>
      </c>
      <c r="F2862" s="192" t="s">
        <v>789</v>
      </c>
      <c r="G2862" s="192" t="s">
        <v>790</v>
      </c>
      <c r="H2862" s="192" t="s">
        <v>790</v>
      </c>
      <c r="I2862" t="s">
        <v>6347</v>
      </c>
    </row>
    <row r="2863" spans="2:11" x14ac:dyDescent="0.25">
      <c r="B2863" s="191"/>
      <c r="C2863" s="191"/>
      <c r="D2863" s="192" t="s">
        <v>3675</v>
      </c>
      <c r="E2863" t="s">
        <v>6403</v>
      </c>
      <c r="F2863" s="192" t="s">
        <v>789</v>
      </c>
      <c r="G2863" s="192" t="s">
        <v>790</v>
      </c>
      <c r="H2863" s="192" t="s">
        <v>790</v>
      </c>
      <c r="I2863" t="s">
        <v>6347</v>
      </c>
      <c r="J2863" t="s">
        <v>865</v>
      </c>
      <c r="K2863" t="s">
        <v>797</v>
      </c>
    </row>
    <row r="2864" spans="2:11" x14ac:dyDescent="0.25">
      <c r="B2864" s="191"/>
      <c r="C2864" s="191"/>
      <c r="D2864" s="192" t="s">
        <v>6404</v>
      </c>
      <c r="E2864" t="s">
        <v>6405</v>
      </c>
      <c r="F2864" s="192" t="s">
        <v>789</v>
      </c>
      <c r="G2864" s="192" t="s">
        <v>790</v>
      </c>
      <c r="H2864" s="192" t="s">
        <v>790</v>
      </c>
      <c r="I2864" t="s">
        <v>6347</v>
      </c>
      <c r="J2864" t="s">
        <v>865</v>
      </c>
      <c r="K2864" t="s">
        <v>797</v>
      </c>
    </row>
    <row r="2865" spans="2:11" x14ac:dyDescent="0.25">
      <c r="B2865" s="191"/>
      <c r="C2865" s="191"/>
      <c r="D2865" s="192" t="s">
        <v>6406</v>
      </c>
      <c r="E2865" t="s">
        <v>6407</v>
      </c>
      <c r="F2865" s="192" t="s">
        <v>789</v>
      </c>
      <c r="G2865" s="192" t="s">
        <v>790</v>
      </c>
      <c r="H2865" s="192" t="s">
        <v>790</v>
      </c>
      <c r="I2865" t="s">
        <v>6347</v>
      </c>
      <c r="J2865" t="s">
        <v>865</v>
      </c>
      <c r="K2865" t="s">
        <v>797</v>
      </c>
    </row>
    <row r="2866" spans="2:11" x14ac:dyDescent="0.25">
      <c r="B2866" s="191"/>
      <c r="C2866" s="191" t="s">
        <v>6408</v>
      </c>
      <c r="D2866" s="192"/>
      <c r="E2866" s="185" t="s">
        <v>6409</v>
      </c>
      <c r="F2866" s="192" t="s">
        <v>789</v>
      </c>
      <c r="G2866" s="192" t="s">
        <v>790</v>
      </c>
      <c r="H2866" s="192" t="s">
        <v>790</v>
      </c>
      <c r="I2866" t="s">
        <v>6347</v>
      </c>
    </row>
    <row r="2867" spans="2:11" x14ac:dyDescent="0.25">
      <c r="B2867" s="191"/>
      <c r="C2867" s="191"/>
      <c r="D2867" s="192" t="s">
        <v>6410</v>
      </c>
      <c r="E2867" t="s">
        <v>6411</v>
      </c>
      <c r="F2867" s="192" t="s">
        <v>789</v>
      </c>
      <c r="G2867" s="192" t="s">
        <v>790</v>
      </c>
      <c r="H2867" s="192" t="s">
        <v>790</v>
      </c>
      <c r="I2867" t="s">
        <v>6347</v>
      </c>
      <c r="J2867" t="s">
        <v>865</v>
      </c>
      <c r="K2867" t="s">
        <v>797</v>
      </c>
    </row>
    <row r="2868" spans="2:11" x14ac:dyDescent="0.25">
      <c r="B2868" s="191"/>
      <c r="C2868" s="191"/>
      <c r="D2868" s="192" t="s">
        <v>6412</v>
      </c>
      <c r="E2868" t="s">
        <v>6413</v>
      </c>
      <c r="F2868" s="192" t="s">
        <v>789</v>
      </c>
      <c r="G2868" s="192" t="s">
        <v>790</v>
      </c>
      <c r="H2868" s="192" t="s">
        <v>790</v>
      </c>
      <c r="I2868" t="s">
        <v>6347</v>
      </c>
      <c r="J2868" t="s">
        <v>865</v>
      </c>
      <c r="K2868" t="s">
        <v>797</v>
      </c>
    </row>
    <row r="2869" spans="2:11" x14ac:dyDescent="0.25">
      <c r="B2869" s="191"/>
      <c r="C2869" s="191"/>
      <c r="D2869" s="192" t="s">
        <v>6414</v>
      </c>
      <c r="E2869" t="s">
        <v>6415</v>
      </c>
      <c r="F2869" s="192" t="s">
        <v>789</v>
      </c>
      <c r="G2869" s="192" t="s">
        <v>790</v>
      </c>
      <c r="H2869" s="192" t="s">
        <v>790</v>
      </c>
      <c r="I2869" t="s">
        <v>6347</v>
      </c>
      <c r="J2869" t="s">
        <v>865</v>
      </c>
      <c r="K2869" t="s">
        <v>797</v>
      </c>
    </row>
    <row r="2870" spans="2:11" x14ac:dyDescent="0.25">
      <c r="B2870" s="191" t="s">
        <v>6416</v>
      </c>
      <c r="C2870" s="191"/>
      <c r="D2870" s="192"/>
      <c r="E2870" s="185" t="s">
        <v>6417</v>
      </c>
      <c r="F2870" s="192" t="s">
        <v>789</v>
      </c>
      <c r="G2870" s="192" t="s">
        <v>790</v>
      </c>
      <c r="H2870" s="192" t="s">
        <v>790</v>
      </c>
      <c r="I2870" t="s">
        <v>6347</v>
      </c>
    </row>
    <row r="2871" spans="2:11" x14ac:dyDescent="0.25">
      <c r="B2871" s="191"/>
      <c r="C2871" s="191" t="s">
        <v>6418</v>
      </c>
      <c r="D2871" s="192"/>
      <c r="E2871" s="185" t="s">
        <v>6409</v>
      </c>
      <c r="F2871" s="192" t="s">
        <v>789</v>
      </c>
      <c r="G2871" s="192" t="s">
        <v>790</v>
      </c>
      <c r="H2871" s="192" t="s">
        <v>790</v>
      </c>
      <c r="I2871" t="s">
        <v>6347</v>
      </c>
    </row>
    <row r="2872" spans="2:11" x14ac:dyDescent="0.25">
      <c r="B2872" s="191"/>
      <c r="C2872" s="191"/>
      <c r="D2872" s="192" t="s">
        <v>6419</v>
      </c>
      <c r="E2872" t="s">
        <v>6411</v>
      </c>
      <c r="F2872" s="192" t="s">
        <v>789</v>
      </c>
      <c r="G2872" s="192" t="s">
        <v>790</v>
      </c>
      <c r="H2872" s="192" t="s">
        <v>790</v>
      </c>
      <c r="I2872" t="s">
        <v>6347</v>
      </c>
      <c r="J2872" t="s">
        <v>865</v>
      </c>
      <c r="K2872" t="s">
        <v>797</v>
      </c>
    </row>
    <row r="2873" spans="2:11" x14ac:dyDescent="0.25">
      <c r="B2873" s="191"/>
      <c r="C2873" s="191"/>
      <c r="D2873" s="192" t="s">
        <v>6420</v>
      </c>
      <c r="E2873" t="s">
        <v>6413</v>
      </c>
      <c r="F2873" s="192" t="s">
        <v>789</v>
      </c>
      <c r="G2873" s="192" t="s">
        <v>790</v>
      </c>
      <c r="H2873" s="192" t="s">
        <v>790</v>
      </c>
      <c r="I2873" t="s">
        <v>6347</v>
      </c>
      <c r="J2873" t="s">
        <v>865</v>
      </c>
      <c r="K2873" t="s">
        <v>797</v>
      </c>
    </row>
    <row r="2874" spans="2:11" x14ac:dyDescent="0.25">
      <c r="B2874" s="191"/>
      <c r="C2874" s="191"/>
      <c r="D2874" s="192" t="s">
        <v>6421</v>
      </c>
      <c r="E2874" t="s">
        <v>6422</v>
      </c>
      <c r="F2874" s="192" t="s">
        <v>789</v>
      </c>
      <c r="G2874" s="192" t="s">
        <v>790</v>
      </c>
      <c r="H2874" s="192" t="s">
        <v>790</v>
      </c>
      <c r="I2874" t="s">
        <v>6347</v>
      </c>
      <c r="J2874" t="s">
        <v>865</v>
      </c>
      <c r="K2874" t="s">
        <v>797</v>
      </c>
    </row>
    <row r="2875" spans="2:11" x14ac:dyDescent="0.25">
      <c r="B2875" s="191" t="s">
        <v>6423</v>
      </c>
      <c r="C2875" s="191"/>
      <c r="D2875" s="192"/>
      <c r="E2875" s="185" t="s">
        <v>6424</v>
      </c>
      <c r="F2875" s="192" t="s">
        <v>789</v>
      </c>
      <c r="G2875" s="192" t="s">
        <v>790</v>
      </c>
      <c r="H2875" s="192" t="s">
        <v>790</v>
      </c>
      <c r="I2875" t="s">
        <v>5884</v>
      </c>
      <c r="J2875" t="s">
        <v>865</v>
      </c>
    </row>
    <row r="2876" spans="2:11" x14ac:dyDescent="0.25">
      <c r="B2876" s="191"/>
      <c r="C2876" s="191" t="s">
        <v>6425</v>
      </c>
      <c r="D2876" s="192"/>
      <c r="E2876" s="185" t="s">
        <v>6424</v>
      </c>
      <c r="F2876" s="192" t="s">
        <v>789</v>
      </c>
      <c r="G2876" s="192" t="s">
        <v>790</v>
      </c>
      <c r="H2876" s="192" t="s">
        <v>790</v>
      </c>
      <c r="I2876" t="s">
        <v>5884</v>
      </c>
    </row>
    <row r="2877" spans="2:11" x14ac:dyDescent="0.25">
      <c r="B2877" s="191"/>
      <c r="C2877" s="191"/>
      <c r="D2877" s="192" t="s">
        <v>3623</v>
      </c>
      <c r="E2877" t="s">
        <v>6424</v>
      </c>
      <c r="F2877" s="192" t="s">
        <v>5891</v>
      </c>
      <c r="G2877" s="192" t="s">
        <v>790</v>
      </c>
      <c r="H2877" s="192" t="s">
        <v>790</v>
      </c>
      <c r="I2877" t="s">
        <v>5884</v>
      </c>
      <c r="J2877" t="s">
        <v>865</v>
      </c>
      <c r="K2877" t="s">
        <v>797</v>
      </c>
    </row>
    <row r="2878" spans="2:11" x14ac:dyDescent="0.25">
      <c r="B2878" s="191" t="s">
        <v>6426</v>
      </c>
      <c r="C2878" s="191"/>
      <c r="D2878" s="192"/>
      <c r="E2878" s="185" t="s">
        <v>6427</v>
      </c>
      <c r="F2878" s="192" t="s">
        <v>789</v>
      </c>
      <c r="G2878" s="192" t="s">
        <v>790</v>
      </c>
      <c r="H2878" s="192" t="s">
        <v>790</v>
      </c>
      <c r="I2878" t="s">
        <v>5884</v>
      </c>
      <c r="J2878" t="s">
        <v>865</v>
      </c>
    </row>
    <row r="2879" spans="2:11" x14ac:dyDescent="0.25">
      <c r="B2879" s="191"/>
      <c r="C2879" s="191" t="s">
        <v>6428</v>
      </c>
      <c r="D2879" s="192"/>
      <c r="E2879" s="185" t="s">
        <v>6427</v>
      </c>
      <c r="F2879" s="192" t="s">
        <v>789</v>
      </c>
      <c r="G2879" s="192" t="s">
        <v>790</v>
      </c>
      <c r="H2879" s="192" t="s">
        <v>790</v>
      </c>
      <c r="I2879" t="s">
        <v>5884</v>
      </c>
    </row>
    <row r="2880" spans="2:11" x14ac:dyDescent="0.25">
      <c r="B2880" s="191"/>
      <c r="C2880" s="191"/>
      <c r="D2880" s="192" t="s">
        <v>3627</v>
      </c>
      <c r="E2880" t="s">
        <v>6427</v>
      </c>
      <c r="F2880" s="192" t="s">
        <v>6429</v>
      </c>
      <c r="G2880" s="192" t="s">
        <v>790</v>
      </c>
      <c r="H2880" s="192" t="s">
        <v>790</v>
      </c>
      <c r="I2880" t="s">
        <v>5884</v>
      </c>
      <c r="J2880" t="s">
        <v>865</v>
      </c>
      <c r="K2880" t="s">
        <v>797</v>
      </c>
    </row>
    <row r="2881" spans="2:11" x14ac:dyDescent="0.25">
      <c r="B2881" s="191" t="s">
        <v>6430</v>
      </c>
      <c r="C2881" s="191"/>
      <c r="D2881" s="192"/>
      <c r="E2881" s="185" t="s">
        <v>6431</v>
      </c>
      <c r="F2881" s="192" t="s">
        <v>789</v>
      </c>
      <c r="G2881" s="192" t="s">
        <v>790</v>
      </c>
      <c r="H2881" s="192" t="s">
        <v>790</v>
      </c>
      <c r="I2881" t="s">
        <v>5884</v>
      </c>
      <c r="J2881" t="s">
        <v>865</v>
      </c>
    </row>
    <row r="2882" spans="2:11" x14ac:dyDescent="0.25">
      <c r="B2882" s="191"/>
      <c r="C2882" s="191" t="s">
        <v>6432</v>
      </c>
      <c r="D2882" s="192"/>
      <c r="E2882" s="185" t="s">
        <v>6433</v>
      </c>
      <c r="F2882" s="192" t="s">
        <v>789</v>
      </c>
      <c r="G2882" s="192" t="s">
        <v>790</v>
      </c>
      <c r="H2882" s="192" t="s">
        <v>790</v>
      </c>
      <c r="I2882" t="s">
        <v>5884</v>
      </c>
    </row>
    <row r="2883" spans="2:11" x14ac:dyDescent="0.25">
      <c r="B2883" s="191"/>
      <c r="C2883" s="191"/>
      <c r="D2883" s="192" t="s">
        <v>3630</v>
      </c>
      <c r="E2883" t="s">
        <v>6433</v>
      </c>
      <c r="F2883" s="192" t="s">
        <v>6434</v>
      </c>
      <c r="G2883" s="192" t="s">
        <v>790</v>
      </c>
      <c r="H2883" s="192" t="s">
        <v>790</v>
      </c>
      <c r="I2883" t="s">
        <v>5884</v>
      </c>
      <c r="J2883" t="s">
        <v>865</v>
      </c>
      <c r="K2883" t="s">
        <v>797</v>
      </c>
    </row>
    <row r="2884" spans="2:11" x14ac:dyDescent="0.25">
      <c r="B2884" s="191" t="s">
        <v>6435</v>
      </c>
      <c r="C2884" s="191"/>
      <c r="D2884" s="192"/>
      <c r="E2884" s="185" t="s">
        <v>4683</v>
      </c>
      <c r="F2884" s="192" t="s">
        <v>789</v>
      </c>
      <c r="G2884" s="192" t="s">
        <v>790</v>
      </c>
      <c r="H2884" s="192" t="s">
        <v>790</v>
      </c>
      <c r="I2884" t="s">
        <v>5884</v>
      </c>
      <c r="J2884" t="s">
        <v>865</v>
      </c>
    </row>
    <row r="2885" spans="2:11" x14ac:dyDescent="0.25">
      <c r="B2885" s="191"/>
      <c r="C2885" s="191" t="s">
        <v>6436</v>
      </c>
      <c r="D2885" s="192"/>
      <c r="E2885" s="185" t="s">
        <v>4683</v>
      </c>
      <c r="F2885" s="192" t="s">
        <v>789</v>
      </c>
      <c r="G2885" s="192" t="s">
        <v>790</v>
      </c>
      <c r="H2885" s="192" t="s">
        <v>790</v>
      </c>
      <c r="I2885" t="s">
        <v>5884</v>
      </c>
    </row>
    <row r="2886" spans="2:11" ht="15.75" thickBot="1" x14ac:dyDescent="0.3">
      <c r="B2886" s="191"/>
      <c r="C2886" s="191"/>
      <c r="D2886" s="192" t="s">
        <v>4690</v>
      </c>
      <c r="E2886" t="s">
        <v>4683</v>
      </c>
      <c r="F2886" s="192" t="s">
        <v>6437</v>
      </c>
      <c r="G2886" s="192" t="s">
        <v>790</v>
      </c>
      <c r="H2886" s="192" t="s">
        <v>790</v>
      </c>
      <c r="I2886" t="s">
        <v>5884</v>
      </c>
      <c r="J2886" t="s">
        <v>865</v>
      </c>
      <c r="K2886" t="s">
        <v>797</v>
      </c>
    </row>
    <row r="2887" spans="2:11" x14ac:dyDescent="0.25">
      <c r="B2887" s="189" t="s">
        <v>6438</v>
      </c>
      <c r="C2887" s="190"/>
      <c r="D2887" s="190"/>
      <c r="E2887" s="190"/>
      <c r="F2887" s="190"/>
      <c r="G2887" s="190"/>
      <c r="H2887" s="190"/>
      <c r="I2887" s="190"/>
      <c r="J2887" s="190"/>
      <c r="K2887" s="190"/>
    </row>
  </sheetData>
  <autoFilter ref="B4:K2887" xr:uid="{91932E9D-3CD3-404A-81C1-B2C8638CCDFA}">
    <filterColumn colId="0" showButton="0"/>
    <filterColumn colId="1" showButton="0"/>
  </autoFilter>
  <mergeCells count="2">
    <mergeCell ref="B2:K2"/>
    <mergeCell ref="B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A1:C23"/>
  <sheetViews>
    <sheetView topLeftCell="A10" workbookViewId="0">
      <pane xSplit="1" topLeftCell="B1" activePane="topRight" state="frozenSplit"/>
      <selection pane="topRight" activeCell="C13" sqref="C13"/>
    </sheetView>
  </sheetViews>
  <sheetFormatPr baseColWidth="10" defaultRowHeight="15" x14ac:dyDescent="0.25"/>
  <cols>
    <col min="2" max="2" width="17.140625" style="130" customWidth="1"/>
    <col min="3" max="3" width="56.85546875" style="2" customWidth="1"/>
  </cols>
  <sheetData>
    <row r="1" spans="1:3" x14ac:dyDescent="0.25">
      <c r="B1" s="130" t="s">
        <v>647</v>
      </c>
      <c r="C1" s="2" t="s">
        <v>648</v>
      </c>
    </row>
    <row r="2" spans="1:3" x14ac:dyDescent="0.25">
      <c r="B2" s="130">
        <v>6312095</v>
      </c>
      <c r="C2" s="2" t="s">
        <v>186</v>
      </c>
    </row>
    <row r="3" spans="1:3" x14ac:dyDescent="0.25">
      <c r="B3" s="130">
        <v>6560095</v>
      </c>
      <c r="C3" s="2" t="s">
        <v>187</v>
      </c>
    </row>
    <row r="4" spans="1:3" x14ac:dyDescent="0.25">
      <c r="B4" s="130">
        <v>6343095</v>
      </c>
      <c r="C4" s="2" t="s">
        <v>188</v>
      </c>
    </row>
    <row r="5" spans="1:3" x14ac:dyDescent="0.25">
      <c r="B5" s="130">
        <v>6399095</v>
      </c>
      <c r="C5" s="2" t="s">
        <v>189</v>
      </c>
    </row>
    <row r="6" spans="1:3" x14ac:dyDescent="0.25">
      <c r="B6" s="130">
        <v>6311295</v>
      </c>
      <c r="C6" s="2" t="s">
        <v>190</v>
      </c>
    </row>
    <row r="7" spans="1:3" x14ac:dyDescent="0.25">
      <c r="B7" s="130">
        <v>6311195</v>
      </c>
      <c r="C7" s="22" t="s">
        <v>191</v>
      </c>
    </row>
    <row r="8" spans="1:3" x14ac:dyDescent="0.25">
      <c r="B8" s="130">
        <v>6510094</v>
      </c>
      <c r="C8" s="2" t="s">
        <v>192</v>
      </c>
    </row>
    <row r="9" spans="1:3" x14ac:dyDescent="0.25">
      <c r="B9" s="130">
        <v>6364095</v>
      </c>
      <c r="C9" s="2" t="s">
        <v>193</v>
      </c>
    </row>
    <row r="10" spans="1:3" x14ac:dyDescent="0.25">
      <c r="B10" s="130">
        <v>6329094</v>
      </c>
      <c r="C10" s="2" t="s">
        <v>194</v>
      </c>
    </row>
    <row r="11" spans="1:3" x14ac:dyDescent="0.25">
      <c r="B11" s="130">
        <v>6322095</v>
      </c>
      <c r="C11" s="2" t="s">
        <v>195</v>
      </c>
    </row>
    <row r="12" spans="1:3" x14ac:dyDescent="0.25">
      <c r="B12" s="130">
        <v>6344094</v>
      </c>
      <c r="C12" s="2" t="s">
        <v>196</v>
      </c>
    </row>
    <row r="13" spans="1:3" x14ac:dyDescent="0.25">
      <c r="A13" s="20"/>
      <c r="B13" s="131">
        <v>6599095</v>
      </c>
      <c r="C13" s="21" t="s">
        <v>197</v>
      </c>
    </row>
    <row r="14" spans="1:3" x14ac:dyDescent="0.25">
      <c r="B14" s="130">
        <v>603202524</v>
      </c>
      <c r="C14" s="2" t="s">
        <v>198</v>
      </c>
    </row>
    <row r="15" spans="1:3" x14ac:dyDescent="0.25">
      <c r="B15" s="130">
        <v>6361095</v>
      </c>
      <c r="C15" s="2" t="s">
        <v>199</v>
      </c>
    </row>
    <row r="16" spans="1:3" x14ac:dyDescent="0.25">
      <c r="B16" s="130">
        <v>6363095</v>
      </c>
      <c r="C16" s="2" t="s">
        <v>200</v>
      </c>
    </row>
    <row r="17" spans="2:3" x14ac:dyDescent="0.25">
      <c r="B17" s="132">
        <v>6011021</v>
      </c>
      <c r="C17" s="12" t="s">
        <v>201</v>
      </c>
    </row>
    <row r="18" spans="2:3" x14ac:dyDescent="0.25">
      <c r="B18" s="130">
        <v>6323094</v>
      </c>
      <c r="C18" s="2" t="s">
        <v>202</v>
      </c>
    </row>
    <row r="19" spans="2:3" x14ac:dyDescent="0.25">
      <c r="B19" s="130" t="s">
        <v>203</v>
      </c>
      <c r="C19" s="2" t="s">
        <v>204</v>
      </c>
    </row>
    <row r="20" spans="2:3" x14ac:dyDescent="0.25">
      <c r="B20" s="130">
        <v>6367095</v>
      </c>
      <c r="C20" s="2" t="s">
        <v>209</v>
      </c>
    </row>
    <row r="21" spans="2:3" x14ac:dyDescent="0.25">
      <c r="B21" s="130">
        <v>6365095</v>
      </c>
      <c r="C21" s="2" t="s">
        <v>216</v>
      </c>
    </row>
    <row r="22" spans="2:3" x14ac:dyDescent="0.25">
      <c r="B22" s="130">
        <v>60911201</v>
      </c>
      <c r="C22" s="2" t="s">
        <v>221</v>
      </c>
    </row>
    <row r="23" spans="2:3" x14ac:dyDescent="0.25">
      <c r="B23" s="130">
        <v>63432</v>
      </c>
    </row>
  </sheetData>
  <autoFilter ref="B1:C23" xr:uid="{00000000-0009-0000-0000-000006000000}"/>
  <pageMargins left="0.7" right="0.7" top="0.75" bottom="0.75" header="0.3" footer="0.3"/>
  <pageSetup paperSize="9" orientation="portrait" horizontalDpi="0" verticalDpi="0" r:id="rId1"/>
  <ignoredErrors>
    <ignoredError sqref="B1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2:J45"/>
  <sheetViews>
    <sheetView workbookViewId="0">
      <selection activeCell="H5" sqref="H5"/>
    </sheetView>
  </sheetViews>
  <sheetFormatPr baseColWidth="10" defaultRowHeight="15" x14ac:dyDescent="0.25"/>
  <cols>
    <col min="8" max="8" width="12.5703125" bestFit="1" customWidth="1"/>
  </cols>
  <sheetData>
    <row r="2" spans="5:10" x14ac:dyDescent="0.25">
      <c r="E2" t="s">
        <v>6531</v>
      </c>
      <c r="G2" s="134">
        <v>3.4950000000000001</v>
      </c>
      <c r="H2" s="135">
        <f>G2</f>
        <v>3.4950000000000001</v>
      </c>
      <c r="I2" s="134">
        <v>3.383</v>
      </c>
      <c r="J2" s="135">
        <f>SUM(I2:I44)/43</f>
        <v>3.429767441860466</v>
      </c>
    </row>
    <row r="3" spans="5:10" x14ac:dyDescent="0.25">
      <c r="G3" s="134"/>
      <c r="H3" s="135"/>
      <c r="I3" s="134">
        <v>3.3690000000000002</v>
      </c>
      <c r="J3" s="135"/>
    </row>
    <row r="4" spans="5:10" x14ac:dyDescent="0.25">
      <c r="G4" s="134"/>
      <c r="H4" s="135"/>
      <c r="I4" s="134">
        <v>3.3719999999999999</v>
      </c>
      <c r="J4" s="135"/>
    </row>
    <row r="5" spans="5:10" x14ac:dyDescent="0.25">
      <c r="E5" t="s">
        <v>6530</v>
      </c>
      <c r="F5" s="259">
        <v>45976</v>
      </c>
      <c r="G5" s="134">
        <v>3.3740000000000001</v>
      </c>
      <c r="H5" s="261">
        <f>SUM(G5:G45)/41</f>
        <v>3.429439024390244</v>
      </c>
      <c r="I5" s="134">
        <v>3.367</v>
      </c>
      <c r="J5" s="135"/>
    </row>
    <row r="6" spans="5:10" x14ac:dyDescent="0.25">
      <c r="F6" s="259">
        <v>45980</v>
      </c>
      <c r="G6" s="134">
        <v>3.3719999999999999</v>
      </c>
      <c r="H6" s="135"/>
      <c r="I6" s="134">
        <v>3.3519999999999999</v>
      </c>
      <c r="J6" s="135"/>
    </row>
    <row r="7" spans="5:10" x14ac:dyDescent="0.25">
      <c r="F7" s="260">
        <v>46037</v>
      </c>
      <c r="G7" s="134">
        <v>3.367</v>
      </c>
      <c r="H7" s="135"/>
      <c r="I7" s="134">
        <v>3.3519999999999999</v>
      </c>
      <c r="J7" s="135"/>
    </row>
    <row r="8" spans="5:10" x14ac:dyDescent="0.25">
      <c r="F8" s="260">
        <v>46052</v>
      </c>
      <c r="G8" s="134">
        <v>3.3450000000000002</v>
      </c>
      <c r="H8" s="135"/>
      <c r="I8" s="134">
        <v>3.3479999999999999</v>
      </c>
      <c r="J8" s="135"/>
    </row>
    <row r="9" spans="5:10" x14ac:dyDescent="0.25">
      <c r="G9" s="134">
        <v>3.3479999999999999</v>
      </c>
      <c r="H9" s="135"/>
      <c r="I9" s="134">
        <v>3.3479999999999999</v>
      </c>
      <c r="J9" s="135"/>
    </row>
    <row r="10" spans="5:10" x14ac:dyDescent="0.25">
      <c r="G10" s="257">
        <v>3.36</v>
      </c>
      <c r="H10" s="135"/>
      <c r="I10" s="134">
        <v>3.3479999999999999</v>
      </c>
      <c r="J10" s="135"/>
    </row>
    <row r="11" spans="5:10" x14ac:dyDescent="0.25">
      <c r="G11" s="257">
        <v>3.36</v>
      </c>
      <c r="H11" s="135"/>
      <c r="I11" s="134">
        <v>3.36</v>
      </c>
      <c r="J11" s="135"/>
    </row>
    <row r="12" spans="5:10" x14ac:dyDescent="0.25">
      <c r="G12" s="257">
        <v>3.36</v>
      </c>
      <c r="H12" s="135"/>
      <c r="I12" s="134">
        <v>3.36</v>
      </c>
      <c r="J12" s="135"/>
    </row>
    <row r="13" spans="5:10" x14ac:dyDescent="0.25">
      <c r="G13" s="134">
        <v>3.4510000000000001</v>
      </c>
      <c r="H13" s="135"/>
      <c r="I13" s="134">
        <v>3.363</v>
      </c>
      <c r="J13" s="135"/>
    </row>
    <row r="14" spans="5:10" x14ac:dyDescent="0.25">
      <c r="G14" s="134">
        <v>3.4169999999999998</v>
      </c>
      <c r="H14" s="135"/>
      <c r="I14" s="134">
        <v>3.36</v>
      </c>
      <c r="J14" s="135"/>
    </row>
    <row r="15" spans="5:10" x14ac:dyDescent="0.25">
      <c r="G15" s="134">
        <v>3.4350000000000001</v>
      </c>
      <c r="H15" s="135"/>
      <c r="I15" s="134">
        <v>3.4510000000000001</v>
      </c>
      <c r="J15" s="135"/>
    </row>
    <row r="16" spans="5:10" x14ac:dyDescent="0.25">
      <c r="G16" s="134">
        <v>3.468</v>
      </c>
      <c r="H16" s="135"/>
      <c r="I16" s="134">
        <v>3.4489999999999998</v>
      </c>
      <c r="J16" s="135"/>
    </row>
    <row r="17" spans="7:10" x14ac:dyDescent="0.25">
      <c r="G17" s="134">
        <v>3.468</v>
      </c>
      <c r="H17" s="135"/>
      <c r="I17" s="134">
        <v>3.4169999999999998</v>
      </c>
      <c r="J17" s="135"/>
    </row>
    <row r="18" spans="7:10" x14ac:dyDescent="0.25">
      <c r="G18" s="134">
        <v>3.4860000000000002</v>
      </c>
      <c r="H18" s="135"/>
      <c r="I18" s="134">
        <v>3.4350000000000001</v>
      </c>
      <c r="J18" s="135"/>
    </row>
    <row r="19" spans="7:10" x14ac:dyDescent="0.25">
      <c r="G19" s="134">
        <v>3.4910000000000001</v>
      </c>
      <c r="H19" s="135"/>
      <c r="I19" s="134">
        <v>3.468</v>
      </c>
      <c r="J19" s="135"/>
    </row>
    <row r="20" spans="7:10" x14ac:dyDescent="0.25">
      <c r="G20" s="134">
        <v>3.4420000000000002</v>
      </c>
      <c r="H20" s="135"/>
      <c r="I20" s="134">
        <v>3.468</v>
      </c>
      <c r="J20" s="135"/>
    </row>
    <row r="21" spans="7:10" x14ac:dyDescent="0.25">
      <c r="G21" s="134">
        <v>3.4420000000000002</v>
      </c>
      <c r="H21" s="135"/>
      <c r="I21" s="134">
        <v>3.468</v>
      </c>
      <c r="J21" s="135"/>
    </row>
    <row r="22" spans="7:10" x14ac:dyDescent="0.25">
      <c r="G22" s="134">
        <v>3.4940000000000002</v>
      </c>
      <c r="H22" s="135"/>
      <c r="I22" s="134">
        <v>3.464</v>
      </c>
      <c r="J22" s="135"/>
    </row>
    <row r="23" spans="7:10" x14ac:dyDescent="0.25">
      <c r="G23" s="134">
        <v>3.444</v>
      </c>
      <c r="H23" s="135"/>
      <c r="I23" s="134">
        <v>3.4860000000000002</v>
      </c>
      <c r="J23" s="135"/>
    </row>
    <row r="24" spans="7:10" x14ac:dyDescent="0.25">
      <c r="G24" s="134">
        <v>3.444</v>
      </c>
      <c r="H24" s="135"/>
      <c r="I24" s="134">
        <v>3.4860000000000002</v>
      </c>
      <c r="J24" s="135"/>
    </row>
    <row r="25" spans="7:10" x14ac:dyDescent="0.25">
      <c r="G25" s="134">
        <v>3.444</v>
      </c>
      <c r="H25" s="135"/>
      <c r="I25" s="134">
        <v>3.4860000000000002</v>
      </c>
      <c r="J25" s="135"/>
    </row>
    <row r="26" spans="7:10" x14ac:dyDescent="0.25">
      <c r="G26" s="134">
        <v>3.4780000000000002</v>
      </c>
      <c r="H26" s="135"/>
      <c r="I26" s="134">
        <v>3.4860000000000002</v>
      </c>
      <c r="J26" s="135"/>
    </row>
    <row r="27" spans="7:10" x14ac:dyDescent="0.25">
      <c r="G27" s="257">
        <v>3.51</v>
      </c>
      <c r="H27" s="135"/>
      <c r="I27" s="134">
        <v>3.4860000000000002</v>
      </c>
      <c r="J27" s="135"/>
    </row>
    <row r="28" spans="7:10" x14ac:dyDescent="0.25">
      <c r="G28" s="257">
        <v>3.51</v>
      </c>
      <c r="H28" s="135"/>
      <c r="I28" s="134">
        <v>3.4950000000000001</v>
      </c>
      <c r="J28" s="135"/>
    </row>
    <row r="29" spans="7:10" x14ac:dyDescent="0.25">
      <c r="G29" s="134">
        <v>3.5190000000000001</v>
      </c>
      <c r="H29" s="135"/>
      <c r="I29" s="134">
        <v>3.4950000000000001</v>
      </c>
      <c r="J29" s="135"/>
    </row>
    <row r="30" spans="7:10" x14ac:dyDescent="0.25">
      <c r="G30" s="257">
        <v>3.47</v>
      </c>
      <c r="H30" s="135"/>
      <c r="I30" s="134">
        <v>3.379</v>
      </c>
      <c r="J30" s="135"/>
    </row>
    <row r="31" spans="7:10" x14ac:dyDescent="0.25">
      <c r="G31" s="257">
        <v>3.45</v>
      </c>
      <c r="H31" s="135"/>
      <c r="I31" s="134">
        <v>3.39</v>
      </c>
      <c r="J31" s="135"/>
    </row>
    <row r="32" spans="7:10" x14ac:dyDescent="0.25">
      <c r="G32" s="257">
        <v>3.44</v>
      </c>
      <c r="H32" s="135"/>
      <c r="I32" s="134">
        <v>3.4420000000000002</v>
      </c>
      <c r="J32" s="135"/>
    </row>
    <row r="33" spans="7:10" x14ac:dyDescent="0.25">
      <c r="G33" s="257">
        <v>3.44</v>
      </c>
      <c r="H33" s="135"/>
      <c r="I33" s="134">
        <v>3.4420000000000002</v>
      </c>
      <c r="J33" s="135"/>
    </row>
    <row r="34" spans="7:10" x14ac:dyDescent="0.25">
      <c r="G34" s="134">
        <v>3.4340000000000002</v>
      </c>
      <c r="H34" s="135"/>
      <c r="I34" s="134">
        <v>3.4420000000000002</v>
      </c>
      <c r="J34" s="135"/>
    </row>
    <row r="35" spans="7:10" x14ac:dyDescent="0.25">
      <c r="G35" s="134">
        <v>3.4340000000000002</v>
      </c>
      <c r="H35" s="135"/>
      <c r="I35" s="134">
        <v>3.444</v>
      </c>
      <c r="J35" s="135"/>
    </row>
    <row r="36" spans="7:10" x14ac:dyDescent="0.25">
      <c r="G36" s="134">
        <v>3.4340000000000002</v>
      </c>
      <c r="H36" s="135"/>
      <c r="I36" s="134">
        <v>3.444</v>
      </c>
      <c r="J36" s="135"/>
    </row>
    <row r="37" spans="7:10" x14ac:dyDescent="0.25">
      <c r="G37" s="134">
        <v>3.4260000000000002</v>
      </c>
      <c r="H37" s="135"/>
      <c r="I37" s="134">
        <v>3.444</v>
      </c>
      <c r="J37" s="135"/>
    </row>
    <row r="38" spans="7:10" x14ac:dyDescent="0.25">
      <c r="G38" s="134">
        <v>3.419</v>
      </c>
      <c r="H38" s="135"/>
      <c r="I38" s="134">
        <v>3.4780000000000002</v>
      </c>
      <c r="J38" s="135"/>
    </row>
    <row r="39" spans="7:10" x14ac:dyDescent="0.25">
      <c r="G39" s="134">
        <v>3.4209999999999998</v>
      </c>
      <c r="H39" s="135"/>
      <c r="I39" s="134">
        <v>3.4780000000000002</v>
      </c>
      <c r="J39" s="135"/>
    </row>
    <row r="40" spans="7:10" x14ac:dyDescent="0.25">
      <c r="G40" s="134">
        <v>3.4209999999999998</v>
      </c>
      <c r="H40" s="135"/>
      <c r="I40" s="134">
        <v>3.51</v>
      </c>
      <c r="J40" s="135"/>
    </row>
    <row r="41" spans="7:10" x14ac:dyDescent="0.25">
      <c r="G41" s="134">
        <v>3.4159999999999999</v>
      </c>
      <c r="H41" s="135"/>
      <c r="I41" s="134">
        <v>3.51</v>
      </c>
      <c r="J41" s="135"/>
    </row>
    <row r="42" spans="7:10" x14ac:dyDescent="0.25">
      <c r="G42" s="134">
        <v>3.3940000000000001</v>
      </c>
      <c r="H42" s="135"/>
      <c r="I42" s="134">
        <v>3.51</v>
      </c>
      <c r="J42" s="135"/>
    </row>
    <row r="43" spans="7:10" x14ac:dyDescent="0.25">
      <c r="G43" s="134">
        <v>3.3820000000000001</v>
      </c>
      <c r="H43" s="135"/>
      <c r="I43" s="134">
        <v>3.4260000000000002</v>
      </c>
      <c r="J43" s="135"/>
    </row>
    <row r="44" spans="7:10" x14ac:dyDescent="0.25">
      <c r="G44" s="134">
        <v>3.3820000000000001</v>
      </c>
      <c r="H44" s="135"/>
      <c r="I44" s="134">
        <v>3.419</v>
      </c>
      <c r="J44" s="135"/>
    </row>
    <row r="45" spans="7:10" x14ac:dyDescent="0.25">
      <c r="G45" s="134">
        <v>3.415</v>
      </c>
      <c r="H45" s="135"/>
      <c r="I45" s="1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ENTIDAD</vt:lpstr>
      <vt:lpstr>PLAN CONTABLE</vt:lpstr>
      <vt:lpstr>PCGE</vt:lpstr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FRUNATURE</dc:creator>
  <cp:lastModifiedBy>OIga</cp:lastModifiedBy>
  <cp:lastPrinted>2026-05-08T14:39:21Z</cp:lastPrinted>
  <dcterms:created xsi:type="dcterms:W3CDTF">2018-09-08T17:14:01Z</dcterms:created>
  <dcterms:modified xsi:type="dcterms:W3CDTF">2026-08-11T15:29:08Z</dcterms:modified>
</cp:coreProperties>
</file>